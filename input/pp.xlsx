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lison.batista\Empresas SK\Jose Wilkinson Brito De Queiroz - 1. US MINERAÇÃO VALE VERDE\01. DESMONTE\DESMONTE\DESMONTE - 2026\06. Junho\Desmonte - 26.06.2026\PP370626\"/>
    </mc:Choice>
  </mc:AlternateContent>
  <xr:revisionPtr revIDLastSave="1" documentId="13_ncr:1_{95C1F3CC-24BA-43C0-AE3E-4A8DD5D59CD6}" xr6:coauthVersionLast="36" xr6:coauthVersionMax="47" xr10:uidLastSave="{CA1FF616-B59F-4660-8A36-331326BC3A83}"/>
  <bookViews>
    <workbookView xWindow="28680" yWindow="-120" windowWidth="51840" windowHeight="21120" xr2:uid="{99E07268-2741-4D1F-B526-CE762CF8513A}"/>
  </bookViews>
  <sheets>
    <sheet name="PROJETO PERFURAÇÃO" sheetId="1" r:id="rId1"/>
    <sheet name="LEV R&amp;D" sheetId="3" r:id="rId2"/>
    <sheet name="MEDIÇÃO" sheetId="2" r:id="rId3"/>
  </sheets>
  <definedNames>
    <definedName name="_xlnm._FilterDatabase" localSheetId="0" hidden="1">'PROJETO PERFURAÇÃO'!$A$1:$BD$355</definedName>
    <definedName name="_xlnm.Print_Area" localSheetId="2">MEDIÇÃO!$A$1:$W$1395</definedName>
  </definedNames>
  <calcPr calcId="191029"/>
</workbook>
</file>

<file path=xl/calcChain.xml><?xml version="1.0" encoding="utf-8"?>
<calcChain xmlns="http://schemas.openxmlformats.org/spreadsheetml/2006/main">
  <c r="D1373" i="2" l="1"/>
  <c r="C1373" i="2"/>
  <c r="B1373" i="2"/>
  <c r="D1372" i="2"/>
  <c r="E1372" i="2" s="1"/>
  <c r="C1372" i="2"/>
  <c r="B1372" i="2"/>
  <c r="D1371" i="2"/>
  <c r="E1371" i="2" s="1"/>
  <c r="C1371" i="2"/>
  <c r="B1371" i="2"/>
  <c r="D1370" i="2"/>
  <c r="F1370" i="2" s="1"/>
  <c r="C1370" i="2"/>
  <c r="B1370" i="2"/>
  <c r="D1369" i="2"/>
  <c r="F1369" i="2" s="1"/>
  <c r="C1369" i="2"/>
  <c r="B1369" i="2"/>
  <c r="B1365" i="2"/>
  <c r="D1341" i="2"/>
  <c r="C1341" i="2"/>
  <c r="D1340" i="2"/>
  <c r="E1340" i="2" s="1"/>
  <c r="C1340" i="2"/>
  <c r="B1340" i="2"/>
  <c r="D1339" i="2"/>
  <c r="E1339" i="2" s="1"/>
  <c r="C1339" i="2"/>
  <c r="B1339" i="2"/>
  <c r="D1338" i="2"/>
  <c r="F1338" i="2" s="1"/>
  <c r="C1338" i="2"/>
  <c r="B1338" i="2"/>
  <c r="B1334" i="2"/>
  <c r="D1310" i="2"/>
  <c r="C1310" i="2"/>
  <c r="B1310" i="2"/>
  <c r="D1309" i="2"/>
  <c r="E1309" i="2" s="1"/>
  <c r="C1309" i="2"/>
  <c r="B1309" i="2"/>
  <c r="D1308" i="2"/>
  <c r="F1308" i="2" s="1"/>
  <c r="C1308" i="2"/>
  <c r="B1308" i="2"/>
  <c r="F1307" i="2"/>
  <c r="D1307" i="2"/>
  <c r="E1307" i="2" s="1"/>
  <c r="C1307" i="2"/>
  <c r="B1307" i="2"/>
  <c r="B1303" i="2"/>
  <c r="D1276" i="2"/>
  <c r="F1276" i="2" s="1"/>
  <c r="C1276" i="2"/>
  <c r="B1272" i="2"/>
  <c r="D1245" i="2"/>
  <c r="F1245" i="2" s="1"/>
  <c r="B1241" i="2"/>
  <c r="D1215" i="2"/>
  <c r="C1215" i="2"/>
  <c r="B1215" i="2"/>
  <c r="D1214" i="2"/>
  <c r="F1214" i="2" s="1"/>
  <c r="C1214" i="2"/>
  <c r="B1214" i="2"/>
  <c r="B1210" i="2"/>
  <c r="D1183" i="2"/>
  <c r="D1184" i="2" s="1"/>
  <c r="C1183" i="2"/>
  <c r="B1183" i="2"/>
  <c r="B1179" i="2"/>
  <c r="D1153" i="2"/>
  <c r="F1153" i="2" s="1"/>
  <c r="D1152" i="2"/>
  <c r="B1152" i="2" s="1"/>
  <c r="C1152" i="2"/>
  <c r="B1148" i="2"/>
  <c r="D1121" i="2"/>
  <c r="C1121" i="2"/>
  <c r="B1117" i="2"/>
  <c r="D1091" i="2"/>
  <c r="D1090" i="2"/>
  <c r="F1090" i="2" s="1"/>
  <c r="C1090" i="2"/>
  <c r="B1086" i="2"/>
  <c r="D1060" i="2"/>
  <c r="F1060" i="2" s="1"/>
  <c r="D1059" i="2"/>
  <c r="F1059" i="2" s="1"/>
  <c r="C1059" i="2"/>
  <c r="B1055" i="2"/>
  <c r="E1028" i="2"/>
  <c r="D1028" i="2"/>
  <c r="C1028" i="2"/>
  <c r="B1028" i="2"/>
  <c r="B1024" i="2"/>
  <c r="D1000" i="2"/>
  <c r="C1000" i="2"/>
  <c r="E999" i="2"/>
  <c r="D999" i="2"/>
  <c r="F999" i="2" s="1"/>
  <c r="C999" i="2"/>
  <c r="B999" i="2"/>
  <c r="D998" i="2"/>
  <c r="F998" i="2" s="1"/>
  <c r="C998" i="2"/>
  <c r="B998" i="2"/>
  <c r="F997" i="2"/>
  <c r="E997" i="2"/>
  <c r="D997" i="2"/>
  <c r="C997" i="2" s="1"/>
  <c r="B997" i="2"/>
  <c r="B993" i="2"/>
  <c r="D967" i="2"/>
  <c r="D966" i="2"/>
  <c r="B966" i="2" s="1"/>
  <c r="C966" i="2"/>
  <c r="B962" i="2"/>
  <c r="D937" i="2"/>
  <c r="D936" i="2"/>
  <c r="E936" i="2" s="1"/>
  <c r="C936" i="2"/>
  <c r="D935" i="2"/>
  <c r="F935" i="2" s="1"/>
  <c r="C935" i="2"/>
  <c r="B935" i="2"/>
  <c r="B931" i="2"/>
  <c r="E906" i="2"/>
  <c r="D906" i="2"/>
  <c r="C906" i="2"/>
  <c r="B906" i="2"/>
  <c r="D905" i="2"/>
  <c r="C905" i="2"/>
  <c r="B905" i="2"/>
  <c r="D904" i="2"/>
  <c r="F904" i="2" s="1"/>
  <c r="C904" i="2"/>
  <c r="B904" i="2"/>
  <c r="B900" i="2"/>
  <c r="D873" i="2"/>
  <c r="D874" i="2" s="1"/>
  <c r="C873" i="2"/>
  <c r="B873" i="2"/>
  <c r="B869" i="2"/>
  <c r="D842" i="2"/>
  <c r="C842" i="2"/>
  <c r="B838" i="2"/>
  <c r="R811" i="2"/>
  <c r="T811" i="2" s="1"/>
  <c r="K811" i="2"/>
  <c r="K812" i="2" s="1"/>
  <c r="R780" i="2"/>
  <c r="R781" i="2" s="1"/>
  <c r="K780" i="2"/>
  <c r="M780" i="2" s="1"/>
  <c r="R749" i="2"/>
  <c r="R750" i="2" s="1"/>
  <c r="K749" i="2"/>
  <c r="K750" i="2" s="1"/>
  <c r="K718" i="2"/>
  <c r="K719" i="2" s="1"/>
  <c r="R687" i="2"/>
  <c r="R688" i="2" s="1"/>
  <c r="K687" i="2"/>
  <c r="K688" i="2" s="1"/>
  <c r="K656" i="2"/>
  <c r="K657" i="2" s="1"/>
  <c r="R625" i="2"/>
  <c r="T625" i="2" s="1"/>
  <c r="K625" i="2"/>
  <c r="M625" i="2" s="1"/>
  <c r="D625" i="2"/>
  <c r="F625" i="2" s="1"/>
  <c r="R594" i="2"/>
  <c r="T594" i="2" s="1"/>
  <c r="K594" i="2"/>
  <c r="K595" i="2" s="1"/>
  <c r="D594" i="2"/>
  <c r="F594" i="2" s="1"/>
  <c r="D563" i="2"/>
  <c r="D564" i="2" s="1"/>
  <c r="R532" i="2"/>
  <c r="R533" i="2" s="1"/>
  <c r="K532" i="2"/>
  <c r="K533" i="2" s="1"/>
  <c r="K534" i="2" s="1"/>
  <c r="K535" i="2" s="1"/>
  <c r="K536" i="2" s="1"/>
  <c r="K537" i="2" s="1"/>
  <c r="K538" i="2" s="1"/>
  <c r="K539" i="2" s="1"/>
  <c r="K540" i="2" s="1"/>
  <c r="K541" i="2" s="1"/>
  <c r="K542" i="2" s="1"/>
  <c r="K543" i="2" s="1"/>
  <c r="K544" i="2" s="1"/>
  <c r="K545" i="2" s="1"/>
  <c r="K546" i="2" s="1"/>
  <c r="K547" i="2" s="1"/>
  <c r="K548" i="2" s="1"/>
  <c r="K549" i="2" s="1"/>
  <c r="K550" i="2" s="1"/>
  <c r="K551" i="2" s="1"/>
  <c r="K552" i="2" s="1"/>
  <c r="K553" i="2" s="1"/>
  <c r="K554" i="2" s="1"/>
  <c r="M811" i="2"/>
  <c r="T780" i="2"/>
  <c r="M749" i="2"/>
  <c r="T749" i="2"/>
  <c r="M718" i="2"/>
  <c r="T687" i="2"/>
  <c r="M594" i="2"/>
  <c r="F554" i="2"/>
  <c r="F553" i="2"/>
  <c r="F552" i="2"/>
  <c r="F551" i="2"/>
  <c r="F550" i="2"/>
  <c r="F549" i="2"/>
  <c r="F548" i="2"/>
  <c r="F547" i="2"/>
  <c r="F546" i="2"/>
  <c r="F545" i="2"/>
  <c r="F544" i="2"/>
  <c r="F543" i="2"/>
  <c r="F542" i="2"/>
  <c r="F541" i="2"/>
  <c r="F540" i="2"/>
  <c r="F539" i="2"/>
  <c r="F538" i="2"/>
  <c r="F537" i="2"/>
  <c r="F536" i="2"/>
  <c r="F535" i="2"/>
  <c r="F534" i="2"/>
  <c r="F533" i="2"/>
  <c r="F532" i="2"/>
  <c r="F523" i="2"/>
  <c r="F522" i="2"/>
  <c r="F521" i="2"/>
  <c r="F520" i="2"/>
  <c r="F519" i="2"/>
  <c r="F518" i="2"/>
  <c r="F517" i="2"/>
  <c r="F516" i="2"/>
  <c r="F515" i="2"/>
  <c r="F514" i="2"/>
  <c r="F513" i="2"/>
  <c r="F512" i="2"/>
  <c r="F511" i="2"/>
  <c r="F510" i="2"/>
  <c r="F509" i="2"/>
  <c r="F508" i="2"/>
  <c r="F507" i="2"/>
  <c r="F506" i="2"/>
  <c r="F505" i="2"/>
  <c r="F504" i="2"/>
  <c r="F503" i="2"/>
  <c r="F502" i="2"/>
  <c r="F501" i="2"/>
  <c r="M523" i="2"/>
  <c r="M522" i="2"/>
  <c r="M521" i="2"/>
  <c r="M520" i="2"/>
  <c r="M519" i="2"/>
  <c r="M518" i="2"/>
  <c r="M517" i="2"/>
  <c r="M516" i="2"/>
  <c r="M515" i="2"/>
  <c r="M514" i="2"/>
  <c r="M513" i="2"/>
  <c r="M512" i="2"/>
  <c r="M511" i="2"/>
  <c r="M510" i="2"/>
  <c r="M509" i="2"/>
  <c r="M508" i="2"/>
  <c r="M507" i="2"/>
  <c r="M506" i="2"/>
  <c r="M505" i="2"/>
  <c r="M504" i="2"/>
  <c r="M503" i="2"/>
  <c r="M502" i="2"/>
  <c r="M501" i="2"/>
  <c r="T523" i="2"/>
  <c r="T522" i="2"/>
  <c r="T521" i="2"/>
  <c r="T520" i="2"/>
  <c r="T519" i="2"/>
  <c r="T518" i="2"/>
  <c r="T517" i="2"/>
  <c r="T516" i="2"/>
  <c r="T515" i="2"/>
  <c r="T514" i="2"/>
  <c r="T513" i="2"/>
  <c r="T512" i="2"/>
  <c r="T511" i="2"/>
  <c r="T510" i="2"/>
  <c r="T509" i="2"/>
  <c r="T508" i="2"/>
  <c r="T507" i="2"/>
  <c r="T506" i="2"/>
  <c r="T505" i="2"/>
  <c r="T504" i="2"/>
  <c r="T503" i="2"/>
  <c r="T502" i="2"/>
  <c r="T501" i="2"/>
  <c r="T492" i="2"/>
  <c r="T491" i="2"/>
  <c r="T490" i="2"/>
  <c r="T489" i="2"/>
  <c r="T488" i="2"/>
  <c r="T487" i="2"/>
  <c r="T486" i="2"/>
  <c r="T485" i="2"/>
  <c r="T484" i="2"/>
  <c r="T483" i="2"/>
  <c r="T482" i="2"/>
  <c r="T481" i="2"/>
  <c r="T480" i="2"/>
  <c r="T479" i="2"/>
  <c r="T478" i="2"/>
  <c r="T477" i="2"/>
  <c r="T476" i="2"/>
  <c r="T475" i="2"/>
  <c r="T474" i="2"/>
  <c r="T473" i="2"/>
  <c r="T472" i="2"/>
  <c r="T471" i="2"/>
  <c r="T470" i="2"/>
  <c r="M492" i="2"/>
  <c r="M491" i="2"/>
  <c r="M490" i="2"/>
  <c r="M489" i="2"/>
  <c r="M488" i="2"/>
  <c r="M487" i="2"/>
  <c r="M486" i="2"/>
  <c r="M485" i="2"/>
  <c r="M484" i="2"/>
  <c r="M483" i="2"/>
  <c r="M482" i="2"/>
  <c r="M481" i="2"/>
  <c r="M480" i="2"/>
  <c r="M479" i="2"/>
  <c r="M478" i="2"/>
  <c r="M477" i="2"/>
  <c r="M476" i="2"/>
  <c r="M475" i="2"/>
  <c r="M474" i="2"/>
  <c r="M473" i="2"/>
  <c r="M472" i="2"/>
  <c r="M471" i="2"/>
  <c r="M470" i="2"/>
  <c r="F492" i="2"/>
  <c r="F491" i="2"/>
  <c r="F490" i="2"/>
  <c r="F489" i="2"/>
  <c r="F488" i="2"/>
  <c r="F487" i="2"/>
  <c r="F486" i="2"/>
  <c r="F485" i="2"/>
  <c r="F484" i="2"/>
  <c r="F483" i="2"/>
  <c r="F482" i="2"/>
  <c r="F481" i="2"/>
  <c r="F480" i="2"/>
  <c r="F479" i="2"/>
  <c r="F478" i="2"/>
  <c r="F477" i="2"/>
  <c r="F476" i="2"/>
  <c r="F475" i="2"/>
  <c r="F474" i="2"/>
  <c r="F473" i="2"/>
  <c r="F472" i="2"/>
  <c r="F471" i="2"/>
  <c r="F470" i="2"/>
  <c r="F461" i="2"/>
  <c r="F460" i="2"/>
  <c r="F459" i="2"/>
  <c r="F458" i="2"/>
  <c r="F457" i="2"/>
  <c r="F456" i="2"/>
  <c r="F455" i="2"/>
  <c r="F454" i="2"/>
  <c r="F453" i="2"/>
  <c r="F452" i="2"/>
  <c r="F451" i="2"/>
  <c r="F450" i="2"/>
  <c r="F449" i="2"/>
  <c r="F448" i="2"/>
  <c r="F447" i="2"/>
  <c r="F446" i="2"/>
  <c r="F445" i="2"/>
  <c r="F444" i="2"/>
  <c r="F443" i="2"/>
  <c r="F442" i="2"/>
  <c r="F441" i="2"/>
  <c r="F440" i="2"/>
  <c r="F439" i="2"/>
  <c r="M461" i="2"/>
  <c r="M460" i="2"/>
  <c r="M459" i="2"/>
  <c r="M458" i="2"/>
  <c r="M457" i="2"/>
  <c r="M456" i="2"/>
  <c r="M455" i="2"/>
  <c r="M454" i="2"/>
  <c r="M453" i="2"/>
  <c r="M452" i="2"/>
  <c r="M451" i="2"/>
  <c r="M450" i="2"/>
  <c r="M449" i="2"/>
  <c r="M448" i="2"/>
  <c r="M447" i="2"/>
  <c r="M446" i="2"/>
  <c r="M445" i="2"/>
  <c r="M444" i="2"/>
  <c r="M443" i="2"/>
  <c r="M442" i="2"/>
  <c r="M441" i="2"/>
  <c r="M440" i="2"/>
  <c r="M439" i="2"/>
  <c r="T461" i="2"/>
  <c r="T460" i="2"/>
  <c r="T459" i="2"/>
  <c r="T458" i="2"/>
  <c r="T457" i="2"/>
  <c r="T456" i="2"/>
  <c r="T455" i="2"/>
  <c r="T454" i="2"/>
  <c r="T453" i="2"/>
  <c r="T452" i="2"/>
  <c r="T451" i="2"/>
  <c r="T450" i="2"/>
  <c r="T449" i="2"/>
  <c r="T448" i="2"/>
  <c r="T447" i="2"/>
  <c r="T446" i="2"/>
  <c r="T445" i="2"/>
  <c r="T444" i="2"/>
  <c r="T443" i="2"/>
  <c r="T442" i="2"/>
  <c r="T441" i="2"/>
  <c r="T440" i="2"/>
  <c r="T439" i="2"/>
  <c r="T430" i="2"/>
  <c r="T429" i="2"/>
  <c r="T428" i="2"/>
  <c r="T427" i="2"/>
  <c r="T426" i="2"/>
  <c r="T425" i="2"/>
  <c r="T424" i="2"/>
  <c r="T423" i="2"/>
  <c r="T422" i="2"/>
  <c r="T421" i="2"/>
  <c r="T420" i="2"/>
  <c r="T419" i="2"/>
  <c r="T418" i="2"/>
  <c r="T417" i="2"/>
  <c r="T416" i="2"/>
  <c r="T415" i="2"/>
  <c r="T414" i="2"/>
  <c r="T413" i="2"/>
  <c r="T412" i="2"/>
  <c r="T411" i="2"/>
  <c r="T410" i="2"/>
  <c r="T409" i="2"/>
  <c r="T408" i="2"/>
  <c r="M430" i="2"/>
  <c r="M429" i="2"/>
  <c r="M428" i="2"/>
  <c r="M427" i="2"/>
  <c r="M426" i="2"/>
  <c r="M425" i="2"/>
  <c r="M424" i="2"/>
  <c r="M423" i="2"/>
  <c r="M422" i="2"/>
  <c r="M421" i="2"/>
  <c r="M420" i="2"/>
  <c r="M419" i="2"/>
  <c r="M418" i="2"/>
  <c r="M417" i="2"/>
  <c r="M416" i="2"/>
  <c r="M415" i="2"/>
  <c r="M414" i="2"/>
  <c r="M413" i="2"/>
  <c r="M412" i="2"/>
  <c r="M411" i="2"/>
  <c r="M410" i="2"/>
  <c r="M409" i="2"/>
  <c r="M408" i="2"/>
  <c r="F430" i="2"/>
  <c r="F429" i="2"/>
  <c r="F428" i="2"/>
  <c r="F427" i="2"/>
  <c r="F426" i="2"/>
  <c r="F425" i="2"/>
  <c r="F424" i="2"/>
  <c r="F423" i="2"/>
  <c r="F422" i="2"/>
  <c r="F421" i="2"/>
  <c r="F420" i="2"/>
  <c r="F419" i="2"/>
  <c r="F418" i="2"/>
  <c r="F417" i="2"/>
  <c r="F416" i="2"/>
  <c r="F415" i="2"/>
  <c r="F414" i="2"/>
  <c r="F413" i="2"/>
  <c r="F412" i="2"/>
  <c r="F411" i="2"/>
  <c r="F410" i="2"/>
  <c r="F409" i="2"/>
  <c r="F408" i="2"/>
  <c r="E5" i="2"/>
  <c r="B5" i="2"/>
  <c r="F5" i="2"/>
  <c r="C5" i="2"/>
  <c r="B807" i="2"/>
  <c r="B776" i="2"/>
  <c r="B745" i="2"/>
  <c r="B714" i="2"/>
  <c r="B683" i="2"/>
  <c r="B652" i="2"/>
  <c r="B621" i="2"/>
  <c r="B590" i="2"/>
  <c r="B559" i="2"/>
  <c r="B528" i="2"/>
  <c r="B497" i="2"/>
  <c r="B466" i="2"/>
  <c r="B435" i="2"/>
  <c r="B404" i="2"/>
  <c r="B373" i="2"/>
  <c r="B342" i="2"/>
  <c r="B311" i="2"/>
  <c r="B280" i="2"/>
  <c r="B249" i="2"/>
  <c r="B218" i="2"/>
  <c r="B187" i="2"/>
  <c r="B156" i="2"/>
  <c r="B125" i="2"/>
  <c r="B94" i="2"/>
  <c r="B63" i="2"/>
  <c r="B32" i="2"/>
  <c r="B1" i="2"/>
  <c r="F1373" i="2" l="1"/>
  <c r="E1373" i="2"/>
  <c r="D1374" i="2"/>
  <c r="F1372" i="2"/>
  <c r="E1370" i="2"/>
  <c r="F1371" i="2"/>
  <c r="E1369" i="2"/>
  <c r="F1341" i="2"/>
  <c r="E1341" i="2"/>
  <c r="D1342" i="2"/>
  <c r="B1341" i="2"/>
  <c r="F1340" i="2"/>
  <c r="F1339" i="2"/>
  <c r="E1338" i="2"/>
  <c r="D1311" i="2"/>
  <c r="F1310" i="2"/>
  <c r="E1310" i="2"/>
  <c r="F1309" i="2"/>
  <c r="E1308" i="2"/>
  <c r="E1276" i="2"/>
  <c r="D1277" i="2"/>
  <c r="B1276" i="2"/>
  <c r="B1245" i="2"/>
  <c r="C1245" i="2"/>
  <c r="D1246" i="2"/>
  <c r="E1245" i="2"/>
  <c r="F1215" i="2"/>
  <c r="E1215" i="2"/>
  <c r="D1216" i="2"/>
  <c r="E1214" i="2"/>
  <c r="E1184" i="2"/>
  <c r="C1184" i="2"/>
  <c r="F1184" i="2"/>
  <c r="B1184" i="2"/>
  <c r="D1185" i="2"/>
  <c r="F1183" i="2"/>
  <c r="E1183" i="2"/>
  <c r="E1153" i="2"/>
  <c r="D1154" i="2"/>
  <c r="C1153" i="2"/>
  <c r="B1153" i="2"/>
  <c r="E1152" i="2"/>
  <c r="F1152" i="2"/>
  <c r="F1121" i="2"/>
  <c r="E1121" i="2"/>
  <c r="B1121" i="2"/>
  <c r="D1122" i="2"/>
  <c r="F1091" i="2"/>
  <c r="E1091" i="2"/>
  <c r="D1092" i="2"/>
  <c r="C1091" i="2"/>
  <c r="B1091" i="2"/>
  <c r="B1090" i="2"/>
  <c r="E1090" i="2"/>
  <c r="B1060" i="2"/>
  <c r="B1059" i="2"/>
  <c r="C1060" i="2"/>
  <c r="D1061" i="2"/>
  <c r="E1059" i="2"/>
  <c r="E1060" i="2"/>
  <c r="F1028" i="2"/>
  <c r="D1029" i="2"/>
  <c r="B1000" i="2"/>
  <c r="D1001" i="2"/>
  <c r="E1000" i="2"/>
  <c r="F1000" i="2"/>
  <c r="E998" i="2"/>
  <c r="D968" i="2"/>
  <c r="C967" i="2"/>
  <c r="B967" i="2"/>
  <c r="F967" i="2"/>
  <c r="F966" i="2"/>
  <c r="E966" i="2"/>
  <c r="E967" i="2"/>
  <c r="E937" i="2"/>
  <c r="F937" i="2"/>
  <c r="D938" i="2"/>
  <c r="C937" i="2"/>
  <c r="B937" i="2"/>
  <c r="B936" i="2"/>
  <c r="F936" i="2"/>
  <c r="E935" i="2"/>
  <c r="F906" i="2"/>
  <c r="D907" i="2"/>
  <c r="F905" i="2"/>
  <c r="E905" i="2"/>
  <c r="E904" i="2"/>
  <c r="D875" i="2"/>
  <c r="F874" i="2"/>
  <c r="E874" i="2"/>
  <c r="C874" i="2"/>
  <c r="B874" i="2"/>
  <c r="E873" i="2"/>
  <c r="F873" i="2"/>
  <c r="E842" i="2"/>
  <c r="F842" i="2"/>
  <c r="B842" i="2"/>
  <c r="D843" i="2"/>
  <c r="R812" i="2"/>
  <c r="K813" i="2"/>
  <c r="M812" i="2"/>
  <c r="R782" i="2"/>
  <c r="T781" i="2"/>
  <c r="K781" i="2"/>
  <c r="R751" i="2"/>
  <c r="T750" i="2"/>
  <c r="K751" i="2"/>
  <c r="M750" i="2"/>
  <c r="K720" i="2"/>
  <c r="M719" i="2"/>
  <c r="R689" i="2"/>
  <c r="T688" i="2"/>
  <c r="K689" i="2"/>
  <c r="M688" i="2"/>
  <c r="M687" i="2"/>
  <c r="M657" i="2"/>
  <c r="K658" i="2"/>
  <c r="M656" i="2"/>
  <c r="R626" i="2"/>
  <c r="K626" i="2"/>
  <c r="D626" i="2"/>
  <c r="R595" i="2"/>
  <c r="K596" i="2"/>
  <c r="M595" i="2"/>
  <c r="D595" i="2"/>
  <c r="D565" i="2"/>
  <c r="F564" i="2"/>
  <c r="F563" i="2"/>
  <c r="R534" i="2"/>
  <c r="T533" i="2"/>
  <c r="T532" i="2"/>
  <c r="M532" i="2"/>
  <c r="D6" i="2"/>
  <c r="F1374" i="2" l="1"/>
  <c r="C1374" i="2"/>
  <c r="B1374" i="2"/>
  <c r="E1374" i="2"/>
  <c r="D1375" i="2"/>
  <c r="F1342" i="2"/>
  <c r="D1343" i="2"/>
  <c r="E1342" i="2"/>
  <c r="C1342" i="2"/>
  <c r="B1342" i="2"/>
  <c r="F1311" i="2"/>
  <c r="E1311" i="2"/>
  <c r="C1311" i="2"/>
  <c r="B1311" i="2"/>
  <c r="D1312" i="2"/>
  <c r="F1277" i="2"/>
  <c r="E1277" i="2"/>
  <c r="C1277" i="2"/>
  <c r="B1277" i="2"/>
  <c r="D1278" i="2"/>
  <c r="E1246" i="2"/>
  <c r="F1246" i="2"/>
  <c r="D1247" i="2"/>
  <c r="C1246" i="2"/>
  <c r="B1246" i="2"/>
  <c r="F1216" i="2"/>
  <c r="E1216" i="2"/>
  <c r="B1216" i="2"/>
  <c r="C1216" i="2"/>
  <c r="D1217" i="2"/>
  <c r="F1185" i="2"/>
  <c r="E1185" i="2"/>
  <c r="C1185" i="2"/>
  <c r="B1185" i="2"/>
  <c r="D1186" i="2"/>
  <c r="D1155" i="2"/>
  <c r="C1154" i="2"/>
  <c r="B1154" i="2"/>
  <c r="F1154" i="2"/>
  <c r="E1154" i="2"/>
  <c r="F1122" i="2"/>
  <c r="D1123" i="2"/>
  <c r="C1122" i="2"/>
  <c r="B1122" i="2"/>
  <c r="E1122" i="2"/>
  <c r="F1092" i="2"/>
  <c r="D1093" i="2"/>
  <c r="C1092" i="2"/>
  <c r="B1092" i="2"/>
  <c r="E1092" i="2"/>
  <c r="F1061" i="2"/>
  <c r="E1061" i="2"/>
  <c r="B1061" i="2"/>
  <c r="D1062" i="2"/>
  <c r="C1061" i="2"/>
  <c r="E1029" i="2"/>
  <c r="B1029" i="2"/>
  <c r="C1029" i="2"/>
  <c r="D1030" i="2"/>
  <c r="F1029" i="2"/>
  <c r="F1001" i="2"/>
  <c r="E1001" i="2"/>
  <c r="C1001" i="2"/>
  <c r="B1001" i="2"/>
  <c r="D1002" i="2"/>
  <c r="D969" i="2"/>
  <c r="C968" i="2"/>
  <c r="F968" i="2"/>
  <c r="E968" i="2"/>
  <c r="B968" i="2"/>
  <c r="F938" i="2"/>
  <c r="D939" i="2"/>
  <c r="C938" i="2"/>
  <c r="E938" i="2"/>
  <c r="B938" i="2"/>
  <c r="F907" i="2"/>
  <c r="E907" i="2"/>
  <c r="C907" i="2"/>
  <c r="B907" i="2"/>
  <c r="D908" i="2"/>
  <c r="B875" i="2"/>
  <c r="D876" i="2"/>
  <c r="F875" i="2"/>
  <c r="E875" i="2"/>
  <c r="C875" i="2"/>
  <c r="F843" i="2"/>
  <c r="D844" i="2"/>
  <c r="C843" i="2"/>
  <c r="B843" i="2"/>
  <c r="E843" i="2"/>
  <c r="R813" i="2"/>
  <c r="T812" i="2"/>
  <c r="K814" i="2"/>
  <c r="M813" i="2"/>
  <c r="R783" i="2"/>
  <c r="T782" i="2"/>
  <c r="M781" i="2"/>
  <c r="K782" i="2"/>
  <c r="R752" i="2"/>
  <c r="T751" i="2"/>
  <c r="K752" i="2"/>
  <c r="M751" i="2"/>
  <c r="M720" i="2"/>
  <c r="K721" i="2"/>
  <c r="R690" i="2"/>
  <c r="T689" i="2"/>
  <c r="K690" i="2"/>
  <c r="M689" i="2"/>
  <c r="K659" i="2"/>
  <c r="M658" i="2"/>
  <c r="T626" i="2"/>
  <c r="R627" i="2"/>
  <c r="K627" i="2"/>
  <c r="M626" i="2"/>
  <c r="F626" i="2"/>
  <c r="D627" i="2"/>
  <c r="R596" i="2"/>
  <c r="T595" i="2"/>
  <c r="K597" i="2"/>
  <c r="M596" i="2"/>
  <c r="F595" i="2"/>
  <c r="D596" i="2"/>
  <c r="F565" i="2"/>
  <c r="D566" i="2"/>
  <c r="R535" i="2"/>
  <c r="T534" i="2"/>
  <c r="M533" i="2"/>
  <c r="E6" i="2"/>
  <c r="B6" i="2"/>
  <c r="F6" i="2"/>
  <c r="C6" i="2"/>
  <c r="D7" i="2"/>
  <c r="C1375" i="2" l="1"/>
  <c r="D1376" i="2"/>
  <c r="F1375" i="2"/>
  <c r="E1375" i="2"/>
  <c r="B1375" i="2"/>
  <c r="F1343" i="2"/>
  <c r="E1343" i="2"/>
  <c r="C1343" i="2"/>
  <c r="B1343" i="2"/>
  <c r="D1344" i="2"/>
  <c r="F1312" i="2"/>
  <c r="E1312" i="2"/>
  <c r="C1312" i="2"/>
  <c r="B1312" i="2"/>
  <c r="D1313" i="2"/>
  <c r="D1279" i="2"/>
  <c r="E1278" i="2"/>
  <c r="F1278" i="2"/>
  <c r="C1278" i="2"/>
  <c r="B1278" i="2"/>
  <c r="F1247" i="2"/>
  <c r="E1247" i="2"/>
  <c r="D1248" i="2"/>
  <c r="C1247" i="2"/>
  <c r="B1247" i="2"/>
  <c r="D1218" i="2"/>
  <c r="B1217" i="2"/>
  <c r="F1217" i="2"/>
  <c r="E1217" i="2"/>
  <c r="C1217" i="2"/>
  <c r="D1187" i="2"/>
  <c r="C1186" i="2"/>
  <c r="F1186" i="2"/>
  <c r="E1186" i="2"/>
  <c r="B1186" i="2"/>
  <c r="E1155" i="2"/>
  <c r="D1156" i="2"/>
  <c r="C1155" i="2"/>
  <c r="B1155" i="2"/>
  <c r="F1155" i="2"/>
  <c r="D1124" i="2"/>
  <c r="C1123" i="2"/>
  <c r="F1123" i="2"/>
  <c r="B1123" i="2"/>
  <c r="E1123" i="2"/>
  <c r="E1093" i="2"/>
  <c r="D1094" i="2"/>
  <c r="C1093" i="2"/>
  <c r="B1093" i="2"/>
  <c r="F1093" i="2"/>
  <c r="C1062" i="2"/>
  <c r="B1062" i="2"/>
  <c r="F1062" i="2"/>
  <c r="E1062" i="2"/>
  <c r="D1063" i="2"/>
  <c r="E1030" i="2"/>
  <c r="F1030" i="2"/>
  <c r="D1031" i="2"/>
  <c r="B1030" i="2"/>
  <c r="C1030" i="2"/>
  <c r="E1002" i="2"/>
  <c r="F1002" i="2"/>
  <c r="C1002" i="2"/>
  <c r="B1002" i="2"/>
  <c r="D1003" i="2"/>
  <c r="E969" i="2"/>
  <c r="B969" i="2"/>
  <c r="D970" i="2"/>
  <c r="F969" i="2"/>
  <c r="C969" i="2"/>
  <c r="E939" i="2"/>
  <c r="F939" i="2"/>
  <c r="B939" i="2"/>
  <c r="C939" i="2"/>
  <c r="D940" i="2"/>
  <c r="D909" i="2"/>
  <c r="F908" i="2"/>
  <c r="E908" i="2"/>
  <c r="C908" i="2"/>
  <c r="B908" i="2"/>
  <c r="D877" i="2"/>
  <c r="F876" i="2"/>
  <c r="E876" i="2"/>
  <c r="C876" i="2"/>
  <c r="B876" i="2"/>
  <c r="D845" i="2"/>
  <c r="C844" i="2"/>
  <c r="B844" i="2"/>
  <c r="F844" i="2"/>
  <c r="E844" i="2"/>
  <c r="R814" i="2"/>
  <c r="T813" i="2"/>
  <c r="K815" i="2"/>
  <c r="M814" i="2"/>
  <c r="R784" i="2"/>
  <c r="T783" i="2"/>
  <c r="M782" i="2"/>
  <c r="K783" i="2"/>
  <c r="T752" i="2"/>
  <c r="R753" i="2"/>
  <c r="K753" i="2"/>
  <c r="M752" i="2"/>
  <c r="M721" i="2"/>
  <c r="K722" i="2"/>
  <c r="R691" i="2"/>
  <c r="T690" i="2"/>
  <c r="K691" i="2"/>
  <c r="M690" i="2"/>
  <c r="M659" i="2"/>
  <c r="K660" i="2"/>
  <c r="T627" i="2"/>
  <c r="R628" i="2"/>
  <c r="M627" i="2"/>
  <c r="K628" i="2"/>
  <c r="D628" i="2"/>
  <c r="F627" i="2"/>
  <c r="R597" i="2"/>
  <c r="T596" i="2"/>
  <c r="K598" i="2"/>
  <c r="M597" i="2"/>
  <c r="D597" i="2"/>
  <c r="F596" i="2"/>
  <c r="D567" i="2"/>
  <c r="F566" i="2"/>
  <c r="R536" i="2"/>
  <c r="T535" i="2"/>
  <c r="M534" i="2"/>
  <c r="E7" i="2"/>
  <c r="B7" i="2"/>
  <c r="F7" i="2"/>
  <c r="C7" i="2"/>
  <c r="D8" i="2"/>
  <c r="D1377" i="2" l="1"/>
  <c r="F1376" i="2"/>
  <c r="C1376" i="2"/>
  <c r="E1376" i="2"/>
  <c r="B1376" i="2"/>
  <c r="D1345" i="2"/>
  <c r="B1344" i="2"/>
  <c r="F1344" i="2"/>
  <c r="E1344" i="2"/>
  <c r="C1344" i="2"/>
  <c r="D1314" i="2"/>
  <c r="E1313" i="2"/>
  <c r="F1313" i="2"/>
  <c r="C1313" i="2"/>
  <c r="B1313" i="2"/>
  <c r="E1279" i="2"/>
  <c r="C1279" i="2"/>
  <c r="B1279" i="2"/>
  <c r="D1280" i="2"/>
  <c r="F1279" i="2"/>
  <c r="D1249" i="2"/>
  <c r="C1248" i="2"/>
  <c r="B1248" i="2"/>
  <c r="F1248" i="2"/>
  <c r="E1248" i="2"/>
  <c r="E1218" i="2"/>
  <c r="B1218" i="2"/>
  <c r="F1218" i="2"/>
  <c r="C1218" i="2"/>
  <c r="D1219" i="2"/>
  <c r="C1187" i="2"/>
  <c r="B1187" i="2"/>
  <c r="E1187" i="2"/>
  <c r="D1188" i="2"/>
  <c r="F1187" i="2"/>
  <c r="F1156" i="2"/>
  <c r="E1156" i="2"/>
  <c r="D1157" i="2"/>
  <c r="C1156" i="2"/>
  <c r="B1156" i="2"/>
  <c r="E1124" i="2"/>
  <c r="F1124" i="2"/>
  <c r="C1124" i="2"/>
  <c r="B1124" i="2"/>
  <c r="D1125" i="2"/>
  <c r="F1094" i="2"/>
  <c r="E1094" i="2"/>
  <c r="D1095" i="2"/>
  <c r="C1094" i="2"/>
  <c r="B1094" i="2"/>
  <c r="B1063" i="2"/>
  <c r="C1063" i="2"/>
  <c r="F1063" i="2"/>
  <c r="E1063" i="2"/>
  <c r="D1064" i="2"/>
  <c r="D1032" i="2"/>
  <c r="C1031" i="2"/>
  <c r="F1031" i="2"/>
  <c r="E1031" i="2"/>
  <c r="B1031" i="2"/>
  <c r="D1004" i="2"/>
  <c r="F1003" i="2"/>
  <c r="E1003" i="2"/>
  <c r="C1003" i="2"/>
  <c r="B1003" i="2"/>
  <c r="F970" i="2"/>
  <c r="E970" i="2"/>
  <c r="B970" i="2"/>
  <c r="D971" i="2"/>
  <c r="C970" i="2"/>
  <c r="F940" i="2"/>
  <c r="E940" i="2"/>
  <c r="D941" i="2"/>
  <c r="C940" i="2"/>
  <c r="B940" i="2"/>
  <c r="F909" i="2"/>
  <c r="E909" i="2"/>
  <c r="C909" i="2"/>
  <c r="B909" i="2"/>
  <c r="D910" i="2"/>
  <c r="B877" i="2"/>
  <c r="C877" i="2"/>
  <c r="D878" i="2"/>
  <c r="E877" i="2"/>
  <c r="F877" i="2"/>
  <c r="E845" i="2"/>
  <c r="F845" i="2"/>
  <c r="C845" i="2"/>
  <c r="B845" i="2"/>
  <c r="D846" i="2"/>
  <c r="T814" i="2"/>
  <c r="R815" i="2"/>
  <c r="K816" i="2"/>
  <c r="M815" i="2"/>
  <c r="R785" i="2"/>
  <c r="T784" i="2"/>
  <c r="M783" i="2"/>
  <c r="K784" i="2"/>
  <c r="R754" i="2"/>
  <c r="T753" i="2"/>
  <c r="K754" i="2"/>
  <c r="M753" i="2"/>
  <c r="K723" i="2"/>
  <c r="M722" i="2"/>
  <c r="R692" i="2"/>
  <c r="T691" i="2"/>
  <c r="K692" i="2"/>
  <c r="M691" i="2"/>
  <c r="M660" i="2"/>
  <c r="K661" i="2"/>
  <c r="T628" i="2"/>
  <c r="R629" i="2"/>
  <c r="K629" i="2"/>
  <c r="M628" i="2"/>
  <c r="D629" i="2"/>
  <c r="F628" i="2"/>
  <c r="R598" i="2"/>
  <c r="T597" i="2"/>
  <c r="K599" i="2"/>
  <c r="M598" i="2"/>
  <c r="D598" i="2"/>
  <c r="F597" i="2"/>
  <c r="D568" i="2"/>
  <c r="F567" i="2"/>
  <c r="R537" i="2"/>
  <c r="T536" i="2"/>
  <c r="M535" i="2"/>
  <c r="E8" i="2"/>
  <c r="B8" i="2"/>
  <c r="F8" i="2"/>
  <c r="C8" i="2"/>
  <c r="D9" i="2"/>
  <c r="B1377" i="2" l="1"/>
  <c r="E1377" i="2"/>
  <c r="C1377" i="2"/>
  <c r="D1378" i="2"/>
  <c r="F1377" i="2"/>
  <c r="D1346" i="2"/>
  <c r="F1345" i="2"/>
  <c r="E1345" i="2"/>
  <c r="C1345" i="2"/>
  <c r="B1345" i="2"/>
  <c r="E1314" i="2"/>
  <c r="C1314" i="2"/>
  <c r="B1314" i="2"/>
  <c r="D1315" i="2"/>
  <c r="F1314" i="2"/>
  <c r="C1280" i="2"/>
  <c r="F1280" i="2"/>
  <c r="E1280" i="2"/>
  <c r="B1280" i="2"/>
  <c r="D1281" i="2"/>
  <c r="C1249" i="2"/>
  <c r="D1250" i="2"/>
  <c r="B1249" i="2"/>
  <c r="F1249" i="2"/>
  <c r="E1249" i="2"/>
  <c r="D1220" i="2"/>
  <c r="B1219" i="2"/>
  <c r="F1219" i="2"/>
  <c r="E1219" i="2"/>
  <c r="C1219" i="2"/>
  <c r="F1188" i="2"/>
  <c r="E1188" i="2"/>
  <c r="C1188" i="2"/>
  <c r="D1189" i="2"/>
  <c r="B1188" i="2"/>
  <c r="F1157" i="2"/>
  <c r="E1157" i="2"/>
  <c r="B1157" i="2"/>
  <c r="D1158" i="2"/>
  <c r="C1157" i="2"/>
  <c r="F1125" i="2"/>
  <c r="E1125" i="2"/>
  <c r="B1125" i="2"/>
  <c r="D1126" i="2"/>
  <c r="C1125" i="2"/>
  <c r="F1095" i="2"/>
  <c r="E1095" i="2"/>
  <c r="C1095" i="2"/>
  <c r="B1095" i="2"/>
  <c r="D1096" i="2"/>
  <c r="D1065" i="2"/>
  <c r="E1064" i="2"/>
  <c r="C1064" i="2"/>
  <c r="B1064" i="2"/>
  <c r="F1064" i="2"/>
  <c r="E1032" i="2"/>
  <c r="C1032" i="2"/>
  <c r="B1032" i="2"/>
  <c r="F1032" i="2"/>
  <c r="D1033" i="2"/>
  <c r="E1004" i="2"/>
  <c r="C1004" i="2"/>
  <c r="B1004" i="2"/>
  <c r="D1005" i="2"/>
  <c r="F1004" i="2"/>
  <c r="F971" i="2"/>
  <c r="B971" i="2"/>
  <c r="E971" i="2"/>
  <c r="C971" i="2"/>
  <c r="D972" i="2"/>
  <c r="F941" i="2"/>
  <c r="D942" i="2"/>
  <c r="E941" i="2"/>
  <c r="C941" i="2"/>
  <c r="B941" i="2"/>
  <c r="D911" i="2"/>
  <c r="B910" i="2"/>
  <c r="C910" i="2"/>
  <c r="F910" i="2"/>
  <c r="E910" i="2"/>
  <c r="E878" i="2"/>
  <c r="C878" i="2"/>
  <c r="D879" i="2"/>
  <c r="F878" i="2"/>
  <c r="B878" i="2"/>
  <c r="F846" i="2"/>
  <c r="E846" i="2"/>
  <c r="D847" i="2"/>
  <c r="B846" i="2"/>
  <c r="C846" i="2"/>
  <c r="R816" i="2"/>
  <c r="T815" i="2"/>
  <c r="K817" i="2"/>
  <c r="M816" i="2"/>
  <c r="R786" i="2"/>
  <c r="T785" i="2"/>
  <c r="K785" i="2"/>
  <c r="M784" i="2"/>
  <c r="R755" i="2"/>
  <c r="T754" i="2"/>
  <c r="K755" i="2"/>
  <c r="M754" i="2"/>
  <c r="K724" i="2"/>
  <c r="M723" i="2"/>
  <c r="R693" i="2"/>
  <c r="T692" i="2"/>
  <c r="K693" i="2"/>
  <c r="M692" i="2"/>
  <c r="K662" i="2"/>
  <c r="M661" i="2"/>
  <c r="R630" i="2"/>
  <c r="T629" i="2"/>
  <c r="K630" i="2"/>
  <c r="M629" i="2"/>
  <c r="D630" i="2"/>
  <c r="F629" i="2"/>
  <c r="R599" i="2"/>
  <c r="T598" i="2"/>
  <c r="K600" i="2"/>
  <c r="M599" i="2"/>
  <c r="D599" i="2"/>
  <c r="F598" i="2"/>
  <c r="D569" i="2"/>
  <c r="F568" i="2"/>
  <c r="R538" i="2"/>
  <c r="T537" i="2"/>
  <c r="M536" i="2"/>
  <c r="E9" i="2"/>
  <c r="B9" i="2"/>
  <c r="F9" i="2"/>
  <c r="C9" i="2"/>
  <c r="D10" i="2"/>
  <c r="D1379" i="2" l="1"/>
  <c r="C1378" i="2"/>
  <c r="B1378" i="2"/>
  <c r="F1378" i="2"/>
  <c r="E1378" i="2"/>
  <c r="B1346" i="2"/>
  <c r="C1346" i="2"/>
  <c r="F1346" i="2"/>
  <c r="E1346" i="2"/>
  <c r="D1347" i="2"/>
  <c r="B1315" i="2"/>
  <c r="D1316" i="2"/>
  <c r="F1315" i="2"/>
  <c r="E1315" i="2"/>
  <c r="C1315" i="2"/>
  <c r="D1282" i="2"/>
  <c r="F1281" i="2"/>
  <c r="E1281" i="2"/>
  <c r="C1281" i="2"/>
  <c r="B1281" i="2"/>
  <c r="C1250" i="2"/>
  <c r="D1251" i="2"/>
  <c r="E1250" i="2"/>
  <c r="B1250" i="2"/>
  <c r="F1250" i="2"/>
  <c r="E1220" i="2"/>
  <c r="B1220" i="2"/>
  <c r="F1220" i="2"/>
  <c r="C1220" i="2"/>
  <c r="D1221" i="2"/>
  <c r="D1190" i="2"/>
  <c r="E1189" i="2"/>
  <c r="C1189" i="2"/>
  <c r="F1189" i="2"/>
  <c r="B1189" i="2"/>
  <c r="F1158" i="2"/>
  <c r="E1158" i="2"/>
  <c r="D1159" i="2"/>
  <c r="C1158" i="2"/>
  <c r="B1158" i="2"/>
  <c r="F1126" i="2"/>
  <c r="D1127" i="2"/>
  <c r="E1126" i="2"/>
  <c r="C1126" i="2"/>
  <c r="B1126" i="2"/>
  <c r="F1096" i="2"/>
  <c r="E1096" i="2"/>
  <c r="D1097" i="2"/>
  <c r="C1096" i="2"/>
  <c r="B1096" i="2"/>
  <c r="F1065" i="2"/>
  <c r="E1065" i="2"/>
  <c r="B1065" i="2"/>
  <c r="D1066" i="2"/>
  <c r="C1065" i="2"/>
  <c r="D1034" i="2"/>
  <c r="F1033" i="2"/>
  <c r="C1033" i="2"/>
  <c r="B1033" i="2"/>
  <c r="E1033" i="2"/>
  <c r="B1005" i="2"/>
  <c r="F1005" i="2"/>
  <c r="E1005" i="2"/>
  <c r="C1005" i="2"/>
  <c r="D1006" i="2"/>
  <c r="F972" i="2"/>
  <c r="B972" i="2"/>
  <c r="D973" i="2"/>
  <c r="E972" i="2"/>
  <c r="C972" i="2"/>
  <c r="F942" i="2"/>
  <c r="E942" i="2"/>
  <c r="C942" i="2"/>
  <c r="B942" i="2"/>
  <c r="D943" i="2"/>
  <c r="F911" i="2"/>
  <c r="E911" i="2"/>
  <c r="C911" i="2"/>
  <c r="B911" i="2"/>
  <c r="D912" i="2"/>
  <c r="F879" i="2"/>
  <c r="E879" i="2"/>
  <c r="B879" i="2"/>
  <c r="D880" i="2"/>
  <c r="C879" i="2"/>
  <c r="F847" i="2"/>
  <c r="E847" i="2"/>
  <c r="C847" i="2"/>
  <c r="B847" i="2"/>
  <c r="D848" i="2"/>
  <c r="R817" i="2"/>
  <c r="T816" i="2"/>
  <c r="M817" i="2"/>
  <c r="K818" i="2"/>
  <c r="T786" i="2"/>
  <c r="R787" i="2"/>
  <c r="K786" i="2"/>
  <c r="M785" i="2"/>
  <c r="R756" i="2"/>
  <c r="T755" i="2"/>
  <c r="K756" i="2"/>
  <c r="M755" i="2"/>
  <c r="M724" i="2"/>
  <c r="K725" i="2"/>
  <c r="T693" i="2"/>
  <c r="R694" i="2"/>
  <c r="K694" i="2"/>
  <c r="M693" i="2"/>
  <c r="M662" i="2"/>
  <c r="K663" i="2"/>
  <c r="R631" i="2"/>
  <c r="T630" i="2"/>
  <c r="K631" i="2"/>
  <c r="M630" i="2"/>
  <c r="D631" i="2"/>
  <c r="F630" i="2"/>
  <c r="R600" i="2"/>
  <c r="T599" i="2"/>
  <c r="M600" i="2"/>
  <c r="K601" i="2"/>
  <c r="D600" i="2"/>
  <c r="F599" i="2"/>
  <c r="F569" i="2"/>
  <c r="D570" i="2"/>
  <c r="R539" i="2"/>
  <c r="T538" i="2"/>
  <c r="M537" i="2"/>
  <c r="E10" i="2"/>
  <c r="F10" i="2"/>
  <c r="B10" i="2"/>
  <c r="C10" i="2"/>
  <c r="D11" i="2"/>
  <c r="D1380" i="2" l="1"/>
  <c r="C1379" i="2"/>
  <c r="B1379" i="2"/>
  <c r="F1379" i="2"/>
  <c r="E1379" i="2"/>
  <c r="D1348" i="2"/>
  <c r="C1347" i="2"/>
  <c r="B1347" i="2"/>
  <c r="F1347" i="2"/>
  <c r="E1347" i="2"/>
  <c r="D1317" i="2"/>
  <c r="C1316" i="2"/>
  <c r="B1316" i="2"/>
  <c r="F1316" i="2"/>
  <c r="E1316" i="2"/>
  <c r="F1282" i="2"/>
  <c r="E1282" i="2"/>
  <c r="C1282" i="2"/>
  <c r="B1282" i="2"/>
  <c r="D1283" i="2"/>
  <c r="D1252" i="2"/>
  <c r="B1251" i="2"/>
  <c r="F1251" i="2"/>
  <c r="E1251" i="2"/>
  <c r="C1251" i="2"/>
  <c r="D1222" i="2"/>
  <c r="B1221" i="2"/>
  <c r="F1221" i="2"/>
  <c r="E1221" i="2"/>
  <c r="C1221" i="2"/>
  <c r="F1190" i="2"/>
  <c r="E1190" i="2"/>
  <c r="C1190" i="2"/>
  <c r="B1190" i="2"/>
  <c r="D1191" i="2"/>
  <c r="F1159" i="2"/>
  <c r="E1159" i="2"/>
  <c r="C1159" i="2"/>
  <c r="D1160" i="2"/>
  <c r="B1159" i="2"/>
  <c r="C1127" i="2"/>
  <c r="B1127" i="2"/>
  <c r="D1128" i="2"/>
  <c r="F1127" i="2"/>
  <c r="E1127" i="2"/>
  <c r="F1097" i="2"/>
  <c r="D1098" i="2"/>
  <c r="E1097" i="2"/>
  <c r="B1097" i="2"/>
  <c r="C1097" i="2"/>
  <c r="F1066" i="2"/>
  <c r="D1067" i="2"/>
  <c r="C1066" i="2"/>
  <c r="B1066" i="2"/>
  <c r="E1066" i="2"/>
  <c r="C1034" i="2"/>
  <c r="D1035" i="2"/>
  <c r="B1034" i="2"/>
  <c r="F1034" i="2"/>
  <c r="E1034" i="2"/>
  <c r="D1007" i="2"/>
  <c r="C1006" i="2"/>
  <c r="B1006" i="2"/>
  <c r="F1006" i="2"/>
  <c r="E1006" i="2"/>
  <c r="F973" i="2"/>
  <c r="E973" i="2"/>
  <c r="C973" i="2"/>
  <c r="B973" i="2"/>
  <c r="D974" i="2"/>
  <c r="B943" i="2"/>
  <c r="E943" i="2"/>
  <c r="C943" i="2"/>
  <c r="D944" i="2"/>
  <c r="F943" i="2"/>
  <c r="B912" i="2"/>
  <c r="D913" i="2"/>
  <c r="F912" i="2"/>
  <c r="E912" i="2"/>
  <c r="C912" i="2"/>
  <c r="F880" i="2"/>
  <c r="E880" i="2"/>
  <c r="C880" i="2"/>
  <c r="B880" i="2"/>
  <c r="D881" i="2"/>
  <c r="D849" i="2"/>
  <c r="F848" i="2"/>
  <c r="B848" i="2"/>
  <c r="E848" i="2"/>
  <c r="C848" i="2"/>
  <c r="T817" i="2"/>
  <c r="R818" i="2"/>
  <c r="M818" i="2"/>
  <c r="K819" i="2"/>
  <c r="T787" i="2"/>
  <c r="R788" i="2"/>
  <c r="M786" i="2"/>
  <c r="K787" i="2"/>
  <c r="T756" i="2"/>
  <c r="R757" i="2"/>
  <c r="M756" i="2"/>
  <c r="K757" i="2"/>
  <c r="M725" i="2"/>
  <c r="K726" i="2"/>
  <c r="R695" i="2"/>
  <c r="T694" i="2"/>
  <c r="K695" i="2"/>
  <c r="M694" i="2"/>
  <c r="M663" i="2"/>
  <c r="K664" i="2"/>
  <c r="T631" i="2"/>
  <c r="R632" i="2"/>
  <c r="M631" i="2"/>
  <c r="K632" i="2"/>
  <c r="F631" i="2"/>
  <c r="D632" i="2"/>
  <c r="R601" i="2"/>
  <c r="T600" i="2"/>
  <c r="K602" i="2"/>
  <c r="M601" i="2"/>
  <c r="F600" i="2"/>
  <c r="D601" i="2"/>
  <c r="F570" i="2"/>
  <c r="D571" i="2"/>
  <c r="T539" i="2"/>
  <c r="R540" i="2"/>
  <c r="M538" i="2"/>
  <c r="E11" i="2"/>
  <c r="F11" i="2"/>
  <c r="B11" i="2"/>
  <c r="C11" i="2"/>
  <c r="D12" i="2"/>
  <c r="E1380" i="2" l="1"/>
  <c r="B1380" i="2"/>
  <c r="D1381" i="2"/>
  <c r="C1380" i="2"/>
  <c r="F1380" i="2"/>
  <c r="D1349" i="2"/>
  <c r="C1348" i="2"/>
  <c r="B1348" i="2"/>
  <c r="F1348" i="2"/>
  <c r="E1348" i="2"/>
  <c r="D1318" i="2"/>
  <c r="C1317" i="2"/>
  <c r="B1317" i="2"/>
  <c r="F1317" i="2"/>
  <c r="E1317" i="2"/>
  <c r="F1283" i="2"/>
  <c r="E1283" i="2"/>
  <c r="C1283" i="2"/>
  <c r="B1283" i="2"/>
  <c r="D1284" i="2"/>
  <c r="E1252" i="2"/>
  <c r="D1253" i="2"/>
  <c r="B1252" i="2"/>
  <c r="F1252" i="2"/>
  <c r="C1252" i="2"/>
  <c r="B1222" i="2"/>
  <c r="E1222" i="2"/>
  <c r="F1222" i="2"/>
  <c r="C1222" i="2"/>
  <c r="D1223" i="2"/>
  <c r="B1191" i="2"/>
  <c r="E1191" i="2"/>
  <c r="F1191" i="2"/>
  <c r="C1191" i="2"/>
  <c r="D1192" i="2"/>
  <c r="D1161" i="2"/>
  <c r="F1160" i="2"/>
  <c r="E1160" i="2"/>
  <c r="C1160" i="2"/>
  <c r="B1160" i="2"/>
  <c r="D1129" i="2"/>
  <c r="F1128" i="2"/>
  <c r="E1128" i="2"/>
  <c r="C1128" i="2"/>
  <c r="B1128" i="2"/>
  <c r="B1098" i="2"/>
  <c r="E1098" i="2"/>
  <c r="C1098" i="2"/>
  <c r="D1099" i="2"/>
  <c r="F1098" i="2"/>
  <c r="B1067" i="2"/>
  <c r="F1067" i="2"/>
  <c r="E1067" i="2"/>
  <c r="C1067" i="2"/>
  <c r="D1068" i="2"/>
  <c r="F1035" i="2"/>
  <c r="E1035" i="2"/>
  <c r="C1035" i="2"/>
  <c r="B1035" i="2"/>
  <c r="D1036" i="2"/>
  <c r="D1008" i="2"/>
  <c r="C1007" i="2"/>
  <c r="B1007" i="2"/>
  <c r="F1007" i="2"/>
  <c r="E1007" i="2"/>
  <c r="B974" i="2"/>
  <c r="C974" i="2"/>
  <c r="D975" i="2"/>
  <c r="F974" i="2"/>
  <c r="E974" i="2"/>
  <c r="D945" i="2"/>
  <c r="C944" i="2"/>
  <c r="B944" i="2"/>
  <c r="F944" i="2"/>
  <c r="E944" i="2"/>
  <c r="D914" i="2"/>
  <c r="C913" i="2"/>
  <c r="B913" i="2"/>
  <c r="F913" i="2"/>
  <c r="E913" i="2"/>
  <c r="B881" i="2"/>
  <c r="F881" i="2"/>
  <c r="E881" i="2"/>
  <c r="C881" i="2"/>
  <c r="D882" i="2"/>
  <c r="F849" i="2"/>
  <c r="E849" i="2"/>
  <c r="C849" i="2"/>
  <c r="B849" i="2"/>
  <c r="D850" i="2"/>
  <c r="R819" i="2"/>
  <c r="T818" i="2"/>
  <c r="M819" i="2"/>
  <c r="K820" i="2"/>
  <c r="T788" i="2"/>
  <c r="R789" i="2"/>
  <c r="M787" i="2"/>
  <c r="K788" i="2"/>
  <c r="T757" i="2"/>
  <c r="R758" i="2"/>
  <c r="M757" i="2"/>
  <c r="K758" i="2"/>
  <c r="M726" i="2"/>
  <c r="K727" i="2"/>
  <c r="R696" i="2"/>
  <c r="T695" i="2"/>
  <c r="K696" i="2"/>
  <c r="M695" i="2"/>
  <c r="M664" i="2"/>
  <c r="K665" i="2"/>
  <c r="T632" i="2"/>
  <c r="R633" i="2"/>
  <c r="M632" i="2"/>
  <c r="K633" i="2"/>
  <c r="F632" i="2"/>
  <c r="D633" i="2"/>
  <c r="R602" i="2"/>
  <c r="T601" i="2"/>
  <c r="M602" i="2"/>
  <c r="K603" i="2"/>
  <c r="F601" i="2"/>
  <c r="D602" i="2"/>
  <c r="F571" i="2"/>
  <c r="D572" i="2"/>
  <c r="T540" i="2"/>
  <c r="R541" i="2"/>
  <c r="M539" i="2"/>
  <c r="B12" i="2"/>
  <c r="E12" i="2"/>
  <c r="F12" i="2"/>
  <c r="C12" i="2"/>
  <c r="D13" i="2"/>
  <c r="F1381" i="2" l="1"/>
  <c r="D1382" i="2"/>
  <c r="C1381" i="2"/>
  <c r="B1381" i="2"/>
  <c r="E1381" i="2"/>
  <c r="E1349" i="2"/>
  <c r="D1350" i="2"/>
  <c r="C1349" i="2"/>
  <c r="B1349" i="2"/>
  <c r="F1349" i="2"/>
  <c r="E1318" i="2"/>
  <c r="D1319" i="2"/>
  <c r="C1318" i="2"/>
  <c r="B1318" i="2"/>
  <c r="F1318" i="2"/>
  <c r="B1284" i="2"/>
  <c r="C1284" i="2"/>
  <c r="D1285" i="2"/>
  <c r="F1284" i="2"/>
  <c r="E1284" i="2"/>
  <c r="B1253" i="2"/>
  <c r="E1253" i="2"/>
  <c r="D1254" i="2"/>
  <c r="F1253" i="2"/>
  <c r="C1253" i="2"/>
  <c r="D1224" i="2"/>
  <c r="C1223" i="2"/>
  <c r="B1223" i="2"/>
  <c r="F1223" i="2"/>
  <c r="E1223" i="2"/>
  <c r="D1193" i="2"/>
  <c r="C1192" i="2"/>
  <c r="B1192" i="2"/>
  <c r="E1192" i="2"/>
  <c r="F1192" i="2"/>
  <c r="D1162" i="2"/>
  <c r="F1161" i="2"/>
  <c r="E1161" i="2"/>
  <c r="C1161" i="2"/>
  <c r="B1161" i="2"/>
  <c r="B1129" i="2"/>
  <c r="F1129" i="2"/>
  <c r="E1129" i="2"/>
  <c r="C1129" i="2"/>
  <c r="D1130" i="2"/>
  <c r="D1100" i="2"/>
  <c r="C1099" i="2"/>
  <c r="B1099" i="2"/>
  <c r="F1099" i="2"/>
  <c r="E1099" i="2"/>
  <c r="D1069" i="2"/>
  <c r="C1068" i="2"/>
  <c r="B1068" i="2"/>
  <c r="E1068" i="2"/>
  <c r="F1068" i="2"/>
  <c r="B1036" i="2"/>
  <c r="D1037" i="2"/>
  <c r="E1036" i="2"/>
  <c r="C1036" i="2"/>
  <c r="F1036" i="2"/>
  <c r="E1008" i="2"/>
  <c r="D1009" i="2"/>
  <c r="C1008" i="2"/>
  <c r="B1008" i="2"/>
  <c r="F1008" i="2"/>
  <c r="D976" i="2"/>
  <c r="C975" i="2"/>
  <c r="B975" i="2"/>
  <c r="E975" i="2"/>
  <c r="F975" i="2"/>
  <c r="D946" i="2"/>
  <c r="C945" i="2"/>
  <c r="B945" i="2"/>
  <c r="F945" i="2"/>
  <c r="E945" i="2"/>
  <c r="D915" i="2"/>
  <c r="C914" i="2"/>
  <c r="B914" i="2"/>
  <c r="F914" i="2"/>
  <c r="E914" i="2"/>
  <c r="D883" i="2"/>
  <c r="C882" i="2"/>
  <c r="B882" i="2"/>
  <c r="F882" i="2"/>
  <c r="E882" i="2"/>
  <c r="B850" i="2"/>
  <c r="D851" i="2"/>
  <c r="F850" i="2"/>
  <c r="E850" i="2"/>
  <c r="C850" i="2"/>
  <c r="T819" i="2"/>
  <c r="R820" i="2"/>
  <c r="M820" i="2"/>
  <c r="K821" i="2"/>
  <c r="T789" i="2"/>
  <c r="R790" i="2"/>
  <c r="M788" i="2"/>
  <c r="K789" i="2"/>
  <c r="T758" i="2"/>
  <c r="R759" i="2"/>
  <c r="M758" i="2"/>
  <c r="K759" i="2"/>
  <c r="M727" i="2"/>
  <c r="K728" i="2"/>
  <c r="R697" i="2"/>
  <c r="T696" i="2"/>
  <c r="K697" i="2"/>
  <c r="M696" i="2"/>
  <c r="K666" i="2"/>
  <c r="M665" i="2"/>
  <c r="T633" i="2"/>
  <c r="R634" i="2"/>
  <c r="K634" i="2"/>
  <c r="M633" i="2"/>
  <c r="F633" i="2"/>
  <c r="D634" i="2"/>
  <c r="R603" i="2"/>
  <c r="T602" i="2"/>
  <c r="M603" i="2"/>
  <c r="K604" i="2"/>
  <c r="D603" i="2"/>
  <c r="F602" i="2"/>
  <c r="F572" i="2"/>
  <c r="D573" i="2"/>
  <c r="T541" i="2"/>
  <c r="R542" i="2"/>
  <c r="M540" i="2"/>
  <c r="E13" i="2"/>
  <c r="F13" i="2"/>
  <c r="C13" i="2"/>
  <c r="B13" i="2"/>
  <c r="D14" i="2"/>
  <c r="C1382" i="2" l="1"/>
  <c r="B1382" i="2"/>
  <c r="F1382" i="2"/>
  <c r="E1382" i="2"/>
  <c r="D1383" i="2"/>
  <c r="F1350" i="2"/>
  <c r="C1350" i="2"/>
  <c r="E1350" i="2"/>
  <c r="D1351" i="2"/>
  <c r="B1350" i="2"/>
  <c r="F1319" i="2"/>
  <c r="E1319" i="2"/>
  <c r="D1320" i="2"/>
  <c r="C1319" i="2"/>
  <c r="B1319" i="2"/>
  <c r="D1286" i="2"/>
  <c r="C1285" i="2"/>
  <c r="B1285" i="2"/>
  <c r="F1285" i="2"/>
  <c r="E1285" i="2"/>
  <c r="D1255" i="2"/>
  <c r="C1254" i="2"/>
  <c r="E1254" i="2"/>
  <c r="B1254" i="2"/>
  <c r="F1254" i="2"/>
  <c r="D1225" i="2"/>
  <c r="C1224" i="2"/>
  <c r="B1224" i="2"/>
  <c r="E1224" i="2"/>
  <c r="F1224" i="2"/>
  <c r="C1193" i="2"/>
  <c r="B1193" i="2"/>
  <c r="D1194" i="2"/>
  <c r="F1193" i="2"/>
  <c r="E1193" i="2"/>
  <c r="C1162" i="2"/>
  <c r="B1162" i="2"/>
  <c r="F1162" i="2"/>
  <c r="E1162" i="2"/>
  <c r="D1163" i="2"/>
  <c r="D1131" i="2"/>
  <c r="C1130" i="2"/>
  <c r="B1130" i="2"/>
  <c r="F1130" i="2"/>
  <c r="E1130" i="2"/>
  <c r="B1100" i="2"/>
  <c r="D1101" i="2"/>
  <c r="C1100" i="2"/>
  <c r="F1100" i="2"/>
  <c r="E1100" i="2"/>
  <c r="D1070" i="2"/>
  <c r="C1069" i="2"/>
  <c r="B1069" i="2"/>
  <c r="F1069" i="2"/>
  <c r="E1069" i="2"/>
  <c r="D1038" i="2"/>
  <c r="C1037" i="2"/>
  <c r="B1037" i="2"/>
  <c r="E1037" i="2"/>
  <c r="F1037" i="2"/>
  <c r="F1009" i="2"/>
  <c r="E1009" i="2"/>
  <c r="D1010" i="2"/>
  <c r="C1009" i="2"/>
  <c r="B1009" i="2"/>
  <c r="D977" i="2"/>
  <c r="C976" i="2"/>
  <c r="B976" i="2"/>
  <c r="F976" i="2"/>
  <c r="E976" i="2"/>
  <c r="E946" i="2"/>
  <c r="B946" i="2"/>
  <c r="D947" i="2"/>
  <c r="C946" i="2"/>
  <c r="F946" i="2"/>
  <c r="E915" i="2"/>
  <c r="D916" i="2"/>
  <c r="C915" i="2"/>
  <c r="B915" i="2"/>
  <c r="F915" i="2"/>
  <c r="D884" i="2"/>
  <c r="C883" i="2"/>
  <c r="B883" i="2"/>
  <c r="F883" i="2"/>
  <c r="E883" i="2"/>
  <c r="D852" i="2"/>
  <c r="C851" i="2"/>
  <c r="B851" i="2"/>
  <c r="F851" i="2"/>
  <c r="E851" i="2"/>
  <c r="T820" i="2"/>
  <c r="R821" i="2"/>
  <c r="M821" i="2"/>
  <c r="K822" i="2"/>
  <c r="T790" i="2"/>
  <c r="R791" i="2"/>
  <c r="M789" i="2"/>
  <c r="K790" i="2"/>
  <c r="T759" i="2"/>
  <c r="R760" i="2"/>
  <c r="M759" i="2"/>
  <c r="K760" i="2"/>
  <c r="K729" i="2"/>
  <c r="M728" i="2"/>
  <c r="R698" i="2"/>
  <c r="T697" i="2"/>
  <c r="K698" i="2"/>
  <c r="M697" i="2"/>
  <c r="M666" i="2"/>
  <c r="K667" i="2"/>
  <c r="T634" i="2"/>
  <c r="R635" i="2"/>
  <c r="M634" i="2"/>
  <c r="K635" i="2"/>
  <c r="F634" i="2"/>
  <c r="D635" i="2"/>
  <c r="R604" i="2"/>
  <c r="T603" i="2"/>
  <c r="M604" i="2"/>
  <c r="K605" i="2"/>
  <c r="F603" i="2"/>
  <c r="D604" i="2"/>
  <c r="F573" i="2"/>
  <c r="D574" i="2"/>
  <c r="T542" i="2"/>
  <c r="R543" i="2"/>
  <c r="M541" i="2"/>
  <c r="F14" i="2"/>
  <c r="B14" i="2"/>
  <c r="E14" i="2"/>
  <c r="C14" i="2"/>
  <c r="D15" i="2"/>
  <c r="E1383" i="2" l="1"/>
  <c r="D1384" i="2"/>
  <c r="F1383" i="2"/>
  <c r="C1383" i="2"/>
  <c r="B1383" i="2"/>
  <c r="D1352" i="2"/>
  <c r="C1351" i="2"/>
  <c r="F1351" i="2"/>
  <c r="B1351" i="2"/>
  <c r="E1351" i="2"/>
  <c r="F1320" i="2"/>
  <c r="E1320" i="2"/>
  <c r="D1321" i="2"/>
  <c r="C1320" i="2"/>
  <c r="B1320" i="2"/>
  <c r="D1287" i="2"/>
  <c r="C1286" i="2"/>
  <c r="B1286" i="2"/>
  <c r="F1286" i="2"/>
  <c r="E1286" i="2"/>
  <c r="E1255" i="2"/>
  <c r="D1256" i="2"/>
  <c r="C1255" i="2"/>
  <c r="B1255" i="2"/>
  <c r="F1255" i="2"/>
  <c r="E1225" i="2"/>
  <c r="B1225" i="2"/>
  <c r="D1226" i="2"/>
  <c r="C1225" i="2"/>
  <c r="F1225" i="2"/>
  <c r="E1194" i="2"/>
  <c r="D1195" i="2"/>
  <c r="C1194" i="2"/>
  <c r="B1194" i="2"/>
  <c r="F1194" i="2"/>
  <c r="D1164" i="2"/>
  <c r="F1163" i="2"/>
  <c r="E1163" i="2"/>
  <c r="C1163" i="2"/>
  <c r="B1163" i="2"/>
  <c r="B1131" i="2"/>
  <c r="D1132" i="2"/>
  <c r="C1131" i="2"/>
  <c r="F1131" i="2"/>
  <c r="E1131" i="2"/>
  <c r="E1101" i="2"/>
  <c r="B1101" i="2"/>
  <c r="D1102" i="2"/>
  <c r="C1101" i="2"/>
  <c r="F1101" i="2"/>
  <c r="E1070" i="2"/>
  <c r="C1070" i="2"/>
  <c r="B1070" i="2"/>
  <c r="D1071" i="2"/>
  <c r="F1070" i="2"/>
  <c r="B1038" i="2"/>
  <c r="D1039" i="2"/>
  <c r="C1038" i="2"/>
  <c r="F1038" i="2"/>
  <c r="E1038" i="2"/>
  <c r="F1010" i="2"/>
  <c r="E1010" i="2"/>
  <c r="D1011" i="2"/>
  <c r="C1010" i="2"/>
  <c r="B1010" i="2"/>
  <c r="E977" i="2"/>
  <c r="D978" i="2"/>
  <c r="C977" i="2"/>
  <c r="B977" i="2"/>
  <c r="F977" i="2"/>
  <c r="F947" i="2"/>
  <c r="E947" i="2"/>
  <c r="B947" i="2"/>
  <c r="C947" i="2"/>
  <c r="D948" i="2"/>
  <c r="F916" i="2"/>
  <c r="E916" i="2"/>
  <c r="C916" i="2"/>
  <c r="D917" i="2"/>
  <c r="B916" i="2"/>
  <c r="E884" i="2"/>
  <c r="C884" i="2"/>
  <c r="D885" i="2"/>
  <c r="B884" i="2"/>
  <c r="F884" i="2"/>
  <c r="D853" i="2"/>
  <c r="B852" i="2"/>
  <c r="C852" i="2"/>
  <c r="F852" i="2"/>
  <c r="E852" i="2"/>
  <c r="T821" i="2"/>
  <c r="R822" i="2"/>
  <c r="M822" i="2"/>
  <c r="K823" i="2"/>
  <c r="T791" i="2"/>
  <c r="R792" i="2"/>
  <c r="M790" i="2"/>
  <c r="K791" i="2"/>
  <c r="T760" i="2"/>
  <c r="R761" i="2"/>
  <c r="M760" i="2"/>
  <c r="K761" i="2"/>
  <c r="K730" i="2"/>
  <c r="M729" i="2"/>
  <c r="R699" i="2"/>
  <c r="T698" i="2"/>
  <c r="K699" i="2"/>
  <c r="M698" i="2"/>
  <c r="M667" i="2"/>
  <c r="K668" i="2"/>
  <c r="T635" i="2"/>
  <c r="R636" i="2"/>
  <c r="K636" i="2"/>
  <c r="M635" i="2"/>
  <c r="F635" i="2"/>
  <c r="D636" i="2"/>
  <c r="T604" i="2"/>
  <c r="R605" i="2"/>
  <c r="M605" i="2"/>
  <c r="K606" i="2"/>
  <c r="F604" i="2"/>
  <c r="D605" i="2"/>
  <c r="F574" i="2"/>
  <c r="D575" i="2"/>
  <c r="T543" i="2"/>
  <c r="R544" i="2"/>
  <c r="M542" i="2"/>
  <c r="B15" i="2"/>
  <c r="E15" i="2"/>
  <c r="C15" i="2"/>
  <c r="F15" i="2"/>
  <c r="D16" i="2"/>
  <c r="F1384" i="2" l="1"/>
  <c r="C1384" i="2"/>
  <c r="B1384" i="2"/>
  <c r="E1384" i="2"/>
  <c r="D1385" i="2"/>
  <c r="E1352" i="2"/>
  <c r="C1352" i="2"/>
  <c r="D1353" i="2"/>
  <c r="B1352" i="2"/>
  <c r="F1352" i="2"/>
  <c r="F1321" i="2"/>
  <c r="E1321" i="2"/>
  <c r="B1321" i="2"/>
  <c r="C1321" i="2"/>
  <c r="D1322" i="2"/>
  <c r="E1287" i="2"/>
  <c r="D1288" i="2"/>
  <c r="C1287" i="2"/>
  <c r="B1287" i="2"/>
  <c r="F1287" i="2"/>
  <c r="E1256" i="2"/>
  <c r="D1257" i="2"/>
  <c r="C1256" i="2"/>
  <c r="B1256" i="2"/>
  <c r="F1256" i="2"/>
  <c r="F1226" i="2"/>
  <c r="B1226" i="2"/>
  <c r="E1226" i="2"/>
  <c r="D1227" i="2"/>
  <c r="C1226" i="2"/>
  <c r="F1195" i="2"/>
  <c r="D1196" i="2"/>
  <c r="C1195" i="2"/>
  <c r="B1195" i="2"/>
  <c r="E1195" i="2"/>
  <c r="E1164" i="2"/>
  <c r="C1164" i="2"/>
  <c r="B1164" i="2"/>
  <c r="D1165" i="2"/>
  <c r="F1164" i="2"/>
  <c r="E1132" i="2"/>
  <c r="D1133" i="2"/>
  <c r="C1132" i="2"/>
  <c r="B1132" i="2"/>
  <c r="F1132" i="2"/>
  <c r="F1102" i="2"/>
  <c r="B1102" i="2"/>
  <c r="E1102" i="2"/>
  <c r="D1103" i="2"/>
  <c r="C1102" i="2"/>
  <c r="F1071" i="2"/>
  <c r="D1072" i="2"/>
  <c r="E1071" i="2"/>
  <c r="C1071" i="2"/>
  <c r="B1071" i="2"/>
  <c r="E1039" i="2"/>
  <c r="D1040" i="2"/>
  <c r="C1039" i="2"/>
  <c r="B1039" i="2"/>
  <c r="F1039" i="2"/>
  <c r="F1011" i="2"/>
  <c r="E1011" i="2"/>
  <c r="B1011" i="2"/>
  <c r="C1011" i="2"/>
  <c r="D1012" i="2"/>
  <c r="F978" i="2"/>
  <c r="E978" i="2"/>
  <c r="D979" i="2"/>
  <c r="C978" i="2"/>
  <c r="B978" i="2"/>
  <c r="F948" i="2"/>
  <c r="E948" i="2"/>
  <c r="D949" i="2"/>
  <c r="C948" i="2"/>
  <c r="B948" i="2"/>
  <c r="E917" i="2"/>
  <c r="B917" i="2"/>
  <c r="F917" i="2"/>
  <c r="D918" i="2"/>
  <c r="C917" i="2"/>
  <c r="F885" i="2"/>
  <c r="C885" i="2"/>
  <c r="E885" i="2"/>
  <c r="D886" i="2"/>
  <c r="B885" i="2"/>
  <c r="E853" i="2"/>
  <c r="D854" i="2"/>
  <c r="C853" i="2"/>
  <c r="B853" i="2"/>
  <c r="F853" i="2"/>
  <c r="T822" i="2"/>
  <c r="R823" i="2"/>
  <c r="M823" i="2"/>
  <c r="K824" i="2"/>
  <c r="T792" i="2"/>
  <c r="R793" i="2"/>
  <c r="M791" i="2"/>
  <c r="K792" i="2"/>
  <c r="T761" i="2"/>
  <c r="R762" i="2"/>
  <c r="K762" i="2"/>
  <c r="M761" i="2"/>
  <c r="K731" i="2"/>
  <c r="M730" i="2"/>
  <c r="T699" i="2"/>
  <c r="R700" i="2"/>
  <c r="K700" i="2"/>
  <c r="M699" i="2"/>
  <c r="M668" i="2"/>
  <c r="K669" i="2"/>
  <c r="T636" i="2"/>
  <c r="R637" i="2"/>
  <c r="M636" i="2"/>
  <c r="K637" i="2"/>
  <c r="F636" i="2"/>
  <c r="D637" i="2"/>
  <c r="R606" i="2"/>
  <c r="T605" i="2"/>
  <c r="K607" i="2"/>
  <c r="M606" i="2"/>
  <c r="F605" i="2"/>
  <c r="D606" i="2"/>
  <c r="D576" i="2"/>
  <c r="F575" i="2"/>
  <c r="R545" i="2"/>
  <c r="T544" i="2"/>
  <c r="M543" i="2"/>
  <c r="B16" i="2"/>
  <c r="E16" i="2"/>
  <c r="C16" i="2"/>
  <c r="F16" i="2"/>
  <c r="D17" i="2"/>
  <c r="F1385" i="2" l="1"/>
  <c r="D1386" i="2"/>
  <c r="B1385" i="2"/>
  <c r="E1385" i="2"/>
  <c r="C1385" i="2"/>
  <c r="D1354" i="2"/>
  <c r="F1353" i="2"/>
  <c r="E1353" i="2"/>
  <c r="C1353" i="2"/>
  <c r="B1353" i="2"/>
  <c r="F1322" i="2"/>
  <c r="E1322" i="2"/>
  <c r="C1322" i="2"/>
  <c r="D1323" i="2"/>
  <c r="B1322" i="2"/>
  <c r="F1288" i="2"/>
  <c r="E1288" i="2"/>
  <c r="D1289" i="2"/>
  <c r="C1288" i="2"/>
  <c r="B1288" i="2"/>
  <c r="F1257" i="2"/>
  <c r="B1257" i="2"/>
  <c r="E1257" i="2"/>
  <c r="D1258" i="2"/>
  <c r="C1257" i="2"/>
  <c r="B1227" i="2"/>
  <c r="F1227" i="2"/>
  <c r="E1227" i="2"/>
  <c r="D1228" i="2"/>
  <c r="C1227" i="2"/>
  <c r="E1196" i="2"/>
  <c r="D1197" i="2"/>
  <c r="C1196" i="2"/>
  <c r="F1196" i="2"/>
  <c r="B1196" i="2"/>
  <c r="C1165" i="2"/>
  <c r="B1165" i="2"/>
  <c r="F1165" i="2"/>
  <c r="E1165" i="2"/>
  <c r="D1166" i="2"/>
  <c r="F1133" i="2"/>
  <c r="D1134" i="2"/>
  <c r="C1133" i="2"/>
  <c r="E1133" i="2"/>
  <c r="B1133" i="2"/>
  <c r="E1103" i="2"/>
  <c r="D1104" i="2"/>
  <c r="F1103" i="2"/>
  <c r="C1103" i="2"/>
  <c r="B1103" i="2"/>
  <c r="C1072" i="2"/>
  <c r="B1072" i="2"/>
  <c r="F1072" i="2"/>
  <c r="E1072" i="2"/>
  <c r="D1073" i="2"/>
  <c r="F1040" i="2"/>
  <c r="E1040" i="2"/>
  <c r="D1041" i="2"/>
  <c r="C1040" i="2"/>
  <c r="B1040" i="2"/>
  <c r="F1012" i="2"/>
  <c r="E1012" i="2"/>
  <c r="B1012" i="2"/>
  <c r="C1012" i="2"/>
  <c r="D1013" i="2"/>
  <c r="F979" i="2"/>
  <c r="E979" i="2"/>
  <c r="D980" i="2"/>
  <c r="B979" i="2"/>
  <c r="C979" i="2"/>
  <c r="F949" i="2"/>
  <c r="D950" i="2"/>
  <c r="C949" i="2"/>
  <c r="B949" i="2"/>
  <c r="E949" i="2"/>
  <c r="F918" i="2"/>
  <c r="E918" i="2"/>
  <c r="D919" i="2"/>
  <c r="C918" i="2"/>
  <c r="B918" i="2"/>
  <c r="F886" i="2"/>
  <c r="E886" i="2"/>
  <c r="D887" i="2"/>
  <c r="C886" i="2"/>
  <c r="B886" i="2"/>
  <c r="F854" i="2"/>
  <c r="D855" i="2"/>
  <c r="E854" i="2"/>
  <c r="C854" i="2"/>
  <c r="B854" i="2"/>
  <c r="R824" i="2"/>
  <c r="T823" i="2"/>
  <c r="M824" i="2"/>
  <c r="K825" i="2"/>
  <c r="T793" i="2"/>
  <c r="R794" i="2"/>
  <c r="M792" i="2"/>
  <c r="K793" i="2"/>
  <c r="R763" i="2"/>
  <c r="T762" i="2"/>
  <c r="M762" i="2"/>
  <c r="K763" i="2"/>
  <c r="K732" i="2"/>
  <c r="M731" i="2"/>
  <c r="R701" i="2"/>
  <c r="T700" i="2"/>
  <c r="K701" i="2"/>
  <c r="M700" i="2"/>
  <c r="K670" i="2"/>
  <c r="M669" i="2"/>
  <c r="T637" i="2"/>
  <c r="R638" i="2"/>
  <c r="M637" i="2"/>
  <c r="K638" i="2"/>
  <c r="F637" i="2"/>
  <c r="D638" i="2"/>
  <c r="R607" i="2"/>
  <c r="T606" i="2"/>
  <c r="M607" i="2"/>
  <c r="K608" i="2"/>
  <c r="F606" i="2"/>
  <c r="D607" i="2"/>
  <c r="D577" i="2"/>
  <c r="F576" i="2"/>
  <c r="T545" i="2"/>
  <c r="R546" i="2"/>
  <c r="M544" i="2"/>
  <c r="E17" i="2"/>
  <c r="F17" i="2"/>
  <c r="B17" i="2"/>
  <c r="C17" i="2"/>
  <c r="D18" i="2"/>
  <c r="F1386" i="2" l="1"/>
  <c r="D1387" i="2"/>
  <c r="C1386" i="2"/>
  <c r="B1386" i="2"/>
  <c r="E1386" i="2"/>
  <c r="F1354" i="2"/>
  <c r="B1354" i="2"/>
  <c r="D1355" i="2"/>
  <c r="C1354" i="2"/>
  <c r="E1354" i="2"/>
  <c r="F1323" i="2"/>
  <c r="E1323" i="2"/>
  <c r="B1323" i="2"/>
  <c r="C1323" i="2"/>
  <c r="D1324" i="2"/>
  <c r="D1290" i="2"/>
  <c r="F1289" i="2"/>
  <c r="E1289" i="2"/>
  <c r="C1289" i="2"/>
  <c r="B1289" i="2"/>
  <c r="F1258" i="2"/>
  <c r="C1258" i="2"/>
  <c r="B1258" i="2"/>
  <c r="E1258" i="2"/>
  <c r="D1259" i="2"/>
  <c r="E1228" i="2"/>
  <c r="D1229" i="2"/>
  <c r="F1228" i="2"/>
  <c r="C1228" i="2"/>
  <c r="B1228" i="2"/>
  <c r="F1197" i="2"/>
  <c r="E1197" i="2"/>
  <c r="D1198" i="2"/>
  <c r="C1197" i="2"/>
  <c r="B1197" i="2"/>
  <c r="F1166" i="2"/>
  <c r="D1167" i="2"/>
  <c r="E1166" i="2"/>
  <c r="C1166" i="2"/>
  <c r="B1166" i="2"/>
  <c r="E1134" i="2"/>
  <c r="D1135" i="2"/>
  <c r="C1134" i="2"/>
  <c r="F1134" i="2"/>
  <c r="B1134" i="2"/>
  <c r="E1104" i="2"/>
  <c r="C1104" i="2"/>
  <c r="F1104" i="2"/>
  <c r="D1105" i="2"/>
  <c r="B1104" i="2"/>
  <c r="F1073" i="2"/>
  <c r="D1074" i="2"/>
  <c r="C1073" i="2"/>
  <c r="E1073" i="2"/>
  <c r="B1073" i="2"/>
  <c r="F1041" i="2"/>
  <c r="E1041" i="2"/>
  <c r="D1042" i="2"/>
  <c r="C1041" i="2"/>
  <c r="B1041" i="2"/>
  <c r="E1013" i="2"/>
  <c r="D1014" i="2"/>
  <c r="F1013" i="2"/>
  <c r="C1013" i="2"/>
  <c r="B1013" i="2"/>
  <c r="F980" i="2"/>
  <c r="E980" i="2"/>
  <c r="C980" i="2"/>
  <c r="B980" i="2"/>
  <c r="D981" i="2"/>
  <c r="B950" i="2"/>
  <c r="E950" i="2"/>
  <c r="D951" i="2"/>
  <c r="C950" i="2"/>
  <c r="F950" i="2"/>
  <c r="E919" i="2"/>
  <c r="F919" i="2"/>
  <c r="D920" i="2"/>
  <c r="C919" i="2"/>
  <c r="B919" i="2"/>
  <c r="F887" i="2"/>
  <c r="E887" i="2"/>
  <c r="C887" i="2"/>
  <c r="B887" i="2"/>
  <c r="D888" i="2"/>
  <c r="F855" i="2"/>
  <c r="E855" i="2"/>
  <c r="C855" i="2"/>
  <c r="D856" i="2"/>
  <c r="B855" i="2"/>
  <c r="T824" i="2"/>
  <c r="R825" i="2"/>
  <c r="M825" i="2"/>
  <c r="K826" i="2"/>
  <c r="R795" i="2"/>
  <c r="T794" i="2"/>
  <c r="M793" i="2"/>
  <c r="K794" i="2"/>
  <c r="R764" i="2"/>
  <c r="T763" i="2"/>
  <c r="M763" i="2"/>
  <c r="K764" i="2"/>
  <c r="K733" i="2"/>
  <c r="M732" i="2"/>
  <c r="R702" i="2"/>
  <c r="T701" i="2"/>
  <c r="K702" i="2"/>
  <c r="M701" i="2"/>
  <c r="K671" i="2"/>
  <c r="M670" i="2"/>
  <c r="T638" i="2"/>
  <c r="R639" i="2"/>
  <c r="M638" i="2"/>
  <c r="K639" i="2"/>
  <c r="F638" i="2"/>
  <c r="D639" i="2"/>
  <c r="T607" i="2"/>
  <c r="R608" i="2"/>
  <c r="K609" i="2"/>
  <c r="M608" i="2"/>
  <c r="F607" i="2"/>
  <c r="D608" i="2"/>
  <c r="D578" i="2"/>
  <c r="F577" i="2"/>
  <c r="R547" i="2"/>
  <c r="T546" i="2"/>
  <c r="M545" i="2"/>
  <c r="E18" i="2"/>
  <c r="B18" i="2"/>
  <c r="F18" i="2"/>
  <c r="C18" i="2"/>
  <c r="D19" i="2"/>
  <c r="F1387" i="2" l="1"/>
  <c r="E1387" i="2"/>
  <c r="D1388" i="2"/>
  <c r="C1387" i="2"/>
  <c r="B1387" i="2"/>
  <c r="F1355" i="2"/>
  <c r="E1355" i="2"/>
  <c r="D1356" i="2"/>
  <c r="C1355" i="2"/>
  <c r="B1355" i="2"/>
  <c r="C1324" i="2"/>
  <c r="B1324" i="2"/>
  <c r="D1325" i="2"/>
  <c r="F1324" i="2"/>
  <c r="E1324" i="2"/>
  <c r="F1290" i="2"/>
  <c r="E1290" i="2"/>
  <c r="D1291" i="2"/>
  <c r="C1290" i="2"/>
  <c r="B1290" i="2"/>
  <c r="C1259" i="2"/>
  <c r="E1259" i="2"/>
  <c r="F1259" i="2"/>
  <c r="D1260" i="2"/>
  <c r="B1259" i="2"/>
  <c r="F1229" i="2"/>
  <c r="E1229" i="2"/>
  <c r="D1230" i="2"/>
  <c r="C1229" i="2"/>
  <c r="B1229" i="2"/>
  <c r="F1198" i="2"/>
  <c r="E1198" i="2"/>
  <c r="C1198" i="2"/>
  <c r="B1198" i="2"/>
  <c r="D1199" i="2"/>
  <c r="C1167" i="2"/>
  <c r="B1167" i="2"/>
  <c r="D1168" i="2"/>
  <c r="F1167" i="2"/>
  <c r="E1167" i="2"/>
  <c r="F1135" i="2"/>
  <c r="D1136" i="2"/>
  <c r="C1135" i="2"/>
  <c r="E1135" i="2"/>
  <c r="B1135" i="2"/>
  <c r="C1105" i="2"/>
  <c r="F1105" i="2"/>
  <c r="E1105" i="2"/>
  <c r="D1106" i="2"/>
  <c r="B1105" i="2"/>
  <c r="F1074" i="2"/>
  <c r="C1074" i="2"/>
  <c r="B1074" i="2"/>
  <c r="E1074" i="2"/>
  <c r="D1075" i="2"/>
  <c r="E1042" i="2"/>
  <c r="F1042" i="2"/>
  <c r="D1043" i="2"/>
  <c r="C1042" i="2"/>
  <c r="B1042" i="2"/>
  <c r="C1014" i="2"/>
  <c r="B1014" i="2"/>
  <c r="D1015" i="2"/>
  <c r="F1014" i="2"/>
  <c r="E1014" i="2"/>
  <c r="F981" i="2"/>
  <c r="B981" i="2"/>
  <c r="D982" i="2"/>
  <c r="E981" i="2"/>
  <c r="C981" i="2"/>
  <c r="F951" i="2"/>
  <c r="E951" i="2"/>
  <c r="C951" i="2"/>
  <c r="B951" i="2"/>
  <c r="D952" i="2"/>
  <c r="F920" i="2"/>
  <c r="E920" i="2"/>
  <c r="B920" i="2"/>
  <c r="C920" i="2"/>
  <c r="D921" i="2"/>
  <c r="F888" i="2"/>
  <c r="E888" i="2"/>
  <c r="B888" i="2"/>
  <c r="D889" i="2"/>
  <c r="C888" i="2"/>
  <c r="F856" i="2"/>
  <c r="C856" i="2"/>
  <c r="E856" i="2"/>
  <c r="D857" i="2"/>
  <c r="B856" i="2"/>
  <c r="R826" i="2"/>
  <c r="T825" i="2"/>
  <c r="M826" i="2"/>
  <c r="K827" i="2"/>
  <c r="R796" i="2"/>
  <c r="T795" i="2"/>
  <c r="K795" i="2"/>
  <c r="M794" i="2"/>
  <c r="R765" i="2"/>
  <c r="T764" i="2"/>
  <c r="M764" i="2"/>
  <c r="K765" i="2"/>
  <c r="K734" i="2"/>
  <c r="M733" i="2"/>
  <c r="R703" i="2"/>
  <c r="T702" i="2"/>
  <c r="K703" i="2"/>
  <c r="M702" i="2"/>
  <c r="K672" i="2"/>
  <c r="M671" i="2"/>
  <c r="T639" i="2"/>
  <c r="R640" i="2"/>
  <c r="K640" i="2"/>
  <c r="M639" i="2"/>
  <c r="F639" i="2"/>
  <c r="D640" i="2"/>
  <c r="R609" i="2"/>
  <c r="T608" i="2"/>
  <c r="K610" i="2"/>
  <c r="M609" i="2"/>
  <c r="F608" i="2"/>
  <c r="D609" i="2"/>
  <c r="D579" i="2"/>
  <c r="F578" i="2"/>
  <c r="R548" i="2"/>
  <c r="T547" i="2"/>
  <c r="M546" i="2"/>
  <c r="E19" i="2"/>
  <c r="B19" i="2"/>
  <c r="F19" i="2"/>
  <c r="C19" i="2"/>
  <c r="D20" i="2"/>
  <c r="F1388" i="2" l="1"/>
  <c r="E1388" i="2"/>
  <c r="C1388" i="2"/>
  <c r="B1388" i="2"/>
  <c r="D1389" i="2"/>
  <c r="F1356" i="2"/>
  <c r="E1356" i="2"/>
  <c r="D1357" i="2"/>
  <c r="C1356" i="2"/>
  <c r="B1356" i="2"/>
  <c r="F1325" i="2"/>
  <c r="E1325" i="2"/>
  <c r="C1325" i="2"/>
  <c r="B1325" i="2"/>
  <c r="D1326" i="2"/>
  <c r="F1291" i="2"/>
  <c r="E1291" i="2"/>
  <c r="C1291" i="2"/>
  <c r="B1291" i="2"/>
  <c r="D1292" i="2"/>
  <c r="F1260" i="2"/>
  <c r="E1260" i="2"/>
  <c r="D1261" i="2"/>
  <c r="C1260" i="2"/>
  <c r="B1260" i="2"/>
  <c r="F1230" i="2"/>
  <c r="E1230" i="2"/>
  <c r="D1231" i="2"/>
  <c r="C1230" i="2"/>
  <c r="B1230" i="2"/>
  <c r="F1199" i="2"/>
  <c r="E1199" i="2"/>
  <c r="C1199" i="2"/>
  <c r="B1199" i="2"/>
  <c r="D1200" i="2"/>
  <c r="B1168" i="2"/>
  <c r="F1168" i="2"/>
  <c r="E1168" i="2"/>
  <c r="C1168" i="2"/>
  <c r="D1169" i="2"/>
  <c r="F1136" i="2"/>
  <c r="E1136" i="2"/>
  <c r="D1137" i="2"/>
  <c r="C1136" i="2"/>
  <c r="B1136" i="2"/>
  <c r="F1106" i="2"/>
  <c r="E1106" i="2"/>
  <c r="C1106" i="2"/>
  <c r="D1107" i="2"/>
  <c r="B1106" i="2"/>
  <c r="F1075" i="2"/>
  <c r="E1075" i="2"/>
  <c r="D1076" i="2"/>
  <c r="C1075" i="2"/>
  <c r="B1075" i="2"/>
  <c r="F1043" i="2"/>
  <c r="E1043" i="2"/>
  <c r="C1043" i="2"/>
  <c r="B1043" i="2"/>
  <c r="D1044" i="2"/>
  <c r="F1015" i="2"/>
  <c r="E1015" i="2"/>
  <c r="C1015" i="2"/>
  <c r="B1015" i="2"/>
  <c r="D1016" i="2"/>
  <c r="B982" i="2"/>
  <c r="F982" i="2"/>
  <c r="C982" i="2"/>
  <c r="D983" i="2"/>
  <c r="E982" i="2"/>
  <c r="F952" i="2"/>
  <c r="E952" i="2"/>
  <c r="D953" i="2"/>
  <c r="C952" i="2"/>
  <c r="B952" i="2"/>
  <c r="F921" i="2"/>
  <c r="E921" i="2"/>
  <c r="D922" i="2"/>
  <c r="C921" i="2"/>
  <c r="B921" i="2"/>
  <c r="F889" i="2"/>
  <c r="E889" i="2"/>
  <c r="B889" i="2"/>
  <c r="D890" i="2"/>
  <c r="C889" i="2"/>
  <c r="F857" i="2"/>
  <c r="E857" i="2"/>
  <c r="D858" i="2"/>
  <c r="C857" i="2"/>
  <c r="B857" i="2"/>
  <c r="T826" i="2"/>
  <c r="R827" i="2"/>
  <c r="K828" i="2"/>
  <c r="M827" i="2"/>
  <c r="R797" i="2"/>
  <c r="T796" i="2"/>
  <c r="K796" i="2"/>
  <c r="M795" i="2"/>
  <c r="R766" i="2"/>
  <c r="T765" i="2"/>
  <c r="K766" i="2"/>
  <c r="M765" i="2"/>
  <c r="K735" i="2"/>
  <c r="M734" i="2"/>
  <c r="R704" i="2"/>
  <c r="T703" i="2"/>
  <c r="K704" i="2"/>
  <c r="M703" i="2"/>
  <c r="M672" i="2"/>
  <c r="K673" i="2"/>
  <c r="T640" i="2"/>
  <c r="R641" i="2"/>
  <c r="M640" i="2"/>
  <c r="K641" i="2"/>
  <c r="F640" i="2"/>
  <c r="D641" i="2"/>
  <c r="R610" i="2"/>
  <c r="T609" i="2"/>
  <c r="K611" i="2"/>
  <c r="M610" i="2"/>
  <c r="F609" i="2"/>
  <c r="D610" i="2"/>
  <c r="D580" i="2"/>
  <c r="F579" i="2"/>
  <c r="R549" i="2"/>
  <c r="T548" i="2"/>
  <c r="M547" i="2"/>
  <c r="B20" i="2"/>
  <c r="E20" i="2"/>
  <c r="F20" i="2"/>
  <c r="C20" i="2"/>
  <c r="D21" i="2"/>
  <c r="E1389" i="2" l="1"/>
  <c r="F1389" i="2"/>
  <c r="C1389" i="2"/>
  <c r="D1390" i="2"/>
  <c r="B1389" i="2"/>
  <c r="E1357" i="2"/>
  <c r="F1357" i="2"/>
  <c r="B1357" i="2"/>
  <c r="C1357" i="2"/>
  <c r="D1358" i="2"/>
  <c r="B1326" i="2"/>
  <c r="E1326" i="2"/>
  <c r="F1326" i="2"/>
  <c r="C1326" i="2"/>
  <c r="D1327" i="2"/>
  <c r="F1292" i="2"/>
  <c r="E1292" i="2"/>
  <c r="B1292" i="2"/>
  <c r="D1293" i="2"/>
  <c r="C1292" i="2"/>
  <c r="F1261" i="2"/>
  <c r="E1261" i="2"/>
  <c r="D1262" i="2"/>
  <c r="C1261" i="2"/>
  <c r="B1261" i="2"/>
  <c r="F1231" i="2"/>
  <c r="E1231" i="2"/>
  <c r="D1232" i="2"/>
  <c r="C1231" i="2"/>
  <c r="B1231" i="2"/>
  <c r="D1201" i="2"/>
  <c r="F1200" i="2"/>
  <c r="B1200" i="2"/>
  <c r="E1200" i="2"/>
  <c r="C1200" i="2"/>
  <c r="D1170" i="2"/>
  <c r="C1169" i="2"/>
  <c r="B1169" i="2"/>
  <c r="F1169" i="2"/>
  <c r="E1169" i="2"/>
  <c r="F1137" i="2"/>
  <c r="E1137" i="2"/>
  <c r="B1137" i="2"/>
  <c r="C1137" i="2"/>
  <c r="D1138" i="2"/>
  <c r="F1107" i="2"/>
  <c r="E1107" i="2"/>
  <c r="D1108" i="2"/>
  <c r="C1107" i="2"/>
  <c r="B1107" i="2"/>
  <c r="F1076" i="2"/>
  <c r="E1076" i="2"/>
  <c r="D1077" i="2"/>
  <c r="C1076" i="2"/>
  <c r="B1076" i="2"/>
  <c r="F1044" i="2"/>
  <c r="E1044" i="2"/>
  <c r="D1045" i="2"/>
  <c r="B1044" i="2"/>
  <c r="C1044" i="2"/>
  <c r="F1016" i="2"/>
  <c r="E1016" i="2"/>
  <c r="C1016" i="2"/>
  <c r="B1016" i="2"/>
  <c r="D1017" i="2"/>
  <c r="D984" i="2"/>
  <c r="C983" i="2"/>
  <c r="B983" i="2"/>
  <c r="F983" i="2"/>
  <c r="E983" i="2"/>
  <c r="F953" i="2"/>
  <c r="E953" i="2"/>
  <c r="D954" i="2"/>
  <c r="C953" i="2"/>
  <c r="B953" i="2"/>
  <c r="F922" i="2"/>
  <c r="E922" i="2"/>
  <c r="B922" i="2"/>
  <c r="C922" i="2"/>
  <c r="D923" i="2"/>
  <c r="F890" i="2"/>
  <c r="E890" i="2"/>
  <c r="C890" i="2"/>
  <c r="B890" i="2"/>
  <c r="D891" i="2"/>
  <c r="F858" i="2"/>
  <c r="E858" i="2"/>
  <c r="B858" i="2"/>
  <c r="C858" i="2"/>
  <c r="D859" i="2"/>
  <c r="T827" i="2"/>
  <c r="R828" i="2"/>
  <c r="K829" i="2"/>
  <c r="M828" i="2"/>
  <c r="R798" i="2"/>
  <c r="T797" i="2"/>
  <c r="M796" i="2"/>
  <c r="K797" i="2"/>
  <c r="R767" i="2"/>
  <c r="T766" i="2"/>
  <c r="K767" i="2"/>
  <c r="M766" i="2"/>
  <c r="K736" i="2"/>
  <c r="M735" i="2"/>
  <c r="R705" i="2"/>
  <c r="T704" i="2"/>
  <c r="K705" i="2"/>
  <c r="M704" i="2"/>
  <c r="K674" i="2"/>
  <c r="M673" i="2"/>
  <c r="T641" i="2"/>
  <c r="R642" i="2"/>
  <c r="M641" i="2"/>
  <c r="K642" i="2"/>
  <c r="F641" i="2"/>
  <c r="D642" i="2"/>
  <c r="R611" i="2"/>
  <c r="T610" i="2"/>
  <c r="K612" i="2"/>
  <c r="M611" i="2"/>
  <c r="D611" i="2"/>
  <c r="F610" i="2"/>
  <c r="D581" i="2"/>
  <c r="F580" i="2"/>
  <c r="R550" i="2"/>
  <c r="T549" i="2"/>
  <c r="M548" i="2"/>
  <c r="C21" i="2"/>
  <c r="B21" i="2"/>
  <c r="E21" i="2"/>
  <c r="F21" i="2"/>
  <c r="D22" i="2"/>
  <c r="F1390" i="2" l="1"/>
  <c r="D1391" i="2"/>
  <c r="C1390" i="2"/>
  <c r="E1390" i="2"/>
  <c r="B1390" i="2"/>
  <c r="F1358" i="2"/>
  <c r="C1358" i="2"/>
  <c r="B1358" i="2"/>
  <c r="E1358" i="2"/>
  <c r="D1359" i="2"/>
  <c r="B1327" i="2"/>
  <c r="D1328" i="2"/>
  <c r="F1327" i="2"/>
  <c r="E1327" i="2"/>
  <c r="C1327" i="2"/>
  <c r="F1293" i="2"/>
  <c r="E1293" i="2"/>
  <c r="C1293" i="2"/>
  <c r="B1293" i="2"/>
  <c r="D1294" i="2"/>
  <c r="E1262" i="2"/>
  <c r="F1262" i="2"/>
  <c r="D1263" i="2"/>
  <c r="C1262" i="2"/>
  <c r="B1262" i="2"/>
  <c r="F1232" i="2"/>
  <c r="E1232" i="2"/>
  <c r="B1232" i="2"/>
  <c r="C1232" i="2"/>
  <c r="D1233" i="2"/>
  <c r="C1201" i="2"/>
  <c r="B1201" i="2"/>
  <c r="E1201" i="2"/>
  <c r="D1202" i="2"/>
  <c r="F1201" i="2"/>
  <c r="D1171" i="2"/>
  <c r="C1170" i="2"/>
  <c r="B1170" i="2"/>
  <c r="F1170" i="2"/>
  <c r="E1170" i="2"/>
  <c r="F1138" i="2"/>
  <c r="D1139" i="2"/>
  <c r="C1138" i="2"/>
  <c r="B1138" i="2"/>
  <c r="E1138" i="2"/>
  <c r="F1108" i="2"/>
  <c r="E1108" i="2"/>
  <c r="D1109" i="2"/>
  <c r="C1108" i="2"/>
  <c r="B1108" i="2"/>
  <c r="F1077" i="2"/>
  <c r="E1077" i="2"/>
  <c r="B1077" i="2"/>
  <c r="D1078" i="2"/>
  <c r="C1077" i="2"/>
  <c r="F1045" i="2"/>
  <c r="E1045" i="2"/>
  <c r="C1045" i="2"/>
  <c r="B1045" i="2"/>
  <c r="D1046" i="2"/>
  <c r="B1017" i="2"/>
  <c r="D1018" i="2"/>
  <c r="F1017" i="2"/>
  <c r="E1017" i="2"/>
  <c r="C1017" i="2"/>
  <c r="D985" i="2"/>
  <c r="C984" i="2"/>
  <c r="B984" i="2"/>
  <c r="F984" i="2"/>
  <c r="E984" i="2"/>
  <c r="F954" i="2"/>
  <c r="E954" i="2"/>
  <c r="D955" i="2"/>
  <c r="C954" i="2"/>
  <c r="B954" i="2"/>
  <c r="D924" i="2"/>
  <c r="F923" i="2"/>
  <c r="E923" i="2"/>
  <c r="C923" i="2"/>
  <c r="B923" i="2"/>
  <c r="C891" i="2"/>
  <c r="D892" i="2"/>
  <c r="B891" i="2"/>
  <c r="F891" i="2"/>
  <c r="E891" i="2"/>
  <c r="F859" i="2"/>
  <c r="D860" i="2"/>
  <c r="C859" i="2"/>
  <c r="B859" i="2"/>
  <c r="E859" i="2"/>
  <c r="R829" i="2"/>
  <c r="T828" i="2"/>
  <c r="K830" i="2"/>
  <c r="M829" i="2"/>
  <c r="R799" i="2"/>
  <c r="T798" i="2"/>
  <c r="K798" i="2"/>
  <c r="M797" i="2"/>
  <c r="T767" i="2"/>
  <c r="R768" i="2"/>
  <c r="K768" i="2"/>
  <c r="M767" i="2"/>
  <c r="K737" i="2"/>
  <c r="M736" i="2"/>
  <c r="R706" i="2"/>
  <c r="T705" i="2"/>
  <c r="K706" i="2"/>
  <c r="M705" i="2"/>
  <c r="M674" i="2"/>
  <c r="K675" i="2"/>
  <c r="T642" i="2"/>
  <c r="R643" i="2"/>
  <c r="M642" i="2"/>
  <c r="K643" i="2"/>
  <c r="F642" i="2"/>
  <c r="D643" i="2"/>
  <c r="R612" i="2"/>
  <c r="T611" i="2"/>
  <c r="K613" i="2"/>
  <c r="M612" i="2"/>
  <c r="F611" i="2"/>
  <c r="D612" i="2"/>
  <c r="D582" i="2"/>
  <c r="F581" i="2"/>
  <c r="R551" i="2"/>
  <c r="T550" i="2"/>
  <c r="M549" i="2"/>
  <c r="B22" i="2"/>
  <c r="E22" i="2"/>
  <c r="F22" i="2"/>
  <c r="C22" i="2"/>
  <c r="D23" i="2"/>
  <c r="F1391" i="2" l="1"/>
  <c r="K1369" i="2"/>
  <c r="E1391" i="2"/>
  <c r="C1391" i="2"/>
  <c r="B1391" i="2"/>
  <c r="D1360" i="2"/>
  <c r="F1359" i="2"/>
  <c r="E1359" i="2"/>
  <c r="C1359" i="2"/>
  <c r="B1359" i="2"/>
  <c r="F1328" i="2"/>
  <c r="E1328" i="2"/>
  <c r="C1328" i="2"/>
  <c r="B1328" i="2"/>
  <c r="D1329" i="2"/>
  <c r="D1295" i="2"/>
  <c r="C1294" i="2"/>
  <c r="F1294" i="2"/>
  <c r="E1294" i="2"/>
  <c r="B1294" i="2"/>
  <c r="F1263" i="2"/>
  <c r="E1263" i="2"/>
  <c r="D1264" i="2"/>
  <c r="C1263" i="2"/>
  <c r="B1263" i="2"/>
  <c r="F1233" i="2"/>
  <c r="D1234" i="2"/>
  <c r="B1233" i="2"/>
  <c r="C1233" i="2"/>
  <c r="E1233" i="2"/>
  <c r="D1203" i="2"/>
  <c r="F1202" i="2"/>
  <c r="E1202" i="2"/>
  <c r="C1202" i="2"/>
  <c r="B1202" i="2"/>
  <c r="E1171" i="2"/>
  <c r="D1172" i="2"/>
  <c r="C1171" i="2"/>
  <c r="B1171" i="2"/>
  <c r="F1171" i="2"/>
  <c r="F1139" i="2"/>
  <c r="D1140" i="2"/>
  <c r="C1139" i="2"/>
  <c r="E1139" i="2"/>
  <c r="B1139" i="2"/>
  <c r="F1109" i="2"/>
  <c r="E1109" i="2"/>
  <c r="D1110" i="2"/>
  <c r="C1109" i="2"/>
  <c r="B1109" i="2"/>
  <c r="F1078" i="2"/>
  <c r="C1078" i="2"/>
  <c r="B1078" i="2"/>
  <c r="E1078" i="2"/>
  <c r="D1079" i="2"/>
  <c r="D1047" i="2"/>
  <c r="F1046" i="2"/>
  <c r="E1046" i="2"/>
  <c r="C1046" i="2"/>
  <c r="B1046" i="2"/>
  <c r="E1018" i="2"/>
  <c r="F1018" i="2"/>
  <c r="C1018" i="2"/>
  <c r="B1018" i="2"/>
  <c r="D1019" i="2"/>
  <c r="E985" i="2"/>
  <c r="D986" i="2"/>
  <c r="F985" i="2"/>
  <c r="C985" i="2"/>
  <c r="B985" i="2"/>
  <c r="F955" i="2"/>
  <c r="E955" i="2"/>
  <c r="D956" i="2"/>
  <c r="C955" i="2"/>
  <c r="B955" i="2"/>
  <c r="F924" i="2"/>
  <c r="E924" i="2"/>
  <c r="B924" i="2"/>
  <c r="C924" i="2"/>
  <c r="D925" i="2"/>
  <c r="C892" i="2"/>
  <c r="B892" i="2"/>
  <c r="D893" i="2"/>
  <c r="F892" i="2"/>
  <c r="E892" i="2"/>
  <c r="D861" i="2"/>
  <c r="C860" i="2"/>
  <c r="F860" i="2"/>
  <c r="E860" i="2"/>
  <c r="B860" i="2"/>
  <c r="R830" i="2"/>
  <c r="T829" i="2"/>
  <c r="K831" i="2"/>
  <c r="M830" i="2"/>
  <c r="R800" i="2"/>
  <c r="T799" i="2"/>
  <c r="K799" i="2"/>
  <c r="M798" i="2"/>
  <c r="R769" i="2"/>
  <c r="T768" i="2"/>
  <c r="K769" i="2"/>
  <c r="M768" i="2"/>
  <c r="M737" i="2"/>
  <c r="K738" i="2"/>
  <c r="R707" i="2"/>
  <c r="T706" i="2"/>
  <c r="K707" i="2"/>
  <c r="M706" i="2"/>
  <c r="M675" i="2"/>
  <c r="K676" i="2"/>
  <c r="T643" i="2"/>
  <c r="R644" i="2"/>
  <c r="M643" i="2"/>
  <c r="K644" i="2"/>
  <c r="D644" i="2"/>
  <c r="F643" i="2"/>
  <c r="T612" i="2"/>
  <c r="R613" i="2"/>
  <c r="K614" i="2"/>
  <c r="M613" i="2"/>
  <c r="D613" i="2"/>
  <c r="F612" i="2"/>
  <c r="D583" i="2"/>
  <c r="F582" i="2"/>
  <c r="R552" i="2"/>
  <c r="T551" i="2"/>
  <c r="M550" i="2"/>
  <c r="F23" i="2"/>
  <c r="E23" i="2"/>
  <c r="B23" i="2"/>
  <c r="C23" i="2"/>
  <c r="D24" i="2"/>
  <c r="L1369" i="2" l="1"/>
  <c r="K1370" i="2"/>
  <c r="J1369" i="2"/>
  <c r="I1369" i="2"/>
  <c r="M1369" i="2"/>
  <c r="K1338" i="2"/>
  <c r="F1360" i="2"/>
  <c r="E1360" i="2"/>
  <c r="C1360" i="2"/>
  <c r="B1360" i="2"/>
  <c r="K1307" i="2"/>
  <c r="F1329" i="2"/>
  <c r="C1329" i="2"/>
  <c r="B1329" i="2"/>
  <c r="E1329" i="2"/>
  <c r="F1295" i="2"/>
  <c r="D1296" i="2"/>
  <c r="E1295" i="2"/>
  <c r="C1295" i="2"/>
  <c r="B1295" i="2"/>
  <c r="D1265" i="2"/>
  <c r="C1264" i="2"/>
  <c r="B1264" i="2"/>
  <c r="F1264" i="2"/>
  <c r="E1264" i="2"/>
  <c r="C1234" i="2"/>
  <c r="F1234" i="2"/>
  <c r="D1235" i="2"/>
  <c r="E1234" i="2"/>
  <c r="B1234" i="2"/>
  <c r="D1204" i="2"/>
  <c r="C1203" i="2"/>
  <c r="F1203" i="2"/>
  <c r="E1203" i="2"/>
  <c r="B1203" i="2"/>
  <c r="F1172" i="2"/>
  <c r="E1172" i="2"/>
  <c r="D1173" i="2"/>
  <c r="C1172" i="2"/>
  <c r="B1172" i="2"/>
  <c r="E1140" i="2"/>
  <c r="B1140" i="2"/>
  <c r="D1141" i="2"/>
  <c r="F1140" i="2"/>
  <c r="C1140" i="2"/>
  <c r="F1110" i="2"/>
  <c r="E1110" i="2"/>
  <c r="D1111" i="2"/>
  <c r="C1110" i="2"/>
  <c r="B1110" i="2"/>
  <c r="D1080" i="2"/>
  <c r="F1079" i="2"/>
  <c r="E1079" i="2"/>
  <c r="C1079" i="2"/>
  <c r="B1079" i="2"/>
  <c r="E1047" i="2"/>
  <c r="B1047" i="2"/>
  <c r="C1047" i="2"/>
  <c r="D1048" i="2"/>
  <c r="F1047" i="2"/>
  <c r="K997" i="2"/>
  <c r="E1019" i="2"/>
  <c r="F1019" i="2"/>
  <c r="C1019" i="2"/>
  <c r="B1019" i="2"/>
  <c r="F986" i="2"/>
  <c r="E986" i="2"/>
  <c r="C986" i="2"/>
  <c r="D987" i="2"/>
  <c r="B986" i="2"/>
  <c r="F956" i="2"/>
  <c r="E956" i="2"/>
  <c r="D957" i="2"/>
  <c r="B956" i="2"/>
  <c r="C956" i="2"/>
  <c r="D926" i="2"/>
  <c r="F925" i="2"/>
  <c r="B925" i="2"/>
  <c r="E925" i="2"/>
  <c r="C925" i="2"/>
  <c r="C893" i="2"/>
  <c r="D894" i="2"/>
  <c r="F893" i="2"/>
  <c r="E893" i="2"/>
  <c r="B893" i="2"/>
  <c r="E861" i="2"/>
  <c r="D862" i="2"/>
  <c r="C861" i="2"/>
  <c r="B861" i="2"/>
  <c r="F861" i="2"/>
  <c r="R831" i="2"/>
  <c r="T830" i="2"/>
  <c r="K832" i="2"/>
  <c r="M831" i="2"/>
  <c r="R801" i="2"/>
  <c r="T800" i="2"/>
  <c r="M799" i="2"/>
  <c r="K800" i="2"/>
  <c r="R770" i="2"/>
  <c r="T769" i="2"/>
  <c r="K770" i="2"/>
  <c r="M769" i="2"/>
  <c r="K739" i="2"/>
  <c r="M738" i="2"/>
  <c r="R708" i="2"/>
  <c r="T707" i="2"/>
  <c r="K708" i="2"/>
  <c r="M707" i="2"/>
  <c r="K677" i="2"/>
  <c r="M676" i="2"/>
  <c r="T644" i="2"/>
  <c r="R645" i="2"/>
  <c r="M644" i="2"/>
  <c r="K645" i="2"/>
  <c r="D645" i="2"/>
  <c r="F644" i="2"/>
  <c r="R614" i="2"/>
  <c r="T613" i="2"/>
  <c r="K615" i="2"/>
  <c r="M614" i="2"/>
  <c r="D614" i="2"/>
  <c r="F613" i="2"/>
  <c r="F583" i="2"/>
  <c r="D584" i="2"/>
  <c r="R553" i="2"/>
  <c r="T552" i="2"/>
  <c r="M551" i="2"/>
  <c r="E24" i="2"/>
  <c r="F24" i="2"/>
  <c r="B24" i="2"/>
  <c r="C24" i="2"/>
  <c r="D25" i="2"/>
  <c r="M1370" i="2" l="1"/>
  <c r="J1370" i="2"/>
  <c r="L1370" i="2"/>
  <c r="K1371" i="2"/>
  <c r="I1370" i="2"/>
  <c r="L1338" i="2"/>
  <c r="I1338" i="2"/>
  <c r="K1339" i="2"/>
  <c r="J1338" i="2"/>
  <c r="M1338" i="2"/>
  <c r="L1307" i="2"/>
  <c r="K1308" i="2"/>
  <c r="J1307" i="2"/>
  <c r="I1307" i="2"/>
  <c r="M1307" i="2"/>
  <c r="D1297" i="2"/>
  <c r="F1296" i="2"/>
  <c r="E1296" i="2"/>
  <c r="C1296" i="2"/>
  <c r="B1296" i="2"/>
  <c r="C1265" i="2"/>
  <c r="B1265" i="2"/>
  <c r="D1266" i="2"/>
  <c r="F1265" i="2"/>
  <c r="E1265" i="2"/>
  <c r="D1236" i="2"/>
  <c r="E1235" i="2"/>
  <c r="C1235" i="2"/>
  <c r="B1235" i="2"/>
  <c r="F1235" i="2"/>
  <c r="E1204" i="2"/>
  <c r="C1204" i="2"/>
  <c r="B1204" i="2"/>
  <c r="F1204" i="2"/>
  <c r="D1205" i="2"/>
  <c r="F1173" i="2"/>
  <c r="E1173" i="2"/>
  <c r="D1174" i="2"/>
  <c r="C1173" i="2"/>
  <c r="B1173" i="2"/>
  <c r="F1141" i="2"/>
  <c r="E1141" i="2"/>
  <c r="D1142" i="2"/>
  <c r="C1141" i="2"/>
  <c r="B1141" i="2"/>
  <c r="F1111" i="2"/>
  <c r="E1111" i="2"/>
  <c r="D1112" i="2"/>
  <c r="C1111" i="2"/>
  <c r="B1111" i="2"/>
  <c r="C1080" i="2"/>
  <c r="E1080" i="2"/>
  <c r="D1081" i="2"/>
  <c r="B1080" i="2"/>
  <c r="F1080" i="2"/>
  <c r="F1048" i="2"/>
  <c r="E1048" i="2"/>
  <c r="D1049" i="2"/>
  <c r="C1048" i="2"/>
  <c r="B1048" i="2"/>
  <c r="L997" i="2"/>
  <c r="K998" i="2"/>
  <c r="J997" i="2"/>
  <c r="M997" i="2"/>
  <c r="I997" i="2"/>
  <c r="F987" i="2"/>
  <c r="C987" i="2"/>
  <c r="E987" i="2"/>
  <c r="B987" i="2"/>
  <c r="D988" i="2"/>
  <c r="K935" i="2"/>
  <c r="F957" i="2"/>
  <c r="E957" i="2"/>
  <c r="B957" i="2"/>
  <c r="C957" i="2"/>
  <c r="K904" i="2"/>
  <c r="F926" i="2"/>
  <c r="E926" i="2"/>
  <c r="B926" i="2"/>
  <c r="C926" i="2"/>
  <c r="E894" i="2"/>
  <c r="D895" i="2"/>
  <c r="C894" i="2"/>
  <c r="B894" i="2"/>
  <c r="F894" i="2"/>
  <c r="F862" i="2"/>
  <c r="E862" i="2"/>
  <c r="C862" i="2"/>
  <c r="D863" i="2"/>
  <c r="B862" i="2"/>
  <c r="T831" i="2"/>
  <c r="R832" i="2"/>
  <c r="K833" i="2"/>
  <c r="M833" i="2" s="1"/>
  <c r="M832" i="2"/>
  <c r="R802" i="2"/>
  <c r="T801" i="2"/>
  <c r="K801" i="2"/>
  <c r="M800" i="2"/>
  <c r="R771" i="2"/>
  <c r="T770" i="2"/>
  <c r="K771" i="2"/>
  <c r="M771" i="2" s="1"/>
  <c r="M770" i="2"/>
  <c r="K740" i="2"/>
  <c r="M739" i="2"/>
  <c r="R709" i="2"/>
  <c r="T708" i="2"/>
  <c r="K709" i="2"/>
  <c r="M709" i="2" s="1"/>
  <c r="M708" i="2"/>
  <c r="K678" i="2"/>
  <c r="M677" i="2"/>
  <c r="R646" i="2"/>
  <c r="T645" i="2"/>
  <c r="M645" i="2"/>
  <c r="K646" i="2"/>
  <c r="D646" i="2"/>
  <c r="F645" i="2"/>
  <c r="R615" i="2"/>
  <c r="T614" i="2"/>
  <c r="K616" i="2"/>
  <c r="M616" i="2" s="1"/>
  <c r="M615" i="2"/>
  <c r="F614" i="2"/>
  <c r="D615" i="2"/>
  <c r="D585" i="2"/>
  <c r="F584" i="2"/>
  <c r="R554" i="2"/>
  <c r="T554" i="2" s="1"/>
  <c r="T553" i="2"/>
  <c r="M552" i="2"/>
  <c r="E25" i="2"/>
  <c r="B25" i="2"/>
  <c r="F25" i="2"/>
  <c r="C25" i="2"/>
  <c r="D26" i="2"/>
  <c r="J1371" i="2" l="1"/>
  <c r="M1371" i="2"/>
  <c r="K1372" i="2"/>
  <c r="L1371" i="2"/>
  <c r="I1371" i="2"/>
  <c r="M1339" i="2"/>
  <c r="K1340" i="2"/>
  <c r="L1339" i="2"/>
  <c r="J1339" i="2"/>
  <c r="I1339" i="2"/>
  <c r="M1308" i="2"/>
  <c r="L1308" i="2"/>
  <c r="I1308" i="2"/>
  <c r="J1308" i="2"/>
  <c r="K1309" i="2"/>
  <c r="B1297" i="2"/>
  <c r="E1297" i="2"/>
  <c r="C1297" i="2"/>
  <c r="D1298" i="2"/>
  <c r="F1297" i="2"/>
  <c r="E1266" i="2"/>
  <c r="C1266" i="2"/>
  <c r="D1267" i="2"/>
  <c r="B1266" i="2"/>
  <c r="F1266" i="2"/>
  <c r="K1214" i="2"/>
  <c r="E1236" i="2"/>
  <c r="F1236" i="2"/>
  <c r="C1236" i="2"/>
  <c r="B1236" i="2"/>
  <c r="K1183" i="2"/>
  <c r="E1205" i="2"/>
  <c r="F1205" i="2"/>
  <c r="C1205" i="2"/>
  <c r="B1205" i="2"/>
  <c r="F1174" i="2"/>
  <c r="E1174" i="2"/>
  <c r="C1174" i="2"/>
  <c r="B1174" i="2"/>
  <c r="K1152" i="2"/>
  <c r="F1142" i="2"/>
  <c r="E1142" i="2"/>
  <c r="C1142" i="2"/>
  <c r="B1142" i="2"/>
  <c r="D1143" i="2"/>
  <c r="K1090" i="2"/>
  <c r="F1112" i="2"/>
  <c r="E1112" i="2"/>
  <c r="C1112" i="2"/>
  <c r="B1112" i="2"/>
  <c r="K1059" i="2"/>
  <c r="F1081" i="2"/>
  <c r="C1081" i="2"/>
  <c r="B1081" i="2"/>
  <c r="E1081" i="2"/>
  <c r="C1049" i="2"/>
  <c r="D1050" i="2"/>
  <c r="B1049" i="2"/>
  <c r="F1049" i="2"/>
  <c r="E1049" i="2"/>
  <c r="M998" i="2"/>
  <c r="L998" i="2"/>
  <c r="K999" i="2"/>
  <c r="J998" i="2"/>
  <c r="I998" i="2"/>
  <c r="K966" i="2"/>
  <c r="F988" i="2"/>
  <c r="E988" i="2"/>
  <c r="B988" i="2"/>
  <c r="C988" i="2"/>
  <c r="L935" i="2"/>
  <c r="I935" i="2"/>
  <c r="K936" i="2"/>
  <c r="J935" i="2"/>
  <c r="M935" i="2"/>
  <c r="L904" i="2"/>
  <c r="I904" i="2"/>
  <c r="K905" i="2"/>
  <c r="J904" i="2"/>
  <c r="M904" i="2"/>
  <c r="K873" i="2"/>
  <c r="F895" i="2"/>
  <c r="E895" i="2"/>
  <c r="C895" i="2"/>
  <c r="B895" i="2"/>
  <c r="F863" i="2"/>
  <c r="D864" i="2"/>
  <c r="C863" i="2"/>
  <c r="E863" i="2"/>
  <c r="B863" i="2"/>
  <c r="R833" i="2"/>
  <c r="T833" i="2" s="1"/>
  <c r="T832" i="2"/>
  <c r="D811" i="2"/>
  <c r="T802" i="2"/>
  <c r="K802" i="2"/>
  <c r="M802" i="2" s="1"/>
  <c r="M801" i="2"/>
  <c r="T771" i="2"/>
  <c r="D780" i="2"/>
  <c r="R718" i="2"/>
  <c r="M740" i="2"/>
  <c r="T709" i="2"/>
  <c r="D718" i="2"/>
  <c r="R656" i="2"/>
  <c r="M678" i="2"/>
  <c r="R647" i="2"/>
  <c r="T646" i="2"/>
  <c r="K647" i="2"/>
  <c r="M647" i="2" s="1"/>
  <c r="M646" i="2"/>
  <c r="D647" i="2"/>
  <c r="F647" i="2" s="1"/>
  <c r="F646" i="2"/>
  <c r="R616" i="2"/>
  <c r="T616" i="2" s="1"/>
  <c r="T615" i="2"/>
  <c r="D616" i="2"/>
  <c r="F616" i="2" s="1"/>
  <c r="F615" i="2"/>
  <c r="F585" i="2"/>
  <c r="K563" i="2"/>
  <c r="M554" i="2"/>
  <c r="M553" i="2"/>
  <c r="E26" i="2"/>
  <c r="B26" i="2"/>
  <c r="F26" i="2"/>
  <c r="C26" i="2"/>
  <c r="D27" i="2"/>
  <c r="K1373" i="2" l="1"/>
  <c r="I1372" i="2"/>
  <c r="L1372" i="2"/>
  <c r="J1372" i="2"/>
  <c r="M1372" i="2"/>
  <c r="L1340" i="2"/>
  <c r="I1340" i="2"/>
  <c r="M1340" i="2"/>
  <c r="K1341" i="2"/>
  <c r="J1340" i="2"/>
  <c r="M1309" i="2"/>
  <c r="L1309" i="2"/>
  <c r="J1309" i="2"/>
  <c r="I1309" i="2"/>
  <c r="K1310" i="2"/>
  <c r="K1276" i="2"/>
  <c r="F1298" i="2"/>
  <c r="E1298" i="2"/>
  <c r="C1298" i="2"/>
  <c r="B1298" i="2"/>
  <c r="F1267" i="2"/>
  <c r="B1267" i="2"/>
  <c r="K1245" i="2"/>
  <c r="C1267" i="2"/>
  <c r="E1267" i="2"/>
  <c r="L1214" i="2"/>
  <c r="I1214" i="2"/>
  <c r="K1215" i="2"/>
  <c r="J1214" i="2"/>
  <c r="M1214" i="2"/>
  <c r="L1183" i="2"/>
  <c r="J1183" i="2"/>
  <c r="I1183" i="2"/>
  <c r="K1184" i="2"/>
  <c r="M1183" i="2"/>
  <c r="K1153" i="2"/>
  <c r="M1152" i="2"/>
  <c r="L1152" i="2"/>
  <c r="J1152" i="2"/>
  <c r="I1152" i="2"/>
  <c r="K1121" i="2"/>
  <c r="F1143" i="2"/>
  <c r="E1143" i="2"/>
  <c r="C1143" i="2"/>
  <c r="B1143" i="2"/>
  <c r="L1090" i="2"/>
  <c r="J1090" i="2"/>
  <c r="K1091" i="2"/>
  <c r="I1090" i="2"/>
  <c r="M1090" i="2"/>
  <c r="L1059" i="2"/>
  <c r="I1059" i="2"/>
  <c r="K1060" i="2"/>
  <c r="J1059" i="2"/>
  <c r="M1059" i="2"/>
  <c r="K1028" i="2"/>
  <c r="F1050" i="2"/>
  <c r="E1050" i="2"/>
  <c r="C1050" i="2"/>
  <c r="B1050" i="2"/>
  <c r="L999" i="2"/>
  <c r="M999" i="2"/>
  <c r="J999" i="2"/>
  <c r="I999" i="2"/>
  <c r="K1000" i="2"/>
  <c r="L966" i="2"/>
  <c r="K967" i="2"/>
  <c r="J966" i="2"/>
  <c r="M966" i="2"/>
  <c r="I966" i="2"/>
  <c r="M936" i="2"/>
  <c r="J936" i="2"/>
  <c r="L936" i="2"/>
  <c r="K937" i="2"/>
  <c r="I936" i="2"/>
  <c r="M905" i="2"/>
  <c r="L905" i="2"/>
  <c r="K906" i="2"/>
  <c r="J905" i="2"/>
  <c r="I905" i="2"/>
  <c r="L873" i="2"/>
  <c r="K874" i="2"/>
  <c r="J873" i="2"/>
  <c r="I873" i="2"/>
  <c r="M873" i="2"/>
  <c r="K842" i="2"/>
  <c r="F864" i="2"/>
  <c r="E864" i="2"/>
  <c r="C864" i="2"/>
  <c r="B864" i="2"/>
  <c r="D812" i="2"/>
  <c r="F811" i="2"/>
  <c r="D781" i="2"/>
  <c r="F780" i="2"/>
  <c r="R719" i="2"/>
  <c r="T718" i="2"/>
  <c r="D719" i="2"/>
  <c r="F718" i="2"/>
  <c r="T656" i="2"/>
  <c r="R657" i="2"/>
  <c r="D656" i="2"/>
  <c r="T647" i="2"/>
  <c r="K564" i="2"/>
  <c r="M563" i="2"/>
  <c r="K5" i="2"/>
  <c r="E27" i="2"/>
  <c r="B27" i="2"/>
  <c r="C27" i="2"/>
  <c r="F27" i="2"/>
  <c r="K6" i="2"/>
  <c r="M1373" i="2" l="1"/>
  <c r="L1373" i="2"/>
  <c r="I1373" i="2"/>
  <c r="K1374" i="2"/>
  <c r="J1373" i="2"/>
  <c r="L1341" i="2"/>
  <c r="J1341" i="2"/>
  <c r="I1341" i="2"/>
  <c r="M1341" i="2"/>
  <c r="K1342" i="2"/>
  <c r="M1310" i="2"/>
  <c r="L1310" i="2"/>
  <c r="J1310" i="2"/>
  <c r="I1310" i="2"/>
  <c r="K1311" i="2"/>
  <c r="L1276" i="2"/>
  <c r="K1277" i="2"/>
  <c r="I1276" i="2"/>
  <c r="J1276" i="2"/>
  <c r="M1276" i="2"/>
  <c r="L1245" i="2"/>
  <c r="M1245" i="2"/>
  <c r="K1246" i="2"/>
  <c r="J1245" i="2"/>
  <c r="I1245" i="2"/>
  <c r="M1215" i="2"/>
  <c r="L1215" i="2"/>
  <c r="K1216" i="2"/>
  <c r="J1215" i="2"/>
  <c r="I1215" i="2"/>
  <c r="M1184" i="2"/>
  <c r="L1184" i="2"/>
  <c r="K1185" i="2"/>
  <c r="J1184" i="2"/>
  <c r="I1184" i="2"/>
  <c r="M1153" i="2"/>
  <c r="L1153" i="2"/>
  <c r="K1154" i="2"/>
  <c r="J1153" i="2"/>
  <c r="I1153" i="2"/>
  <c r="L1121" i="2"/>
  <c r="K1122" i="2"/>
  <c r="J1121" i="2"/>
  <c r="I1121" i="2"/>
  <c r="M1121" i="2"/>
  <c r="M1091" i="2"/>
  <c r="J1091" i="2"/>
  <c r="L1091" i="2"/>
  <c r="K1092" i="2"/>
  <c r="I1091" i="2"/>
  <c r="M1060" i="2"/>
  <c r="K1061" i="2"/>
  <c r="I1060" i="2"/>
  <c r="L1060" i="2"/>
  <c r="J1060" i="2"/>
  <c r="L1028" i="2"/>
  <c r="I1028" i="2"/>
  <c r="K1029" i="2"/>
  <c r="J1028" i="2"/>
  <c r="M1028" i="2"/>
  <c r="M1000" i="2"/>
  <c r="L1000" i="2"/>
  <c r="I1000" i="2"/>
  <c r="K1001" i="2"/>
  <c r="J1000" i="2"/>
  <c r="M967" i="2"/>
  <c r="L967" i="2"/>
  <c r="K968" i="2"/>
  <c r="J967" i="2"/>
  <c r="I967" i="2"/>
  <c r="K938" i="2"/>
  <c r="M937" i="2"/>
  <c r="J937" i="2"/>
  <c r="L937" i="2"/>
  <c r="I937" i="2"/>
  <c r="M906" i="2"/>
  <c r="L906" i="2"/>
  <c r="K907" i="2"/>
  <c r="J906" i="2"/>
  <c r="I906" i="2"/>
  <c r="M874" i="2"/>
  <c r="L874" i="2"/>
  <c r="K875" i="2"/>
  <c r="J874" i="2"/>
  <c r="I874" i="2"/>
  <c r="L842" i="2"/>
  <c r="K843" i="2"/>
  <c r="J842" i="2"/>
  <c r="I842" i="2"/>
  <c r="M842" i="2"/>
  <c r="F812" i="2"/>
  <c r="D813" i="2"/>
  <c r="F781" i="2"/>
  <c r="D782" i="2"/>
  <c r="R720" i="2"/>
  <c r="T719" i="2"/>
  <c r="F719" i="2"/>
  <c r="D720" i="2"/>
  <c r="T657" i="2"/>
  <c r="R658" i="2"/>
  <c r="D657" i="2"/>
  <c r="F656" i="2"/>
  <c r="K565" i="2"/>
  <c r="M564" i="2"/>
  <c r="M6" i="2"/>
  <c r="L6" i="2"/>
  <c r="I6" i="2"/>
  <c r="J6" i="2"/>
  <c r="I5" i="2"/>
  <c r="L5" i="2"/>
  <c r="M5" i="2"/>
  <c r="J5" i="2"/>
  <c r="K7" i="2"/>
  <c r="K1375" i="2" l="1"/>
  <c r="I1374" i="2"/>
  <c r="M1374" i="2"/>
  <c r="L1374" i="2"/>
  <c r="J1374" i="2"/>
  <c r="M1342" i="2"/>
  <c r="L1342" i="2"/>
  <c r="K1343" i="2"/>
  <c r="J1342" i="2"/>
  <c r="I1342" i="2"/>
  <c r="M1311" i="2"/>
  <c r="K1312" i="2"/>
  <c r="L1311" i="2"/>
  <c r="I1311" i="2"/>
  <c r="J1311" i="2"/>
  <c r="M1277" i="2"/>
  <c r="I1277" i="2"/>
  <c r="L1277" i="2"/>
  <c r="K1278" i="2"/>
  <c r="J1277" i="2"/>
  <c r="M1246" i="2"/>
  <c r="J1246" i="2"/>
  <c r="I1246" i="2"/>
  <c r="L1246" i="2"/>
  <c r="K1247" i="2"/>
  <c r="I1216" i="2"/>
  <c r="M1216" i="2"/>
  <c r="L1216" i="2"/>
  <c r="K1217" i="2"/>
  <c r="J1216" i="2"/>
  <c r="L1185" i="2"/>
  <c r="M1185" i="2"/>
  <c r="J1185" i="2"/>
  <c r="I1185" i="2"/>
  <c r="K1186" i="2"/>
  <c r="I1154" i="2"/>
  <c r="K1155" i="2"/>
  <c r="M1154" i="2"/>
  <c r="L1154" i="2"/>
  <c r="J1154" i="2"/>
  <c r="M1122" i="2"/>
  <c r="K1123" i="2"/>
  <c r="I1122" i="2"/>
  <c r="L1122" i="2"/>
  <c r="J1122" i="2"/>
  <c r="J1092" i="2"/>
  <c r="M1092" i="2"/>
  <c r="L1092" i="2"/>
  <c r="K1093" i="2"/>
  <c r="I1092" i="2"/>
  <c r="K1062" i="2"/>
  <c r="I1061" i="2"/>
  <c r="M1061" i="2"/>
  <c r="L1061" i="2"/>
  <c r="J1061" i="2"/>
  <c r="M1029" i="2"/>
  <c r="L1029" i="2"/>
  <c r="K1030" i="2"/>
  <c r="J1029" i="2"/>
  <c r="I1029" i="2"/>
  <c r="M1001" i="2"/>
  <c r="I1001" i="2"/>
  <c r="K1002" i="2"/>
  <c r="L1001" i="2"/>
  <c r="J1001" i="2"/>
  <c r="M968" i="2"/>
  <c r="L968" i="2"/>
  <c r="I968" i="2"/>
  <c r="K969" i="2"/>
  <c r="J968" i="2"/>
  <c r="K939" i="2"/>
  <c r="I938" i="2"/>
  <c r="M938" i="2"/>
  <c r="J938" i="2"/>
  <c r="L938" i="2"/>
  <c r="I907" i="2"/>
  <c r="M907" i="2"/>
  <c r="L907" i="2"/>
  <c r="K908" i="2"/>
  <c r="J907" i="2"/>
  <c r="M875" i="2"/>
  <c r="K876" i="2"/>
  <c r="L875" i="2"/>
  <c r="J875" i="2"/>
  <c r="I875" i="2"/>
  <c r="M843" i="2"/>
  <c r="K844" i="2"/>
  <c r="I843" i="2"/>
  <c r="L843" i="2"/>
  <c r="J843" i="2"/>
  <c r="F813" i="2"/>
  <c r="D814" i="2"/>
  <c r="D783" i="2"/>
  <c r="F782" i="2"/>
  <c r="T720" i="2"/>
  <c r="R721" i="2"/>
  <c r="F720" i="2"/>
  <c r="D721" i="2"/>
  <c r="T658" i="2"/>
  <c r="R659" i="2"/>
  <c r="D658" i="2"/>
  <c r="F657" i="2"/>
  <c r="M565" i="2"/>
  <c r="K566" i="2"/>
  <c r="L7" i="2"/>
  <c r="M7" i="2"/>
  <c r="I7" i="2"/>
  <c r="J7" i="2"/>
  <c r="K8" i="2"/>
  <c r="L1375" i="2" l="1"/>
  <c r="K1376" i="2"/>
  <c r="J1375" i="2"/>
  <c r="I1375" i="2"/>
  <c r="M1375" i="2"/>
  <c r="L1343" i="2"/>
  <c r="K1344" i="2"/>
  <c r="M1343" i="2"/>
  <c r="J1343" i="2"/>
  <c r="I1343" i="2"/>
  <c r="M1312" i="2"/>
  <c r="L1312" i="2"/>
  <c r="J1312" i="2"/>
  <c r="I1312" i="2"/>
  <c r="K1313" i="2"/>
  <c r="K1279" i="2"/>
  <c r="M1278" i="2"/>
  <c r="L1278" i="2"/>
  <c r="J1278" i="2"/>
  <c r="I1278" i="2"/>
  <c r="M1247" i="2"/>
  <c r="K1248" i="2"/>
  <c r="I1247" i="2"/>
  <c r="L1247" i="2"/>
  <c r="J1247" i="2"/>
  <c r="M1217" i="2"/>
  <c r="L1217" i="2"/>
  <c r="K1218" i="2"/>
  <c r="J1217" i="2"/>
  <c r="I1217" i="2"/>
  <c r="M1186" i="2"/>
  <c r="L1186" i="2"/>
  <c r="J1186" i="2"/>
  <c r="K1187" i="2"/>
  <c r="I1186" i="2"/>
  <c r="K1156" i="2"/>
  <c r="M1155" i="2"/>
  <c r="L1155" i="2"/>
  <c r="J1155" i="2"/>
  <c r="I1155" i="2"/>
  <c r="K1124" i="2"/>
  <c r="M1123" i="2"/>
  <c r="L1123" i="2"/>
  <c r="J1123" i="2"/>
  <c r="I1123" i="2"/>
  <c r="J1093" i="2"/>
  <c r="M1093" i="2"/>
  <c r="L1093" i="2"/>
  <c r="K1094" i="2"/>
  <c r="I1093" i="2"/>
  <c r="M1062" i="2"/>
  <c r="K1063" i="2"/>
  <c r="J1062" i="2"/>
  <c r="L1062" i="2"/>
  <c r="I1062" i="2"/>
  <c r="L1030" i="2"/>
  <c r="K1031" i="2"/>
  <c r="M1030" i="2"/>
  <c r="J1030" i="2"/>
  <c r="I1030" i="2"/>
  <c r="L1002" i="2"/>
  <c r="M1002" i="2"/>
  <c r="J1002" i="2"/>
  <c r="I1002" i="2"/>
  <c r="K1003" i="2"/>
  <c r="M969" i="2"/>
  <c r="L969" i="2"/>
  <c r="I969" i="2"/>
  <c r="K970" i="2"/>
  <c r="J969" i="2"/>
  <c r="I939" i="2"/>
  <c r="M939" i="2"/>
  <c r="L939" i="2"/>
  <c r="J939" i="2"/>
  <c r="K940" i="2"/>
  <c r="M908" i="2"/>
  <c r="L908" i="2"/>
  <c r="K909" i="2"/>
  <c r="J908" i="2"/>
  <c r="I908" i="2"/>
  <c r="M876" i="2"/>
  <c r="L876" i="2"/>
  <c r="J876" i="2"/>
  <c r="K877" i="2"/>
  <c r="I876" i="2"/>
  <c r="M844" i="2"/>
  <c r="L844" i="2"/>
  <c r="K845" i="2"/>
  <c r="I844" i="2"/>
  <c r="J844" i="2"/>
  <c r="D815" i="2"/>
  <c r="F814" i="2"/>
  <c r="F783" i="2"/>
  <c r="D784" i="2"/>
  <c r="R722" i="2"/>
  <c r="T721" i="2"/>
  <c r="F721" i="2"/>
  <c r="D722" i="2"/>
  <c r="T659" i="2"/>
  <c r="R660" i="2"/>
  <c r="D659" i="2"/>
  <c r="F658" i="2"/>
  <c r="M566" i="2"/>
  <c r="K567" i="2"/>
  <c r="L8" i="2"/>
  <c r="M8" i="2"/>
  <c r="I8" i="2"/>
  <c r="J8" i="2"/>
  <c r="K9" i="2"/>
  <c r="J1376" i="2" l="1"/>
  <c r="L1376" i="2"/>
  <c r="M1376" i="2"/>
  <c r="K1377" i="2"/>
  <c r="I1376" i="2"/>
  <c r="M1344" i="2"/>
  <c r="L1344" i="2"/>
  <c r="J1344" i="2"/>
  <c r="K1345" i="2"/>
  <c r="I1344" i="2"/>
  <c r="M1313" i="2"/>
  <c r="L1313" i="2"/>
  <c r="J1313" i="2"/>
  <c r="I1313" i="2"/>
  <c r="K1314" i="2"/>
  <c r="M1279" i="2"/>
  <c r="L1279" i="2"/>
  <c r="K1280" i="2"/>
  <c r="J1279" i="2"/>
  <c r="I1279" i="2"/>
  <c r="J1248" i="2"/>
  <c r="M1248" i="2"/>
  <c r="L1248" i="2"/>
  <c r="K1249" i="2"/>
  <c r="I1248" i="2"/>
  <c r="L1218" i="2"/>
  <c r="J1218" i="2"/>
  <c r="M1218" i="2"/>
  <c r="K1219" i="2"/>
  <c r="I1218" i="2"/>
  <c r="M1187" i="2"/>
  <c r="L1187" i="2"/>
  <c r="K1188" i="2"/>
  <c r="J1187" i="2"/>
  <c r="I1187" i="2"/>
  <c r="L1156" i="2"/>
  <c r="J1156" i="2"/>
  <c r="K1157" i="2"/>
  <c r="M1156" i="2"/>
  <c r="I1156" i="2"/>
  <c r="M1124" i="2"/>
  <c r="J1124" i="2"/>
  <c r="L1124" i="2"/>
  <c r="K1125" i="2"/>
  <c r="I1124" i="2"/>
  <c r="M1094" i="2"/>
  <c r="L1094" i="2"/>
  <c r="J1094" i="2"/>
  <c r="K1095" i="2"/>
  <c r="I1094" i="2"/>
  <c r="M1063" i="2"/>
  <c r="L1063" i="2"/>
  <c r="K1064" i="2"/>
  <c r="J1063" i="2"/>
  <c r="I1063" i="2"/>
  <c r="M1031" i="2"/>
  <c r="L1031" i="2"/>
  <c r="K1032" i="2"/>
  <c r="J1031" i="2"/>
  <c r="I1031" i="2"/>
  <c r="M1003" i="2"/>
  <c r="L1003" i="2"/>
  <c r="I1003" i="2"/>
  <c r="K1004" i="2"/>
  <c r="J1003" i="2"/>
  <c r="M970" i="2"/>
  <c r="J970" i="2"/>
  <c r="I970" i="2"/>
  <c r="K971" i="2"/>
  <c r="L970" i="2"/>
  <c r="M940" i="2"/>
  <c r="L940" i="2"/>
  <c r="K941" i="2"/>
  <c r="I940" i="2"/>
  <c r="J940" i="2"/>
  <c r="M909" i="2"/>
  <c r="L909" i="2"/>
  <c r="I909" i="2"/>
  <c r="K910" i="2"/>
  <c r="J909" i="2"/>
  <c r="M877" i="2"/>
  <c r="L877" i="2"/>
  <c r="J877" i="2"/>
  <c r="K878" i="2"/>
  <c r="I877" i="2"/>
  <c r="M845" i="2"/>
  <c r="L845" i="2"/>
  <c r="K846" i="2"/>
  <c r="J845" i="2"/>
  <c r="I845" i="2"/>
  <c r="D816" i="2"/>
  <c r="F815" i="2"/>
  <c r="F784" i="2"/>
  <c r="D785" i="2"/>
  <c r="R723" i="2"/>
  <c r="T722" i="2"/>
  <c r="F722" i="2"/>
  <c r="D723" i="2"/>
  <c r="T660" i="2"/>
  <c r="R661" i="2"/>
  <c r="F659" i="2"/>
  <c r="D660" i="2"/>
  <c r="M567" i="2"/>
  <c r="K568" i="2"/>
  <c r="L9" i="2"/>
  <c r="M9" i="2"/>
  <c r="J9" i="2"/>
  <c r="I9" i="2"/>
  <c r="K10" i="2"/>
  <c r="L1377" i="2" l="1"/>
  <c r="M1377" i="2"/>
  <c r="K1378" i="2"/>
  <c r="I1377" i="2"/>
  <c r="J1377" i="2"/>
  <c r="M1345" i="2"/>
  <c r="L1345" i="2"/>
  <c r="J1345" i="2"/>
  <c r="I1345" i="2"/>
  <c r="K1346" i="2"/>
  <c r="K1315" i="2"/>
  <c r="M1314" i="2"/>
  <c r="L1314" i="2"/>
  <c r="J1314" i="2"/>
  <c r="I1314" i="2"/>
  <c r="M1280" i="2"/>
  <c r="L1280" i="2"/>
  <c r="J1280" i="2"/>
  <c r="I1280" i="2"/>
  <c r="K1281" i="2"/>
  <c r="M1249" i="2"/>
  <c r="K1250" i="2"/>
  <c r="J1249" i="2"/>
  <c r="L1249" i="2"/>
  <c r="I1249" i="2"/>
  <c r="M1219" i="2"/>
  <c r="L1219" i="2"/>
  <c r="K1220" i="2"/>
  <c r="J1219" i="2"/>
  <c r="I1219" i="2"/>
  <c r="M1188" i="2"/>
  <c r="L1188" i="2"/>
  <c r="J1188" i="2"/>
  <c r="I1188" i="2"/>
  <c r="K1189" i="2"/>
  <c r="I1157" i="2"/>
  <c r="K1158" i="2"/>
  <c r="M1157" i="2"/>
  <c r="L1157" i="2"/>
  <c r="J1157" i="2"/>
  <c r="M1125" i="2"/>
  <c r="L1125" i="2"/>
  <c r="K1126" i="2"/>
  <c r="J1125" i="2"/>
  <c r="I1125" i="2"/>
  <c r="L1095" i="2"/>
  <c r="M1095" i="2"/>
  <c r="K1096" i="2"/>
  <c r="I1095" i="2"/>
  <c r="J1095" i="2"/>
  <c r="M1064" i="2"/>
  <c r="K1065" i="2"/>
  <c r="J1064" i="2"/>
  <c r="L1064" i="2"/>
  <c r="I1064" i="2"/>
  <c r="M1032" i="2"/>
  <c r="L1032" i="2"/>
  <c r="I1032" i="2"/>
  <c r="K1033" i="2"/>
  <c r="J1032" i="2"/>
  <c r="K1005" i="2"/>
  <c r="M1004" i="2"/>
  <c r="L1004" i="2"/>
  <c r="J1004" i="2"/>
  <c r="I1004" i="2"/>
  <c r="I971" i="2"/>
  <c r="M971" i="2"/>
  <c r="K972" i="2"/>
  <c r="L971" i="2"/>
  <c r="J971" i="2"/>
  <c r="L941" i="2"/>
  <c r="M941" i="2"/>
  <c r="I941" i="2"/>
  <c r="J941" i="2"/>
  <c r="K942" i="2"/>
  <c r="M910" i="2"/>
  <c r="L910" i="2"/>
  <c r="J910" i="2"/>
  <c r="I910" i="2"/>
  <c r="K911" i="2"/>
  <c r="M878" i="2"/>
  <c r="L878" i="2"/>
  <c r="J878" i="2"/>
  <c r="I878" i="2"/>
  <c r="K879" i="2"/>
  <c r="M846" i="2"/>
  <c r="L846" i="2"/>
  <c r="K847" i="2"/>
  <c r="J846" i="2"/>
  <c r="I846" i="2"/>
  <c r="D817" i="2"/>
  <c r="F816" i="2"/>
  <c r="D786" i="2"/>
  <c r="F785" i="2"/>
  <c r="T723" i="2"/>
  <c r="R724" i="2"/>
  <c r="D724" i="2"/>
  <c r="F723" i="2"/>
  <c r="R662" i="2"/>
  <c r="T661" i="2"/>
  <c r="D661" i="2"/>
  <c r="F660" i="2"/>
  <c r="K569" i="2"/>
  <c r="M568" i="2"/>
  <c r="L10" i="2"/>
  <c r="M10" i="2"/>
  <c r="J10" i="2"/>
  <c r="I10" i="2"/>
  <c r="K11" i="2"/>
  <c r="M1378" i="2" l="1"/>
  <c r="L1378" i="2"/>
  <c r="K1379" i="2"/>
  <c r="I1378" i="2"/>
  <c r="J1378" i="2"/>
  <c r="M1346" i="2"/>
  <c r="L1346" i="2"/>
  <c r="K1347" i="2"/>
  <c r="J1346" i="2"/>
  <c r="I1346" i="2"/>
  <c r="L1315" i="2"/>
  <c r="J1315" i="2"/>
  <c r="I1315" i="2"/>
  <c r="K1316" i="2"/>
  <c r="M1315" i="2"/>
  <c r="M1281" i="2"/>
  <c r="L1281" i="2"/>
  <c r="J1281" i="2"/>
  <c r="I1281" i="2"/>
  <c r="K1282" i="2"/>
  <c r="M1250" i="2"/>
  <c r="L1250" i="2"/>
  <c r="K1251" i="2"/>
  <c r="J1250" i="2"/>
  <c r="I1250" i="2"/>
  <c r="M1220" i="2"/>
  <c r="L1220" i="2"/>
  <c r="K1221" i="2"/>
  <c r="J1220" i="2"/>
  <c r="I1220" i="2"/>
  <c r="M1189" i="2"/>
  <c r="L1189" i="2"/>
  <c r="K1190" i="2"/>
  <c r="J1189" i="2"/>
  <c r="I1189" i="2"/>
  <c r="K1159" i="2"/>
  <c r="J1158" i="2"/>
  <c r="I1158" i="2"/>
  <c r="M1158" i="2"/>
  <c r="L1158" i="2"/>
  <c r="M1126" i="2"/>
  <c r="L1126" i="2"/>
  <c r="I1126" i="2"/>
  <c r="J1126" i="2"/>
  <c r="K1127" i="2"/>
  <c r="M1096" i="2"/>
  <c r="L1096" i="2"/>
  <c r="K1097" i="2"/>
  <c r="J1096" i="2"/>
  <c r="I1096" i="2"/>
  <c r="M1065" i="2"/>
  <c r="L1065" i="2"/>
  <c r="K1066" i="2"/>
  <c r="J1065" i="2"/>
  <c r="I1065" i="2"/>
  <c r="M1033" i="2"/>
  <c r="L1033" i="2"/>
  <c r="J1033" i="2"/>
  <c r="I1033" i="2"/>
  <c r="K1034" i="2"/>
  <c r="L1005" i="2"/>
  <c r="J1005" i="2"/>
  <c r="I1005" i="2"/>
  <c r="K1006" i="2"/>
  <c r="M1005" i="2"/>
  <c r="K973" i="2"/>
  <c r="J972" i="2"/>
  <c r="I972" i="2"/>
  <c r="L972" i="2"/>
  <c r="M972" i="2"/>
  <c r="M942" i="2"/>
  <c r="L942" i="2"/>
  <c r="K943" i="2"/>
  <c r="J942" i="2"/>
  <c r="I942" i="2"/>
  <c r="M911" i="2"/>
  <c r="I911" i="2"/>
  <c r="K912" i="2"/>
  <c r="L911" i="2"/>
  <c r="J911" i="2"/>
  <c r="M879" i="2"/>
  <c r="L879" i="2"/>
  <c r="J879" i="2"/>
  <c r="I879" i="2"/>
  <c r="K880" i="2"/>
  <c r="L847" i="2"/>
  <c r="M847" i="2"/>
  <c r="I847" i="2"/>
  <c r="J847" i="2"/>
  <c r="K848" i="2"/>
  <c r="F817" i="2"/>
  <c r="D818" i="2"/>
  <c r="F786" i="2"/>
  <c r="D787" i="2"/>
  <c r="T724" i="2"/>
  <c r="R725" i="2"/>
  <c r="D725" i="2"/>
  <c r="F724" i="2"/>
  <c r="T662" i="2"/>
  <c r="R663" i="2"/>
  <c r="F661" i="2"/>
  <c r="D662" i="2"/>
  <c r="K570" i="2"/>
  <c r="M569" i="2"/>
  <c r="L11" i="2"/>
  <c r="M11" i="2"/>
  <c r="J11" i="2"/>
  <c r="I11" i="2"/>
  <c r="K12" i="2"/>
  <c r="M1379" i="2" l="1"/>
  <c r="L1379" i="2"/>
  <c r="I1379" i="2"/>
  <c r="J1379" i="2"/>
  <c r="K1380" i="2"/>
  <c r="M1347" i="2"/>
  <c r="L1347" i="2"/>
  <c r="I1347" i="2"/>
  <c r="J1347" i="2"/>
  <c r="K1348" i="2"/>
  <c r="M1316" i="2"/>
  <c r="L1316" i="2"/>
  <c r="I1316" i="2"/>
  <c r="J1316" i="2"/>
  <c r="K1317" i="2"/>
  <c r="K1283" i="2"/>
  <c r="I1282" i="2"/>
  <c r="M1282" i="2"/>
  <c r="L1282" i="2"/>
  <c r="J1282" i="2"/>
  <c r="L1251" i="2"/>
  <c r="M1251" i="2"/>
  <c r="K1252" i="2"/>
  <c r="J1251" i="2"/>
  <c r="I1251" i="2"/>
  <c r="M1221" i="2"/>
  <c r="L1221" i="2"/>
  <c r="K1222" i="2"/>
  <c r="J1221" i="2"/>
  <c r="I1221" i="2"/>
  <c r="M1190" i="2"/>
  <c r="J1190" i="2"/>
  <c r="I1190" i="2"/>
  <c r="K1191" i="2"/>
  <c r="L1190" i="2"/>
  <c r="K1160" i="2"/>
  <c r="J1159" i="2"/>
  <c r="I1159" i="2"/>
  <c r="M1159" i="2"/>
  <c r="L1159" i="2"/>
  <c r="M1127" i="2"/>
  <c r="K1128" i="2"/>
  <c r="J1127" i="2"/>
  <c r="I1127" i="2"/>
  <c r="L1127" i="2"/>
  <c r="M1097" i="2"/>
  <c r="L1097" i="2"/>
  <c r="K1098" i="2"/>
  <c r="J1097" i="2"/>
  <c r="I1097" i="2"/>
  <c r="M1066" i="2"/>
  <c r="L1066" i="2"/>
  <c r="I1066" i="2"/>
  <c r="K1067" i="2"/>
  <c r="J1066" i="2"/>
  <c r="K1035" i="2"/>
  <c r="L1034" i="2"/>
  <c r="J1034" i="2"/>
  <c r="I1034" i="2"/>
  <c r="M1034" i="2"/>
  <c r="M1006" i="2"/>
  <c r="L1006" i="2"/>
  <c r="J1006" i="2"/>
  <c r="K1007" i="2"/>
  <c r="I1006" i="2"/>
  <c r="K974" i="2"/>
  <c r="J973" i="2"/>
  <c r="I973" i="2"/>
  <c r="M973" i="2"/>
  <c r="L973" i="2"/>
  <c r="M943" i="2"/>
  <c r="L943" i="2"/>
  <c r="K944" i="2"/>
  <c r="J943" i="2"/>
  <c r="I943" i="2"/>
  <c r="M912" i="2"/>
  <c r="J912" i="2"/>
  <c r="L912" i="2"/>
  <c r="K913" i="2"/>
  <c r="I912" i="2"/>
  <c r="M880" i="2"/>
  <c r="J880" i="2"/>
  <c r="K881" i="2"/>
  <c r="L880" i="2"/>
  <c r="I880" i="2"/>
  <c r="M848" i="2"/>
  <c r="K849" i="2"/>
  <c r="J848" i="2"/>
  <c r="I848" i="2"/>
  <c r="L848" i="2"/>
  <c r="F818" i="2"/>
  <c r="D819" i="2"/>
  <c r="D788" i="2"/>
  <c r="F787" i="2"/>
  <c r="T725" i="2"/>
  <c r="R726" i="2"/>
  <c r="F725" i="2"/>
  <c r="D726" i="2"/>
  <c r="T663" i="2"/>
  <c r="R664" i="2"/>
  <c r="D663" i="2"/>
  <c r="F662" i="2"/>
  <c r="M570" i="2"/>
  <c r="K571" i="2"/>
  <c r="I12" i="2"/>
  <c r="M12" i="2"/>
  <c r="L12" i="2"/>
  <c r="J12" i="2"/>
  <c r="K13" i="2"/>
  <c r="L1380" i="2" l="1"/>
  <c r="J1380" i="2"/>
  <c r="I1380" i="2"/>
  <c r="K1381" i="2"/>
  <c r="M1380" i="2"/>
  <c r="J1348" i="2"/>
  <c r="I1348" i="2"/>
  <c r="L1348" i="2"/>
  <c r="K1349" i="2"/>
  <c r="M1348" i="2"/>
  <c r="K1318" i="2"/>
  <c r="M1317" i="2"/>
  <c r="L1317" i="2"/>
  <c r="I1317" i="2"/>
  <c r="J1317" i="2"/>
  <c r="L1283" i="2"/>
  <c r="I1283" i="2"/>
  <c r="M1283" i="2"/>
  <c r="J1283" i="2"/>
  <c r="K1284" i="2"/>
  <c r="I1252" i="2"/>
  <c r="M1252" i="2"/>
  <c r="L1252" i="2"/>
  <c r="K1253" i="2"/>
  <c r="J1252" i="2"/>
  <c r="K1223" i="2"/>
  <c r="L1222" i="2"/>
  <c r="J1222" i="2"/>
  <c r="I1222" i="2"/>
  <c r="M1222" i="2"/>
  <c r="M1191" i="2"/>
  <c r="L1191" i="2"/>
  <c r="J1191" i="2"/>
  <c r="I1191" i="2"/>
  <c r="K1192" i="2"/>
  <c r="L1160" i="2"/>
  <c r="K1161" i="2"/>
  <c r="J1160" i="2"/>
  <c r="I1160" i="2"/>
  <c r="M1160" i="2"/>
  <c r="K1129" i="2"/>
  <c r="J1128" i="2"/>
  <c r="M1128" i="2"/>
  <c r="L1128" i="2"/>
  <c r="I1128" i="2"/>
  <c r="M1098" i="2"/>
  <c r="L1098" i="2"/>
  <c r="K1099" i="2"/>
  <c r="J1098" i="2"/>
  <c r="I1098" i="2"/>
  <c r="M1067" i="2"/>
  <c r="K1068" i="2"/>
  <c r="J1067" i="2"/>
  <c r="I1067" i="2"/>
  <c r="L1067" i="2"/>
  <c r="J1035" i="2"/>
  <c r="I1035" i="2"/>
  <c r="K1036" i="2"/>
  <c r="M1035" i="2"/>
  <c r="L1035" i="2"/>
  <c r="K1008" i="2"/>
  <c r="M1007" i="2"/>
  <c r="L1007" i="2"/>
  <c r="J1007" i="2"/>
  <c r="I1007" i="2"/>
  <c r="L974" i="2"/>
  <c r="I974" i="2"/>
  <c r="K975" i="2"/>
  <c r="J974" i="2"/>
  <c r="M974" i="2"/>
  <c r="M944" i="2"/>
  <c r="L944" i="2"/>
  <c r="K945" i="2"/>
  <c r="J944" i="2"/>
  <c r="I944" i="2"/>
  <c r="I913" i="2"/>
  <c r="K914" i="2"/>
  <c r="L913" i="2"/>
  <c r="M913" i="2"/>
  <c r="J913" i="2"/>
  <c r="L881" i="2"/>
  <c r="J881" i="2"/>
  <c r="K882" i="2"/>
  <c r="M881" i="2"/>
  <c r="I881" i="2"/>
  <c r="K850" i="2"/>
  <c r="J849" i="2"/>
  <c r="M849" i="2"/>
  <c r="L849" i="2"/>
  <c r="I849" i="2"/>
  <c r="D820" i="2"/>
  <c r="F819" i="2"/>
  <c r="F788" i="2"/>
  <c r="D789" i="2"/>
  <c r="T726" i="2"/>
  <c r="R727" i="2"/>
  <c r="F726" i="2"/>
  <c r="D727" i="2"/>
  <c r="R665" i="2"/>
  <c r="T664" i="2"/>
  <c r="D664" i="2"/>
  <c r="F663" i="2"/>
  <c r="K572" i="2"/>
  <c r="M571" i="2"/>
  <c r="L13" i="2"/>
  <c r="I13" i="2"/>
  <c r="M13" i="2"/>
  <c r="J13" i="2"/>
  <c r="K14" i="2"/>
  <c r="L1381" i="2" l="1"/>
  <c r="I1381" i="2"/>
  <c r="K1382" i="2"/>
  <c r="M1381" i="2"/>
  <c r="J1381" i="2"/>
  <c r="K1350" i="2"/>
  <c r="M1349" i="2"/>
  <c r="L1349" i="2"/>
  <c r="J1349" i="2"/>
  <c r="I1349" i="2"/>
  <c r="I1318" i="2"/>
  <c r="J1318" i="2"/>
  <c r="K1319" i="2"/>
  <c r="L1318" i="2"/>
  <c r="M1318" i="2"/>
  <c r="K1285" i="2"/>
  <c r="M1284" i="2"/>
  <c r="L1284" i="2"/>
  <c r="J1284" i="2"/>
  <c r="I1284" i="2"/>
  <c r="J1253" i="2"/>
  <c r="I1253" i="2"/>
  <c r="K1254" i="2"/>
  <c r="M1253" i="2"/>
  <c r="L1253" i="2"/>
  <c r="L1223" i="2"/>
  <c r="K1224" i="2"/>
  <c r="M1223" i="2"/>
  <c r="J1223" i="2"/>
  <c r="I1223" i="2"/>
  <c r="K1193" i="2"/>
  <c r="M1192" i="2"/>
  <c r="J1192" i="2"/>
  <c r="I1192" i="2"/>
  <c r="L1192" i="2"/>
  <c r="M1161" i="2"/>
  <c r="L1161" i="2"/>
  <c r="K1162" i="2"/>
  <c r="J1161" i="2"/>
  <c r="I1161" i="2"/>
  <c r="L1129" i="2"/>
  <c r="K1130" i="2"/>
  <c r="J1129" i="2"/>
  <c r="I1129" i="2"/>
  <c r="M1129" i="2"/>
  <c r="M1099" i="2"/>
  <c r="L1099" i="2"/>
  <c r="K1100" i="2"/>
  <c r="J1099" i="2"/>
  <c r="I1099" i="2"/>
  <c r="J1068" i="2"/>
  <c r="I1068" i="2"/>
  <c r="M1068" i="2"/>
  <c r="L1068" i="2"/>
  <c r="K1069" i="2"/>
  <c r="M1036" i="2"/>
  <c r="L1036" i="2"/>
  <c r="J1036" i="2"/>
  <c r="I1036" i="2"/>
  <c r="K1037" i="2"/>
  <c r="J1008" i="2"/>
  <c r="I1008" i="2"/>
  <c r="K1009" i="2"/>
  <c r="M1008" i="2"/>
  <c r="L1008" i="2"/>
  <c r="M975" i="2"/>
  <c r="L975" i="2"/>
  <c r="I975" i="2"/>
  <c r="K976" i="2"/>
  <c r="J975" i="2"/>
  <c r="M945" i="2"/>
  <c r="L945" i="2"/>
  <c r="J945" i="2"/>
  <c r="I945" i="2"/>
  <c r="K946" i="2"/>
  <c r="M914" i="2"/>
  <c r="J914" i="2"/>
  <c r="L914" i="2"/>
  <c r="K915" i="2"/>
  <c r="I914" i="2"/>
  <c r="L882" i="2"/>
  <c r="J882" i="2"/>
  <c r="I882" i="2"/>
  <c r="M882" i="2"/>
  <c r="K883" i="2"/>
  <c r="L850" i="2"/>
  <c r="K851" i="2"/>
  <c r="J850" i="2"/>
  <c r="I850" i="2"/>
  <c r="M850" i="2"/>
  <c r="F820" i="2"/>
  <c r="D821" i="2"/>
  <c r="D790" i="2"/>
  <c r="F789" i="2"/>
  <c r="R728" i="2"/>
  <c r="T727" i="2"/>
  <c r="F727" i="2"/>
  <c r="D728" i="2"/>
  <c r="T665" i="2"/>
  <c r="R666" i="2"/>
  <c r="D665" i="2"/>
  <c r="F664" i="2"/>
  <c r="M572" i="2"/>
  <c r="K573" i="2"/>
  <c r="L14" i="2"/>
  <c r="I14" i="2"/>
  <c r="J14" i="2"/>
  <c r="M14" i="2"/>
  <c r="K15" i="2"/>
  <c r="I1382" i="2" l="1"/>
  <c r="M1382" i="2"/>
  <c r="L1382" i="2"/>
  <c r="J1382" i="2"/>
  <c r="K1383" i="2"/>
  <c r="M1350" i="2"/>
  <c r="L1350" i="2"/>
  <c r="J1350" i="2"/>
  <c r="I1350" i="2"/>
  <c r="K1351" i="2"/>
  <c r="M1319" i="2"/>
  <c r="L1319" i="2"/>
  <c r="J1319" i="2"/>
  <c r="K1320" i="2"/>
  <c r="I1319" i="2"/>
  <c r="J1285" i="2"/>
  <c r="I1285" i="2"/>
  <c r="K1286" i="2"/>
  <c r="M1285" i="2"/>
  <c r="L1285" i="2"/>
  <c r="K1255" i="2"/>
  <c r="I1254" i="2"/>
  <c r="J1254" i="2"/>
  <c r="M1254" i="2"/>
  <c r="L1254" i="2"/>
  <c r="J1224" i="2"/>
  <c r="I1224" i="2"/>
  <c r="L1224" i="2"/>
  <c r="K1225" i="2"/>
  <c r="M1224" i="2"/>
  <c r="J1193" i="2"/>
  <c r="I1193" i="2"/>
  <c r="L1193" i="2"/>
  <c r="K1194" i="2"/>
  <c r="M1193" i="2"/>
  <c r="M1162" i="2"/>
  <c r="L1162" i="2"/>
  <c r="K1163" i="2"/>
  <c r="J1162" i="2"/>
  <c r="I1162" i="2"/>
  <c r="M1130" i="2"/>
  <c r="L1130" i="2"/>
  <c r="J1130" i="2"/>
  <c r="K1131" i="2"/>
  <c r="I1130" i="2"/>
  <c r="M1100" i="2"/>
  <c r="L1100" i="2"/>
  <c r="K1101" i="2"/>
  <c r="J1100" i="2"/>
  <c r="I1100" i="2"/>
  <c r="K1070" i="2"/>
  <c r="J1069" i="2"/>
  <c r="I1069" i="2"/>
  <c r="M1069" i="2"/>
  <c r="L1069" i="2"/>
  <c r="K1038" i="2"/>
  <c r="M1037" i="2"/>
  <c r="L1037" i="2"/>
  <c r="J1037" i="2"/>
  <c r="I1037" i="2"/>
  <c r="M1009" i="2"/>
  <c r="L1009" i="2"/>
  <c r="I1009" i="2"/>
  <c r="J1009" i="2"/>
  <c r="K1010" i="2"/>
  <c r="M976" i="2"/>
  <c r="K977" i="2"/>
  <c r="L976" i="2"/>
  <c r="J976" i="2"/>
  <c r="I976" i="2"/>
  <c r="M946" i="2"/>
  <c r="K947" i="2"/>
  <c r="I946" i="2"/>
  <c r="J946" i="2"/>
  <c r="L946" i="2"/>
  <c r="I915" i="2"/>
  <c r="K916" i="2"/>
  <c r="M915" i="2"/>
  <c r="L915" i="2"/>
  <c r="J915" i="2"/>
  <c r="J883" i="2"/>
  <c r="K884" i="2"/>
  <c r="I883" i="2"/>
  <c r="M883" i="2"/>
  <c r="L883" i="2"/>
  <c r="M851" i="2"/>
  <c r="L851" i="2"/>
  <c r="J851" i="2"/>
  <c r="I851" i="2"/>
  <c r="K852" i="2"/>
  <c r="F821" i="2"/>
  <c r="D822" i="2"/>
  <c r="D791" i="2"/>
  <c r="F790" i="2"/>
  <c r="R729" i="2"/>
  <c r="T728" i="2"/>
  <c r="F728" i="2"/>
  <c r="D729" i="2"/>
  <c r="T666" i="2"/>
  <c r="R667" i="2"/>
  <c r="F665" i="2"/>
  <c r="D666" i="2"/>
  <c r="K574" i="2"/>
  <c r="M573" i="2"/>
  <c r="L15" i="2"/>
  <c r="I15" i="2"/>
  <c r="M15" i="2"/>
  <c r="J15" i="2"/>
  <c r="K16" i="2"/>
  <c r="K1384" i="2" l="1"/>
  <c r="J1383" i="2"/>
  <c r="I1383" i="2"/>
  <c r="M1383" i="2"/>
  <c r="L1383" i="2"/>
  <c r="I1351" i="2"/>
  <c r="K1352" i="2"/>
  <c r="J1351" i="2"/>
  <c r="M1351" i="2"/>
  <c r="L1351" i="2"/>
  <c r="I1320" i="2"/>
  <c r="M1320" i="2"/>
  <c r="L1320" i="2"/>
  <c r="J1320" i="2"/>
  <c r="K1321" i="2"/>
  <c r="M1286" i="2"/>
  <c r="L1286" i="2"/>
  <c r="J1286" i="2"/>
  <c r="I1286" i="2"/>
  <c r="K1287" i="2"/>
  <c r="L1255" i="2"/>
  <c r="K1256" i="2"/>
  <c r="I1255" i="2"/>
  <c r="J1255" i="2"/>
  <c r="M1255" i="2"/>
  <c r="L1225" i="2"/>
  <c r="M1225" i="2"/>
  <c r="K1226" i="2"/>
  <c r="J1225" i="2"/>
  <c r="I1225" i="2"/>
  <c r="M1194" i="2"/>
  <c r="I1194" i="2"/>
  <c r="K1195" i="2"/>
  <c r="L1194" i="2"/>
  <c r="J1194" i="2"/>
  <c r="M1163" i="2"/>
  <c r="L1163" i="2"/>
  <c r="J1163" i="2"/>
  <c r="I1163" i="2"/>
  <c r="K1164" i="2"/>
  <c r="M1131" i="2"/>
  <c r="J1131" i="2"/>
  <c r="I1131" i="2"/>
  <c r="K1132" i="2"/>
  <c r="L1131" i="2"/>
  <c r="M1101" i="2"/>
  <c r="L1101" i="2"/>
  <c r="I1101" i="2"/>
  <c r="K1102" i="2"/>
  <c r="J1101" i="2"/>
  <c r="M1070" i="2"/>
  <c r="L1070" i="2"/>
  <c r="K1071" i="2"/>
  <c r="J1070" i="2"/>
  <c r="I1070" i="2"/>
  <c r="L1038" i="2"/>
  <c r="J1038" i="2"/>
  <c r="I1038" i="2"/>
  <c r="M1038" i="2"/>
  <c r="K1039" i="2"/>
  <c r="I1010" i="2"/>
  <c r="L1010" i="2"/>
  <c r="M1010" i="2"/>
  <c r="K1011" i="2"/>
  <c r="J1010" i="2"/>
  <c r="M977" i="2"/>
  <c r="K978" i="2"/>
  <c r="L977" i="2"/>
  <c r="J977" i="2"/>
  <c r="I977" i="2"/>
  <c r="K948" i="2"/>
  <c r="M947" i="2"/>
  <c r="L947" i="2"/>
  <c r="J947" i="2"/>
  <c r="I947" i="2"/>
  <c r="M916" i="2"/>
  <c r="J916" i="2"/>
  <c r="L916" i="2"/>
  <c r="I916" i="2"/>
  <c r="K917" i="2"/>
  <c r="M884" i="2"/>
  <c r="L884" i="2"/>
  <c r="J884" i="2"/>
  <c r="I884" i="2"/>
  <c r="K885" i="2"/>
  <c r="M852" i="2"/>
  <c r="K853" i="2"/>
  <c r="I852" i="2"/>
  <c r="L852" i="2"/>
  <c r="J852" i="2"/>
  <c r="D823" i="2"/>
  <c r="F822" i="2"/>
  <c r="F791" i="2"/>
  <c r="D792" i="2"/>
  <c r="T729" i="2"/>
  <c r="R730" i="2"/>
  <c r="F729" i="2"/>
  <c r="D730" i="2"/>
  <c r="T667" i="2"/>
  <c r="R668" i="2"/>
  <c r="F666" i="2"/>
  <c r="D667" i="2"/>
  <c r="M574" i="2"/>
  <c r="K575" i="2"/>
  <c r="L16" i="2"/>
  <c r="I16" i="2"/>
  <c r="M16" i="2"/>
  <c r="J16" i="2"/>
  <c r="K17" i="2"/>
  <c r="K1385" i="2" l="1"/>
  <c r="J1384" i="2"/>
  <c r="I1384" i="2"/>
  <c r="M1384" i="2"/>
  <c r="L1384" i="2"/>
  <c r="K1353" i="2"/>
  <c r="J1352" i="2"/>
  <c r="I1352" i="2"/>
  <c r="M1352" i="2"/>
  <c r="L1352" i="2"/>
  <c r="K1322" i="2"/>
  <c r="J1321" i="2"/>
  <c r="I1321" i="2"/>
  <c r="M1321" i="2"/>
  <c r="L1321" i="2"/>
  <c r="K1288" i="2"/>
  <c r="M1287" i="2"/>
  <c r="L1287" i="2"/>
  <c r="J1287" i="2"/>
  <c r="I1287" i="2"/>
  <c r="J1256" i="2"/>
  <c r="M1256" i="2"/>
  <c r="L1256" i="2"/>
  <c r="K1257" i="2"/>
  <c r="I1256" i="2"/>
  <c r="I1226" i="2"/>
  <c r="M1226" i="2"/>
  <c r="L1226" i="2"/>
  <c r="J1226" i="2"/>
  <c r="K1227" i="2"/>
  <c r="K1196" i="2"/>
  <c r="J1195" i="2"/>
  <c r="I1195" i="2"/>
  <c r="M1195" i="2"/>
  <c r="L1195" i="2"/>
  <c r="M1164" i="2"/>
  <c r="K1165" i="2"/>
  <c r="L1164" i="2"/>
  <c r="J1164" i="2"/>
  <c r="I1164" i="2"/>
  <c r="K1133" i="2"/>
  <c r="M1132" i="2"/>
  <c r="L1132" i="2"/>
  <c r="J1132" i="2"/>
  <c r="I1132" i="2"/>
  <c r="M1102" i="2"/>
  <c r="K1103" i="2"/>
  <c r="L1102" i="2"/>
  <c r="J1102" i="2"/>
  <c r="I1102" i="2"/>
  <c r="M1071" i="2"/>
  <c r="J1071" i="2"/>
  <c r="K1072" i="2"/>
  <c r="I1071" i="2"/>
  <c r="L1071" i="2"/>
  <c r="K1040" i="2"/>
  <c r="M1039" i="2"/>
  <c r="J1039" i="2"/>
  <c r="I1039" i="2"/>
  <c r="L1039" i="2"/>
  <c r="K1012" i="2"/>
  <c r="J1011" i="2"/>
  <c r="I1011" i="2"/>
  <c r="L1011" i="2"/>
  <c r="M1011" i="2"/>
  <c r="L978" i="2"/>
  <c r="J978" i="2"/>
  <c r="I978" i="2"/>
  <c r="K979" i="2"/>
  <c r="M978" i="2"/>
  <c r="I948" i="2"/>
  <c r="K949" i="2"/>
  <c r="M948" i="2"/>
  <c r="L948" i="2"/>
  <c r="J948" i="2"/>
  <c r="I917" i="2"/>
  <c r="K918" i="2"/>
  <c r="L917" i="2"/>
  <c r="M917" i="2"/>
  <c r="J917" i="2"/>
  <c r="M885" i="2"/>
  <c r="L885" i="2"/>
  <c r="K886" i="2"/>
  <c r="J885" i="2"/>
  <c r="I885" i="2"/>
  <c r="M853" i="2"/>
  <c r="L853" i="2"/>
  <c r="J853" i="2"/>
  <c r="I853" i="2"/>
  <c r="K854" i="2"/>
  <c r="D824" i="2"/>
  <c r="F823" i="2"/>
  <c r="D793" i="2"/>
  <c r="F792" i="2"/>
  <c r="R731" i="2"/>
  <c r="T730" i="2"/>
  <c r="F730" i="2"/>
  <c r="D731" i="2"/>
  <c r="T668" i="2"/>
  <c r="R669" i="2"/>
  <c r="F667" i="2"/>
  <c r="D668" i="2"/>
  <c r="M575" i="2"/>
  <c r="K576" i="2"/>
  <c r="L17" i="2"/>
  <c r="I17" i="2"/>
  <c r="M17" i="2"/>
  <c r="J17" i="2"/>
  <c r="K18" i="2"/>
  <c r="L1385" i="2" l="1"/>
  <c r="I1385" i="2"/>
  <c r="K1386" i="2"/>
  <c r="J1385" i="2"/>
  <c r="M1385" i="2"/>
  <c r="K1354" i="2"/>
  <c r="J1353" i="2"/>
  <c r="I1353" i="2"/>
  <c r="L1353" i="2"/>
  <c r="M1353" i="2"/>
  <c r="K1323" i="2"/>
  <c r="J1322" i="2"/>
  <c r="I1322" i="2"/>
  <c r="M1322" i="2"/>
  <c r="L1322" i="2"/>
  <c r="M1288" i="2"/>
  <c r="L1288" i="2"/>
  <c r="J1288" i="2"/>
  <c r="I1288" i="2"/>
  <c r="K1289" i="2"/>
  <c r="M1257" i="2"/>
  <c r="I1257" i="2"/>
  <c r="K1258" i="2"/>
  <c r="L1257" i="2"/>
  <c r="J1257" i="2"/>
  <c r="I1227" i="2"/>
  <c r="K1228" i="2"/>
  <c r="M1227" i="2"/>
  <c r="L1227" i="2"/>
  <c r="J1227" i="2"/>
  <c r="I1196" i="2"/>
  <c r="L1196" i="2"/>
  <c r="J1196" i="2"/>
  <c r="K1197" i="2"/>
  <c r="M1196" i="2"/>
  <c r="L1165" i="2"/>
  <c r="J1165" i="2"/>
  <c r="I1165" i="2"/>
  <c r="M1165" i="2"/>
  <c r="K1166" i="2"/>
  <c r="L1133" i="2"/>
  <c r="J1133" i="2"/>
  <c r="I1133" i="2"/>
  <c r="M1133" i="2"/>
  <c r="K1134" i="2"/>
  <c r="I1103" i="2"/>
  <c r="M1103" i="2"/>
  <c r="J1103" i="2"/>
  <c r="L1103" i="2"/>
  <c r="K1104" i="2"/>
  <c r="I1072" i="2"/>
  <c r="L1072" i="2"/>
  <c r="J1072" i="2"/>
  <c r="M1072" i="2"/>
  <c r="K1073" i="2"/>
  <c r="L1040" i="2"/>
  <c r="J1040" i="2"/>
  <c r="I1040" i="2"/>
  <c r="K1041" i="2"/>
  <c r="M1040" i="2"/>
  <c r="K1013" i="2"/>
  <c r="J1012" i="2"/>
  <c r="I1012" i="2"/>
  <c r="M1012" i="2"/>
  <c r="L1012" i="2"/>
  <c r="I979" i="2"/>
  <c r="J979" i="2"/>
  <c r="K980" i="2"/>
  <c r="M979" i="2"/>
  <c r="L979" i="2"/>
  <c r="K950" i="2"/>
  <c r="J949" i="2"/>
  <c r="I949" i="2"/>
  <c r="M949" i="2"/>
  <c r="L949" i="2"/>
  <c r="K919" i="2"/>
  <c r="J918" i="2"/>
  <c r="I918" i="2"/>
  <c r="M918" i="2"/>
  <c r="L918" i="2"/>
  <c r="I886" i="2"/>
  <c r="L886" i="2"/>
  <c r="J886" i="2"/>
  <c r="M886" i="2"/>
  <c r="K887" i="2"/>
  <c r="K855" i="2"/>
  <c r="M854" i="2"/>
  <c r="L854" i="2"/>
  <c r="J854" i="2"/>
  <c r="I854" i="2"/>
  <c r="D825" i="2"/>
  <c r="F824" i="2"/>
  <c r="D794" i="2"/>
  <c r="F793" i="2"/>
  <c r="R732" i="2"/>
  <c r="T731" i="2"/>
  <c r="F731" i="2"/>
  <c r="D732" i="2"/>
  <c r="T669" i="2"/>
  <c r="R670" i="2"/>
  <c r="F668" i="2"/>
  <c r="D669" i="2"/>
  <c r="M576" i="2"/>
  <c r="K577" i="2"/>
  <c r="L18" i="2"/>
  <c r="I18" i="2"/>
  <c r="M18" i="2"/>
  <c r="J18" i="2"/>
  <c r="K19" i="2"/>
  <c r="M1386" i="2" l="1"/>
  <c r="K1387" i="2"/>
  <c r="J1386" i="2"/>
  <c r="L1386" i="2"/>
  <c r="I1386" i="2"/>
  <c r="L1354" i="2"/>
  <c r="I1354" i="2"/>
  <c r="K1355" i="2"/>
  <c r="J1354" i="2"/>
  <c r="M1354" i="2"/>
  <c r="L1323" i="2"/>
  <c r="K1324" i="2"/>
  <c r="J1323" i="2"/>
  <c r="I1323" i="2"/>
  <c r="M1323" i="2"/>
  <c r="I1289" i="2"/>
  <c r="K1290" i="2"/>
  <c r="M1289" i="2"/>
  <c r="L1289" i="2"/>
  <c r="J1289" i="2"/>
  <c r="I1258" i="2"/>
  <c r="M1258" i="2"/>
  <c r="L1258" i="2"/>
  <c r="K1259" i="2"/>
  <c r="J1258" i="2"/>
  <c r="K1229" i="2"/>
  <c r="J1228" i="2"/>
  <c r="I1228" i="2"/>
  <c r="M1228" i="2"/>
  <c r="L1228" i="2"/>
  <c r="K1198" i="2"/>
  <c r="J1197" i="2"/>
  <c r="I1197" i="2"/>
  <c r="M1197" i="2"/>
  <c r="L1197" i="2"/>
  <c r="J1166" i="2"/>
  <c r="I1166" i="2"/>
  <c r="M1166" i="2"/>
  <c r="L1166" i="2"/>
  <c r="K1167" i="2"/>
  <c r="I1134" i="2"/>
  <c r="K1135" i="2"/>
  <c r="M1134" i="2"/>
  <c r="L1134" i="2"/>
  <c r="J1134" i="2"/>
  <c r="K1105" i="2"/>
  <c r="J1104" i="2"/>
  <c r="I1104" i="2"/>
  <c r="L1104" i="2"/>
  <c r="M1104" i="2"/>
  <c r="K1074" i="2"/>
  <c r="J1073" i="2"/>
  <c r="I1073" i="2"/>
  <c r="L1073" i="2"/>
  <c r="M1073" i="2"/>
  <c r="I1041" i="2"/>
  <c r="M1041" i="2"/>
  <c r="L1041" i="2"/>
  <c r="K1042" i="2"/>
  <c r="J1041" i="2"/>
  <c r="L1013" i="2"/>
  <c r="K1014" i="2"/>
  <c r="J1013" i="2"/>
  <c r="I1013" i="2"/>
  <c r="M1013" i="2"/>
  <c r="K981" i="2"/>
  <c r="J980" i="2"/>
  <c r="I980" i="2"/>
  <c r="M980" i="2"/>
  <c r="L980" i="2"/>
  <c r="K951" i="2"/>
  <c r="J950" i="2"/>
  <c r="I950" i="2"/>
  <c r="M950" i="2"/>
  <c r="L950" i="2"/>
  <c r="K920" i="2"/>
  <c r="J919" i="2"/>
  <c r="I919" i="2"/>
  <c r="M919" i="2"/>
  <c r="L919" i="2"/>
  <c r="K888" i="2"/>
  <c r="J887" i="2"/>
  <c r="I887" i="2"/>
  <c r="M887" i="2"/>
  <c r="L887" i="2"/>
  <c r="I855" i="2"/>
  <c r="M855" i="2"/>
  <c r="L855" i="2"/>
  <c r="K856" i="2"/>
  <c r="J855" i="2"/>
  <c r="F825" i="2"/>
  <c r="D826" i="2"/>
  <c r="D795" i="2"/>
  <c r="F794" i="2"/>
  <c r="R733" i="2"/>
  <c r="T732" i="2"/>
  <c r="F732" i="2"/>
  <c r="D733" i="2"/>
  <c r="R671" i="2"/>
  <c r="T670" i="2"/>
  <c r="D670" i="2"/>
  <c r="F669" i="2"/>
  <c r="K578" i="2"/>
  <c r="M577" i="2"/>
  <c r="L19" i="2"/>
  <c r="I19" i="2"/>
  <c r="J19" i="2"/>
  <c r="M19" i="2"/>
  <c r="K20" i="2"/>
  <c r="M1387" i="2" l="1"/>
  <c r="K1388" i="2"/>
  <c r="J1387" i="2"/>
  <c r="I1387" i="2"/>
  <c r="L1387" i="2"/>
  <c r="M1355" i="2"/>
  <c r="L1355" i="2"/>
  <c r="K1356" i="2"/>
  <c r="J1355" i="2"/>
  <c r="I1355" i="2"/>
  <c r="M1324" i="2"/>
  <c r="L1324" i="2"/>
  <c r="K1325" i="2"/>
  <c r="J1324" i="2"/>
  <c r="I1324" i="2"/>
  <c r="K1291" i="2"/>
  <c r="J1290" i="2"/>
  <c r="I1290" i="2"/>
  <c r="L1290" i="2"/>
  <c r="M1290" i="2"/>
  <c r="K1260" i="2"/>
  <c r="J1259" i="2"/>
  <c r="I1259" i="2"/>
  <c r="L1259" i="2"/>
  <c r="M1259" i="2"/>
  <c r="K1230" i="2"/>
  <c r="J1229" i="2"/>
  <c r="I1229" i="2"/>
  <c r="M1229" i="2"/>
  <c r="L1229" i="2"/>
  <c r="I1198" i="2"/>
  <c r="K1199" i="2"/>
  <c r="J1198" i="2"/>
  <c r="M1198" i="2"/>
  <c r="L1198" i="2"/>
  <c r="M1167" i="2"/>
  <c r="K1168" i="2"/>
  <c r="L1167" i="2"/>
  <c r="J1167" i="2"/>
  <c r="I1167" i="2"/>
  <c r="K1136" i="2"/>
  <c r="J1135" i="2"/>
  <c r="I1135" i="2"/>
  <c r="M1135" i="2"/>
  <c r="L1135" i="2"/>
  <c r="K1106" i="2"/>
  <c r="J1105" i="2"/>
  <c r="I1105" i="2"/>
  <c r="M1105" i="2"/>
  <c r="L1105" i="2"/>
  <c r="K1075" i="2"/>
  <c r="J1074" i="2"/>
  <c r="I1074" i="2"/>
  <c r="L1074" i="2"/>
  <c r="M1074" i="2"/>
  <c r="K1043" i="2"/>
  <c r="J1042" i="2"/>
  <c r="I1042" i="2"/>
  <c r="M1042" i="2"/>
  <c r="L1042" i="2"/>
  <c r="M1014" i="2"/>
  <c r="L1014" i="2"/>
  <c r="K1015" i="2"/>
  <c r="J1014" i="2"/>
  <c r="I1014" i="2"/>
  <c r="K982" i="2"/>
  <c r="J981" i="2"/>
  <c r="I981" i="2"/>
  <c r="M981" i="2"/>
  <c r="L981" i="2"/>
  <c r="L951" i="2"/>
  <c r="K952" i="2"/>
  <c r="J951" i="2"/>
  <c r="I951" i="2"/>
  <c r="M951" i="2"/>
  <c r="L920" i="2"/>
  <c r="K921" i="2"/>
  <c r="J920" i="2"/>
  <c r="I920" i="2"/>
  <c r="M920" i="2"/>
  <c r="J888" i="2"/>
  <c r="I888" i="2"/>
  <c r="K889" i="2"/>
  <c r="M888" i="2"/>
  <c r="L888" i="2"/>
  <c r="K857" i="2"/>
  <c r="J856" i="2"/>
  <c r="I856" i="2"/>
  <c r="M856" i="2"/>
  <c r="L856" i="2"/>
  <c r="F826" i="2"/>
  <c r="D827" i="2"/>
  <c r="D796" i="2"/>
  <c r="F795" i="2"/>
  <c r="R734" i="2"/>
  <c r="T733" i="2"/>
  <c r="F733" i="2"/>
  <c r="D734" i="2"/>
  <c r="T671" i="2"/>
  <c r="R672" i="2"/>
  <c r="D671" i="2"/>
  <c r="F670" i="2"/>
  <c r="K579" i="2"/>
  <c r="M578" i="2"/>
  <c r="I20" i="2"/>
  <c r="L20" i="2"/>
  <c r="J20" i="2"/>
  <c r="M20" i="2"/>
  <c r="K21" i="2"/>
  <c r="L1388" i="2" l="1"/>
  <c r="M1388" i="2"/>
  <c r="K1389" i="2"/>
  <c r="J1388" i="2"/>
  <c r="I1388" i="2"/>
  <c r="K1357" i="2"/>
  <c r="J1356" i="2"/>
  <c r="I1356" i="2"/>
  <c r="M1356" i="2"/>
  <c r="L1356" i="2"/>
  <c r="M1325" i="2"/>
  <c r="L1325" i="2"/>
  <c r="J1325" i="2"/>
  <c r="I1325" i="2"/>
  <c r="K1326" i="2"/>
  <c r="K1292" i="2"/>
  <c r="J1291" i="2"/>
  <c r="I1291" i="2"/>
  <c r="M1291" i="2"/>
  <c r="L1291" i="2"/>
  <c r="L1260" i="2"/>
  <c r="K1261" i="2"/>
  <c r="J1260" i="2"/>
  <c r="I1260" i="2"/>
  <c r="M1260" i="2"/>
  <c r="L1230" i="2"/>
  <c r="K1231" i="2"/>
  <c r="J1230" i="2"/>
  <c r="I1230" i="2"/>
  <c r="M1230" i="2"/>
  <c r="L1199" i="2"/>
  <c r="K1200" i="2"/>
  <c r="J1199" i="2"/>
  <c r="I1199" i="2"/>
  <c r="M1199" i="2"/>
  <c r="J1168" i="2"/>
  <c r="I1168" i="2"/>
  <c r="K1169" i="2"/>
  <c r="M1168" i="2"/>
  <c r="L1168" i="2"/>
  <c r="K1137" i="2"/>
  <c r="J1136" i="2"/>
  <c r="I1136" i="2"/>
  <c r="M1136" i="2"/>
  <c r="L1136" i="2"/>
  <c r="L1106" i="2"/>
  <c r="J1106" i="2"/>
  <c r="I1106" i="2"/>
  <c r="K1107" i="2"/>
  <c r="M1106" i="2"/>
  <c r="L1075" i="2"/>
  <c r="K1076" i="2"/>
  <c r="I1075" i="2"/>
  <c r="J1075" i="2"/>
  <c r="M1075" i="2"/>
  <c r="K1044" i="2"/>
  <c r="J1043" i="2"/>
  <c r="I1043" i="2"/>
  <c r="M1043" i="2"/>
  <c r="L1043" i="2"/>
  <c r="M1015" i="2"/>
  <c r="L1015" i="2"/>
  <c r="J1015" i="2"/>
  <c r="I1015" i="2"/>
  <c r="K1016" i="2"/>
  <c r="L982" i="2"/>
  <c r="K983" i="2"/>
  <c r="J982" i="2"/>
  <c r="I982" i="2"/>
  <c r="M982" i="2"/>
  <c r="M952" i="2"/>
  <c r="L952" i="2"/>
  <c r="I952" i="2"/>
  <c r="K953" i="2"/>
  <c r="J952" i="2"/>
  <c r="M921" i="2"/>
  <c r="L921" i="2"/>
  <c r="J921" i="2"/>
  <c r="K922" i="2"/>
  <c r="I921" i="2"/>
  <c r="L889" i="2"/>
  <c r="K890" i="2"/>
  <c r="J889" i="2"/>
  <c r="I889" i="2"/>
  <c r="M889" i="2"/>
  <c r="K858" i="2"/>
  <c r="J857" i="2"/>
  <c r="I857" i="2"/>
  <c r="M857" i="2"/>
  <c r="L857" i="2"/>
  <c r="D828" i="2"/>
  <c r="F827" i="2"/>
  <c r="F796" i="2"/>
  <c r="D797" i="2"/>
  <c r="R735" i="2"/>
  <c r="T734" i="2"/>
  <c r="F734" i="2"/>
  <c r="D735" i="2"/>
  <c r="T672" i="2"/>
  <c r="R673" i="2"/>
  <c r="D672" i="2"/>
  <c r="F671" i="2"/>
  <c r="M579" i="2"/>
  <c r="K580" i="2"/>
  <c r="I21" i="2"/>
  <c r="L21" i="2"/>
  <c r="M21" i="2"/>
  <c r="J21" i="2"/>
  <c r="K22" i="2"/>
  <c r="L1389" i="2" l="1"/>
  <c r="M1389" i="2"/>
  <c r="J1389" i="2"/>
  <c r="I1389" i="2"/>
  <c r="K1390" i="2"/>
  <c r="L1357" i="2"/>
  <c r="I1357" i="2"/>
  <c r="J1357" i="2"/>
  <c r="M1357" i="2"/>
  <c r="K1358" i="2"/>
  <c r="M1326" i="2"/>
  <c r="L1326" i="2"/>
  <c r="K1327" i="2"/>
  <c r="J1326" i="2"/>
  <c r="I1326" i="2"/>
  <c r="L1292" i="2"/>
  <c r="K1293" i="2"/>
  <c r="J1292" i="2"/>
  <c r="I1292" i="2"/>
  <c r="M1292" i="2"/>
  <c r="L1261" i="2"/>
  <c r="M1261" i="2"/>
  <c r="K1262" i="2"/>
  <c r="J1261" i="2"/>
  <c r="I1261" i="2"/>
  <c r="M1231" i="2"/>
  <c r="L1231" i="2"/>
  <c r="K1232" i="2"/>
  <c r="J1231" i="2"/>
  <c r="I1231" i="2"/>
  <c r="M1200" i="2"/>
  <c r="K1201" i="2"/>
  <c r="J1200" i="2"/>
  <c r="I1200" i="2"/>
  <c r="L1200" i="2"/>
  <c r="I1169" i="2"/>
  <c r="M1169" i="2"/>
  <c r="L1169" i="2"/>
  <c r="K1170" i="2"/>
  <c r="J1169" i="2"/>
  <c r="L1137" i="2"/>
  <c r="J1137" i="2"/>
  <c r="K1138" i="2"/>
  <c r="I1137" i="2"/>
  <c r="M1137" i="2"/>
  <c r="M1107" i="2"/>
  <c r="L1107" i="2"/>
  <c r="K1108" i="2"/>
  <c r="J1107" i="2"/>
  <c r="I1107" i="2"/>
  <c r="M1076" i="2"/>
  <c r="K1077" i="2"/>
  <c r="J1076" i="2"/>
  <c r="I1076" i="2"/>
  <c r="L1076" i="2"/>
  <c r="L1044" i="2"/>
  <c r="K1045" i="2"/>
  <c r="J1044" i="2"/>
  <c r="I1044" i="2"/>
  <c r="M1044" i="2"/>
  <c r="M1016" i="2"/>
  <c r="L1016" i="2"/>
  <c r="J1016" i="2"/>
  <c r="I1016" i="2"/>
  <c r="K1017" i="2"/>
  <c r="M983" i="2"/>
  <c r="L983" i="2"/>
  <c r="K984" i="2"/>
  <c r="J983" i="2"/>
  <c r="I983" i="2"/>
  <c r="M953" i="2"/>
  <c r="L953" i="2"/>
  <c r="K954" i="2"/>
  <c r="J953" i="2"/>
  <c r="I953" i="2"/>
  <c r="M922" i="2"/>
  <c r="L922" i="2"/>
  <c r="K923" i="2"/>
  <c r="J922" i="2"/>
  <c r="I922" i="2"/>
  <c r="M890" i="2"/>
  <c r="K891" i="2"/>
  <c r="J890" i="2"/>
  <c r="I890" i="2"/>
  <c r="L890" i="2"/>
  <c r="L858" i="2"/>
  <c r="K859" i="2"/>
  <c r="J858" i="2"/>
  <c r="I858" i="2"/>
  <c r="M858" i="2"/>
  <c r="D829" i="2"/>
  <c r="F828" i="2"/>
  <c r="D798" i="2"/>
  <c r="F797" i="2"/>
  <c r="R736" i="2"/>
  <c r="T735" i="2"/>
  <c r="F735" i="2"/>
  <c r="D736" i="2"/>
  <c r="T673" i="2"/>
  <c r="R674" i="2"/>
  <c r="D673" i="2"/>
  <c r="F672" i="2"/>
  <c r="K581" i="2"/>
  <c r="M580" i="2"/>
  <c r="L22" i="2"/>
  <c r="M22" i="2"/>
  <c r="I22" i="2"/>
  <c r="J22" i="2"/>
  <c r="K23" i="2"/>
  <c r="J1390" i="2" l="1"/>
  <c r="I1390" i="2"/>
  <c r="M1390" i="2"/>
  <c r="L1390" i="2"/>
  <c r="K1391" i="2"/>
  <c r="M1358" i="2"/>
  <c r="I1358" i="2"/>
  <c r="K1359" i="2"/>
  <c r="L1358" i="2"/>
  <c r="J1358" i="2"/>
  <c r="M1327" i="2"/>
  <c r="L1327" i="2"/>
  <c r="J1327" i="2"/>
  <c r="I1327" i="2"/>
  <c r="K1328" i="2"/>
  <c r="M1293" i="2"/>
  <c r="L1293" i="2"/>
  <c r="K1294" i="2"/>
  <c r="J1293" i="2"/>
  <c r="I1293" i="2"/>
  <c r="M1262" i="2"/>
  <c r="L1262" i="2"/>
  <c r="I1262" i="2"/>
  <c r="K1263" i="2"/>
  <c r="J1262" i="2"/>
  <c r="M1232" i="2"/>
  <c r="L1232" i="2"/>
  <c r="K1233" i="2"/>
  <c r="J1232" i="2"/>
  <c r="I1232" i="2"/>
  <c r="L1201" i="2"/>
  <c r="K1202" i="2"/>
  <c r="J1201" i="2"/>
  <c r="M1201" i="2"/>
  <c r="I1201" i="2"/>
  <c r="M1170" i="2"/>
  <c r="L1170" i="2"/>
  <c r="K1171" i="2"/>
  <c r="J1170" i="2"/>
  <c r="I1170" i="2"/>
  <c r="M1138" i="2"/>
  <c r="J1138" i="2"/>
  <c r="I1138" i="2"/>
  <c r="L1138" i="2"/>
  <c r="K1139" i="2"/>
  <c r="K1109" i="2"/>
  <c r="J1108" i="2"/>
  <c r="I1108" i="2"/>
  <c r="M1108" i="2"/>
  <c r="L1108" i="2"/>
  <c r="K1078" i="2"/>
  <c r="J1077" i="2"/>
  <c r="I1077" i="2"/>
  <c r="M1077" i="2"/>
  <c r="L1077" i="2"/>
  <c r="M1045" i="2"/>
  <c r="L1045" i="2"/>
  <c r="K1046" i="2"/>
  <c r="J1045" i="2"/>
  <c r="I1045" i="2"/>
  <c r="M1017" i="2"/>
  <c r="J1017" i="2"/>
  <c r="I1017" i="2"/>
  <c r="K1018" i="2"/>
  <c r="L1017" i="2"/>
  <c r="M984" i="2"/>
  <c r="L984" i="2"/>
  <c r="I984" i="2"/>
  <c r="J984" i="2"/>
  <c r="K985" i="2"/>
  <c r="J954" i="2"/>
  <c r="I954" i="2"/>
  <c r="M954" i="2"/>
  <c r="L954" i="2"/>
  <c r="K955" i="2"/>
  <c r="M923" i="2"/>
  <c r="L923" i="2"/>
  <c r="K924" i="2"/>
  <c r="J923" i="2"/>
  <c r="I923" i="2"/>
  <c r="M891" i="2"/>
  <c r="L891" i="2"/>
  <c r="K892" i="2"/>
  <c r="J891" i="2"/>
  <c r="I891" i="2"/>
  <c r="M859" i="2"/>
  <c r="K860" i="2"/>
  <c r="J859" i="2"/>
  <c r="L859" i="2"/>
  <c r="I859" i="2"/>
  <c r="D830" i="2"/>
  <c r="F829" i="2"/>
  <c r="D799" i="2"/>
  <c r="F798" i="2"/>
  <c r="R737" i="2"/>
  <c r="T736" i="2"/>
  <c r="F736" i="2"/>
  <c r="D737" i="2"/>
  <c r="T674" i="2"/>
  <c r="R675" i="2"/>
  <c r="D674" i="2"/>
  <c r="F673" i="2"/>
  <c r="K582" i="2"/>
  <c r="M581" i="2"/>
  <c r="L23" i="2"/>
  <c r="M23" i="2"/>
  <c r="I23" i="2"/>
  <c r="J23" i="2"/>
  <c r="K24" i="2"/>
  <c r="M1391" i="2" l="1"/>
  <c r="L1391" i="2"/>
  <c r="J1391" i="2"/>
  <c r="I1391" i="2"/>
  <c r="R1369" i="2"/>
  <c r="I1359" i="2"/>
  <c r="M1359" i="2"/>
  <c r="L1359" i="2"/>
  <c r="K1360" i="2"/>
  <c r="J1359" i="2"/>
  <c r="I1328" i="2"/>
  <c r="K1329" i="2"/>
  <c r="M1328" i="2"/>
  <c r="L1328" i="2"/>
  <c r="J1328" i="2"/>
  <c r="M1294" i="2"/>
  <c r="L1294" i="2"/>
  <c r="K1295" i="2"/>
  <c r="J1294" i="2"/>
  <c r="I1294" i="2"/>
  <c r="J1263" i="2"/>
  <c r="M1263" i="2"/>
  <c r="K1264" i="2"/>
  <c r="I1263" i="2"/>
  <c r="L1263" i="2"/>
  <c r="K1234" i="2"/>
  <c r="M1233" i="2"/>
  <c r="L1233" i="2"/>
  <c r="J1233" i="2"/>
  <c r="I1233" i="2"/>
  <c r="M1202" i="2"/>
  <c r="L1202" i="2"/>
  <c r="J1202" i="2"/>
  <c r="I1202" i="2"/>
  <c r="K1203" i="2"/>
  <c r="J1171" i="2"/>
  <c r="I1171" i="2"/>
  <c r="K1172" i="2"/>
  <c r="M1171" i="2"/>
  <c r="L1171" i="2"/>
  <c r="L1139" i="2"/>
  <c r="K1140" i="2"/>
  <c r="J1139" i="2"/>
  <c r="I1139" i="2"/>
  <c r="M1139" i="2"/>
  <c r="L1109" i="2"/>
  <c r="I1109" i="2"/>
  <c r="M1109" i="2"/>
  <c r="J1109" i="2"/>
  <c r="K1110" i="2"/>
  <c r="L1078" i="2"/>
  <c r="K1079" i="2"/>
  <c r="M1078" i="2"/>
  <c r="J1078" i="2"/>
  <c r="I1078" i="2"/>
  <c r="M1046" i="2"/>
  <c r="L1046" i="2"/>
  <c r="K1047" i="2"/>
  <c r="J1046" i="2"/>
  <c r="I1046" i="2"/>
  <c r="I1018" i="2"/>
  <c r="K1019" i="2"/>
  <c r="M1018" i="2"/>
  <c r="L1018" i="2"/>
  <c r="J1018" i="2"/>
  <c r="M985" i="2"/>
  <c r="L985" i="2"/>
  <c r="I985" i="2"/>
  <c r="K986" i="2"/>
  <c r="J985" i="2"/>
  <c r="L955" i="2"/>
  <c r="J955" i="2"/>
  <c r="I955" i="2"/>
  <c r="M955" i="2"/>
  <c r="K956" i="2"/>
  <c r="K925" i="2"/>
  <c r="M924" i="2"/>
  <c r="L924" i="2"/>
  <c r="J924" i="2"/>
  <c r="I924" i="2"/>
  <c r="M892" i="2"/>
  <c r="L892" i="2"/>
  <c r="J892" i="2"/>
  <c r="I892" i="2"/>
  <c r="K893" i="2"/>
  <c r="M860" i="2"/>
  <c r="L860" i="2"/>
  <c r="K861" i="2"/>
  <c r="J860" i="2"/>
  <c r="I860" i="2"/>
  <c r="D831" i="2"/>
  <c r="F830" i="2"/>
  <c r="D800" i="2"/>
  <c r="F799" i="2"/>
  <c r="R738" i="2"/>
  <c r="T737" i="2"/>
  <c r="F737" i="2"/>
  <c r="D738" i="2"/>
  <c r="T675" i="2"/>
  <c r="R676" i="2"/>
  <c r="F674" i="2"/>
  <c r="D675" i="2"/>
  <c r="K583" i="2"/>
  <c r="M582" i="2"/>
  <c r="M24" i="2"/>
  <c r="I24" i="2"/>
  <c r="J24" i="2"/>
  <c r="L24" i="2"/>
  <c r="K25" i="2"/>
  <c r="Q1369" i="2" l="1"/>
  <c r="P1369" i="2"/>
  <c r="T1369" i="2"/>
  <c r="S1369" i="2"/>
  <c r="R1370" i="2"/>
  <c r="M1360" i="2"/>
  <c r="L1360" i="2"/>
  <c r="J1360" i="2"/>
  <c r="I1360" i="2"/>
  <c r="R1338" i="2"/>
  <c r="L1329" i="2"/>
  <c r="M1329" i="2"/>
  <c r="J1329" i="2"/>
  <c r="I1329" i="2"/>
  <c r="R1307" i="2"/>
  <c r="M1295" i="2"/>
  <c r="L1295" i="2"/>
  <c r="K1296" i="2"/>
  <c r="J1295" i="2"/>
  <c r="I1295" i="2"/>
  <c r="M1264" i="2"/>
  <c r="K1265" i="2"/>
  <c r="L1264" i="2"/>
  <c r="J1264" i="2"/>
  <c r="I1264" i="2"/>
  <c r="I1234" i="2"/>
  <c r="M1234" i="2"/>
  <c r="L1234" i="2"/>
  <c r="J1234" i="2"/>
  <c r="K1235" i="2"/>
  <c r="M1203" i="2"/>
  <c r="L1203" i="2"/>
  <c r="J1203" i="2"/>
  <c r="K1204" i="2"/>
  <c r="I1203" i="2"/>
  <c r="K1173" i="2"/>
  <c r="M1172" i="2"/>
  <c r="L1172" i="2"/>
  <c r="J1172" i="2"/>
  <c r="I1172" i="2"/>
  <c r="M1140" i="2"/>
  <c r="L1140" i="2"/>
  <c r="K1141" i="2"/>
  <c r="J1140" i="2"/>
  <c r="I1140" i="2"/>
  <c r="L1110" i="2"/>
  <c r="J1110" i="2"/>
  <c r="I1110" i="2"/>
  <c r="M1110" i="2"/>
  <c r="K1111" i="2"/>
  <c r="M1079" i="2"/>
  <c r="L1079" i="2"/>
  <c r="K1080" i="2"/>
  <c r="I1079" i="2"/>
  <c r="J1079" i="2"/>
  <c r="M1047" i="2"/>
  <c r="L1047" i="2"/>
  <c r="K1048" i="2"/>
  <c r="J1047" i="2"/>
  <c r="I1047" i="2"/>
  <c r="M1019" i="2"/>
  <c r="L1019" i="2"/>
  <c r="J1019" i="2"/>
  <c r="I1019" i="2"/>
  <c r="R997" i="2"/>
  <c r="M986" i="2"/>
  <c r="I986" i="2"/>
  <c r="L986" i="2"/>
  <c r="J986" i="2"/>
  <c r="K987" i="2"/>
  <c r="J956" i="2"/>
  <c r="M956" i="2"/>
  <c r="L956" i="2"/>
  <c r="K957" i="2"/>
  <c r="I956" i="2"/>
  <c r="M925" i="2"/>
  <c r="L925" i="2"/>
  <c r="K926" i="2"/>
  <c r="J925" i="2"/>
  <c r="I925" i="2"/>
  <c r="M893" i="2"/>
  <c r="L893" i="2"/>
  <c r="J893" i="2"/>
  <c r="I893" i="2"/>
  <c r="K894" i="2"/>
  <c r="M861" i="2"/>
  <c r="J861" i="2"/>
  <c r="L861" i="2"/>
  <c r="K862" i="2"/>
  <c r="I861" i="2"/>
  <c r="D832" i="2"/>
  <c r="F831" i="2"/>
  <c r="D801" i="2"/>
  <c r="F800" i="2"/>
  <c r="T738" i="2"/>
  <c r="R739" i="2"/>
  <c r="D739" i="2"/>
  <c r="F738" i="2"/>
  <c r="T676" i="2"/>
  <c r="R677" i="2"/>
  <c r="D676" i="2"/>
  <c r="F675" i="2"/>
  <c r="K584" i="2"/>
  <c r="M583" i="2"/>
  <c r="I25" i="2"/>
  <c r="J25" i="2"/>
  <c r="L25" i="2"/>
  <c r="M25" i="2"/>
  <c r="K26" i="2"/>
  <c r="R1371" i="2" l="1"/>
  <c r="S1370" i="2"/>
  <c r="T1370" i="2"/>
  <c r="Q1370" i="2"/>
  <c r="P1370" i="2"/>
  <c r="T1338" i="2"/>
  <c r="S1338" i="2"/>
  <c r="Q1338" i="2"/>
  <c r="P1338" i="2"/>
  <c r="R1339" i="2"/>
  <c r="Q1307" i="2"/>
  <c r="T1307" i="2"/>
  <c r="S1307" i="2"/>
  <c r="R1308" i="2"/>
  <c r="P1307" i="2"/>
  <c r="M1296" i="2"/>
  <c r="L1296" i="2"/>
  <c r="J1296" i="2"/>
  <c r="I1296" i="2"/>
  <c r="K1297" i="2"/>
  <c r="L1265" i="2"/>
  <c r="K1266" i="2"/>
  <c r="J1265" i="2"/>
  <c r="M1265" i="2"/>
  <c r="I1265" i="2"/>
  <c r="M1235" i="2"/>
  <c r="L1235" i="2"/>
  <c r="K1236" i="2"/>
  <c r="J1235" i="2"/>
  <c r="I1235" i="2"/>
  <c r="M1204" i="2"/>
  <c r="K1205" i="2"/>
  <c r="I1204" i="2"/>
  <c r="L1204" i="2"/>
  <c r="J1204" i="2"/>
  <c r="I1173" i="2"/>
  <c r="M1173" i="2"/>
  <c r="L1173" i="2"/>
  <c r="K1174" i="2"/>
  <c r="J1173" i="2"/>
  <c r="M1141" i="2"/>
  <c r="L1141" i="2"/>
  <c r="J1141" i="2"/>
  <c r="I1141" i="2"/>
  <c r="K1142" i="2"/>
  <c r="M1111" i="2"/>
  <c r="L1111" i="2"/>
  <c r="K1112" i="2"/>
  <c r="J1111" i="2"/>
  <c r="I1111" i="2"/>
  <c r="K1081" i="2"/>
  <c r="J1080" i="2"/>
  <c r="M1080" i="2"/>
  <c r="L1080" i="2"/>
  <c r="I1080" i="2"/>
  <c r="M1048" i="2"/>
  <c r="L1048" i="2"/>
  <c r="J1048" i="2"/>
  <c r="I1048" i="2"/>
  <c r="K1049" i="2"/>
  <c r="T997" i="2"/>
  <c r="P997" i="2"/>
  <c r="R998" i="2"/>
  <c r="S997" i="2"/>
  <c r="Q997" i="2"/>
  <c r="I987" i="2"/>
  <c r="M987" i="2"/>
  <c r="L987" i="2"/>
  <c r="J987" i="2"/>
  <c r="K988" i="2"/>
  <c r="M957" i="2"/>
  <c r="L957" i="2"/>
  <c r="J957" i="2"/>
  <c r="I957" i="2"/>
  <c r="R935" i="2"/>
  <c r="M926" i="2"/>
  <c r="L926" i="2"/>
  <c r="J926" i="2"/>
  <c r="I926" i="2"/>
  <c r="R904" i="2"/>
  <c r="M894" i="2"/>
  <c r="K895" i="2"/>
  <c r="L894" i="2"/>
  <c r="J894" i="2"/>
  <c r="I894" i="2"/>
  <c r="M862" i="2"/>
  <c r="L862" i="2"/>
  <c r="J862" i="2"/>
  <c r="I862" i="2"/>
  <c r="K863" i="2"/>
  <c r="D833" i="2"/>
  <c r="F833" i="2" s="1"/>
  <c r="F832" i="2"/>
  <c r="D802" i="2"/>
  <c r="F802" i="2" s="1"/>
  <c r="F801" i="2"/>
  <c r="R740" i="2"/>
  <c r="T739" i="2"/>
  <c r="D740" i="2"/>
  <c r="F740" i="2" s="1"/>
  <c r="F739" i="2"/>
  <c r="R678" i="2"/>
  <c r="T677" i="2"/>
  <c r="D677" i="2"/>
  <c r="F676" i="2"/>
  <c r="K585" i="2"/>
  <c r="M584" i="2"/>
  <c r="I26" i="2"/>
  <c r="L26" i="2"/>
  <c r="J26" i="2"/>
  <c r="M26" i="2"/>
  <c r="K27" i="2"/>
  <c r="P1371" i="2" l="1"/>
  <c r="Q1371" i="2"/>
  <c r="R1372" i="2"/>
  <c r="T1371" i="2"/>
  <c r="S1371" i="2"/>
  <c r="R1340" i="2"/>
  <c r="T1339" i="2"/>
  <c r="S1339" i="2"/>
  <c r="Q1339" i="2"/>
  <c r="P1339" i="2"/>
  <c r="P1308" i="2"/>
  <c r="R1309" i="2"/>
  <c r="Q1308" i="2"/>
  <c r="T1308" i="2"/>
  <c r="S1308" i="2"/>
  <c r="M1297" i="2"/>
  <c r="K1298" i="2"/>
  <c r="L1297" i="2"/>
  <c r="J1297" i="2"/>
  <c r="I1297" i="2"/>
  <c r="L1266" i="2"/>
  <c r="M1266" i="2"/>
  <c r="K1267" i="2"/>
  <c r="J1266" i="2"/>
  <c r="I1266" i="2"/>
  <c r="L1236" i="2"/>
  <c r="M1236" i="2"/>
  <c r="J1236" i="2"/>
  <c r="I1236" i="2"/>
  <c r="R1214" i="2"/>
  <c r="M1205" i="2"/>
  <c r="L1205" i="2"/>
  <c r="I1205" i="2"/>
  <c r="R1183" i="2"/>
  <c r="J1205" i="2"/>
  <c r="J1174" i="2"/>
  <c r="I1174" i="2"/>
  <c r="M1174" i="2"/>
  <c r="L1174" i="2"/>
  <c r="R1152" i="2"/>
  <c r="L1142" i="2"/>
  <c r="M1142" i="2"/>
  <c r="I1142" i="2"/>
  <c r="J1142" i="2"/>
  <c r="K1143" i="2"/>
  <c r="M1112" i="2"/>
  <c r="L1112" i="2"/>
  <c r="J1112" i="2"/>
  <c r="I1112" i="2"/>
  <c r="R1090" i="2"/>
  <c r="M1081" i="2"/>
  <c r="L1081" i="2"/>
  <c r="R1059" i="2"/>
  <c r="J1081" i="2"/>
  <c r="I1081" i="2"/>
  <c r="M1049" i="2"/>
  <c r="L1049" i="2"/>
  <c r="K1050" i="2"/>
  <c r="J1049" i="2"/>
  <c r="I1049" i="2"/>
  <c r="P998" i="2"/>
  <c r="R999" i="2"/>
  <c r="T998" i="2"/>
  <c r="S998" i="2"/>
  <c r="Q998" i="2"/>
  <c r="J988" i="2"/>
  <c r="I988" i="2"/>
  <c r="R966" i="2"/>
  <c r="M988" i="2"/>
  <c r="L988" i="2"/>
  <c r="T935" i="2"/>
  <c r="S935" i="2"/>
  <c r="Q935" i="2"/>
  <c r="P935" i="2"/>
  <c r="R936" i="2"/>
  <c r="R905" i="2"/>
  <c r="T904" i="2"/>
  <c r="S904" i="2"/>
  <c r="Q904" i="2"/>
  <c r="P904" i="2"/>
  <c r="M895" i="2"/>
  <c r="J895" i="2"/>
  <c r="R873" i="2"/>
  <c r="L895" i="2"/>
  <c r="I895" i="2"/>
  <c r="M863" i="2"/>
  <c r="L863" i="2"/>
  <c r="I863" i="2"/>
  <c r="K864" i="2"/>
  <c r="J863" i="2"/>
  <c r="T740" i="2"/>
  <c r="D749" i="2"/>
  <c r="T678" i="2"/>
  <c r="D687" i="2"/>
  <c r="D678" i="2"/>
  <c r="F678" i="2" s="1"/>
  <c r="F677" i="2"/>
  <c r="M585" i="2"/>
  <c r="R563" i="2"/>
  <c r="R5" i="2"/>
  <c r="L27" i="2"/>
  <c r="I27" i="2"/>
  <c r="J27" i="2"/>
  <c r="M27" i="2"/>
  <c r="R6" i="2"/>
  <c r="R1373" i="2" l="1"/>
  <c r="Q1372" i="2"/>
  <c r="P1372" i="2"/>
  <c r="S1372" i="2"/>
  <c r="T1372" i="2"/>
  <c r="P1340" i="2"/>
  <c r="T1340" i="2"/>
  <c r="S1340" i="2"/>
  <c r="Q1340" i="2"/>
  <c r="R1341" i="2"/>
  <c r="P1309" i="2"/>
  <c r="T1309" i="2"/>
  <c r="S1309" i="2"/>
  <c r="Q1309" i="2"/>
  <c r="R1310" i="2"/>
  <c r="M1298" i="2"/>
  <c r="L1298" i="2"/>
  <c r="J1298" i="2"/>
  <c r="I1298" i="2"/>
  <c r="R1276" i="2"/>
  <c r="M1267" i="2"/>
  <c r="R1245" i="2"/>
  <c r="L1267" i="2"/>
  <c r="J1267" i="2"/>
  <c r="I1267" i="2"/>
  <c r="P1214" i="2"/>
  <c r="T1214" i="2"/>
  <c r="S1214" i="2"/>
  <c r="Q1214" i="2"/>
  <c r="R1215" i="2"/>
  <c r="S1183" i="2"/>
  <c r="Q1183" i="2"/>
  <c r="R1184" i="2"/>
  <c r="T1183" i="2"/>
  <c r="P1183" i="2"/>
  <c r="T1152" i="2"/>
  <c r="S1152" i="2"/>
  <c r="Q1152" i="2"/>
  <c r="P1152" i="2"/>
  <c r="R1153" i="2"/>
  <c r="L1143" i="2"/>
  <c r="M1143" i="2"/>
  <c r="J1143" i="2"/>
  <c r="I1143" i="2"/>
  <c r="R1121" i="2"/>
  <c r="T1090" i="2"/>
  <c r="S1090" i="2"/>
  <c r="R1091" i="2"/>
  <c r="Q1090" i="2"/>
  <c r="P1090" i="2"/>
  <c r="T1059" i="2"/>
  <c r="S1059" i="2"/>
  <c r="R1060" i="2"/>
  <c r="Q1059" i="2"/>
  <c r="P1059" i="2"/>
  <c r="M1050" i="2"/>
  <c r="L1050" i="2"/>
  <c r="J1050" i="2"/>
  <c r="I1050" i="2"/>
  <c r="R1028" i="2"/>
  <c r="P999" i="2"/>
  <c r="S999" i="2"/>
  <c r="T999" i="2"/>
  <c r="Q999" i="2"/>
  <c r="R1000" i="2"/>
  <c r="T966" i="2"/>
  <c r="S966" i="2"/>
  <c r="Q966" i="2"/>
  <c r="P966" i="2"/>
  <c r="R967" i="2"/>
  <c r="Q936" i="2"/>
  <c r="P936" i="2"/>
  <c r="T936" i="2"/>
  <c r="S936" i="2"/>
  <c r="R937" i="2"/>
  <c r="Q905" i="2"/>
  <c r="P905" i="2"/>
  <c r="T905" i="2"/>
  <c r="S905" i="2"/>
  <c r="R906" i="2"/>
  <c r="T873" i="2"/>
  <c r="S873" i="2"/>
  <c r="Q873" i="2"/>
  <c r="R874" i="2"/>
  <c r="P873" i="2"/>
  <c r="M864" i="2"/>
  <c r="J864" i="2"/>
  <c r="I864" i="2"/>
  <c r="L864" i="2"/>
  <c r="R842" i="2"/>
  <c r="F749" i="2"/>
  <c r="D750" i="2"/>
  <c r="F687" i="2"/>
  <c r="D688" i="2"/>
  <c r="R564" i="2"/>
  <c r="T563" i="2"/>
  <c r="S6" i="2"/>
  <c r="P6" i="2"/>
  <c r="Q6" i="2"/>
  <c r="T6" i="2"/>
  <c r="S5" i="2"/>
  <c r="P5" i="2"/>
  <c r="Q5" i="2"/>
  <c r="T5" i="2"/>
  <c r="R7" i="2"/>
  <c r="R1374" i="2" l="1"/>
  <c r="Q1373" i="2"/>
  <c r="P1373" i="2"/>
  <c r="S1373" i="2"/>
  <c r="T1373" i="2"/>
  <c r="R1342" i="2"/>
  <c r="Q1341" i="2"/>
  <c r="P1341" i="2"/>
  <c r="T1341" i="2"/>
  <c r="S1341" i="2"/>
  <c r="R1311" i="2"/>
  <c r="Q1310" i="2"/>
  <c r="P1310" i="2"/>
  <c r="T1310" i="2"/>
  <c r="S1310" i="2"/>
  <c r="R1277" i="2"/>
  <c r="T1276" i="2"/>
  <c r="S1276" i="2"/>
  <c r="Q1276" i="2"/>
  <c r="P1276" i="2"/>
  <c r="T1245" i="2"/>
  <c r="R1246" i="2"/>
  <c r="P1245" i="2"/>
  <c r="S1245" i="2"/>
  <c r="Q1245" i="2"/>
  <c r="T1215" i="2"/>
  <c r="R1216" i="2"/>
  <c r="S1215" i="2"/>
  <c r="Q1215" i="2"/>
  <c r="P1215" i="2"/>
  <c r="R1185" i="2"/>
  <c r="Q1184" i="2"/>
  <c r="P1184" i="2"/>
  <c r="T1184" i="2"/>
  <c r="S1184" i="2"/>
  <c r="T1153" i="2"/>
  <c r="R1154" i="2"/>
  <c r="S1153" i="2"/>
  <c r="Q1153" i="2"/>
  <c r="P1153" i="2"/>
  <c r="R1122" i="2"/>
  <c r="T1121" i="2"/>
  <c r="S1121" i="2"/>
  <c r="Q1121" i="2"/>
  <c r="P1121" i="2"/>
  <c r="T1091" i="2"/>
  <c r="S1091" i="2"/>
  <c r="P1091" i="2"/>
  <c r="R1092" i="2"/>
  <c r="Q1091" i="2"/>
  <c r="Q1060" i="2"/>
  <c r="R1061" i="2"/>
  <c r="T1060" i="2"/>
  <c r="S1060" i="2"/>
  <c r="P1060" i="2"/>
  <c r="S1028" i="2"/>
  <c r="T1028" i="2"/>
  <c r="R1029" i="2"/>
  <c r="Q1028" i="2"/>
  <c r="P1028" i="2"/>
  <c r="R1001" i="2"/>
  <c r="Q1000" i="2"/>
  <c r="P1000" i="2"/>
  <c r="S1000" i="2"/>
  <c r="T1000" i="2"/>
  <c r="T967" i="2"/>
  <c r="S967" i="2"/>
  <c r="P967" i="2"/>
  <c r="Q967" i="2"/>
  <c r="R968" i="2"/>
  <c r="P937" i="2"/>
  <c r="R938" i="2"/>
  <c r="T937" i="2"/>
  <c r="S937" i="2"/>
  <c r="Q937" i="2"/>
  <c r="P906" i="2"/>
  <c r="R907" i="2"/>
  <c r="T906" i="2"/>
  <c r="S906" i="2"/>
  <c r="Q906" i="2"/>
  <c r="T874" i="2"/>
  <c r="S874" i="2"/>
  <c r="P874" i="2"/>
  <c r="R875" i="2"/>
  <c r="Q874" i="2"/>
  <c r="T842" i="2"/>
  <c r="S842" i="2"/>
  <c r="Q842" i="2"/>
  <c r="P842" i="2"/>
  <c r="R843" i="2"/>
  <c r="F750" i="2"/>
  <c r="D751" i="2"/>
  <c r="F688" i="2"/>
  <c r="D689" i="2"/>
  <c r="R565" i="2"/>
  <c r="T564" i="2"/>
  <c r="S7" i="2"/>
  <c r="T7" i="2"/>
  <c r="P7" i="2"/>
  <c r="Q7" i="2"/>
  <c r="R8" i="2"/>
  <c r="S1374" i="2" l="1"/>
  <c r="P1374" i="2"/>
  <c r="R1375" i="2"/>
  <c r="Q1374" i="2"/>
  <c r="T1374" i="2"/>
  <c r="P1342" i="2"/>
  <c r="R1343" i="2"/>
  <c r="Q1342" i="2"/>
  <c r="T1342" i="2"/>
  <c r="S1342" i="2"/>
  <c r="R1312" i="2"/>
  <c r="Q1311" i="2"/>
  <c r="P1311" i="2"/>
  <c r="T1311" i="2"/>
  <c r="S1311" i="2"/>
  <c r="Q1277" i="2"/>
  <c r="P1277" i="2"/>
  <c r="R1278" i="2"/>
  <c r="T1277" i="2"/>
  <c r="S1277" i="2"/>
  <c r="P1246" i="2"/>
  <c r="T1246" i="2"/>
  <c r="S1246" i="2"/>
  <c r="R1247" i="2"/>
  <c r="Q1246" i="2"/>
  <c r="P1216" i="2"/>
  <c r="T1216" i="2"/>
  <c r="S1216" i="2"/>
  <c r="Q1216" i="2"/>
  <c r="R1217" i="2"/>
  <c r="P1185" i="2"/>
  <c r="R1186" i="2"/>
  <c r="S1185" i="2"/>
  <c r="Q1185" i="2"/>
  <c r="T1185" i="2"/>
  <c r="T1154" i="2"/>
  <c r="S1154" i="2"/>
  <c r="Q1154" i="2"/>
  <c r="P1154" i="2"/>
  <c r="R1155" i="2"/>
  <c r="S1122" i="2"/>
  <c r="Q1122" i="2"/>
  <c r="P1122" i="2"/>
  <c r="R1123" i="2"/>
  <c r="T1122" i="2"/>
  <c r="P1092" i="2"/>
  <c r="R1093" i="2"/>
  <c r="T1092" i="2"/>
  <c r="S1092" i="2"/>
  <c r="Q1092" i="2"/>
  <c r="P1061" i="2"/>
  <c r="T1061" i="2"/>
  <c r="Q1061" i="2"/>
  <c r="R1062" i="2"/>
  <c r="S1061" i="2"/>
  <c r="R1030" i="2"/>
  <c r="T1029" i="2"/>
  <c r="S1029" i="2"/>
  <c r="Q1029" i="2"/>
  <c r="P1029" i="2"/>
  <c r="R1002" i="2"/>
  <c r="Q1001" i="2"/>
  <c r="P1001" i="2"/>
  <c r="T1001" i="2"/>
  <c r="S1001" i="2"/>
  <c r="P968" i="2"/>
  <c r="T968" i="2"/>
  <c r="R969" i="2"/>
  <c r="S968" i="2"/>
  <c r="Q968" i="2"/>
  <c r="R939" i="2"/>
  <c r="Q938" i="2"/>
  <c r="P938" i="2"/>
  <c r="T938" i="2"/>
  <c r="S938" i="2"/>
  <c r="R908" i="2"/>
  <c r="Q907" i="2"/>
  <c r="P907" i="2"/>
  <c r="T907" i="2"/>
  <c r="S907" i="2"/>
  <c r="P875" i="2"/>
  <c r="Q875" i="2"/>
  <c r="S875" i="2"/>
  <c r="R876" i="2"/>
  <c r="T875" i="2"/>
  <c r="R844" i="2"/>
  <c r="T843" i="2"/>
  <c r="S843" i="2"/>
  <c r="P843" i="2"/>
  <c r="Q843" i="2"/>
  <c r="D752" i="2"/>
  <c r="F751" i="2"/>
  <c r="D690" i="2"/>
  <c r="F689" i="2"/>
  <c r="T565" i="2"/>
  <c r="R566" i="2"/>
  <c r="P8" i="2"/>
  <c r="T8" i="2"/>
  <c r="S8" i="2"/>
  <c r="Q8" i="2"/>
  <c r="R9" i="2"/>
  <c r="T1375" i="2" l="1"/>
  <c r="R1376" i="2"/>
  <c r="Q1375" i="2"/>
  <c r="P1375" i="2"/>
  <c r="S1375" i="2"/>
  <c r="S1343" i="2"/>
  <c r="R1344" i="2"/>
  <c r="Q1343" i="2"/>
  <c r="P1343" i="2"/>
  <c r="T1343" i="2"/>
  <c r="S1312" i="2"/>
  <c r="R1313" i="2"/>
  <c r="Q1312" i="2"/>
  <c r="P1312" i="2"/>
  <c r="T1312" i="2"/>
  <c r="P1278" i="2"/>
  <c r="T1278" i="2"/>
  <c r="S1278" i="2"/>
  <c r="Q1278" i="2"/>
  <c r="R1279" i="2"/>
  <c r="P1247" i="2"/>
  <c r="S1247" i="2"/>
  <c r="R1248" i="2"/>
  <c r="T1247" i="2"/>
  <c r="Q1247" i="2"/>
  <c r="R1218" i="2"/>
  <c r="Q1217" i="2"/>
  <c r="P1217" i="2"/>
  <c r="T1217" i="2"/>
  <c r="S1217" i="2"/>
  <c r="R1187" i="2"/>
  <c r="Q1186" i="2"/>
  <c r="P1186" i="2"/>
  <c r="T1186" i="2"/>
  <c r="S1186" i="2"/>
  <c r="P1155" i="2"/>
  <c r="R1156" i="2"/>
  <c r="Q1155" i="2"/>
  <c r="S1155" i="2"/>
  <c r="T1155" i="2"/>
  <c r="P1123" i="2"/>
  <c r="R1124" i="2"/>
  <c r="T1123" i="2"/>
  <c r="S1123" i="2"/>
  <c r="Q1123" i="2"/>
  <c r="R1094" i="2"/>
  <c r="Q1093" i="2"/>
  <c r="P1093" i="2"/>
  <c r="S1093" i="2"/>
  <c r="T1093" i="2"/>
  <c r="R1063" i="2"/>
  <c r="Q1062" i="2"/>
  <c r="P1062" i="2"/>
  <c r="T1062" i="2"/>
  <c r="S1062" i="2"/>
  <c r="P1030" i="2"/>
  <c r="T1030" i="2"/>
  <c r="Q1030" i="2"/>
  <c r="S1030" i="2"/>
  <c r="R1031" i="2"/>
  <c r="S1002" i="2"/>
  <c r="R1003" i="2"/>
  <c r="Q1002" i="2"/>
  <c r="P1002" i="2"/>
  <c r="T1002" i="2"/>
  <c r="R970" i="2"/>
  <c r="Q969" i="2"/>
  <c r="P969" i="2"/>
  <c r="T969" i="2"/>
  <c r="S969" i="2"/>
  <c r="R940" i="2"/>
  <c r="Q939" i="2"/>
  <c r="P939" i="2"/>
  <c r="T939" i="2"/>
  <c r="S939" i="2"/>
  <c r="R909" i="2"/>
  <c r="Q908" i="2"/>
  <c r="P908" i="2"/>
  <c r="T908" i="2"/>
  <c r="S908" i="2"/>
  <c r="R877" i="2"/>
  <c r="Q876" i="2"/>
  <c r="P876" i="2"/>
  <c r="T876" i="2"/>
  <c r="S876" i="2"/>
  <c r="P844" i="2"/>
  <c r="T844" i="2"/>
  <c r="S844" i="2"/>
  <c r="Q844" i="2"/>
  <c r="R845" i="2"/>
  <c r="F752" i="2"/>
  <c r="D753" i="2"/>
  <c r="D691" i="2"/>
  <c r="F690" i="2"/>
  <c r="T566" i="2"/>
  <c r="R567" i="2"/>
  <c r="P9" i="2"/>
  <c r="S9" i="2"/>
  <c r="T9" i="2"/>
  <c r="Q9" i="2"/>
  <c r="R10" i="2"/>
  <c r="R1377" i="2" l="1"/>
  <c r="T1376" i="2"/>
  <c r="Q1376" i="2"/>
  <c r="P1376" i="2"/>
  <c r="S1376" i="2"/>
  <c r="T1344" i="2"/>
  <c r="P1344" i="2"/>
  <c r="S1344" i="2"/>
  <c r="R1345" i="2"/>
  <c r="Q1344" i="2"/>
  <c r="T1313" i="2"/>
  <c r="S1313" i="2"/>
  <c r="R1314" i="2"/>
  <c r="Q1313" i="2"/>
  <c r="P1313" i="2"/>
  <c r="R1280" i="2"/>
  <c r="Q1279" i="2"/>
  <c r="P1279" i="2"/>
  <c r="T1279" i="2"/>
  <c r="S1279" i="2"/>
  <c r="R1249" i="2"/>
  <c r="Q1248" i="2"/>
  <c r="P1248" i="2"/>
  <c r="T1248" i="2"/>
  <c r="S1248" i="2"/>
  <c r="R1219" i="2"/>
  <c r="Q1218" i="2"/>
  <c r="P1218" i="2"/>
  <c r="T1218" i="2"/>
  <c r="S1218" i="2"/>
  <c r="Q1187" i="2"/>
  <c r="P1187" i="2"/>
  <c r="R1188" i="2"/>
  <c r="T1187" i="2"/>
  <c r="S1187" i="2"/>
  <c r="R1157" i="2"/>
  <c r="T1156" i="2"/>
  <c r="S1156" i="2"/>
  <c r="Q1156" i="2"/>
  <c r="P1156" i="2"/>
  <c r="R1125" i="2"/>
  <c r="Q1124" i="2"/>
  <c r="P1124" i="2"/>
  <c r="T1124" i="2"/>
  <c r="S1124" i="2"/>
  <c r="P1094" i="2"/>
  <c r="R1095" i="2"/>
  <c r="Q1094" i="2"/>
  <c r="T1094" i="2"/>
  <c r="S1094" i="2"/>
  <c r="R1064" i="2"/>
  <c r="Q1063" i="2"/>
  <c r="P1063" i="2"/>
  <c r="T1063" i="2"/>
  <c r="S1063" i="2"/>
  <c r="R1032" i="2"/>
  <c r="Q1031" i="2"/>
  <c r="P1031" i="2"/>
  <c r="T1031" i="2"/>
  <c r="S1031" i="2"/>
  <c r="T1003" i="2"/>
  <c r="S1003" i="2"/>
  <c r="R1004" i="2"/>
  <c r="Q1003" i="2"/>
  <c r="P1003" i="2"/>
  <c r="R971" i="2"/>
  <c r="Q970" i="2"/>
  <c r="P970" i="2"/>
  <c r="T970" i="2"/>
  <c r="S970" i="2"/>
  <c r="S940" i="2"/>
  <c r="R941" i="2"/>
  <c r="Q940" i="2"/>
  <c r="P940" i="2"/>
  <c r="T940" i="2"/>
  <c r="S909" i="2"/>
  <c r="Q909" i="2"/>
  <c r="P909" i="2"/>
  <c r="R910" i="2"/>
  <c r="T909" i="2"/>
  <c r="Q877" i="2"/>
  <c r="P877" i="2"/>
  <c r="R878" i="2"/>
  <c r="T877" i="2"/>
  <c r="S877" i="2"/>
  <c r="R846" i="2"/>
  <c r="Q845" i="2"/>
  <c r="P845" i="2"/>
  <c r="T845" i="2"/>
  <c r="S845" i="2"/>
  <c r="F753" i="2"/>
  <c r="D754" i="2"/>
  <c r="D692" i="2"/>
  <c r="F691" i="2"/>
  <c r="R568" i="2"/>
  <c r="T567" i="2"/>
  <c r="S10" i="2"/>
  <c r="P10" i="2"/>
  <c r="T10" i="2"/>
  <c r="Q10" i="2"/>
  <c r="R11" i="2"/>
  <c r="Q1377" i="2" l="1"/>
  <c r="P1377" i="2"/>
  <c r="T1377" i="2"/>
  <c r="S1377" i="2"/>
  <c r="R1378" i="2"/>
  <c r="R1346" i="2"/>
  <c r="P1345" i="2"/>
  <c r="T1345" i="2"/>
  <c r="S1345" i="2"/>
  <c r="Q1345" i="2"/>
  <c r="T1314" i="2"/>
  <c r="S1314" i="2"/>
  <c r="P1314" i="2"/>
  <c r="Q1314" i="2"/>
  <c r="R1315" i="2"/>
  <c r="R1281" i="2"/>
  <c r="Q1280" i="2"/>
  <c r="P1280" i="2"/>
  <c r="S1280" i="2"/>
  <c r="T1280" i="2"/>
  <c r="R1250" i="2"/>
  <c r="Q1249" i="2"/>
  <c r="T1249" i="2"/>
  <c r="P1249" i="2"/>
  <c r="S1249" i="2"/>
  <c r="S1219" i="2"/>
  <c r="P1219" i="2"/>
  <c r="R1220" i="2"/>
  <c r="Q1219" i="2"/>
  <c r="T1219" i="2"/>
  <c r="S1188" i="2"/>
  <c r="R1189" i="2"/>
  <c r="Q1188" i="2"/>
  <c r="P1188" i="2"/>
  <c r="T1188" i="2"/>
  <c r="S1157" i="2"/>
  <c r="Q1157" i="2"/>
  <c r="R1158" i="2"/>
  <c r="T1157" i="2"/>
  <c r="P1157" i="2"/>
  <c r="R1126" i="2"/>
  <c r="Q1125" i="2"/>
  <c r="P1125" i="2"/>
  <c r="T1125" i="2"/>
  <c r="S1125" i="2"/>
  <c r="S1095" i="2"/>
  <c r="R1096" i="2"/>
  <c r="Q1095" i="2"/>
  <c r="P1095" i="2"/>
  <c r="T1095" i="2"/>
  <c r="S1064" i="2"/>
  <c r="Q1064" i="2"/>
  <c r="P1064" i="2"/>
  <c r="R1065" i="2"/>
  <c r="T1064" i="2"/>
  <c r="R1033" i="2"/>
  <c r="Q1032" i="2"/>
  <c r="P1032" i="2"/>
  <c r="T1032" i="2"/>
  <c r="S1032" i="2"/>
  <c r="T1004" i="2"/>
  <c r="S1004" i="2"/>
  <c r="P1004" i="2"/>
  <c r="R1005" i="2"/>
  <c r="Q1004" i="2"/>
  <c r="S971" i="2"/>
  <c r="R972" i="2"/>
  <c r="Q971" i="2"/>
  <c r="P971" i="2"/>
  <c r="T971" i="2"/>
  <c r="T941" i="2"/>
  <c r="S941" i="2"/>
  <c r="P941" i="2"/>
  <c r="Q941" i="2"/>
  <c r="R942" i="2"/>
  <c r="T910" i="2"/>
  <c r="R911" i="2"/>
  <c r="S910" i="2"/>
  <c r="Q910" i="2"/>
  <c r="P910" i="2"/>
  <c r="S878" i="2"/>
  <c r="R879" i="2"/>
  <c r="Q878" i="2"/>
  <c r="P878" i="2"/>
  <c r="T878" i="2"/>
  <c r="R847" i="2"/>
  <c r="Q846" i="2"/>
  <c r="P846" i="2"/>
  <c r="T846" i="2"/>
  <c r="S846" i="2"/>
  <c r="D755" i="2"/>
  <c r="F754" i="2"/>
  <c r="F692" i="2"/>
  <c r="D693" i="2"/>
  <c r="R569" i="2"/>
  <c r="T568" i="2"/>
  <c r="S11" i="2"/>
  <c r="P11" i="2"/>
  <c r="T11" i="2"/>
  <c r="Q11" i="2"/>
  <c r="R12" i="2"/>
  <c r="R1379" i="2" l="1"/>
  <c r="P1378" i="2"/>
  <c r="T1378" i="2"/>
  <c r="S1378" i="2"/>
  <c r="Q1378" i="2"/>
  <c r="S1346" i="2"/>
  <c r="P1346" i="2"/>
  <c r="Q1346" i="2"/>
  <c r="T1346" i="2"/>
  <c r="R1347" i="2"/>
  <c r="T1315" i="2"/>
  <c r="S1315" i="2"/>
  <c r="R1316" i="2"/>
  <c r="Q1315" i="2"/>
  <c r="P1315" i="2"/>
  <c r="S1281" i="2"/>
  <c r="R1282" i="2"/>
  <c r="Q1281" i="2"/>
  <c r="P1281" i="2"/>
  <c r="T1281" i="2"/>
  <c r="S1250" i="2"/>
  <c r="T1250" i="2"/>
  <c r="R1251" i="2"/>
  <c r="Q1250" i="2"/>
  <c r="P1250" i="2"/>
  <c r="T1220" i="2"/>
  <c r="S1220" i="2"/>
  <c r="R1221" i="2"/>
  <c r="Q1220" i="2"/>
  <c r="P1220" i="2"/>
  <c r="T1189" i="2"/>
  <c r="R1190" i="2"/>
  <c r="Q1189" i="2"/>
  <c r="P1189" i="2"/>
  <c r="S1189" i="2"/>
  <c r="R1159" i="2"/>
  <c r="Q1158" i="2"/>
  <c r="P1158" i="2"/>
  <c r="S1158" i="2"/>
  <c r="T1158" i="2"/>
  <c r="S1126" i="2"/>
  <c r="R1127" i="2"/>
  <c r="Q1126" i="2"/>
  <c r="P1126" i="2"/>
  <c r="T1126" i="2"/>
  <c r="T1096" i="2"/>
  <c r="Q1096" i="2"/>
  <c r="S1096" i="2"/>
  <c r="R1097" i="2"/>
  <c r="P1096" i="2"/>
  <c r="T1065" i="2"/>
  <c r="P1065" i="2"/>
  <c r="S1065" i="2"/>
  <c r="R1066" i="2"/>
  <c r="Q1065" i="2"/>
  <c r="S1033" i="2"/>
  <c r="Q1033" i="2"/>
  <c r="R1034" i="2"/>
  <c r="P1033" i="2"/>
  <c r="T1033" i="2"/>
  <c r="T1005" i="2"/>
  <c r="S1005" i="2"/>
  <c r="R1006" i="2"/>
  <c r="Q1005" i="2"/>
  <c r="P1005" i="2"/>
  <c r="T972" i="2"/>
  <c r="S972" i="2"/>
  <c r="R973" i="2"/>
  <c r="Q972" i="2"/>
  <c r="P972" i="2"/>
  <c r="R943" i="2"/>
  <c r="T942" i="2"/>
  <c r="P942" i="2"/>
  <c r="S942" i="2"/>
  <c r="Q942" i="2"/>
  <c r="T911" i="2"/>
  <c r="R912" i="2"/>
  <c r="S911" i="2"/>
  <c r="Q911" i="2"/>
  <c r="P911" i="2"/>
  <c r="T879" i="2"/>
  <c r="S879" i="2"/>
  <c r="R880" i="2"/>
  <c r="Q879" i="2"/>
  <c r="P879" i="2"/>
  <c r="S847" i="2"/>
  <c r="R848" i="2"/>
  <c r="Q847" i="2"/>
  <c r="P847" i="2"/>
  <c r="T847" i="2"/>
  <c r="F755" i="2"/>
  <c r="D756" i="2"/>
  <c r="F693" i="2"/>
  <c r="D694" i="2"/>
  <c r="R570" i="2"/>
  <c r="T569" i="2"/>
  <c r="S12" i="2"/>
  <c r="T12" i="2"/>
  <c r="P12" i="2"/>
  <c r="Q12" i="2"/>
  <c r="R13" i="2"/>
  <c r="S1379" i="2" l="1"/>
  <c r="R1380" i="2"/>
  <c r="P1379" i="2"/>
  <c r="T1379" i="2"/>
  <c r="Q1379" i="2"/>
  <c r="S1347" i="2"/>
  <c r="T1347" i="2"/>
  <c r="R1348" i="2"/>
  <c r="Q1347" i="2"/>
  <c r="P1347" i="2"/>
  <c r="T1316" i="2"/>
  <c r="S1316" i="2"/>
  <c r="Q1316" i="2"/>
  <c r="P1316" i="2"/>
  <c r="R1317" i="2"/>
  <c r="T1282" i="2"/>
  <c r="P1282" i="2"/>
  <c r="S1282" i="2"/>
  <c r="R1283" i="2"/>
  <c r="Q1282" i="2"/>
  <c r="T1251" i="2"/>
  <c r="Q1251" i="2"/>
  <c r="S1251" i="2"/>
  <c r="P1251" i="2"/>
  <c r="R1252" i="2"/>
  <c r="Q1221" i="2"/>
  <c r="T1221" i="2"/>
  <c r="P1221" i="2"/>
  <c r="S1221" i="2"/>
  <c r="R1222" i="2"/>
  <c r="S1190" i="2"/>
  <c r="R1191" i="2"/>
  <c r="Q1190" i="2"/>
  <c r="T1190" i="2"/>
  <c r="P1190" i="2"/>
  <c r="R1160" i="2"/>
  <c r="T1159" i="2"/>
  <c r="S1159" i="2"/>
  <c r="Q1159" i="2"/>
  <c r="P1159" i="2"/>
  <c r="T1127" i="2"/>
  <c r="Q1127" i="2"/>
  <c r="S1127" i="2"/>
  <c r="R1128" i="2"/>
  <c r="P1127" i="2"/>
  <c r="Q1097" i="2"/>
  <c r="T1097" i="2"/>
  <c r="S1097" i="2"/>
  <c r="R1098" i="2"/>
  <c r="P1097" i="2"/>
  <c r="R1067" i="2"/>
  <c r="P1066" i="2"/>
  <c r="T1066" i="2"/>
  <c r="S1066" i="2"/>
  <c r="Q1066" i="2"/>
  <c r="T1034" i="2"/>
  <c r="R1035" i="2"/>
  <c r="S1034" i="2"/>
  <c r="Q1034" i="2"/>
  <c r="P1034" i="2"/>
  <c r="T1006" i="2"/>
  <c r="S1006" i="2"/>
  <c r="Q1006" i="2"/>
  <c r="P1006" i="2"/>
  <c r="R1007" i="2"/>
  <c r="T973" i="2"/>
  <c r="S973" i="2"/>
  <c r="Q973" i="2"/>
  <c r="P973" i="2"/>
  <c r="R974" i="2"/>
  <c r="P943" i="2"/>
  <c r="T943" i="2"/>
  <c r="R944" i="2"/>
  <c r="Q943" i="2"/>
  <c r="S943" i="2"/>
  <c r="T912" i="2"/>
  <c r="P912" i="2"/>
  <c r="S912" i="2"/>
  <c r="R913" i="2"/>
  <c r="Q912" i="2"/>
  <c r="T880" i="2"/>
  <c r="S880" i="2"/>
  <c r="R881" i="2"/>
  <c r="Q880" i="2"/>
  <c r="P880" i="2"/>
  <c r="T848" i="2"/>
  <c r="Q848" i="2"/>
  <c r="S848" i="2"/>
  <c r="R849" i="2"/>
  <c r="P848" i="2"/>
  <c r="F756" i="2"/>
  <c r="D757" i="2"/>
  <c r="D695" i="2"/>
  <c r="F694" i="2"/>
  <c r="R571" i="2"/>
  <c r="T570" i="2"/>
  <c r="P13" i="2"/>
  <c r="S13" i="2"/>
  <c r="T13" i="2"/>
  <c r="Q13" i="2"/>
  <c r="R14" i="2"/>
  <c r="R1381" i="2" l="1"/>
  <c r="T1380" i="2"/>
  <c r="Q1380" i="2"/>
  <c r="S1380" i="2"/>
  <c r="P1380" i="2"/>
  <c r="T1348" i="2"/>
  <c r="S1348" i="2"/>
  <c r="R1349" i="2"/>
  <c r="P1348" i="2"/>
  <c r="Q1348" i="2"/>
  <c r="R1318" i="2"/>
  <c r="T1317" i="2"/>
  <c r="S1317" i="2"/>
  <c r="P1317" i="2"/>
  <c r="Q1317" i="2"/>
  <c r="T1283" i="2"/>
  <c r="S1283" i="2"/>
  <c r="R1284" i="2"/>
  <c r="Q1283" i="2"/>
  <c r="P1283" i="2"/>
  <c r="R1253" i="2"/>
  <c r="P1252" i="2"/>
  <c r="T1252" i="2"/>
  <c r="S1252" i="2"/>
  <c r="Q1252" i="2"/>
  <c r="S1222" i="2"/>
  <c r="P1222" i="2"/>
  <c r="T1222" i="2"/>
  <c r="R1223" i="2"/>
  <c r="Q1222" i="2"/>
  <c r="S1191" i="2"/>
  <c r="T1191" i="2"/>
  <c r="P1191" i="2"/>
  <c r="Q1191" i="2"/>
  <c r="R1192" i="2"/>
  <c r="Q1160" i="2"/>
  <c r="P1160" i="2"/>
  <c r="T1160" i="2"/>
  <c r="R1161" i="2"/>
  <c r="S1160" i="2"/>
  <c r="S1128" i="2"/>
  <c r="R1129" i="2"/>
  <c r="Q1128" i="2"/>
  <c r="P1128" i="2"/>
  <c r="T1128" i="2"/>
  <c r="S1098" i="2"/>
  <c r="Q1098" i="2"/>
  <c r="T1098" i="2"/>
  <c r="R1099" i="2"/>
  <c r="P1098" i="2"/>
  <c r="T1067" i="2"/>
  <c r="R1068" i="2"/>
  <c r="P1067" i="2"/>
  <c r="Q1067" i="2"/>
  <c r="S1067" i="2"/>
  <c r="R1036" i="2"/>
  <c r="T1035" i="2"/>
  <c r="S1035" i="2"/>
  <c r="Q1035" i="2"/>
  <c r="P1035" i="2"/>
  <c r="T1007" i="2"/>
  <c r="S1007" i="2"/>
  <c r="Q1007" i="2"/>
  <c r="P1007" i="2"/>
  <c r="R1008" i="2"/>
  <c r="T974" i="2"/>
  <c r="S974" i="2"/>
  <c r="R975" i="2"/>
  <c r="P974" i="2"/>
  <c r="Q974" i="2"/>
  <c r="T944" i="2"/>
  <c r="R945" i="2"/>
  <c r="Q944" i="2"/>
  <c r="P944" i="2"/>
  <c r="S944" i="2"/>
  <c r="T913" i="2"/>
  <c r="S913" i="2"/>
  <c r="R914" i="2"/>
  <c r="Q913" i="2"/>
  <c r="P913" i="2"/>
  <c r="T881" i="2"/>
  <c r="S881" i="2"/>
  <c r="P881" i="2"/>
  <c r="Q881" i="2"/>
  <c r="R882" i="2"/>
  <c r="T849" i="2"/>
  <c r="Q849" i="2"/>
  <c r="P849" i="2"/>
  <c r="S849" i="2"/>
  <c r="R850" i="2"/>
  <c r="D758" i="2"/>
  <c r="F757" i="2"/>
  <c r="F695" i="2"/>
  <c r="D696" i="2"/>
  <c r="T571" i="2"/>
  <c r="R572" i="2"/>
  <c r="P14" i="2"/>
  <c r="S14" i="2"/>
  <c r="T14" i="2"/>
  <c r="Q14" i="2"/>
  <c r="R15" i="2"/>
  <c r="R1382" i="2" l="1"/>
  <c r="T1381" i="2"/>
  <c r="Q1381" i="2"/>
  <c r="S1381" i="2"/>
  <c r="P1381" i="2"/>
  <c r="T1349" i="2"/>
  <c r="S1349" i="2"/>
  <c r="R1350" i="2"/>
  <c r="Q1349" i="2"/>
  <c r="P1349" i="2"/>
  <c r="R1319" i="2"/>
  <c r="S1318" i="2"/>
  <c r="T1318" i="2"/>
  <c r="Q1318" i="2"/>
  <c r="P1318" i="2"/>
  <c r="T1284" i="2"/>
  <c r="S1284" i="2"/>
  <c r="Q1284" i="2"/>
  <c r="P1284" i="2"/>
  <c r="R1285" i="2"/>
  <c r="S1253" i="2"/>
  <c r="R1254" i="2"/>
  <c r="T1253" i="2"/>
  <c r="Q1253" i="2"/>
  <c r="P1253" i="2"/>
  <c r="R1224" i="2"/>
  <c r="T1223" i="2"/>
  <c r="S1223" i="2"/>
  <c r="Q1223" i="2"/>
  <c r="P1223" i="2"/>
  <c r="T1192" i="2"/>
  <c r="S1192" i="2"/>
  <c r="Q1192" i="2"/>
  <c r="P1192" i="2"/>
  <c r="R1193" i="2"/>
  <c r="R1162" i="2"/>
  <c r="S1161" i="2"/>
  <c r="Q1161" i="2"/>
  <c r="P1161" i="2"/>
  <c r="T1161" i="2"/>
  <c r="T1129" i="2"/>
  <c r="S1129" i="2"/>
  <c r="R1130" i="2"/>
  <c r="Q1129" i="2"/>
  <c r="P1129" i="2"/>
  <c r="S1099" i="2"/>
  <c r="R1100" i="2"/>
  <c r="Q1099" i="2"/>
  <c r="T1099" i="2"/>
  <c r="P1099" i="2"/>
  <c r="T1068" i="2"/>
  <c r="S1068" i="2"/>
  <c r="R1069" i="2"/>
  <c r="P1068" i="2"/>
  <c r="Q1068" i="2"/>
  <c r="T1036" i="2"/>
  <c r="S1036" i="2"/>
  <c r="R1037" i="2"/>
  <c r="Q1036" i="2"/>
  <c r="P1036" i="2"/>
  <c r="R1009" i="2"/>
  <c r="S1008" i="2"/>
  <c r="T1008" i="2"/>
  <c r="Q1008" i="2"/>
  <c r="P1008" i="2"/>
  <c r="T975" i="2"/>
  <c r="R976" i="2"/>
  <c r="Q975" i="2"/>
  <c r="P975" i="2"/>
  <c r="S975" i="2"/>
  <c r="Q945" i="2"/>
  <c r="T945" i="2"/>
  <c r="S945" i="2"/>
  <c r="P945" i="2"/>
  <c r="R946" i="2"/>
  <c r="T914" i="2"/>
  <c r="S914" i="2"/>
  <c r="Q914" i="2"/>
  <c r="P914" i="2"/>
  <c r="R915" i="2"/>
  <c r="T882" i="2"/>
  <c r="S882" i="2"/>
  <c r="Q882" i="2"/>
  <c r="R883" i="2"/>
  <c r="P882" i="2"/>
  <c r="T850" i="2"/>
  <c r="S850" i="2"/>
  <c r="R851" i="2"/>
  <c r="Q850" i="2"/>
  <c r="P850" i="2"/>
  <c r="D759" i="2"/>
  <c r="F758" i="2"/>
  <c r="D697" i="2"/>
  <c r="F696" i="2"/>
  <c r="R573" i="2"/>
  <c r="T572" i="2"/>
  <c r="S15" i="2"/>
  <c r="T15" i="2"/>
  <c r="P15" i="2"/>
  <c r="Q15" i="2"/>
  <c r="R16" i="2"/>
  <c r="T1382" i="2" l="1"/>
  <c r="S1382" i="2"/>
  <c r="P1382" i="2"/>
  <c r="Q1382" i="2"/>
  <c r="R1383" i="2"/>
  <c r="T1350" i="2"/>
  <c r="S1350" i="2"/>
  <c r="P1350" i="2"/>
  <c r="R1351" i="2"/>
  <c r="Q1350" i="2"/>
  <c r="Q1319" i="2"/>
  <c r="P1319" i="2"/>
  <c r="R1320" i="2"/>
  <c r="T1319" i="2"/>
  <c r="S1319" i="2"/>
  <c r="T1285" i="2"/>
  <c r="S1285" i="2"/>
  <c r="R1286" i="2"/>
  <c r="Q1285" i="2"/>
  <c r="P1285" i="2"/>
  <c r="S1254" i="2"/>
  <c r="Q1254" i="2"/>
  <c r="R1255" i="2"/>
  <c r="T1254" i="2"/>
  <c r="P1254" i="2"/>
  <c r="S1224" i="2"/>
  <c r="T1224" i="2"/>
  <c r="R1225" i="2"/>
  <c r="Q1224" i="2"/>
  <c r="P1224" i="2"/>
  <c r="T1193" i="2"/>
  <c r="R1194" i="2"/>
  <c r="P1193" i="2"/>
  <c r="S1193" i="2"/>
  <c r="Q1193" i="2"/>
  <c r="P1162" i="2"/>
  <c r="S1162" i="2"/>
  <c r="Q1162" i="2"/>
  <c r="R1163" i="2"/>
  <c r="T1162" i="2"/>
  <c r="T1130" i="2"/>
  <c r="S1130" i="2"/>
  <c r="Q1130" i="2"/>
  <c r="P1130" i="2"/>
  <c r="R1131" i="2"/>
  <c r="R1101" i="2"/>
  <c r="T1100" i="2"/>
  <c r="S1100" i="2"/>
  <c r="Q1100" i="2"/>
  <c r="P1100" i="2"/>
  <c r="S1069" i="2"/>
  <c r="R1070" i="2"/>
  <c r="Q1069" i="2"/>
  <c r="T1069" i="2"/>
  <c r="P1069" i="2"/>
  <c r="T1037" i="2"/>
  <c r="S1037" i="2"/>
  <c r="R1038" i="2"/>
  <c r="Q1037" i="2"/>
  <c r="P1037" i="2"/>
  <c r="P1009" i="2"/>
  <c r="Q1009" i="2"/>
  <c r="R1010" i="2"/>
  <c r="T1009" i="2"/>
  <c r="S1009" i="2"/>
  <c r="P976" i="2"/>
  <c r="T976" i="2"/>
  <c r="S976" i="2"/>
  <c r="Q976" i="2"/>
  <c r="R977" i="2"/>
  <c r="R947" i="2"/>
  <c r="Q946" i="2"/>
  <c r="T946" i="2"/>
  <c r="S946" i="2"/>
  <c r="P946" i="2"/>
  <c r="T915" i="2"/>
  <c r="S915" i="2"/>
  <c r="R916" i="2"/>
  <c r="Q915" i="2"/>
  <c r="P915" i="2"/>
  <c r="T883" i="2"/>
  <c r="R884" i="2"/>
  <c r="S883" i="2"/>
  <c r="Q883" i="2"/>
  <c r="P883" i="2"/>
  <c r="S851" i="2"/>
  <c r="T851" i="2"/>
  <c r="Q851" i="2"/>
  <c r="P851" i="2"/>
  <c r="R852" i="2"/>
  <c r="F759" i="2"/>
  <c r="D760" i="2"/>
  <c r="F697" i="2"/>
  <c r="D698" i="2"/>
  <c r="T573" i="2"/>
  <c r="R574" i="2"/>
  <c r="S16" i="2"/>
  <c r="P16" i="2"/>
  <c r="T16" i="2"/>
  <c r="Q16" i="2"/>
  <c r="R17" i="2"/>
  <c r="T1383" i="2" l="1"/>
  <c r="S1383" i="2"/>
  <c r="R1384" i="2"/>
  <c r="Q1383" i="2"/>
  <c r="P1383" i="2"/>
  <c r="T1351" i="2"/>
  <c r="S1351" i="2"/>
  <c r="R1352" i="2"/>
  <c r="Q1351" i="2"/>
  <c r="P1351" i="2"/>
  <c r="T1320" i="2"/>
  <c r="S1320" i="2"/>
  <c r="Q1320" i="2"/>
  <c r="R1321" i="2"/>
  <c r="P1320" i="2"/>
  <c r="T1286" i="2"/>
  <c r="Q1286" i="2"/>
  <c r="P1286" i="2"/>
  <c r="S1286" i="2"/>
  <c r="R1287" i="2"/>
  <c r="T1255" i="2"/>
  <c r="S1255" i="2"/>
  <c r="R1256" i="2"/>
  <c r="Q1255" i="2"/>
  <c r="P1255" i="2"/>
  <c r="T1225" i="2"/>
  <c r="S1225" i="2"/>
  <c r="Q1225" i="2"/>
  <c r="P1225" i="2"/>
  <c r="R1226" i="2"/>
  <c r="Q1194" i="2"/>
  <c r="P1194" i="2"/>
  <c r="R1195" i="2"/>
  <c r="S1194" i="2"/>
  <c r="T1194" i="2"/>
  <c r="R1164" i="2"/>
  <c r="Q1163" i="2"/>
  <c r="P1163" i="2"/>
  <c r="T1163" i="2"/>
  <c r="S1163" i="2"/>
  <c r="T1131" i="2"/>
  <c r="S1131" i="2"/>
  <c r="P1131" i="2"/>
  <c r="R1132" i="2"/>
  <c r="Q1131" i="2"/>
  <c r="T1101" i="2"/>
  <c r="S1101" i="2"/>
  <c r="R1102" i="2"/>
  <c r="Q1101" i="2"/>
  <c r="P1101" i="2"/>
  <c r="T1070" i="2"/>
  <c r="S1070" i="2"/>
  <c r="R1071" i="2"/>
  <c r="Q1070" i="2"/>
  <c r="P1070" i="2"/>
  <c r="T1038" i="2"/>
  <c r="S1038" i="2"/>
  <c r="P1038" i="2"/>
  <c r="R1039" i="2"/>
  <c r="Q1038" i="2"/>
  <c r="T1010" i="2"/>
  <c r="S1010" i="2"/>
  <c r="P1010" i="2"/>
  <c r="Q1010" i="2"/>
  <c r="R1011" i="2"/>
  <c r="R978" i="2"/>
  <c r="Q977" i="2"/>
  <c r="P977" i="2"/>
  <c r="T977" i="2"/>
  <c r="S977" i="2"/>
  <c r="T947" i="2"/>
  <c r="S947" i="2"/>
  <c r="R948" i="2"/>
  <c r="Q947" i="2"/>
  <c r="P947" i="2"/>
  <c r="T916" i="2"/>
  <c r="S916" i="2"/>
  <c r="Q916" i="2"/>
  <c r="P916" i="2"/>
  <c r="R917" i="2"/>
  <c r="P884" i="2"/>
  <c r="R885" i="2"/>
  <c r="S884" i="2"/>
  <c r="Q884" i="2"/>
  <c r="T884" i="2"/>
  <c r="S852" i="2"/>
  <c r="T852" i="2"/>
  <c r="P852" i="2"/>
  <c r="R853" i="2"/>
  <c r="Q852" i="2"/>
  <c r="D761" i="2"/>
  <c r="F760" i="2"/>
  <c r="D699" i="2"/>
  <c r="F698" i="2"/>
  <c r="R575" i="2"/>
  <c r="T574" i="2"/>
  <c r="S17" i="2"/>
  <c r="P17" i="2"/>
  <c r="T17" i="2"/>
  <c r="Q17" i="2"/>
  <c r="R18" i="2"/>
  <c r="T1384" i="2" l="1"/>
  <c r="R1385" i="2"/>
  <c r="S1384" i="2"/>
  <c r="Q1384" i="2"/>
  <c r="P1384" i="2"/>
  <c r="T1352" i="2"/>
  <c r="S1352" i="2"/>
  <c r="Q1352" i="2"/>
  <c r="P1352" i="2"/>
  <c r="R1353" i="2"/>
  <c r="Q1321" i="2"/>
  <c r="T1321" i="2"/>
  <c r="S1321" i="2"/>
  <c r="P1321" i="2"/>
  <c r="R1322" i="2"/>
  <c r="T1287" i="2"/>
  <c r="P1287" i="2"/>
  <c r="S1287" i="2"/>
  <c r="Q1287" i="2"/>
  <c r="R1288" i="2"/>
  <c r="S1256" i="2"/>
  <c r="T1256" i="2"/>
  <c r="R1257" i="2"/>
  <c r="Q1256" i="2"/>
  <c r="P1256" i="2"/>
  <c r="T1226" i="2"/>
  <c r="S1226" i="2"/>
  <c r="R1227" i="2"/>
  <c r="P1226" i="2"/>
  <c r="Q1226" i="2"/>
  <c r="T1195" i="2"/>
  <c r="S1195" i="2"/>
  <c r="Q1195" i="2"/>
  <c r="R1196" i="2"/>
  <c r="P1195" i="2"/>
  <c r="R1165" i="2"/>
  <c r="Q1164" i="2"/>
  <c r="P1164" i="2"/>
  <c r="T1164" i="2"/>
  <c r="S1164" i="2"/>
  <c r="T1132" i="2"/>
  <c r="R1133" i="2"/>
  <c r="Q1132" i="2"/>
  <c r="P1132" i="2"/>
  <c r="S1132" i="2"/>
  <c r="T1102" i="2"/>
  <c r="S1102" i="2"/>
  <c r="R1103" i="2"/>
  <c r="Q1102" i="2"/>
  <c r="P1102" i="2"/>
  <c r="P1071" i="2"/>
  <c r="T1071" i="2"/>
  <c r="S1071" i="2"/>
  <c r="R1072" i="2"/>
  <c r="Q1071" i="2"/>
  <c r="T1039" i="2"/>
  <c r="S1039" i="2"/>
  <c r="Q1039" i="2"/>
  <c r="P1039" i="2"/>
  <c r="R1040" i="2"/>
  <c r="S1011" i="2"/>
  <c r="Q1011" i="2"/>
  <c r="P1011" i="2"/>
  <c r="R1012" i="2"/>
  <c r="T1011" i="2"/>
  <c r="R979" i="2"/>
  <c r="Q978" i="2"/>
  <c r="T978" i="2"/>
  <c r="P978" i="2"/>
  <c r="S978" i="2"/>
  <c r="T948" i="2"/>
  <c r="S948" i="2"/>
  <c r="R949" i="2"/>
  <c r="Q948" i="2"/>
  <c r="P948" i="2"/>
  <c r="R918" i="2"/>
  <c r="T917" i="2"/>
  <c r="P917" i="2"/>
  <c r="S917" i="2"/>
  <c r="Q917" i="2"/>
  <c r="T885" i="2"/>
  <c r="P885" i="2"/>
  <c r="S885" i="2"/>
  <c r="Q885" i="2"/>
  <c r="R886" i="2"/>
  <c r="T853" i="2"/>
  <c r="R854" i="2"/>
  <c r="Q853" i="2"/>
  <c r="P853" i="2"/>
  <c r="S853" i="2"/>
  <c r="F761" i="2"/>
  <c r="D762" i="2"/>
  <c r="F699" i="2"/>
  <c r="D700" i="2"/>
  <c r="R576" i="2"/>
  <c r="T575" i="2"/>
  <c r="S18" i="2"/>
  <c r="P18" i="2"/>
  <c r="T18" i="2"/>
  <c r="Q18" i="2"/>
  <c r="R19" i="2"/>
  <c r="Q1385" i="2" l="1"/>
  <c r="P1385" i="2"/>
  <c r="R1386" i="2"/>
  <c r="S1385" i="2"/>
  <c r="T1385" i="2"/>
  <c r="R1354" i="2"/>
  <c r="P1353" i="2"/>
  <c r="T1353" i="2"/>
  <c r="S1353" i="2"/>
  <c r="Q1353" i="2"/>
  <c r="Q1322" i="2"/>
  <c r="P1322" i="2"/>
  <c r="R1323" i="2"/>
  <c r="S1322" i="2"/>
  <c r="T1322" i="2"/>
  <c r="P1288" i="2"/>
  <c r="R1289" i="2"/>
  <c r="T1288" i="2"/>
  <c r="S1288" i="2"/>
  <c r="Q1288" i="2"/>
  <c r="T1257" i="2"/>
  <c r="P1257" i="2"/>
  <c r="S1257" i="2"/>
  <c r="R1258" i="2"/>
  <c r="Q1257" i="2"/>
  <c r="T1227" i="2"/>
  <c r="P1227" i="2"/>
  <c r="S1227" i="2"/>
  <c r="Q1227" i="2"/>
  <c r="R1228" i="2"/>
  <c r="R1197" i="2"/>
  <c r="P1196" i="2"/>
  <c r="S1196" i="2"/>
  <c r="Q1196" i="2"/>
  <c r="T1196" i="2"/>
  <c r="S1165" i="2"/>
  <c r="R1166" i="2"/>
  <c r="Q1165" i="2"/>
  <c r="P1165" i="2"/>
  <c r="T1165" i="2"/>
  <c r="R1134" i="2"/>
  <c r="Q1133" i="2"/>
  <c r="S1133" i="2"/>
  <c r="P1133" i="2"/>
  <c r="T1133" i="2"/>
  <c r="T1103" i="2"/>
  <c r="S1103" i="2"/>
  <c r="R1104" i="2"/>
  <c r="Q1103" i="2"/>
  <c r="P1103" i="2"/>
  <c r="T1072" i="2"/>
  <c r="R1073" i="2"/>
  <c r="Q1072" i="2"/>
  <c r="P1072" i="2"/>
  <c r="S1072" i="2"/>
  <c r="R1041" i="2"/>
  <c r="T1040" i="2"/>
  <c r="S1040" i="2"/>
  <c r="Q1040" i="2"/>
  <c r="P1040" i="2"/>
  <c r="Q1012" i="2"/>
  <c r="P1012" i="2"/>
  <c r="R1013" i="2"/>
  <c r="T1012" i="2"/>
  <c r="S1012" i="2"/>
  <c r="S979" i="2"/>
  <c r="P979" i="2"/>
  <c r="R980" i="2"/>
  <c r="T979" i="2"/>
  <c r="Q979" i="2"/>
  <c r="T949" i="2"/>
  <c r="S949" i="2"/>
  <c r="R950" i="2"/>
  <c r="P949" i="2"/>
  <c r="Q949" i="2"/>
  <c r="S918" i="2"/>
  <c r="Q918" i="2"/>
  <c r="P918" i="2"/>
  <c r="R919" i="2"/>
  <c r="T918" i="2"/>
  <c r="R887" i="2"/>
  <c r="T886" i="2"/>
  <c r="S886" i="2"/>
  <c r="P886" i="2"/>
  <c r="Q886" i="2"/>
  <c r="R855" i="2"/>
  <c r="Q854" i="2"/>
  <c r="P854" i="2"/>
  <c r="T854" i="2"/>
  <c r="S854" i="2"/>
  <c r="D763" i="2"/>
  <c r="F762" i="2"/>
  <c r="F700" i="2"/>
  <c r="D701" i="2"/>
  <c r="T576" i="2"/>
  <c r="R577" i="2"/>
  <c r="S19" i="2"/>
  <c r="P19" i="2"/>
  <c r="T19" i="2"/>
  <c r="Q19" i="2"/>
  <c r="R20" i="2"/>
  <c r="S1386" i="2" l="1"/>
  <c r="P1386" i="2"/>
  <c r="R1387" i="2"/>
  <c r="T1386" i="2"/>
  <c r="Q1386" i="2"/>
  <c r="R1355" i="2"/>
  <c r="T1354" i="2"/>
  <c r="S1354" i="2"/>
  <c r="Q1354" i="2"/>
  <c r="P1354" i="2"/>
  <c r="T1323" i="2"/>
  <c r="S1323" i="2"/>
  <c r="Q1323" i="2"/>
  <c r="P1323" i="2"/>
  <c r="R1324" i="2"/>
  <c r="T1289" i="2"/>
  <c r="S1289" i="2"/>
  <c r="Q1289" i="2"/>
  <c r="P1289" i="2"/>
  <c r="R1290" i="2"/>
  <c r="R1259" i="2"/>
  <c r="P1258" i="2"/>
  <c r="Q1258" i="2"/>
  <c r="T1258" i="2"/>
  <c r="S1258" i="2"/>
  <c r="R1229" i="2"/>
  <c r="Q1228" i="2"/>
  <c r="P1228" i="2"/>
  <c r="T1228" i="2"/>
  <c r="S1228" i="2"/>
  <c r="T1197" i="2"/>
  <c r="S1197" i="2"/>
  <c r="Q1197" i="2"/>
  <c r="P1197" i="2"/>
  <c r="R1198" i="2"/>
  <c r="T1166" i="2"/>
  <c r="S1166" i="2"/>
  <c r="R1167" i="2"/>
  <c r="Q1166" i="2"/>
  <c r="P1166" i="2"/>
  <c r="S1134" i="2"/>
  <c r="T1134" i="2"/>
  <c r="Q1134" i="2"/>
  <c r="P1134" i="2"/>
  <c r="R1135" i="2"/>
  <c r="T1104" i="2"/>
  <c r="S1104" i="2"/>
  <c r="R1105" i="2"/>
  <c r="Q1104" i="2"/>
  <c r="P1104" i="2"/>
  <c r="R1074" i="2"/>
  <c r="Q1073" i="2"/>
  <c r="P1073" i="2"/>
  <c r="T1073" i="2"/>
  <c r="S1073" i="2"/>
  <c r="S1041" i="2"/>
  <c r="Q1041" i="2"/>
  <c r="P1041" i="2"/>
  <c r="T1041" i="2"/>
  <c r="R1042" i="2"/>
  <c r="T1013" i="2"/>
  <c r="S1013" i="2"/>
  <c r="Q1013" i="2"/>
  <c r="P1013" i="2"/>
  <c r="R1014" i="2"/>
  <c r="T980" i="2"/>
  <c r="S980" i="2"/>
  <c r="P980" i="2"/>
  <c r="R981" i="2"/>
  <c r="Q980" i="2"/>
  <c r="T950" i="2"/>
  <c r="S950" i="2"/>
  <c r="R951" i="2"/>
  <c r="Q950" i="2"/>
  <c r="P950" i="2"/>
  <c r="R920" i="2"/>
  <c r="T919" i="2"/>
  <c r="S919" i="2"/>
  <c r="P919" i="2"/>
  <c r="Q919" i="2"/>
  <c r="T887" i="2"/>
  <c r="Q887" i="2"/>
  <c r="P887" i="2"/>
  <c r="R888" i="2"/>
  <c r="S887" i="2"/>
  <c r="S855" i="2"/>
  <c r="T855" i="2"/>
  <c r="Q855" i="2"/>
  <c r="P855" i="2"/>
  <c r="R856" i="2"/>
  <c r="F763" i="2"/>
  <c r="D764" i="2"/>
  <c r="D702" i="2"/>
  <c r="F701" i="2"/>
  <c r="R578" i="2"/>
  <c r="T577" i="2"/>
  <c r="S20" i="2"/>
  <c r="T20" i="2"/>
  <c r="P20" i="2"/>
  <c r="Q20" i="2"/>
  <c r="R21" i="2"/>
  <c r="P1387" i="2" l="1"/>
  <c r="R1388" i="2"/>
  <c r="S1387" i="2"/>
  <c r="T1387" i="2"/>
  <c r="Q1387" i="2"/>
  <c r="Q1355" i="2"/>
  <c r="P1355" i="2"/>
  <c r="T1355" i="2"/>
  <c r="S1355" i="2"/>
  <c r="R1356" i="2"/>
  <c r="P1324" i="2"/>
  <c r="S1324" i="2"/>
  <c r="Q1324" i="2"/>
  <c r="T1324" i="2"/>
  <c r="R1325" i="2"/>
  <c r="R1291" i="2"/>
  <c r="T1290" i="2"/>
  <c r="S1290" i="2"/>
  <c r="Q1290" i="2"/>
  <c r="P1290" i="2"/>
  <c r="P1259" i="2"/>
  <c r="Q1259" i="2"/>
  <c r="R1260" i="2"/>
  <c r="T1259" i="2"/>
  <c r="S1259" i="2"/>
  <c r="S1229" i="2"/>
  <c r="R1230" i="2"/>
  <c r="T1229" i="2"/>
  <c r="Q1229" i="2"/>
  <c r="P1229" i="2"/>
  <c r="T1198" i="2"/>
  <c r="R1199" i="2"/>
  <c r="S1198" i="2"/>
  <c r="Q1198" i="2"/>
  <c r="P1198" i="2"/>
  <c r="T1167" i="2"/>
  <c r="S1167" i="2"/>
  <c r="Q1167" i="2"/>
  <c r="P1167" i="2"/>
  <c r="R1168" i="2"/>
  <c r="T1135" i="2"/>
  <c r="S1135" i="2"/>
  <c r="P1135" i="2"/>
  <c r="R1136" i="2"/>
  <c r="Q1135" i="2"/>
  <c r="T1105" i="2"/>
  <c r="S1105" i="2"/>
  <c r="P1105" i="2"/>
  <c r="R1106" i="2"/>
  <c r="Q1105" i="2"/>
  <c r="R1075" i="2"/>
  <c r="Q1074" i="2"/>
  <c r="S1074" i="2"/>
  <c r="P1074" i="2"/>
  <c r="T1074" i="2"/>
  <c r="R1043" i="2"/>
  <c r="T1042" i="2"/>
  <c r="Q1042" i="2"/>
  <c r="P1042" i="2"/>
  <c r="S1042" i="2"/>
  <c r="T1014" i="2"/>
  <c r="Q1014" i="2"/>
  <c r="R1015" i="2"/>
  <c r="S1014" i="2"/>
  <c r="P1014" i="2"/>
  <c r="T981" i="2"/>
  <c r="S981" i="2"/>
  <c r="Q981" i="2"/>
  <c r="P981" i="2"/>
  <c r="R982" i="2"/>
  <c r="T951" i="2"/>
  <c r="S951" i="2"/>
  <c r="R952" i="2"/>
  <c r="Q951" i="2"/>
  <c r="P951" i="2"/>
  <c r="S920" i="2"/>
  <c r="Q920" i="2"/>
  <c r="P920" i="2"/>
  <c r="T920" i="2"/>
  <c r="R921" i="2"/>
  <c r="T888" i="2"/>
  <c r="S888" i="2"/>
  <c r="Q888" i="2"/>
  <c r="P888" i="2"/>
  <c r="R889" i="2"/>
  <c r="T856" i="2"/>
  <c r="S856" i="2"/>
  <c r="R857" i="2"/>
  <c r="Q856" i="2"/>
  <c r="P856" i="2"/>
  <c r="F764" i="2"/>
  <c r="D765" i="2"/>
  <c r="D703" i="2"/>
  <c r="F702" i="2"/>
  <c r="R579" i="2"/>
  <c r="T578" i="2"/>
  <c r="S21" i="2"/>
  <c r="T21" i="2"/>
  <c r="Q21" i="2"/>
  <c r="P21" i="2"/>
  <c r="R22" i="2"/>
  <c r="R1389" i="2" l="1"/>
  <c r="Q1388" i="2"/>
  <c r="P1388" i="2"/>
  <c r="T1388" i="2"/>
  <c r="S1388" i="2"/>
  <c r="P1356" i="2"/>
  <c r="R1357" i="2"/>
  <c r="T1356" i="2"/>
  <c r="S1356" i="2"/>
  <c r="Q1356" i="2"/>
  <c r="P1325" i="2"/>
  <c r="R1326" i="2"/>
  <c r="T1325" i="2"/>
  <c r="S1325" i="2"/>
  <c r="Q1325" i="2"/>
  <c r="T1291" i="2"/>
  <c r="S1291" i="2"/>
  <c r="Q1291" i="2"/>
  <c r="P1291" i="2"/>
  <c r="R1292" i="2"/>
  <c r="R1261" i="2"/>
  <c r="P1260" i="2"/>
  <c r="S1260" i="2"/>
  <c r="Q1260" i="2"/>
  <c r="T1260" i="2"/>
  <c r="T1230" i="2"/>
  <c r="S1230" i="2"/>
  <c r="Q1230" i="2"/>
  <c r="P1230" i="2"/>
  <c r="R1231" i="2"/>
  <c r="P1199" i="2"/>
  <c r="Q1199" i="2"/>
  <c r="R1200" i="2"/>
  <c r="S1199" i="2"/>
  <c r="T1199" i="2"/>
  <c r="T1168" i="2"/>
  <c r="S1168" i="2"/>
  <c r="R1169" i="2"/>
  <c r="Q1168" i="2"/>
  <c r="P1168" i="2"/>
  <c r="T1136" i="2"/>
  <c r="R1137" i="2"/>
  <c r="S1136" i="2"/>
  <c r="Q1136" i="2"/>
  <c r="P1136" i="2"/>
  <c r="T1106" i="2"/>
  <c r="S1106" i="2"/>
  <c r="R1107" i="2"/>
  <c r="P1106" i="2"/>
  <c r="Q1106" i="2"/>
  <c r="T1075" i="2"/>
  <c r="Q1075" i="2"/>
  <c r="S1075" i="2"/>
  <c r="R1076" i="2"/>
  <c r="P1075" i="2"/>
  <c r="S1043" i="2"/>
  <c r="Q1043" i="2"/>
  <c r="P1043" i="2"/>
  <c r="T1043" i="2"/>
  <c r="R1044" i="2"/>
  <c r="P1015" i="2"/>
  <c r="R1016" i="2"/>
  <c r="T1015" i="2"/>
  <c r="S1015" i="2"/>
  <c r="Q1015" i="2"/>
  <c r="R983" i="2"/>
  <c r="T982" i="2"/>
  <c r="S982" i="2"/>
  <c r="Q982" i="2"/>
  <c r="P982" i="2"/>
  <c r="T952" i="2"/>
  <c r="S952" i="2"/>
  <c r="Q952" i="2"/>
  <c r="P952" i="2"/>
  <c r="R953" i="2"/>
  <c r="R922" i="2"/>
  <c r="T921" i="2"/>
  <c r="S921" i="2"/>
  <c r="P921" i="2"/>
  <c r="Q921" i="2"/>
  <c r="P889" i="2"/>
  <c r="R890" i="2"/>
  <c r="Q889" i="2"/>
  <c r="T889" i="2"/>
  <c r="S889" i="2"/>
  <c r="T857" i="2"/>
  <c r="S857" i="2"/>
  <c r="Q857" i="2"/>
  <c r="P857" i="2"/>
  <c r="R858" i="2"/>
  <c r="F765" i="2"/>
  <c r="D766" i="2"/>
  <c r="D704" i="2"/>
  <c r="F703" i="2"/>
  <c r="R580" i="2"/>
  <c r="T579" i="2"/>
  <c r="Q22" i="2"/>
  <c r="T22" i="2"/>
  <c r="S22" i="2"/>
  <c r="P22" i="2"/>
  <c r="R23" i="2"/>
  <c r="R1390" i="2" l="1"/>
  <c r="Q1389" i="2"/>
  <c r="P1389" i="2"/>
  <c r="T1389" i="2"/>
  <c r="S1389" i="2"/>
  <c r="R1358" i="2"/>
  <c r="Q1357" i="2"/>
  <c r="P1357" i="2"/>
  <c r="T1357" i="2"/>
  <c r="S1357" i="2"/>
  <c r="R1327" i="2"/>
  <c r="Q1326" i="2"/>
  <c r="P1326" i="2"/>
  <c r="S1326" i="2"/>
  <c r="T1326" i="2"/>
  <c r="R1293" i="2"/>
  <c r="T1292" i="2"/>
  <c r="S1292" i="2"/>
  <c r="Q1292" i="2"/>
  <c r="P1292" i="2"/>
  <c r="T1261" i="2"/>
  <c r="S1261" i="2"/>
  <c r="Q1261" i="2"/>
  <c r="P1261" i="2"/>
  <c r="R1262" i="2"/>
  <c r="T1231" i="2"/>
  <c r="R1232" i="2"/>
  <c r="S1231" i="2"/>
  <c r="Q1231" i="2"/>
  <c r="P1231" i="2"/>
  <c r="T1200" i="2"/>
  <c r="S1200" i="2"/>
  <c r="Q1200" i="2"/>
  <c r="P1200" i="2"/>
  <c r="R1201" i="2"/>
  <c r="T1169" i="2"/>
  <c r="Q1169" i="2"/>
  <c r="P1169" i="2"/>
  <c r="R1170" i="2"/>
  <c r="S1169" i="2"/>
  <c r="Q1137" i="2"/>
  <c r="P1137" i="2"/>
  <c r="S1137" i="2"/>
  <c r="R1138" i="2"/>
  <c r="T1137" i="2"/>
  <c r="T1107" i="2"/>
  <c r="S1107" i="2"/>
  <c r="P1107" i="2"/>
  <c r="Q1107" i="2"/>
  <c r="R1108" i="2"/>
  <c r="T1076" i="2"/>
  <c r="Q1076" i="2"/>
  <c r="S1076" i="2"/>
  <c r="R1077" i="2"/>
  <c r="P1076" i="2"/>
  <c r="T1044" i="2"/>
  <c r="S1044" i="2"/>
  <c r="R1045" i="2"/>
  <c r="Q1044" i="2"/>
  <c r="P1044" i="2"/>
  <c r="R1017" i="2"/>
  <c r="Q1016" i="2"/>
  <c r="P1016" i="2"/>
  <c r="T1016" i="2"/>
  <c r="S1016" i="2"/>
  <c r="Q983" i="2"/>
  <c r="R984" i="2"/>
  <c r="T983" i="2"/>
  <c r="S983" i="2"/>
  <c r="P983" i="2"/>
  <c r="P953" i="2"/>
  <c r="T953" i="2"/>
  <c r="Q953" i="2"/>
  <c r="S953" i="2"/>
  <c r="R954" i="2"/>
  <c r="P922" i="2"/>
  <c r="S922" i="2"/>
  <c r="Q922" i="2"/>
  <c r="R923" i="2"/>
  <c r="T922" i="2"/>
  <c r="T890" i="2"/>
  <c r="S890" i="2"/>
  <c r="Q890" i="2"/>
  <c r="P890" i="2"/>
  <c r="R891" i="2"/>
  <c r="R859" i="2"/>
  <c r="T858" i="2"/>
  <c r="S858" i="2"/>
  <c r="Q858" i="2"/>
  <c r="P858" i="2"/>
  <c r="D767" i="2"/>
  <c r="F766" i="2"/>
  <c r="F704" i="2"/>
  <c r="D705" i="2"/>
  <c r="R581" i="2"/>
  <c r="T580" i="2"/>
  <c r="Q23" i="2"/>
  <c r="P23" i="2"/>
  <c r="T23" i="2"/>
  <c r="S23" i="2"/>
  <c r="R24" i="2"/>
  <c r="S1390" i="2" l="1"/>
  <c r="R1391" i="2"/>
  <c r="Q1390" i="2"/>
  <c r="P1390" i="2"/>
  <c r="T1390" i="2"/>
  <c r="R1359" i="2"/>
  <c r="Q1358" i="2"/>
  <c r="P1358" i="2"/>
  <c r="T1358" i="2"/>
  <c r="S1358" i="2"/>
  <c r="R1328" i="2"/>
  <c r="Q1327" i="2"/>
  <c r="P1327" i="2"/>
  <c r="T1327" i="2"/>
  <c r="S1327" i="2"/>
  <c r="P1293" i="2"/>
  <c r="S1293" i="2"/>
  <c r="Q1293" i="2"/>
  <c r="R1294" i="2"/>
  <c r="T1293" i="2"/>
  <c r="R1263" i="2"/>
  <c r="T1262" i="2"/>
  <c r="S1262" i="2"/>
  <c r="Q1262" i="2"/>
  <c r="P1262" i="2"/>
  <c r="P1232" i="2"/>
  <c r="Q1232" i="2"/>
  <c r="T1232" i="2"/>
  <c r="S1232" i="2"/>
  <c r="R1233" i="2"/>
  <c r="P1201" i="2"/>
  <c r="R1202" i="2"/>
  <c r="T1201" i="2"/>
  <c r="S1201" i="2"/>
  <c r="Q1201" i="2"/>
  <c r="P1170" i="2"/>
  <c r="T1170" i="2"/>
  <c r="S1170" i="2"/>
  <c r="Q1170" i="2"/>
  <c r="R1171" i="2"/>
  <c r="R1139" i="2"/>
  <c r="T1138" i="2"/>
  <c r="S1138" i="2"/>
  <c r="P1138" i="2"/>
  <c r="Q1138" i="2"/>
  <c r="P1108" i="2"/>
  <c r="R1109" i="2"/>
  <c r="T1108" i="2"/>
  <c r="S1108" i="2"/>
  <c r="Q1108" i="2"/>
  <c r="P1077" i="2"/>
  <c r="T1077" i="2"/>
  <c r="S1077" i="2"/>
  <c r="Q1077" i="2"/>
  <c r="R1078" i="2"/>
  <c r="Q1045" i="2"/>
  <c r="R1046" i="2"/>
  <c r="P1045" i="2"/>
  <c r="T1045" i="2"/>
  <c r="S1045" i="2"/>
  <c r="R1018" i="2"/>
  <c r="Q1017" i="2"/>
  <c r="P1017" i="2"/>
  <c r="S1017" i="2"/>
  <c r="T1017" i="2"/>
  <c r="P984" i="2"/>
  <c r="T984" i="2"/>
  <c r="Q984" i="2"/>
  <c r="S984" i="2"/>
  <c r="R985" i="2"/>
  <c r="R955" i="2"/>
  <c r="Q954" i="2"/>
  <c r="P954" i="2"/>
  <c r="T954" i="2"/>
  <c r="S954" i="2"/>
  <c r="R924" i="2"/>
  <c r="Q923" i="2"/>
  <c r="P923" i="2"/>
  <c r="T923" i="2"/>
  <c r="S923" i="2"/>
  <c r="P891" i="2"/>
  <c r="R892" i="2"/>
  <c r="T891" i="2"/>
  <c r="S891" i="2"/>
  <c r="Q891" i="2"/>
  <c r="T859" i="2"/>
  <c r="S859" i="2"/>
  <c r="Q859" i="2"/>
  <c r="R860" i="2"/>
  <c r="P859" i="2"/>
  <c r="D768" i="2"/>
  <c r="F767" i="2"/>
  <c r="F705" i="2"/>
  <c r="D706" i="2"/>
  <c r="R582" i="2"/>
  <c r="T581" i="2"/>
  <c r="P24" i="2"/>
  <c r="T24" i="2"/>
  <c r="S24" i="2"/>
  <c r="Q24" i="2"/>
  <c r="R25" i="2"/>
  <c r="T1391" i="2" l="1"/>
  <c r="Q1391" i="2"/>
  <c r="S1391" i="2"/>
  <c r="P1391" i="2"/>
  <c r="S1359" i="2"/>
  <c r="P1359" i="2"/>
  <c r="R1360" i="2"/>
  <c r="Q1359" i="2"/>
  <c r="T1359" i="2"/>
  <c r="S1328" i="2"/>
  <c r="R1329" i="2"/>
  <c r="Q1328" i="2"/>
  <c r="P1328" i="2"/>
  <c r="T1328" i="2"/>
  <c r="P1294" i="2"/>
  <c r="R1295" i="2"/>
  <c r="T1294" i="2"/>
  <c r="S1294" i="2"/>
  <c r="Q1294" i="2"/>
  <c r="P1263" i="2"/>
  <c r="S1263" i="2"/>
  <c r="R1264" i="2"/>
  <c r="T1263" i="2"/>
  <c r="Q1263" i="2"/>
  <c r="R1234" i="2"/>
  <c r="Q1233" i="2"/>
  <c r="P1233" i="2"/>
  <c r="T1233" i="2"/>
  <c r="S1233" i="2"/>
  <c r="R1203" i="2"/>
  <c r="Q1202" i="2"/>
  <c r="P1202" i="2"/>
  <c r="S1202" i="2"/>
  <c r="T1202" i="2"/>
  <c r="T1171" i="2"/>
  <c r="S1171" i="2"/>
  <c r="P1171" i="2"/>
  <c r="Q1171" i="2"/>
  <c r="R1172" i="2"/>
  <c r="P1139" i="2"/>
  <c r="T1139" i="2"/>
  <c r="S1139" i="2"/>
  <c r="Q1139" i="2"/>
  <c r="R1140" i="2"/>
  <c r="R1110" i="2"/>
  <c r="Q1109" i="2"/>
  <c r="P1109" i="2"/>
  <c r="T1109" i="2"/>
  <c r="S1109" i="2"/>
  <c r="R1079" i="2"/>
  <c r="Q1078" i="2"/>
  <c r="P1078" i="2"/>
  <c r="T1078" i="2"/>
  <c r="S1078" i="2"/>
  <c r="P1046" i="2"/>
  <c r="T1046" i="2"/>
  <c r="S1046" i="2"/>
  <c r="Q1046" i="2"/>
  <c r="R1047" i="2"/>
  <c r="S1018" i="2"/>
  <c r="R1019" i="2"/>
  <c r="Q1018" i="2"/>
  <c r="P1018" i="2"/>
  <c r="T1018" i="2"/>
  <c r="R986" i="2"/>
  <c r="Q985" i="2"/>
  <c r="P985" i="2"/>
  <c r="S985" i="2"/>
  <c r="T985" i="2"/>
  <c r="R956" i="2"/>
  <c r="Q955" i="2"/>
  <c r="P955" i="2"/>
  <c r="T955" i="2"/>
  <c r="S955" i="2"/>
  <c r="Q924" i="2"/>
  <c r="R925" i="2"/>
  <c r="P924" i="2"/>
  <c r="S924" i="2"/>
  <c r="T924" i="2"/>
  <c r="R893" i="2"/>
  <c r="Q892" i="2"/>
  <c r="P892" i="2"/>
  <c r="S892" i="2"/>
  <c r="T892" i="2"/>
  <c r="P860" i="2"/>
  <c r="S860" i="2"/>
  <c r="R861" i="2"/>
  <c r="Q860" i="2"/>
  <c r="T860" i="2"/>
  <c r="D769" i="2"/>
  <c r="F768" i="2"/>
  <c r="D707" i="2"/>
  <c r="F706" i="2"/>
  <c r="R583" i="2"/>
  <c r="T582" i="2"/>
  <c r="S25" i="2"/>
  <c r="T25" i="2"/>
  <c r="P25" i="2"/>
  <c r="Q25" i="2"/>
  <c r="R26" i="2"/>
  <c r="T1360" i="2" l="1"/>
  <c r="P1360" i="2"/>
  <c r="S1360" i="2"/>
  <c r="Q1360" i="2"/>
  <c r="T1329" i="2"/>
  <c r="S1329" i="2"/>
  <c r="Q1329" i="2"/>
  <c r="P1329" i="2"/>
  <c r="R1296" i="2"/>
  <c r="Q1295" i="2"/>
  <c r="P1295" i="2"/>
  <c r="S1295" i="2"/>
  <c r="T1295" i="2"/>
  <c r="R1265" i="2"/>
  <c r="Q1264" i="2"/>
  <c r="P1264" i="2"/>
  <c r="T1264" i="2"/>
  <c r="S1264" i="2"/>
  <c r="R1235" i="2"/>
  <c r="Q1234" i="2"/>
  <c r="P1234" i="2"/>
  <c r="S1234" i="2"/>
  <c r="T1234" i="2"/>
  <c r="P1203" i="2"/>
  <c r="R1204" i="2"/>
  <c r="Q1203" i="2"/>
  <c r="S1203" i="2"/>
  <c r="T1203" i="2"/>
  <c r="Q1172" i="2"/>
  <c r="P1172" i="2"/>
  <c r="R1173" i="2"/>
  <c r="T1172" i="2"/>
  <c r="S1172" i="2"/>
  <c r="R1141" i="2"/>
  <c r="Q1140" i="2"/>
  <c r="P1140" i="2"/>
  <c r="T1140" i="2"/>
  <c r="S1140" i="2"/>
  <c r="R1111" i="2"/>
  <c r="Q1110" i="2"/>
  <c r="P1110" i="2"/>
  <c r="S1110" i="2"/>
  <c r="T1110" i="2"/>
  <c r="R1080" i="2"/>
  <c r="Q1079" i="2"/>
  <c r="P1079" i="2"/>
  <c r="S1079" i="2"/>
  <c r="T1079" i="2"/>
  <c r="R1048" i="2"/>
  <c r="Q1047" i="2"/>
  <c r="P1047" i="2"/>
  <c r="T1047" i="2"/>
  <c r="S1047" i="2"/>
  <c r="T1019" i="2"/>
  <c r="S1019" i="2"/>
  <c r="Q1019" i="2"/>
  <c r="P1019" i="2"/>
  <c r="R987" i="2"/>
  <c r="Q986" i="2"/>
  <c r="P986" i="2"/>
  <c r="S986" i="2"/>
  <c r="T986" i="2"/>
  <c r="S956" i="2"/>
  <c r="R957" i="2"/>
  <c r="Q956" i="2"/>
  <c r="P956" i="2"/>
  <c r="T956" i="2"/>
  <c r="S925" i="2"/>
  <c r="R926" i="2"/>
  <c r="Q925" i="2"/>
  <c r="P925" i="2"/>
  <c r="T925" i="2"/>
  <c r="R894" i="2"/>
  <c r="P893" i="2"/>
  <c r="Q893" i="2"/>
  <c r="T893" i="2"/>
  <c r="S893" i="2"/>
  <c r="R862" i="2"/>
  <c r="Q861" i="2"/>
  <c r="P861" i="2"/>
  <c r="T861" i="2"/>
  <c r="S861" i="2"/>
  <c r="F769" i="2"/>
  <c r="D770" i="2"/>
  <c r="D708" i="2"/>
  <c r="F707" i="2"/>
  <c r="R584" i="2"/>
  <c r="T583" i="2"/>
  <c r="S26" i="2"/>
  <c r="T26" i="2"/>
  <c r="P26" i="2"/>
  <c r="Q26" i="2"/>
  <c r="R27" i="2"/>
  <c r="R1297" i="2" l="1"/>
  <c r="Q1296" i="2"/>
  <c r="P1296" i="2"/>
  <c r="T1296" i="2"/>
  <c r="S1296" i="2"/>
  <c r="S1265" i="2"/>
  <c r="R1266" i="2"/>
  <c r="Q1265" i="2"/>
  <c r="T1265" i="2"/>
  <c r="P1265" i="2"/>
  <c r="S1235" i="2"/>
  <c r="P1235" i="2"/>
  <c r="R1236" i="2"/>
  <c r="Q1235" i="2"/>
  <c r="T1235" i="2"/>
  <c r="S1204" i="2"/>
  <c r="R1205" i="2"/>
  <c r="Q1204" i="2"/>
  <c r="P1204" i="2"/>
  <c r="T1204" i="2"/>
  <c r="R1174" i="2"/>
  <c r="T1173" i="2"/>
  <c r="S1173" i="2"/>
  <c r="Q1173" i="2"/>
  <c r="P1173" i="2"/>
  <c r="P1141" i="2"/>
  <c r="R1142" i="2"/>
  <c r="Q1141" i="2"/>
  <c r="T1141" i="2"/>
  <c r="S1141" i="2"/>
  <c r="S1111" i="2"/>
  <c r="Q1111" i="2"/>
  <c r="R1112" i="2"/>
  <c r="P1111" i="2"/>
  <c r="T1111" i="2"/>
  <c r="S1080" i="2"/>
  <c r="Q1080" i="2"/>
  <c r="P1080" i="2"/>
  <c r="R1081" i="2"/>
  <c r="T1080" i="2"/>
  <c r="R1049" i="2"/>
  <c r="Q1048" i="2"/>
  <c r="P1048" i="2"/>
  <c r="T1048" i="2"/>
  <c r="S1048" i="2"/>
  <c r="S987" i="2"/>
  <c r="R988" i="2"/>
  <c r="Q987" i="2"/>
  <c r="P987" i="2"/>
  <c r="T987" i="2"/>
  <c r="T957" i="2"/>
  <c r="S957" i="2"/>
  <c r="P957" i="2"/>
  <c r="Q957" i="2"/>
  <c r="T926" i="2"/>
  <c r="S926" i="2"/>
  <c r="Q926" i="2"/>
  <c r="P926" i="2"/>
  <c r="S894" i="2"/>
  <c r="R895" i="2"/>
  <c r="Q894" i="2"/>
  <c r="P894" i="2"/>
  <c r="T894" i="2"/>
  <c r="R863" i="2"/>
  <c r="P862" i="2"/>
  <c r="Q862" i="2"/>
  <c r="S862" i="2"/>
  <c r="T862" i="2"/>
  <c r="D771" i="2"/>
  <c r="F771" i="2" s="1"/>
  <c r="F770" i="2"/>
  <c r="D709" i="2"/>
  <c r="F709" i="2" s="1"/>
  <c r="F708" i="2"/>
  <c r="T584" i="2"/>
  <c r="R585" i="2"/>
  <c r="T585" i="2" s="1"/>
  <c r="D36" i="2"/>
  <c r="S27" i="2"/>
  <c r="P27" i="2"/>
  <c r="T27" i="2"/>
  <c r="Q27" i="2"/>
  <c r="D37" i="2"/>
  <c r="S1297" i="2" l="1"/>
  <c r="Q1297" i="2"/>
  <c r="P1297" i="2"/>
  <c r="R1298" i="2"/>
  <c r="T1297" i="2"/>
  <c r="S1266" i="2"/>
  <c r="R1267" i="2"/>
  <c r="Q1266" i="2"/>
  <c r="T1266" i="2"/>
  <c r="P1266" i="2"/>
  <c r="T1236" i="2"/>
  <c r="S1236" i="2"/>
  <c r="Q1236" i="2"/>
  <c r="P1236" i="2"/>
  <c r="T1205" i="2"/>
  <c r="P1205" i="2"/>
  <c r="S1205" i="2"/>
  <c r="Q1205" i="2"/>
  <c r="T1174" i="2"/>
  <c r="S1174" i="2"/>
  <c r="Q1174" i="2"/>
  <c r="P1174" i="2"/>
  <c r="S1142" i="2"/>
  <c r="Q1142" i="2"/>
  <c r="R1143" i="2"/>
  <c r="P1142" i="2"/>
  <c r="T1142" i="2"/>
  <c r="T1112" i="2"/>
  <c r="Q1112" i="2"/>
  <c r="P1112" i="2"/>
  <c r="S1112" i="2"/>
  <c r="T1081" i="2"/>
  <c r="P1081" i="2"/>
  <c r="S1081" i="2"/>
  <c r="Q1081" i="2"/>
  <c r="S1049" i="2"/>
  <c r="Q1049" i="2"/>
  <c r="P1049" i="2"/>
  <c r="R1050" i="2"/>
  <c r="T1049" i="2"/>
  <c r="T988" i="2"/>
  <c r="S988" i="2"/>
  <c r="Q988" i="2"/>
  <c r="P988" i="2"/>
  <c r="T895" i="2"/>
  <c r="Q895" i="2"/>
  <c r="P895" i="2"/>
  <c r="S895" i="2"/>
  <c r="S863" i="2"/>
  <c r="R864" i="2"/>
  <c r="P863" i="2"/>
  <c r="Q863" i="2"/>
  <c r="T863" i="2"/>
  <c r="B37" i="2"/>
  <c r="F37" i="2"/>
  <c r="E37" i="2"/>
  <c r="C37" i="2"/>
  <c r="E36" i="2"/>
  <c r="B36" i="2"/>
  <c r="F36" i="2"/>
  <c r="C36" i="2"/>
  <c r="D38" i="2"/>
  <c r="T1298" i="2" l="1"/>
  <c r="S1298" i="2"/>
  <c r="Q1298" i="2"/>
  <c r="P1298" i="2"/>
  <c r="T1267" i="2"/>
  <c r="S1267" i="2"/>
  <c r="P1267" i="2"/>
  <c r="Q1267" i="2"/>
  <c r="T1143" i="2"/>
  <c r="Q1143" i="2"/>
  <c r="P1143" i="2"/>
  <c r="S1143" i="2"/>
  <c r="T1050" i="2"/>
  <c r="S1050" i="2"/>
  <c r="Q1050" i="2"/>
  <c r="P1050" i="2"/>
  <c r="T864" i="2"/>
  <c r="Q864" i="2"/>
  <c r="S864" i="2"/>
  <c r="P864" i="2"/>
  <c r="E38" i="2"/>
  <c r="B38" i="2"/>
  <c r="F38" i="2"/>
  <c r="C38" i="2"/>
  <c r="D39" i="2"/>
  <c r="B39" i="2" l="1"/>
  <c r="E39" i="2"/>
  <c r="F39" i="2"/>
  <c r="C39" i="2"/>
  <c r="D40" i="2"/>
  <c r="B40" i="2" l="1"/>
  <c r="E40" i="2"/>
  <c r="F40" i="2"/>
  <c r="C40" i="2"/>
  <c r="D41" i="2"/>
  <c r="E41" i="2" l="1"/>
  <c r="B41" i="2"/>
  <c r="F41" i="2"/>
  <c r="C41" i="2"/>
  <c r="D42" i="2"/>
  <c r="E42" i="2" l="1"/>
  <c r="B42" i="2"/>
  <c r="C42" i="2"/>
  <c r="F42" i="2"/>
  <c r="D43" i="2"/>
  <c r="E43" i="2" l="1"/>
  <c r="F43" i="2"/>
  <c r="C43" i="2"/>
  <c r="B43" i="2"/>
  <c r="D44" i="2"/>
  <c r="E44" i="2" l="1"/>
  <c r="C44" i="2"/>
  <c r="B44" i="2"/>
  <c r="F44" i="2"/>
  <c r="D45" i="2"/>
  <c r="E45" i="2" l="1"/>
  <c r="B45" i="2"/>
  <c r="C45" i="2"/>
  <c r="F45" i="2"/>
  <c r="D46" i="2"/>
  <c r="B46" i="2" l="1"/>
  <c r="E46" i="2"/>
  <c r="F46" i="2"/>
  <c r="C46" i="2"/>
  <c r="D47" i="2"/>
  <c r="B47" i="2" l="1"/>
  <c r="E47" i="2"/>
  <c r="C47" i="2"/>
  <c r="F47" i="2"/>
  <c r="D48" i="2"/>
  <c r="B48" i="2" l="1"/>
  <c r="E48" i="2"/>
  <c r="C48" i="2"/>
  <c r="F48" i="2"/>
  <c r="D49" i="2"/>
  <c r="B49" i="2" l="1"/>
  <c r="C49" i="2"/>
  <c r="F49" i="2"/>
  <c r="E49" i="2"/>
  <c r="D50" i="2"/>
  <c r="E50" i="2" l="1"/>
  <c r="B50" i="2"/>
  <c r="F50" i="2"/>
  <c r="C50" i="2"/>
  <c r="D51" i="2"/>
  <c r="E51" i="2" l="1"/>
  <c r="B51" i="2"/>
  <c r="F51" i="2"/>
  <c r="C51" i="2"/>
  <c r="D52" i="2"/>
  <c r="E52" i="2" l="1"/>
  <c r="F52" i="2"/>
  <c r="B52" i="2"/>
  <c r="C52" i="2"/>
  <c r="D53" i="2"/>
  <c r="E53" i="2" l="1"/>
  <c r="F53" i="2"/>
  <c r="B53" i="2"/>
  <c r="C53" i="2"/>
  <c r="D54" i="2"/>
  <c r="E54" i="2" l="1"/>
  <c r="F54" i="2"/>
  <c r="B54" i="2"/>
  <c r="C54" i="2"/>
  <c r="D55" i="2"/>
  <c r="B55" i="2" l="1"/>
  <c r="F55" i="2"/>
  <c r="E55" i="2"/>
  <c r="C55" i="2"/>
  <c r="D56" i="2"/>
  <c r="B56" i="2" l="1"/>
  <c r="E56" i="2"/>
  <c r="F56" i="2"/>
  <c r="C56" i="2"/>
  <c r="D57" i="2"/>
  <c r="E57" i="2" l="1"/>
  <c r="F57" i="2"/>
  <c r="B57" i="2"/>
  <c r="C57" i="2"/>
  <c r="D58" i="2"/>
  <c r="K36" i="2" l="1"/>
  <c r="K37" i="2" s="1"/>
  <c r="E58" i="2"/>
  <c r="B58" i="2"/>
  <c r="F58" i="2"/>
  <c r="C58" i="2"/>
  <c r="L37" i="2" l="1"/>
  <c r="I37" i="2"/>
  <c r="M37" i="2"/>
  <c r="J37" i="2"/>
  <c r="L36" i="2"/>
  <c r="I36" i="2"/>
  <c r="M36" i="2"/>
  <c r="J36" i="2"/>
  <c r="K38" i="2"/>
  <c r="L38" i="2" l="1"/>
  <c r="I38" i="2"/>
  <c r="J38" i="2"/>
  <c r="M38" i="2"/>
  <c r="K39" i="2"/>
  <c r="I39" i="2" l="1"/>
  <c r="J39" i="2"/>
  <c r="L39" i="2"/>
  <c r="M39" i="2"/>
  <c r="K40" i="2"/>
  <c r="J40" i="2" l="1"/>
  <c r="L40" i="2"/>
  <c r="M40" i="2"/>
  <c r="I40" i="2"/>
  <c r="K41" i="2"/>
  <c r="L41" i="2" l="1"/>
  <c r="I41" i="2"/>
  <c r="M41" i="2"/>
  <c r="J41" i="2"/>
  <c r="K42" i="2"/>
  <c r="L42" i="2" l="1"/>
  <c r="M42" i="2"/>
  <c r="I42" i="2"/>
  <c r="J42" i="2"/>
  <c r="K43" i="2"/>
  <c r="L43" i="2" l="1"/>
  <c r="I43" i="2"/>
  <c r="M43" i="2"/>
  <c r="J43" i="2"/>
  <c r="K44" i="2"/>
  <c r="L44" i="2" l="1"/>
  <c r="I44" i="2"/>
  <c r="M44" i="2"/>
  <c r="J44" i="2"/>
  <c r="K45" i="2"/>
  <c r="L45" i="2" l="1"/>
  <c r="I45" i="2"/>
  <c r="M45" i="2"/>
  <c r="J45" i="2"/>
  <c r="K46" i="2"/>
  <c r="I46" i="2" l="1"/>
  <c r="L46" i="2"/>
  <c r="M46" i="2"/>
  <c r="J46" i="2"/>
  <c r="K47" i="2"/>
  <c r="I47" i="2" l="1"/>
  <c r="L47" i="2"/>
  <c r="M47" i="2"/>
  <c r="J47" i="2"/>
  <c r="K48" i="2"/>
  <c r="M48" i="2" l="1"/>
  <c r="I48" i="2"/>
  <c r="L48" i="2"/>
  <c r="J48" i="2"/>
  <c r="K49" i="2"/>
  <c r="M49" i="2" l="1"/>
  <c r="L49" i="2"/>
  <c r="I49" i="2"/>
  <c r="J49" i="2"/>
  <c r="K50" i="2"/>
  <c r="L50" i="2" l="1"/>
  <c r="M50" i="2"/>
  <c r="I50" i="2"/>
  <c r="J50" i="2"/>
  <c r="K51" i="2"/>
  <c r="L51" i="2" l="1"/>
  <c r="M51" i="2"/>
  <c r="I51" i="2"/>
  <c r="J51" i="2"/>
  <c r="K52" i="2"/>
  <c r="L52" i="2" l="1"/>
  <c r="I52" i="2"/>
  <c r="M52" i="2"/>
  <c r="J52" i="2"/>
  <c r="K53" i="2"/>
  <c r="L53" i="2" l="1"/>
  <c r="I53" i="2"/>
  <c r="M53" i="2"/>
  <c r="J53" i="2"/>
  <c r="K54" i="2"/>
  <c r="L54" i="2" l="1"/>
  <c r="I54" i="2"/>
  <c r="M54" i="2"/>
  <c r="J54" i="2"/>
  <c r="K55" i="2"/>
  <c r="I55" i="2" l="1"/>
  <c r="L55" i="2"/>
  <c r="J55" i="2"/>
  <c r="M55" i="2"/>
  <c r="K56" i="2"/>
  <c r="L56" i="2" l="1"/>
  <c r="J56" i="2"/>
  <c r="I56" i="2"/>
  <c r="M56" i="2"/>
  <c r="K57" i="2"/>
  <c r="L57" i="2" l="1"/>
  <c r="M57" i="2"/>
  <c r="I57" i="2"/>
  <c r="J57" i="2"/>
  <c r="K58" i="2"/>
  <c r="R36" i="2" l="1"/>
  <c r="M58" i="2"/>
  <c r="I58" i="2"/>
  <c r="J58" i="2"/>
  <c r="L58" i="2"/>
  <c r="R37" i="2"/>
  <c r="S37" i="2" l="1"/>
  <c r="P37" i="2"/>
  <c r="T37" i="2"/>
  <c r="Q37" i="2"/>
  <c r="S36" i="2"/>
  <c r="P36" i="2"/>
  <c r="T36" i="2"/>
  <c r="Q36" i="2"/>
  <c r="R38" i="2"/>
  <c r="S38" i="2" l="1"/>
  <c r="P38" i="2"/>
  <c r="T38" i="2"/>
  <c r="Q38" i="2"/>
  <c r="R39" i="2"/>
  <c r="S39" i="2" l="1"/>
  <c r="P39" i="2"/>
  <c r="T39" i="2"/>
  <c r="Q39" i="2"/>
  <c r="R40" i="2"/>
  <c r="T40" i="2" l="1"/>
  <c r="P40" i="2"/>
  <c r="S40" i="2"/>
  <c r="Q40" i="2"/>
  <c r="R41" i="2"/>
  <c r="T41" i="2" l="1"/>
  <c r="P41" i="2"/>
  <c r="Q41" i="2"/>
  <c r="S41" i="2"/>
  <c r="R42" i="2"/>
  <c r="S42" i="2" l="1"/>
  <c r="P42" i="2"/>
  <c r="T42" i="2"/>
  <c r="Q42" i="2"/>
  <c r="R43" i="2"/>
  <c r="S43" i="2" l="1"/>
  <c r="T43" i="2"/>
  <c r="P43" i="2"/>
  <c r="Q43" i="2"/>
  <c r="R44" i="2"/>
  <c r="S44" i="2" l="1"/>
  <c r="T44" i="2"/>
  <c r="P44" i="2"/>
  <c r="Q44" i="2"/>
  <c r="R45" i="2"/>
  <c r="T45" i="2" l="1"/>
  <c r="S45" i="2"/>
  <c r="P45" i="2"/>
  <c r="Q45" i="2"/>
  <c r="R46" i="2"/>
  <c r="T46" i="2" l="1"/>
  <c r="S46" i="2"/>
  <c r="P46" i="2"/>
  <c r="Q46" i="2"/>
  <c r="R47" i="2"/>
  <c r="S47" i="2" l="1"/>
  <c r="P47" i="2"/>
  <c r="Q47" i="2"/>
  <c r="T47" i="2"/>
  <c r="R48" i="2"/>
  <c r="S48" i="2" l="1"/>
  <c r="T48" i="2"/>
  <c r="P48" i="2"/>
  <c r="Q48" i="2"/>
  <c r="R49" i="2"/>
  <c r="S49" i="2" l="1"/>
  <c r="P49" i="2"/>
  <c r="T49" i="2"/>
  <c r="Q49" i="2"/>
  <c r="R50" i="2"/>
  <c r="S50" i="2" l="1"/>
  <c r="P50" i="2"/>
  <c r="T50" i="2"/>
  <c r="Q50" i="2"/>
  <c r="R51" i="2"/>
  <c r="S51" i="2" l="1"/>
  <c r="P51" i="2"/>
  <c r="T51" i="2"/>
  <c r="Q51" i="2"/>
  <c r="R52" i="2"/>
  <c r="S52" i="2" l="1"/>
  <c r="T52" i="2"/>
  <c r="Q52" i="2"/>
  <c r="P52" i="2"/>
  <c r="R53" i="2"/>
  <c r="S53" i="2" l="1"/>
  <c r="P53" i="2"/>
  <c r="T53" i="2"/>
  <c r="Q53" i="2"/>
  <c r="R54" i="2"/>
  <c r="S54" i="2" l="1"/>
  <c r="P54" i="2"/>
  <c r="T54" i="2"/>
  <c r="Q54" i="2"/>
  <c r="R55" i="2"/>
  <c r="S55" i="2" l="1"/>
  <c r="T55" i="2"/>
  <c r="Q55" i="2"/>
  <c r="P55" i="2"/>
  <c r="R56" i="2"/>
  <c r="S56" i="2" l="1"/>
  <c r="P56" i="2"/>
  <c r="T56" i="2"/>
  <c r="Q56" i="2"/>
  <c r="R57" i="2"/>
  <c r="S57" i="2" l="1"/>
  <c r="P57" i="2"/>
  <c r="T57" i="2"/>
  <c r="Q57" i="2"/>
  <c r="R58" i="2"/>
  <c r="D67" i="2" l="1"/>
  <c r="S58" i="2"/>
  <c r="P58" i="2"/>
  <c r="T58" i="2"/>
  <c r="Q58" i="2"/>
  <c r="D68" i="2"/>
  <c r="F68" i="2" l="1"/>
  <c r="B68" i="2"/>
  <c r="E68" i="2"/>
  <c r="C68" i="2"/>
  <c r="F67" i="2"/>
  <c r="B67" i="2"/>
  <c r="E67" i="2"/>
  <c r="C67" i="2"/>
  <c r="D69" i="2"/>
  <c r="E69" i="2" l="1"/>
  <c r="B69" i="2"/>
  <c r="C69" i="2"/>
  <c r="F69" i="2"/>
  <c r="D70" i="2"/>
  <c r="E70" i="2" l="1"/>
  <c r="B70" i="2"/>
  <c r="C70" i="2"/>
  <c r="F70" i="2"/>
  <c r="D71" i="2"/>
  <c r="E71" i="2" l="1"/>
  <c r="B71" i="2"/>
  <c r="C71" i="2"/>
  <c r="F71" i="2"/>
  <c r="D72" i="2"/>
  <c r="C72" i="2" l="1"/>
  <c r="B72" i="2"/>
  <c r="F72" i="2"/>
  <c r="E72" i="2"/>
  <c r="D73" i="2"/>
  <c r="C73" i="2" l="1"/>
  <c r="E73" i="2"/>
  <c r="B73" i="2"/>
  <c r="F73" i="2"/>
  <c r="D74" i="2"/>
  <c r="E74" i="2" l="1"/>
  <c r="B74" i="2"/>
  <c r="F74" i="2"/>
  <c r="C74" i="2"/>
  <c r="D75" i="2"/>
  <c r="E75" i="2" l="1"/>
  <c r="B75" i="2"/>
  <c r="C75" i="2"/>
  <c r="F75" i="2"/>
  <c r="D76" i="2"/>
  <c r="E76" i="2" l="1"/>
  <c r="B76" i="2"/>
  <c r="F76" i="2"/>
  <c r="C76" i="2"/>
  <c r="D77" i="2"/>
  <c r="E77" i="2" l="1"/>
  <c r="B77" i="2"/>
  <c r="F77" i="2"/>
  <c r="C77" i="2"/>
  <c r="D78" i="2"/>
  <c r="E78" i="2" l="1"/>
  <c r="B78" i="2"/>
  <c r="F78" i="2"/>
  <c r="C78" i="2"/>
  <c r="D79" i="2"/>
  <c r="E79" i="2" l="1"/>
  <c r="B79" i="2"/>
  <c r="F79" i="2"/>
  <c r="C79" i="2"/>
  <c r="D80" i="2"/>
  <c r="E80" i="2" l="1"/>
  <c r="B80" i="2"/>
  <c r="F80" i="2"/>
  <c r="C80" i="2"/>
  <c r="D81" i="2"/>
  <c r="E81" i="2" l="1"/>
  <c r="B81" i="2"/>
  <c r="F81" i="2"/>
  <c r="C81" i="2"/>
  <c r="D82" i="2"/>
  <c r="E82" i="2" l="1"/>
  <c r="F82" i="2"/>
  <c r="B82" i="2"/>
  <c r="C82" i="2"/>
  <c r="D83" i="2"/>
  <c r="E83" i="2" l="1"/>
  <c r="F83" i="2"/>
  <c r="B83" i="2"/>
  <c r="C83" i="2"/>
  <c r="D84" i="2"/>
  <c r="E84" i="2" l="1"/>
  <c r="F84" i="2"/>
  <c r="B84" i="2"/>
  <c r="C84" i="2"/>
  <c r="D85" i="2"/>
  <c r="E85" i="2" l="1"/>
  <c r="B85" i="2"/>
  <c r="C85" i="2"/>
  <c r="F85" i="2"/>
  <c r="D86" i="2"/>
  <c r="E86" i="2" l="1"/>
  <c r="F86" i="2"/>
  <c r="C86" i="2"/>
  <c r="B86" i="2"/>
  <c r="D87" i="2"/>
  <c r="E87" i="2" l="1"/>
  <c r="F87" i="2"/>
  <c r="B87" i="2"/>
  <c r="C87" i="2"/>
  <c r="D88" i="2"/>
  <c r="E88" i="2" l="1"/>
  <c r="F88" i="2"/>
  <c r="C88" i="2"/>
  <c r="B88" i="2"/>
  <c r="D89" i="2"/>
  <c r="K67" i="2" l="1"/>
  <c r="E89" i="2"/>
  <c r="F89" i="2"/>
  <c r="C89" i="2"/>
  <c r="B89" i="2"/>
  <c r="K68" i="2"/>
  <c r="L68" i="2" l="1"/>
  <c r="M68" i="2"/>
  <c r="I68" i="2"/>
  <c r="J68" i="2"/>
  <c r="L67" i="2"/>
  <c r="I67" i="2"/>
  <c r="J67" i="2"/>
  <c r="M67" i="2"/>
  <c r="K69" i="2"/>
  <c r="L69" i="2" l="1"/>
  <c r="M69" i="2"/>
  <c r="I69" i="2"/>
  <c r="J69" i="2"/>
  <c r="K70" i="2"/>
  <c r="L70" i="2" l="1"/>
  <c r="I70" i="2"/>
  <c r="M70" i="2"/>
  <c r="J70" i="2"/>
  <c r="K71" i="2"/>
  <c r="L71" i="2" l="1"/>
  <c r="I71" i="2"/>
  <c r="J71" i="2"/>
  <c r="M71" i="2"/>
  <c r="K72" i="2"/>
  <c r="I72" i="2" l="1"/>
  <c r="L72" i="2"/>
  <c r="M72" i="2"/>
  <c r="J72" i="2"/>
  <c r="K73" i="2"/>
  <c r="L73" i="2" l="1"/>
  <c r="I73" i="2"/>
  <c r="M73" i="2"/>
  <c r="J73" i="2"/>
  <c r="K74" i="2"/>
  <c r="M74" i="2" l="1"/>
  <c r="I74" i="2"/>
  <c r="L74" i="2"/>
  <c r="J74" i="2"/>
  <c r="K75" i="2"/>
  <c r="M75" i="2" l="1"/>
  <c r="I75" i="2"/>
  <c r="L75" i="2"/>
  <c r="J75" i="2"/>
  <c r="K76" i="2"/>
  <c r="L76" i="2" l="1"/>
  <c r="I76" i="2"/>
  <c r="M76" i="2"/>
  <c r="J76" i="2"/>
  <c r="K77" i="2"/>
  <c r="L77" i="2" l="1"/>
  <c r="I77" i="2"/>
  <c r="M77" i="2"/>
  <c r="J77" i="2"/>
  <c r="K78" i="2"/>
  <c r="L78" i="2" l="1"/>
  <c r="M78" i="2"/>
  <c r="I78" i="2"/>
  <c r="J78" i="2"/>
  <c r="K79" i="2"/>
  <c r="L79" i="2" l="1"/>
  <c r="M79" i="2"/>
  <c r="I79" i="2"/>
  <c r="J79" i="2"/>
  <c r="K80" i="2"/>
  <c r="L80" i="2" l="1"/>
  <c r="I80" i="2"/>
  <c r="M80" i="2"/>
  <c r="J80" i="2"/>
  <c r="K81" i="2"/>
  <c r="L81" i="2" l="1"/>
  <c r="I81" i="2"/>
  <c r="J81" i="2"/>
  <c r="M81" i="2"/>
  <c r="K82" i="2"/>
  <c r="I82" i="2" l="1"/>
  <c r="J82" i="2"/>
  <c r="M82" i="2"/>
  <c r="L82" i="2"/>
  <c r="K83" i="2"/>
  <c r="L83" i="2" l="1"/>
  <c r="M83" i="2"/>
  <c r="J83" i="2"/>
  <c r="I83" i="2"/>
  <c r="K84" i="2"/>
  <c r="L84" i="2" l="1"/>
  <c r="M84" i="2"/>
  <c r="I84" i="2"/>
  <c r="J84" i="2"/>
  <c r="K85" i="2"/>
  <c r="L85" i="2" l="1"/>
  <c r="M85" i="2"/>
  <c r="J85" i="2"/>
  <c r="I85" i="2"/>
  <c r="K86" i="2"/>
  <c r="L86" i="2" l="1"/>
  <c r="M86" i="2"/>
  <c r="J86" i="2"/>
  <c r="I86" i="2"/>
  <c r="K87" i="2"/>
  <c r="L87" i="2" l="1"/>
  <c r="M87" i="2"/>
  <c r="J87" i="2"/>
  <c r="I87" i="2"/>
  <c r="K88" i="2"/>
  <c r="I88" i="2" l="1"/>
  <c r="L88" i="2"/>
  <c r="M88" i="2"/>
  <c r="J88" i="2"/>
  <c r="K89" i="2"/>
  <c r="R67" i="2" l="1"/>
  <c r="I89" i="2"/>
  <c r="M89" i="2"/>
  <c r="L89" i="2"/>
  <c r="J89" i="2"/>
  <c r="R68" i="2"/>
  <c r="P68" i="2" l="1"/>
  <c r="T68" i="2"/>
  <c r="S68" i="2"/>
  <c r="Q68" i="2"/>
  <c r="S67" i="2"/>
  <c r="T67" i="2"/>
  <c r="P67" i="2"/>
  <c r="Q67" i="2"/>
  <c r="R69" i="2"/>
  <c r="P69" i="2" l="1"/>
  <c r="T69" i="2"/>
  <c r="S69" i="2"/>
  <c r="Q69" i="2"/>
  <c r="R70" i="2"/>
  <c r="S70" i="2" l="1"/>
  <c r="P70" i="2"/>
  <c r="Q70" i="2"/>
  <c r="T70" i="2"/>
  <c r="R71" i="2"/>
  <c r="S71" i="2" l="1"/>
  <c r="P71" i="2"/>
  <c r="Q71" i="2"/>
  <c r="T71" i="2"/>
  <c r="R72" i="2"/>
  <c r="P72" i="2" l="1"/>
  <c r="T72" i="2"/>
  <c r="S72" i="2"/>
  <c r="Q72" i="2"/>
  <c r="R73" i="2"/>
  <c r="S73" i="2" l="1"/>
  <c r="T73" i="2"/>
  <c r="P73" i="2"/>
  <c r="Q73" i="2"/>
  <c r="R74" i="2"/>
  <c r="S74" i="2" l="1"/>
  <c r="P74" i="2"/>
  <c r="Q74" i="2"/>
  <c r="T74" i="2"/>
  <c r="R75" i="2"/>
  <c r="S75" i="2" l="1"/>
  <c r="P75" i="2"/>
  <c r="Q75" i="2"/>
  <c r="T75" i="2"/>
  <c r="R76" i="2"/>
  <c r="S76" i="2" l="1"/>
  <c r="T76" i="2"/>
  <c r="P76" i="2"/>
  <c r="Q76" i="2"/>
  <c r="R77" i="2"/>
  <c r="S77" i="2" l="1"/>
  <c r="T77" i="2"/>
  <c r="P77" i="2"/>
  <c r="Q77" i="2"/>
  <c r="R78" i="2"/>
  <c r="S78" i="2" l="1"/>
  <c r="T78" i="2"/>
  <c r="P78" i="2"/>
  <c r="Q78" i="2"/>
  <c r="R79" i="2"/>
  <c r="S79" i="2" l="1"/>
  <c r="P79" i="2"/>
  <c r="T79" i="2"/>
  <c r="Q79" i="2"/>
  <c r="R80" i="2"/>
  <c r="S80" i="2" l="1"/>
  <c r="T80" i="2"/>
  <c r="P80" i="2"/>
  <c r="Q80" i="2"/>
  <c r="R81" i="2"/>
  <c r="P81" i="2" l="1"/>
  <c r="S81" i="2"/>
  <c r="T81" i="2"/>
  <c r="Q81" i="2"/>
  <c r="R82" i="2"/>
  <c r="P82" i="2" l="1"/>
  <c r="T82" i="2"/>
  <c r="S82" i="2"/>
  <c r="Q82" i="2"/>
  <c r="R83" i="2"/>
  <c r="S83" i="2" l="1"/>
  <c r="P83" i="2"/>
  <c r="Q83" i="2"/>
  <c r="T83" i="2"/>
  <c r="R84" i="2"/>
  <c r="S84" i="2" l="1"/>
  <c r="Q84" i="2"/>
  <c r="P84" i="2"/>
  <c r="T84" i="2"/>
  <c r="R85" i="2"/>
  <c r="S85" i="2" l="1"/>
  <c r="P85" i="2"/>
  <c r="Q85" i="2"/>
  <c r="T85" i="2"/>
  <c r="R86" i="2"/>
  <c r="P86" i="2" l="1"/>
  <c r="S86" i="2"/>
  <c r="Q86" i="2"/>
  <c r="T86" i="2"/>
  <c r="R87" i="2"/>
  <c r="T87" i="2" l="1"/>
  <c r="P87" i="2"/>
  <c r="Q87" i="2"/>
  <c r="S87" i="2"/>
  <c r="R88" i="2"/>
  <c r="S88" i="2" l="1"/>
  <c r="T88" i="2"/>
  <c r="P88" i="2"/>
  <c r="Q88" i="2"/>
  <c r="R89" i="2"/>
  <c r="D98" i="2" l="1"/>
  <c r="S89" i="2"/>
  <c r="P89" i="2"/>
  <c r="T89" i="2"/>
  <c r="Q89" i="2"/>
  <c r="D99" i="2"/>
  <c r="E99" i="2" l="1"/>
  <c r="F99" i="2"/>
  <c r="C99" i="2"/>
  <c r="B99" i="2"/>
  <c r="E98" i="2"/>
  <c r="F98" i="2"/>
  <c r="B98" i="2"/>
  <c r="C98" i="2"/>
  <c r="D100" i="2"/>
  <c r="C100" i="2" l="1"/>
  <c r="B100" i="2"/>
  <c r="E100" i="2"/>
  <c r="F100" i="2"/>
  <c r="D101" i="2"/>
  <c r="E101" i="2" l="1"/>
  <c r="B101" i="2"/>
  <c r="C101" i="2"/>
  <c r="F101" i="2"/>
  <c r="D102" i="2"/>
  <c r="E102" i="2" l="1"/>
  <c r="B102" i="2"/>
  <c r="F102" i="2"/>
  <c r="C102" i="2"/>
  <c r="D103" i="2"/>
  <c r="E103" i="2" l="1"/>
  <c r="B103" i="2"/>
  <c r="F103" i="2"/>
  <c r="C103" i="2"/>
  <c r="D104" i="2"/>
  <c r="E104" i="2" l="1"/>
  <c r="B104" i="2"/>
  <c r="F104" i="2"/>
  <c r="C104" i="2"/>
  <c r="D105" i="2"/>
  <c r="E105" i="2" l="1"/>
  <c r="B105" i="2"/>
  <c r="F105" i="2"/>
  <c r="C105" i="2"/>
  <c r="D106" i="2"/>
  <c r="E106" i="2" l="1"/>
  <c r="F106" i="2"/>
  <c r="B106" i="2"/>
  <c r="C106" i="2"/>
  <c r="D107" i="2"/>
  <c r="E107" i="2" l="1"/>
  <c r="B107" i="2"/>
  <c r="F107" i="2"/>
  <c r="C107" i="2"/>
  <c r="D108" i="2"/>
  <c r="B108" i="2" l="1"/>
  <c r="E108" i="2"/>
  <c r="F108" i="2"/>
  <c r="C108" i="2"/>
  <c r="D109" i="2"/>
  <c r="E109" i="2" l="1"/>
  <c r="F109" i="2"/>
  <c r="B109" i="2"/>
  <c r="C109" i="2"/>
  <c r="D110" i="2"/>
  <c r="E110" i="2" l="1"/>
  <c r="B110" i="2"/>
  <c r="F110" i="2"/>
  <c r="C110" i="2"/>
  <c r="D111" i="2"/>
  <c r="B111" i="2" l="1"/>
  <c r="E111" i="2"/>
  <c r="F111" i="2"/>
  <c r="C111" i="2"/>
  <c r="D112" i="2"/>
  <c r="B112" i="2" l="1"/>
  <c r="E112" i="2"/>
  <c r="F112" i="2"/>
  <c r="C112" i="2"/>
  <c r="D113" i="2"/>
  <c r="E113" i="2" l="1"/>
  <c r="F113" i="2"/>
  <c r="B113" i="2"/>
  <c r="C113" i="2"/>
  <c r="D114" i="2"/>
  <c r="E114" i="2" l="1"/>
  <c r="F114" i="2"/>
  <c r="C114" i="2"/>
  <c r="B114" i="2"/>
  <c r="D115" i="2"/>
  <c r="E115" i="2" l="1"/>
  <c r="B115" i="2"/>
  <c r="F115" i="2"/>
  <c r="C115" i="2"/>
  <c r="D116" i="2"/>
  <c r="E116" i="2" l="1"/>
  <c r="B116" i="2"/>
  <c r="C116" i="2"/>
  <c r="F116" i="2"/>
  <c r="D117" i="2"/>
  <c r="B117" i="2" l="1"/>
  <c r="E117" i="2"/>
  <c r="C117" i="2"/>
  <c r="F117" i="2"/>
  <c r="D118" i="2"/>
  <c r="E118" i="2" l="1"/>
  <c r="F118" i="2"/>
  <c r="B118" i="2"/>
  <c r="C118" i="2"/>
  <c r="D119" i="2"/>
  <c r="E119" i="2" l="1"/>
  <c r="B119" i="2"/>
  <c r="F119" i="2"/>
  <c r="C119" i="2"/>
  <c r="D120" i="2"/>
  <c r="K98" i="2" l="1"/>
  <c r="K99" i="2" s="1"/>
  <c r="E120" i="2"/>
  <c r="B120" i="2"/>
  <c r="C120" i="2"/>
  <c r="F120" i="2"/>
  <c r="I99" i="2" l="1"/>
  <c r="M99" i="2"/>
  <c r="L99" i="2"/>
  <c r="J99" i="2"/>
  <c r="I98" i="2"/>
  <c r="L98" i="2"/>
  <c r="M98" i="2"/>
  <c r="J98" i="2"/>
  <c r="K100" i="2"/>
  <c r="M100" i="2" l="1"/>
  <c r="I100" i="2"/>
  <c r="L100" i="2"/>
  <c r="J100" i="2"/>
  <c r="K101" i="2"/>
  <c r="L101" i="2" l="1"/>
  <c r="M101" i="2"/>
  <c r="I101" i="2"/>
  <c r="J101" i="2"/>
  <c r="K102" i="2"/>
  <c r="L102" i="2" l="1"/>
  <c r="I102" i="2"/>
  <c r="M102" i="2"/>
  <c r="J102" i="2"/>
  <c r="K103" i="2"/>
  <c r="L103" i="2" l="1"/>
  <c r="I103" i="2"/>
  <c r="M103" i="2"/>
  <c r="J103" i="2"/>
  <c r="K104" i="2"/>
  <c r="I104" i="2" l="1"/>
  <c r="L104" i="2"/>
  <c r="M104" i="2"/>
  <c r="J104" i="2"/>
  <c r="K105" i="2"/>
  <c r="L105" i="2" l="1"/>
  <c r="I105" i="2"/>
  <c r="M105" i="2"/>
  <c r="J105" i="2"/>
  <c r="K106" i="2"/>
  <c r="L106" i="2" l="1"/>
  <c r="M106" i="2"/>
  <c r="I106" i="2"/>
  <c r="J106" i="2"/>
  <c r="K107" i="2"/>
  <c r="L107" i="2" l="1"/>
  <c r="I107" i="2"/>
  <c r="J107" i="2"/>
  <c r="M107" i="2"/>
  <c r="K108" i="2"/>
  <c r="L108" i="2" l="1"/>
  <c r="J108" i="2"/>
  <c r="M108" i="2"/>
  <c r="I108" i="2"/>
  <c r="K109" i="2"/>
  <c r="M109" i="2" l="1"/>
  <c r="L109" i="2"/>
  <c r="I109" i="2"/>
  <c r="J109" i="2"/>
  <c r="K110" i="2"/>
  <c r="M110" i="2" l="1"/>
  <c r="L110" i="2"/>
  <c r="I110" i="2"/>
  <c r="J110" i="2"/>
  <c r="K111" i="2"/>
  <c r="L111" i="2" l="1"/>
  <c r="I111" i="2"/>
  <c r="M111" i="2"/>
  <c r="J111" i="2"/>
  <c r="K112" i="2"/>
  <c r="L112" i="2" l="1"/>
  <c r="I112" i="2"/>
  <c r="M112" i="2"/>
  <c r="J112" i="2"/>
  <c r="K113" i="2"/>
  <c r="L113" i="2" l="1"/>
  <c r="I113" i="2"/>
  <c r="M113" i="2"/>
  <c r="J113" i="2"/>
  <c r="K114" i="2"/>
  <c r="L114" i="2" l="1"/>
  <c r="I114" i="2"/>
  <c r="M114" i="2"/>
  <c r="J114" i="2"/>
  <c r="K115" i="2"/>
  <c r="I115" i="2" l="1"/>
  <c r="L115" i="2"/>
  <c r="M115" i="2"/>
  <c r="J115" i="2"/>
  <c r="K116" i="2"/>
  <c r="I116" i="2" l="1"/>
  <c r="L116" i="2"/>
  <c r="M116" i="2"/>
  <c r="J116" i="2"/>
  <c r="K117" i="2"/>
  <c r="L117" i="2" l="1"/>
  <c r="M117" i="2"/>
  <c r="I117" i="2"/>
  <c r="J117" i="2"/>
  <c r="K118" i="2"/>
  <c r="L118" i="2" l="1"/>
  <c r="I118" i="2"/>
  <c r="M118" i="2"/>
  <c r="J118" i="2"/>
  <c r="K119" i="2"/>
  <c r="L119" i="2" l="1"/>
  <c r="M119" i="2"/>
  <c r="J119" i="2"/>
  <c r="I119" i="2"/>
  <c r="K120" i="2"/>
  <c r="R98" i="2" l="1"/>
  <c r="L120" i="2"/>
  <c r="M120" i="2"/>
  <c r="I120" i="2"/>
  <c r="J120" i="2"/>
  <c r="R99" i="2"/>
  <c r="S99" i="2" l="1"/>
  <c r="P99" i="2"/>
  <c r="Q99" i="2"/>
  <c r="T99" i="2"/>
  <c r="S98" i="2"/>
  <c r="P98" i="2"/>
  <c r="Q98" i="2"/>
  <c r="T98" i="2"/>
  <c r="R100" i="2"/>
  <c r="S100" i="2" l="1"/>
  <c r="P100" i="2"/>
  <c r="T100" i="2"/>
  <c r="Q100" i="2"/>
  <c r="R101" i="2"/>
  <c r="S101" i="2" l="1"/>
  <c r="P101" i="2"/>
  <c r="Q101" i="2"/>
  <c r="T101" i="2"/>
  <c r="R102" i="2"/>
  <c r="S102" i="2" l="1"/>
  <c r="P102" i="2"/>
  <c r="T102" i="2"/>
  <c r="Q102" i="2"/>
  <c r="R103" i="2"/>
  <c r="P103" i="2" l="1"/>
  <c r="Q103" i="2"/>
  <c r="S103" i="2"/>
  <c r="T103" i="2"/>
  <c r="R104" i="2"/>
  <c r="S104" i="2" l="1"/>
  <c r="P104" i="2"/>
  <c r="T104" i="2"/>
  <c r="Q104" i="2"/>
  <c r="R105" i="2"/>
  <c r="S105" i="2" l="1"/>
  <c r="P105" i="2"/>
  <c r="T105" i="2"/>
  <c r="Q105" i="2"/>
  <c r="R106" i="2"/>
  <c r="S106" i="2" l="1"/>
  <c r="P106" i="2"/>
  <c r="T106" i="2"/>
  <c r="Q106" i="2"/>
  <c r="R107" i="2"/>
  <c r="T107" i="2" l="1"/>
  <c r="Q107" i="2"/>
  <c r="S107" i="2"/>
  <c r="P107" i="2"/>
  <c r="R108" i="2"/>
  <c r="T108" i="2" l="1"/>
  <c r="S108" i="2"/>
  <c r="Q108" i="2"/>
  <c r="P108" i="2"/>
  <c r="R109" i="2"/>
  <c r="T109" i="2" l="1"/>
  <c r="S109" i="2"/>
  <c r="Q109" i="2"/>
  <c r="P109" i="2"/>
  <c r="R110" i="2"/>
  <c r="S110" i="2" l="1"/>
  <c r="T110" i="2"/>
  <c r="P110" i="2"/>
  <c r="Q110" i="2"/>
  <c r="R111" i="2"/>
  <c r="S111" i="2" l="1"/>
  <c r="P111" i="2"/>
  <c r="Q111" i="2"/>
  <c r="T111" i="2"/>
  <c r="R112" i="2"/>
  <c r="S112" i="2" l="1"/>
  <c r="P112" i="2"/>
  <c r="T112" i="2"/>
  <c r="Q112" i="2"/>
  <c r="R113" i="2"/>
  <c r="P113" i="2" l="1"/>
  <c r="S113" i="2"/>
  <c r="Q113" i="2"/>
  <c r="T113" i="2"/>
  <c r="R114" i="2"/>
  <c r="P114" i="2" l="1"/>
  <c r="S114" i="2"/>
  <c r="Q114" i="2"/>
  <c r="T114" i="2"/>
  <c r="R115" i="2"/>
  <c r="S115" i="2" l="1"/>
  <c r="P115" i="2"/>
  <c r="Q115" i="2"/>
  <c r="T115" i="2"/>
  <c r="R116" i="2"/>
  <c r="S116" i="2" l="1"/>
  <c r="P116" i="2"/>
  <c r="T116" i="2"/>
  <c r="Q116" i="2"/>
  <c r="R117" i="2"/>
  <c r="S117" i="2" l="1"/>
  <c r="P117" i="2"/>
  <c r="T117" i="2"/>
  <c r="Q117" i="2"/>
  <c r="R118" i="2"/>
  <c r="S118" i="2" l="1"/>
  <c r="P118" i="2"/>
  <c r="T118" i="2"/>
  <c r="Q118" i="2"/>
  <c r="R119" i="2"/>
  <c r="S119" i="2" l="1"/>
  <c r="P119" i="2"/>
  <c r="T119" i="2"/>
  <c r="Q119" i="2"/>
  <c r="R120" i="2"/>
  <c r="D129" i="2" l="1"/>
  <c r="S120" i="2"/>
  <c r="P120" i="2"/>
  <c r="Q120" i="2"/>
  <c r="T120" i="2"/>
  <c r="D130" i="2"/>
  <c r="E130" i="2" l="1"/>
  <c r="F130" i="2"/>
  <c r="B130" i="2"/>
  <c r="C130" i="2"/>
  <c r="E129" i="2"/>
  <c r="B129" i="2"/>
  <c r="F129" i="2"/>
  <c r="C129" i="2"/>
  <c r="D131" i="2"/>
  <c r="E131" i="2" l="1"/>
  <c r="B131" i="2"/>
  <c r="F131" i="2"/>
  <c r="C131" i="2"/>
  <c r="D132" i="2"/>
  <c r="E132" i="2" l="1"/>
  <c r="B132" i="2"/>
  <c r="F132" i="2"/>
  <c r="C132" i="2"/>
  <c r="D133" i="2"/>
  <c r="F133" i="2" l="1"/>
  <c r="E133" i="2"/>
  <c r="B133" i="2"/>
  <c r="C133" i="2"/>
  <c r="D134" i="2"/>
  <c r="E134" i="2" l="1"/>
  <c r="B134" i="2"/>
  <c r="F134" i="2"/>
  <c r="C134" i="2"/>
  <c r="D135" i="2"/>
  <c r="E135" i="2" l="1"/>
  <c r="B135" i="2"/>
  <c r="F135" i="2"/>
  <c r="C135" i="2"/>
  <c r="D136" i="2"/>
  <c r="E136" i="2" l="1"/>
  <c r="B136" i="2"/>
  <c r="C136" i="2"/>
  <c r="F136" i="2"/>
  <c r="D137" i="2"/>
  <c r="E137" i="2" l="1"/>
  <c r="B137" i="2"/>
  <c r="F137" i="2"/>
  <c r="C137" i="2"/>
  <c r="D138" i="2"/>
  <c r="E138" i="2" l="1"/>
  <c r="B138" i="2"/>
  <c r="F138" i="2"/>
  <c r="C138" i="2"/>
  <c r="D139" i="2"/>
  <c r="E139" i="2" l="1"/>
  <c r="B139" i="2"/>
  <c r="F139" i="2"/>
  <c r="C139" i="2"/>
  <c r="D140" i="2"/>
  <c r="E140" i="2" l="1"/>
  <c r="F140" i="2"/>
  <c r="B140" i="2"/>
  <c r="C140" i="2"/>
  <c r="D141" i="2"/>
  <c r="E141" i="2" l="1"/>
  <c r="C141" i="2"/>
  <c r="F141" i="2"/>
  <c r="B141" i="2"/>
  <c r="D142" i="2"/>
  <c r="E142" i="2" l="1"/>
  <c r="F142" i="2"/>
  <c r="B142" i="2"/>
  <c r="C142" i="2"/>
  <c r="D143" i="2"/>
  <c r="E143" i="2" l="1"/>
  <c r="B143" i="2"/>
  <c r="F143" i="2"/>
  <c r="C143" i="2"/>
  <c r="D144" i="2"/>
  <c r="E144" i="2" l="1"/>
  <c r="B144" i="2"/>
  <c r="C144" i="2"/>
  <c r="F144" i="2"/>
  <c r="D145" i="2"/>
  <c r="E145" i="2" l="1"/>
  <c r="B145" i="2"/>
  <c r="F145" i="2"/>
  <c r="C145" i="2"/>
  <c r="D146" i="2"/>
  <c r="E146" i="2" l="1"/>
  <c r="B146" i="2"/>
  <c r="C146" i="2"/>
  <c r="F146" i="2"/>
  <c r="D147" i="2"/>
  <c r="E147" i="2" l="1"/>
  <c r="B147" i="2"/>
  <c r="C147" i="2"/>
  <c r="F147" i="2"/>
  <c r="D148" i="2"/>
  <c r="E148" i="2" l="1"/>
  <c r="B148" i="2"/>
  <c r="F148" i="2"/>
  <c r="C148" i="2"/>
  <c r="D149" i="2"/>
  <c r="F149" i="2" l="1"/>
  <c r="B149" i="2"/>
  <c r="E149" i="2"/>
  <c r="C149" i="2"/>
  <c r="D150" i="2"/>
  <c r="B150" i="2" l="1"/>
  <c r="E150" i="2"/>
  <c r="F150" i="2"/>
  <c r="C150" i="2"/>
  <c r="D151" i="2"/>
  <c r="K129" i="2" l="1"/>
  <c r="E151" i="2"/>
  <c r="F151" i="2"/>
  <c r="C151" i="2"/>
  <c r="B151" i="2"/>
  <c r="K130" i="2"/>
  <c r="L130" i="2" l="1"/>
  <c r="I130" i="2"/>
  <c r="M130" i="2"/>
  <c r="J130" i="2"/>
  <c r="M129" i="2"/>
  <c r="L129" i="2"/>
  <c r="I129" i="2"/>
  <c r="J129" i="2"/>
  <c r="K131" i="2"/>
  <c r="L131" i="2" l="1"/>
  <c r="M131" i="2"/>
  <c r="I131" i="2"/>
  <c r="J131" i="2"/>
  <c r="K132" i="2"/>
  <c r="L132" i="2" l="1"/>
  <c r="M132" i="2"/>
  <c r="I132" i="2"/>
  <c r="J132" i="2"/>
  <c r="K133" i="2"/>
  <c r="L133" i="2" l="1"/>
  <c r="I133" i="2"/>
  <c r="M133" i="2"/>
  <c r="J133" i="2"/>
  <c r="K134" i="2"/>
  <c r="L134" i="2" l="1"/>
  <c r="I134" i="2"/>
  <c r="M134" i="2"/>
  <c r="J134" i="2"/>
  <c r="K135" i="2"/>
  <c r="L135" i="2" l="1"/>
  <c r="I135" i="2"/>
  <c r="M135" i="2"/>
  <c r="J135" i="2"/>
  <c r="K136" i="2"/>
  <c r="L136" i="2" l="1"/>
  <c r="M136" i="2"/>
  <c r="J136" i="2"/>
  <c r="I136" i="2"/>
  <c r="K137" i="2"/>
  <c r="L137" i="2" l="1"/>
  <c r="I137" i="2"/>
  <c r="J137" i="2"/>
  <c r="M137" i="2"/>
  <c r="K138" i="2"/>
  <c r="L138" i="2" l="1"/>
  <c r="I138" i="2"/>
  <c r="M138" i="2"/>
  <c r="J138" i="2"/>
  <c r="K139" i="2"/>
  <c r="L139" i="2" l="1"/>
  <c r="I139" i="2"/>
  <c r="M139" i="2"/>
  <c r="J139" i="2"/>
  <c r="K140" i="2"/>
  <c r="I140" i="2" l="1"/>
  <c r="M140" i="2"/>
  <c r="L140" i="2"/>
  <c r="J140" i="2"/>
  <c r="K141" i="2"/>
  <c r="I141" i="2" l="1"/>
  <c r="L141" i="2"/>
  <c r="M141" i="2"/>
  <c r="J141" i="2"/>
  <c r="K142" i="2"/>
  <c r="L142" i="2" l="1"/>
  <c r="M142" i="2"/>
  <c r="J142" i="2"/>
  <c r="I142" i="2"/>
  <c r="K143" i="2"/>
  <c r="L143" i="2" l="1"/>
  <c r="I143" i="2"/>
  <c r="J143" i="2"/>
  <c r="M143" i="2"/>
  <c r="K144" i="2"/>
  <c r="L144" i="2" l="1"/>
  <c r="M144" i="2"/>
  <c r="I144" i="2"/>
  <c r="J144" i="2"/>
  <c r="K145" i="2"/>
  <c r="L145" i="2" l="1"/>
  <c r="M145" i="2"/>
  <c r="I145" i="2"/>
  <c r="J145" i="2"/>
  <c r="K146" i="2"/>
  <c r="L146" i="2" l="1"/>
  <c r="M146" i="2"/>
  <c r="J146" i="2"/>
  <c r="I146" i="2"/>
  <c r="K147" i="2"/>
  <c r="L147" i="2" l="1"/>
  <c r="I147" i="2"/>
  <c r="J147" i="2"/>
  <c r="M147" i="2"/>
  <c r="K148" i="2"/>
  <c r="L148" i="2" l="1"/>
  <c r="I148" i="2"/>
  <c r="J148" i="2"/>
  <c r="M148" i="2"/>
  <c r="K149" i="2"/>
  <c r="L149" i="2" l="1"/>
  <c r="I149" i="2"/>
  <c r="J149" i="2"/>
  <c r="M149" i="2"/>
  <c r="K150" i="2"/>
  <c r="L150" i="2" l="1"/>
  <c r="M150" i="2"/>
  <c r="J150" i="2"/>
  <c r="I150" i="2"/>
  <c r="K151" i="2"/>
  <c r="R129" i="2" l="1"/>
  <c r="L151" i="2"/>
  <c r="M151" i="2"/>
  <c r="J151" i="2"/>
  <c r="I151" i="2"/>
  <c r="R130" i="2"/>
  <c r="S130" i="2" l="1"/>
  <c r="P130" i="2"/>
  <c r="T130" i="2"/>
  <c r="Q130" i="2"/>
  <c r="S129" i="2"/>
  <c r="P129" i="2"/>
  <c r="Q129" i="2"/>
  <c r="T129" i="2"/>
  <c r="R131" i="2"/>
  <c r="S131" i="2" l="1"/>
  <c r="T131" i="2"/>
  <c r="P131" i="2"/>
  <c r="Q131" i="2"/>
  <c r="R132" i="2"/>
  <c r="S132" i="2" l="1"/>
  <c r="Q132" i="2"/>
  <c r="T132" i="2"/>
  <c r="P132" i="2"/>
  <c r="R133" i="2"/>
  <c r="S133" i="2" l="1"/>
  <c r="P133" i="2"/>
  <c r="T133" i="2"/>
  <c r="Q133" i="2"/>
  <c r="R134" i="2"/>
  <c r="P134" i="2" l="1"/>
  <c r="S134" i="2"/>
  <c r="T134" i="2"/>
  <c r="Q134" i="2"/>
  <c r="R135" i="2"/>
  <c r="T135" i="2" l="1"/>
  <c r="S135" i="2"/>
  <c r="P135" i="2"/>
  <c r="Q135" i="2"/>
  <c r="R136" i="2"/>
  <c r="S136" i="2" l="1"/>
  <c r="T136" i="2"/>
  <c r="P136" i="2"/>
  <c r="Q136" i="2"/>
  <c r="R137" i="2"/>
  <c r="S137" i="2" l="1"/>
  <c r="T137" i="2"/>
  <c r="P137" i="2"/>
  <c r="Q137" i="2"/>
  <c r="R138" i="2"/>
  <c r="P138" i="2" l="1"/>
  <c r="T138" i="2"/>
  <c r="S138" i="2"/>
  <c r="Q138" i="2"/>
  <c r="R139" i="2"/>
  <c r="P139" i="2" l="1"/>
  <c r="S139" i="2"/>
  <c r="T139" i="2"/>
  <c r="Q139" i="2"/>
  <c r="R140" i="2"/>
  <c r="P140" i="2" l="1"/>
  <c r="S140" i="2"/>
  <c r="T140" i="2"/>
  <c r="Q140" i="2"/>
  <c r="R141" i="2"/>
  <c r="S141" i="2" l="1"/>
  <c r="P141" i="2"/>
  <c r="T141" i="2"/>
  <c r="Q141" i="2"/>
  <c r="R142" i="2"/>
  <c r="S142" i="2" l="1"/>
  <c r="Q142" i="2"/>
  <c r="P142" i="2"/>
  <c r="T142" i="2"/>
  <c r="R143" i="2"/>
  <c r="S143" i="2" l="1"/>
  <c r="Q143" i="2"/>
  <c r="P143" i="2"/>
  <c r="T143" i="2"/>
  <c r="R144" i="2"/>
  <c r="S144" i="2" l="1"/>
  <c r="P144" i="2"/>
  <c r="Q144" i="2"/>
  <c r="T144" i="2"/>
  <c r="R145" i="2"/>
  <c r="S145" i="2" l="1"/>
  <c r="P145" i="2"/>
  <c r="Q145" i="2"/>
  <c r="T145" i="2"/>
  <c r="R146" i="2"/>
  <c r="S146" i="2" l="1"/>
  <c r="T146" i="2"/>
  <c r="P146" i="2"/>
  <c r="Q146" i="2"/>
  <c r="R147" i="2"/>
  <c r="S147" i="2" l="1"/>
  <c r="T147" i="2"/>
  <c r="P147" i="2"/>
  <c r="Q147" i="2"/>
  <c r="R148" i="2"/>
  <c r="S148" i="2" l="1"/>
  <c r="P148" i="2"/>
  <c r="T148" i="2"/>
  <c r="Q148" i="2"/>
  <c r="R149" i="2"/>
  <c r="P149" i="2" l="1"/>
  <c r="S149" i="2"/>
  <c r="T149" i="2"/>
  <c r="Q149" i="2"/>
  <c r="R150" i="2"/>
  <c r="P150" i="2" l="1"/>
  <c r="S150" i="2"/>
  <c r="T150" i="2"/>
  <c r="Q150" i="2"/>
  <c r="R151" i="2"/>
  <c r="D160" i="2" l="1"/>
  <c r="P151" i="2"/>
  <c r="T151" i="2"/>
  <c r="S151" i="2"/>
  <c r="Q151" i="2"/>
  <c r="D161" i="2"/>
  <c r="E161" i="2" l="1"/>
  <c r="B161" i="2"/>
  <c r="C161" i="2"/>
  <c r="F161" i="2"/>
  <c r="B160" i="2"/>
  <c r="E160" i="2"/>
  <c r="F160" i="2"/>
  <c r="C160" i="2"/>
  <c r="D162" i="2"/>
  <c r="E162" i="2" l="1"/>
  <c r="B162" i="2"/>
  <c r="C162" i="2"/>
  <c r="F162" i="2"/>
  <c r="D163" i="2"/>
  <c r="E163" i="2" l="1"/>
  <c r="F163" i="2"/>
  <c r="C163" i="2"/>
  <c r="B163" i="2"/>
  <c r="D164" i="2"/>
  <c r="E164" i="2" l="1"/>
  <c r="F164" i="2"/>
  <c r="B164" i="2"/>
  <c r="C164" i="2"/>
  <c r="D165" i="2"/>
  <c r="E165" i="2" l="1"/>
  <c r="F165" i="2"/>
  <c r="B165" i="2"/>
  <c r="C165" i="2"/>
  <c r="D166" i="2"/>
  <c r="E166" i="2" l="1"/>
  <c r="B166" i="2"/>
  <c r="C166" i="2"/>
  <c r="F166" i="2"/>
  <c r="D167" i="2"/>
  <c r="E167" i="2" l="1"/>
  <c r="F167" i="2"/>
  <c r="B167" i="2"/>
  <c r="C167" i="2"/>
  <c r="D168" i="2"/>
  <c r="E168" i="2" l="1"/>
  <c r="C168" i="2"/>
  <c r="B168" i="2"/>
  <c r="F168" i="2"/>
  <c r="D169" i="2"/>
  <c r="E169" i="2" l="1"/>
  <c r="B169" i="2"/>
  <c r="C169" i="2"/>
  <c r="F169" i="2"/>
  <c r="D170" i="2"/>
  <c r="E170" i="2" l="1"/>
  <c r="B170" i="2"/>
  <c r="F170" i="2"/>
  <c r="C170" i="2"/>
  <c r="D171" i="2"/>
  <c r="E171" i="2" l="1"/>
  <c r="B171" i="2"/>
  <c r="F171" i="2"/>
  <c r="C171" i="2"/>
  <c r="D172" i="2"/>
  <c r="E172" i="2" l="1"/>
  <c r="B172" i="2"/>
  <c r="F172" i="2"/>
  <c r="C172" i="2"/>
  <c r="D173" i="2"/>
  <c r="E173" i="2" l="1"/>
  <c r="F173" i="2"/>
  <c r="B173" i="2"/>
  <c r="C173" i="2"/>
  <c r="D174" i="2"/>
  <c r="E174" i="2" l="1"/>
  <c r="B174" i="2"/>
  <c r="F174" i="2"/>
  <c r="C174" i="2"/>
  <c r="D175" i="2"/>
  <c r="B175" i="2" l="1"/>
  <c r="E175" i="2"/>
  <c r="F175" i="2"/>
  <c r="C175" i="2"/>
  <c r="D176" i="2"/>
  <c r="B176" i="2" l="1"/>
  <c r="E176" i="2"/>
  <c r="F176" i="2"/>
  <c r="C176" i="2"/>
  <c r="D177" i="2"/>
  <c r="B177" i="2" l="1"/>
  <c r="F177" i="2"/>
  <c r="E177" i="2"/>
  <c r="C177" i="2"/>
  <c r="D178" i="2"/>
  <c r="E178" i="2" l="1"/>
  <c r="F178" i="2"/>
  <c r="B178" i="2"/>
  <c r="C178" i="2"/>
  <c r="D179" i="2"/>
  <c r="F179" i="2" l="1"/>
  <c r="E179" i="2"/>
  <c r="B179" i="2"/>
  <c r="C179" i="2"/>
  <c r="D180" i="2"/>
  <c r="F180" i="2" l="1"/>
  <c r="E180" i="2"/>
  <c r="B180" i="2"/>
  <c r="C180" i="2"/>
  <c r="D181" i="2"/>
  <c r="E181" i="2" l="1"/>
  <c r="F181" i="2"/>
  <c r="C181" i="2"/>
  <c r="B181" i="2"/>
  <c r="D182" i="2"/>
  <c r="K160" i="2" l="1"/>
  <c r="K161" i="2" s="1"/>
  <c r="E182" i="2"/>
  <c r="F182" i="2"/>
  <c r="C182" i="2"/>
  <c r="B182" i="2"/>
  <c r="L161" i="2" l="1"/>
  <c r="I161" i="2"/>
  <c r="M161" i="2"/>
  <c r="J161" i="2"/>
  <c r="L160" i="2"/>
  <c r="M160" i="2"/>
  <c r="I160" i="2"/>
  <c r="J160" i="2"/>
  <c r="K162" i="2"/>
  <c r="L162" i="2" l="1"/>
  <c r="M162" i="2"/>
  <c r="I162" i="2"/>
  <c r="J162" i="2"/>
  <c r="K163" i="2"/>
  <c r="L163" i="2" l="1"/>
  <c r="I163" i="2"/>
  <c r="M163" i="2"/>
  <c r="J163" i="2"/>
  <c r="K164" i="2"/>
  <c r="L164" i="2" l="1"/>
  <c r="M164" i="2"/>
  <c r="J164" i="2"/>
  <c r="I164" i="2"/>
  <c r="K165" i="2"/>
  <c r="L165" i="2" l="1"/>
  <c r="I165" i="2"/>
  <c r="J165" i="2"/>
  <c r="M165" i="2"/>
  <c r="K166" i="2"/>
  <c r="L166" i="2" l="1"/>
  <c r="I166" i="2"/>
  <c r="M166" i="2"/>
  <c r="J166" i="2"/>
  <c r="K167" i="2"/>
  <c r="I167" i="2" l="1"/>
  <c r="L167" i="2"/>
  <c r="J167" i="2"/>
  <c r="M167" i="2"/>
  <c r="K168" i="2"/>
  <c r="I168" i="2" l="1"/>
  <c r="L168" i="2"/>
  <c r="M168" i="2"/>
  <c r="J168" i="2"/>
  <c r="K169" i="2"/>
  <c r="I169" i="2" l="1"/>
  <c r="L169" i="2"/>
  <c r="J169" i="2"/>
  <c r="M169" i="2"/>
  <c r="K170" i="2"/>
  <c r="I170" i="2" l="1"/>
  <c r="L170" i="2"/>
  <c r="J170" i="2"/>
  <c r="M170" i="2"/>
  <c r="K171" i="2"/>
  <c r="L171" i="2" l="1"/>
  <c r="I171" i="2"/>
  <c r="M171" i="2"/>
  <c r="J171" i="2"/>
  <c r="K172" i="2"/>
  <c r="L172" i="2" l="1"/>
  <c r="I172" i="2"/>
  <c r="M172" i="2"/>
  <c r="J172" i="2"/>
  <c r="K173" i="2"/>
  <c r="L173" i="2" l="1"/>
  <c r="I173" i="2"/>
  <c r="J173" i="2"/>
  <c r="M173" i="2"/>
  <c r="K174" i="2"/>
  <c r="L174" i="2" l="1"/>
  <c r="I174" i="2"/>
  <c r="M174" i="2"/>
  <c r="J174" i="2"/>
  <c r="K175" i="2"/>
  <c r="L175" i="2" l="1"/>
  <c r="I175" i="2"/>
  <c r="M175" i="2"/>
  <c r="J175" i="2"/>
  <c r="K176" i="2"/>
  <c r="M176" i="2" l="1"/>
  <c r="L176" i="2"/>
  <c r="J176" i="2"/>
  <c r="I176" i="2"/>
  <c r="K177" i="2"/>
  <c r="I177" i="2" l="1"/>
  <c r="L177" i="2"/>
  <c r="J177" i="2"/>
  <c r="M177" i="2"/>
  <c r="K178" i="2"/>
  <c r="L178" i="2" l="1"/>
  <c r="I178" i="2"/>
  <c r="M178" i="2"/>
  <c r="J178" i="2"/>
  <c r="K179" i="2"/>
  <c r="L179" i="2" l="1"/>
  <c r="M179" i="2"/>
  <c r="I179" i="2"/>
  <c r="J179" i="2"/>
  <c r="K180" i="2"/>
  <c r="L180" i="2" l="1"/>
  <c r="M180" i="2"/>
  <c r="I180" i="2"/>
  <c r="J180" i="2"/>
  <c r="K181" i="2"/>
  <c r="L181" i="2" l="1"/>
  <c r="M181" i="2"/>
  <c r="I181" i="2"/>
  <c r="J181" i="2"/>
  <c r="K182" i="2"/>
  <c r="R160" i="2" l="1"/>
  <c r="I182" i="2"/>
  <c r="M182" i="2"/>
  <c r="L182" i="2"/>
  <c r="J182" i="2"/>
  <c r="R161" i="2"/>
  <c r="S161" i="2" l="1"/>
  <c r="P161" i="2"/>
  <c r="T161" i="2"/>
  <c r="Q161" i="2"/>
  <c r="S160" i="2"/>
  <c r="P160" i="2"/>
  <c r="Q160" i="2"/>
  <c r="T160" i="2"/>
  <c r="R162" i="2"/>
  <c r="S162" i="2" l="1"/>
  <c r="T162" i="2"/>
  <c r="P162" i="2"/>
  <c r="Q162" i="2"/>
  <c r="R163" i="2"/>
  <c r="S163" i="2" l="1"/>
  <c r="P163" i="2"/>
  <c r="T163" i="2"/>
  <c r="Q163" i="2"/>
  <c r="R164" i="2"/>
  <c r="P164" i="2" l="1"/>
  <c r="S164" i="2"/>
  <c r="Q164" i="2"/>
  <c r="T164" i="2"/>
  <c r="R165" i="2"/>
  <c r="P165" i="2" l="1"/>
  <c r="S165" i="2"/>
  <c r="T165" i="2"/>
  <c r="Q165" i="2"/>
  <c r="R166" i="2"/>
  <c r="S166" i="2" l="1"/>
  <c r="Q166" i="2"/>
  <c r="T166" i="2"/>
  <c r="P166" i="2"/>
  <c r="R167" i="2"/>
  <c r="S167" i="2" l="1"/>
  <c r="Q167" i="2"/>
  <c r="P167" i="2"/>
  <c r="T167" i="2"/>
  <c r="R168" i="2"/>
  <c r="S168" i="2" l="1"/>
  <c r="T168" i="2"/>
  <c r="Q168" i="2"/>
  <c r="P168" i="2"/>
  <c r="R169" i="2"/>
  <c r="S169" i="2" l="1"/>
  <c r="T169" i="2"/>
  <c r="P169" i="2"/>
  <c r="Q169" i="2"/>
  <c r="R170" i="2"/>
  <c r="S170" i="2" l="1"/>
  <c r="T170" i="2"/>
  <c r="P170" i="2"/>
  <c r="Q170" i="2"/>
  <c r="R171" i="2"/>
  <c r="S171" i="2" l="1"/>
  <c r="P171" i="2"/>
  <c r="T171" i="2"/>
  <c r="Q171" i="2"/>
  <c r="R172" i="2"/>
  <c r="S172" i="2" l="1"/>
  <c r="T172" i="2"/>
  <c r="P172" i="2"/>
  <c r="Q172" i="2"/>
  <c r="R173" i="2"/>
  <c r="S173" i="2" l="1"/>
  <c r="P173" i="2"/>
  <c r="T173" i="2"/>
  <c r="Q173" i="2"/>
  <c r="R174" i="2"/>
  <c r="S174" i="2" l="1"/>
  <c r="P174" i="2"/>
  <c r="T174" i="2"/>
  <c r="Q174" i="2"/>
  <c r="R175" i="2"/>
  <c r="T175" i="2" l="1"/>
  <c r="S175" i="2"/>
  <c r="P175" i="2"/>
  <c r="Q175" i="2"/>
  <c r="R176" i="2"/>
  <c r="S176" i="2" l="1"/>
  <c r="P176" i="2"/>
  <c r="T176" i="2"/>
  <c r="Q176" i="2"/>
  <c r="R177" i="2"/>
  <c r="S177" i="2" l="1"/>
  <c r="P177" i="2"/>
  <c r="T177" i="2"/>
  <c r="Q177" i="2"/>
  <c r="R178" i="2"/>
  <c r="S178" i="2" l="1"/>
  <c r="P178" i="2"/>
  <c r="T178" i="2"/>
  <c r="Q178" i="2"/>
  <c r="R179" i="2"/>
  <c r="S179" i="2" l="1"/>
  <c r="P179" i="2"/>
  <c r="T179" i="2"/>
  <c r="Q179" i="2"/>
  <c r="R180" i="2"/>
  <c r="S180" i="2" l="1"/>
  <c r="P180" i="2"/>
  <c r="T180" i="2"/>
  <c r="Q180" i="2"/>
  <c r="R181" i="2"/>
  <c r="S181" i="2" l="1"/>
  <c r="P181" i="2"/>
  <c r="T181" i="2"/>
  <c r="Q181" i="2"/>
  <c r="R182" i="2"/>
  <c r="D191" i="2" l="1"/>
  <c r="S182" i="2"/>
  <c r="P182" i="2"/>
  <c r="Q182" i="2"/>
  <c r="T182" i="2"/>
  <c r="D192" i="2"/>
  <c r="E192" i="2" l="1"/>
  <c r="B192" i="2"/>
  <c r="C192" i="2"/>
  <c r="F192" i="2"/>
  <c r="E191" i="2"/>
  <c r="B191" i="2"/>
  <c r="F191" i="2"/>
  <c r="C191" i="2"/>
  <c r="D193" i="2"/>
  <c r="C193" i="2" l="1"/>
  <c r="F193" i="2"/>
  <c r="B193" i="2"/>
  <c r="E193" i="2"/>
  <c r="D194" i="2"/>
  <c r="E194" i="2" l="1"/>
  <c r="F194" i="2"/>
  <c r="B194" i="2"/>
  <c r="C194" i="2"/>
  <c r="D195" i="2"/>
  <c r="E195" i="2" l="1"/>
  <c r="C195" i="2"/>
  <c r="F195" i="2"/>
  <c r="B195" i="2"/>
  <c r="D196" i="2"/>
  <c r="E196" i="2" l="1"/>
  <c r="B196" i="2"/>
  <c r="C196" i="2"/>
  <c r="F196" i="2"/>
  <c r="D197" i="2"/>
  <c r="E197" i="2" l="1"/>
  <c r="B197" i="2"/>
  <c r="F197" i="2"/>
  <c r="C197" i="2"/>
  <c r="D198" i="2"/>
  <c r="E198" i="2" l="1"/>
  <c r="B198" i="2"/>
  <c r="F198" i="2"/>
  <c r="C198" i="2"/>
  <c r="D199" i="2"/>
  <c r="E199" i="2" l="1"/>
  <c r="B199" i="2"/>
  <c r="F199" i="2"/>
  <c r="C199" i="2"/>
  <c r="D200" i="2"/>
  <c r="E200" i="2" l="1"/>
  <c r="B200" i="2"/>
  <c r="F200" i="2"/>
  <c r="C200" i="2"/>
  <c r="D201" i="2"/>
  <c r="E201" i="2" l="1"/>
  <c r="F201" i="2"/>
  <c r="B201" i="2"/>
  <c r="C201" i="2"/>
  <c r="D202" i="2"/>
  <c r="E202" i="2" l="1"/>
  <c r="B202" i="2"/>
  <c r="F202" i="2"/>
  <c r="C202" i="2"/>
  <c r="D203" i="2"/>
  <c r="E203" i="2" l="1"/>
  <c r="F203" i="2"/>
  <c r="B203" i="2"/>
  <c r="C203" i="2"/>
  <c r="D204" i="2"/>
  <c r="F204" i="2" l="1"/>
  <c r="E204" i="2"/>
  <c r="B204" i="2"/>
  <c r="C204" i="2"/>
  <c r="D205" i="2"/>
  <c r="E205" i="2" l="1"/>
  <c r="B205" i="2"/>
  <c r="F205" i="2"/>
  <c r="C205" i="2"/>
  <c r="D206" i="2"/>
  <c r="E206" i="2" l="1"/>
  <c r="B206" i="2"/>
  <c r="C206" i="2"/>
  <c r="F206" i="2"/>
  <c r="D207" i="2"/>
  <c r="E207" i="2" l="1"/>
  <c r="B207" i="2"/>
  <c r="F207" i="2"/>
  <c r="C207" i="2"/>
  <c r="D208" i="2"/>
  <c r="E208" i="2" l="1"/>
  <c r="C208" i="2"/>
  <c r="F208" i="2"/>
  <c r="B208" i="2"/>
  <c r="D209" i="2"/>
  <c r="C209" i="2" l="1"/>
  <c r="B209" i="2"/>
  <c r="F209" i="2"/>
  <c r="E209" i="2"/>
  <c r="D210" i="2"/>
  <c r="B210" i="2" l="1"/>
  <c r="F210" i="2"/>
  <c r="E210" i="2"/>
  <c r="C210" i="2"/>
  <c r="D211" i="2"/>
  <c r="E211" i="2" l="1"/>
  <c r="F211" i="2"/>
  <c r="B211" i="2"/>
  <c r="C211" i="2"/>
  <c r="D212" i="2"/>
  <c r="E212" i="2" l="1"/>
  <c r="B212" i="2"/>
  <c r="F212" i="2"/>
  <c r="C212" i="2"/>
  <c r="D213" i="2"/>
  <c r="K191" i="2" l="1"/>
  <c r="E213" i="2"/>
  <c r="B213" i="2"/>
  <c r="F213" i="2"/>
  <c r="C213" i="2"/>
  <c r="K192" i="2"/>
  <c r="I192" i="2" l="1"/>
  <c r="L192" i="2"/>
  <c r="M192" i="2"/>
  <c r="J192" i="2"/>
  <c r="L191" i="2"/>
  <c r="I191" i="2"/>
  <c r="J191" i="2"/>
  <c r="M191" i="2"/>
  <c r="K193" i="2"/>
  <c r="I193" i="2" l="1"/>
  <c r="L193" i="2"/>
  <c r="J193" i="2"/>
  <c r="M193" i="2"/>
  <c r="K194" i="2"/>
  <c r="L194" i="2" l="1"/>
  <c r="I194" i="2"/>
  <c r="M194" i="2"/>
  <c r="J194" i="2"/>
  <c r="K195" i="2"/>
  <c r="I195" i="2" l="1"/>
  <c r="L195" i="2"/>
  <c r="M195" i="2"/>
  <c r="J195" i="2"/>
  <c r="K196" i="2"/>
  <c r="L196" i="2" l="1"/>
  <c r="I196" i="2"/>
  <c r="M196" i="2"/>
  <c r="J196" i="2"/>
  <c r="K197" i="2"/>
  <c r="I197" i="2" l="1"/>
  <c r="M197" i="2"/>
  <c r="L197" i="2"/>
  <c r="J197" i="2"/>
  <c r="K198" i="2"/>
  <c r="L198" i="2" l="1"/>
  <c r="I198" i="2"/>
  <c r="M198" i="2"/>
  <c r="J198" i="2"/>
  <c r="K199" i="2"/>
  <c r="L199" i="2" l="1"/>
  <c r="I199" i="2"/>
  <c r="M199" i="2"/>
  <c r="J199" i="2"/>
  <c r="K200" i="2"/>
  <c r="L200" i="2" l="1"/>
  <c r="M200" i="2"/>
  <c r="J200" i="2"/>
  <c r="I200" i="2"/>
  <c r="K201" i="2"/>
  <c r="L201" i="2" l="1"/>
  <c r="J201" i="2"/>
  <c r="M201" i="2"/>
  <c r="I201" i="2"/>
  <c r="K202" i="2"/>
  <c r="L202" i="2" l="1"/>
  <c r="M202" i="2"/>
  <c r="J202" i="2"/>
  <c r="I202" i="2"/>
  <c r="K203" i="2"/>
  <c r="L203" i="2" l="1"/>
  <c r="M203" i="2"/>
  <c r="I203" i="2"/>
  <c r="J203" i="2"/>
  <c r="K204" i="2"/>
  <c r="L204" i="2" l="1"/>
  <c r="M204" i="2"/>
  <c r="I204" i="2"/>
  <c r="J204" i="2"/>
  <c r="K205" i="2"/>
  <c r="L205" i="2" l="1"/>
  <c r="M205" i="2"/>
  <c r="I205" i="2"/>
  <c r="J205" i="2"/>
  <c r="K206" i="2"/>
  <c r="L206" i="2" l="1"/>
  <c r="M206" i="2"/>
  <c r="I206" i="2"/>
  <c r="J206" i="2"/>
  <c r="K207" i="2"/>
  <c r="L207" i="2" l="1"/>
  <c r="I207" i="2"/>
  <c r="J207" i="2"/>
  <c r="M207" i="2"/>
  <c r="K208" i="2"/>
  <c r="I208" i="2" l="1"/>
  <c r="L208" i="2"/>
  <c r="M208" i="2"/>
  <c r="J208" i="2"/>
  <c r="K209" i="2"/>
  <c r="I209" i="2" l="1"/>
  <c r="M209" i="2"/>
  <c r="L209" i="2"/>
  <c r="J209" i="2"/>
  <c r="K210" i="2"/>
  <c r="L210" i="2" l="1"/>
  <c r="M210" i="2"/>
  <c r="J210" i="2"/>
  <c r="I210" i="2"/>
  <c r="K211" i="2"/>
  <c r="L211" i="2" l="1"/>
  <c r="I211" i="2"/>
  <c r="J211" i="2"/>
  <c r="M211" i="2"/>
  <c r="K212" i="2"/>
  <c r="L212" i="2" l="1"/>
  <c r="M212" i="2"/>
  <c r="J212" i="2"/>
  <c r="I212" i="2"/>
  <c r="K213" i="2"/>
  <c r="R191" i="2" l="1"/>
  <c r="I213" i="2"/>
  <c r="L213" i="2"/>
  <c r="J213" i="2"/>
  <c r="M213" i="2"/>
  <c r="R192" i="2"/>
  <c r="P192" i="2" l="1"/>
  <c r="T192" i="2"/>
  <c r="S192" i="2"/>
  <c r="Q192" i="2"/>
  <c r="S191" i="2"/>
  <c r="P191" i="2"/>
  <c r="T191" i="2"/>
  <c r="Q191" i="2"/>
  <c r="R193" i="2"/>
  <c r="P193" i="2" l="1"/>
  <c r="T193" i="2"/>
  <c r="S193" i="2"/>
  <c r="Q193" i="2"/>
  <c r="R194" i="2"/>
  <c r="T194" i="2" l="1"/>
  <c r="Q194" i="2"/>
  <c r="S194" i="2"/>
  <c r="P194" i="2"/>
  <c r="R195" i="2"/>
  <c r="T195" i="2" l="1"/>
  <c r="P195" i="2"/>
  <c r="Q195" i="2"/>
  <c r="S195" i="2"/>
  <c r="R196" i="2"/>
  <c r="S196" i="2" l="1"/>
  <c r="P196" i="2"/>
  <c r="T196" i="2"/>
  <c r="Q196" i="2"/>
  <c r="R197" i="2"/>
  <c r="S197" i="2" l="1"/>
  <c r="P197" i="2"/>
  <c r="T197" i="2"/>
  <c r="Q197" i="2"/>
  <c r="R198" i="2"/>
  <c r="S198" i="2" l="1"/>
  <c r="P198" i="2"/>
  <c r="T198" i="2"/>
  <c r="Q198" i="2"/>
  <c r="R199" i="2"/>
  <c r="T199" i="2" l="1"/>
  <c r="S199" i="2"/>
  <c r="P199" i="2"/>
  <c r="Q199" i="2"/>
  <c r="R200" i="2"/>
  <c r="S200" i="2" l="1"/>
  <c r="P200" i="2"/>
  <c r="T200" i="2"/>
  <c r="Q200" i="2"/>
  <c r="R201" i="2"/>
  <c r="P201" i="2" l="1"/>
  <c r="S201" i="2"/>
  <c r="T201" i="2"/>
  <c r="Q201" i="2"/>
  <c r="R202" i="2"/>
  <c r="P202" i="2" l="1"/>
  <c r="S202" i="2"/>
  <c r="Q202" i="2"/>
  <c r="T202" i="2"/>
  <c r="R203" i="2"/>
  <c r="S203" i="2" l="1"/>
  <c r="T203" i="2"/>
  <c r="P203" i="2"/>
  <c r="Q203" i="2"/>
  <c r="R204" i="2"/>
  <c r="S204" i="2" l="1"/>
  <c r="P204" i="2"/>
  <c r="T204" i="2"/>
  <c r="Q204" i="2"/>
  <c r="R205" i="2"/>
  <c r="T205" i="2" l="1"/>
  <c r="P205" i="2"/>
  <c r="S205" i="2"/>
  <c r="Q205" i="2"/>
  <c r="R206" i="2"/>
  <c r="S206" i="2" l="1"/>
  <c r="T206" i="2"/>
  <c r="P206" i="2"/>
  <c r="Q206" i="2"/>
  <c r="R207" i="2"/>
  <c r="S207" i="2" l="1"/>
  <c r="P207" i="2"/>
  <c r="T207" i="2"/>
  <c r="Q207" i="2"/>
  <c r="R208" i="2"/>
  <c r="S208" i="2" l="1"/>
  <c r="P208" i="2"/>
  <c r="T208" i="2"/>
  <c r="Q208" i="2"/>
  <c r="R209" i="2"/>
  <c r="S209" i="2" l="1"/>
  <c r="P209" i="2"/>
  <c r="T209" i="2"/>
  <c r="Q209" i="2"/>
  <c r="R210" i="2"/>
  <c r="S210" i="2" l="1"/>
  <c r="P210" i="2"/>
  <c r="T210" i="2"/>
  <c r="Q210" i="2"/>
  <c r="R211" i="2"/>
  <c r="P211" i="2" l="1"/>
  <c r="T211" i="2"/>
  <c r="S211" i="2"/>
  <c r="Q211" i="2"/>
  <c r="R212" i="2"/>
  <c r="S212" i="2" l="1"/>
  <c r="P212" i="2"/>
  <c r="T212" i="2"/>
  <c r="Q212" i="2"/>
  <c r="R213" i="2"/>
  <c r="D222" i="2" l="1"/>
  <c r="S213" i="2"/>
  <c r="P213" i="2"/>
  <c r="T213" i="2"/>
  <c r="Q213" i="2"/>
  <c r="D223" i="2"/>
  <c r="E223" i="2" l="1"/>
  <c r="B223" i="2"/>
  <c r="F223" i="2"/>
  <c r="C223" i="2"/>
  <c r="E222" i="2"/>
  <c r="B222" i="2"/>
  <c r="F222" i="2"/>
  <c r="C222" i="2"/>
  <c r="D224" i="2"/>
  <c r="E224" i="2" l="1"/>
  <c r="B224" i="2"/>
  <c r="F224" i="2"/>
  <c r="C224" i="2"/>
  <c r="D225" i="2"/>
  <c r="E225" i="2" l="1"/>
  <c r="F225" i="2"/>
  <c r="B225" i="2"/>
  <c r="C225" i="2"/>
  <c r="D226" i="2"/>
  <c r="F226" i="2" l="1"/>
  <c r="B226" i="2"/>
  <c r="E226" i="2"/>
  <c r="C226" i="2"/>
  <c r="D227" i="2"/>
  <c r="B227" i="2" l="1"/>
  <c r="E227" i="2"/>
  <c r="F227" i="2"/>
  <c r="C227" i="2"/>
  <c r="D228" i="2"/>
  <c r="E228" i="2" l="1"/>
  <c r="B228" i="2"/>
  <c r="F228" i="2"/>
  <c r="C228" i="2"/>
  <c r="D229" i="2"/>
  <c r="E229" i="2" l="1"/>
  <c r="F229" i="2"/>
  <c r="B229" i="2"/>
  <c r="C229" i="2"/>
  <c r="D230" i="2"/>
  <c r="E230" i="2" l="1"/>
  <c r="F230" i="2"/>
  <c r="C230" i="2"/>
  <c r="B230" i="2"/>
  <c r="D231" i="2"/>
  <c r="E231" i="2" l="1"/>
  <c r="F231" i="2"/>
  <c r="B231" i="2"/>
  <c r="C231" i="2"/>
  <c r="D232" i="2"/>
  <c r="E232" i="2" l="1"/>
  <c r="B232" i="2"/>
  <c r="F232" i="2"/>
  <c r="C232" i="2"/>
  <c r="D233" i="2"/>
  <c r="E233" i="2" l="1"/>
  <c r="B233" i="2"/>
  <c r="F233" i="2"/>
  <c r="C233" i="2"/>
  <c r="D234" i="2"/>
  <c r="E234" i="2" l="1"/>
  <c r="B234" i="2"/>
  <c r="F234" i="2"/>
  <c r="C234" i="2"/>
  <c r="D235" i="2"/>
  <c r="E235" i="2" l="1"/>
  <c r="F235" i="2"/>
  <c r="B235" i="2"/>
  <c r="C235" i="2"/>
  <c r="D236" i="2"/>
  <c r="E236" i="2" l="1"/>
  <c r="B236" i="2"/>
  <c r="C236" i="2"/>
  <c r="F236" i="2"/>
  <c r="D237" i="2"/>
  <c r="D238" i="2" l="1"/>
  <c r="B237" i="2"/>
  <c r="C237" i="2"/>
  <c r="E237" i="2"/>
  <c r="F237" i="2"/>
  <c r="D239" i="2" l="1"/>
  <c r="E238" i="2"/>
  <c r="B238" i="2"/>
  <c r="F238" i="2"/>
  <c r="C238" i="2"/>
  <c r="D240" i="2" l="1"/>
  <c r="E239" i="2"/>
  <c r="B239" i="2"/>
  <c r="F239" i="2"/>
  <c r="C239" i="2"/>
  <c r="D241" i="2" l="1"/>
  <c r="E240" i="2"/>
  <c r="F240" i="2"/>
  <c r="C240" i="2"/>
  <c r="B240" i="2"/>
  <c r="D242" i="2" l="1"/>
  <c r="E241" i="2"/>
  <c r="F241" i="2"/>
  <c r="B241" i="2"/>
  <c r="C241" i="2"/>
  <c r="D243" i="2" l="1"/>
  <c r="B242" i="2"/>
  <c r="F242" i="2"/>
  <c r="E242" i="2"/>
  <c r="C242" i="2"/>
  <c r="D244" i="2" l="1"/>
  <c r="B243" i="2"/>
  <c r="F243" i="2"/>
  <c r="E243" i="2"/>
  <c r="C243" i="2"/>
  <c r="E244" i="2" l="1"/>
  <c r="B244" i="2"/>
  <c r="F244" i="2"/>
  <c r="C244" i="2"/>
  <c r="K222" i="2"/>
  <c r="L222" i="2" l="1"/>
  <c r="I222" i="2"/>
  <c r="M222" i="2"/>
  <c r="J222" i="2"/>
  <c r="K223" i="2"/>
  <c r="L223" i="2" l="1"/>
  <c r="I223" i="2"/>
  <c r="J223" i="2"/>
  <c r="M223" i="2"/>
  <c r="K224" i="2"/>
  <c r="L224" i="2" l="1"/>
  <c r="I224" i="2"/>
  <c r="J224" i="2"/>
  <c r="M224" i="2"/>
  <c r="K225" i="2"/>
  <c r="L225" i="2" l="1"/>
  <c r="I225" i="2"/>
  <c r="J225" i="2"/>
  <c r="M225" i="2"/>
  <c r="K226" i="2"/>
  <c r="L226" i="2" l="1"/>
  <c r="I226" i="2"/>
  <c r="M226" i="2"/>
  <c r="J226" i="2"/>
  <c r="K227" i="2"/>
  <c r="L227" i="2" l="1"/>
  <c r="I227" i="2"/>
  <c r="J227" i="2"/>
  <c r="M227" i="2"/>
  <c r="K228" i="2"/>
  <c r="L228" i="2" l="1"/>
  <c r="M228" i="2"/>
  <c r="J228" i="2"/>
  <c r="I228" i="2"/>
  <c r="K229" i="2"/>
  <c r="L229" i="2" l="1"/>
  <c r="I229" i="2"/>
  <c r="M229" i="2"/>
  <c r="J229" i="2"/>
  <c r="K230" i="2"/>
  <c r="L230" i="2" l="1"/>
  <c r="I230" i="2"/>
  <c r="M230" i="2"/>
  <c r="J230" i="2"/>
  <c r="K231" i="2"/>
  <c r="L231" i="2" l="1"/>
  <c r="I231" i="2"/>
  <c r="M231" i="2"/>
  <c r="J231" i="2"/>
  <c r="K232" i="2"/>
  <c r="L232" i="2" l="1"/>
  <c r="I232" i="2"/>
  <c r="J232" i="2"/>
  <c r="M232" i="2"/>
  <c r="K233" i="2"/>
  <c r="L233" i="2" l="1"/>
  <c r="I233" i="2"/>
  <c r="J233" i="2"/>
  <c r="M233" i="2"/>
  <c r="K234" i="2"/>
  <c r="L234" i="2" l="1"/>
  <c r="I234" i="2"/>
  <c r="M234" i="2"/>
  <c r="J234" i="2"/>
  <c r="K235" i="2"/>
  <c r="I235" i="2" l="1"/>
  <c r="L235" i="2"/>
  <c r="M235" i="2"/>
  <c r="J235" i="2"/>
  <c r="K236" i="2"/>
  <c r="L236" i="2" l="1"/>
  <c r="I236" i="2"/>
  <c r="M236" i="2"/>
  <c r="J236" i="2"/>
  <c r="K237" i="2"/>
  <c r="K238" i="2" l="1"/>
  <c r="I237" i="2"/>
  <c r="M237" i="2"/>
  <c r="L237" i="2"/>
  <c r="J237" i="2"/>
  <c r="K239" i="2" l="1"/>
  <c r="L238" i="2"/>
  <c r="I238" i="2"/>
  <c r="J238" i="2"/>
  <c r="M238" i="2"/>
  <c r="K240" i="2" l="1"/>
  <c r="L239" i="2"/>
  <c r="I239" i="2"/>
  <c r="M239" i="2"/>
  <c r="J239" i="2"/>
  <c r="K241" i="2" l="1"/>
  <c r="L240" i="2"/>
  <c r="I240" i="2"/>
  <c r="M240" i="2"/>
  <c r="J240" i="2"/>
  <c r="K242" i="2" l="1"/>
  <c r="L241" i="2"/>
  <c r="I241" i="2"/>
  <c r="M241" i="2"/>
  <c r="J241" i="2"/>
  <c r="K243" i="2" l="1"/>
  <c r="L242" i="2"/>
  <c r="M242" i="2"/>
  <c r="I242" i="2"/>
  <c r="J242" i="2"/>
  <c r="K244" i="2" l="1"/>
  <c r="I243" i="2"/>
  <c r="J243" i="2"/>
  <c r="L243" i="2"/>
  <c r="M243" i="2"/>
  <c r="L244" i="2" l="1"/>
  <c r="I244" i="2"/>
  <c r="J244" i="2"/>
  <c r="M244" i="2"/>
  <c r="R222" i="2"/>
  <c r="S222" i="2" l="1"/>
  <c r="T222" i="2"/>
  <c r="P222" i="2"/>
  <c r="Q222" i="2"/>
  <c r="R223" i="2"/>
  <c r="S223" i="2" l="1"/>
  <c r="T223" i="2"/>
  <c r="P223" i="2"/>
  <c r="Q223" i="2"/>
  <c r="R224" i="2"/>
  <c r="S224" i="2" l="1"/>
  <c r="T224" i="2"/>
  <c r="P224" i="2"/>
  <c r="Q224" i="2"/>
  <c r="R225" i="2"/>
  <c r="S225" i="2" l="1"/>
  <c r="P225" i="2"/>
  <c r="T225" i="2"/>
  <c r="Q225" i="2"/>
  <c r="R226" i="2"/>
  <c r="S226" i="2" l="1"/>
  <c r="P226" i="2"/>
  <c r="T226" i="2"/>
  <c r="Q226" i="2"/>
  <c r="R227" i="2"/>
  <c r="S227" i="2" l="1"/>
  <c r="T227" i="2"/>
  <c r="P227" i="2"/>
  <c r="Q227" i="2"/>
  <c r="R228" i="2"/>
  <c r="S228" i="2" l="1"/>
  <c r="P228" i="2"/>
  <c r="T228" i="2"/>
  <c r="Q228" i="2"/>
  <c r="R229" i="2"/>
  <c r="T229" i="2" l="1"/>
  <c r="P229" i="2"/>
  <c r="Q229" i="2"/>
  <c r="S229" i="2"/>
  <c r="R230" i="2"/>
  <c r="S230" i="2" l="1"/>
  <c r="T230" i="2"/>
  <c r="P230" i="2"/>
  <c r="Q230" i="2"/>
  <c r="R231" i="2"/>
  <c r="S231" i="2" l="1"/>
  <c r="T231" i="2"/>
  <c r="P231" i="2"/>
  <c r="Q231" i="2"/>
  <c r="R232" i="2"/>
  <c r="P232" i="2" l="1"/>
  <c r="T232" i="2"/>
  <c r="S232" i="2"/>
  <c r="Q232" i="2"/>
  <c r="R233" i="2"/>
  <c r="T233" i="2" l="1"/>
  <c r="P233" i="2"/>
  <c r="S233" i="2"/>
  <c r="Q233" i="2"/>
  <c r="R234" i="2"/>
  <c r="S234" i="2" l="1"/>
  <c r="P234" i="2"/>
  <c r="T234" i="2"/>
  <c r="Q234" i="2"/>
  <c r="R235" i="2"/>
  <c r="S235" i="2" l="1"/>
  <c r="Q235" i="2"/>
  <c r="P235" i="2"/>
  <c r="T235" i="2"/>
  <c r="R236" i="2"/>
  <c r="S236" i="2" l="1"/>
  <c r="P236" i="2"/>
  <c r="T236" i="2"/>
  <c r="Q236" i="2"/>
  <c r="R237" i="2"/>
  <c r="R238" i="2" l="1"/>
  <c r="P237" i="2"/>
  <c r="S237" i="2"/>
  <c r="T237" i="2"/>
  <c r="Q237" i="2"/>
  <c r="R239" i="2" l="1"/>
  <c r="S238" i="2"/>
  <c r="P238" i="2"/>
  <c r="T238" i="2"/>
  <c r="Q238" i="2"/>
  <c r="R240" i="2" l="1"/>
  <c r="P239" i="2"/>
  <c r="S239" i="2"/>
  <c r="T239" i="2"/>
  <c r="Q239" i="2"/>
  <c r="R241" i="2" l="1"/>
  <c r="S240" i="2"/>
  <c r="T240" i="2"/>
  <c r="P240" i="2"/>
  <c r="Q240" i="2"/>
  <c r="R242" i="2" l="1"/>
  <c r="S241" i="2"/>
  <c r="P241" i="2"/>
  <c r="Q241" i="2"/>
  <c r="T241" i="2"/>
  <c r="R243" i="2" l="1"/>
  <c r="S242" i="2"/>
  <c r="P242" i="2"/>
  <c r="Q242" i="2"/>
  <c r="T242" i="2"/>
  <c r="R244" i="2" l="1"/>
  <c r="S243" i="2"/>
  <c r="T243" i="2"/>
  <c r="P243" i="2"/>
  <c r="Q243" i="2"/>
  <c r="S244" i="2" l="1"/>
  <c r="P244" i="2"/>
  <c r="T244" i="2"/>
  <c r="Q244" i="2"/>
  <c r="D253" i="2"/>
  <c r="E253" i="2" l="1"/>
  <c r="F253" i="2"/>
  <c r="B253" i="2"/>
  <c r="C253" i="2"/>
  <c r="D254" i="2"/>
  <c r="F254" i="2" l="1"/>
  <c r="E254" i="2"/>
  <c r="B254" i="2"/>
  <c r="C254" i="2"/>
  <c r="D255" i="2"/>
  <c r="E255" i="2" l="1"/>
  <c r="B255" i="2"/>
  <c r="C255" i="2"/>
  <c r="F255" i="2"/>
  <c r="D256" i="2"/>
  <c r="E256" i="2" l="1"/>
  <c r="F256" i="2"/>
  <c r="C256" i="2"/>
  <c r="B256" i="2"/>
  <c r="D257" i="2"/>
  <c r="E257" i="2" l="1"/>
  <c r="B257" i="2"/>
  <c r="F257" i="2"/>
  <c r="C257" i="2"/>
  <c r="D258" i="2"/>
  <c r="E258" i="2" l="1"/>
  <c r="B258" i="2"/>
  <c r="F258" i="2"/>
  <c r="C258" i="2"/>
  <c r="D259" i="2"/>
  <c r="E259" i="2" l="1"/>
  <c r="F259" i="2"/>
  <c r="B259" i="2"/>
  <c r="C259" i="2"/>
  <c r="D260" i="2"/>
  <c r="E260" i="2" l="1"/>
  <c r="F260" i="2"/>
  <c r="B260" i="2"/>
  <c r="C260" i="2"/>
  <c r="D261" i="2"/>
  <c r="E261" i="2" l="1"/>
  <c r="F261" i="2"/>
  <c r="B261" i="2"/>
  <c r="C261" i="2"/>
  <c r="D262" i="2"/>
  <c r="E262" i="2" l="1"/>
  <c r="B262" i="2"/>
  <c r="F262" i="2"/>
  <c r="C262" i="2"/>
  <c r="D263" i="2"/>
  <c r="E263" i="2" l="1"/>
  <c r="B263" i="2"/>
  <c r="F263" i="2"/>
  <c r="C263" i="2"/>
  <c r="D264" i="2"/>
  <c r="E264" i="2" l="1"/>
  <c r="C264" i="2"/>
  <c r="B264" i="2"/>
  <c r="F264" i="2"/>
  <c r="D265" i="2"/>
  <c r="E265" i="2" l="1"/>
  <c r="F265" i="2"/>
  <c r="C265" i="2"/>
  <c r="B265" i="2"/>
  <c r="D266" i="2"/>
  <c r="B266" i="2" l="1"/>
  <c r="C266" i="2"/>
  <c r="E266" i="2"/>
  <c r="F266" i="2"/>
  <c r="D267" i="2"/>
  <c r="E267" i="2" l="1"/>
  <c r="B267" i="2"/>
  <c r="C267" i="2"/>
  <c r="F267" i="2"/>
  <c r="D268" i="2"/>
  <c r="E268" i="2" l="1"/>
  <c r="B268" i="2"/>
  <c r="F268" i="2"/>
  <c r="C268" i="2"/>
  <c r="D269" i="2"/>
  <c r="E269" i="2" l="1"/>
  <c r="F269" i="2"/>
  <c r="B269" i="2"/>
  <c r="C269" i="2"/>
  <c r="D270" i="2"/>
  <c r="E270" i="2" l="1"/>
  <c r="B270" i="2"/>
  <c r="F270" i="2"/>
  <c r="C270" i="2"/>
  <c r="D271" i="2"/>
  <c r="E271" i="2" l="1"/>
  <c r="F271" i="2"/>
  <c r="B271" i="2"/>
  <c r="C271" i="2"/>
  <c r="D272" i="2"/>
  <c r="E272" i="2" l="1"/>
  <c r="B272" i="2"/>
  <c r="F272" i="2"/>
  <c r="C272" i="2"/>
  <c r="D273" i="2"/>
  <c r="E273" i="2" l="1"/>
  <c r="B273" i="2"/>
  <c r="F273" i="2"/>
  <c r="C273" i="2"/>
  <c r="D274" i="2"/>
  <c r="D275" i="2" l="1"/>
  <c r="E274" i="2"/>
  <c r="F274" i="2"/>
  <c r="B274" i="2"/>
  <c r="C274" i="2"/>
  <c r="E275" i="2" l="1"/>
  <c r="B275" i="2"/>
  <c r="F275" i="2"/>
  <c r="C275" i="2"/>
  <c r="K253" i="2"/>
  <c r="L253" i="2" l="1"/>
  <c r="J253" i="2"/>
  <c r="I253" i="2"/>
  <c r="M253" i="2"/>
  <c r="K254" i="2"/>
  <c r="L254" i="2" l="1"/>
  <c r="M254" i="2"/>
  <c r="J254" i="2"/>
  <c r="I254" i="2"/>
  <c r="K255" i="2"/>
  <c r="L255" i="2" l="1"/>
  <c r="M255" i="2"/>
  <c r="I255" i="2"/>
  <c r="J255" i="2"/>
  <c r="K256" i="2"/>
  <c r="L256" i="2" l="1"/>
  <c r="I256" i="2"/>
  <c r="M256" i="2"/>
  <c r="J256" i="2"/>
  <c r="K257" i="2"/>
  <c r="L257" i="2" l="1"/>
  <c r="I257" i="2"/>
  <c r="M257" i="2"/>
  <c r="J257" i="2"/>
  <c r="K258" i="2"/>
  <c r="I258" i="2" l="1"/>
  <c r="L258" i="2"/>
  <c r="M258" i="2"/>
  <c r="J258" i="2"/>
  <c r="K259" i="2"/>
  <c r="L259" i="2" l="1"/>
  <c r="I259" i="2"/>
  <c r="J259" i="2"/>
  <c r="M259" i="2"/>
  <c r="K260" i="2"/>
  <c r="L260" i="2" l="1"/>
  <c r="I260" i="2"/>
  <c r="M260" i="2"/>
  <c r="J260" i="2"/>
  <c r="K261" i="2"/>
  <c r="L261" i="2" l="1"/>
  <c r="I261" i="2"/>
  <c r="M261" i="2"/>
  <c r="J261" i="2"/>
  <c r="K262" i="2"/>
  <c r="L262" i="2" l="1"/>
  <c r="I262" i="2"/>
  <c r="M262" i="2"/>
  <c r="J262" i="2"/>
  <c r="K263" i="2"/>
  <c r="L263" i="2" l="1"/>
  <c r="I263" i="2"/>
  <c r="M263" i="2"/>
  <c r="J263" i="2"/>
  <c r="K264" i="2"/>
  <c r="L264" i="2" l="1"/>
  <c r="I264" i="2"/>
  <c r="J264" i="2"/>
  <c r="M264" i="2"/>
  <c r="K265" i="2"/>
  <c r="L265" i="2" l="1"/>
  <c r="I265" i="2"/>
  <c r="M265" i="2"/>
  <c r="J265" i="2"/>
  <c r="K266" i="2"/>
  <c r="L266" i="2" l="1"/>
  <c r="M266" i="2"/>
  <c r="I266" i="2"/>
  <c r="J266" i="2"/>
  <c r="K267" i="2"/>
  <c r="L267" i="2" l="1"/>
  <c r="M267" i="2"/>
  <c r="I267" i="2"/>
  <c r="J267" i="2"/>
  <c r="K268" i="2"/>
  <c r="M268" i="2" l="1"/>
  <c r="I268" i="2"/>
  <c r="L268" i="2"/>
  <c r="J268" i="2"/>
  <c r="K269" i="2"/>
  <c r="I269" i="2" l="1"/>
  <c r="M269" i="2"/>
  <c r="J269" i="2"/>
  <c r="L269" i="2"/>
  <c r="K270" i="2"/>
  <c r="L270" i="2" l="1"/>
  <c r="M270" i="2"/>
  <c r="J270" i="2"/>
  <c r="I270" i="2"/>
  <c r="K271" i="2"/>
  <c r="L271" i="2" l="1"/>
  <c r="M271" i="2"/>
  <c r="I271" i="2"/>
  <c r="J271" i="2"/>
  <c r="K272" i="2"/>
  <c r="L272" i="2" l="1"/>
  <c r="I272" i="2"/>
  <c r="J272" i="2"/>
  <c r="M272" i="2"/>
  <c r="K273" i="2"/>
  <c r="I273" i="2" l="1"/>
  <c r="L273" i="2"/>
  <c r="M273" i="2"/>
  <c r="J273" i="2"/>
  <c r="K274" i="2"/>
  <c r="K275" i="2" l="1"/>
  <c r="L274" i="2"/>
  <c r="M274" i="2"/>
  <c r="J274" i="2"/>
  <c r="I274" i="2"/>
  <c r="M275" i="2" l="1"/>
  <c r="I275" i="2"/>
  <c r="L275" i="2"/>
  <c r="J275" i="2"/>
  <c r="R253" i="2"/>
  <c r="S253" i="2" l="1"/>
  <c r="P253" i="2"/>
  <c r="T253" i="2"/>
  <c r="Q253" i="2"/>
  <c r="R254" i="2"/>
  <c r="S254" i="2" l="1"/>
  <c r="P254" i="2"/>
  <c r="T254" i="2"/>
  <c r="Q254" i="2"/>
  <c r="R255" i="2"/>
  <c r="S255" i="2" l="1"/>
  <c r="T255" i="2"/>
  <c r="P255" i="2"/>
  <c r="Q255" i="2"/>
  <c r="R256" i="2"/>
  <c r="T256" i="2" l="1"/>
  <c r="S256" i="2"/>
  <c r="Q256" i="2"/>
  <c r="P256" i="2"/>
  <c r="R257" i="2"/>
  <c r="S257" i="2" l="1"/>
  <c r="P257" i="2"/>
  <c r="T257" i="2"/>
  <c r="Q257" i="2"/>
  <c r="R258" i="2"/>
  <c r="S258" i="2" l="1"/>
  <c r="P258" i="2"/>
  <c r="T258" i="2"/>
  <c r="Q258" i="2"/>
  <c r="R259" i="2"/>
  <c r="S259" i="2" l="1"/>
  <c r="P259" i="2"/>
  <c r="T259" i="2"/>
  <c r="Q259" i="2"/>
  <c r="R260" i="2"/>
  <c r="P260" i="2" l="1"/>
  <c r="S260" i="2"/>
  <c r="T260" i="2"/>
  <c r="Q260" i="2"/>
  <c r="R261" i="2"/>
  <c r="P261" i="2" l="1"/>
  <c r="S261" i="2"/>
  <c r="T261" i="2"/>
  <c r="Q261" i="2"/>
  <c r="R262" i="2"/>
  <c r="P262" i="2" l="1"/>
  <c r="S262" i="2"/>
  <c r="Q262" i="2"/>
  <c r="T262" i="2"/>
  <c r="R263" i="2"/>
  <c r="S263" i="2" l="1"/>
  <c r="Q263" i="2"/>
  <c r="T263" i="2"/>
  <c r="P263" i="2"/>
  <c r="R264" i="2"/>
  <c r="T264" i="2" l="1"/>
  <c r="S264" i="2"/>
  <c r="P264" i="2"/>
  <c r="Q264" i="2"/>
  <c r="R265" i="2"/>
  <c r="T265" i="2" l="1"/>
  <c r="S265" i="2"/>
  <c r="P265" i="2"/>
  <c r="Q265" i="2"/>
  <c r="R266" i="2"/>
  <c r="S266" i="2" l="1"/>
  <c r="P266" i="2"/>
  <c r="T266" i="2"/>
  <c r="Q266" i="2"/>
  <c r="R267" i="2"/>
  <c r="S267" i="2" l="1"/>
  <c r="T267" i="2"/>
  <c r="P267" i="2"/>
  <c r="Q267" i="2"/>
  <c r="R268" i="2"/>
  <c r="S268" i="2" l="1"/>
  <c r="T268" i="2"/>
  <c r="P268" i="2"/>
  <c r="Q268" i="2"/>
  <c r="R269" i="2"/>
  <c r="S269" i="2" l="1"/>
  <c r="P269" i="2"/>
  <c r="Q269" i="2"/>
  <c r="T269" i="2"/>
  <c r="R270" i="2"/>
  <c r="S270" i="2" l="1"/>
  <c r="P270" i="2"/>
  <c r="T270" i="2"/>
  <c r="Q270" i="2"/>
  <c r="R271" i="2"/>
  <c r="S271" i="2" l="1"/>
  <c r="T271" i="2"/>
  <c r="P271" i="2"/>
  <c r="Q271" i="2"/>
  <c r="R272" i="2"/>
  <c r="S272" i="2" l="1"/>
  <c r="T272" i="2"/>
  <c r="P272" i="2"/>
  <c r="Q272" i="2"/>
  <c r="R273" i="2"/>
  <c r="S273" i="2" l="1"/>
  <c r="T273" i="2"/>
  <c r="P273" i="2"/>
  <c r="Q273" i="2"/>
  <c r="R274" i="2"/>
  <c r="R275" i="2" l="1"/>
  <c r="S274" i="2"/>
  <c r="P274" i="2"/>
  <c r="Q274" i="2"/>
  <c r="T274" i="2"/>
  <c r="S275" i="2" l="1"/>
  <c r="T275" i="2"/>
  <c r="Q275" i="2"/>
  <c r="P275" i="2"/>
  <c r="D284" i="2"/>
  <c r="E284" i="2" l="1"/>
  <c r="F284" i="2"/>
  <c r="B284" i="2"/>
  <c r="C284" i="2"/>
  <c r="D285" i="2"/>
  <c r="F285" i="2" l="1"/>
  <c r="E285" i="2"/>
  <c r="B285" i="2"/>
  <c r="C285" i="2"/>
  <c r="D286" i="2"/>
  <c r="F286" i="2" l="1"/>
  <c r="B286" i="2"/>
  <c r="E286" i="2"/>
  <c r="C286" i="2"/>
  <c r="D287" i="2"/>
  <c r="E287" i="2" l="1"/>
  <c r="B287" i="2"/>
  <c r="F287" i="2"/>
  <c r="C287" i="2"/>
  <c r="D288" i="2"/>
  <c r="B288" i="2" l="1"/>
  <c r="E288" i="2"/>
  <c r="C288" i="2"/>
  <c r="F288" i="2"/>
  <c r="D289" i="2"/>
  <c r="E289" i="2" l="1"/>
  <c r="B289" i="2"/>
  <c r="C289" i="2"/>
  <c r="F289" i="2"/>
  <c r="D290" i="2"/>
  <c r="E290" i="2" l="1"/>
  <c r="B290" i="2"/>
  <c r="C290" i="2"/>
  <c r="F290" i="2"/>
  <c r="D291" i="2"/>
  <c r="F291" i="2" l="1"/>
  <c r="B291" i="2"/>
  <c r="E291" i="2"/>
  <c r="C291" i="2"/>
  <c r="D292" i="2"/>
  <c r="E292" i="2" l="1"/>
  <c r="B292" i="2"/>
  <c r="F292" i="2"/>
  <c r="C292" i="2"/>
  <c r="D293" i="2"/>
  <c r="E293" i="2" l="1"/>
  <c r="F293" i="2"/>
  <c r="B293" i="2"/>
  <c r="C293" i="2"/>
  <c r="D294" i="2"/>
  <c r="E294" i="2" l="1"/>
  <c r="B294" i="2"/>
  <c r="F294" i="2"/>
  <c r="C294" i="2"/>
  <c r="D295" i="2"/>
  <c r="B295" i="2" l="1"/>
  <c r="E295" i="2"/>
  <c r="F295" i="2"/>
  <c r="C295" i="2"/>
  <c r="D296" i="2"/>
  <c r="B296" i="2" l="1"/>
  <c r="E296" i="2"/>
  <c r="F296" i="2"/>
  <c r="C296" i="2"/>
  <c r="D297" i="2"/>
  <c r="E297" i="2" l="1"/>
  <c r="F297" i="2"/>
  <c r="B297" i="2"/>
  <c r="C297" i="2"/>
  <c r="D298" i="2"/>
  <c r="E298" i="2" l="1"/>
  <c r="B298" i="2"/>
  <c r="C298" i="2"/>
  <c r="F298" i="2"/>
  <c r="D299" i="2"/>
  <c r="E299" i="2" l="1"/>
  <c r="C299" i="2"/>
  <c r="F299" i="2"/>
  <c r="B299" i="2"/>
  <c r="D300" i="2"/>
  <c r="E300" i="2" l="1"/>
  <c r="F300" i="2"/>
  <c r="C300" i="2"/>
  <c r="B300" i="2"/>
  <c r="D301" i="2"/>
  <c r="E301" i="2" l="1"/>
  <c r="B301" i="2"/>
  <c r="F301" i="2"/>
  <c r="C301" i="2"/>
  <c r="D302" i="2"/>
  <c r="E302" i="2" l="1"/>
  <c r="B302" i="2"/>
  <c r="F302" i="2"/>
  <c r="C302" i="2"/>
  <c r="D303" i="2"/>
  <c r="E303" i="2" l="1"/>
  <c r="F303" i="2"/>
  <c r="B303" i="2"/>
  <c r="C303" i="2"/>
  <c r="D304" i="2"/>
  <c r="B304" i="2" l="1"/>
  <c r="E304" i="2"/>
  <c r="F304" i="2"/>
  <c r="C304" i="2"/>
  <c r="D305" i="2"/>
  <c r="D306" i="2" l="1"/>
  <c r="E305" i="2"/>
  <c r="C305" i="2"/>
  <c r="B305" i="2"/>
  <c r="F305" i="2"/>
  <c r="E306" i="2" l="1"/>
  <c r="B306" i="2"/>
  <c r="F306" i="2"/>
  <c r="C306" i="2"/>
  <c r="K284" i="2"/>
  <c r="I284" i="2" l="1"/>
  <c r="L284" i="2"/>
  <c r="M284" i="2"/>
  <c r="J284" i="2"/>
  <c r="K285" i="2"/>
  <c r="I285" i="2" l="1"/>
  <c r="L285" i="2"/>
  <c r="M285" i="2"/>
  <c r="J285" i="2"/>
  <c r="K286" i="2"/>
  <c r="L286" i="2" l="1"/>
  <c r="I286" i="2"/>
  <c r="M286" i="2"/>
  <c r="J286" i="2"/>
  <c r="K287" i="2"/>
  <c r="I287" i="2" l="1"/>
  <c r="L287" i="2"/>
  <c r="M287" i="2"/>
  <c r="J287" i="2"/>
  <c r="K288" i="2"/>
  <c r="L288" i="2" l="1"/>
  <c r="I288" i="2"/>
  <c r="M288" i="2"/>
  <c r="J288" i="2"/>
  <c r="K289" i="2"/>
  <c r="L289" i="2" l="1"/>
  <c r="I289" i="2"/>
  <c r="M289" i="2"/>
  <c r="J289" i="2"/>
  <c r="K290" i="2"/>
  <c r="L290" i="2" l="1"/>
  <c r="I290" i="2"/>
  <c r="M290" i="2"/>
  <c r="J290" i="2"/>
  <c r="K291" i="2"/>
  <c r="L291" i="2" l="1"/>
  <c r="I291" i="2"/>
  <c r="M291" i="2"/>
  <c r="J291" i="2"/>
  <c r="K292" i="2"/>
  <c r="L292" i="2" l="1"/>
  <c r="M292" i="2"/>
  <c r="I292" i="2"/>
  <c r="J292" i="2"/>
  <c r="K293" i="2"/>
  <c r="L293" i="2" l="1"/>
  <c r="M293" i="2"/>
  <c r="J293" i="2"/>
  <c r="I293" i="2"/>
  <c r="K294" i="2"/>
  <c r="L294" i="2" l="1"/>
  <c r="I294" i="2"/>
  <c r="J294" i="2"/>
  <c r="M294" i="2"/>
  <c r="K295" i="2"/>
  <c r="L295" i="2" l="1"/>
  <c r="I295" i="2"/>
  <c r="M295" i="2"/>
  <c r="J295" i="2"/>
  <c r="K296" i="2"/>
  <c r="L296" i="2" l="1"/>
  <c r="M296" i="2"/>
  <c r="J296" i="2"/>
  <c r="I296" i="2"/>
  <c r="K297" i="2"/>
  <c r="M297" i="2" l="1"/>
  <c r="L297" i="2"/>
  <c r="J297" i="2"/>
  <c r="I297" i="2"/>
  <c r="K298" i="2"/>
  <c r="L298" i="2" l="1"/>
  <c r="I298" i="2"/>
  <c r="M298" i="2"/>
  <c r="J298" i="2"/>
  <c r="K299" i="2"/>
  <c r="L299" i="2" l="1"/>
  <c r="I299" i="2"/>
  <c r="M299" i="2"/>
  <c r="J299" i="2"/>
  <c r="K300" i="2"/>
  <c r="L300" i="2" l="1"/>
  <c r="M300" i="2"/>
  <c r="I300" i="2"/>
  <c r="J300" i="2"/>
  <c r="K301" i="2"/>
  <c r="L301" i="2" l="1"/>
  <c r="I301" i="2"/>
  <c r="M301" i="2"/>
  <c r="J301" i="2"/>
  <c r="K302" i="2"/>
  <c r="L302" i="2" l="1"/>
  <c r="I302" i="2"/>
  <c r="M302" i="2"/>
  <c r="J302" i="2"/>
  <c r="K303" i="2"/>
  <c r="I303" i="2" l="1"/>
  <c r="M303" i="2"/>
  <c r="J303" i="2"/>
  <c r="L303" i="2"/>
  <c r="K304" i="2"/>
  <c r="M304" i="2" l="1"/>
  <c r="I304" i="2"/>
  <c r="J304" i="2"/>
  <c r="L304" i="2"/>
  <c r="K305" i="2"/>
  <c r="K306" i="2" l="1"/>
  <c r="I305" i="2"/>
  <c r="L305" i="2"/>
  <c r="J305" i="2"/>
  <c r="M305" i="2"/>
  <c r="I306" i="2" l="1"/>
  <c r="L306" i="2"/>
  <c r="M306" i="2"/>
  <c r="J306" i="2"/>
  <c r="R284" i="2"/>
  <c r="S284" i="2" l="1"/>
  <c r="T284" i="2"/>
  <c r="P284" i="2"/>
  <c r="Q284" i="2"/>
  <c r="R285" i="2"/>
  <c r="S285" i="2" l="1"/>
  <c r="T285" i="2"/>
  <c r="P285" i="2"/>
  <c r="Q285" i="2"/>
  <c r="R286" i="2"/>
  <c r="P286" i="2" l="1"/>
  <c r="S286" i="2"/>
  <c r="Q286" i="2"/>
  <c r="T286" i="2"/>
  <c r="R287" i="2"/>
  <c r="S287" i="2" l="1"/>
  <c r="P287" i="2"/>
  <c r="T287" i="2"/>
  <c r="Q287" i="2"/>
  <c r="R288" i="2"/>
  <c r="S288" i="2" l="1"/>
  <c r="P288" i="2"/>
  <c r="T288" i="2"/>
  <c r="Q288" i="2"/>
  <c r="R289" i="2"/>
  <c r="S289" i="2" l="1"/>
  <c r="P289" i="2"/>
  <c r="T289" i="2"/>
  <c r="Q289" i="2"/>
  <c r="R290" i="2"/>
  <c r="S290" i="2" l="1"/>
  <c r="P290" i="2"/>
  <c r="T290" i="2"/>
  <c r="Q290" i="2"/>
  <c r="R291" i="2"/>
  <c r="S291" i="2" l="1"/>
  <c r="P291" i="2"/>
  <c r="T291" i="2"/>
  <c r="Q291" i="2"/>
  <c r="R292" i="2"/>
  <c r="S292" i="2" l="1"/>
  <c r="T292" i="2"/>
  <c r="P292" i="2"/>
  <c r="Q292" i="2"/>
  <c r="R293" i="2"/>
  <c r="P293" i="2" l="1"/>
  <c r="S293" i="2"/>
  <c r="T293" i="2"/>
  <c r="Q293" i="2"/>
  <c r="R294" i="2"/>
  <c r="S294" i="2" l="1"/>
  <c r="P294" i="2"/>
  <c r="T294" i="2"/>
  <c r="Q294" i="2"/>
  <c r="R295" i="2"/>
  <c r="S295" i="2" l="1"/>
  <c r="P295" i="2"/>
  <c r="T295" i="2"/>
  <c r="Q295" i="2"/>
  <c r="R296" i="2"/>
  <c r="T296" i="2" l="1"/>
  <c r="P296" i="2"/>
  <c r="S296" i="2"/>
  <c r="Q296" i="2"/>
  <c r="R297" i="2"/>
  <c r="T297" i="2" l="1"/>
  <c r="S297" i="2"/>
  <c r="P297" i="2"/>
  <c r="Q297" i="2"/>
  <c r="R298" i="2"/>
  <c r="S298" i="2" l="1"/>
  <c r="P298" i="2"/>
  <c r="T298" i="2"/>
  <c r="Q298" i="2"/>
  <c r="R299" i="2"/>
  <c r="S299" i="2" l="1"/>
  <c r="P299" i="2"/>
  <c r="Q299" i="2"/>
  <c r="T299" i="2"/>
  <c r="R300" i="2"/>
  <c r="S300" i="2" l="1"/>
  <c r="T300" i="2"/>
  <c r="P300" i="2"/>
  <c r="Q300" i="2"/>
  <c r="R301" i="2"/>
  <c r="S301" i="2" l="1"/>
  <c r="T301" i="2"/>
  <c r="P301" i="2"/>
  <c r="Q301" i="2"/>
  <c r="R302" i="2"/>
  <c r="S302" i="2" l="1"/>
  <c r="P302" i="2"/>
  <c r="Q302" i="2"/>
  <c r="T302" i="2"/>
  <c r="R303" i="2"/>
  <c r="P303" i="2" l="1"/>
  <c r="S303" i="2"/>
  <c r="Q303" i="2"/>
  <c r="T303" i="2"/>
  <c r="R304" i="2"/>
  <c r="S304" i="2" l="1"/>
  <c r="P304" i="2"/>
  <c r="Q304" i="2"/>
  <c r="T304" i="2"/>
  <c r="R305" i="2"/>
  <c r="R306" i="2" l="1"/>
  <c r="S305" i="2"/>
  <c r="P305" i="2"/>
  <c r="T305" i="2"/>
  <c r="Q305" i="2"/>
  <c r="P306" i="2" l="1"/>
  <c r="S306" i="2"/>
  <c r="T306" i="2"/>
  <c r="Q306" i="2"/>
  <c r="D315" i="2"/>
  <c r="E315" i="2" l="1"/>
  <c r="B315" i="2"/>
  <c r="F315" i="2"/>
  <c r="C315" i="2"/>
  <c r="D316" i="2"/>
  <c r="E316" i="2" l="1"/>
  <c r="B316" i="2"/>
  <c r="C316" i="2"/>
  <c r="F316" i="2"/>
  <c r="D317" i="2"/>
  <c r="E317" i="2" l="1"/>
  <c r="B317" i="2"/>
  <c r="F317" i="2"/>
  <c r="C317" i="2"/>
  <c r="D318" i="2"/>
  <c r="E318" i="2" l="1"/>
  <c r="B318" i="2"/>
  <c r="C318" i="2"/>
  <c r="F318" i="2"/>
  <c r="D319" i="2"/>
  <c r="E319" i="2" l="1"/>
  <c r="B319" i="2"/>
  <c r="F319" i="2"/>
  <c r="C319" i="2"/>
  <c r="D320" i="2"/>
  <c r="E320" i="2" l="1"/>
  <c r="B320" i="2"/>
  <c r="F320" i="2"/>
  <c r="C320" i="2"/>
  <c r="D321" i="2"/>
  <c r="E321" i="2" l="1"/>
  <c r="B321" i="2"/>
  <c r="F321" i="2"/>
  <c r="C321" i="2"/>
  <c r="D322" i="2"/>
  <c r="E322" i="2" l="1"/>
  <c r="B322" i="2"/>
  <c r="F322" i="2"/>
  <c r="C322" i="2"/>
  <c r="D323" i="2"/>
  <c r="E323" i="2" l="1"/>
  <c r="F323" i="2"/>
  <c r="B323" i="2"/>
  <c r="C323" i="2"/>
  <c r="D324" i="2"/>
  <c r="E324" i="2" l="1"/>
  <c r="B324" i="2"/>
  <c r="F324" i="2"/>
  <c r="C324" i="2"/>
  <c r="D325" i="2"/>
  <c r="F325" i="2" l="1"/>
  <c r="E325" i="2"/>
  <c r="B325" i="2"/>
  <c r="C325" i="2"/>
  <c r="D326" i="2"/>
  <c r="F326" i="2" l="1"/>
  <c r="E326" i="2"/>
  <c r="B326" i="2"/>
  <c r="C326" i="2"/>
  <c r="D327" i="2"/>
  <c r="E327" i="2" l="1"/>
  <c r="F327" i="2"/>
  <c r="C327" i="2"/>
  <c r="B327" i="2"/>
  <c r="D328" i="2"/>
  <c r="E328" i="2" l="1"/>
  <c r="B328" i="2"/>
  <c r="F328" i="2"/>
  <c r="C328" i="2"/>
  <c r="D329" i="2"/>
  <c r="B329" i="2" l="1"/>
  <c r="E329" i="2"/>
  <c r="C329" i="2"/>
  <c r="F329" i="2"/>
  <c r="D330" i="2"/>
  <c r="E330" i="2" l="1"/>
  <c r="B330" i="2"/>
  <c r="F330" i="2"/>
  <c r="C330" i="2"/>
  <c r="D331" i="2"/>
  <c r="F331" i="2" l="1"/>
  <c r="E331" i="2"/>
  <c r="B331" i="2"/>
  <c r="C331" i="2"/>
  <c r="D332" i="2"/>
  <c r="E332" i="2" l="1"/>
  <c r="B332" i="2"/>
  <c r="F332" i="2"/>
  <c r="C332" i="2"/>
  <c r="D333" i="2"/>
  <c r="B333" i="2" l="1"/>
  <c r="F333" i="2"/>
  <c r="C333" i="2"/>
  <c r="E333" i="2"/>
  <c r="D334" i="2"/>
  <c r="E334" i="2" l="1"/>
  <c r="B334" i="2"/>
  <c r="C334" i="2"/>
  <c r="F334" i="2"/>
  <c r="D335" i="2"/>
  <c r="E335" i="2" l="1"/>
  <c r="B335" i="2"/>
  <c r="C335" i="2"/>
  <c r="F335" i="2"/>
  <c r="D336" i="2"/>
  <c r="D337" i="2" l="1"/>
  <c r="E336" i="2"/>
  <c r="B336" i="2"/>
  <c r="C336" i="2"/>
  <c r="F336" i="2"/>
  <c r="E337" i="2" l="1"/>
  <c r="F337" i="2"/>
  <c r="C337" i="2"/>
  <c r="B337" i="2"/>
  <c r="K315" i="2"/>
  <c r="L315" i="2" l="1"/>
  <c r="M315" i="2"/>
  <c r="J315" i="2"/>
  <c r="I315" i="2"/>
  <c r="K316" i="2"/>
  <c r="M316" i="2" l="1"/>
  <c r="L316" i="2"/>
  <c r="I316" i="2"/>
  <c r="J316" i="2"/>
  <c r="K317" i="2"/>
  <c r="L317" i="2" l="1"/>
  <c r="I317" i="2"/>
  <c r="M317" i="2"/>
  <c r="J317" i="2"/>
  <c r="K318" i="2"/>
  <c r="L318" i="2" l="1"/>
  <c r="I318" i="2"/>
  <c r="M318" i="2"/>
  <c r="J318" i="2"/>
  <c r="K319" i="2"/>
  <c r="L319" i="2" l="1"/>
  <c r="I319" i="2"/>
  <c r="M319" i="2"/>
  <c r="J319" i="2"/>
  <c r="K320" i="2"/>
  <c r="L320" i="2" l="1"/>
  <c r="I320" i="2"/>
  <c r="M320" i="2"/>
  <c r="J320" i="2"/>
  <c r="K321" i="2"/>
  <c r="L321" i="2" l="1"/>
  <c r="I321" i="2"/>
  <c r="M321" i="2"/>
  <c r="J321" i="2"/>
  <c r="K322" i="2"/>
  <c r="I322" i="2" l="1"/>
  <c r="J322" i="2"/>
  <c r="M322" i="2"/>
  <c r="L322" i="2"/>
  <c r="K323" i="2"/>
  <c r="L323" i="2" l="1"/>
  <c r="I323" i="2"/>
  <c r="M323" i="2"/>
  <c r="J323" i="2"/>
  <c r="K324" i="2"/>
  <c r="L324" i="2" l="1"/>
  <c r="I324" i="2"/>
  <c r="M324" i="2"/>
  <c r="J324" i="2"/>
  <c r="K325" i="2"/>
  <c r="L325" i="2" l="1"/>
  <c r="I325" i="2"/>
  <c r="M325" i="2"/>
  <c r="J325" i="2"/>
  <c r="K326" i="2"/>
  <c r="L326" i="2" l="1"/>
  <c r="I326" i="2"/>
  <c r="M326" i="2"/>
  <c r="J326" i="2"/>
  <c r="K327" i="2"/>
  <c r="L327" i="2" l="1"/>
  <c r="I327" i="2"/>
  <c r="M327" i="2"/>
  <c r="J327" i="2"/>
  <c r="K328" i="2"/>
  <c r="L328" i="2" l="1"/>
  <c r="I328" i="2"/>
  <c r="M328" i="2"/>
  <c r="J328" i="2"/>
  <c r="K329" i="2"/>
  <c r="L329" i="2" l="1"/>
  <c r="I329" i="2"/>
  <c r="M329" i="2"/>
  <c r="J329" i="2"/>
  <c r="K330" i="2"/>
  <c r="L330" i="2" l="1"/>
  <c r="M330" i="2"/>
  <c r="J330" i="2"/>
  <c r="I330" i="2"/>
  <c r="K331" i="2"/>
  <c r="M331" i="2" l="1"/>
  <c r="L331" i="2"/>
  <c r="J331" i="2"/>
  <c r="I331" i="2"/>
  <c r="K332" i="2"/>
  <c r="L332" i="2" l="1"/>
  <c r="M332" i="2"/>
  <c r="J332" i="2"/>
  <c r="I332" i="2"/>
  <c r="K333" i="2"/>
  <c r="L333" i="2" l="1"/>
  <c r="M333" i="2"/>
  <c r="J333" i="2"/>
  <c r="I333" i="2"/>
  <c r="K334" i="2"/>
  <c r="L334" i="2" l="1"/>
  <c r="I334" i="2"/>
  <c r="M334" i="2"/>
  <c r="J334" i="2"/>
  <c r="K335" i="2"/>
  <c r="I335" i="2" l="1"/>
  <c r="M335" i="2"/>
  <c r="J335" i="2"/>
  <c r="L335" i="2"/>
  <c r="K336" i="2"/>
  <c r="K337" i="2" l="1"/>
  <c r="L336" i="2"/>
  <c r="M336" i="2"/>
  <c r="J336" i="2"/>
  <c r="I336" i="2"/>
  <c r="L337" i="2" l="1"/>
  <c r="I337" i="2"/>
  <c r="M337" i="2"/>
  <c r="J337" i="2"/>
  <c r="R315" i="2"/>
  <c r="P315" i="2" l="1"/>
  <c r="S315" i="2"/>
  <c r="Q315" i="2"/>
  <c r="T315" i="2"/>
  <c r="R316" i="2"/>
  <c r="S316" i="2" l="1"/>
  <c r="T316" i="2"/>
  <c r="P316" i="2"/>
  <c r="Q316" i="2"/>
  <c r="R317" i="2"/>
  <c r="S317" i="2" l="1"/>
  <c r="T317" i="2"/>
  <c r="P317" i="2"/>
  <c r="Q317" i="2"/>
  <c r="R318" i="2"/>
  <c r="S318" i="2" l="1"/>
  <c r="T318" i="2"/>
  <c r="P318" i="2"/>
  <c r="Q318" i="2"/>
  <c r="R319" i="2"/>
  <c r="S319" i="2" l="1"/>
  <c r="P319" i="2"/>
  <c r="T319" i="2"/>
  <c r="Q319" i="2"/>
  <c r="R320" i="2"/>
  <c r="S320" i="2" l="1"/>
  <c r="P320" i="2"/>
  <c r="T320" i="2"/>
  <c r="Q320" i="2"/>
  <c r="R321" i="2"/>
  <c r="S321" i="2" l="1"/>
  <c r="T321" i="2"/>
  <c r="P321" i="2"/>
  <c r="Q321" i="2"/>
  <c r="R322" i="2"/>
  <c r="S322" i="2" l="1"/>
  <c r="P322" i="2"/>
  <c r="T322" i="2"/>
  <c r="Q322" i="2"/>
  <c r="R323" i="2"/>
  <c r="P323" i="2" l="1"/>
  <c r="S323" i="2"/>
  <c r="T323" i="2"/>
  <c r="Q323" i="2"/>
  <c r="R324" i="2"/>
  <c r="S324" i="2" l="1"/>
  <c r="P324" i="2"/>
  <c r="Q324" i="2"/>
  <c r="T324" i="2"/>
  <c r="R325" i="2"/>
  <c r="S325" i="2" l="1"/>
  <c r="P325" i="2"/>
  <c r="Q325" i="2"/>
  <c r="T325" i="2"/>
  <c r="R326" i="2"/>
  <c r="S326" i="2" l="1"/>
  <c r="Q326" i="2"/>
  <c r="P326" i="2"/>
  <c r="T326" i="2"/>
  <c r="R327" i="2"/>
  <c r="S327" i="2" l="1"/>
  <c r="T327" i="2"/>
  <c r="P327" i="2"/>
  <c r="Q327" i="2"/>
  <c r="R328" i="2"/>
  <c r="S328" i="2" l="1"/>
  <c r="T328" i="2"/>
  <c r="P328" i="2"/>
  <c r="Q328" i="2"/>
  <c r="R329" i="2"/>
  <c r="S329" i="2" l="1"/>
  <c r="T329" i="2"/>
  <c r="P329" i="2"/>
  <c r="Q329" i="2"/>
  <c r="R330" i="2"/>
  <c r="S330" i="2" l="1"/>
  <c r="P330" i="2"/>
  <c r="T330" i="2"/>
  <c r="Q330" i="2"/>
  <c r="R331" i="2"/>
  <c r="S331" i="2" l="1"/>
  <c r="Q331" i="2"/>
  <c r="P331" i="2"/>
  <c r="T331" i="2"/>
  <c r="R332" i="2"/>
  <c r="S332" i="2" l="1"/>
  <c r="P332" i="2"/>
  <c r="T332" i="2"/>
  <c r="Q332" i="2"/>
  <c r="R333" i="2"/>
  <c r="S333" i="2" l="1"/>
  <c r="P333" i="2"/>
  <c r="T333" i="2"/>
  <c r="Q333" i="2"/>
  <c r="R334" i="2"/>
  <c r="S334" i="2" l="1"/>
  <c r="P334" i="2"/>
  <c r="T334" i="2"/>
  <c r="Q334" i="2"/>
  <c r="R335" i="2"/>
  <c r="S335" i="2" l="1"/>
  <c r="T335" i="2"/>
  <c r="P335" i="2"/>
  <c r="Q335" i="2"/>
  <c r="R336" i="2"/>
  <c r="R337" i="2" l="1"/>
  <c r="S336" i="2"/>
  <c r="T336" i="2"/>
  <c r="P336" i="2"/>
  <c r="Q336" i="2"/>
  <c r="S337" i="2" l="1"/>
  <c r="T337" i="2"/>
  <c r="P337" i="2"/>
  <c r="Q337" i="2"/>
  <c r="D346" i="2"/>
  <c r="E346" i="2" l="1"/>
  <c r="F346" i="2"/>
  <c r="B346" i="2"/>
  <c r="C346" i="2"/>
  <c r="D347" i="2"/>
  <c r="E347" i="2" l="1"/>
  <c r="F347" i="2"/>
  <c r="B347" i="2"/>
  <c r="C347" i="2"/>
  <c r="D348" i="2"/>
  <c r="E348" i="2" l="1"/>
  <c r="B348" i="2"/>
  <c r="F348" i="2"/>
  <c r="C348" i="2"/>
  <c r="D349" i="2"/>
  <c r="E349" i="2" l="1"/>
  <c r="F349" i="2"/>
  <c r="B349" i="2"/>
  <c r="C349" i="2"/>
  <c r="D350" i="2"/>
  <c r="E350" i="2" l="1"/>
  <c r="B350" i="2"/>
  <c r="F350" i="2"/>
  <c r="C350" i="2"/>
  <c r="D351" i="2"/>
  <c r="E351" i="2" l="1"/>
  <c r="B351" i="2"/>
  <c r="F351" i="2"/>
  <c r="C351" i="2"/>
  <c r="D352" i="2"/>
  <c r="E352" i="2" l="1"/>
  <c r="B352" i="2"/>
  <c r="F352" i="2"/>
  <c r="C352" i="2"/>
  <c r="D353" i="2"/>
  <c r="B353" i="2" l="1"/>
  <c r="E353" i="2"/>
  <c r="F353" i="2"/>
  <c r="C353" i="2"/>
  <c r="D354" i="2"/>
  <c r="E354" i="2" l="1"/>
  <c r="B354" i="2"/>
  <c r="F354" i="2"/>
  <c r="C354" i="2"/>
  <c r="D355" i="2"/>
  <c r="E355" i="2" l="1"/>
  <c r="B355" i="2"/>
  <c r="C355" i="2"/>
  <c r="F355" i="2"/>
  <c r="D356" i="2"/>
  <c r="E356" i="2" l="1"/>
  <c r="B356" i="2"/>
  <c r="C356" i="2"/>
  <c r="F356" i="2"/>
  <c r="D357" i="2"/>
  <c r="E357" i="2" l="1"/>
  <c r="B357" i="2"/>
  <c r="C357" i="2"/>
  <c r="F357" i="2"/>
  <c r="D358" i="2"/>
  <c r="E358" i="2" l="1"/>
  <c r="B358" i="2"/>
  <c r="C358" i="2"/>
  <c r="F358" i="2"/>
  <c r="D359" i="2"/>
  <c r="E359" i="2" l="1"/>
  <c r="B359" i="2"/>
  <c r="F359" i="2"/>
  <c r="C359" i="2"/>
  <c r="D360" i="2"/>
  <c r="E360" i="2" l="1"/>
  <c r="B360" i="2"/>
  <c r="F360" i="2"/>
  <c r="C360" i="2"/>
  <c r="D361" i="2"/>
  <c r="E361" i="2" l="1"/>
  <c r="F361" i="2"/>
  <c r="C361" i="2"/>
  <c r="B361" i="2"/>
  <c r="D362" i="2"/>
  <c r="E362" i="2" l="1"/>
  <c r="C362" i="2"/>
  <c r="F362" i="2"/>
  <c r="B362" i="2"/>
  <c r="D363" i="2"/>
  <c r="F363" i="2" l="1"/>
  <c r="B363" i="2"/>
  <c r="C363" i="2"/>
  <c r="E363" i="2"/>
  <c r="D364" i="2"/>
  <c r="B364" i="2" l="1"/>
  <c r="F364" i="2"/>
  <c r="E364" i="2"/>
  <c r="C364" i="2"/>
  <c r="D365" i="2"/>
  <c r="E365" i="2" l="1"/>
  <c r="B365" i="2"/>
  <c r="F365" i="2"/>
  <c r="C365" i="2"/>
  <c r="D366" i="2"/>
  <c r="B366" i="2" l="1"/>
  <c r="E366" i="2"/>
  <c r="F366" i="2"/>
  <c r="C366" i="2"/>
  <c r="D367" i="2"/>
  <c r="D368" i="2" l="1"/>
  <c r="B367" i="2"/>
  <c r="E367" i="2"/>
  <c r="F367" i="2"/>
  <c r="C367" i="2"/>
  <c r="B368" i="2" l="1"/>
  <c r="E368" i="2"/>
  <c r="F368" i="2"/>
  <c r="C368" i="2"/>
  <c r="K346" i="2"/>
  <c r="L346" i="2" l="1"/>
  <c r="M346" i="2"/>
  <c r="I346" i="2"/>
  <c r="J346" i="2"/>
  <c r="K347" i="2"/>
  <c r="L347" i="2" l="1"/>
  <c r="M347" i="2"/>
  <c r="J347" i="2"/>
  <c r="I347" i="2"/>
  <c r="K348" i="2"/>
  <c r="L348" i="2" l="1"/>
  <c r="M348" i="2"/>
  <c r="J348" i="2"/>
  <c r="I348" i="2"/>
  <c r="K349" i="2"/>
  <c r="L349" i="2" l="1"/>
  <c r="M349" i="2"/>
  <c r="J349" i="2"/>
  <c r="I349" i="2"/>
  <c r="K350" i="2"/>
  <c r="L350" i="2" l="1"/>
  <c r="I350" i="2"/>
  <c r="M350" i="2"/>
  <c r="J350" i="2"/>
  <c r="K351" i="2"/>
  <c r="L351" i="2" l="1"/>
  <c r="I351" i="2"/>
  <c r="M351" i="2"/>
  <c r="J351" i="2"/>
  <c r="K352" i="2"/>
  <c r="L352" i="2" l="1"/>
  <c r="I352" i="2"/>
  <c r="M352" i="2"/>
  <c r="J352" i="2"/>
  <c r="K353" i="2"/>
  <c r="L353" i="2" l="1"/>
  <c r="I353" i="2"/>
  <c r="M353" i="2"/>
  <c r="J353" i="2"/>
  <c r="K354" i="2"/>
  <c r="L354" i="2" l="1"/>
  <c r="M354" i="2"/>
  <c r="I354" i="2"/>
  <c r="J354" i="2"/>
  <c r="K355" i="2"/>
  <c r="L355" i="2" l="1"/>
  <c r="I355" i="2"/>
  <c r="M355" i="2"/>
  <c r="J355" i="2"/>
  <c r="K356" i="2"/>
  <c r="M356" i="2" l="1"/>
  <c r="L356" i="2"/>
  <c r="I356" i="2"/>
  <c r="J356" i="2"/>
  <c r="K357" i="2"/>
  <c r="L357" i="2" l="1"/>
  <c r="M357" i="2"/>
  <c r="I357" i="2"/>
  <c r="J357" i="2"/>
  <c r="K358" i="2"/>
  <c r="I358" i="2" l="1"/>
  <c r="L358" i="2"/>
  <c r="M358" i="2"/>
  <c r="J358" i="2"/>
  <c r="K359" i="2"/>
  <c r="I359" i="2" l="1"/>
  <c r="L359" i="2"/>
  <c r="M359" i="2"/>
  <c r="J359" i="2"/>
  <c r="K360" i="2"/>
  <c r="I360" i="2" l="1"/>
  <c r="L360" i="2"/>
  <c r="J360" i="2"/>
  <c r="M360" i="2"/>
  <c r="K361" i="2"/>
  <c r="L361" i="2" l="1"/>
  <c r="I361" i="2"/>
  <c r="J361" i="2"/>
  <c r="M361" i="2"/>
  <c r="K362" i="2"/>
  <c r="L362" i="2" l="1"/>
  <c r="I362" i="2"/>
  <c r="J362" i="2"/>
  <c r="M362" i="2"/>
  <c r="K363" i="2"/>
  <c r="L363" i="2" l="1"/>
  <c r="I363" i="2"/>
  <c r="M363" i="2"/>
  <c r="J363" i="2"/>
  <c r="K364" i="2"/>
  <c r="L364" i="2" l="1"/>
  <c r="I364" i="2"/>
  <c r="J364" i="2"/>
  <c r="M364" i="2"/>
  <c r="K365" i="2"/>
  <c r="I365" i="2" l="1"/>
  <c r="M365" i="2"/>
  <c r="J365" i="2"/>
  <c r="L365" i="2"/>
  <c r="K366" i="2"/>
  <c r="M366" i="2" l="1"/>
  <c r="L366" i="2"/>
  <c r="I366" i="2"/>
  <c r="J366" i="2"/>
  <c r="K367" i="2"/>
  <c r="K368" i="2" l="1"/>
  <c r="L367" i="2"/>
  <c r="I367" i="2"/>
  <c r="M367" i="2"/>
  <c r="J367" i="2"/>
  <c r="L368" i="2" l="1"/>
  <c r="I368" i="2"/>
  <c r="J368" i="2"/>
  <c r="M368" i="2"/>
  <c r="R346" i="2"/>
  <c r="S346" i="2" l="1"/>
  <c r="P346" i="2"/>
  <c r="T346" i="2"/>
  <c r="Q346" i="2"/>
  <c r="R347" i="2"/>
  <c r="S347" i="2" l="1"/>
  <c r="T347" i="2"/>
  <c r="P347" i="2"/>
  <c r="Q347" i="2"/>
  <c r="R348" i="2"/>
  <c r="S348" i="2" l="1"/>
  <c r="P348" i="2"/>
  <c r="T348" i="2"/>
  <c r="Q348" i="2"/>
  <c r="R349" i="2"/>
  <c r="P349" i="2" l="1"/>
  <c r="T349" i="2"/>
  <c r="S349" i="2"/>
  <c r="Q349" i="2"/>
  <c r="R350" i="2"/>
  <c r="P350" i="2" l="1"/>
  <c r="S350" i="2"/>
  <c r="T350" i="2"/>
  <c r="Q350" i="2"/>
  <c r="R351" i="2"/>
  <c r="S351" i="2" l="1"/>
  <c r="P351" i="2"/>
  <c r="T351" i="2"/>
  <c r="Q351" i="2"/>
  <c r="R352" i="2"/>
  <c r="S352" i="2" l="1"/>
  <c r="P352" i="2"/>
  <c r="T352" i="2"/>
  <c r="Q352" i="2"/>
  <c r="R353" i="2"/>
  <c r="S353" i="2" l="1"/>
  <c r="P353" i="2"/>
  <c r="T353" i="2"/>
  <c r="Q353" i="2"/>
  <c r="R354" i="2"/>
  <c r="S354" i="2" l="1"/>
  <c r="P354" i="2"/>
  <c r="Q354" i="2"/>
  <c r="T354" i="2"/>
  <c r="R355" i="2"/>
  <c r="P355" i="2" l="1"/>
  <c r="S355" i="2"/>
  <c r="Q355" i="2"/>
  <c r="T355" i="2"/>
  <c r="R356" i="2"/>
  <c r="S356" i="2" l="1"/>
  <c r="P356" i="2"/>
  <c r="T356" i="2"/>
  <c r="Q356" i="2"/>
  <c r="R357" i="2"/>
  <c r="S357" i="2" l="1"/>
  <c r="T357" i="2"/>
  <c r="P357" i="2"/>
  <c r="Q357" i="2"/>
  <c r="R358" i="2"/>
  <c r="P358" i="2" l="1"/>
  <c r="T358" i="2"/>
  <c r="S358" i="2"/>
  <c r="Q358" i="2"/>
  <c r="R359" i="2"/>
  <c r="P359" i="2" l="1"/>
  <c r="Q359" i="2"/>
  <c r="S359" i="2"/>
  <c r="T359" i="2"/>
  <c r="R360" i="2"/>
  <c r="S360" i="2" l="1"/>
  <c r="T360" i="2"/>
  <c r="P360" i="2"/>
  <c r="Q360" i="2"/>
  <c r="R361" i="2"/>
  <c r="S361" i="2" l="1"/>
  <c r="T361" i="2"/>
  <c r="P361" i="2"/>
  <c r="Q361" i="2"/>
  <c r="R362" i="2"/>
  <c r="S362" i="2" l="1"/>
  <c r="T362" i="2"/>
  <c r="P362" i="2"/>
  <c r="Q362" i="2"/>
  <c r="R363" i="2"/>
  <c r="S363" i="2" l="1"/>
  <c r="P363" i="2"/>
  <c r="Q363" i="2"/>
  <c r="T363" i="2"/>
  <c r="R364" i="2"/>
  <c r="S364" i="2" l="1"/>
  <c r="P364" i="2"/>
  <c r="T364" i="2"/>
  <c r="Q364" i="2"/>
  <c r="R365" i="2"/>
  <c r="P365" i="2" l="1"/>
  <c r="T365" i="2"/>
  <c r="S365" i="2"/>
  <c r="Q365" i="2"/>
  <c r="R366" i="2"/>
  <c r="S366" i="2" l="1"/>
  <c r="P366" i="2"/>
  <c r="T366" i="2"/>
  <c r="Q366" i="2"/>
  <c r="R367" i="2"/>
  <c r="R368" i="2" l="1"/>
  <c r="P367" i="2"/>
  <c r="S367" i="2"/>
  <c r="T367" i="2"/>
  <c r="Q367" i="2"/>
  <c r="S368" i="2" l="1"/>
  <c r="P368" i="2"/>
  <c r="Q368" i="2"/>
  <c r="T368" i="2"/>
  <c r="D377" i="2"/>
  <c r="B377" i="2" l="1"/>
  <c r="E377" i="2"/>
  <c r="F377" i="2"/>
  <c r="C377" i="2"/>
  <c r="D378" i="2"/>
  <c r="B378" i="2" l="1"/>
  <c r="C378" i="2"/>
  <c r="E378" i="2"/>
  <c r="F378" i="2"/>
  <c r="D379" i="2"/>
  <c r="B379" i="2" l="1"/>
  <c r="E379" i="2"/>
  <c r="F379" i="2"/>
  <c r="C379" i="2"/>
  <c r="D380" i="2"/>
  <c r="B380" i="2" l="1"/>
  <c r="E380" i="2"/>
  <c r="F380" i="2"/>
  <c r="C380" i="2"/>
  <c r="D381" i="2"/>
  <c r="E381" i="2" l="1"/>
  <c r="B381" i="2"/>
  <c r="F381" i="2"/>
  <c r="C381" i="2"/>
  <c r="D382" i="2"/>
  <c r="E382" i="2" l="1"/>
  <c r="F382" i="2"/>
  <c r="B382" i="2"/>
  <c r="C382" i="2"/>
  <c r="D383" i="2"/>
  <c r="E383" i="2" l="1"/>
  <c r="C383" i="2"/>
  <c r="F383" i="2"/>
  <c r="B383" i="2"/>
  <c r="D384" i="2"/>
  <c r="E384" i="2" l="1"/>
  <c r="B384" i="2"/>
  <c r="F384" i="2"/>
  <c r="C384" i="2"/>
  <c r="D385" i="2"/>
  <c r="E385" i="2" l="1"/>
  <c r="B385" i="2"/>
  <c r="F385" i="2"/>
  <c r="C385" i="2"/>
  <c r="D386" i="2"/>
  <c r="E386" i="2" l="1"/>
  <c r="F386" i="2"/>
  <c r="B386" i="2"/>
  <c r="C386" i="2"/>
  <c r="D387" i="2"/>
  <c r="E387" i="2" l="1"/>
  <c r="B387" i="2"/>
  <c r="F387" i="2"/>
  <c r="C387" i="2"/>
  <c r="D388" i="2"/>
  <c r="E388" i="2" l="1"/>
  <c r="B388" i="2"/>
  <c r="F388" i="2"/>
  <c r="C388" i="2"/>
  <c r="D389" i="2"/>
  <c r="E389" i="2" l="1"/>
  <c r="F389" i="2"/>
  <c r="B389" i="2"/>
  <c r="C389" i="2"/>
  <c r="D390" i="2"/>
  <c r="E390" i="2" l="1"/>
  <c r="B390" i="2"/>
  <c r="F390" i="2"/>
  <c r="C390" i="2"/>
  <c r="D391" i="2"/>
  <c r="B391" i="2" l="1"/>
  <c r="F391" i="2"/>
  <c r="E391" i="2"/>
  <c r="C391" i="2"/>
  <c r="D392" i="2"/>
  <c r="B392" i="2" l="1"/>
  <c r="E392" i="2"/>
  <c r="F392" i="2"/>
  <c r="C392" i="2"/>
  <c r="D393" i="2"/>
  <c r="E393" i="2" l="1"/>
  <c r="B393" i="2"/>
  <c r="F393" i="2"/>
  <c r="C393" i="2"/>
  <c r="D394" i="2"/>
  <c r="E394" i="2" l="1"/>
  <c r="B394" i="2"/>
  <c r="C394" i="2"/>
  <c r="F394" i="2"/>
  <c r="D395" i="2"/>
  <c r="E395" i="2" l="1"/>
  <c r="B395" i="2"/>
  <c r="F395" i="2"/>
  <c r="C395" i="2"/>
  <c r="D396" i="2"/>
  <c r="E396" i="2" l="1"/>
  <c r="F396" i="2"/>
  <c r="C396" i="2"/>
  <c r="B396" i="2"/>
  <c r="D397" i="2"/>
  <c r="E397" i="2" l="1"/>
  <c r="B397" i="2"/>
  <c r="C397" i="2"/>
  <c r="F397" i="2"/>
  <c r="D398" i="2"/>
  <c r="D399" i="2" l="1"/>
  <c r="E398" i="2"/>
  <c r="B398" i="2"/>
  <c r="F398" i="2"/>
  <c r="C398" i="2"/>
  <c r="B399" i="2" l="1"/>
  <c r="F399" i="2"/>
  <c r="E399" i="2"/>
  <c r="C399" i="2"/>
  <c r="K377" i="2"/>
  <c r="L377" i="2" l="1"/>
  <c r="I377" i="2"/>
  <c r="J377" i="2"/>
  <c r="M377" i="2"/>
  <c r="K378" i="2"/>
  <c r="L378" i="2" l="1"/>
  <c r="M378" i="2"/>
  <c r="I378" i="2"/>
  <c r="J378" i="2"/>
  <c r="K379" i="2"/>
  <c r="L379" i="2" l="1"/>
  <c r="I379" i="2"/>
  <c r="M379" i="2"/>
  <c r="J379" i="2"/>
  <c r="K380" i="2"/>
  <c r="L380" i="2" l="1"/>
  <c r="I380" i="2"/>
  <c r="M380" i="2"/>
  <c r="J380" i="2"/>
  <c r="K381" i="2"/>
  <c r="L381" i="2" l="1"/>
  <c r="I381" i="2"/>
  <c r="M381" i="2"/>
  <c r="J381" i="2"/>
  <c r="K382" i="2"/>
  <c r="L382" i="2" l="1"/>
  <c r="I382" i="2"/>
  <c r="M382" i="2"/>
  <c r="J382" i="2"/>
  <c r="K383" i="2"/>
  <c r="L383" i="2" l="1"/>
  <c r="I383" i="2"/>
  <c r="M383" i="2"/>
  <c r="J383" i="2"/>
  <c r="K384" i="2"/>
  <c r="L384" i="2" l="1"/>
  <c r="I384" i="2"/>
  <c r="M384" i="2"/>
  <c r="J384" i="2"/>
  <c r="K385" i="2"/>
  <c r="L385" i="2" l="1"/>
  <c r="I385" i="2"/>
  <c r="J385" i="2"/>
  <c r="M385" i="2"/>
  <c r="K386" i="2"/>
  <c r="I386" i="2" l="1"/>
  <c r="L386" i="2"/>
  <c r="J386" i="2"/>
  <c r="M386" i="2"/>
  <c r="K387" i="2"/>
  <c r="L387" i="2" l="1"/>
  <c r="I387" i="2"/>
  <c r="J387" i="2"/>
  <c r="M387" i="2"/>
  <c r="K388" i="2"/>
  <c r="L388" i="2" l="1"/>
  <c r="I388" i="2"/>
  <c r="M388" i="2"/>
  <c r="J388" i="2"/>
  <c r="K389" i="2"/>
  <c r="L389" i="2" l="1"/>
  <c r="I389" i="2"/>
  <c r="M389" i="2"/>
  <c r="J389" i="2"/>
  <c r="K390" i="2"/>
  <c r="L390" i="2" l="1"/>
  <c r="I390" i="2"/>
  <c r="M390" i="2"/>
  <c r="J390" i="2"/>
  <c r="K391" i="2"/>
  <c r="L391" i="2" l="1"/>
  <c r="I391" i="2"/>
  <c r="M391" i="2"/>
  <c r="J391" i="2"/>
  <c r="K392" i="2"/>
  <c r="L392" i="2" l="1"/>
  <c r="M392" i="2"/>
  <c r="I392" i="2"/>
  <c r="J392" i="2"/>
  <c r="K393" i="2"/>
  <c r="L393" i="2" l="1"/>
  <c r="I393" i="2"/>
  <c r="M393" i="2"/>
  <c r="J393" i="2"/>
  <c r="K394" i="2"/>
  <c r="L394" i="2" l="1"/>
  <c r="J394" i="2"/>
  <c r="M394" i="2"/>
  <c r="I394" i="2"/>
  <c r="K395" i="2"/>
  <c r="L395" i="2" l="1"/>
  <c r="M395" i="2"/>
  <c r="I395" i="2"/>
  <c r="J395" i="2"/>
  <c r="K396" i="2"/>
  <c r="L396" i="2" l="1"/>
  <c r="I396" i="2"/>
  <c r="M396" i="2"/>
  <c r="J396" i="2"/>
  <c r="K397" i="2"/>
  <c r="L397" i="2" l="1"/>
  <c r="I397" i="2"/>
  <c r="M397" i="2"/>
  <c r="J397" i="2"/>
  <c r="K398" i="2"/>
  <c r="K399" i="2" l="1"/>
  <c r="L398" i="2"/>
  <c r="M398" i="2"/>
  <c r="I398" i="2"/>
  <c r="J398" i="2"/>
  <c r="I399" i="2" l="1"/>
  <c r="L399" i="2"/>
  <c r="J399" i="2"/>
  <c r="M399" i="2"/>
  <c r="R377" i="2"/>
  <c r="P377" i="2" l="1"/>
  <c r="S377" i="2"/>
  <c r="T377" i="2"/>
  <c r="Q377" i="2"/>
  <c r="R378" i="2"/>
  <c r="S378" i="2" l="1"/>
  <c r="P378" i="2"/>
  <c r="T378" i="2"/>
  <c r="Q378" i="2"/>
  <c r="R379" i="2"/>
  <c r="S379" i="2" l="1"/>
  <c r="T379" i="2"/>
  <c r="P379" i="2"/>
  <c r="Q379" i="2"/>
  <c r="R380" i="2"/>
  <c r="S380" i="2" l="1"/>
  <c r="P380" i="2"/>
  <c r="Q380" i="2"/>
  <c r="T380" i="2"/>
  <c r="R381" i="2"/>
  <c r="S381" i="2" l="1"/>
  <c r="P381" i="2"/>
  <c r="Q381" i="2"/>
  <c r="T381" i="2"/>
  <c r="R382" i="2"/>
  <c r="S382" i="2" l="1"/>
  <c r="P382" i="2"/>
  <c r="Q382" i="2"/>
  <c r="T382" i="2"/>
  <c r="R383" i="2"/>
  <c r="S383" i="2" l="1"/>
  <c r="P383" i="2"/>
  <c r="Q383" i="2"/>
  <c r="T383" i="2"/>
  <c r="R384" i="2"/>
  <c r="S384" i="2" l="1"/>
  <c r="P384" i="2"/>
  <c r="T384" i="2"/>
  <c r="Q384" i="2"/>
  <c r="R385" i="2"/>
  <c r="S385" i="2" l="1"/>
  <c r="P385" i="2"/>
  <c r="T385" i="2"/>
  <c r="Q385" i="2"/>
  <c r="R386" i="2"/>
  <c r="S386" i="2" l="1"/>
  <c r="P386" i="2"/>
  <c r="T386" i="2"/>
  <c r="Q386" i="2"/>
  <c r="R387" i="2"/>
  <c r="S387" i="2" l="1"/>
  <c r="P387" i="2"/>
  <c r="T387" i="2"/>
  <c r="Q387" i="2"/>
  <c r="R388" i="2"/>
  <c r="S388" i="2" l="1"/>
  <c r="T388" i="2"/>
  <c r="Q388" i="2"/>
  <c r="P388" i="2"/>
  <c r="R389" i="2"/>
  <c r="S389" i="2" l="1"/>
  <c r="P389" i="2"/>
  <c r="T389" i="2"/>
  <c r="Q389" i="2"/>
  <c r="R390" i="2"/>
  <c r="S390" i="2" l="1"/>
  <c r="P390" i="2"/>
  <c r="T390" i="2"/>
  <c r="Q390" i="2"/>
  <c r="R391" i="2"/>
  <c r="P391" i="2" l="1"/>
  <c r="T391" i="2"/>
  <c r="S391" i="2"/>
  <c r="Q391" i="2"/>
  <c r="R392" i="2"/>
  <c r="P392" i="2" l="1"/>
  <c r="T392" i="2"/>
  <c r="S392" i="2"/>
  <c r="Q392" i="2"/>
  <c r="R393" i="2"/>
  <c r="P393" i="2" l="1"/>
  <c r="S393" i="2"/>
  <c r="Q393" i="2"/>
  <c r="T393" i="2"/>
  <c r="R394" i="2"/>
  <c r="S394" i="2" l="1"/>
  <c r="T394" i="2"/>
  <c r="P394" i="2"/>
  <c r="Q394" i="2"/>
  <c r="R395" i="2"/>
  <c r="S395" i="2" l="1"/>
  <c r="T395" i="2"/>
  <c r="P395" i="2"/>
  <c r="Q395" i="2"/>
  <c r="R396" i="2"/>
  <c r="S396" i="2" l="1"/>
  <c r="T396" i="2"/>
  <c r="P396" i="2"/>
  <c r="Q396" i="2"/>
  <c r="R397" i="2"/>
  <c r="P397" i="2" l="1"/>
  <c r="T397" i="2"/>
  <c r="S397" i="2"/>
  <c r="Q397" i="2"/>
  <c r="R398" i="2"/>
  <c r="R399" i="2" l="1"/>
  <c r="S398" i="2"/>
  <c r="Q398" i="2"/>
  <c r="T398" i="2"/>
  <c r="P398" i="2"/>
  <c r="S399" i="2" l="1"/>
  <c r="P399" i="2"/>
  <c r="T399" i="2"/>
  <c r="Q399" i="2"/>
  <c r="D408" i="2"/>
  <c r="B408" i="2" l="1"/>
  <c r="E408" i="2"/>
  <c r="C408" i="2"/>
  <c r="D409" i="2"/>
  <c r="E409" i="2" l="1"/>
  <c r="B409" i="2"/>
  <c r="C409" i="2"/>
  <c r="D410" i="2"/>
  <c r="E410" i="2" l="1"/>
  <c r="C410" i="2"/>
  <c r="B410" i="2"/>
  <c r="D411" i="2"/>
  <c r="E411" i="2" l="1"/>
  <c r="B411" i="2"/>
  <c r="C411" i="2"/>
  <c r="D412" i="2"/>
  <c r="E412" i="2" l="1"/>
  <c r="C412" i="2"/>
  <c r="B412" i="2"/>
  <c r="D413" i="2"/>
  <c r="E413" i="2" l="1"/>
  <c r="B413" i="2"/>
  <c r="C413" i="2"/>
  <c r="D414" i="2"/>
  <c r="E414" i="2" l="1"/>
  <c r="B414" i="2"/>
  <c r="C414" i="2"/>
  <c r="D415" i="2"/>
  <c r="E415" i="2" l="1"/>
  <c r="B415" i="2"/>
  <c r="C415" i="2"/>
  <c r="D416" i="2"/>
  <c r="E416" i="2" l="1"/>
  <c r="B416" i="2"/>
  <c r="C416" i="2"/>
  <c r="D417" i="2"/>
  <c r="E417" i="2" l="1"/>
  <c r="B417" i="2"/>
  <c r="C417" i="2"/>
  <c r="D418" i="2"/>
  <c r="B418" i="2" l="1"/>
  <c r="E418" i="2"/>
  <c r="C418" i="2"/>
  <c r="D419" i="2"/>
  <c r="B419" i="2" l="1"/>
  <c r="E419" i="2"/>
  <c r="C419" i="2"/>
  <c r="D420" i="2"/>
  <c r="E420" i="2" l="1"/>
  <c r="B420" i="2"/>
  <c r="C420" i="2"/>
  <c r="D421" i="2"/>
  <c r="B421" i="2" l="1"/>
  <c r="E421" i="2"/>
  <c r="C421" i="2"/>
  <c r="D422" i="2"/>
  <c r="E422" i="2" l="1"/>
  <c r="B422" i="2"/>
  <c r="C422" i="2"/>
  <c r="D423" i="2"/>
  <c r="B423" i="2" l="1"/>
  <c r="E423" i="2"/>
  <c r="C423" i="2"/>
  <c r="D424" i="2"/>
  <c r="E424" i="2" l="1"/>
  <c r="B424" i="2"/>
  <c r="C424" i="2"/>
  <c r="D425" i="2"/>
  <c r="E425" i="2" l="1"/>
  <c r="B425" i="2"/>
  <c r="C425" i="2"/>
  <c r="D426" i="2"/>
  <c r="E426" i="2" l="1"/>
  <c r="B426" i="2"/>
  <c r="C426" i="2"/>
  <c r="D427" i="2"/>
  <c r="E427" i="2" l="1"/>
  <c r="B427" i="2"/>
  <c r="C427" i="2"/>
  <c r="D428" i="2"/>
  <c r="E428" i="2" l="1"/>
  <c r="B428" i="2"/>
  <c r="C428" i="2"/>
  <c r="D429" i="2"/>
  <c r="E429" i="2" l="1"/>
  <c r="B429" i="2"/>
  <c r="D430" i="2"/>
  <c r="C429" i="2"/>
  <c r="E430" i="2" l="1"/>
  <c r="B430" i="2"/>
  <c r="C430" i="2"/>
  <c r="K408" i="2"/>
  <c r="L408" i="2" l="1"/>
  <c r="I408" i="2"/>
  <c r="J408" i="2"/>
  <c r="K409" i="2"/>
  <c r="L409" i="2" l="1"/>
  <c r="I409" i="2"/>
  <c r="J409" i="2"/>
  <c r="K410" i="2"/>
  <c r="L410" i="2" l="1"/>
  <c r="I410" i="2"/>
  <c r="J410" i="2"/>
  <c r="K411" i="2"/>
  <c r="L411" i="2" l="1"/>
  <c r="I411" i="2"/>
  <c r="J411" i="2"/>
  <c r="K412" i="2"/>
  <c r="I412" i="2" l="1"/>
  <c r="L412" i="2"/>
  <c r="J412" i="2"/>
  <c r="K413" i="2"/>
  <c r="L413" i="2" l="1"/>
  <c r="I413" i="2"/>
  <c r="J413" i="2"/>
  <c r="K414" i="2"/>
  <c r="L414" i="2" l="1"/>
  <c r="J414" i="2"/>
  <c r="I414" i="2"/>
  <c r="K415" i="2"/>
  <c r="L415" i="2" l="1"/>
  <c r="I415" i="2"/>
  <c r="J415" i="2"/>
  <c r="K416" i="2"/>
  <c r="L416" i="2" l="1"/>
  <c r="J416" i="2"/>
  <c r="I416" i="2"/>
  <c r="K417" i="2"/>
  <c r="L417" i="2" l="1"/>
  <c r="I417" i="2"/>
  <c r="J417" i="2"/>
  <c r="K418" i="2"/>
  <c r="L418" i="2" l="1"/>
  <c r="I418" i="2"/>
  <c r="J418" i="2"/>
  <c r="K419" i="2"/>
  <c r="L419" i="2" l="1"/>
  <c r="I419" i="2"/>
  <c r="J419" i="2"/>
  <c r="K420" i="2"/>
  <c r="L420" i="2" l="1"/>
  <c r="I420" i="2"/>
  <c r="J420" i="2"/>
  <c r="K421" i="2"/>
  <c r="L421" i="2" l="1"/>
  <c r="I421" i="2"/>
  <c r="J421" i="2"/>
  <c r="K422" i="2"/>
  <c r="L422" i="2" l="1"/>
  <c r="I422" i="2"/>
  <c r="J422" i="2"/>
  <c r="K423" i="2"/>
  <c r="I423" i="2" l="1"/>
  <c r="L423" i="2"/>
  <c r="J423" i="2"/>
  <c r="K424" i="2"/>
  <c r="I424" i="2" l="1"/>
  <c r="L424" i="2"/>
  <c r="J424" i="2"/>
  <c r="K425" i="2"/>
  <c r="I425" i="2" l="1"/>
  <c r="L425" i="2"/>
  <c r="J425" i="2"/>
  <c r="K426" i="2"/>
  <c r="I426" i="2" l="1"/>
  <c r="L426" i="2"/>
  <c r="J426" i="2"/>
  <c r="K427" i="2"/>
  <c r="I427" i="2" l="1"/>
  <c r="L427" i="2"/>
  <c r="J427" i="2"/>
  <c r="K428" i="2"/>
  <c r="L428" i="2" l="1"/>
  <c r="I428" i="2"/>
  <c r="J428" i="2"/>
  <c r="K429" i="2"/>
  <c r="L429" i="2" l="1"/>
  <c r="J429" i="2"/>
  <c r="I429" i="2"/>
  <c r="K430" i="2"/>
  <c r="L430" i="2" l="1"/>
  <c r="I430" i="2"/>
  <c r="J430" i="2"/>
  <c r="R408" i="2"/>
  <c r="S408" i="2" l="1"/>
  <c r="P408" i="2"/>
  <c r="Q408" i="2"/>
  <c r="R409" i="2"/>
  <c r="S409" i="2" l="1"/>
  <c r="P409" i="2"/>
  <c r="Q409" i="2"/>
  <c r="R410" i="2"/>
  <c r="S410" i="2" l="1"/>
  <c r="P410" i="2"/>
  <c r="Q410" i="2"/>
  <c r="R411" i="2"/>
  <c r="P411" i="2" l="1"/>
  <c r="S411" i="2"/>
  <c r="Q411" i="2"/>
  <c r="R412" i="2"/>
  <c r="S412" i="2" l="1"/>
  <c r="P412" i="2"/>
  <c r="Q412" i="2"/>
  <c r="R413" i="2"/>
  <c r="S413" i="2" l="1"/>
  <c r="P413" i="2"/>
  <c r="Q413" i="2"/>
  <c r="R414" i="2"/>
  <c r="S414" i="2" l="1"/>
  <c r="P414" i="2"/>
  <c r="Q414" i="2"/>
  <c r="R415" i="2"/>
  <c r="S415" i="2" l="1"/>
  <c r="P415" i="2"/>
  <c r="Q415" i="2"/>
  <c r="R416" i="2"/>
  <c r="S416" i="2" l="1"/>
  <c r="Q416" i="2"/>
  <c r="P416" i="2"/>
  <c r="R417" i="2"/>
  <c r="S417" i="2" l="1"/>
  <c r="P417" i="2"/>
  <c r="Q417" i="2"/>
  <c r="R418" i="2"/>
  <c r="S418" i="2" l="1"/>
  <c r="P418" i="2"/>
  <c r="Q418" i="2"/>
  <c r="R419" i="2"/>
  <c r="S419" i="2" l="1"/>
  <c r="P419" i="2"/>
  <c r="Q419" i="2"/>
  <c r="R420" i="2"/>
  <c r="S420" i="2" l="1"/>
  <c r="P420" i="2"/>
  <c r="Q420" i="2"/>
  <c r="R421" i="2"/>
  <c r="S421" i="2" l="1"/>
  <c r="P421" i="2"/>
  <c r="Q421" i="2"/>
  <c r="R422" i="2"/>
  <c r="P422" i="2" l="1"/>
  <c r="S422" i="2"/>
  <c r="Q422" i="2"/>
  <c r="R423" i="2"/>
  <c r="S423" i="2" l="1"/>
  <c r="P423" i="2"/>
  <c r="Q423" i="2"/>
  <c r="R424" i="2"/>
  <c r="S424" i="2" l="1"/>
  <c r="P424" i="2"/>
  <c r="Q424" i="2"/>
  <c r="R425" i="2"/>
  <c r="P425" i="2" l="1"/>
  <c r="S425" i="2"/>
  <c r="Q425" i="2"/>
  <c r="R426" i="2"/>
  <c r="S426" i="2" l="1"/>
  <c r="Q426" i="2"/>
  <c r="P426" i="2"/>
  <c r="R427" i="2"/>
  <c r="S427" i="2" l="1"/>
  <c r="Q427" i="2"/>
  <c r="P427" i="2"/>
  <c r="R428" i="2"/>
  <c r="S428" i="2" l="1"/>
  <c r="P428" i="2"/>
  <c r="Q428" i="2"/>
  <c r="R429" i="2"/>
  <c r="S429" i="2" l="1"/>
  <c r="P429" i="2"/>
  <c r="Q429" i="2"/>
  <c r="R430" i="2"/>
  <c r="S430" i="2" l="1"/>
  <c r="P430" i="2"/>
  <c r="Q430" i="2"/>
  <c r="D439" i="2"/>
  <c r="E439" i="2" l="1"/>
  <c r="B439" i="2"/>
  <c r="C439" i="2"/>
  <c r="D440" i="2"/>
  <c r="E440" i="2" l="1"/>
  <c r="B440" i="2"/>
  <c r="C440" i="2"/>
  <c r="D441" i="2"/>
  <c r="E441" i="2" l="1"/>
  <c r="B441" i="2"/>
  <c r="C441" i="2"/>
  <c r="D442" i="2"/>
  <c r="E442" i="2" l="1"/>
  <c r="C442" i="2"/>
  <c r="B442" i="2"/>
  <c r="D443" i="2"/>
  <c r="E443" i="2" l="1"/>
  <c r="C443" i="2"/>
  <c r="B443" i="2"/>
  <c r="D444" i="2"/>
  <c r="E444" i="2" l="1"/>
  <c r="B444" i="2"/>
  <c r="C444" i="2"/>
  <c r="D445" i="2"/>
  <c r="B445" i="2" l="1"/>
  <c r="E445" i="2"/>
  <c r="C445" i="2"/>
  <c r="D446" i="2"/>
  <c r="E446" i="2" l="1"/>
  <c r="B446" i="2"/>
  <c r="C446" i="2"/>
  <c r="D447" i="2"/>
  <c r="E447" i="2" l="1"/>
  <c r="B447" i="2"/>
  <c r="C447" i="2"/>
  <c r="D448" i="2"/>
  <c r="E448" i="2" l="1"/>
  <c r="B448" i="2"/>
  <c r="C448" i="2"/>
  <c r="D449" i="2"/>
  <c r="E449" i="2" l="1"/>
  <c r="B449" i="2"/>
  <c r="C449" i="2"/>
  <c r="D450" i="2"/>
  <c r="E450" i="2" l="1"/>
  <c r="B450" i="2"/>
  <c r="C450" i="2"/>
  <c r="D451" i="2"/>
  <c r="B451" i="2" l="1"/>
  <c r="C451" i="2"/>
  <c r="E451" i="2"/>
  <c r="D452" i="2"/>
  <c r="B452" i="2" l="1"/>
  <c r="E452" i="2"/>
  <c r="C452" i="2"/>
  <c r="D453" i="2"/>
  <c r="E453" i="2" l="1"/>
  <c r="B453" i="2"/>
  <c r="C453" i="2"/>
  <c r="D454" i="2"/>
  <c r="E454" i="2" l="1"/>
  <c r="C454" i="2"/>
  <c r="B454" i="2"/>
  <c r="D455" i="2"/>
  <c r="E455" i="2" l="1"/>
  <c r="C455" i="2"/>
  <c r="B455" i="2"/>
  <c r="D456" i="2"/>
  <c r="E456" i="2" l="1"/>
  <c r="B456" i="2"/>
  <c r="C456" i="2"/>
  <c r="D457" i="2"/>
  <c r="E457" i="2" l="1"/>
  <c r="B457" i="2"/>
  <c r="C457" i="2"/>
  <c r="D458" i="2"/>
  <c r="E458" i="2" l="1"/>
  <c r="B458" i="2"/>
  <c r="C458" i="2"/>
  <c r="D459" i="2"/>
  <c r="B459" i="2" l="1"/>
  <c r="E459" i="2"/>
  <c r="C459" i="2"/>
  <c r="D460" i="2"/>
  <c r="D461" i="2" l="1"/>
  <c r="E460" i="2"/>
  <c r="B460" i="2"/>
  <c r="C460" i="2"/>
  <c r="E461" i="2" l="1"/>
  <c r="B461" i="2"/>
  <c r="C461" i="2"/>
  <c r="K439" i="2"/>
  <c r="L439" i="2" l="1"/>
  <c r="J439" i="2"/>
  <c r="I439" i="2"/>
  <c r="K440" i="2"/>
  <c r="L440" i="2" l="1"/>
  <c r="I440" i="2"/>
  <c r="J440" i="2"/>
  <c r="K441" i="2"/>
  <c r="L441" i="2" l="1"/>
  <c r="I441" i="2"/>
  <c r="J441" i="2"/>
  <c r="K442" i="2"/>
  <c r="L442" i="2" l="1"/>
  <c r="I442" i="2"/>
  <c r="J442" i="2"/>
  <c r="K443" i="2"/>
  <c r="L443" i="2" l="1"/>
  <c r="I443" i="2"/>
  <c r="J443" i="2"/>
  <c r="K444" i="2"/>
  <c r="L444" i="2" l="1"/>
  <c r="I444" i="2"/>
  <c r="J444" i="2"/>
  <c r="K445" i="2"/>
  <c r="L445" i="2" l="1"/>
  <c r="I445" i="2"/>
  <c r="J445" i="2"/>
  <c r="K446" i="2"/>
  <c r="L446" i="2" l="1"/>
  <c r="I446" i="2"/>
  <c r="J446" i="2"/>
  <c r="K447" i="2"/>
  <c r="L447" i="2" l="1"/>
  <c r="I447" i="2"/>
  <c r="J447" i="2"/>
  <c r="K448" i="2"/>
  <c r="L448" i="2" l="1"/>
  <c r="I448" i="2"/>
  <c r="J448" i="2"/>
  <c r="K449" i="2"/>
  <c r="L449" i="2" l="1"/>
  <c r="I449" i="2"/>
  <c r="J449" i="2"/>
  <c r="K450" i="2"/>
  <c r="L450" i="2" l="1"/>
  <c r="I450" i="2"/>
  <c r="J450" i="2"/>
  <c r="K451" i="2"/>
  <c r="L451" i="2" l="1"/>
  <c r="I451" i="2"/>
  <c r="J451" i="2"/>
  <c r="K452" i="2"/>
  <c r="I452" i="2" l="1"/>
  <c r="L452" i="2"/>
  <c r="J452" i="2"/>
  <c r="K453" i="2"/>
  <c r="I453" i="2" l="1"/>
  <c r="L453" i="2"/>
  <c r="J453" i="2"/>
  <c r="K454" i="2"/>
  <c r="I454" i="2" l="1"/>
  <c r="L454" i="2"/>
  <c r="J454" i="2"/>
  <c r="K455" i="2"/>
  <c r="I455" i="2" l="1"/>
  <c r="L455" i="2"/>
  <c r="J455" i="2"/>
  <c r="K456" i="2"/>
  <c r="L456" i="2" l="1"/>
  <c r="I456" i="2"/>
  <c r="J456" i="2"/>
  <c r="K457" i="2"/>
  <c r="L457" i="2" l="1"/>
  <c r="I457" i="2"/>
  <c r="J457" i="2"/>
  <c r="K458" i="2"/>
  <c r="I458" i="2" l="1"/>
  <c r="L458" i="2"/>
  <c r="J458" i="2"/>
  <c r="K459" i="2"/>
  <c r="L459" i="2" l="1"/>
  <c r="I459" i="2"/>
  <c r="J459" i="2"/>
  <c r="K460" i="2"/>
  <c r="K461" i="2" l="1"/>
  <c r="I460" i="2"/>
  <c r="L460" i="2"/>
  <c r="J460" i="2"/>
  <c r="L461" i="2" l="1"/>
  <c r="I461" i="2"/>
  <c r="J461" i="2"/>
  <c r="R439" i="2"/>
  <c r="S439" i="2" l="1"/>
  <c r="P439" i="2"/>
  <c r="Q439" i="2"/>
  <c r="R440" i="2"/>
  <c r="S440" i="2" l="1"/>
  <c r="P440" i="2"/>
  <c r="Q440" i="2"/>
  <c r="R441" i="2"/>
  <c r="S441" i="2" l="1"/>
  <c r="P441" i="2"/>
  <c r="Q441" i="2"/>
  <c r="R442" i="2"/>
  <c r="S442" i="2" l="1"/>
  <c r="P442" i="2"/>
  <c r="Q442" i="2"/>
  <c r="R443" i="2"/>
  <c r="P443" i="2" l="1"/>
  <c r="S443" i="2"/>
  <c r="Q443" i="2"/>
  <c r="R444" i="2"/>
  <c r="P444" i="2" l="1"/>
  <c r="S444" i="2"/>
  <c r="Q444" i="2"/>
  <c r="R445" i="2"/>
  <c r="S445" i="2" l="1"/>
  <c r="P445" i="2"/>
  <c r="Q445" i="2"/>
  <c r="R446" i="2"/>
  <c r="S446" i="2" l="1"/>
  <c r="P446" i="2"/>
  <c r="Q446" i="2"/>
  <c r="R447" i="2"/>
  <c r="S447" i="2" l="1"/>
  <c r="P447" i="2"/>
  <c r="Q447" i="2"/>
  <c r="R448" i="2"/>
  <c r="S448" i="2" l="1"/>
  <c r="P448" i="2"/>
  <c r="Q448" i="2"/>
  <c r="R449" i="2"/>
  <c r="P449" i="2" l="1"/>
  <c r="Q449" i="2"/>
  <c r="S449" i="2"/>
  <c r="R450" i="2"/>
  <c r="S450" i="2" l="1"/>
  <c r="P450" i="2"/>
  <c r="Q450" i="2"/>
  <c r="R451" i="2"/>
  <c r="P451" i="2" l="1"/>
  <c r="S451" i="2"/>
  <c r="Q451" i="2"/>
  <c r="R452" i="2"/>
  <c r="S452" i="2" l="1"/>
  <c r="P452" i="2"/>
  <c r="Q452" i="2"/>
  <c r="R453" i="2"/>
  <c r="S453" i="2" l="1"/>
  <c r="P453" i="2"/>
  <c r="Q453" i="2"/>
  <c r="R454" i="2"/>
  <c r="S454" i="2" l="1"/>
  <c r="P454" i="2"/>
  <c r="Q454" i="2"/>
  <c r="R455" i="2"/>
  <c r="S455" i="2" l="1"/>
  <c r="P455" i="2"/>
  <c r="Q455" i="2"/>
  <c r="R456" i="2"/>
  <c r="P456" i="2" l="1"/>
  <c r="S456" i="2"/>
  <c r="Q456" i="2"/>
  <c r="R457" i="2"/>
  <c r="S457" i="2" l="1"/>
  <c r="P457" i="2"/>
  <c r="Q457" i="2"/>
  <c r="R458" i="2"/>
  <c r="S458" i="2" l="1"/>
  <c r="P458" i="2"/>
  <c r="Q458" i="2"/>
  <c r="R459" i="2"/>
  <c r="S459" i="2" l="1"/>
  <c r="P459" i="2"/>
  <c r="Q459" i="2"/>
  <c r="R460" i="2"/>
  <c r="R461" i="2" l="1"/>
  <c r="S460" i="2"/>
  <c r="P460" i="2"/>
  <c r="Q460" i="2"/>
  <c r="P461" i="2" l="1"/>
  <c r="S461" i="2"/>
  <c r="Q461" i="2"/>
  <c r="D470" i="2"/>
  <c r="B470" i="2" l="1"/>
  <c r="E470" i="2"/>
  <c r="C470" i="2"/>
  <c r="D471" i="2"/>
  <c r="B471" i="2" l="1"/>
  <c r="E471" i="2"/>
  <c r="C471" i="2"/>
  <c r="D472" i="2"/>
  <c r="E472" i="2" l="1"/>
  <c r="B472" i="2"/>
  <c r="C472" i="2"/>
  <c r="D473" i="2"/>
  <c r="B473" i="2" l="1"/>
  <c r="C473" i="2"/>
  <c r="E473" i="2"/>
  <c r="D474" i="2"/>
  <c r="E474" i="2" l="1"/>
  <c r="B474" i="2"/>
  <c r="C474" i="2"/>
  <c r="D475" i="2"/>
  <c r="B475" i="2" l="1"/>
  <c r="E475" i="2"/>
  <c r="C475" i="2"/>
  <c r="D476" i="2"/>
  <c r="E476" i="2" l="1"/>
  <c r="B476" i="2"/>
  <c r="C476" i="2"/>
  <c r="D477" i="2"/>
  <c r="E477" i="2" l="1"/>
  <c r="B477" i="2"/>
  <c r="C477" i="2"/>
  <c r="D478" i="2"/>
  <c r="E478" i="2" l="1"/>
  <c r="B478" i="2"/>
  <c r="C478" i="2"/>
  <c r="D479" i="2"/>
  <c r="E479" i="2" l="1"/>
  <c r="B479" i="2"/>
  <c r="C479" i="2"/>
  <c r="D480" i="2"/>
  <c r="E480" i="2" l="1"/>
  <c r="B480" i="2"/>
  <c r="C480" i="2"/>
  <c r="D481" i="2"/>
  <c r="E481" i="2" l="1"/>
  <c r="B481" i="2"/>
  <c r="C481" i="2"/>
  <c r="D482" i="2"/>
  <c r="E482" i="2" l="1"/>
  <c r="C482" i="2"/>
  <c r="B482" i="2"/>
  <c r="D483" i="2"/>
  <c r="E483" i="2" l="1"/>
  <c r="B483" i="2"/>
  <c r="C483" i="2"/>
  <c r="D484" i="2"/>
  <c r="E484" i="2" l="1"/>
  <c r="C484" i="2"/>
  <c r="B484" i="2"/>
  <c r="D485" i="2"/>
  <c r="E485" i="2" l="1"/>
  <c r="B485" i="2"/>
  <c r="C485" i="2"/>
  <c r="D486" i="2"/>
  <c r="B486" i="2" l="1"/>
  <c r="E486" i="2"/>
  <c r="C486" i="2"/>
  <c r="D487" i="2"/>
  <c r="B487" i="2" l="1"/>
  <c r="E487" i="2"/>
  <c r="C487" i="2"/>
  <c r="D488" i="2"/>
  <c r="E488" i="2" l="1"/>
  <c r="B488" i="2"/>
  <c r="C488" i="2"/>
  <c r="D489" i="2"/>
  <c r="B489" i="2" l="1"/>
  <c r="E489" i="2"/>
  <c r="C489" i="2"/>
  <c r="D490" i="2"/>
  <c r="E490" i="2" l="1"/>
  <c r="B490" i="2"/>
  <c r="C490" i="2"/>
  <c r="D491" i="2"/>
  <c r="D492" i="2" l="1"/>
  <c r="E491" i="2"/>
  <c r="B491" i="2"/>
  <c r="C491" i="2"/>
  <c r="B492" i="2" l="1"/>
  <c r="E492" i="2"/>
  <c r="C492" i="2"/>
  <c r="K470" i="2"/>
  <c r="L470" i="2" l="1"/>
  <c r="I470" i="2"/>
  <c r="J470" i="2"/>
  <c r="K471" i="2"/>
  <c r="L471" i="2" l="1"/>
  <c r="I471" i="2"/>
  <c r="J471" i="2"/>
  <c r="K472" i="2"/>
  <c r="L472" i="2" l="1"/>
  <c r="J472" i="2"/>
  <c r="I472" i="2"/>
  <c r="K473" i="2"/>
  <c r="L473" i="2" l="1"/>
  <c r="I473" i="2"/>
  <c r="J473" i="2"/>
  <c r="K474" i="2"/>
  <c r="L474" i="2" l="1"/>
  <c r="I474" i="2"/>
  <c r="J474" i="2"/>
  <c r="K475" i="2"/>
  <c r="L475" i="2" l="1"/>
  <c r="I475" i="2"/>
  <c r="J475" i="2"/>
  <c r="K476" i="2"/>
  <c r="L476" i="2" l="1"/>
  <c r="I476" i="2"/>
  <c r="J476" i="2"/>
  <c r="K477" i="2"/>
  <c r="I477" i="2" l="1"/>
  <c r="L477" i="2"/>
  <c r="J477" i="2"/>
  <c r="K478" i="2"/>
  <c r="L478" i="2" l="1"/>
  <c r="I478" i="2"/>
  <c r="J478" i="2"/>
  <c r="K479" i="2"/>
  <c r="L479" i="2" l="1"/>
  <c r="I479" i="2"/>
  <c r="J479" i="2"/>
  <c r="K480" i="2"/>
  <c r="L480" i="2" l="1"/>
  <c r="I480" i="2"/>
  <c r="J480" i="2"/>
  <c r="K481" i="2"/>
  <c r="I481" i="2" l="1"/>
  <c r="L481" i="2"/>
  <c r="J481" i="2"/>
  <c r="K482" i="2"/>
  <c r="L482" i="2" l="1"/>
  <c r="I482" i="2"/>
  <c r="J482" i="2"/>
  <c r="K483" i="2"/>
  <c r="L483" i="2" l="1"/>
  <c r="I483" i="2"/>
  <c r="J483" i="2"/>
  <c r="K484" i="2"/>
  <c r="L484" i="2" l="1"/>
  <c r="I484" i="2"/>
  <c r="J484" i="2"/>
  <c r="K485" i="2"/>
  <c r="I485" i="2" l="1"/>
  <c r="L485" i="2"/>
  <c r="J485" i="2"/>
  <c r="K486" i="2"/>
  <c r="L486" i="2" l="1"/>
  <c r="I486" i="2"/>
  <c r="J486" i="2"/>
  <c r="K487" i="2"/>
  <c r="L487" i="2" l="1"/>
  <c r="I487" i="2"/>
  <c r="J487" i="2"/>
  <c r="K488" i="2"/>
  <c r="L488" i="2" l="1"/>
  <c r="I488" i="2"/>
  <c r="J488" i="2"/>
  <c r="K489" i="2"/>
  <c r="L489" i="2" l="1"/>
  <c r="I489" i="2"/>
  <c r="J489" i="2"/>
  <c r="K490" i="2"/>
  <c r="L490" i="2" l="1"/>
  <c r="I490" i="2"/>
  <c r="J490" i="2"/>
  <c r="K491" i="2"/>
  <c r="K492" i="2" l="1"/>
  <c r="L491" i="2"/>
  <c r="I491" i="2"/>
  <c r="J491" i="2"/>
  <c r="L492" i="2" l="1"/>
  <c r="I492" i="2"/>
  <c r="J492" i="2"/>
  <c r="R470" i="2"/>
  <c r="S470" i="2" l="1"/>
  <c r="P470" i="2"/>
  <c r="Q470" i="2"/>
  <c r="R471" i="2"/>
  <c r="P471" i="2" l="1"/>
  <c r="S471" i="2"/>
  <c r="Q471" i="2"/>
  <c r="R472" i="2"/>
  <c r="P472" i="2" l="1"/>
  <c r="S472" i="2"/>
  <c r="Q472" i="2"/>
  <c r="R473" i="2"/>
  <c r="P473" i="2" l="1"/>
  <c r="S473" i="2"/>
  <c r="Q473" i="2"/>
  <c r="R474" i="2"/>
  <c r="P474" i="2" l="1"/>
  <c r="Q474" i="2"/>
  <c r="S474" i="2"/>
  <c r="R475" i="2"/>
  <c r="P475" i="2" l="1"/>
  <c r="Q475" i="2"/>
  <c r="S475" i="2"/>
  <c r="R476" i="2"/>
  <c r="S476" i="2" l="1"/>
  <c r="P476" i="2"/>
  <c r="Q476" i="2"/>
  <c r="R477" i="2"/>
  <c r="S477" i="2" l="1"/>
  <c r="P477" i="2"/>
  <c r="Q477" i="2"/>
  <c r="R478" i="2"/>
  <c r="S478" i="2" l="1"/>
  <c r="P478" i="2"/>
  <c r="Q478" i="2"/>
  <c r="R479" i="2"/>
  <c r="S479" i="2" l="1"/>
  <c r="Q479" i="2"/>
  <c r="P479" i="2"/>
  <c r="R480" i="2"/>
  <c r="S480" i="2" l="1"/>
  <c r="Q480" i="2"/>
  <c r="P480" i="2"/>
  <c r="R481" i="2"/>
  <c r="S481" i="2" l="1"/>
  <c r="P481" i="2"/>
  <c r="Q481" i="2"/>
  <c r="R482" i="2"/>
  <c r="S482" i="2" l="1"/>
  <c r="P482" i="2"/>
  <c r="Q482" i="2"/>
  <c r="R483" i="2"/>
  <c r="S483" i="2" l="1"/>
  <c r="P483" i="2"/>
  <c r="Q483" i="2"/>
  <c r="R484" i="2"/>
  <c r="S484" i="2" l="1"/>
  <c r="P484" i="2"/>
  <c r="Q484" i="2"/>
  <c r="R485" i="2"/>
  <c r="S485" i="2" l="1"/>
  <c r="P485" i="2"/>
  <c r="Q485" i="2"/>
  <c r="R486" i="2"/>
  <c r="S486" i="2" l="1"/>
  <c r="P486" i="2"/>
  <c r="Q486" i="2"/>
  <c r="R487" i="2"/>
  <c r="P487" i="2" l="1"/>
  <c r="S487" i="2"/>
  <c r="Q487" i="2"/>
  <c r="R488" i="2"/>
  <c r="P488" i="2" l="1"/>
  <c r="S488" i="2"/>
  <c r="Q488" i="2"/>
  <c r="R489" i="2"/>
  <c r="P489" i="2" l="1"/>
  <c r="S489" i="2"/>
  <c r="Q489" i="2"/>
  <c r="R490" i="2"/>
  <c r="Q490" i="2" l="1"/>
  <c r="P490" i="2"/>
  <c r="S490" i="2"/>
  <c r="R491" i="2"/>
  <c r="R492" i="2" l="1"/>
  <c r="S491" i="2"/>
  <c r="Q491" i="2"/>
  <c r="P491" i="2"/>
  <c r="S492" i="2" l="1"/>
  <c r="P492" i="2"/>
  <c r="Q492" i="2"/>
  <c r="D501" i="2"/>
  <c r="E501" i="2" l="1"/>
  <c r="B501" i="2"/>
  <c r="C501" i="2"/>
  <c r="D502" i="2"/>
  <c r="E502" i="2" l="1"/>
  <c r="B502" i="2"/>
  <c r="C502" i="2"/>
  <c r="D503" i="2"/>
  <c r="B503" i="2" l="1"/>
  <c r="E503" i="2"/>
  <c r="C503" i="2"/>
  <c r="D504" i="2"/>
  <c r="B504" i="2" l="1"/>
  <c r="E504" i="2"/>
  <c r="C504" i="2"/>
  <c r="D505" i="2"/>
  <c r="E505" i="2" l="1"/>
  <c r="B505" i="2"/>
  <c r="C505" i="2"/>
  <c r="D506" i="2"/>
  <c r="E506" i="2" l="1"/>
  <c r="B506" i="2"/>
  <c r="C506" i="2"/>
  <c r="D507" i="2"/>
  <c r="E507" i="2" l="1"/>
  <c r="B507" i="2"/>
  <c r="C507" i="2"/>
  <c r="D508" i="2"/>
  <c r="E508" i="2" l="1"/>
  <c r="B508" i="2"/>
  <c r="C508" i="2"/>
  <c r="D509" i="2"/>
  <c r="E509" i="2" l="1"/>
  <c r="B509" i="2"/>
  <c r="C509" i="2"/>
  <c r="D510" i="2"/>
  <c r="E510" i="2" l="1"/>
  <c r="B510" i="2"/>
  <c r="C510" i="2"/>
  <c r="D511" i="2"/>
  <c r="E511" i="2" l="1"/>
  <c r="B511" i="2"/>
  <c r="C511" i="2"/>
  <c r="D512" i="2"/>
  <c r="E512" i="2" l="1"/>
  <c r="B512" i="2"/>
  <c r="C512" i="2"/>
  <c r="D513" i="2"/>
  <c r="E513" i="2" l="1"/>
  <c r="B513" i="2"/>
  <c r="C513" i="2"/>
  <c r="D514" i="2"/>
  <c r="B514" i="2" l="1"/>
  <c r="C514" i="2"/>
  <c r="E514" i="2"/>
  <c r="D515" i="2"/>
  <c r="B515" i="2" l="1"/>
  <c r="E515" i="2"/>
  <c r="C515" i="2"/>
  <c r="D516" i="2"/>
  <c r="E516" i="2" l="1"/>
  <c r="B516" i="2"/>
  <c r="C516" i="2"/>
  <c r="D517" i="2"/>
  <c r="E517" i="2" l="1"/>
  <c r="B517" i="2"/>
  <c r="C517" i="2"/>
  <c r="D518" i="2"/>
  <c r="E518" i="2" l="1"/>
  <c r="B518" i="2"/>
  <c r="C518" i="2"/>
  <c r="D519" i="2"/>
  <c r="E519" i="2" l="1"/>
  <c r="B519" i="2"/>
  <c r="C519" i="2"/>
  <c r="D520" i="2"/>
  <c r="E520" i="2" l="1"/>
  <c r="B520" i="2"/>
  <c r="C520" i="2"/>
  <c r="D521" i="2"/>
  <c r="E521" i="2" l="1"/>
  <c r="B521" i="2"/>
  <c r="C521" i="2"/>
  <c r="D522" i="2"/>
  <c r="D523" i="2" l="1"/>
  <c r="E522" i="2"/>
  <c r="B522" i="2"/>
  <c r="C522" i="2"/>
  <c r="E523" i="2" l="1"/>
  <c r="B523" i="2"/>
  <c r="C523" i="2"/>
  <c r="K501" i="2"/>
  <c r="L501" i="2" l="1"/>
  <c r="I501" i="2"/>
  <c r="J501" i="2"/>
  <c r="K502" i="2"/>
  <c r="L502" i="2" l="1"/>
  <c r="I502" i="2"/>
  <c r="J502" i="2"/>
  <c r="K503" i="2"/>
  <c r="L503" i="2" l="1"/>
  <c r="I503" i="2"/>
  <c r="J503" i="2"/>
  <c r="K504" i="2"/>
  <c r="I504" i="2" l="1"/>
  <c r="L504" i="2"/>
  <c r="J504" i="2"/>
  <c r="K505" i="2"/>
  <c r="I505" i="2" l="1"/>
  <c r="L505" i="2"/>
  <c r="J505" i="2"/>
  <c r="K506" i="2"/>
  <c r="I506" i="2" l="1"/>
  <c r="L506" i="2"/>
  <c r="J506" i="2"/>
  <c r="K507" i="2"/>
  <c r="I507" i="2" l="1"/>
  <c r="L507" i="2"/>
  <c r="J507" i="2"/>
  <c r="K508" i="2"/>
  <c r="L508" i="2" l="1"/>
  <c r="I508" i="2"/>
  <c r="J508" i="2"/>
  <c r="K509" i="2"/>
  <c r="L509" i="2" l="1"/>
  <c r="I509" i="2"/>
  <c r="J509" i="2"/>
  <c r="K510" i="2"/>
  <c r="L510" i="2" l="1"/>
  <c r="I510" i="2"/>
  <c r="J510" i="2"/>
  <c r="K511" i="2"/>
  <c r="L511" i="2" l="1"/>
  <c r="I511" i="2"/>
  <c r="J511" i="2"/>
  <c r="K512" i="2"/>
  <c r="L512" i="2" l="1"/>
  <c r="I512" i="2"/>
  <c r="J512" i="2"/>
  <c r="K513" i="2"/>
  <c r="L513" i="2" l="1"/>
  <c r="J513" i="2"/>
  <c r="I513" i="2"/>
  <c r="K514" i="2"/>
  <c r="L514" i="2" l="1"/>
  <c r="J514" i="2"/>
  <c r="I514" i="2"/>
  <c r="K515" i="2"/>
  <c r="L515" i="2" l="1"/>
  <c r="I515" i="2"/>
  <c r="J515" i="2"/>
  <c r="K516" i="2"/>
  <c r="L516" i="2" l="1"/>
  <c r="I516" i="2"/>
  <c r="J516" i="2"/>
  <c r="K517" i="2"/>
  <c r="L517" i="2" l="1"/>
  <c r="I517" i="2"/>
  <c r="J517" i="2"/>
  <c r="K518" i="2"/>
  <c r="L518" i="2" l="1"/>
  <c r="I518" i="2"/>
  <c r="J518" i="2"/>
  <c r="K519" i="2"/>
  <c r="L519" i="2" l="1"/>
  <c r="I519" i="2"/>
  <c r="J519" i="2"/>
  <c r="K520" i="2"/>
  <c r="I520" i="2" l="1"/>
  <c r="L520" i="2"/>
  <c r="J520" i="2"/>
  <c r="K521" i="2"/>
  <c r="I521" i="2" l="1"/>
  <c r="L521" i="2"/>
  <c r="J521" i="2"/>
  <c r="K522" i="2"/>
  <c r="L532" i="2" l="1"/>
  <c r="I532" i="2"/>
  <c r="J532" i="2"/>
  <c r="K523" i="2"/>
  <c r="I522" i="2"/>
  <c r="L522" i="2"/>
  <c r="J522" i="2"/>
  <c r="L533" i="2" l="1"/>
  <c r="J533" i="2"/>
  <c r="I533" i="2"/>
  <c r="L523" i="2"/>
  <c r="J523" i="2"/>
  <c r="I523" i="2"/>
  <c r="R501" i="2"/>
  <c r="L534" i="2" l="1"/>
  <c r="I534" i="2"/>
  <c r="J534" i="2"/>
  <c r="S501" i="2"/>
  <c r="P501" i="2"/>
  <c r="Q501" i="2"/>
  <c r="R502" i="2"/>
  <c r="L535" i="2" l="1"/>
  <c r="I535" i="2"/>
  <c r="J535" i="2"/>
  <c r="S502" i="2"/>
  <c r="P502" i="2"/>
  <c r="Q502" i="2"/>
  <c r="R503" i="2"/>
  <c r="L536" i="2" l="1"/>
  <c r="I536" i="2"/>
  <c r="J536" i="2"/>
  <c r="S503" i="2"/>
  <c r="P503" i="2"/>
  <c r="Q503" i="2"/>
  <c r="R504" i="2"/>
  <c r="L537" i="2" l="1"/>
  <c r="I537" i="2"/>
  <c r="J537" i="2"/>
  <c r="S504" i="2"/>
  <c r="P504" i="2"/>
  <c r="Q504" i="2"/>
  <c r="R505" i="2"/>
  <c r="S505" i="2" l="1"/>
  <c r="P505" i="2"/>
  <c r="Q505" i="2"/>
  <c r="R506" i="2"/>
  <c r="I538" i="2"/>
  <c r="L538" i="2"/>
  <c r="J538" i="2"/>
  <c r="L539" i="2" l="1"/>
  <c r="I539" i="2"/>
  <c r="J539" i="2"/>
  <c r="S506" i="2"/>
  <c r="P506" i="2"/>
  <c r="Q506" i="2"/>
  <c r="R507" i="2"/>
  <c r="L540" i="2" l="1"/>
  <c r="I540" i="2"/>
  <c r="J540" i="2"/>
  <c r="S507" i="2"/>
  <c r="P507" i="2"/>
  <c r="Q507" i="2"/>
  <c r="R508" i="2"/>
  <c r="L541" i="2" l="1"/>
  <c r="I541" i="2"/>
  <c r="J541" i="2"/>
  <c r="S508" i="2"/>
  <c r="P508" i="2"/>
  <c r="Q508" i="2"/>
  <c r="R509" i="2"/>
  <c r="L542" i="2" l="1"/>
  <c r="I542" i="2"/>
  <c r="J542" i="2"/>
  <c r="P509" i="2"/>
  <c r="S509" i="2"/>
  <c r="Q509" i="2"/>
  <c r="R510" i="2"/>
  <c r="L543" i="2" l="1"/>
  <c r="J543" i="2"/>
  <c r="I543" i="2"/>
  <c r="S510" i="2"/>
  <c r="P510" i="2"/>
  <c r="Q510" i="2"/>
  <c r="R511" i="2"/>
  <c r="L544" i="2" l="1"/>
  <c r="J544" i="2"/>
  <c r="I544" i="2"/>
  <c r="S511" i="2"/>
  <c r="P511" i="2"/>
  <c r="Q511" i="2"/>
  <c r="R512" i="2"/>
  <c r="L545" i="2" l="1"/>
  <c r="I545" i="2"/>
  <c r="J545" i="2"/>
  <c r="S512" i="2"/>
  <c r="P512" i="2"/>
  <c r="Q512" i="2"/>
  <c r="R513" i="2"/>
  <c r="I546" i="2" l="1"/>
  <c r="L546" i="2"/>
  <c r="J546" i="2"/>
  <c r="P513" i="2"/>
  <c r="S513" i="2"/>
  <c r="Q513" i="2"/>
  <c r="R514" i="2"/>
  <c r="I547" i="2" l="1"/>
  <c r="L547" i="2"/>
  <c r="J547" i="2"/>
  <c r="P514" i="2"/>
  <c r="S514" i="2"/>
  <c r="Q514" i="2"/>
  <c r="R515" i="2"/>
  <c r="I548" i="2" l="1"/>
  <c r="L548" i="2"/>
  <c r="J548" i="2"/>
  <c r="S515" i="2"/>
  <c r="P515" i="2"/>
  <c r="Q515" i="2"/>
  <c r="R516" i="2"/>
  <c r="I549" i="2" l="1"/>
  <c r="L549" i="2"/>
  <c r="J549" i="2"/>
  <c r="S516" i="2"/>
  <c r="P516" i="2"/>
  <c r="Q516" i="2"/>
  <c r="R517" i="2"/>
  <c r="L550" i="2" l="1"/>
  <c r="I550" i="2"/>
  <c r="J550" i="2"/>
  <c r="S517" i="2"/>
  <c r="P517" i="2"/>
  <c r="Q517" i="2"/>
  <c r="R518" i="2"/>
  <c r="L551" i="2" l="1"/>
  <c r="I551" i="2"/>
  <c r="J551" i="2"/>
  <c r="S518" i="2"/>
  <c r="Q518" i="2"/>
  <c r="P518" i="2"/>
  <c r="R519" i="2"/>
  <c r="L552" i="2" l="1"/>
  <c r="I552" i="2"/>
  <c r="J552" i="2"/>
  <c r="S519" i="2"/>
  <c r="Q519" i="2"/>
  <c r="P519" i="2"/>
  <c r="R520" i="2"/>
  <c r="L553" i="2" l="1"/>
  <c r="I553" i="2"/>
  <c r="J553" i="2"/>
  <c r="S520" i="2"/>
  <c r="P520" i="2"/>
  <c r="Q520" i="2"/>
  <c r="R521" i="2"/>
  <c r="L554" i="2" l="1"/>
  <c r="I554" i="2"/>
  <c r="J554" i="2"/>
  <c r="S521" i="2"/>
  <c r="P521" i="2"/>
  <c r="Q521" i="2"/>
  <c r="R522" i="2"/>
  <c r="S532" i="2" l="1"/>
  <c r="P532" i="2"/>
  <c r="Q532" i="2"/>
  <c r="R523" i="2"/>
  <c r="S522" i="2"/>
  <c r="P522" i="2"/>
  <c r="Q522" i="2"/>
  <c r="S533" i="2" l="1"/>
  <c r="P533" i="2"/>
  <c r="Q533" i="2"/>
  <c r="S523" i="2"/>
  <c r="P523" i="2"/>
  <c r="Q523" i="2"/>
  <c r="D532" i="2"/>
  <c r="S534" i="2" l="1"/>
  <c r="P534" i="2"/>
  <c r="Q534" i="2"/>
  <c r="E532" i="2"/>
  <c r="B532" i="2"/>
  <c r="C532" i="2"/>
  <c r="D533" i="2"/>
  <c r="S535" i="2" l="1"/>
  <c r="P535" i="2"/>
  <c r="Q535" i="2"/>
  <c r="E533" i="2"/>
  <c r="B533" i="2"/>
  <c r="C533" i="2"/>
  <c r="D534" i="2"/>
  <c r="E534" i="2" l="1"/>
  <c r="B534" i="2"/>
  <c r="C534" i="2"/>
  <c r="D535" i="2"/>
  <c r="S536" i="2"/>
  <c r="P536" i="2"/>
  <c r="Q536" i="2"/>
  <c r="P537" i="2" l="1"/>
  <c r="S537" i="2"/>
  <c r="Q537" i="2"/>
  <c r="E535" i="2"/>
  <c r="B535" i="2"/>
  <c r="C535" i="2"/>
  <c r="D536" i="2"/>
  <c r="P538" i="2" l="1"/>
  <c r="S538" i="2"/>
  <c r="Q538" i="2"/>
  <c r="E536" i="2"/>
  <c r="B536" i="2"/>
  <c r="C536" i="2"/>
  <c r="D537" i="2"/>
  <c r="P539" i="2" l="1"/>
  <c r="S539" i="2"/>
  <c r="Q539" i="2"/>
  <c r="B537" i="2"/>
  <c r="E537" i="2"/>
  <c r="C537" i="2"/>
  <c r="D538" i="2"/>
  <c r="S540" i="2" l="1"/>
  <c r="Q540" i="2"/>
  <c r="P540" i="2"/>
  <c r="E538" i="2"/>
  <c r="C538" i="2"/>
  <c r="B538" i="2"/>
  <c r="D539" i="2"/>
  <c r="S541" i="2" l="1"/>
  <c r="P541" i="2"/>
  <c r="Q541" i="2"/>
  <c r="B539" i="2"/>
  <c r="E539" i="2"/>
  <c r="C539" i="2"/>
  <c r="D540" i="2"/>
  <c r="S542" i="2" l="1"/>
  <c r="P542" i="2"/>
  <c r="Q542" i="2"/>
  <c r="E540" i="2"/>
  <c r="B540" i="2"/>
  <c r="C540" i="2"/>
  <c r="D541" i="2"/>
  <c r="S543" i="2" l="1"/>
  <c r="P543" i="2"/>
  <c r="Q543" i="2"/>
  <c r="E541" i="2"/>
  <c r="B541" i="2"/>
  <c r="C541" i="2"/>
  <c r="D542" i="2"/>
  <c r="E542" i="2" l="1"/>
  <c r="C542" i="2"/>
  <c r="B542" i="2"/>
  <c r="D543" i="2"/>
  <c r="S544" i="2"/>
  <c r="P544" i="2"/>
  <c r="Q544" i="2"/>
  <c r="S545" i="2" l="1"/>
  <c r="P545" i="2"/>
  <c r="Q545" i="2"/>
  <c r="E543" i="2"/>
  <c r="B543" i="2"/>
  <c r="C543" i="2"/>
  <c r="D544" i="2"/>
  <c r="S546" i="2" l="1"/>
  <c r="P546" i="2"/>
  <c r="Q546" i="2"/>
  <c r="B544" i="2"/>
  <c r="E544" i="2"/>
  <c r="C544" i="2"/>
  <c r="D545" i="2"/>
  <c r="S547" i="2" l="1"/>
  <c r="Q547" i="2"/>
  <c r="P547" i="2"/>
  <c r="B545" i="2"/>
  <c r="E545" i="2"/>
  <c r="C545" i="2"/>
  <c r="D546" i="2"/>
  <c r="E546" i="2" l="1"/>
  <c r="B546" i="2"/>
  <c r="C546" i="2"/>
  <c r="D547" i="2"/>
  <c r="S548" i="2"/>
  <c r="P548" i="2"/>
  <c r="Q548" i="2"/>
  <c r="E547" i="2" l="1"/>
  <c r="B547" i="2"/>
  <c r="C547" i="2"/>
  <c r="D548" i="2"/>
  <c r="S549" i="2"/>
  <c r="P549" i="2"/>
  <c r="Q549" i="2"/>
  <c r="S550" i="2" l="1"/>
  <c r="P550" i="2"/>
  <c r="Q550" i="2"/>
  <c r="E548" i="2"/>
  <c r="B548" i="2"/>
  <c r="C548" i="2"/>
  <c r="D549" i="2"/>
  <c r="S551" i="2" l="1"/>
  <c r="Q551" i="2"/>
  <c r="P551" i="2"/>
  <c r="E549" i="2"/>
  <c r="B549" i="2"/>
  <c r="C549" i="2"/>
  <c r="D550" i="2"/>
  <c r="P552" i="2" l="1"/>
  <c r="S552" i="2"/>
  <c r="Q552" i="2"/>
  <c r="E550" i="2"/>
  <c r="B550" i="2"/>
  <c r="C550" i="2"/>
  <c r="D551" i="2"/>
  <c r="P553" i="2" l="1"/>
  <c r="S553" i="2"/>
  <c r="Q553" i="2"/>
  <c r="B551" i="2"/>
  <c r="E551" i="2"/>
  <c r="C551" i="2"/>
  <c r="D552" i="2"/>
  <c r="P554" i="2" l="1"/>
  <c r="S554" i="2"/>
  <c r="Q554" i="2"/>
  <c r="E552" i="2"/>
  <c r="B552" i="2"/>
  <c r="C552" i="2"/>
  <c r="D553" i="2"/>
  <c r="E553" i="2" l="1"/>
  <c r="B553" i="2"/>
  <c r="C553" i="2"/>
  <c r="D554" i="2"/>
  <c r="E563" i="2"/>
  <c r="B563" i="2"/>
  <c r="C563" i="2"/>
  <c r="E554" i="2" l="1"/>
  <c r="B554" i="2"/>
  <c r="C554" i="2"/>
  <c r="B564" i="2"/>
  <c r="E564" i="2"/>
  <c r="C564" i="2"/>
  <c r="E565" i="2" l="1"/>
  <c r="B565" i="2"/>
  <c r="C565" i="2"/>
  <c r="B566" i="2" l="1"/>
  <c r="E566" i="2"/>
  <c r="C566" i="2"/>
  <c r="B567" i="2" l="1"/>
  <c r="E567" i="2"/>
  <c r="C567" i="2"/>
  <c r="E568" i="2" l="1"/>
  <c r="B568" i="2"/>
  <c r="C568" i="2"/>
  <c r="E569" i="2" l="1"/>
  <c r="B569" i="2"/>
  <c r="C569" i="2"/>
  <c r="E570" i="2" l="1"/>
  <c r="B570" i="2"/>
  <c r="C570" i="2"/>
  <c r="B571" i="2" l="1"/>
  <c r="E571" i="2"/>
  <c r="C571" i="2"/>
  <c r="E572" i="2" l="1"/>
  <c r="B572" i="2"/>
  <c r="C572" i="2"/>
  <c r="E573" i="2" l="1"/>
  <c r="B573" i="2"/>
  <c r="C573" i="2"/>
  <c r="E574" i="2" l="1"/>
  <c r="C574" i="2"/>
  <c r="B574" i="2"/>
  <c r="E575" i="2" l="1"/>
  <c r="B575" i="2"/>
  <c r="C575" i="2"/>
  <c r="E576" i="2" l="1"/>
  <c r="B576" i="2"/>
  <c r="C576" i="2"/>
  <c r="E577" i="2" l="1"/>
  <c r="B577" i="2"/>
  <c r="C577" i="2"/>
  <c r="E578" i="2" l="1"/>
  <c r="B578" i="2"/>
  <c r="C578" i="2"/>
  <c r="B579" i="2" l="1"/>
  <c r="E579" i="2"/>
  <c r="C579" i="2"/>
  <c r="B580" i="2" l="1"/>
  <c r="E580" i="2"/>
  <c r="C580" i="2"/>
  <c r="B581" i="2" l="1"/>
  <c r="E581" i="2"/>
  <c r="C581" i="2"/>
  <c r="B582" i="2" l="1"/>
  <c r="E582" i="2"/>
  <c r="C582" i="2"/>
  <c r="B583" i="2" l="1"/>
  <c r="E583" i="2"/>
  <c r="C583" i="2"/>
  <c r="E584" i="2" l="1"/>
  <c r="C584" i="2"/>
  <c r="B584" i="2"/>
  <c r="E585" i="2" l="1"/>
  <c r="B585" i="2"/>
  <c r="C585" i="2"/>
  <c r="L563" i="2" l="1"/>
  <c r="I563" i="2"/>
  <c r="J563" i="2"/>
  <c r="L564" i="2" l="1"/>
  <c r="I564" i="2"/>
  <c r="J564" i="2"/>
  <c r="L565" i="2" l="1"/>
  <c r="I565" i="2"/>
  <c r="J565" i="2"/>
  <c r="L566" i="2" l="1"/>
  <c r="I566" i="2"/>
  <c r="J566" i="2"/>
  <c r="L567" i="2" l="1"/>
  <c r="I567" i="2"/>
  <c r="J567" i="2"/>
  <c r="L568" i="2" l="1"/>
  <c r="I568" i="2"/>
  <c r="J568" i="2"/>
  <c r="L569" i="2" l="1"/>
  <c r="I569" i="2"/>
  <c r="J569" i="2"/>
  <c r="I570" i="2" l="1"/>
  <c r="L570" i="2"/>
  <c r="J570" i="2"/>
  <c r="I571" i="2" l="1"/>
  <c r="L571" i="2"/>
  <c r="J571" i="2"/>
  <c r="I572" i="2" l="1"/>
  <c r="L572" i="2"/>
  <c r="J572" i="2"/>
  <c r="L573" i="2" l="1"/>
  <c r="I573" i="2"/>
  <c r="J573" i="2"/>
  <c r="L574" i="2" l="1"/>
  <c r="I574" i="2"/>
  <c r="J574" i="2"/>
  <c r="L575" i="2" l="1"/>
  <c r="I575" i="2"/>
  <c r="J575" i="2"/>
  <c r="I576" i="2" l="1"/>
  <c r="L576" i="2"/>
  <c r="J576" i="2"/>
  <c r="L577" i="2" l="1"/>
  <c r="I577" i="2"/>
  <c r="J577" i="2"/>
  <c r="J578" i="2" l="1"/>
  <c r="L578" i="2"/>
  <c r="I578" i="2"/>
  <c r="L579" i="2" l="1"/>
  <c r="I579" i="2"/>
  <c r="J579" i="2"/>
  <c r="L580" i="2" l="1"/>
  <c r="I580" i="2"/>
  <c r="J580" i="2"/>
  <c r="L581" i="2" l="1"/>
  <c r="I581" i="2"/>
  <c r="J581" i="2"/>
  <c r="L582" i="2" l="1"/>
  <c r="I582" i="2"/>
  <c r="J582" i="2"/>
  <c r="L583" i="2" l="1"/>
  <c r="J583" i="2"/>
  <c r="I583" i="2"/>
  <c r="L584" i="2" l="1"/>
  <c r="I584" i="2"/>
  <c r="J584" i="2"/>
  <c r="L585" i="2" l="1"/>
  <c r="I585" i="2"/>
  <c r="J585" i="2"/>
  <c r="P563" i="2" l="1"/>
  <c r="S563" i="2"/>
  <c r="Q563" i="2"/>
  <c r="S564" i="2" l="1"/>
  <c r="P564" i="2"/>
  <c r="Q564" i="2"/>
  <c r="P565" i="2" l="1"/>
  <c r="S565" i="2"/>
  <c r="Q565" i="2"/>
  <c r="P566" i="2" l="1"/>
  <c r="S566" i="2"/>
  <c r="Q566" i="2"/>
  <c r="S567" i="2" l="1"/>
  <c r="P567" i="2"/>
  <c r="Q567" i="2"/>
  <c r="S568" i="2" l="1"/>
  <c r="P568" i="2"/>
  <c r="Q568" i="2"/>
  <c r="S569" i="2" l="1"/>
  <c r="P569" i="2"/>
  <c r="Q569" i="2"/>
  <c r="S570" i="2" l="1"/>
  <c r="P570" i="2"/>
  <c r="Q570" i="2"/>
  <c r="S571" i="2" l="1"/>
  <c r="P571" i="2"/>
  <c r="Q571" i="2"/>
  <c r="S572" i="2" l="1"/>
  <c r="P572" i="2"/>
  <c r="Q572" i="2"/>
  <c r="S573" i="2" l="1"/>
  <c r="Q573" i="2"/>
  <c r="P573" i="2"/>
  <c r="S574" i="2" l="1"/>
  <c r="Q574" i="2"/>
  <c r="P574" i="2"/>
  <c r="S575" i="2" l="1"/>
  <c r="P575" i="2"/>
  <c r="Q575" i="2"/>
  <c r="S576" i="2" l="1"/>
  <c r="P576" i="2"/>
  <c r="Q576" i="2"/>
  <c r="S577" i="2" l="1"/>
  <c r="P577" i="2"/>
  <c r="Q577" i="2"/>
  <c r="P578" i="2" l="1"/>
  <c r="S578" i="2"/>
  <c r="Q578" i="2"/>
  <c r="P579" i="2" l="1"/>
  <c r="S579" i="2"/>
  <c r="Q579" i="2"/>
  <c r="P580" i="2" l="1"/>
  <c r="S580" i="2"/>
  <c r="Q580" i="2"/>
  <c r="P581" i="2" l="1"/>
  <c r="S581" i="2"/>
  <c r="Q581" i="2"/>
  <c r="S582" i="2" l="1"/>
  <c r="P582" i="2"/>
  <c r="Q582" i="2"/>
  <c r="S583" i="2" l="1"/>
  <c r="P583" i="2"/>
  <c r="Q583" i="2"/>
  <c r="S584" i="2" l="1"/>
  <c r="P584" i="2"/>
  <c r="Q584" i="2"/>
  <c r="S585" i="2" l="1"/>
  <c r="P585" i="2"/>
  <c r="Q585" i="2"/>
  <c r="E594" i="2" l="1"/>
  <c r="C594" i="2"/>
  <c r="B594" i="2"/>
  <c r="E595" i="2" l="1"/>
  <c r="B595" i="2"/>
  <c r="C595" i="2"/>
  <c r="E596" i="2" l="1"/>
  <c r="B596" i="2"/>
  <c r="C596" i="2"/>
  <c r="B597" i="2" l="1"/>
  <c r="E597" i="2"/>
  <c r="C597" i="2"/>
  <c r="E598" i="2" l="1"/>
  <c r="B598" i="2"/>
  <c r="C598" i="2"/>
  <c r="E599" i="2" l="1"/>
  <c r="B599" i="2"/>
  <c r="C599" i="2"/>
  <c r="E600" i="2" l="1"/>
  <c r="B600" i="2"/>
  <c r="C600" i="2"/>
  <c r="E601" i="2" l="1"/>
  <c r="B601" i="2"/>
  <c r="C601" i="2"/>
  <c r="E602" i="2" l="1"/>
  <c r="B602" i="2"/>
  <c r="C602" i="2"/>
  <c r="E603" i="2" l="1"/>
  <c r="B603" i="2"/>
  <c r="C603" i="2"/>
  <c r="B604" i="2" l="1"/>
  <c r="E604" i="2"/>
  <c r="C604" i="2"/>
  <c r="E605" i="2" l="1"/>
  <c r="B605" i="2"/>
  <c r="C605" i="2"/>
  <c r="E606" i="2" l="1"/>
  <c r="B606" i="2"/>
  <c r="C606" i="2"/>
  <c r="E607" i="2" l="1"/>
  <c r="B607" i="2"/>
  <c r="C607" i="2"/>
  <c r="B608" i="2" l="1"/>
  <c r="E608" i="2"/>
  <c r="C608" i="2"/>
  <c r="B609" i="2" l="1"/>
  <c r="E609" i="2"/>
  <c r="C609" i="2"/>
  <c r="E610" i="2" l="1"/>
  <c r="B610" i="2"/>
  <c r="C610" i="2"/>
  <c r="E611" i="2" l="1"/>
  <c r="B611" i="2"/>
  <c r="C611" i="2"/>
  <c r="E612" i="2" l="1"/>
  <c r="B612" i="2"/>
  <c r="C612" i="2"/>
  <c r="E613" i="2" l="1"/>
  <c r="B613" i="2"/>
  <c r="C613" i="2"/>
  <c r="E614" i="2" l="1"/>
  <c r="C614" i="2"/>
  <c r="B614" i="2"/>
  <c r="E615" i="2" l="1"/>
  <c r="C615" i="2"/>
  <c r="B615" i="2"/>
  <c r="E616" i="2" l="1"/>
  <c r="B616" i="2"/>
  <c r="C616" i="2"/>
  <c r="L594" i="2" l="1"/>
  <c r="I594" i="2"/>
  <c r="J594" i="2"/>
  <c r="L595" i="2" l="1"/>
  <c r="I595" i="2"/>
  <c r="J595" i="2"/>
  <c r="L596" i="2" l="1"/>
  <c r="I596" i="2"/>
  <c r="J596" i="2"/>
  <c r="L597" i="2" l="1"/>
  <c r="I597" i="2"/>
  <c r="J597" i="2"/>
  <c r="I598" i="2" l="1"/>
  <c r="L598" i="2"/>
  <c r="J598" i="2"/>
  <c r="I599" i="2" l="1"/>
  <c r="L599" i="2"/>
  <c r="J599" i="2"/>
  <c r="I600" i="2" l="1"/>
  <c r="J600" i="2"/>
  <c r="L600" i="2"/>
  <c r="L601" i="2" l="1"/>
  <c r="I601" i="2"/>
  <c r="J601" i="2"/>
  <c r="L602" i="2" l="1"/>
  <c r="I602" i="2"/>
  <c r="J602" i="2"/>
  <c r="L603" i="2" l="1"/>
  <c r="J603" i="2"/>
  <c r="I603" i="2"/>
  <c r="L604" i="2" l="1"/>
  <c r="I604" i="2"/>
  <c r="J604" i="2"/>
  <c r="L605" i="2" l="1"/>
  <c r="I605" i="2"/>
  <c r="J605" i="2"/>
  <c r="L606" i="2" l="1"/>
  <c r="I606" i="2"/>
  <c r="J606" i="2"/>
  <c r="L607" i="2" l="1"/>
  <c r="I607" i="2"/>
  <c r="J607" i="2"/>
  <c r="L608" i="2" l="1"/>
  <c r="I608" i="2"/>
  <c r="J608" i="2"/>
  <c r="L609" i="2" l="1"/>
  <c r="I609" i="2"/>
  <c r="J609" i="2"/>
  <c r="L610" i="2" l="1"/>
  <c r="I610" i="2"/>
  <c r="J610" i="2"/>
  <c r="L611" i="2" l="1"/>
  <c r="I611" i="2"/>
  <c r="J611" i="2"/>
  <c r="L612" i="2" l="1"/>
  <c r="I612" i="2"/>
  <c r="J612" i="2"/>
  <c r="L613" i="2" l="1"/>
  <c r="I613" i="2"/>
  <c r="J613" i="2"/>
  <c r="I614" i="2" l="1"/>
  <c r="L614" i="2"/>
  <c r="J614" i="2"/>
  <c r="I615" i="2" l="1"/>
  <c r="L615" i="2"/>
  <c r="J615" i="2"/>
  <c r="I616" i="2" l="1"/>
  <c r="L616" i="2"/>
  <c r="J616" i="2"/>
  <c r="S594" i="2" l="1"/>
  <c r="P594" i="2"/>
  <c r="Q594" i="2"/>
  <c r="S595" i="2" l="1"/>
  <c r="P595" i="2"/>
  <c r="Q595" i="2"/>
  <c r="S596" i="2" l="1"/>
  <c r="P596" i="2"/>
  <c r="Q596" i="2"/>
  <c r="S597" i="2" l="1"/>
  <c r="P597" i="2"/>
  <c r="Q597" i="2"/>
  <c r="S598" i="2" l="1"/>
  <c r="P598" i="2"/>
  <c r="Q598" i="2"/>
  <c r="S599" i="2" l="1"/>
  <c r="P599" i="2"/>
  <c r="Q599" i="2"/>
  <c r="S600" i="2" l="1"/>
  <c r="P600" i="2"/>
  <c r="Q600" i="2"/>
  <c r="S601" i="2" l="1"/>
  <c r="P601" i="2"/>
  <c r="Q601" i="2"/>
  <c r="S602" i="2" l="1"/>
  <c r="P602" i="2"/>
  <c r="Q602" i="2"/>
  <c r="S603" i="2" l="1"/>
  <c r="P603" i="2"/>
  <c r="Q603" i="2"/>
  <c r="P604" i="2" l="1"/>
  <c r="S604" i="2"/>
  <c r="Q604" i="2"/>
  <c r="P605" i="2" l="1"/>
  <c r="Q605" i="2"/>
  <c r="S605" i="2"/>
  <c r="S606" i="2" l="1"/>
  <c r="P606" i="2"/>
  <c r="Q606" i="2"/>
  <c r="S607" i="2" l="1"/>
  <c r="P607" i="2"/>
  <c r="Q607" i="2"/>
  <c r="S608" i="2" l="1"/>
  <c r="P608" i="2"/>
  <c r="Q608" i="2"/>
  <c r="P609" i="2" l="1"/>
  <c r="S609" i="2"/>
  <c r="Q609" i="2"/>
  <c r="S610" i="2" l="1"/>
  <c r="P610" i="2"/>
  <c r="Q610" i="2"/>
  <c r="S611" i="2" l="1"/>
  <c r="P611" i="2"/>
  <c r="Q611" i="2"/>
  <c r="S612" i="2" l="1"/>
  <c r="P612" i="2"/>
  <c r="Q612" i="2"/>
  <c r="P613" i="2" l="1"/>
  <c r="S613" i="2"/>
  <c r="Q613" i="2"/>
  <c r="S614" i="2" l="1"/>
  <c r="P614" i="2"/>
  <c r="Q614" i="2"/>
  <c r="S615" i="2" l="1"/>
  <c r="P615" i="2"/>
  <c r="Q615" i="2"/>
  <c r="S616" i="2" l="1"/>
  <c r="P616" i="2"/>
  <c r="Q616" i="2"/>
  <c r="B625" i="2" l="1"/>
  <c r="E625" i="2"/>
  <c r="C625" i="2"/>
  <c r="E626" i="2" l="1"/>
  <c r="B626" i="2"/>
  <c r="C626" i="2"/>
  <c r="E627" i="2" l="1"/>
  <c r="B627" i="2"/>
  <c r="C627" i="2"/>
  <c r="E628" i="2" l="1"/>
  <c r="B628" i="2"/>
  <c r="C628" i="2"/>
  <c r="E629" i="2" l="1"/>
  <c r="B629" i="2"/>
  <c r="C629" i="2"/>
  <c r="E630" i="2" l="1"/>
  <c r="B630" i="2"/>
  <c r="C630" i="2"/>
  <c r="B631" i="2" l="1"/>
  <c r="E631" i="2"/>
  <c r="C631" i="2"/>
  <c r="B632" i="2" l="1"/>
  <c r="E632" i="2"/>
  <c r="C632" i="2"/>
  <c r="B633" i="2" l="1"/>
  <c r="E633" i="2"/>
  <c r="C633" i="2"/>
  <c r="B634" i="2" l="1"/>
  <c r="E634" i="2"/>
  <c r="C634" i="2"/>
  <c r="B635" i="2" l="1"/>
  <c r="E635" i="2"/>
  <c r="C635" i="2"/>
  <c r="E636" i="2" l="1"/>
  <c r="C636" i="2"/>
  <c r="B636" i="2"/>
  <c r="E637" i="2" l="1"/>
  <c r="C637" i="2"/>
  <c r="B637" i="2"/>
  <c r="E638" i="2" l="1"/>
  <c r="B638" i="2"/>
  <c r="C638" i="2"/>
  <c r="E639" i="2" l="1"/>
  <c r="C639" i="2"/>
  <c r="B639" i="2"/>
  <c r="E640" i="2" l="1"/>
  <c r="B640" i="2"/>
  <c r="C640" i="2"/>
  <c r="E641" i="2" l="1"/>
  <c r="B641" i="2"/>
  <c r="C641" i="2"/>
  <c r="E642" i="2" l="1"/>
  <c r="B642" i="2"/>
  <c r="C642" i="2"/>
  <c r="E643" i="2" l="1"/>
  <c r="B643" i="2"/>
  <c r="C643" i="2"/>
  <c r="E644" i="2" l="1"/>
  <c r="B644" i="2"/>
  <c r="C644" i="2"/>
  <c r="E645" i="2" l="1"/>
  <c r="B645" i="2"/>
  <c r="C645" i="2"/>
  <c r="E646" i="2" l="1"/>
  <c r="B646" i="2"/>
  <c r="C646" i="2"/>
  <c r="E647" i="2" l="1"/>
  <c r="B647" i="2"/>
  <c r="C647" i="2"/>
  <c r="I625" i="2" l="1"/>
  <c r="L625" i="2"/>
  <c r="J625" i="2"/>
  <c r="I626" i="2" l="1"/>
  <c r="L626" i="2"/>
  <c r="J626" i="2"/>
  <c r="L627" i="2" l="1"/>
  <c r="J627" i="2"/>
  <c r="I627" i="2"/>
  <c r="I628" i="2" l="1"/>
  <c r="L628" i="2"/>
  <c r="J628" i="2"/>
  <c r="L629" i="2" l="1"/>
  <c r="I629" i="2"/>
  <c r="J629" i="2"/>
  <c r="I630" i="2" l="1"/>
  <c r="J630" i="2"/>
  <c r="L630" i="2"/>
  <c r="L631" i="2" l="1"/>
  <c r="I631" i="2"/>
  <c r="J631" i="2"/>
  <c r="I632" i="2" l="1"/>
  <c r="J632" i="2"/>
  <c r="L632" i="2"/>
  <c r="L633" i="2" l="1"/>
  <c r="I633" i="2"/>
  <c r="J633" i="2"/>
  <c r="L634" i="2" l="1"/>
  <c r="I634" i="2"/>
  <c r="J634" i="2"/>
  <c r="L635" i="2" l="1"/>
  <c r="I635" i="2"/>
  <c r="J635" i="2"/>
  <c r="L636" i="2" l="1"/>
  <c r="I636" i="2"/>
  <c r="J636" i="2"/>
  <c r="L637" i="2" l="1"/>
  <c r="I637" i="2"/>
  <c r="J637" i="2"/>
  <c r="L638" i="2" l="1"/>
  <c r="I638" i="2"/>
  <c r="J638" i="2"/>
  <c r="L639" i="2" l="1"/>
  <c r="I639" i="2"/>
  <c r="J639" i="2"/>
  <c r="L640" i="2" l="1"/>
  <c r="I640" i="2"/>
  <c r="J640" i="2"/>
  <c r="I641" i="2" l="1"/>
  <c r="L641" i="2"/>
  <c r="J641" i="2"/>
  <c r="I642" i="2" l="1"/>
  <c r="L642" i="2"/>
  <c r="J642" i="2"/>
  <c r="L643" i="2" l="1"/>
  <c r="I643" i="2"/>
  <c r="J643" i="2"/>
  <c r="L644" i="2" l="1"/>
  <c r="I644" i="2"/>
  <c r="J644" i="2"/>
  <c r="L645" i="2" l="1"/>
  <c r="I645" i="2"/>
  <c r="J645" i="2"/>
  <c r="L646" i="2" l="1"/>
  <c r="I646" i="2"/>
  <c r="J646" i="2"/>
  <c r="L647" i="2" l="1"/>
  <c r="I647" i="2"/>
  <c r="J647" i="2"/>
  <c r="S625" i="2" l="1"/>
  <c r="P625" i="2"/>
  <c r="Q625" i="2"/>
  <c r="S626" i="2" l="1"/>
  <c r="P626" i="2"/>
  <c r="Q626" i="2"/>
  <c r="S627" i="2" l="1"/>
  <c r="P627" i="2"/>
  <c r="Q627" i="2"/>
  <c r="S628" i="2" l="1"/>
  <c r="P628" i="2"/>
  <c r="Q628" i="2"/>
  <c r="S629" i="2" l="1"/>
  <c r="P629" i="2"/>
  <c r="Q629" i="2"/>
  <c r="S630" i="2" l="1"/>
  <c r="P630" i="2"/>
  <c r="Q630" i="2"/>
  <c r="S631" i="2" l="1"/>
  <c r="P631" i="2"/>
  <c r="Q631" i="2"/>
  <c r="S632" i="2" l="1"/>
  <c r="P632" i="2"/>
  <c r="Q632" i="2"/>
  <c r="S633" i="2" l="1"/>
  <c r="P633" i="2"/>
  <c r="Q633" i="2"/>
  <c r="P634" i="2" l="1"/>
  <c r="S634" i="2"/>
  <c r="Q634" i="2"/>
  <c r="S635" i="2" l="1"/>
  <c r="P635" i="2"/>
  <c r="Q635" i="2"/>
  <c r="S636" i="2" l="1"/>
  <c r="P636" i="2"/>
  <c r="Q636" i="2"/>
  <c r="S637" i="2" l="1"/>
  <c r="Q637" i="2"/>
  <c r="P637" i="2"/>
  <c r="S638" i="2" l="1"/>
  <c r="P638" i="2"/>
  <c r="Q638" i="2"/>
  <c r="P639" i="2" l="1"/>
  <c r="S639" i="2"/>
  <c r="Q639" i="2"/>
  <c r="S640" i="2" l="1"/>
  <c r="P640" i="2"/>
  <c r="Q640" i="2"/>
  <c r="S641" i="2" l="1"/>
  <c r="P641" i="2"/>
  <c r="Q641" i="2"/>
  <c r="S642" i="2" l="1"/>
  <c r="P642" i="2"/>
  <c r="Q642" i="2"/>
  <c r="S643" i="2" l="1"/>
  <c r="P643" i="2"/>
  <c r="Q643" i="2"/>
  <c r="S644" i="2" l="1"/>
  <c r="Q644" i="2"/>
  <c r="P644" i="2"/>
  <c r="S645" i="2" l="1"/>
  <c r="P645" i="2"/>
  <c r="Q645" i="2"/>
  <c r="S646" i="2" l="1"/>
  <c r="P646" i="2"/>
  <c r="Q646" i="2"/>
  <c r="P647" i="2" l="1"/>
  <c r="S647" i="2"/>
  <c r="Q647" i="2"/>
  <c r="E656" i="2" l="1"/>
  <c r="B656" i="2"/>
  <c r="C656" i="2"/>
  <c r="E657" i="2" l="1"/>
  <c r="B657" i="2"/>
  <c r="C657" i="2"/>
  <c r="E658" i="2" l="1"/>
  <c r="B658" i="2"/>
  <c r="C658" i="2"/>
  <c r="E659" i="2" l="1"/>
  <c r="B659" i="2"/>
  <c r="C659" i="2"/>
  <c r="B660" i="2" l="1"/>
  <c r="E660" i="2"/>
  <c r="C660" i="2"/>
  <c r="B661" i="2" l="1"/>
  <c r="E661" i="2"/>
  <c r="C661" i="2"/>
  <c r="E662" i="2" l="1"/>
  <c r="C662" i="2"/>
  <c r="B662" i="2"/>
  <c r="E663" i="2" l="1"/>
  <c r="B663" i="2"/>
  <c r="C663" i="2"/>
  <c r="B664" i="2" l="1"/>
  <c r="E664" i="2"/>
  <c r="C664" i="2"/>
  <c r="B665" i="2" l="1"/>
  <c r="C665" i="2"/>
  <c r="E665" i="2"/>
  <c r="E666" i="2" l="1"/>
  <c r="B666" i="2"/>
  <c r="C666" i="2"/>
  <c r="E667" i="2" l="1"/>
  <c r="B667" i="2"/>
  <c r="C667" i="2"/>
  <c r="E668" i="2" l="1"/>
  <c r="B668" i="2"/>
  <c r="C668" i="2"/>
  <c r="E669" i="2" l="1"/>
  <c r="B669" i="2"/>
  <c r="C669" i="2"/>
  <c r="E670" i="2" l="1"/>
  <c r="B670" i="2"/>
  <c r="C670" i="2"/>
  <c r="E671" i="2" l="1"/>
  <c r="B671" i="2"/>
  <c r="C671" i="2"/>
  <c r="E672" i="2" l="1"/>
  <c r="B672" i="2"/>
  <c r="C672" i="2"/>
  <c r="B673" i="2" l="1"/>
  <c r="C673" i="2"/>
  <c r="E673" i="2"/>
  <c r="E674" i="2" l="1"/>
  <c r="B674" i="2"/>
  <c r="C674" i="2"/>
  <c r="B675" i="2" l="1"/>
  <c r="E675" i="2"/>
  <c r="C675" i="2"/>
  <c r="B676" i="2" l="1"/>
  <c r="E676" i="2"/>
  <c r="C676" i="2"/>
  <c r="B677" i="2" l="1"/>
  <c r="C677" i="2"/>
  <c r="E677" i="2"/>
  <c r="E678" i="2" l="1"/>
  <c r="B678" i="2"/>
  <c r="C678" i="2"/>
  <c r="L656" i="2" l="1"/>
  <c r="I656" i="2"/>
  <c r="J656" i="2"/>
  <c r="L657" i="2" l="1"/>
  <c r="I657" i="2"/>
  <c r="J657" i="2"/>
  <c r="L658" i="2" l="1"/>
  <c r="I658" i="2"/>
  <c r="J658" i="2"/>
  <c r="L659" i="2" l="1"/>
  <c r="I659" i="2"/>
  <c r="J659" i="2"/>
  <c r="L660" i="2" l="1"/>
  <c r="I660" i="2"/>
  <c r="J660" i="2"/>
  <c r="L661" i="2" l="1"/>
  <c r="I661" i="2"/>
  <c r="J661" i="2"/>
  <c r="L662" i="2" l="1"/>
  <c r="I662" i="2"/>
  <c r="J662" i="2"/>
  <c r="L663" i="2" l="1"/>
  <c r="I663" i="2"/>
  <c r="J663" i="2"/>
  <c r="L664" i="2" l="1"/>
  <c r="I664" i="2"/>
  <c r="J664" i="2"/>
  <c r="L665" i="2" l="1"/>
  <c r="I665" i="2"/>
  <c r="J665" i="2"/>
  <c r="L666" i="2" l="1"/>
  <c r="I666" i="2"/>
  <c r="J666" i="2"/>
  <c r="I667" i="2" l="1"/>
  <c r="L667" i="2"/>
  <c r="J667" i="2"/>
  <c r="L668" i="2" l="1"/>
  <c r="I668" i="2"/>
  <c r="J668" i="2"/>
  <c r="L669" i="2" l="1"/>
  <c r="I669" i="2"/>
  <c r="J669" i="2"/>
  <c r="L670" i="2" l="1"/>
  <c r="I670" i="2"/>
  <c r="J670" i="2"/>
  <c r="L671" i="2" l="1"/>
  <c r="I671" i="2"/>
  <c r="J671" i="2"/>
  <c r="I672" i="2" l="1"/>
  <c r="L672" i="2"/>
  <c r="J672" i="2"/>
  <c r="L673" i="2" l="1"/>
  <c r="I673" i="2"/>
  <c r="J673" i="2"/>
  <c r="L674" i="2" l="1"/>
  <c r="I674" i="2"/>
  <c r="J674" i="2"/>
  <c r="L675" i="2" l="1"/>
  <c r="I675" i="2"/>
  <c r="J675" i="2"/>
  <c r="L676" i="2" l="1"/>
  <c r="I676" i="2"/>
  <c r="J676" i="2"/>
  <c r="L677" i="2" l="1"/>
  <c r="I677" i="2"/>
  <c r="J677" i="2"/>
  <c r="L678" i="2" l="1"/>
  <c r="I678" i="2"/>
  <c r="J678" i="2"/>
  <c r="S656" i="2" l="1"/>
  <c r="P656" i="2"/>
  <c r="Q656" i="2"/>
  <c r="P657" i="2" l="1"/>
  <c r="S657" i="2"/>
  <c r="Q657" i="2"/>
  <c r="P658" i="2" l="1"/>
  <c r="S658" i="2"/>
  <c r="Q658" i="2"/>
  <c r="P659" i="2" l="1"/>
  <c r="S659" i="2"/>
  <c r="Q659" i="2"/>
  <c r="S660" i="2" l="1"/>
  <c r="Q660" i="2"/>
  <c r="P660" i="2"/>
  <c r="P661" i="2" l="1"/>
  <c r="S661" i="2"/>
  <c r="Q661" i="2"/>
  <c r="P662" i="2" l="1"/>
  <c r="S662" i="2"/>
  <c r="Q662" i="2"/>
  <c r="S663" i="2" l="1"/>
  <c r="P663" i="2"/>
  <c r="Q663" i="2"/>
  <c r="S664" i="2" l="1"/>
  <c r="P664" i="2"/>
  <c r="Q664" i="2"/>
  <c r="P665" i="2" l="1"/>
  <c r="S665" i="2"/>
  <c r="Q665" i="2"/>
  <c r="S666" i="2" l="1"/>
  <c r="P666" i="2"/>
  <c r="Q666" i="2"/>
  <c r="S667" i="2" l="1"/>
  <c r="P667" i="2"/>
  <c r="Q667" i="2"/>
  <c r="S668" i="2" l="1"/>
  <c r="P668" i="2"/>
  <c r="Q668" i="2"/>
  <c r="S669" i="2" l="1"/>
  <c r="Q669" i="2"/>
  <c r="P669" i="2"/>
  <c r="S670" i="2" l="1"/>
  <c r="Q670" i="2"/>
  <c r="P670" i="2"/>
  <c r="S671" i="2" l="1"/>
  <c r="P671" i="2"/>
  <c r="Q671" i="2"/>
  <c r="S672" i="2" l="1"/>
  <c r="P672" i="2"/>
  <c r="Q672" i="2"/>
  <c r="S673" i="2" l="1"/>
  <c r="P673" i="2"/>
  <c r="Q673" i="2"/>
  <c r="P674" i="2" l="1"/>
  <c r="S674" i="2"/>
  <c r="Q674" i="2"/>
  <c r="P675" i="2" l="1"/>
  <c r="S675" i="2"/>
  <c r="Q675" i="2"/>
  <c r="S676" i="2" l="1"/>
  <c r="P676" i="2"/>
  <c r="Q676" i="2"/>
  <c r="S677" i="2" l="1"/>
  <c r="P677" i="2"/>
  <c r="Q677" i="2"/>
  <c r="S678" i="2" l="1"/>
  <c r="P678" i="2"/>
  <c r="Q678" i="2"/>
  <c r="B687" i="2" l="1"/>
  <c r="E687" i="2"/>
  <c r="C687" i="2"/>
  <c r="E688" i="2" l="1"/>
  <c r="B688" i="2"/>
  <c r="C688" i="2"/>
  <c r="B689" i="2" l="1"/>
  <c r="E689" i="2"/>
  <c r="C689" i="2"/>
  <c r="E690" i="2" l="1"/>
  <c r="B690" i="2"/>
  <c r="C690" i="2"/>
  <c r="E691" i="2" l="1"/>
  <c r="B691" i="2"/>
  <c r="C691" i="2"/>
  <c r="E692" i="2" l="1"/>
  <c r="C692" i="2"/>
  <c r="B692" i="2"/>
  <c r="E693" i="2" l="1"/>
  <c r="C693" i="2"/>
  <c r="B693" i="2"/>
  <c r="E694" i="2" l="1"/>
  <c r="B694" i="2"/>
  <c r="C694" i="2"/>
  <c r="E695" i="2" l="1"/>
  <c r="B695" i="2"/>
  <c r="C695" i="2"/>
  <c r="E696" i="2" l="1"/>
  <c r="B696" i="2"/>
  <c r="C696" i="2"/>
  <c r="E697" i="2" l="1"/>
  <c r="B697" i="2"/>
  <c r="C697" i="2"/>
  <c r="E698" i="2" l="1"/>
  <c r="B698" i="2"/>
  <c r="C698" i="2"/>
  <c r="E699" i="2" l="1"/>
  <c r="B699" i="2"/>
  <c r="C699" i="2"/>
  <c r="E700" i="2" l="1"/>
  <c r="B700" i="2"/>
  <c r="C700" i="2"/>
  <c r="E701" i="2" l="1"/>
  <c r="B701" i="2"/>
  <c r="C701" i="2"/>
  <c r="E702" i="2" l="1"/>
  <c r="B702" i="2"/>
  <c r="C702" i="2"/>
  <c r="E703" i="2" l="1"/>
  <c r="B703" i="2"/>
  <c r="C703" i="2"/>
  <c r="E704" i="2" l="1"/>
  <c r="B704" i="2"/>
  <c r="C704" i="2"/>
  <c r="E705" i="2" l="1"/>
  <c r="C705" i="2"/>
  <c r="B705" i="2"/>
  <c r="E706" i="2" l="1"/>
  <c r="B706" i="2"/>
  <c r="C706" i="2"/>
  <c r="E707" i="2" l="1"/>
  <c r="B707" i="2"/>
  <c r="C707" i="2"/>
  <c r="B708" i="2" l="1"/>
  <c r="E708" i="2"/>
  <c r="C708" i="2"/>
  <c r="B709" i="2" l="1"/>
  <c r="E709" i="2"/>
  <c r="C709" i="2"/>
  <c r="L687" i="2" l="1"/>
  <c r="I687" i="2"/>
  <c r="J687" i="2"/>
  <c r="L688" i="2" l="1"/>
  <c r="I688" i="2"/>
  <c r="J688" i="2"/>
  <c r="L689" i="2" l="1"/>
  <c r="I689" i="2"/>
  <c r="J689" i="2"/>
  <c r="L690" i="2" l="1"/>
  <c r="I690" i="2"/>
  <c r="J690" i="2"/>
  <c r="L691" i="2" l="1"/>
  <c r="I691" i="2"/>
  <c r="J691" i="2"/>
  <c r="L692" i="2" l="1"/>
  <c r="I692" i="2"/>
  <c r="J692" i="2"/>
  <c r="I693" i="2" l="1"/>
  <c r="L693" i="2"/>
  <c r="J693" i="2"/>
  <c r="I694" i="2" l="1"/>
  <c r="J694" i="2"/>
  <c r="L694" i="2"/>
  <c r="L695" i="2" l="1"/>
  <c r="I695" i="2"/>
  <c r="J695" i="2"/>
  <c r="L696" i="2" l="1"/>
  <c r="I696" i="2"/>
  <c r="J696" i="2"/>
  <c r="L697" i="2" l="1"/>
  <c r="I697" i="2"/>
  <c r="J697" i="2"/>
  <c r="I698" i="2" l="1"/>
  <c r="L698" i="2"/>
  <c r="J698" i="2"/>
  <c r="L699" i="2" l="1"/>
  <c r="I699" i="2"/>
  <c r="J699" i="2"/>
  <c r="L700" i="2" l="1"/>
  <c r="I700" i="2"/>
  <c r="J700" i="2"/>
  <c r="L701" i="2" l="1"/>
  <c r="J701" i="2"/>
  <c r="I701" i="2"/>
  <c r="L702" i="2" l="1"/>
  <c r="I702" i="2"/>
  <c r="J702" i="2"/>
  <c r="L703" i="2" l="1"/>
  <c r="J703" i="2"/>
  <c r="I703" i="2"/>
  <c r="L704" i="2" l="1"/>
  <c r="I704" i="2"/>
  <c r="J704" i="2"/>
  <c r="L705" i="2" l="1"/>
  <c r="I705" i="2"/>
  <c r="J705" i="2"/>
  <c r="L706" i="2" l="1"/>
  <c r="I706" i="2"/>
  <c r="J706" i="2"/>
  <c r="L707" i="2" l="1"/>
  <c r="I707" i="2"/>
  <c r="J707" i="2"/>
  <c r="I708" i="2" l="1"/>
  <c r="L708" i="2"/>
  <c r="J708" i="2"/>
  <c r="I709" i="2" l="1"/>
  <c r="L709" i="2"/>
  <c r="J709" i="2"/>
  <c r="P687" i="2" l="1"/>
  <c r="S687" i="2"/>
  <c r="Q687" i="2"/>
  <c r="S688" i="2" l="1"/>
  <c r="P688" i="2"/>
  <c r="Q688" i="2"/>
  <c r="S689" i="2" l="1"/>
  <c r="Q689" i="2"/>
  <c r="P689" i="2"/>
  <c r="S690" i="2" l="1"/>
  <c r="P690" i="2"/>
  <c r="Q690" i="2"/>
  <c r="P691" i="2" l="1"/>
  <c r="S691" i="2"/>
  <c r="Q691" i="2"/>
  <c r="S692" i="2" l="1"/>
  <c r="Q692" i="2"/>
  <c r="P692" i="2"/>
  <c r="S693" i="2" l="1"/>
  <c r="Q693" i="2"/>
  <c r="P693" i="2"/>
  <c r="S694" i="2" l="1"/>
  <c r="P694" i="2"/>
  <c r="Q694" i="2"/>
  <c r="S695" i="2" l="1"/>
  <c r="P695" i="2"/>
  <c r="Q695" i="2"/>
  <c r="Q696" i="2" l="1"/>
  <c r="S696" i="2"/>
  <c r="P696" i="2"/>
  <c r="S697" i="2" l="1"/>
  <c r="Q697" i="2"/>
  <c r="P697" i="2"/>
  <c r="S698" i="2" l="1"/>
  <c r="P698" i="2"/>
  <c r="Q698" i="2"/>
  <c r="P699" i="2" l="1"/>
  <c r="S699" i="2"/>
  <c r="Q699" i="2"/>
  <c r="S700" i="2" l="1"/>
  <c r="P700" i="2"/>
  <c r="Q700" i="2"/>
  <c r="S701" i="2" l="1"/>
  <c r="P701" i="2"/>
  <c r="Q701" i="2"/>
  <c r="S702" i="2" l="1"/>
  <c r="P702" i="2"/>
  <c r="Q702" i="2"/>
  <c r="S703" i="2" l="1"/>
  <c r="P703" i="2"/>
  <c r="Q703" i="2"/>
  <c r="S704" i="2" l="1"/>
  <c r="Q704" i="2"/>
  <c r="P704" i="2"/>
  <c r="S705" i="2" l="1"/>
  <c r="P705" i="2"/>
  <c r="Q705" i="2"/>
  <c r="P706" i="2" l="1"/>
  <c r="S706" i="2"/>
  <c r="Q706" i="2"/>
  <c r="S707" i="2" l="1"/>
  <c r="P707" i="2"/>
  <c r="Q707" i="2"/>
  <c r="S708" i="2" l="1"/>
  <c r="P708" i="2"/>
  <c r="Q708" i="2"/>
  <c r="S709" i="2" l="1"/>
  <c r="P709" i="2"/>
  <c r="Q709" i="2"/>
  <c r="E718" i="2" l="1"/>
  <c r="B718" i="2"/>
  <c r="C718" i="2"/>
  <c r="E719" i="2" l="1"/>
  <c r="B719" i="2"/>
  <c r="C719" i="2"/>
  <c r="E720" i="2" l="1"/>
  <c r="B720" i="2"/>
  <c r="C720" i="2"/>
  <c r="E721" i="2" l="1"/>
  <c r="B721" i="2"/>
  <c r="C721" i="2"/>
  <c r="B722" i="2" l="1"/>
  <c r="C722" i="2"/>
  <c r="E722" i="2"/>
  <c r="E723" i="2" l="1"/>
  <c r="C723" i="2"/>
  <c r="B723" i="2"/>
  <c r="E724" i="2" l="1"/>
  <c r="B724" i="2"/>
  <c r="C724" i="2"/>
  <c r="B725" i="2" l="1"/>
  <c r="E725" i="2"/>
  <c r="C725" i="2"/>
  <c r="B726" i="2" l="1"/>
  <c r="E726" i="2"/>
  <c r="C726" i="2"/>
  <c r="B727" i="2" l="1"/>
  <c r="E727" i="2"/>
  <c r="C727" i="2"/>
  <c r="B728" i="2" l="1"/>
  <c r="E728" i="2"/>
  <c r="C728" i="2"/>
  <c r="B729" i="2" l="1"/>
  <c r="E729" i="2"/>
  <c r="C729" i="2"/>
  <c r="E730" i="2" l="1"/>
  <c r="B730" i="2"/>
  <c r="C730" i="2"/>
  <c r="E731" i="2" l="1"/>
  <c r="B731" i="2"/>
  <c r="C731" i="2"/>
  <c r="E732" i="2" l="1"/>
  <c r="C732" i="2"/>
  <c r="B732" i="2"/>
  <c r="E733" i="2" l="1"/>
  <c r="B733" i="2"/>
  <c r="C733" i="2"/>
  <c r="E734" i="2" l="1"/>
  <c r="B734" i="2"/>
  <c r="C734" i="2"/>
  <c r="E735" i="2" l="1"/>
  <c r="B735" i="2"/>
  <c r="C735" i="2"/>
  <c r="E736" i="2" l="1"/>
  <c r="B736" i="2"/>
  <c r="C736" i="2"/>
  <c r="E737" i="2" l="1"/>
  <c r="B737" i="2"/>
  <c r="C737" i="2"/>
  <c r="E738" i="2" l="1"/>
  <c r="B738" i="2"/>
  <c r="C738" i="2"/>
  <c r="E739" i="2" l="1"/>
  <c r="B739" i="2"/>
  <c r="C739" i="2"/>
  <c r="E740" i="2" l="1"/>
  <c r="C740" i="2"/>
  <c r="B740" i="2"/>
  <c r="I718" i="2" l="1"/>
  <c r="L718" i="2"/>
  <c r="J718" i="2"/>
  <c r="I719" i="2" l="1"/>
  <c r="L719" i="2"/>
  <c r="J719" i="2"/>
  <c r="I720" i="2" l="1"/>
  <c r="J720" i="2"/>
  <c r="L720" i="2"/>
  <c r="I721" i="2" l="1"/>
  <c r="L721" i="2"/>
  <c r="J721" i="2"/>
  <c r="L722" i="2" l="1"/>
  <c r="I722" i="2"/>
  <c r="J722" i="2"/>
  <c r="L723" i="2" l="1"/>
  <c r="I723" i="2"/>
  <c r="J723" i="2"/>
  <c r="I724" i="2" l="1"/>
  <c r="L724" i="2"/>
  <c r="J724" i="2"/>
  <c r="L725" i="2" l="1"/>
  <c r="I725" i="2"/>
  <c r="J725" i="2"/>
  <c r="L726" i="2" l="1"/>
  <c r="J726" i="2"/>
  <c r="I726" i="2"/>
  <c r="L727" i="2" l="1"/>
  <c r="J727" i="2"/>
  <c r="I727" i="2"/>
  <c r="L728" i="2" l="1"/>
  <c r="I728" i="2"/>
  <c r="J728" i="2"/>
  <c r="L729" i="2" l="1"/>
  <c r="I729" i="2"/>
  <c r="J729" i="2"/>
  <c r="L730" i="2" l="1"/>
  <c r="J730" i="2"/>
  <c r="I730" i="2"/>
  <c r="L731" i="2" l="1"/>
  <c r="I731" i="2"/>
  <c r="J731" i="2"/>
  <c r="L732" i="2" l="1"/>
  <c r="I732" i="2"/>
  <c r="J732" i="2"/>
  <c r="L733" i="2" l="1"/>
  <c r="I733" i="2"/>
  <c r="J733" i="2"/>
  <c r="L734" i="2" l="1"/>
  <c r="I734" i="2"/>
  <c r="J734" i="2"/>
  <c r="L735" i="2" l="1"/>
  <c r="I735" i="2"/>
  <c r="J735" i="2"/>
  <c r="I736" i="2" l="1"/>
  <c r="L736" i="2"/>
  <c r="J736" i="2"/>
  <c r="L737" i="2" l="1"/>
  <c r="I737" i="2"/>
  <c r="J737" i="2"/>
  <c r="L738" i="2" l="1"/>
  <c r="I738" i="2"/>
  <c r="J738" i="2"/>
  <c r="L739" i="2" l="1"/>
  <c r="I739" i="2"/>
  <c r="J739" i="2"/>
  <c r="I740" i="2" l="1"/>
  <c r="L740" i="2"/>
  <c r="J740" i="2"/>
  <c r="S718" i="2" l="1"/>
  <c r="P718" i="2"/>
  <c r="Q718" i="2"/>
  <c r="S719" i="2" l="1"/>
  <c r="P719" i="2"/>
  <c r="Q719" i="2"/>
  <c r="S720" i="2" l="1"/>
  <c r="P720" i="2"/>
  <c r="Q720" i="2"/>
  <c r="S721" i="2" l="1"/>
  <c r="Q721" i="2"/>
  <c r="P721" i="2"/>
  <c r="S722" i="2" l="1"/>
  <c r="P722" i="2"/>
  <c r="Q722" i="2"/>
  <c r="S723" i="2" l="1"/>
  <c r="P723" i="2"/>
  <c r="Q723" i="2"/>
  <c r="S724" i="2" l="1"/>
  <c r="P724" i="2"/>
  <c r="Q724" i="2"/>
  <c r="S725" i="2" l="1"/>
  <c r="P725" i="2"/>
  <c r="Q725" i="2"/>
  <c r="P726" i="2" l="1"/>
  <c r="S726" i="2"/>
  <c r="Q726" i="2"/>
  <c r="P727" i="2" l="1"/>
  <c r="Q727" i="2"/>
  <c r="S727" i="2"/>
  <c r="P728" i="2" l="1"/>
  <c r="S728" i="2"/>
  <c r="Q728" i="2"/>
  <c r="S729" i="2" l="1"/>
  <c r="P729" i="2"/>
  <c r="Q729" i="2"/>
  <c r="S730" i="2" l="1"/>
  <c r="P730" i="2"/>
  <c r="Q730" i="2"/>
  <c r="S731" i="2" l="1"/>
  <c r="P731" i="2"/>
  <c r="Q731" i="2"/>
  <c r="S732" i="2" l="1"/>
  <c r="P732" i="2"/>
  <c r="Q732" i="2"/>
  <c r="S733" i="2" l="1"/>
  <c r="P733" i="2"/>
  <c r="Q733" i="2"/>
  <c r="S734" i="2" l="1"/>
  <c r="P734" i="2"/>
  <c r="Q734" i="2"/>
  <c r="P735" i="2" l="1"/>
  <c r="S735" i="2"/>
  <c r="Q735" i="2"/>
  <c r="S736" i="2" l="1"/>
  <c r="P736" i="2"/>
  <c r="Q736" i="2"/>
  <c r="S737" i="2" l="1"/>
  <c r="P737" i="2"/>
  <c r="Q737" i="2"/>
  <c r="S738" i="2" l="1"/>
  <c r="P738" i="2"/>
  <c r="Q738" i="2"/>
  <c r="S739" i="2" l="1"/>
  <c r="P739" i="2"/>
  <c r="Q739" i="2"/>
  <c r="Q740" i="2" l="1"/>
  <c r="P740" i="2"/>
  <c r="S740" i="2"/>
  <c r="E749" i="2" l="1"/>
  <c r="B749" i="2"/>
  <c r="C749" i="2"/>
  <c r="E750" i="2" l="1"/>
  <c r="B750" i="2"/>
  <c r="C750" i="2"/>
  <c r="B751" i="2" l="1"/>
  <c r="E751" i="2"/>
  <c r="C751" i="2"/>
  <c r="B752" i="2" l="1"/>
  <c r="C752" i="2"/>
  <c r="E752" i="2"/>
  <c r="B753" i="2" l="1"/>
  <c r="E753" i="2"/>
  <c r="C753" i="2"/>
  <c r="B754" i="2" l="1"/>
  <c r="E754" i="2"/>
  <c r="C754" i="2"/>
  <c r="E755" i="2" l="1"/>
  <c r="B755" i="2"/>
  <c r="C755" i="2"/>
  <c r="E756" i="2" l="1"/>
  <c r="B756" i="2"/>
  <c r="C756" i="2"/>
  <c r="E757" i="2" l="1"/>
  <c r="C757" i="2"/>
  <c r="B757" i="2"/>
  <c r="E758" i="2" l="1"/>
  <c r="C758" i="2"/>
  <c r="B758" i="2"/>
  <c r="E759" i="2" l="1"/>
  <c r="B759" i="2"/>
  <c r="C759" i="2"/>
  <c r="E760" i="2" l="1"/>
  <c r="B760" i="2"/>
  <c r="C760" i="2"/>
  <c r="E761" i="2" l="1"/>
  <c r="B761" i="2"/>
  <c r="C761" i="2"/>
  <c r="E762" i="2" l="1"/>
  <c r="B762" i="2"/>
  <c r="C762" i="2"/>
  <c r="E763" i="2" l="1"/>
  <c r="B763" i="2"/>
  <c r="C763" i="2"/>
  <c r="E764" i="2" l="1"/>
  <c r="B764" i="2"/>
  <c r="C764" i="2"/>
  <c r="E765" i="2" l="1"/>
  <c r="B765" i="2"/>
  <c r="C765" i="2"/>
  <c r="E766" i="2" l="1"/>
  <c r="B766" i="2"/>
  <c r="C766" i="2"/>
  <c r="E767" i="2" l="1"/>
  <c r="B767" i="2"/>
  <c r="C767" i="2"/>
  <c r="E768" i="2" l="1"/>
  <c r="B768" i="2"/>
  <c r="C768" i="2"/>
  <c r="B769" i="2" l="1"/>
  <c r="E769" i="2"/>
  <c r="C769" i="2"/>
  <c r="B770" i="2" l="1"/>
  <c r="E770" i="2"/>
  <c r="C770" i="2"/>
  <c r="B771" i="2" l="1"/>
  <c r="E771" i="2"/>
  <c r="C771" i="2"/>
  <c r="L749" i="2" l="1"/>
  <c r="I749" i="2"/>
  <c r="J749" i="2"/>
  <c r="L750" i="2" l="1"/>
  <c r="I750" i="2"/>
  <c r="J750" i="2"/>
  <c r="L751" i="2" l="1"/>
  <c r="I751" i="2"/>
  <c r="J751" i="2"/>
  <c r="L752" i="2" l="1"/>
  <c r="J752" i="2"/>
  <c r="I752" i="2"/>
  <c r="L753" i="2" l="1"/>
  <c r="I753" i="2"/>
  <c r="J753" i="2"/>
  <c r="L754" i="2" l="1"/>
  <c r="I754" i="2"/>
  <c r="J754" i="2"/>
  <c r="L755" i="2" l="1"/>
  <c r="I755" i="2"/>
  <c r="J755" i="2"/>
  <c r="L756" i="2" l="1"/>
  <c r="I756" i="2"/>
  <c r="J756" i="2"/>
  <c r="L757" i="2" l="1"/>
  <c r="I757" i="2"/>
  <c r="J757" i="2"/>
  <c r="L758" i="2" l="1"/>
  <c r="I758" i="2"/>
  <c r="J758" i="2"/>
  <c r="L759" i="2" l="1"/>
  <c r="I759" i="2"/>
  <c r="J759" i="2"/>
  <c r="I760" i="2" l="1"/>
  <c r="L760" i="2"/>
  <c r="J760" i="2"/>
  <c r="I761" i="2" l="1"/>
  <c r="L761" i="2"/>
  <c r="J761" i="2"/>
  <c r="I762" i="2" l="1"/>
  <c r="L762" i="2"/>
  <c r="J762" i="2"/>
  <c r="L763" i="2" l="1"/>
  <c r="J763" i="2"/>
  <c r="I763" i="2"/>
  <c r="L764" i="2" l="1"/>
  <c r="I764" i="2"/>
  <c r="J764" i="2"/>
  <c r="L765" i="2" l="1"/>
  <c r="I765" i="2"/>
  <c r="J765" i="2"/>
  <c r="L766" i="2" l="1"/>
  <c r="I766" i="2"/>
  <c r="J766" i="2"/>
  <c r="L767" i="2" l="1"/>
  <c r="I767" i="2"/>
  <c r="J767" i="2"/>
  <c r="L768" i="2" l="1"/>
  <c r="I768" i="2"/>
  <c r="J768" i="2"/>
  <c r="L769" i="2" l="1"/>
  <c r="I769" i="2"/>
  <c r="J769" i="2"/>
  <c r="L770" i="2" l="1"/>
  <c r="I770" i="2"/>
  <c r="J770" i="2"/>
  <c r="L771" i="2" l="1"/>
  <c r="I771" i="2"/>
  <c r="J771" i="2"/>
  <c r="S749" i="2" l="1"/>
  <c r="P749" i="2"/>
  <c r="Q749" i="2"/>
  <c r="S750" i="2" l="1"/>
  <c r="P750" i="2"/>
  <c r="Q750" i="2"/>
  <c r="P751" i="2" l="1"/>
  <c r="S751" i="2"/>
  <c r="Q751" i="2"/>
  <c r="P752" i="2" l="1"/>
  <c r="S752" i="2"/>
  <c r="Q752" i="2"/>
  <c r="P753" i="2" l="1"/>
  <c r="S753" i="2"/>
  <c r="Q753" i="2"/>
  <c r="S754" i="2" l="1"/>
  <c r="P754" i="2"/>
  <c r="Q754" i="2"/>
  <c r="S755" i="2" l="1"/>
  <c r="P755" i="2"/>
  <c r="Q755" i="2"/>
  <c r="S756" i="2" l="1"/>
  <c r="P756" i="2"/>
  <c r="Q756" i="2"/>
  <c r="S757" i="2" l="1"/>
  <c r="P757" i="2"/>
  <c r="Q757" i="2"/>
  <c r="S758" i="2" l="1"/>
  <c r="P758" i="2"/>
  <c r="Q758" i="2"/>
  <c r="S759" i="2" l="1"/>
  <c r="P759" i="2"/>
  <c r="Q759" i="2"/>
  <c r="S760" i="2" l="1"/>
  <c r="P760" i="2"/>
  <c r="Q760" i="2"/>
  <c r="S761" i="2" l="1"/>
  <c r="P761" i="2"/>
  <c r="Q761" i="2"/>
  <c r="S762" i="2" l="1"/>
  <c r="P762" i="2"/>
  <c r="Q762" i="2"/>
  <c r="S763" i="2" l="1"/>
  <c r="P763" i="2"/>
  <c r="Q763" i="2"/>
  <c r="S764" i="2" l="1"/>
  <c r="P764" i="2"/>
  <c r="Q764" i="2"/>
  <c r="S765" i="2" l="1"/>
  <c r="P765" i="2"/>
  <c r="Q765" i="2"/>
  <c r="S766" i="2" l="1"/>
  <c r="P766" i="2"/>
  <c r="Q766" i="2"/>
  <c r="S767" i="2" l="1"/>
  <c r="P767" i="2"/>
  <c r="Q767" i="2"/>
  <c r="P768" i="2" l="1"/>
  <c r="S768" i="2"/>
  <c r="Q768" i="2"/>
  <c r="P769" i="2" l="1"/>
  <c r="S769" i="2"/>
  <c r="Q769" i="2"/>
  <c r="P770" i="2" l="1"/>
  <c r="S770" i="2"/>
  <c r="Q770" i="2"/>
  <c r="Q771" i="2" l="1"/>
  <c r="P771" i="2"/>
  <c r="S771" i="2"/>
  <c r="B780" i="2" l="1"/>
  <c r="E780" i="2"/>
  <c r="C780" i="2"/>
  <c r="B781" i="2" l="1"/>
  <c r="E781" i="2"/>
  <c r="C781" i="2"/>
  <c r="E782" i="2" l="1"/>
  <c r="C782" i="2"/>
  <c r="B782" i="2"/>
  <c r="E783" i="2" l="1"/>
  <c r="B783" i="2"/>
  <c r="C783" i="2"/>
  <c r="E784" i="2" l="1"/>
  <c r="C784" i="2"/>
  <c r="B784" i="2"/>
  <c r="E785" i="2" l="1"/>
  <c r="B785" i="2"/>
  <c r="C785" i="2"/>
  <c r="E786" i="2" l="1"/>
  <c r="C786" i="2"/>
  <c r="B786" i="2"/>
  <c r="E787" i="2" l="1"/>
  <c r="B787" i="2"/>
  <c r="C787" i="2"/>
  <c r="E788" i="2" l="1"/>
  <c r="B788" i="2"/>
  <c r="C788" i="2"/>
  <c r="E789" i="2" l="1"/>
  <c r="B789" i="2"/>
  <c r="C789" i="2"/>
  <c r="B790" i="2" l="1"/>
  <c r="E790" i="2"/>
  <c r="C790" i="2"/>
  <c r="B791" i="2" l="1"/>
  <c r="E791" i="2"/>
  <c r="C791" i="2"/>
  <c r="E792" i="2" l="1"/>
  <c r="B792" i="2"/>
  <c r="C792" i="2"/>
  <c r="E793" i="2" l="1"/>
  <c r="C793" i="2"/>
  <c r="B793" i="2"/>
  <c r="E794" i="2" l="1"/>
  <c r="C794" i="2"/>
  <c r="B794" i="2"/>
  <c r="E795" i="2" l="1"/>
  <c r="B795" i="2"/>
  <c r="C795" i="2"/>
  <c r="E796" i="2" l="1"/>
  <c r="B796" i="2"/>
  <c r="C796" i="2"/>
  <c r="E797" i="2" l="1"/>
  <c r="B797" i="2"/>
  <c r="C797" i="2"/>
  <c r="E798" i="2" l="1"/>
  <c r="C798" i="2"/>
  <c r="B798" i="2"/>
  <c r="B799" i="2" l="1"/>
  <c r="E799" i="2"/>
  <c r="C799" i="2"/>
  <c r="B800" i="2" l="1"/>
  <c r="E800" i="2"/>
  <c r="C800" i="2"/>
  <c r="E801" i="2" l="1"/>
  <c r="B801" i="2"/>
  <c r="C801" i="2"/>
  <c r="E802" i="2" l="1"/>
  <c r="B802" i="2"/>
  <c r="C802" i="2"/>
  <c r="L780" i="2" l="1"/>
  <c r="I780" i="2"/>
  <c r="J780" i="2"/>
  <c r="L781" i="2" l="1"/>
  <c r="I781" i="2"/>
  <c r="J781" i="2"/>
  <c r="L782" i="2" l="1"/>
  <c r="J782" i="2"/>
  <c r="I782" i="2"/>
  <c r="L783" i="2" l="1"/>
  <c r="I783" i="2"/>
  <c r="J783" i="2"/>
  <c r="I784" i="2" l="1"/>
  <c r="L784" i="2"/>
  <c r="J784" i="2"/>
  <c r="L785" i="2" l="1"/>
  <c r="I785" i="2"/>
  <c r="J785" i="2"/>
  <c r="I786" i="2" l="1"/>
  <c r="L786" i="2"/>
  <c r="J786" i="2"/>
  <c r="L787" i="2" l="1"/>
  <c r="I787" i="2"/>
  <c r="J787" i="2"/>
  <c r="I788" i="2" l="1"/>
  <c r="L788" i="2"/>
  <c r="J788" i="2"/>
  <c r="L789" i="2" l="1"/>
  <c r="J789" i="2"/>
  <c r="I789" i="2"/>
  <c r="L790" i="2" l="1"/>
  <c r="I790" i="2"/>
  <c r="J790" i="2"/>
  <c r="L791" i="2" l="1"/>
  <c r="I791" i="2"/>
  <c r="J791" i="2"/>
  <c r="L792" i="2" l="1"/>
  <c r="I792" i="2"/>
  <c r="J792" i="2"/>
  <c r="L793" i="2" l="1"/>
  <c r="I793" i="2"/>
  <c r="J793" i="2"/>
  <c r="L794" i="2" l="1"/>
  <c r="I794" i="2"/>
  <c r="J794" i="2"/>
  <c r="L795" i="2" l="1"/>
  <c r="I795" i="2"/>
  <c r="J795" i="2"/>
  <c r="L796" i="2" l="1"/>
  <c r="I796" i="2"/>
  <c r="J796" i="2"/>
  <c r="L797" i="2" l="1"/>
  <c r="I797" i="2"/>
  <c r="J797" i="2"/>
  <c r="L798" i="2" l="1"/>
  <c r="J798" i="2"/>
  <c r="I798" i="2"/>
  <c r="L799" i="2" l="1"/>
  <c r="I799" i="2"/>
  <c r="J799" i="2"/>
  <c r="L800" i="2" l="1"/>
  <c r="I800" i="2"/>
  <c r="J800" i="2"/>
  <c r="I801" i="2" l="1"/>
  <c r="L801" i="2"/>
  <c r="J801" i="2"/>
  <c r="I802" i="2" l="1"/>
  <c r="L802" i="2"/>
  <c r="J802" i="2"/>
  <c r="P780" i="2" l="1"/>
  <c r="Q780" i="2"/>
  <c r="S780" i="2"/>
  <c r="P781" i="2" l="1"/>
  <c r="S781" i="2"/>
  <c r="Q781" i="2"/>
  <c r="P782" i="2" l="1"/>
  <c r="S782" i="2"/>
  <c r="Q782" i="2"/>
  <c r="P783" i="2" l="1"/>
  <c r="S783" i="2"/>
  <c r="Q783" i="2"/>
  <c r="S784" i="2" l="1"/>
  <c r="P784" i="2"/>
  <c r="Q784" i="2"/>
  <c r="S785" i="2" l="1"/>
  <c r="P785" i="2"/>
  <c r="Q785" i="2"/>
  <c r="S786" i="2" l="1"/>
  <c r="P786" i="2"/>
  <c r="Q786" i="2"/>
  <c r="P787" i="2" l="1"/>
  <c r="S787" i="2"/>
  <c r="Q787" i="2"/>
  <c r="S788" i="2" l="1"/>
  <c r="P788" i="2"/>
  <c r="Q788" i="2"/>
  <c r="S789" i="2" l="1"/>
  <c r="Q789" i="2"/>
  <c r="P789" i="2"/>
  <c r="S790" i="2" l="1"/>
  <c r="P790" i="2"/>
  <c r="Q790" i="2"/>
  <c r="S791" i="2" l="1"/>
  <c r="P791" i="2"/>
  <c r="Q791" i="2"/>
  <c r="S792" i="2" l="1"/>
  <c r="P792" i="2"/>
  <c r="Q792" i="2"/>
  <c r="P793" i="2" l="1"/>
  <c r="S793" i="2"/>
  <c r="Q793" i="2"/>
  <c r="P794" i="2" l="1"/>
  <c r="S794" i="2"/>
  <c r="Q794" i="2"/>
  <c r="P795" i="2" l="1"/>
  <c r="Q795" i="2"/>
  <c r="S795" i="2"/>
  <c r="S796" i="2" l="1"/>
  <c r="P796" i="2"/>
  <c r="Q796" i="2"/>
  <c r="S797" i="2" l="1"/>
  <c r="P797" i="2"/>
  <c r="Q797" i="2"/>
  <c r="S798" i="2" l="1"/>
  <c r="P798" i="2"/>
  <c r="Q798" i="2"/>
  <c r="S799" i="2" l="1"/>
  <c r="P799" i="2"/>
  <c r="Q799" i="2"/>
  <c r="S800" i="2" l="1"/>
  <c r="P800" i="2"/>
  <c r="Q800" i="2"/>
  <c r="S801" i="2" l="1"/>
  <c r="P801" i="2"/>
  <c r="Q801" i="2"/>
  <c r="S802" i="2" l="1"/>
  <c r="P802" i="2"/>
  <c r="Q802" i="2"/>
  <c r="E811" i="2" l="1"/>
  <c r="B811" i="2"/>
  <c r="C811" i="2"/>
  <c r="E812" i="2" l="1"/>
  <c r="B812" i="2"/>
  <c r="C812" i="2"/>
  <c r="B813" i="2" l="1"/>
  <c r="E813" i="2"/>
  <c r="C813" i="2"/>
  <c r="E814" i="2" l="1"/>
  <c r="B814" i="2"/>
  <c r="C814" i="2"/>
  <c r="E815" i="2" l="1"/>
  <c r="B815" i="2"/>
  <c r="C815" i="2"/>
  <c r="E816" i="2" l="1"/>
  <c r="C816" i="2"/>
  <c r="B816" i="2"/>
  <c r="E817" i="2" l="1"/>
  <c r="B817" i="2"/>
  <c r="C817" i="2"/>
  <c r="E818" i="2" l="1"/>
  <c r="B818" i="2"/>
  <c r="C818" i="2"/>
  <c r="B819" i="2" l="1"/>
  <c r="E819" i="2"/>
  <c r="C819" i="2"/>
  <c r="E820" i="2" l="1"/>
  <c r="B820" i="2"/>
  <c r="C820" i="2"/>
  <c r="B821" i="2" l="1"/>
  <c r="E821" i="2"/>
  <c r="C821" i="2"/>
  <c r="E822" i="2" l="1"/>
  <c r="C822" i="2"/>
  <c r="B822" i="2"/>
  <c r="E823" i="2" l="1"/>
  <c r="B823" i="2"/>
  <c r="C823" i="2"/>
  <c r="E824" i="2" l="1"/>
  <c r="B824" i="2"/>
  <c r="C824" i="2"/>
  <c r="E825" i="2" l="1"/>
  <c r="B825" i="2"/>
  <c r="C825" i="2"/>
  <c r="E826" i="2" l="1"/>
  <c r="B826" i="2"/>
  <c r="C826" i="2"/>
  <c r="E827" i="2" l="1"/>
  <c r="C827" i="2"/>
  <c r="B827" i="2"/>
  <c r="E828" i="2" l="1"/>
  <c r="B828" i="2"/>
  <c r="C828" i="2"/>
  <c r="E829" i="2" l="1"/>
  <c r="B829" i="2"/>
  <c r="C829" i="2"/>
  <c r="E830" i="2" l="1"/>
  <c r="B830" i="2"/>
  <c r="C830" i="2"/>
  <c r="E831" i="2" l="1"/>
  <c r="B831" i="2"/>
  <c r="C831" i="2"/>
  <c r="E832" i="2" l="1"/>
  <c r="B832" i="2"/>
  <c r="C832" i="2"/>
  <c r="E833" i="2" l="1"/>
  <c r="B833" i="2"/>
  <c r="C833" i="2"/>
  <c r="L811" i="2" l="1"/>
  <c r="I811" i="2"/>
  <c r="J811" i="2"/>
  <c r="I812" i="2" l="1"/>
  <c r="L812" i="2"/>
  <c r="J812" i="2"/>
  <c r="I813" i="2" l="1"/>
  <c r="L813" i="2"/>
  <c r="J813" i="2"/>
  <c r="I814" i="2" l="1"/>
  <c r="L814" i="2"/>
  <c r="J814" i="2"/>
  <c r="L815" i="2" l="1"/>
  <c r="I815" i="2"/>
  <c r="J815" i="2"/>
  <c r="L816" i="2" l="1"/>
  <c r="I816" i="2"/>
  <c r="J816" i="2"/>
  <c r="L817" i="2" l="1"/>
  <c r="I817" i="2"/>
  <c r="J817" i="2"/>
  <c r="L818" i="2" l="1"/>
  <c r="I818" i="2"/>
  <c r="J818" i="2"/>
  <c r="L819" i="2" l="1"/>
  <c r="I819" i="2"/>
  <c r="J819" i="2"/>
  <c r="L820" i="2" l="1"/>
  <c r="I820" i="2"/>
  <c r="J820" i="2"/>
  <c r="L821" i="2" l="1"/>
  <c r="I821" i="2"/>
  <c r="J821" i="2"/>
  <c r="L822" i="2" l="1"/>
  <c r="I822" i="2"/>
  <c r="J822" i="2"/>
  <c r="L823" i="2" l="1"/>
  <c r="I823" i="2"/>
  <c r="J823" i="2"/>
  <c r="L824" i="2" l="1"/>
  <c r="I824" i="2"/>
  <c r="J824" i="2"/>
  <c r="L825" i="2" l="1"/>
  <c r="I825" i="2"/>
  <c r="J825" i="2"/>
  <c r="I826" i="2" l="1"/>
  <c r="L826" i="2"/>
  <c r="J826" i="2"/>
  <c r="I827" i="2" l="1"/>
  <c r="L827" i="2"/>
  <c r="J827" i="2"/>
  <c r="L828" i="2" l="1"/>
  <c r="I828" i="2"/>
  <c r="J828" i="2"/>
  <c r="L829" i="2" l="1"/>
  <c r="I829" i="2"/>
  <c r="J829" i="2"/>
  <c r="L830" i="2" l="1"/>
  <c r="I830" i="2"/>
  <c r="J830" i="2"/>
  <c r="L831" i="2" l="1"/>
  <c r="I831" i="2"/>
  <c r="J831" i="2"/>
  <c r="L832" i="2" l="1"/>
  <c r="J832" i="2"/>
  <c r="I832" i="2"/>
  <c r="L833" i="2" l="1"/>
  <c r="J833" i="2"/>
  <c r="I833" i="2"/>
  <c r="S811" i="2" l="1"/>
  <c r="Q811" i="2"/>
  <c r="P811" i="2"/>
  <c r="S812" i="2" l="1"/>
  <c r="P812" i="2"/>
  <c r="Q812" i="2"/>
  <c r="S813" i="2" l="1"/>
  <c r="P813" i="2"/>
  <c r="Q813" i="2"/>
  <c r="S814" i="2" l="1"/>
  <c r="P814" i="2"/>
  <c r="Q814" i="2"/>
  <c r="S815" i="2" l="1"/>
  <c r="P815" i="2"/>
  <c r="Q815" i="2"/>
  <c r="P816" i="2" l="1"/>
  <c r="S816" i="2"/>
  <c r="Q816" i="2"/>
  <c r="S817" i="2" l="1"/>
  <c r="P817" i="2"/>
  <c r="Q817" i="2"/>
  <c r="S818" i="2" l="1"/>
  <c r="Q818" i="2"/>
  <c r="P818" i="2"/>
  <c r="S819" i="2" l="1"/>
  <c r="P819" i="2"/>
  <c r="Q819" i="2"/>
  <c r="S820" i="2" l="1"/>
  <c r="P820" i="2"/>
  <c r="Q820" i="2"/>
  <c r="P821" i="2" l="1"/>
  <c r="S821" i="2"/>
  <c r="Q821" i="2"/>
  <c r="P822" i="2" l="1"/>
  <c r="S822" i="2"/>
  <c r="Q822" i="2"/>
  <c r="P823" i="2" l="1"/>
  <c r="S823" i="2"/>
  <c r="Q823" i="2"/>
  <c r="S824" i="2" l="1"/>
  <c r="P824" i="2"/>
  <c r="Q824" i="2"/>
  <c r="S825" i="2" l="1"/>
  <c r="P825" i="2"/>
  <c r="Q825" i="2"/>
  <c r="S826" i="2" l="1"/>
  <c r="P826" i="2"/>
  <c r="Q826" i="2"/>
  <c r="S827" i="2" l="1"/>
  <c r="P827" i="2"/>
  <c r="Q827" i="2"/>
  <c r="S828" i="2" l="1"/>
  <c r="P828" i="2"/>
  <c r="Q828" i="2"/>
  <c r="S829" i="2" l="1"/>
  <c r="P829" i="2"/>
  <c r="Q829" i="2"/>
  <c r="S830" i="2" l="1"/>
  <c r="P830" i="2"/>
  <c r="Q830" i="2"/>
  <c r="S831" i="2" l="1"/>
  <c r="P831" i="2"/>
  <c r="Q831" i="2"/>
  <c r="S832" i="2" l="1"/>
  <c r="P832" i="2"/>
  <c r="Q832" i="2"/>
  <c r="S833" i="2" l="1"/>
  <c r="P833" i="2"/>
  <c r="Q833" i="2"/>
</calcChain>
</file>

<file path=xl/sharedStrings.xml><?xml version="1.0" encoding="utf-8"?>
<sst xmlns="http://schemas.openxmlformats.org/spreadsheetml/2006/main" count="16277" uniqueCount="97">
  <si>
    <t>Data</t>
  </si>
  <si>
    <t>ID</t>
  </si>
  <si>
    <t>Geometry</t>
  </si>
  <si>
    <t>Zone</t>
  </si>
  <si>
    <t>Bench</t>
  </si>
  <si>
    <t>Phase</t>
  </si>
  <si>
    <t>Project</t>
  </si>
  <si>
    <t>Domain</t>
  </si>
  <si>
    <t>Lithology</t>
  </si>
  <si>
    <t>GF</t>
  </si>
  <si>
    <t>GR</t>
  </si>
  <si>
    <t>GA</t>
  </si>
  <si>
    <t>RMR</t>
  </si>
  <si>
    <t>Type</t>
  </si>
  <si>
    <t>Diameter</t>
  </si>
  <si>
    <t>X Collar</t>
  </si>
  <si>
    <t>Y Collar</t>
  </si>
  <si>
    <t>Z Collar</t>
  </si>
  <si>
    <t>X Toe</t>
  </si>
  <si>
    <t>Y Toe</t>
  </si>
  <si>
    <t>Z Toe</t>
  </si>
  <si>
    <t>Depth</t>
  </si>
  <si>
    <t>Sub Drill</t>
  </si>
  <si>
    <t>Spacing</t>
  </si>
  <si>
    <t>Burden</t>
  </si>
  <si>
    <t>Azimuth</t>
  </si>
  <si>
    <t>Dip</t>
  </si>
  <si>
    <t>Production</t>
  </si>
  <si>
    <t>Gneiss</t>
  </si>
  <si>
    <t>Obj</t>
  </si>
  <si>
    <t>Inc</t>
  </si>
  <si>
    <t>Perf</t>
  </si>
  <si>
    <t>Rep</t>
  </si>
  <si>
    <t>Ø</t>
  </si>
  <si>
    <t>P</t>
  </si>
  <si>
    <t>B</t>
  </si>
  <si>
    <t>S</t>
  </si>
  <si>
    <t>=Produção</t>
  </si>
  <si>
    <t>=Buffer</t>
  </si>
  <si>
    <t>=Pré Corte</t>
  </si>
  <si>
    <t>Responsável</t>
  </si>
  <si>
    <t>Model</t>
  </si>
  <si>
    <t>Mat Blast</t>
  </si>
  <si>
    <t>Density</t>
  </si>
  <si>
    <t>Cu (%)</t>
  </si>
  <si>
    <t>Au (%)</t>
  </si>
  <si>
    <t>Ni (%)</t>
  </si>
  <si>
    <t>Fe (%)</t>
  </si>
  <si>
    <t>Mg (%)</t>
  </si>
  <si>
    <t>S (%)</t>
  </si>
  <si>
    <t>Cu:S (%)</t>
  </si>
  <si>
    <t>Cu SC_Cu T (%)</t>
  </si>
  <si>
    <t>Explosivo</t>
  </si>
  <si>
    <t>Reforcador</t>
  </si>
  <si>
    <t>Iniciador Primario</t>
  </si>
  <si>
    <t>Iniciador Backup</t>
  </si>
  <si>
    <t>Inicio</t>
  </si>
  <si>
    <t>Fim</t>
  </si>
  <si>
    <t>Operador</t>
  </si>
  <si>
    <t>Frota</t>
  </si>
  <si>
    <t>Equipamento</t>
  </si>
  <si>
    <t>Descricao</t>
  </si>
  <si>
    <t>Observacao</t>
  </si>
  <si>
    <t>Tonnes</t>
  </si>
  <si>
    <t>Tampao</t>
  </si>
  <si>
    <t>Carga</t>
  </si>
  <si>
    <t>DIFFX</t>
  </si>
  <si>
    <t>DIFFY</t>
  </si>
  <si>
    <t>DIFFXY</t>
  </si>
  <si>
    <t>DIFFZ</t>
  </si>
  <si>
    <t>Planned</t>
  </si>
  <si>
    <t>WST</t>
  </si>
  <si>
    <t>T:\MINA\Drill and blast\Deswik\MB_CP_MVV_final.gmdlb</t>
  </si>
  <si>
    <t>Sandvik DP1500i</t>
  </si>
  <si>
    <t>F3</t>
  </si>
  <si>
    <t>R5</t>
  </si>
  <si>
    <t>W2</t>
  </si>
  <si>
    <t>II</t>
  </si>
  <si>
    <t>Pre-Splitting</t>
  </si>
  <si>
    <t>Magnetite-Norite</t>
  </si>
  <si>
    <t>ORE_MG_TP1_D1</t>
  </si>
  <si>
    <t>ORE_HG_TP1_D1</t>
  </si>
  <si>
    <t>W1</t>
  </si>
  <si>
    <t>ORE_SHG_TP1_D1</t>
  </si>
  <si>
    <t>ORE_LG_TP1_D1</t>
  </si>
  <si>
    <t>Gabbro</t>
  </si>
  <si>
    <t>Emulsao 1.15g/cm3</t>
  </si>
  <si>
    <t>1 Esp Elet</t>
  </si>
  <si>
    <t>1 Esp n Elet</t>
  </si>
  <si>
    <t>LIB037</t>
  </si>
  <si>
    <t>NE</t>
  </si>
  <si>
    <t>PP0370626</t>
  </si>
  <si>
    <t>LIB038</t>
  </si>
  <si>
    <t>PP0380626</t>
  </si>
  <si>
    <t>1 Booster 450g</t>
  </si>
  <si>
    <t>Aplicar deck ar (2.5m +1m)</t>
  </si>
  <si>
    <t>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</si>
</sst>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º&quot;"/>
    <numFmt numFmtId="165" formatCode="#,##0.00\ &quot;º&quot;"/>
  </numFmts>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0"/>
      <name val="Aptos Narrow"/>
      <family val="2"/>
    </font>
    <font>
      <b/>
      <sz val="26"/>
      <color theme="1"/>
      <name val="Aptos Narrow"/>
      <family val="2"/>
      <scheme val="minor"/>
    </font>
    <font>
      <b/>
      <sz val="2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rgb="FFFFFFCC"/>
        <bgColor indexed="64"/>
      </patternFill>
    </fill>
    <fill>
      <patternFill patternType="solid">
        <fgColor rgb="FFFFC000"/>
        <bgColor indexed="64"/>
      </patternFill>
    </fill>
    <fill>
      <patternFill patternType="solid">
        <fgColor rgb="FFFFFF6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34998626667073579"/>
      </bottom>
      <diagonal/>
    </border>
    <border>
      <left/>
      <right/>
      <top style="thin">
        <color theme="0" tint="-0.3499862666707357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center" vertical="center"/>
    </xf>
    <xf numFmtId="2" fontId="0" fillId="0" borderId="0" xfId="0" applyNumberFormat="1" applyAlignment="1">
      <alignment horizontal="center" vertical="center"/>
    </xf>
    <xf numFmtId="0" fontId="0" fillId="0" borderId="10" xfId="0" applyBorder="1" applyAlignment="1">
      <alignment horizontal="center" vertical="center"/>
    </xf>
    <xf numFmtId="2" fontId="0" fillId="0" borderId="10" xfId="0" applyNumberFormat="1" applyBorder="1" applyAlignment="1">
      <alignment horizontal="center" vertical="center"/>
    </xf>
    <xf numFmtId="0" fontId="16" fillId="34" borderId="10" xfId="0" applyFont="1" applyFill="1" applyBorder="1" applyAlignment="1">
      <alignment horizontal="center" vertical="center"/>
    </xf>
    <xf numFmtId="0" fontId="18" fillId="33" borderId="0" xfId="0" applyFont="1" applyFill="1" applyAlignment="1">
      <alignment horizontal="center" vertical="center"/>
    </xf>
    <xf numFmtId="0" fontId="13" fillId="33" borderId="0" xfId="0" applyFont="1" applyFill="1" applyAlignment="1">
      <alignment horizontal="center" vertical="center"/>
    </xf>
    <xf numFmtId="164" fontId="0" fillId="0" borderId="10" xfId="0" applyNumberFormat="1" applyBorder="1" applyAlignment="1">
      <alignment horizontal="center" vertical="center"/>
    </xf>
    <xf numFmtId="0" fontId="0" fillId="0" borderId="0" xfId="0" applyAlignment="1">
      <alignment vertical="center"/>
    </xf>
    <xf numFmtId="0" fontId="0" fillId="0" borderId="0" xfId="0" quotePrefix="1" applyAlignment="1">
      <alignment vertical="center"/>
    </xf>
    <xf numFmtId="0" fontId="16" fillId="35" borderId="0" xfId="0" applyFont="1" applyFill="1" applyAlignment="1">
      <alignment horizontal="right" vertical="center"/>
    </xf>
    <xf numFmtId="0" fontId="16" fillId="36" borderId="0" xfId="0" applyFont="1" applyFill="1" applyAlignment="1">
      <alignment horizontal="right" vertical="center"/>
    </xf>
    <xf numFmtId="0" fontId="16" fillId="34" borderId="0" xfId="0" applyFont="1" applyFill="1" applyAlignment="1">
      <alignment horizontal="right" vertical="center"/>
    </xf>
    <xf numFmtId="0" fontId="16" fillId="0" borderId="10" xfId="0" applyFont="1" applyBorder="1" applyAlignment="1">
      <alignment horizontal="center" vertical="center"/>
    </xf>
    <xf numFmtId="0" fontId="16" fillId="0" borderId="0" xfId="0" applyFont="1" applyAlignment="1">
      <alignment horizontal="center" vertical="center"/>
    </xf>
    <xf numFmtId="164" fontId="0" fillId="0" borderId="0" xfId="0" applyNumberFormat="1" applyAlignment="1">
      <alignment horizontal="center" vertical="center"/>
    </xf>
    <xf numFmtId="165" fontId="0" fillId="0" borderId="10" xfId="0" applyNumberFormat="1" applyBorder="1" applyAlignment="1">
      <alignment horizontal="center" vertical="center"/>
    </xf>
    <xf numFmtId="14" fontId="0" fillId="0" borderId="0" xfId="0" applyNumberFormat="1" applyAlignment="1">
      <alignment horizontal="center" vertical="center"/>
    </xf>
    <xf numFmtId="0" fontId="19" fillId="0" borderId="0" xfId="0" applyFont="1" applyAlignment="1">
      <alignment horizontal="center" vertical="center"/>
    </xf>
    <xf numFmtId="0" fontId="0" fillId="0" borderId="11" xfId="0" applyBorder="1" applyAlignment="1">
      <alignment horizontal="center"/>
    </xf>
    <xf numFmtId="0" fontId="0" fillId="0" borderId="12" xfId="0" applyBorder="1" applyAlignment="1">
      <alignment horizontal="center" vertical="center"/>
    </xf>
    <xf numFmtId="0" fontId="20" fillId="0" borderId="0" xfId="0" applyFont="1" applyAlignment="1">
      <alignment horizontal="center" vertic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17">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FF66"/>
        </patternFill>
      </fill>
    </dxf>
    <dxf>
      <font>
        <b/>
        <i val="0"/>
      </font>
      <fill>
        <patternFill>
          <bgColor rgb="FFFFC000"/>
        </patternFill>
      </fill>
    </dxf>
    <dxf>
      <font>
        <b/>
        <i val="0"/>
      </font>
      <fill>
        <patternFill>
          <bgColor rgb="FFFFFFCC"/>
        </patternFill>
      </fill>
    </dxf>
    <dxf>
      <font>
        <b/>
        <i val="0"/>
      </font>
      <fill>
        <patternFill>
          <bgColor rgb="FFFFFFCC"/>
        </patternFill>
      </fill>
    </dxf>
    <dxf>
      <font>
        <b/>
        <i val="0"/>
      </font>
      <fill>
        <patternFill>
          <bgColor rgb="FFFFFF66"/>
        </patternFill>
      </fill>
    </dxf>
    <dxf>
      <font>
        <b/>
        <i val="0"/>
      </font>
      <fill>
        <patternFill>
          <bgColor rgb="FFFFC000"/>
        </patternFill>
      </fill>
    </dxf>
    <dxf>
      <font>
        <b/>
        <i val="0"/>
      </font>
      <fill>
        <patternFill>
          <bgColor rgb="FFFFC000"/>
        </patternFill>
      </fill>
    </dxf>
    <dxf>
      <font>
        <b/>
        <i val="0"/>
      </font>
      <fill>
        <patternFill>
          <bgColor rgb="FFFFFFCC"/>
        </patternFill>
      </fill>
    </dxf>
    <dxf>
      <font>
        <b/>
        <i val="0"/>
      </font>
      <fill>
        <patternFill>
          <bgColor rgb="FFFFFF66"/>
        </patternFill>
      </fill>
    </dxf>
    <dxf>
      <font>
        <b/>
        <i val="0"/>
      </font>
      <fill>
        <patternFill>
          <bgColor rgb="FFFFFFCC"/>
        </patternFill>
      </fill>
    </dxf>
    <dxf>
      <font>
        <b/>
        <i val="0"/>
      </font>
      <fill>
        <patternFill>
          <bgColor rgb="FFFFC000"/>
        </patternFill>
      </fill>
    </dxf>
    <dxf>
      <font>
        <b/>
        <i val="0"/>
      </font>
      <fill>
        <patternFill>
          <bgColor rgb="FFFFFF66"/>
        </patternFill>
      </fill>
    </dxf>
    <dxf>
      <font>
        <b/>
        <i val="0"/>
      </font>
      <fill>
        <patternFill>
          <bgColor rgb="FFFFFFCC"/>
        </patternFill>
      </fill>
    </dxf>
    <dxf>
      <font>
        <b/>
        <i val="0"/>
      </font>
      <fill>
        <patternFill>
          <bgColor rgb="FFFFFF66"/>
        </patternFill>
      </fill>
    </dxf>
    <dxf>
      <font>
        <b/>
        <i val="0"/>
      </font>
      <fill>
        <patternFill>
          <bgColor rgb="FFFFC0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20</xdr:col>
      <xdr:colOff>209550</xdr:colOff>
      <xdr:row>0</xdr:row>
      <xdr:rowOff>38695</xdr:rowOff>
    </xdr:from>
    <xdr:to>
      <xdr:col>21</xdr:col>
      <xdr:colOff>540439</xdr:colOff>
      <xdr:row>2</xdr:row>
      <xdr:rowOff>363874</xdr:rowOff>
    </xdr:to>
    <xdr:pic>
      <xdr:nvPicPr>
        <xdr:cNvPr id="4" name="Imagem 3">
          <a:extLst>
            <a:ext uri="{FF2B5EF4-FFF2-40B4-BE49-F238E27FC236}">
              <a16:creationId xmlns:a16="http://schemas.microsoft.com/office/drawing/2014/main" id="{8FAAEE1F-C10E-7D0A-597B-5EA9691D3FB6}"/>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67975" y="38695"/>
          <a:ext cx="1045264" cy="1087179"/>
        </a:xfrm>
        <a:prstGeom prst="rect">
          <a:avLst/>
        </a:prstGeom>
      </xdr:spPr>
    </xdr:pic>
    <xdr:clientData/>
  </xdr:twoCellAnchor>
  <xdr:twoCellAnchor editAs="oneCell">
    <xdr:from>
      <xdr:col>17</xdr:col>
      <xdr:colOff>234203</xdr:colOff>
      <xdr:row>29</xdr:row>
      <xdr:rowOff>32984</xdr:rowOff>
    </xdr:from>
    <xdr:to>
      <xdr:col>18</xdr:col>
      <xdr:colOff>208548</xdr:colOff>
      <xdr:row>30</xdr:row>
      <xdr:rowOff>112646</xdr:rowOff>
    </xdr:to>
    <xdr:pic>
      <xdr:nvPicPr>
        <xdr:cNvPr id="38" name="Imagem 37" descr="R&amp;D MINERAÇÃO E CONSTRUÇÃO LTDA. | LinkedIn">
          <a:extLst>
            <a:ext uri="{FF2B5EF4-FFF2-40B4-BE49-F238E27FC236}">
              <a16:creationId xmlns:a16="http://schemas.microsoft.com/office/drawing/2014/main" id="{F84F4D07-E309-4E6B-92E8-85CE85B087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546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252205</xdr:colOff>
      <xdr:row>29</xdr:row>
      <xdr:rowOff>14169</xdr:rowOff>
    </xdr:from>
    <xdr:to>
      <xdr:col>9</xdr:col>
      <xdr:colOff>131846</xdr:colOff>
      <xdr:row>30</xdr:row>
      <xdr:rowOff>48087</xdr:rowOff>
    </xdr:to>
    <xdr:pic>
      <xdr:nvPicPr>
        <xdr:cNvPr id="39" name="Imagem 38">
          <a:extLst>
            <a:ext uri="{FF2B5EF4-FFF2-40B4-BE49-F238E27FC236}">
              <a16:creationId xmlns:a16="http://schemas.microsoft.com/office/drawing/2014/main" id="{3C4361F4-AD03-40AC-A180-A70C855D1C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52605" y="16778169"/>
          <a:ext cx="1079791" cy="414918"/>
        </a:xfrm>
        <a:prstGeom prst="rect">
          <a:avLst/>
        </a:prstGeom>
      </xdr:spPr>
    </xdr:pic>
    <xdr:clientData/>
  </xdr:twoCellAnchor>
  <xdr:oneCellAnchor>
    <xdr:from>
      <xdr:col>17</xdr:col>
      <xdr:colOff>234203</xdr:colOff>
      <xdr:row>60</xdr:row>
      <xdr:rowOff>32984</xdr:rowOff>
    </xdr:from>
    <xdr:ext cx="460120" cy="460662"/>
    <xdr:pic>
      <xdr:nvPicPr>
        <xdr:cNvPr id="34" name="Imagem 33" descr="R&amp;D MINERAÇÃO E CONSTRUÇÃO LTDA. | LinkedIn">
          <a:extLst>
            <a:ext uri="{FF2B5EF4-FFF2-40B4-BE49-F238E27FC236}">
              <a16:creationId xmlns:a16="http://schemas.microsoft.com/office/drawing/2014/main" id="{3D93F9FD-0894-4EB9-A8A9-FD582EB64A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31655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60</xdr:row>
      <xdr:rowOff>14169</xdr:rowOff>
    </xdr:from>
    <xdr:ext cx="1079791" cy="414918"/>
    <xdr:pic>
      <xdr:nvPicPr>
        <xdr:cNvPr id="35" name="Imagem 34">
          <a:extLst>
            <a:ext uri="{FF2B5EF4-FFF2-40B4-BE49-F238E27FC236}">
              <a16:creationId xmlns:a16="http://schemas.microsoft.com/office/drawing/2014/main" id="{12CCE756-E996-4DA2-9EDA-529AB0195D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587669"/>
          <a:ext cx="1079791" cy="414918"/>
        </a:xfrm>
        <a:prstGeom prst="rect">
          <a:avLst/>
        </a:prstGeom>
      </xdr:spPr>
    </xdr:pic>
    <xdr:clientData/>
  </xdr:oneCellAnchor>
  <xdr:oneCellAnchor>
    <xdr:from>
      <xdr:col>17</xdr:col>
      <xdr:colOff>234203</xdr:colOff>
      <xdr:row>91</xdr:row>
      <xdr:rowOff>32984</xdr:rowOff>
    </xdr:from>
    <xdr:ext cx="460120" cy="460662"/>
    <xdr:pic>
      <xdr:nvPicPr>
        <xdr:cNvPr id="37" name="Imagem 36" descr="R&amp;D MINERAÇÃO E CONSTRUÇÃO LTDA. | LinkedIn">
          <a:extLst>
            <a:ext uri="{FF2B5EF4-FFF2-40B4-BE49-F238E27FC236}">
              <a16:creationId xmlns:a16="http://schemas.microsoft.com/office/drawing/2014/main" id="{B1E93331-9339-4182-A3CA-5C61FCA6790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47848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91</xdr:row>
      <xdr:rowOff>14169</xdr:rowOff>
    </xdr:from>
    <xdr:ext cx="1079791" cy="414918"/>
    <xdr:pic>
      <xdr:nvPicPr>
        <xdr:cNvPr id="50" name="Imagem 49">
          <a:extLst>
            <a:ext uri="{FF2B5EF4-FFF2-40B4-BE49-F238E27FC236}">
              <a16:creationId xmlns:a16="http://schemas.microsoft.com/office/drawing/2014/main" id="{86F8D3EF-7559-4526-AB11-631D5AF1FE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33923169"/>
          <a:ext cx="1079791" cy="414918"/>
        </a:xfrm>
        <a:prstGeom prst="rect">
          <a:avLst/>
        </a:prstGeom>
      </xdr:spPr>
    </xdr:pic>
    <xdr:clientData/>
  </xdr:oneCellAnchor>
  <xdr:twoCellAnchor editAs="oneCell">
    <xdr:from>
      <xdr:col>20</xdr:col>
      <xdr:colOff>200025</xdr:colOff>
      <xdr:row>31</xdr:row>
      <xdr:rowOff>38100</xdr:rowOff>
    </xdr:from>
    <xdr:to>
      <xdr:col>21</xdr:col>
      <xdr:colOff>530914</xdr:colOff>
      <xdr:row>33</xdr:row>
      <xdr:rowOff>363279</xdr:rowOff>
    </xdr:to>
    <xdr:pic>
      <xdr:nvPicPr>
        <xdr:cNvPr id="51" name="Imagem 50">
          <a:extLst>
            <a:ext uri="{FF2B5EF4-FFF2-40B4-BE49-F238E27FC236}">
              <a16:creationId xmlns:a16="http://schemas.microsoft.com/office/drawing/2014/main" id="{7E99DE2E-D1E1-4F5F-8915-A32FA4210D2D}"/>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58450" y="17373600"/>
          <a:ext cx="1045264" cy="1087179"/>
        </a:xfrm>
        <a:prstGeom prst="rect">
          <a:avLst/>
        </a:prstGeom>
      </xdr:spPr>
    </xdr:pic>
    <xdr:clientData/>
  </xdr:twoCellAnchor>
  <xdr:twoCellAnchor editAs="oneCell">
    <xdr:from>
      <xdr:col>20</xdr:col>
      <xdr:colOff>190500</xdr:colOff>
      <xdr:row>62</xdr:row>
      <xdr:rowOff>38100</xdr:rowOff>
    </xdr:from>
    <xdr:to>
      <xdr:col>21</xdr:col>
      <xdr:colOff>521389</xdr:colOff>
      <xdr:row>64</xdr:row>
      <xdr:rowOff>363279</xdr:rowOff>
    </xdr:to>
    <xdr:pic>
      <xdr:nvPicPr>
        <xdr:cNvPr id="52" name="Imagem 51">
          <a:extLst>
            <a:ext uri="{FF2B5EF4-FFF2-40B4-BE49-F238E27FC236}">
              <a16:creationId xmlns:a16="http://schemas.microsoft.com/office/drawing/2014/main" id="{54C4DF66-E79B-4F29-8EAD-CF44A141A83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34709100"/>
          <a:ext cx="1045264" cy="1087179"/>
        </a:xfrm>
        <a:prstGeom prst="rect">
          <a:avLst/>
        </a:prstGeom>
      </xdr:spPr>
    </xdr:pic>
    <xdr:clientData/>
  </xdr:twoCellAnchor>
  <xdr:oneCellAnchor>
    <xdr:from>
      <xdr:col>17</xdr:col>
      <xdr:colOff>234203</xdr:colOff>
      <xdr:row>122</xdr:row>
      <xdr:rowOff>32984</xdr:rowOff>
    </xdr:from>
    <xdr:ext cx="460120" cy="460662"/>
    <xdr:pic>
      <xdr:nvPicPr>
        <xdr:cNvPr id="53" name="Imagem 52" descr="R&amp;D MINERAÇÃO E CONSTRUÇÃO LTDA. | LinkedIn">
          <a:extLst>
            <a:ext uri="{FF2B5EF4-FFF2-40B4-BE49-F238E27FC236}">
              <a16:creationId xmlns:a16="http://schemas.microsoft.com/office/drawing/2014/main" id="{BF097D9B-E841-488C-8DE8-F28A60E2FF7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64040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122</xdr:row>
      <xdr:rowOff>14169</xdr:rowOff>
    </xdr:from>
    <xdr:ext cx="1079791" cy="414918"/>
    <xdr:pic>
      <xdr:nvPicPr>
        <xdr:cNvPr id="54" name="Imagem 53">
          <a:extLst>
            <a:ext uri="{FF2B5EF4-FFF2-40B4-BE49-F238E27FC236}">
              <a16:creationId xmlns:a16="http://schemas.microsoft.com/office/drawing/2014/main" id="{E2D70C1D-48E5-4E07-823B-E9E4930069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51258669"/>
          <a:ext cx="1079791" cy="414918"/>
        </a:xfrm>
        <a:prstGeom prst="rect">
          <a:avLst/>
        </a:prstGeom>
      </xdr:spPr>
    </xdr:pic>
    <xdr:clientData/>
  </xdr:oneCellAnchor>
  <xdr:oneCellAnchor>
    <xdr:from>
      <xdr:col>20</xdr:col>
      <xdr:colOff>190500</xdr:colOff>
      <xdr:row>93</xdr:row>
      <xdr:rowOff>38100</xdr:rowOff>
    </xdr:from>
    <xdr:ext cx="1045264" cy="1087179"/>
    <xdr:pic>
      <xdr:nvPicPr>
        <xdr:cNvPr id="55" name="Imagem 54">
          <a:extLst>
            <a:ext uri="{FF2B5EF4-FFF2-40B4-BE49-F238E27FC236}">
              <a16:creationId xmlns:a16="http://schemas.microsoft.com/office/drawing/2014/main" id="{59B415B4-6B46-408E-851C-24897DCEF3F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34709100"/>
          <a:ext cx="1045264" cy="1087179"/>
        </a:xfrm>
        <a:prstGeom prst="rect">
          <a:avLst/>
        </a:prstGeom>
      </xdr:spPr>
    </xdr:pic>
    <xdr:clientData/>
  </xdr:oneCellAnchor>
  <xdr:oneCellAnchor>
    <xdr:from>
      <xdr:col>17</xdr:col>
      <xdr:colOff>234203</xdr:colOff>
      <xdr:row>153</xdr:row>
      <xdr:rowOff>32984</xdr:rowOff>
    </xdr:from>
    <xdr:ext cx="460120" cy="460662"/>
    <xdr:pic>
      <xdr:nvPicPr>
        <xdr:cNvPr id="56" name="Imagem 55" descr="R&amp;D MINERAÇÃO E CONSTRUÇÃO LTDA. | LinkedIn">
          <a:extLst>
            <a:ext uri="{FF2B5EF4-FFF2-40B4-BE49-F238E27FC236}">
              <a16:creationId xmlns:a16="http://schemas.microsoft.com/office/drawing/2014/main" id="{E3BCB3C2-0D7C-4BEF-82E7-585A30B0F0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8023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153</xdr:row>
      <xdr:rowOff>14169</xdr:rowOff>
    </xdr:from>
    <xdr:ext cx="1079791" cy="414918"/>
    <xdr:pic>
      <xdr:nvPicPr>
        <xdr:cNvPr id="57" name="Imagem 56">
          <a:extLst>
            <a:ext uri="{FF2B5EF4-FFF2-40B4-BE49-F238E27FC236}">
              <a16:creationId xmlns:a16="http://schemas.microsoft.com/office/drawing/2014/main" id="{E73735D0-A670-4AD4-9F81-A0D5125A10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68594169"/>
          <a:ext cx="1079791" cy="414918"/>
        </a:xfrm>
        <a:prstGeom prst="rect">
          <a:avLst/>
        </a:prstGeom>
      </xdr:spPr>
    </xdr:pic>
    <xdr:clientData/>
  </xdr:oneCellAnchor>
  <xdr:oneCellAnchor>
    <xdr:from>
      <xdr:col>20</xdr:col>
      <xdr:colOff>190500</xdr:colOff>
      <xdr:row>124</xdr:row>
      <xdr:rowOff>38100</xdr:rowOff>
    </xdr:from>
    <xdr:ext cx="1045264" cy="1087179"/>
    <xdr:pic>
      <xdr:nvPicPr>
        <xdr:cNvPr id="58" name="Imagem 57">
          <a:extLst>
            <a:ext uri="{FF2B5EF4-FFF2-40B4-BE49-F238E27FC236}">
              <a16:creationId xmlns:a16="http://schemas.microsoft.com/office/drawing/2014/main" id="{B6D3F7FC-8B1F-42EE-A49F-67B0D109782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52044600"/>
          <a:ext cx="1045264" cy="1087179"/>
        </a:xfrm>
        <a:prstGeom prst="rect">
          <a:avLst/>
        </a:prstGeom>
      </xdr:spPr>
    </xdr:pic>
    <xdr:clientData/>
  </xdr:oneCellAnchor>
  <xdr:oneCellAnchor>
    <xdr:from>
      <xdr:col>17</xdr:col>
      <xdr:colOff>234203</xdr:colOff>
      <xdr:row>184</xdr:row>
      <xdr:rowOff>32984</xdr:rowOff>
    </xdr:from>
    <xdr:ext cx="460120" cy="460662"/>
    <xdr:pic>
      <xdr:nvPicPr>
        <xdr:cNvPr id="59" name="Imagem 58" descr="R&amp;D MINERAÇÃO E CONSTRUÇÃO LTDA. | LinkedIn">
          <a:extLst>
            <a:ext uri="{FF2B5EF4-FFF2-40B4-BE49-F238E27FC236}">
              <a16:creationId xmlns:a16="http://schemas.microsoft.com/office/drawing/2014/main" id="{66A45827-BF02-4CEA-9953-C5707D00B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96425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184</xdr:row>
      <xdr:rowOff>14169</xdr:rowOff>
    </xdr:from>
    <xdr:ext cx="1079791" cy="414918"/>
    <xdr:pic>
      <xdr:nvPicPr>
        <xdr:cNvPr id="60" name="Imagem 59">
          <a:extLst>
            <a:ext uri="{FF2B5EF4-FFF2-40B4-BE49-F238E27FC236}">
              <a16:creationId xmlns:a16="http://schemas.microsoft.com/office/drawing/2014/main" id="{241413FD-B79B-45DA-8B19-EF89AB3955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85929669"/>
          <a:ext cx="1079791" cy="414918"/>
        </a:xfrm>
        <a:prstGeom prst="rect">
          <a:avLst/>
        </a:prstGeom>
      </xdr:spPr>
    </xdr:pic>
    <xdr:clientData/>
  </xdr:oneCellAnchor>
  <xdr:oneCellAnchor>
    <xdr:from>
      <xdr:col>20</xdr:col>
      <xdr:colOff>190500</xdr:colOff>
      <xdr:row>155</xdr:row>
      <xdr:rowOff>38100</xdr:rowOff>
    </xdr:from>
    <xdr:ext cx="1045264" cy="1087179"/>
    <xdr:pic>
      <xdr:nvPicPr>
        <xdr:cNvPr id="61" name="Imagem 60">
          <a:extLst>
            <a:ext uri="{FF2B5EF4-FFF2-40B4-BE49-F238E27FC236}">
              <a16:creationId xmlns:a16="http://schemas.microsoft.com/office/drawing/2014/main" id="{918669A1-0342-40FA-A93C-BDE38512B96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69380100"/>
          <a:ext cx="1045264" cy="1087179"/>
        </a:xfrm>
        <a:prstGeom prst="rect">
          <a:avLst/>
        </a:prstGeom>
      </xdr:spPr>
    </xdr:pic>
    <xdr:clientData/>
  </xdr:oneCellAnchor>
  <xdr:oneCellAnchor>
    <xdr:from>
      <xdr:col>17</xdr:col>
      <xdr:colOff>234203</xdr:colOff>
      <xdr:row>215</xdr:row>
      <xdr:rowOff>32984</xdr:rowOff>
    </xdr:from>
    <xdr:ext cx="460120" cy="460662"/>
    <xdr:pic>
      <xdr:nvPicPr>
        <xdr:cNvPr id="62" name="Imagem 61" descr="R&amp;D MINERAÇÃO E CONSTRUÇÃO LTDA. | LinkedIn">
          <a:extLst>
            <a:ext uri="{FF2B5EF4-FFF2-40B4-BE49-F238E27FC236}">
              <a16:creationId xmlns:a16="http://schemas.microsoft.com/office/drawing/2014/main" id="{C34F3B51-CEC7-4526-BC6F-7ED4E197B2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12618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215</xdr:row>
      <xdr:rowOff>14169</xdr:rowOff>
    </xdr:from>
    <xdr:ext cx="1079791" cy="414918"/>
    <xdr:pic>
      <xdr:nvPicPr>
        <xdr:cNvPr id="63" name="Imagem 62">
          <a:extLst>
            <a:ext uri="{FF2B5EF4-FFF2-40B4-BE49-F238E27FC236}">
              <a16:creationId xmlns:a16="http://schemas.microsoft.com/office/drawing/2014/main" id="{88A72636-B596-47CC-AFEA-6296A7E94E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03265169"/>
          <a:ext cx="1079791" cy="414918"/>
        </a:xfrm>
        <a:prstGeom prst="rect">
          <a:avLst/>
        </a:prstGeom>
      </xdr:spPr>
    </xdr:pic>
    <xdr:clientData/>
  </xdr:oneCellAnchor>
  <xdr:oneCellAnchor>
    <xdr:from>
      <xdr:col>20</xdr:col>
      <xdr:colOff>190500</xdr:colOff>
      <xdr:row>186</xdr:row>
      <xdr:rowOff>38100</xdr:rowOff>
    </xdr:from>
    <xdr:ext cx="1045264" cy="1087179"/>
    <xdr:pic>
      <xdr:nvPicPr>
        <xdr:cNvPr id="64" name="Imagem 63">
          <a:extLst>
            <a:ext uri="{FF2B5EF4-FFF2-40B4-BE49-F238E27FC236}">
              <a16:creationId xmlns:a16="http://schemas.microsoft.com/office/drawing/2014/main" id="{0750AE14-9D67-423C-9EB2-B632F609AD8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86715600"/>
          <a:ext cx="1045264" cy="1087179"/>
        </a:xfrm>
        <a:prstGeom prst="rect">
          <a:avLst/>
        </a:prstGeom>
      </xdr:spPr>
    </xdr:pic>
    <xdr:clientData/>
  </xdr:oneCellAnchor>
  <xdr:oneCellAnchor>
    <xdr:from>
      <xdr:col>17</xdr:col>
      <xdr:colOff>234203</xdr:colOff>
      <xdr:row>246</xdr:row>
      <xdr:rowOff>32984</xdr:rowOff>
    </xdr:from>
    <xdr:ext cx="460120" cy="460662"/>
    <xdr:pic>
      <xdr:nvPicPr>
        <xdr:cNvPr id="65" name="Imagem 64" descr="R&amp;D MINERAÇÃO E CONSTRUÇÃO LTDA. | LinkedIn">
          <a:extLst>
            <a:ext uri="{FF2B5EF4-FFF2-40B4-BE49-F238E27FC236}">
              <a16:creationId xmlns:a16="http://schemas.microsoft.com/office/drawing/2014/main" id="{555AE299-B13E-4BFA-BEEA-04EE0CB75D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288109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246</xdr:row>
      <xdr:rowOff>14169</xdr:rowOff>
    </xdr:from>
    <xdr:ext cx="1079791" cy="414918"/>
    <xdr:pic>
      <xdr:nvPicPr>
        <xdr:cNvPr id="66" name="Imagem 65">
          <a:extLst>
            <a:ext uri="{FF2B5EF4-FFF2-40B4-BE49-F238E27FC236}">
              <a16:creationId xmlns:a16="http://schemas.microsoft.com/office/drawing/2014/main" id="{277D58DC-D587-40FD-906E-3399CBD39E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20600669"/>
          <a:ext cx="1079791" cy="414918"/>
        </a:xfrm>
        <a:prstGeom prst="rect">
          <a:avLst/>
        </a:prstGeom>
      </xdr:spPr>
    </xdr:pic>
    <xdr:clientData/>
  </xdr:oneCellAnchor>
  <xdr:oneCellAnchor>
    <xdr:from>
      <xdr:col>20</xdr:col>
      <xdr:colOff>190500</xdr:colOff>
      <xdr:row>217</xdr:row>
      <xdr:rowOff>38100</xdr:rowOff>
    </xdr:from>
    <xdr:ext cx="1045264" cy="1087179"/>
    <xdr:pic>
      <xdr:nvPicPr>
        <xdr:cNvPr id="67" name="Imagem 66">
          <a:extLst>
            <a:ext uri="{FF2B5EF4-FFF2-40B4-BE49-F238E27FC236}">
              <a16:creationId xmlns:a16="http://schemas.microsoft.com/office/drawing/2014/main" id="{4E1669B9-D0EE-441B-8857-5F546E2E401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04051100"/>
          <a:ext cx="1045264" cy="1087179"/>
        </a:xfrm>
        <a:prstGeom prst="rect">
          <a:avLst/>
        </a:prstGeom>
      </xdr:spPr>
    </xdr:pic>
    <xdr:clientData/>
  </xdr:oneCellAnchor>
  <xdr:oneCellAnchor>
    <xdr:from>
      <xdr:col>17</xdr:col>
      <xdr:colOff>234203</xdr:colOff>
      <xdr:row>277</xdr:row>
      <xdr:rowOff>32984</xdr:rowOff>
    </xdr:from>
    <xdr:ext cx="460120" cy="460662"/>
    <xdr:pic>
      <xdr:nvPicPr>
        <xdr:cNvPr id="68" name="Imagem 67" descr="R&amp;D MINERAÇÃO E CONSTRUÇÃO LTDA. | LinkedIn">
          <a:extLst>
            <a:ext uri="{FF2B5EF4-FFF2-40B4-BE49-F238E27FC236}">
              <a16:creationId xmlns:a16="http://schemas.microsoft.com/office/drawing/2014/main" id="{80684B5E-85DE-487A-B1F0-92B55253AB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4500348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277</xdr:row>
      <xdr:rowOff>14169</xdr:rowOff>
    </xdr:from>
    <xdr:ext cx="1079791" cy="414918"/>
    <xdr:pic>
      <xdr:nvPicPr>
        <xdr:cNvPr id="69" name="Imagem 68">
          <a:extLst>
            <a:ext uri="{FF2B5EF4-FFF2-40B4-BE49-F238E27FC236}">
              <a16:creationId xmlns:a16="http://schemas.microsoft.com/office/drawing/2014/main" id="{9D8A1CD9-5650-4071-92D2-576283DF25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37936169"/>
          <a:ext cx="1079791" cy="414918"/>
        </a:xfrm>
        <a:prstGeom prst="rect">
          <a:avLst/>
        </a:prstGeom>
      </xdr:spPr>
    </xdr:pic>
    <xdr:clientData/>
  </xdr:oneCellAnchor>
  <xdr:oneCellAnchor>
    <xdr:from>
      <xdr:col>20</xdr:col>
      <xdr:colOff>190500</xdr:colOff>
      <xdr:row>248</xdr:row>
      <xdr:rowOff>38100</xdr:rowOff>
    </xdr:from>
    <xdr:ext cx="1045264" cy="1087179"/>
    <xdr:pic>
      <xdr:nvPicPr>
        <xdr:cNvPr id="70" name="Imagem 69">
          <a:extLst>
            <a:ext uri="{FF2B5EF4-FFF2-40B4-BE49-F238E27FC236}">
              <a16:creationId xmlns:a16="http://schemas.microsoft.com/office/drawing/2014/main" id="{0B9C5CFA-B350-4831-9F04-03C3FD5582D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21386600"/>
          <a:ext cx="1045264" cy="1087179"/>
        </a:xfrm>
        <a:prstGeom prst="rect">
          <a:avLst/>
        </a:prstGeom>
      </xdr:spPr>
    </xdr:pic>
    <xdr:clientData/>
  </xdr:oneCellAnchor>
  <xdr:oneCellAnchor>
    <xdr:from>
      <xdr:col>17</xdr:col>
      <xdr:colOff>234203</xdr:colOff>
      <xdr:row>308</xdr:row>
      <xdr:rowOff>13934</xdr:rowOff>
    </xdr:from>
    <xdr:ext cx="460120" cy="460662"/>
    <xdr:pic>
      <xdr:nvPicPr>
        <xdr:cNvPr id="71" name="Imagem 70" descr="R&amp;D MINERAÇÃO E CONSTRUÇÃO LTDA. | LinkedIn">
          <a:extLst>
            <a:ext uri="{FF2B5EF4-FFF2-40B4-BE49-F238E27FC236}">
              <a16:creationId xmlns:a16="http://schemas.microsoft.com/office/drawing/2014/main" id="{7FB5B205-2C67-4E3E-8C8D-3AD8D1ADC3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55271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308</xdr:row>
      <xdr:rowOff>14169</xdr:rowOff>
    </xdr:from>
    <xdr:ext cx="1079791" cy="414918"/>
    <xdr:pic>
      <xdr:nvPicPr>
        <xdr:cNvPr id="72" name="Imagem 71">
          <a:extLst>
            <a:ext uri="{FF2B5EF4-FFF2-40B4-BE49-F238E27FC236}">
              <a16:creationId xmlns:a16="http://schemas.microsoft.com/office/drawing/2014/main" id="{7AF2C6ED-7835-4779-A2AD-C149F0097E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55271669"/>
          <a:ext cx="1079791" cy="414918"/>
        </a:xfrm>
        <a:prstGeom prst="rect">
          <a:avLst/>
        </a:prstGeom>
      </xdr:spPr>
    </xdr:pic>
    <xdr:clientData/>
  </xdr:oneCellAnchor>
  <xdr:oneCellAnchor>
    <xdr:from>
      <xdr:col>20</xdr:col>
      <xdr:colOff>190500</xdr:colOff>
      <xdr:row>279</xdr:row>
      <xdr:rowOff>38100</xdr:rowOff>
    </xdr:from>
    <xdr:ext cx="1045264" cy="1087179"/>
    <xdr:pic>
      <xdr:nvPicPr>
        <xdr:cNvPr id="73" name="Imagem 72">
          <a:extLst>
            <a:ext uri="{FF2B5EF4-FFF2-40B4-BE49-F238E27FC236}">
              <a16:creationId xmlns:a16="http://schemas.microsoft.com/office/drawing/2014/main" id="{767AF556-4E8B-48A9-909E-D8F1E71FADA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38722100"/>
          <a:ext cx="1045264" cy="1087179"/>
        </a:xfrm>
        <a:prstGeom prst="rect">
          <a:avLst/>
        </a:prstGeom>
      </xdr:spPr>
    </xdr:pic>
    <xdr:clientData/>
  </xdr:oneCellAnchor>
  <xdr:oneCellAnchor>
    <xdr:from>
      <xdr:col>17</xdr:col>
      <xdr:colOff>234203</xdr:colOff>
      <xdr:row>339</xdr:row>
      <xdr:rowOff>13934</xdr:rowOff>
    </xdr:from>
    <xdr:ext cx="460120" cy="460662"/>
    <xdr:pic>
      <xdr:nvPicPr>
        <xdr:cNvPr id="74" name="Imagem 73" descr="R&amp;D MINERAÇÃO E CONSTRUÇÃO LTDA. | LinkedIn">
          <a:extLst>
            <a:ext uri="{FF2B5EF4-FFF2-40B4-BE49-F238E27FC236}">
              <a16:creationId xmlns:a16="http://schemas.microsoft.com/office/drawing/2014/main" id="{88937947-5E26-4E40-863C-FEA9A497FA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339</xdr:row>
      <xdr:rowOff>14169</xdr:rowOff>
    </xdr:from>
    <xdr:ext cx="1079791" cy="414918"/>
    <xdr:pic>
      <xdr:nvPicPr>
        <xdr:cNvPr id="75" name="Imagem 74">
          <a:extLst>
            <a:ext uri="{FF2B5EF4-FFF2-40B4-BE49-F238E27FC236}">
              <a16:creationId xmlns:a16="http://schemas.microsoft.com/office/drawing/2014/main" id="{3800E302-7D6A-4E5E-9A2F-42D823CB78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310</xdr:row>
      <xdr:rowOff>38100</xdr:rowOff>
    </xdr:from>
    <xdr:ext cx="1045264" cy="1087179"/>
    <xdr:pic>
      <xdr:nvPicPr>
        <xdr:cNvPr id="76" name="Imagem 75">
          <a:extLst>
            <a:ext uri="{FF2B5EF4-FFF2-40B4-BE49-F238E27FC236}">
              <a16:creationId xmlns:a16="http://schemas.microsoft.com/office/drawing/2014/main" id="{127BE7F3-1416-4776-AF22-81B4CEEC825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370</xdr:row>
      <xdr:rowOff>13934</xdr:rowOff>
    </xdr:from>
    <xdr:ext cx="460120" cy="460662"/>
    <xdr:pic>
      <xdr:nvPicPr>
        <xdr:cNvPr id="77" name="Imagem 76" descr="R&amp;D MINERAÇÃO E CONSTRUÇÃO LTDA. | LinkedIn">
          <a:extLst>
            <a:ext uri="{FF2B5EF4-FFF2-40B4-BE49-F238E27FC236}">
              <a16:creationId xmlns:a16="http://schemas.microsoft.com/office/drawing/2014/main" id="{FB5B5D30-9AEB-4FB1-B635-02231B4CE74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370</xdr:row>
      <xdr:rowOff>14169</xdr:rowOff>
    </xdr:from>
    <xdr:ext cx="1079791" cy="414918"/>
    <xdr:pic>
      <xdr:nvPicPr>
        <xdr:cNvPr id="78" name="Imagem 77">
          <a:extLst>
            <a:ext uri="{FF2B5EF4-FFF2-40B4-BE49-F238E27FC236}">
              <a16:creationId xmlns:a16="http://schemas.microsoft.com/office/drawing/2014/main" id="{FF1E50C3-DE7F-4DEC-B829-9347CDD40F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341</xdr:row>
      <xdr:rowOff>38100</xdr:rowOff>
    </xdr:from>
    <xdr:ext cx="1045264" cy="1087179"/>
    <xdr:pic>
      <xdr:nvPicPr>
        <xdr:cNvPr id="79" name="Imagem 78">
          <a:extLst>
            <a:ext uri="{FF2B5EF4-FFF2-40B4-BE49-F238E27FC236}">
              <a16:creationId xmlns:a16="http://schemas.microsoft.com/office/drawing/2014/main" id="{4B8FC842-CD6A-46C4-8473-564DDFF0453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401</xdr:row>
      <xdr:rowOff>13934</xdr:rowOff>
    </xdr:from>
    <xdr:ext cx="460120" cy="460662"/>
    <xdr:pic>
      <xdr:nvPicPr>
        <xdr:cNvPr id="80" name="Imagem 79" descr="R&amp;D MINERAÇÃO E CONSTRUÇÃO LTDA. | LinkedIn">
          <a:extLst>
            <a:ext uri="{FF2B5EF4-FFF2-40B4-BE49-F238E27FC236}">
              <a16:creationId xmlns:a16="http://schemas.microsoft.com/office/drawing/2014/main" id="{14285C29-4A58-48D1-A6C2-8116E3406A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401</xdr:row>
      <xdr:rowOff>14169</xdr:rowOff>
    </xdr:from>
    <xdr:ext cx="1079791" cy="414918"/>
    <xdr:pic>
      <xdr:nvPicPr>
        <xdr:cNvPr id="81" name="Imagem 80">
          <a:extLst>
            <a:ext uri="{FF2B5EF4-FFF2-40B4-BE49-F238E27FC236}">
              <a16:creationId xmlns:a16="http://schemas.microsoft.com/office/drawing/2014/main" id="{3C0257F0-A9F5-4138-BF30-93DC47B08C3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372</xdr:row>
      <xdr:rowOff>38100</xdr:rowOff>
    </xdr:from>
    <xdr:ext cx="1045264" cy="1087179"/>
    <xdr:pic>
      <xdr:nvPicPr>
        <xdr:cNvPr id="82" name="Imagem 81">
          <a:extLst>
            <a:ext uri="{FF2B5EF4-FFF2-40B4-BE49-F238E27FC236}">
              <a16:creationId xmlns:a16="http://schemas.microsoft.com/office/drawing/2014/main" id="{190535A7-FAD2-4158-AB36-7FFBD6DC232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432</xdr:row>
      <xdr:rowOff>13934</xdr:rowOff>
    </xdr:from>
    <xdr:ext cx="460120" cy="460662"/>
    <xdr:pic>
      <xdr:nvPicPr>
        <xdr:cNvPr id="83" name="Imagem 82" descr="R&amp;D MINERAÇÃO E CONSTRUÇÃO LTDA. | LinkedIn">
          <a:extLst>
            <a:ext uri="{FF2B5EF4-FFF2-40B4-BE49-F238E27FC236}">
              <a16:creationId xmlns:a16="http://schemas.microsoft.com/office/drawing/2014/main" id="{5CF83382-D7ED-4B01-BE6D-B8AB763E28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432</xdr:row>
      <xdr:rowOff>14169</xdr:rowOff>
    </xdr:from>
    <xdr:ext cx="1079791" cy="414918"/>
    <xdr:pic>
      <xdr:nvPicPr>
        <xdr:cNvPr id="84" name="Imagem 83">
          <a:extLst>
            <a:ext uri="{FF2B5EF4-FFF2-40B4-BE49-F238E27FC236}">
              <a16:creationId xmlns:a16="http://schemas.microsoft.com/office/drawing/2014/main" id="{AD33D499-5A3B-47AE-B760-A60B31F0AD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403</xdr:row>
      <xdr:rowOff>38100</xdr:rowOff>
    </xdr:from>
    <xdr:ext cx="1045264" cy="1087179"/>
    <xdr:pic>
      <xdr:nvPicPr>
        <xdr:cNvPr id="85" name="Imagem 84">
          <a:extLst>
            <a:ext uri="{FF2B5EF4-FFF2-40B4-BE49-F238E27FC236}">
              <a16:creationId xmlns:a16="http://schemas.microsoft.com/office/drawing/2014/main" id="{FB1E4C2F-4F9F-438C-81A6-1A8DC357D0D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463</xdr:row>
      <xdr:rowOff>13934</xdr:rowOff>
    </xdr:from>
    <xdr:ext cx="460120" cy="460662"/>
    <xdr:pic>
      <xdr:nvPicPr>
        <xdr:cNvPr id="86" name="Imagem 85" descr="R&amp;D MINERAÇÃO E CONSTRUÇÃO LTDA. | LinkedIn">
          <a:extLst>
            <a:ext uri="{FF2B5EF4-FFF2-40B4-BE49-F238E27FC236}">
              <a16:creationId xmlns:a16="http://schemas.microsoft.com/office/drawing/2014/main" id="{C5516860-6414-446F-B75F-F2C0696749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463</xdr:row>
      <xdr:rowOff>14169</xdr:rowOff>
    </xdr:from>
    <xdr:ext cx="1079791" cy="414918"/>
    <xdr:pic>
      <xdr:nvPicPr>
        <xdr:cNvPr id="87" name="Imagem 86">
          <a:extLst>
            <a:ext uri="{FF2B5EF4-FFF2-40B4-BE49-F238E27FC236}">
              <a16:creationId xmlns:a16="http://schemas.microsoft.com/office/drawing/2014/main" id="{99857B00-D40A-45A1-9D84-30505C6B2A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434</xdr:row>
      <xdr:rowOff>38100</xdr:rowOff>
    </xdr:from>
    <xdr:ext cx="1045264" cy="1087179"/>
    <xdr:pic>
      <xdr:nvPicPr>
        <xdr:cNvPr id="88" name="Imagem 87">
          <a:extLst>
            <a:ext uri="{FF2B5EF4-FFF2-40B4-BE49-F238E27FC236}">
              <a16:creationId xmlns:a16="http://schemas.microsoft.com/office/drawing/2014/main" id="{4831FA98-783C-4B01-B4B7-26B529F9D18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494</xdr:row>
      <xdr:rowOff>13934</xdr:rowOff>
    </xdr:from>
    <xdr:ext cx="460120" cy="460662"/>
    <xdr:pic>
      <xdr:nvPicPr>
        <xdr:cNvPr id="89" name="Imagem 88" descr="R&amp;D MINERAÇÃO E CONSTRUÇÃO LTDA. | LinkedIn">
          <a:extLst>
            <a:ext uri="{FF2B5EF4-FFF2-40B4-BE49-F238E27FC236}">
              <a16:creationId xmlns:a16="http://schemas.microsoft.com/office/drawing/2014/main" id="{6CF7C13F-94D5-42C9-BE24-EE9000975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494</xdr:row>
      <xdr:rowOff>14169</xdr:rowOff>
    </xdr:from>
    <xdr:ext cx="1079791" cy="414918"/>
    <xdr:pic>
      <xdr:nvPicPr>
        <xdr:cNvPr id="90" name="Imagem 89">
          <a:extLst>
            <a:ext uri="{FF2B5EF4-FFF2-40B4-BE49-F238E27FC236}">
              <a16:creationId xmlns:a16="http://schemas.microsoft.com/office/drawing/2014/main" id="{3FD118B1-104A-4EDF-A2D7-2F0439BAE6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465</xdr:row>
      <xdr:rowOff>38100</xdr:rowOff>
    </xdr:from>
    <xdr:ext cx="1045264" cy="1087179"/>
    <xdr:pic>
      <xdr:nvPicPr>
        <xdr:cNvPr id="91" name="Imagem 90">
          <a:extLst>
            <a:ext uri="{FF2B5EF4-FFF2-40B4-BE49-F238E27FC236}">
              <a16:creationId xmlns:a16="http://schemas.microsoft.com/office/drawing/2014/main" id="{FB0CE985-E357-4ED2-AA30-68CD8C91E8B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525</xdr:row>
      <xdr:rowOff>13934</xdr:rowOff>
    </xdr:from>
    <xdr:ext cx="460120" cy="460662"/>
    <xdr:pic>
      <xdr:nvPicPr>
        <xdr:cNvPr id="92" name="Imagem 91" descr="R&amp;D MINERAÇÃO E CONSTRUÇÃO LTDA. | LinkedIn">
          <a:extLst>
            <a:ext uri="{FF2B5EF4-FFF2-40B4-BE49-F238E27FC236}">
              <a16:creationId xmlns:a16="http://schemas.microsoft.com/office/drawing/2014/main" id="{AB1A1F43-FD39-4338-BB8A-E396FD06D3D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525</xdr:row>
      <xdr:rowOff>14169</xdr:rowOff>
    </xdr:from>
    <xdr:ext cx="1079791" cy="414918"/>
    <xdr:pic>
      <xdr:nvPicPr>
        <xdr:cNvPr id="93" name="Imagem 92">
          <a:extLst>
            <a:ext uri="{FF2B5EF4-FFF2-40B4-BE49-F238E27FC236}">
              <a16:creationId xmlns:a16="http://schemas.microsoft.com/office/drawing/2014/main" id="{1635E891-E368-4EE3-B84D-8C49A86FC52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496</xdr:row>
      <xdr:rowOff>38100</xdr:rowOff>
    </xdr:from>
    <xdr:ext cx="1045264" cy="1087179"/>
    <xdr:pic>
      <xdr:nvPicPr>
        <xdr:cNvPr id="94" name="Imagem 93">
          <a:extLst>
            <a:ext uri="{FF2B5EF4-FFF2-40B4-BE49-F238E27FC236}">
              <a16:creationId xmlns:a16="http://schemas.microsoft.com/office/drawing/2014/main" id="{A8B11D44-2557-4EDC-A485-20302F39BEA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556</xdr:row>
      <xdr:rowOff>13934</xdr:rowOff>
    </xdr:from>
    <xdr:ext cx="460120" cy="460662"/>
    <xdr:pic>
      <xdr:nvPicPr>
        <xdr:cNvPr id="95" name="Imagem 94" descr="R&amp;D MINERAÇÃO E CONSTRUÇÃO LTDA. | LinkedIn">
          <a:extLst>
            <a:ext uri="{FF2B5EF4-FFF2-40B4-BE49-F238E27FC236}">
              <a16:creationId xmlns:a16="http://schemas.microsoft.com/office/drawing/2014/main" id="{D83882C3-BAE4-407C-8650-D44844B152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556</xdr:row>
      <xdr:rowOff>14169</xdr:rowOff>
    </xdr:from>
    <xdr:ext cx="1079791" cy="414918"/>
    <xdr:pic>
      <xdr:nvPicPr>
        <xdr:cNvPr id="96" name="Imagem 95">
          <a:extLst>
            <a:ext uri="{FF2B5EF4-FFF2-40B4-BE49-F238E27FC236}">
              <a16:creationId xmlns:a16="http://schemas.microsoft.com/office/drawing/2014/main" id="{FADDE6F9-5E20-405E-95F1-847DAA3546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527</xdr:row>
      <xdr:rowOff>38100</xdr:rowOff>
    </xdr:from>
    <xdr:ext cx="1045264" cy="1087179"/>
    <xdr:pic>
      <xdr:nvPicPr>
        <xdr:cNvPr id="97" name="Imagem 96">
          <a:extLst>
            <a:ext uri="{FF2B5EF4-FFF2-40B4-BE49-F238E27FC236}">
              <a16:creationId xmlns:a16="http://schemas.microsoft.com/office/drawing/2014/main" id="{4D0B53FF-9B89-4582-9206-C2794657A82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587</xdr:row>
      <xdr:rowOff>13934</xdr:rowOff>
    </xdr:from>
    <xdr:ext cx="460120" cy="460662"/>
    <xdr:pic>
      <xdr:nvPicPr>
        <xdr:cNvPr id="98" name="Imagem 97" descr="R&amp;D MINERAÇÃO E CONSTRUÇÃO LTDA. | LinkedIn">
          <a:extLst>
            <a:ext uri="{FF2B5EF4-FFF2-40B4-BE49-F238E27FC236}">
              <a16:creationId xmlns:a16="http://schemas.microsoft.com/office/drawing/2014/main" id="{0E448315-7264-455B-9B6A-334DE47CF6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161938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587</xdr:row>
      <xdr:rowOff>14169</xdr:rowOff>
    </xdr:from>
    <xdr:ext cx="1079791" cy="414918"/>
    <xdr:pic>
      <xdr:nvPicPr>
        <xdr:cNvPr id="99" name="Imagem 98">
          <a:extLst>
            <a:ext uri="{FF2B5EF4-FFF2-40B4-BE49-F238E27FC236}">
              <a16:creationId xmlns:a16="http://schemas.microsoft.com/office/drawing/2014/main" id="{947F0AF7-FFE2-4956-BB2D-A1188E0ECD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161939169"/>
          <a:ext cx="1079791" cy="414918"/>
        </a:xfrm>
        <a:prstGeom prst="rect">
          <a:avLst/>
        </a:prstGeom>
      </xdr:spPr>
    </xdr:pic>
    <xdr:clientData/>
  </xdr:oneCellAnchor>
  <xdr:oneCellAnchor>
    <xdr:from>
      <xdr:col>20</xdr:col>
      <xdr:colOff>190500</xdr:colOff>
      <xdr:row>558</xdr:row>
      <xdr:rowOff>38100</xdr:rowOff>
    </xdr:from>
    <xdr:ext cx="1045264" cy="1087179"/>
    <xdr:pic>
      <xdr:nvPicPr>
        <xdr:cNvPr id="100" name="Imagem 99">
          <a:extLst>
            <a:ext uri="{FF2B5EF4-FFF2-40B4-BE49-F238E27FC236}">
              <a16:creationId xmlns:a16="http://schemas.microsoft.com/office/drawing/2014/main" id="{0B5A4A7C-5ACE-450F-B2A0-CE67CF6E731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156057600"/>
          <a:ext cx="1045264" cy="1087179"/>
        </a:xfrm>
        <a:prstGeom prst="rect">
          <a:avLst/>
        </a:prstGeom>
      </xdr:spPr>
    </xdr:pic>
    <xdr:clientData/>
  </xdr:oneCellAnchor>
  <xdr:oneCellAnchor>
    <xdr:from>
      <xdr:col>17</xdr:col>
      <xdr:colOff>234203</xdr:colOff>
      <xdr:row>618</xdr:row>
      <xdr:rowOff>13934</xdr:rowOff>
    </xdr:from>
    <xdr:ext cx="460120" cy="460662"/>
    <xdr:pic>
      <xdr:nvPicPr>
        <xdr:cNvPr id="101" name="Imagem 100" descr="R&amp;D MINERAÇÃO E CONSTRUÇÃO LTDA. | LinkedIn">
          <a:extLst>
            <a:ext uri="{FF2B5EF4-FFF2-40B4-BE49-F238E27FC236}">
              <a16:creationId xmlns:a16="http://schemas.microsoft.com/office/drawing/2014/main" id="{F4FED760-CDF8-4A16-8D3A-DB875B1785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618</xdr:row>
      <xdr:rowOff>14169</xdr:rowOff>
    </xdr:from>
    <xdr:ext cx="1079791" cy="414918"/>
    <xdr:pic>
      <xdr:nvPicPr>
        <xdr:cNvPr id="102" name="Imagem 101">
          <a:extLst>
            <a:ext uri="{FF2B5EF4-FFF2-40B4-BE49-F238E27FC236}">
              <a16:creationId xmlns:a16="http://schemas.microsoft.com/office/drawing/2014/main" id="{B617C270-F7B9-4785-88E7-A9788D3D7D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589</xdr:row>
      <xdr:rowOff>38100</xdr:rowOff>
    </xdr:from>
    <xdr:ext cx="1045264" cy="1087179"/>
    <xdr:pic>
      <xdr:nvPicPr>
        <xdr:cNvPr id="103" name="Imagem 102">
          <a:extLst>
            <a:ext uri="{FF2B5EF4-FFF2-40B4-BE49-F238E27FC236}">
              <a16:creationId xmlns:a16="http://schemas.microsoft.com/office/drawing/2014/main" id="{AEB06575-F0D3-4016-BCF3-B4F1F733EFA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649</xdr:row>
      <xdr:rowOff>13934</xdr:rowOff>
    </xdr:from>
    <xdr:ext cx="460120" cy="460662"/>
    <xdr:pic>
      <xdr:nvPicPr>
        <xdr:cNvPr id="104" name="Imagem 103" descr="R&amp;D MINERAÇÃO E CONSTRUÇÃO LTDA. | LinkedIn">
          <a:extLst>
            <a:ext uri="{FF2B5EF4-FFF2-40B4-BE49-F238E27FC236}">
              <a16:creationId xmlns:a16="http://schemas.microsoft.com/office/drawing/2014/main" id="{DE0B07DA-D074-4B6E-8032-FDFF4A3052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649</xdr:row>
      <xdr:rowOff>14169</xdr:rowOff>
    </xdr:from>
    <xdr:ext cx="1079791" cy="414918"/>
    <xdr:pic>
      <xdr:nvPicPr>
        <xdr:cNvPr id="105" name="Imagem 104">
          <a:extLst>
            <a:ext uri="{FF2B5EF4-FFF2-40B4-BE49-F238E27FC236}">
              <a16:creationId xmlns:a16="http://schemas.microsoft.com/office/drawing/2014/main" id="{99554B2E-B102-4FF1-A259-0F7EDA1F2ED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620</xdr:row>
      <xdr:rowOff>38100</xdr:rowOff>
    </xdr:from>
    <xdr:ext cx="1045264" cy="1087179"/>
    <xdr:pic>
      <xdr:nvPicPr>
        <xdr:cNvPr id="106" name="Imagem 105">
          <a:extLst>
            <a:ext uri="{FF2B5EF4-FFF2-40B4-BE49-F238E27FC236}">
              <a16:creationId xmlns:a16="http://schemas.microsoft.com/office/drawing/2014/main" id="{EE7D3D22-7C6A-4D18-88C7-F6D1276E010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680</xdr:row>
      <xdr:rowOff>13934</xdr:rowOff>
    </xdr:from>
    <xdr:ext cx="460120" cy="460662"/>
    <xdr:pic>
      <xdr:nvPicPr>
        <xdr:cNvPr id="107" name="Imagem 106" descr="R&amp;D MINERAÇÃO E CONSTRUÇÃO LTDA. | LinkedIn">
          <a:extLst>
            <a:ext uri="{FF2B5EF4-FFF2-40B4-BE49-F238E27FC236}">
              <a16:creationId xmlns:a16="http://schemas.microsoft.com/office/drawing/2014/main" id="{DA374AA6-8B06-4E9D-9463-96638F9727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680</xdr:row>
      <xdr:rowOff>14169</xdr:rowOff>
    </xdr:from>
    <xdr:ext cx="1079791" cy="414918"/>
    <xdr:pic>
      <xdr:nvPicPr>
        <xdr:cNvPr id="108" name="Imagem 107">
          <a:extLst>
            <a:ext uri="{FF2B5EF4-FFF2-40B4-BE49-F238E27FC236}">
              <a16:creationId xmlns:a16="http://schemas.microsoft.com/office/drawing/2014/main" id="{DCFD2D38-191E-442B-9641-5FBD63D670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651</xdr:row>
      <xdr:rowOff>38100</xdr:rowOff>
    </xdr:from>
    <xdr:ext cx="1045264" cy="1087179"/>
    <xdr:pic>
      <xdr:nvPicPr>
        <xdr:cNvPr id="109" name="Imagem 108">
          <a:extLst>
            <a:ext uri="{FF2B5EF4-FFF2-40B4-BE49-F238E27FC236}">
              <a16:creationId xmlns:a16="http://schemas.microsoft.com/office/drawing/2014/main" id="{EA5CDAED-68C8-4D83-870F-67DB619D935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711</xdr:row>
      <xdr:rowOff>13934</xdr:rowOff>
    </xdr:from>
    <xdr:ext cx="460120" cy="460662"/>
    <xdr:pic>
      <xdr:nvPicPr>
        <xdr:cNvPr id="110" name="Imagem 109" descr="R&amp;D MINERAÇÃO E CONSTRUÇÃO LTDA. | LinkedIn">
          <a:extLst>
            <a:ext uri="{FF2B5EF4-FFF2-40B4-BE49-F238E27FC236}">
              <a16:creationId xmlns:a16="http://schemas.microsoft.com/office/drawing/2014/main" id="{5A395CA1-807A-40D5-B51B-5EB6CDF004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711</xdr:row>
      <xdr:rowOff>14169</xdr:rowOff>
    </xdr:from>
    <xdr:ext cx="1079791" cy="414918"/>
    <xdr:pic>
      <xdr:nvPicPr>
        <xdr:cNvPr id="111" name="Imagem 110">
          <a:extLst>
            <a:ext uri="{FF2B5EF4-FFF2-40B4-BE49-F238E27FC236}">
              <a16:creationId xmlns:a16="http://schemas.microsoft.com/office/drawing/2014/main" id="{AAB3C82F-3379-4C38-8003-3DDAF6FCE8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682</xdr:row>
      <xdr:rowOff>38100</xdr:rowOff>
    </xdr:from>
    <xdr:ext cx="1045264" cy="1087179"/>
    <xdr:pic>
      <xdr:nvPicPr>
        <xdr:cNvPr id="112" name="Imagem 111">
          <a:extLst>
            <a:ext uri="{FF2B5EF4-FFF2-40B4-BE49-F238E27FC236}">
              <a16:creationId xmlns:a16="http://schemas.microsoft.com/office/drawing/2014/main" id="{709540ED-ABE3-4D3C-BF54-A145CEA3E6C4}"/>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742</xdr:row>
      <xdr:rowOff>13934</xdr:rowOff>
    </xdr:from>
    <xdr:ext cx="460120" cy="460662"/>
    <xdr:pic>
      <xdr:nvPicPr>
        <xdr:cNvPr id="113" name="Imagem 112" descr="R&amp;D MINERAÇÃO E CONSTRUÇÃO LTDA. | LinkedIn">
          <a:extLst>
            <a:ext uri="{FF2B5EF4-FFF2-40B4-BE49-F238E27FC236}">
              <a16:creationId xmlns:a16="http://schemas.microsoft.com/office/drawing/2014/main" id="{EBE9BDE2-CAA2-4BB9-8650-C68A1B5921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742</xdr:row>
      <xdr:rowOff>14169</xdr:rowOff>
    </xdr:from>
    <xdr:ext cx="1079791" cy="414918"/>
    <xdr:pic>
      <xdr:nvPicPr>
        <xdr:cNvPr id="114" name="Imagem 113">
          <a:extLst>
            <a:ext uri="{FF2B5EF4-FFF2-40B4-BE49-F238E27FC236}">
              <a16:creationId xmlns:a16="http://schemas.microsoft.com/office/drawing/2014/main" id="{E0AA1AB9-B61C-4779-BEA0-699C598FA7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713</xdr:row>
      <xdr:rowOff>38100</xdr:rowOff>
    </xdr:from>
    <xdr:ext cx="1045264" cy="1087179"/>
    <xdr:pic>
      <xdr:nvPicPr>
        <xdr:cNvPr id="115" name="Imagem 114">
          <a:extLst>
            <a:ext uri="{FF2B5EF4-FFF2-40B4-BE49-F238E27FC236}">
              <a16:creationId xmlns:a16="http://schemas.microsoft.com/office/drawing/2014/main" id="{ADA1826E-6156-4B64-9CA2-899577B350F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773</xdr:row>
      <xdr:rowOff>13934</xdr:rowOff>
    </xdr:from>
    <xdr:ext cx="460120" cy="460662"/>
    <xdr:pic>
      <xdr:nvPicPr>
        <xdr:cNvPr id="116" name="Imagem 115" descr="R&amp;D MINERAÇÃO E CONSTRUÇÃO LTDA. | LinkedIn">
          <a:extLst>
            <a:ext uri="{FF2B5EF4-FFF2-40B4-BE49-F238E27FC236}">
              <a16:creationId xmlns:a16="http://schemas.microsoft.com/office/drawing/2014/main" id="{ED2C3862-1082-4914-89A1-E461FEF530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773</xdr:row>
      <xdr:rowOff>14169</xdr:rowOff>
    </xdr:from>
    <xdr:ext cx="1079791" cy="414918"/>
    <xdr:pic>
      <xdr:nvPicPr>
        <xdr:cNvPr id="117" name="Imagem 116">
          <a:extLst>
            <a:ext uri="{FF2B5EF4-FFF2-40B4-BE49-F238E27FC236}">
              <a16:creationId xmlns:a16="http://schemas.microsoft.com/office/drawing/2014/main" id="{DCC1AAEC-4D09-4318-8938-A731D8648F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744</xdr:row>
      <xdr:rowOff>38100</xdr:rowOff>
    </xdr:from>
    <xdr:ext cx="1045264" cy="1087179"/>
    <xdr:pic>
      <xdr:nvPicPr>
        <xdr:cNvPr id="118" name="Imagem 117">
          <a:extLst>
            <a:ext uri="{FF2B5EF4-FFF2-40B4-BE49-F238E27FC236}">
              <a16:creationId xmlns:a16="http://schemas.microsoft.com/office/drawing/2014/main" id="{45845FEC-DFC4-45CE-8959-97EFF182A260}"/>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804</xdr:row>
      <xdr:rowOff>13934</xdr:rowOff>
    </xdr:from>
    <xdr:ext cx="460120" cy="460662"/>
    <xdr:pic>
      <xdr:nvPicPr>
        <xdr:cNvPr id="119" name="Imagem 118" descr="R&amp;D MINERAÇÃO E CONSTRUÇÃO LTDA. | LinkedIn">
          <a:extLst>
            <a:ext uri="{FF2B5EF4-FFF2-40B4-BE49-F238E27FC236}">
              <a16:creationId xmlns:a16="http://schemas.microsoft.com/office/drawing/2014/main" id="{DCFC395B-EE7C-4C8F-B9A8-578F497B3E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804</xdr:row>
      <xdr:rowOff>14169</xdr:rowOff>
    </xdr:from>
    <xdr:ext cx="1079791" cy="414918"/>
    <xdr:pic>
      <xdr:nvPicPr>
        <xdr:cNvPr id="120" name="Imagem 119">
          <a:extLst>
            <a:ext uri="{FF2B5EF4-FFF2-40B4-BE49-F238E27FC236}">
              <a16:creationId xmlns:a16="http://schemas.microsoft.com/office/drawing/2014/main" id="{97123711-A9DA-4A4B-9355-51BA2DC4F0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775</xdr:row>
      <xdr:rowOff>38100</xdr:rowOff>
    </xdr:from>
    <xdr:ext cx="1045264" cy="1087179"/>
    <xdr:pic>
      <xdr:nvPicPr>
        <xdr:cNvPr id="121" name="Imagem 120">
          <a:extLst>
            <a:ext uri="{FF2B5EF4-FFF2-40B4-BE49-F238E27FC236}">
              <a16:creationId xmlns:a16="http://schemas.microsoft.com/office/drawing/2014/main" id="{9E59B721-5AFD-46C8-A630-C0FDEF03BD9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835</xdr:row>
      <xdr:rowOff>13934</xdr:rowOff>
    </xdr:from>
    <xdr:ext cx="460120" cy="460662"/>
    <xdr:pic>
      <xdr:nvPicPr>
        <xdr:cNvPr id="122" name="Imagem 121" descr="R&amp;D MINERAÇÃO E CONSTRUÇÃO LTDA. | LinkedIn">
          <a:extLst>
            <a:ext uri="{FF2B5EF4-FFF2-40B4-BE49-F238E27FC236}">
              <a16:creationId xmlns:a16="http://schemas.microsoft.com/office/drawing/2014/main" id="{7EACB2A0-B937-43A3-9FA2-A4D1D9ADA90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35303" y="218517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835</xdr:row>
      <xdr:rowOff>14169</xdr:rowOff>
    </xdr:from>
    <xdr:ext cx="1079791" cy="414918"/>
    <xdr:pic>
      <xdr:nvPicPr>
        <xdr:cNvPr id="123" name="Imagem 122">
          <a:extLst>
            <a:ext uri="{FF2B5EF4-FFF2-40B4-BE49-F238E27FC236}">
              <a16:creationId xmlns:a16="http://schemas.microsoft.com/office/drawing/2014/main" id="{F35F3001-4090-4432-B988-EA2D57DD0B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09755" y="218517669"/>
          <a:ext cx="1079791" cy="414918"/>
        </a:xfrm>
        <a:prstGeom prst="rect">
          <a:avLst/>
        </a:prstGeom>
      </xdr:spPr>
    </xdr:pic>
    <xdr:clientData/>
  </xdr:oneCellAnchor>
  <xdr:oneCellAnchor>
    <xdr:from>
      <xdr:col>20</xdr:col>
      <xdr:colOff>190500</xdr:colOff>
      <xdr:row>806</xdr:row>
      <xdr:rowOff>38100</xdr:rowOff>
    </xdr:from>
    <xdr:ext cx="1045264" cy="1087179"/>
    <xdr:pic>
      <xdr:nvPicPr>
        <xdr:cNvPr id="124" name="Imagem 123">
          <a:extLst>
            <a:ext uri="{FF2B5EF4-FFF2-40B4-BE49-F238E27FC236}">
              <a16:creationId xmlns:a16="http://schemas.microsoft.com/office/drawing/2014/main" id="{66CF8752-2DC5-4FF8-9AE7-25368822377A}"/>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448925" y="212636100"/>
          <a:ext cx="1045264" cy="1087179"/>
        </a:xfrm>
        <a:prstGeom prst="rect">
          <a:avLst/>
        </a:prstGeom>
      </xdr:spPr>
    </xdr:pic>
    <xdr:clientData/>
  </xdr:oneCellAnchor>
  <xdr:oneCellAnchor>
    <xdr:from>
      <xdr:col>17</xdr:col>
      <xdr:colOff>234203</xdr:colOff>
      <xdr:row>866</xdr:row>
      <xdr:rowOff>13934</xdr:rowOff>
    </xdr:from>
    <xdr:ext cx="460120" cy="460662"/>
    <xdr:pic>
      <xdr:nvPicPr>
        <xdr:cNvPr id="2" name="Imagem 1" descr="R&amp;D MINERAÇÃO E CONSTRUÇÃO LTDA. | LinkedIn">
          <a:extLst>
            <a:ext uri="{FF2B5EF4-FFF2-40B4-BE49-F238E27FC236}">
              <a16:creationId xmlns:a16="http://schemas.microsoft.com/office/drawing/2014/main" id="{CEC519E6-C744-43BA-B58E-B8B0E239D7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36449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866</xdr:row>
      <xdr:rowOff>14169</xdr:rowOff>
    </xdr:from>
    <xdr:ext cx="1079791" cy="414918"/>
    <xdr:pic>
      <xdr:nvPicPr>
        <xdr:cNvPr id="3" name="Imagem 2">
          <a:extLst>
            <a:ext uri="{FF2B5EF4-FFF2-40B4-BE49-F238E27FC236}">
              <a16:creationId xmlns:a16="http://schemas.microsoft.com/office/drawing/2014/main" id="{E55E88DB-34E8-4C66-BFBB-76F6948AE9B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36449669"/>
          <a:ext cx="1079791" cy="414918"/>
        </a:xfrm>
        <a:prstGeom prst="rect">
          <a:avLst/>
        </a:prstGeom>
      </xdr:spPr>
    </xdr:pic>
    <xdr:clientData/>
  </xdr:oneCellAnchor>
  <xdr:oneCellAnchor>
    <xdr:from>
      <xdr:col>20</xdr:col>
      <xdr:colOff>190500</xdr:colOff>
      <xdr:row>837</xdr:row>
      <xdr:rowOff>38100</xdr:rowOff>
    </xdr:from>
    <xdr:ext cx="1045264" cy="1087179"/>
    <xdr:pic>
      <xdr:nvPicPr>
        <xdr:cNvPr id="5" name="Imagem 4">
          <a:extLst>
            <a:ext uri="{FF2B5EF4-FFF2-40B4-BE49-F238E27FC236}">
              <a16:creationId xmlns:a16="http://schemas.microsoft.com/office/drawing/2014/main" id="{04A05590-F07F-4B5D-8D71-EF2047933DC1}"/>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21043100"/>
          <a:ext cx="1045264" cy="1087179"/>
        </a:xfrm>
        <a:prstGeom prst="rect">
          <a:avLst/>
        </a:prstGeom>
      </xdr:spPr>
    </xdr:pic>
    <xdr:clientData/>
  </xdr:oneCellAnchor>
  <xdr:oneCellAnchor>
    <xdr:from>
      <xdr:col>17</xdr:col>
      <xdr:colOff>234203</xdr:colOff>
      <xdr:row>897</xdr:row>
      <xdr:rowOff>13934</xdr:rowOff>
    </xdr:from>
    <xdr:ext cx="460120" cy="460662"/>
    <xdr:pic>
      <xdr:nvPicPr>
        <xdr:cNvPr id="6" name="Imagem 5" descr="R&amp;D MINERAÇÃO E CONSTRUÇÃO LTDA. | LinkedIn">
          <a:extLst>
            <a:ext uri="{FF2B5EF4-FFF2-40B4-BE49-F238E27FC236}">
              <a16:creationId xmlns:a16="http://schemas.microsoft.com/office/drawing/2014/main" id="{459F2BE8-A4A9-4149-874B-965520714A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36449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897</xdr:row>
      <xdr:rowOff>14169</xdr:rowOff>
    </xdr:from>
    <xdr:ext cx="1079791" cy="414918"/>
    <xdr:pic>
      <xdr:nvPicPr>
        <xdr:cNvPr id="7" name="Imagem 6">
          <a:extLst>
            <a:ext uri="{FF2B5EF4-FFF2-40B4-BE49-F238E27FC236}">
              <a16:creationId xmlns:a16="http://schemas.microsoft.com/office/drawing/2014/main" id="{A598574E-D887-4408-A626-D29CBF7ED1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36449669"/>
          <a:ext cx="1079791" cy="414918"/>
        </a:xfrm>
        <a:prstGeom prst="rect">
          <a:avLst/>
        </a:prstGeom>
      </xdr:spPr>
    </xdr:pic>
    <xdr:clientData/>
  </xdr:oneCellAnchor>
  <xdr:oneCellAnchor>
    <xdr:from>
      <xdr:col>20</xdr:col>
      <xdr:colOff>190500</xdr:colOff>
      <xdr:row>868</xdr:row>
      <xdr:rowOff>38100</xdr:rowOff>
    </xdr:from>
    <xdr:ext cx="1045264" cy="1087179"/>
    <xdr:pic>
      <xdr:nvPicPr>
        <xdr:cNvPr id="8" name="Imagem 7">
          <a:extLst>
            <a:ext uri="{FF2B5EF4-FFF2-40B4-BE49-F238E27FC236}">
              <a16:creationId xmlns:a16="http://schemas.microsoft.com/office/drawing/2014/main" id="{80C50978-6AE2-4009-A4FC-CA6339EF488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21043100"/>
          <a:ext cx="1045264" cy="1087179"/>
        </a:xfrm>
        <a:prstGeom prst="rect">
          <a:avLst/>
        </a:prstGeom>
      </xdr:spPr>
    </xdr:pic>
    <xdr:clientData/>
  </xdr:oneCellAnchor>
  <xdr:oneCellAnchor>
    <xdr:from>
      <xdr:col>17</xdr:col>
      <xdr:colOff>234203</xdr:colOff>
      <xdr:row>928</xdr:row>
      <xdr:rowOff>13934</xdr:rowOff>
    </xdr:from>
    <xdr:ext cx="460120" cy="460662"/>
    <xdr:pic>
      <xdr:nvPicPr>
        <xdr:cNvPr id="9" name="Imagem 8" descr="R&amp;D MINERAÇÃO E CONSTRUÇÃO LTDA. | LinkedIn">
          <a:extLst>
            <a:ext uri="{FF2B5EF4-FFF2-40B4-BE49-F238E27FC236}">
              <a16:creationId xmlns:a16="http://schemas.microsoft.com/office/drawing/2014/main" id="{ABFA365F-8A7E-4C7D-A2EF-5E643D0A81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688344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928</xdr:row>
      <xdr:rowOff>14169</xdr:rowOff>
    </xdr:from>
    <xdr:ext cx="1079791" cy="414918"/>
    <xdr:pic>
      <xdr:nvPicPr>
        <xdr:cNvPr id="10" name="Imagem 9">
          <a:extLst>
            <a:ext uri="{FF2B5EF4-FFF2-40B4-BE49-F238E27FC236}">
              <a16:creationId xmlns:a16="http://schemas.microsoft.com/office/drawing/2014/main" id="{CC3FC077-9E46-417F-8D82-E2F4517791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68834669"/>
          <a:ext cx="1079791" cy="414918"/>
        </a:xfrm>
        <a:prstGeom prst="rect">
          <a:avLst/>
        </a:prstGeom>
      </xdr:spPr>
    </xdr:pic>
    <xdr:clientData/>
  </xdr:oneCellAnchor>
  <xdr:oneCellAnchor>
    <xdr:from>
      <xdr:col>20</xdr:col>
      <xdr:colOff>190500</xdr:colOff>
      <xdr:row>899</xdr:row>
      <xdr:rowOff>38100</xdr:rowOff>
    </xdr:from>
    <xdr:ext cx="1045264" cy="1087179"/>
    <xdr:pic>
      <xdr:nvPicPr>
        <xdr:cNvPr id="11" name="Imagem 10">
          <a:extLst>
            <a:ext uri="{FF2B5EF4-FFF2-40B4-BE49-F238E27FC236}">
              <a16:creationId xmlns:a16="http://schemas.microsoft.com/office/drawing/2014/main" id="{C445EE3A-6123-4F05-9F29-9EB890D995A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53428100"/>
          <a:ext cx="1045264" cy="1087179"/>
        </a:xfrm>
        <a:prstGeom prst="rect">
          <a:avLst/>
        </a:prstGeom>
      </xdr:spPr>
    </xdr:pic>
    <xdr:clientData/>
  </xdr:oneCellAnchor>
  <xdr:oneCellAnchor>
    <xdr:from>
      <xdr:col>17</xdr:col>
      <xdr:colOff>234203</xdr:colOff>
      <xdr:row>959</xdr:row>
      <xdr:rowOff>13934</xdr:rowOff>
    </xdr:from>
    <xdr:ext cx="460120" cy="460662"/>
    <xdr:pic>
      <xdr:nvPicPr>
        <xdr:cNvPr id="12" name="Imagem 11" descr="R&amp;D MINERAÇÃO E CONSTRUÇÃO LTDA. | LinkedIn">
          <a:extLst>
            <a:ext uri="{FF2B5EF4-FFF2-40B4-BE49-F238E27FC236}">
              <a16:creationId xmlns:a16="http://schemas.microsoft.com/office/drawing/2014/main" id="{9B5C0C93-08DE-44F5-899E-4DF0293289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85026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959</xdr:row>
      <xdr:rowOff>14169</xdr:rowOff>
    </xdr:from>
    <xdr:ext cx="1079791" cy="414918"/>
    <xdr:pic>
      <xdr:nvPicPr>
        <xdr:cNvPr id="13" name="Imagem 12">
          <a:extLst>
            <a:ext uri="{FF2B5EF4-FFF2-40B4-BE49-F238E27FC236}">
              <a16:creationId xmlns:a16="http://schemas.microsoft.com/office/drawing/2014/main" id="{8CF21A89-754F-4EF5-8054-D5C7D7B3BF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85027169"/>
          <a:ext cx="1079791" cy="414918"/>
        </a:xfrm>
        <a:prstGeom prst="rect">
          <a:avLst/>
        </a:prstGeom>
      </xdr:spPr>
    </xdr:pic>
    <xdr:clientData/>
  </xdr:oneCellAnchor>
  <xdr:oneCellAnchor>
    <xdr:from>
      <xdr:col>20</xdr:col>
      <xdr:colOff>190500</xdr:colOff>
      <xdr:row>930</xdr:row>
      <xdr:rowOff>38100</xdr:rowOff>
    </xdr:from>
    <xdr:ext cx="1045264" cy="1087179"/>
    <xdr:pic>
      <xdr:nvPicPr>
        <xdr:cNvPr id="14" name="Imagem 13">
          <a:extLst>
            <a:ext uri="{FF2B5EF4-FFF2-40B4-BE49-F238E27FC236}">
              <a16:creationId xmlns:a16="http://schemas.microsoft.com/office/drawing/2014/main" id="{1568BE03-1F50-406E-B1DF-C3B54DB7965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69620600"/>
          <a:ext cx="1045264" cy="1087179"/>
        </a:xfrm>
        <a:prstGeom prst="rect">
          <a:avLst/>
        </a:prstGeom>
      </xdr:spPr>
    </xdr:pic>
    <xdr:clientData/>
  </xdr:oneCellAnchor>
  <xdr:oneCellAnchor>
    <xdr:from>
      <xdr:col>17</xdr:col>
      <xdr:colOff>234203</xdr:colOff>
      <xdr:row>990</xdr:row>
      <xdr:rowOff>13934</xdr:rowOff>
    </xdr:from>
    <xdr:ext cx="460120" cy="460662"/>
    <xdr:pic>
      <xdr:nvPicPr>
        <xdr:cNvPr id="15" name="Imagem 14" descr="R&amp;D MINERAÇÃO E CONSTRUÇÃO LTDA. | LinkedIn">
          <a:extLst>
            <a:ext uri="{FF2B5EF4-FFF2-40B4-BE49-F238E27FC236}">
              <a16:creationId xmlns:a16="http://schemas.microsoft.com/office/drawing/2014/main" id="{27841A90-A72D-4315-92A9-7E7B22E534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485026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990</xdr:row>
      <xdr:rowOff>14169</xdr:rowOff>
    </xdr:from>
    <xdr:ext cx="1079791" cy="414918"/>
    <xdr:pic>
      <xdr:nvPicPr>
        <xdr:cNvPr id="16" name="Imagem 15">
          <a:extLst>
            <a:ext uri="{FF2B5EF4-FFF2-40B4-BE49-F238E27FC236}">
              <a16:creationId xmlns:a16="http://schemas.microsoft.com/office/drawing/2014/main" id="{A0180F50-01AE-4F97-AEC8-22672928BA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485027169"/>
          <a:ext cx="1079791" cy="414918"/>
        </a:xfrm>
        <a:prstGeom prst="rect">
          <a:avLst/>
        </a:prstGeom>
      </xdr:spPr>
    </xdr:pic>
    <xdr:clientData/>
  </xdr:oneCellAnchor>
  <xdr:oneCellAnchor>
    <xdr:from>
      <xdr:col>20</xdr:col>
      <xdr:colOff>190500</xdr:colOff>
      <xdr:row>961</xdr:row>
      <xdr:rowOff>38100</xdr:rowOff>
    </xdr:from>
    <xdr:ext cx="1045264" cy="1087179"/>
    <xdr:pic>
      <xdr:nvPicPr>
        <xdr:cNvPr id="17" name="Imagem 16">
          <a:extLst>
            <a:ext uri="{FF2B5EF4-FFF2-40B4-BE49-F238E27FC236}">
              <a16:creationId xmlns:a16="http://schemas.microsoft.com/office/drawing/2014/main" id="{145BD751-AF85-4B5B-8F9C-0E32B399A2F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469620600"/>
          <a:ext cx="1045264" cy="1087179"/>
        </a:xfrm>
        <a:prstGeom prst="rect">
          <a:avLst/>
        </a:prstGeom>
      </xdr:spPr>
    </xdr:pic>
    <xdr:clientData/>
  </xdr:oneCellAnchor>
  <xdr:oneCellAnchor>
    <xdr:from>
      <xdr:col>17</xdr:col>
      <xdr:colOff>234203</xdr:colOff>
      <xdr:row>1021</xdr:row>
      <xdr:rowOff>13934</xdr:rowOff>
    </xdr:from>
    <xdr:ext cx="460120" cy="460662"/>
    <xdr:pic>
      <xdr:nvPicPr>
        <xdr:cNvPr id="18" name="Imagem 17" descr="R&amp;D MINERAÇÃO E CONSTRUÇÃO LTDA. | LinkedIn">
          <a:extLst>
            <a:ext uri="{FF2B5EF4-FFF2-40B4-BE49-F238E27FC236}">
              <a16:creationId xmlns:a16="http://schemas.microsoft.com/office/drawing/2014/main" id="{84542FC6-BEB3-4FEE-98E1-21475BC033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1021</xdr:row>
      <xdr:rowOff>14169</xdr:rowOff>
    </xdr:from>
    <xdr:ext cx="1079791" cy="414918"/>
    <xdr:pic>
      <xdr:nvPicPr>
        <xdr:cNvPr id="19" name="Imagem 18">
          <a:extLst>
            <a:ext uri="{FF2B5EF4-FFF2-40B4-BE49-F238E27FC236}">
              <a16:creationId xmlns:a16="http://schemas.microsoft.com/office/drawing/2014/main" id="{678ED4C5-DA48-48E1-B4EA-C805312C90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992</xdr:row>
      <xdr:rowOff>38100</xdr:rowOff>
    </xdr:from>
    <xdr:ext cx="1045264" cy="1087179"/>
    <xdr:pic>
      <xdr:nvPicPr>
        <xdr:cNvPr id="20" name="Imagem 19">
          <a:extLst>
            <a:ext uri="{FF2B5EF4-FFF2-40B4-BE49-F238E27FC236}">
              <a16:creationId xmlns:a16="http://schemas.microsoft.com/office/drawing/2014/main" id="{58180EA3-21E7-4B68-9095-66CE1D977B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1052</xdr:row>
      <xdr:rowOff>13934</xdr:rowOff>
    </xdr:from>
    <xdr:ext cx="460120" cy="460662"/>
    <xdr:pic>
      <xdr:nvPicPr>
        <xdr:cNvPr id="21" name="Imagem 20" descr="R&amp;D MINERAÇÃO E CONSTRUÇÃO LTDA. | LinkedIn">
          <a:extLst>
            <a:ext uri="{FF2B5EF4-FFF2-40B4-BE49-F238E27FC236}">
              <a16:creationId xmlns:a16="http://schemas.microsoft.com/office/drawing/2014/main" id="{15B0E341-FD38-476A-AD4C-FE4C9CB09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1052</xdr:row>
      <xdr:rowOff>14169</xdr:rowOff>
    </xdr:from>
    <xdr:ext cx="1079791" cy="414918"/>
    <xdr:pic>
      <xdr:nvPicPr>
        <xdr:cNvPr id="22" name="Imagem 21">
          <a:extLst>
            <a:ext uri="{FF2B5EF4-FFF2-40B4-BE49-F238E27FC236}">
              <a16:creationId xmlns:a16="http://schemas.microsoft.com/office/drawing/2014/main" id="{379A3F00-81E0-4414-8EAF-65D5236F30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1023</xdr:row>
      <xdr:rowOff>38100</xdr:rowOff>
    </xdr:from>
    <xdr:ext cx="1045264" cy="1087179"/>
    <xdr:pic>
      <xdr:nvPicPr>
        <xdr:cNvPr id="23" name="Imagem 22">
          <a:extLst>
            <a:ext uri="{FF2B5EF4-FFF2-40B4-BE49-F238E27FC236}">
              <a16:creationId xmlns:a16="http://schemas.microsoft.com/office/drawing/2014/main" id="{B0413C28-613B-4B60-84F6-84FDC3DCF77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1083</xdr:row>
      <xdr:rowOff>13934</xdr:rowOff>
    </xdr:from>
    <xdr:ext cx="460120" cy="460662"/>
    <xdr:pic>
      <xdr:nvPicPr>
        <xdr:cNvPr id="24" name="Imagem 23" descr="R&amp;D MINERAÇÃO E CONSTRUÇÃO LTDA. | LinkedIn">
          <a:extLst>
            <a:ext uri="{FF2B5EF4-FFF2-40B4-BE49-F238E27FC236}">
              <a16:creationId xmlns:a16="http://schemas.microsoft.com/office/drawing/2014/main" id="{18FD12DA-EAA8-4C22-A143-CA8EFEE22B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1083</xdr:row>
      <xdr:rowOff>14169</xdr:rowOff>
    </xdr:from>
    <xdr:ext cx="1079791" cy="414918"/>
    <xdr:pic>
      <xdr:nvPicPr>
        <xdr:cNvPr id="25" name="Imagem 24">
          <a:extLst>
            <a:ext uri="{FF2B5EF4-FFF2-40B4-BE49-F238E27FC236}">
              <a16:creationId xmlns:a16="http://schemas.microsoft.com/office/drawing/2014/main" id="{A86E7400-F586-4EAC-BAE0-254F887189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1054</xdr:row>
      <xdr:rowOff>38100</xdr:rowOff>
    </xdr:from>
    <xdr:ext cx="1045264" cy="1087179"/>
    <xdr:pic>
      <xdr:nvPicPr>
        <xdr:cNvPr id="26" name="Imagem 25">
          <a:extLst>
            <a:ext uri="{FF2B5EF4-FFF2-40B4-BE49-F238E27FC236}">
              <a16:creationId xmlns:a16="http://schemas.microsoft.com/office/drawing/2014/main" id="{5950082E-ECC5-4B8D-917F-E964A915626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1114</xdr:row>
      <xdr:rowOff>13934</xdr:rowOff>
    </xdr:from>
    <xdr:ext cx="460120" cy="460662"/>
    <xdr:pic>
      <xdr:nvPicPr>
        <xdr:cNvPr id="27" name="Imagem 26" descr="R&amp;D MINERAÇÃO E CONSTRUÇÃO LTDA. | LinkedIn">
          <a:extLst>
            <a:ext uri="{FF2B5EF4-FFF2-40B4-BE49-F238E27FC236}">
              <a16:creationId xmlns:a16="http://schemas.microsoft.com/office/drawing/2014/main" id="{B08B7BB8-BB07-465C-A2A2-1A1CBFF4D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1114</xdr:row>
      <xdr:rowOff>14169</xdr:rowOff>
    </xdr:from>
    <xdr:ext cx="1079791" cy="414918"/>
    <xdr:pic>
      <xdr:nvPicPr>
        <xdr:cNvPr id="28" name="Imagem 27">
          <a:extLst>
            <a:ext uri="{FF2B5EF4-FFF2-40B4-BE49-F238E27FC236}">
              <a16:creationId xmlns:a16="http://schemas.microsoft.com/office/drawing/2014/main" id="{C5E7CC83-2436-44BE-98B3-52068730CD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1085</xdr:row>
      <xdr:rowOff>38100</xdr:rowOff>
    </xdr:from>
    <xdr:ext cx="1045264" cy="1087179"/>
    <xdr:pic>
      <xdr:nvPicPr>
        <xdr:cNvPr id="29" name="Imagem 28">
          <a:extLst>
            <a:ext uri="{FF2B5EF4-FFF2-40B4-BE49-F238E27FC236}">
              <a16:creationId xmlns:a16="http://schemas.microsoft.com/office/drawing/2014/main" id="{487A1494-DA3E-46BD-857E-9D5539E97D0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1145</xdr:row>
      <xdr:rowOff>13934</xdr:rowOff>
    </xdr:from>
    <xdr:ext cx="460120" cy="460662"/>
    <xdr:pic>
      <xdr:nvPicPr>
        <xdr:cNvPr id="30" name="Imagem 29" descr="R&amp;D MINERAÇÃO E CONSTRUÇÃO LTDA. | LinkedIn">
          <a:extLst>
            <a:ext uri="{FF2B5EF4-FFF2-40B4-BE49-F238E27FC236}">
              <a16:creationId xmlns:a16="http://schemas.microsoft.com/office/drawing/2014/main" id="{3BB5E356-4B3B-4337-B36E-21791CA3FC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1145</xdr:row>
      <xdr:rowOff>14169</xdr:rowOff>
    </xdr:from>
    <xdr:ext cx="1079791" cy="414918"/>
    <xdr:pic>
      <xdr:nvPicPr>
        <xdr:cNvPr id="31" name="Imagem 30">
          <a:extLst>
            <a:ext uri="{FF2B5EF4-FFF2-40B4-BE49-F238E27FC236}">
              <a16:creationId xmlns:a16="http://schemas.microsoft.com/office/drawing/2014/main" id="{E6FD70C9-705A-47E3-A413-64DFC245F47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1116</xdr:row>
      <xdr:rowOff>38100</xdr:rowOff>
    </xdr:from>
    <xdr:ext cx="1045264" cy="1087179"/>
    <xdr:pic>
      <xdr:nvPicPr>
        <xdr:cNvPr id="32" name="Imagem 31">
          <a:extLst>
            <a:ext uri="{FF2B5EF4-FFF2-40B4-BE49-F238E27FC236}">
              <a16:creationId xmlns:a16="http://schemas.microsoft.com/office/drawing/2014/main" id="{5A7F693A-1FAD-42C5-ACF8-F78A8D3A59D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1176</xdr:row>
      <xdr:rowOff>13934</xdr:rowOff>
    </xdr:from>
    <xdr:ext cx="460120" cy="460662"/>
    <xdr:pic>
      <xdr:nvPicPr>
        <xdr:cNvPr id="33" name="Imagem 32" descr="R&amp;D MINERAÇÃO E CONSTRUÇÃO LTDA. | LinkedIn">
          <a:extLst>
            <a:ext uri="{FF2B5EF4-FFF2-40B4-BE49-F238E27FC236}">
              <a16:creationId xmlns:a16="http://schemas.microsoft.com/office/drawing/2014/main" id="{7F5CD1E1-0B64-47A9-A559-07CE6F40FD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1176</xdr:row>
      <xdr:rowOff>14169</xdr:rowOff>
    </xdr:from>
    <xdr:ext cx="1079791" cy="414918"/>
    <xdr:pic>
      <xdr:nvPicPr>
        <xdr:cNvPr id="36" name="Imagem 35">
          <a:extLst>
            <a:ext uri="{FF2B5EF4-FFF2-40B4-BE49-F238E27FC236}">
              <a16:creationId xmlns:a16="http://schemas.microsoft.com/office/drawing/2014/main" id="{B5CA044D-C002-4ADA-96B6-66657957576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1147</xdr:row>
      <xdr:rowOff>38100</xdr:rowOff>
    </xdr:from>
    <xdr:ext cx="1045264" cy="1087179"/>
    <xdr:pic>
      <xdr:nvPicPr>
        <xdr:cNvPr id="40" name="Imagem 39">
          <a:extLst>
            <a:ext uri="{FF2B5EF4-FFF2-40B4-BE49-F238E27FC236}">
              <a16:creationId xmlns:a16="http://schemas.microsoft.com/office/drawing/2014/main" id="{ED54BE5B-5134-4CD0-B164-35A94F89489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1207</xdr:row>
      <xdr:rowOff>13934</xdr:rowOff>
    </xdr:from>
    <xdr:ext cx="460120" cy="460662"/>
    <xdr:pic>
      <xdr:nvPicPr>
        <xdr:cNvPr id="41" name="Imagem 40" descr="R&amp;D MINERAÇÃO E CONSTRUÇÃO LTDA. | LinkedIn">
          <a:extLst>
            <a:ext uri="{FF2B5EF4-FFF2-40B4-BE49-F238E27FC236}">
              <a16:creationId xmlns:a16="http://schemas.microsoft.com/office/drawing/2014/main" id="{E2BCC7CD-AF11-4088-84B5-3FD2485757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1207</xdr:row>
      <xdr:rowOff>14169</xdr:rowOff>
    </xdr:from>
    <xdr:ext cx="1079791" cy="414918"/>
    <xdr:pic>
      <xdr:nvPicPr>
        <xdr:cNvPr id="42" name="Imagem 41">
          <a:extLst>
            <a:ext uri="{FF2B5EF4-FFF2-40B4-BE49-F238E27FC236}">
              <a16:creationId xmlns:a16="http://schemas.microsoft.com/office/drawing/2014/main" id="{84AACAB5-EEBB-4DD8-BD94-77AA8AAD13E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1178</xdr:row>
      <xdr:rowOff>38100</xdr:rowOff>
    </xdr:from>
    <xdr:ext cx="1045264" cy="1087179"/>
    <xdr:pic>
      <xdr:nvPicPr>
        <xdr:cNvPr id="43" name="Imagem 42">
          <a:extLst>
            <a:ext uri="{FF2B5EF4-FFF2-40B4-BE49-F238E27FC236}">
              <a16:creationId xmlns:a16="http://schemas.microsoft.com/office/drawing/2014/main" id="{369B2E5C-E9CF-417D-9C88-B421C67A5252}"/>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1238</xdr:row>
      <xdr:rowOff>13934</xdr:rowOff>
    </xdr:from>
    <xdr:ext cx="460120" cy="460662"/>
    <xdr:pic>
      <xdr:nvPicPr>
        <xdr:cNvPr id="44" name="Imagem 43" descr="R&amp;D MINERAÇÃO E CONSTRUÇÃO LTDA. | LinkedIn">
          <a:extLst>
            <a:ext uri="{FF2B5EF4-FFF2-40B4-BE49-F238E27FC236}">
              <a16:creationId xmlns:a16="http://schemas.microsoft.com/office/drawing/2014/main" id="{AA445BD3-E9EA-406A-BDB9-BCFE3966FD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1238</xdr:row>
      <xdr:rowOff>14169</xdr:rowOff>
    </xdr:from>
    <xdr:ext cx="1079791" cy="414918"/>
    <xdr:pic>
      <xdr:nvPicPr>
        <xdr:cNvPr id="45" name="Imagem 44">
          <a:extLst>
            <a:ext uri="{FF2B5EF4-FFF2-40B4-BE49-F238E27FC236}">
              <a16:creationId xmlns:a16="http://schemas.microsoft.com/office/drawing/2014/main" id="{BC940AE1-E918-4B60-921B-4B0AA2B7FD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1209</xdr:row>
      <xdr:rowOff>38100</xdr:rowOff>
    </xdr:from>
    <xdr:ext cx="1045264" cy="1087179"/>
    <xdr:pic>
      <xdr:nvPicPr>
        <xdr:cNvPr id="46" name="Imagem 45">
          <a:extLst>
            <a:ext uri="{FF2B5EF4-FFF2-40B4-BE49-F238E27FC236}">
              <a16:creationId xmlns:a16="http://schemas.microsoft.com/office/drawing/2014/main" id="{3D806B7E-EEF5-4F88-8805-82240FFD3DC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1269</xdr:row>
      <xdr:rowOff>13934</xdr:rowOff>
    </xdr:from>
    <xdr:ext cx="460120" cy="460662"/>
    <xdr:pic>
      <xdr:nvPicPr>
        <xdr:cNvPr id="47" name="Imagem 46" descr="R&amp;D MINERAÇÃO E CONSTRUÇÃO LTDA. | LinkedIn">
          <a:extLst>
            <a:ext uri="{FF2B5EF4-FFF2-40B4-BE49-F238E27FC236}">
              <a16:creationId xmlns:a16="http://schemas.microsoft.com/office/drawing/2014/main" id="{9F5C0437-524C-4E7E-8599-E4A3B09C7B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1269</xdr:row>
      <xdr:rowOff>14169</xdr:rowOff>
    </xdr:from>
    <xdr:ext cx="1079791" cy="414918"/>
    <xdr:pic>
      <xdr:nvPicPr>
        <xdr:cNvPr id="48" name="Imagem 47">
          <a:extLst>
            <a:ext uri="{FF2B5EF4-FFF2-40B4-BE49-F238E27FC236}">
              <a16:creationId xmlns:a16="http://schemas.microsoft.com/office/drawing/2014/main" id="{74381641-E651-4159-906A-1A9F6752B7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1240</xdr:row>
      <xdr:rowOff>38100</xdr:rowOff>
    </xdr:from>
    <xdr:ext cx="1045264" cy="1087179"/>
    <xdr:pic>
      <xdr:nvPicPr>
        <xdr:cNvPr id="49" name="Imagem 48">
          <a:extLst>
            <a:ext uri="{FF2B5EF4-FFF2-40B4-BE49-F238E27FC236}">
              <a16:creationId xmlns:a16="http://schemas.microsoft.com/office/drawing/2014/main" id="{15D6A99F-ED73-4FC6-A7D2-8916E4230BD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1300</xdr:row>
      <xdr:rowOff>13934</xdr:rowOff>
    </xdr:from>
    <xdr:ext cx="460120" cy="460662"/>
    <xdr:pic>
      <xdr:nvPicPr>
        <xdr:cNvPr id="125" name="Imagem 124" descr="R&amp;D MINERAÇÃO E CONSTRUÇÃO LTDA. | LinkedIn">
          <a:extLst>
            <a:ext uri="{FF2B5EF4-FFF2-40B4-BE49-F238E27FC236}">
              <a16:creationId xmlns:a16="http://schemas.microsoft.com/office/drawing/2014/main" id="{C877584F-7AB6-4F01-8E0D-CF4C7F8DCF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1300</xdr:row>
      <xdr:rowOff>14169</xdr:rowOff>
    </xdr:from>
    <xdr:ext cx="1079791" cy="414918"/>
    <xdr:pic>
      <xdr:nvPicPr>
        <xdr:cNvPr id="126" name="Imagem 125">
          <a:extLst>
            <a:ext uri="{FF2B5EF4-FFF2-40B4-BE49-F238E27FC236}">
              <a16:creationId xmlns:a16="http://schemas.microsoft.com/office/drawing/2014/main" id="{F75C1D75-A8A1-4882-9555-6FC5AA2FFC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1271</xdr:row>
      <xdr:rowOff>38100</xdr:rowOff>
    </xdr:from>
    <xdr:ext cx="1045264" cy="1087179"/>
    <xdr:pic>
      <xdr:nvPicPr>
        <xdr:cNvPr id="127" name="Imagem 126">
          <a:extLst>
            <a:ext uri="{FF2B5EF4-FFF2-40B4-BE49-F238E27FC236}">
              <a16:creationId xmlns:a16="http://schemas.microsoft.com/office/drawing/2014/main" id="{BA57A7C0-0B7C-47E5-A776-561D41FF7DF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1331</xdr:row>
      <xdr:rowOff>13934</xdr:rowOff>
    </xdr:from>
    <xdr:ext cx="460120" cy="460662"/>
    <xdr:pic>
      <xdr:nvPicPr>
        <xdr:cNvPr id="128" name="Imagem 127" descr="R&amp;D MINERAÇÃO E CONSTRUÇÃO LTDA. | LinkedIn">
          <a:extLst>
            <a:ext uri="{FF2B5EF4-FFF2-40B4-BE49-F238E27FC236}">
              <a16:creationId xmlns:a16="http://schemas.microsoft.com/office/drawing/2014/main" id="{421ABD4D-E046-4A30-9AA6-6BDF4DC485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1331</xdr:row>
      <xdr:rowOff>14169</xdr:rowOff>
    </xdr:from>
    <xdr:ext cx="1079791" cy="414918"/>
    <xdr:pic>
      <xdr:nvPicPr>
        <xdr:cNvPr id="129" name="Imagem 128">
          <a:extLst>
            <a:ext uri="{FF2B5EF4-FFF2-40B4-BE49-F238E27FC236}">
              <a16:creationId xmlns:a16="http://schemas.microsoft.com/office/drawing/2014/main" id="{D133A6F3-54BC-40CC-AB58-8A9F2285AB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1302</xdr:row>
      <xdr:rowOff>38100</xdr:rowOff>
    </xdr:from>
    <xdr:ext cx="1045264" cy="1087179"/>
    <xdr:pic>
      <xdr:nvPicPr>
        <xdr:cNvPr id="130" name="Imagem 129">
          <a:extLst>
            <a:ext uri="{FF2B5EF4-FFF2-40B4-BE49-F238E27FC236}">
              <a16:creationId xmlns:a16="http://schemas.microsoft.com/office/drawing/2014/main" id="{07BB3EC7-1202-4D11-B30B-32E6BD3E6EE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1362</xdr:row>
      <xdr:rowOff>13934</xdr:rowOff>
    </xdr:from>
    <xdr:ext cx="460120" cy="460662"/>
    <xdr:pic>
      <xdr:nvPicPr>
        <xdr:cNvPr id="131" name="Imagem 130" descr="R&amp;D MINERAÇÃO E CONSTRUÇÃO LTDA. | LinkedIn">
          <a:extLst>
            <a:ext uri="{FF2B5EF4-FFF2-40B4-BE49-F238E27FC236}">
              <a16:creationId xmlns:a16="http://schemas.microsoft.com/office/drawing/2014/main" id="{6583B18E-E0F0-4106-A7A8-87A0C0E9D1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1362</xdr:row>
      <xdr:rowOff>14169</xdr:rowOff>
    </xdr:from>
    <xdr:ext cx="1079791" cy="414918"/>
    <xdr:pic>
      <xdr:nvPicPr>
        <xdr:cNvPr id="132" name="Imagem 131">
          <a:extLst>
            <a:ext uri="{FF2B5EF4-FFF2-40B4-BE49-F238E27FC236}">
              <a16:creationId xmlns:a16="http://schemas.microsoft.com/office/drawing/2014/main" id="{632C368C-60C3-4FC3-84D6-3112F6348C4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1333</xdr:row>
      <xdr:rowOff>38100</xdr:rowOff>
    </xdr:from>
    <xdr:ext cx="1045264" cy="1087179"/>
    <xdr:pic>
      <xdr:nvPicPr>
        <xdr:cNvPr id="133" name="Imagem 132">
          <a:extLst>
            <a:ext uri="{FF2B5EF4-FFF2-40B4-BE49-F238E27FC236}">
              <a16:creationId xmlns:a16="http://schemas.microsoft.com/office/drawing/2014/main" id="{F4C314E8-42D2-4232-A4B8-22BA102A185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oneCellAnchor>
    <xdr:from>
      <xdr:col>17</xdr:col>
      <xdr:colOff>234203</xdr:colOff>
      <xdr:row>1393</xdr:row>
      <xdr:rowOff>13934</xdr:rowOff>
    </xdr:from>
    <xdr:ext cx="460120" cy="460662"/>
    <xdr:pic>
      <xdr:nvPicPr>
        <xdr:cNvPr id="134" name="Imagem 133" descr="R&amp;D MINERAÇÃO E CONSTRUÇÃO LTDA. | LinkedIn">
          <a:extLst>
            <a:ext uri="{FF2B5EF4-FFF2-40B4-BE49-F238E27FC236}">
              <a16:creationId xmlns:a16="http://schemas.microsoft.com/office/drawing/2014/main" id="{DBD28014-113B-4A6C-9805-CA131CD3D1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44853" y="517411934"/>
          <a:ext cx="460120" cy="4606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252205</xdr:colOff>
      <xdr:row>1393</xdr:row>
      <xdr:rowOff>14169</xdr:rowOff>
    </xdr:from>
    <xdr:ext cx="1079791" cy="414918"/>
    <xdr:pic>
      <xdr:nvPicPr>
        <xdr:cNvPr id="135" name="Imagem 134">
          <a:extLst>
            <a:ext uri="{FF2B5EF4-FFF2-40B4-BE49-F238E27FC236}">
              <a16:creationId xmlns:a16="http://schemas.microsoft.com/office/drawing/2014/main" id="{6C44CC43-2142-4E55-A6F5-5B68425DD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14530" y="517412169"/>
          <a:ext cx="1079791" cy="414918"/>
        </a:xfrm>
        <a:prstGeom prst="rect">
          <a:avLst/>
        </a:prstGeom>
      </xdr:spPr>
    </xdr:pic>
    <xdr:clientData/>
  </xdr:oneCellAnchor>
  <xdr:oneCellAnchor>
    <xdr:from>
      <xdr:col>20</xdr:col>
      <xdr:colOff>190500</xdr:colOff>
      <xdr:row>1364</xdr:row>
      <xdr:rowOff>38100</xdr:rowOff>
    </xdr:from>
    <xdr:ext cx="1045264" cy="1087179"/>
    <xdr:pic>
      <xdr:nvPicPr>
        <xdr:cNvPr id="136" name="Imagem 135">
          <a:extLst>
            <a:ext uri="{FF2B5EF4-FFF2-40B4-BE49-F238E27FC236}">
              <a16:creationId xmlns:a16="http://schemas.microsoft.com/office/drawing/2014/main" id="{EB33AF86-9A4B-4791-B98A-D354BA3CDF3B}"/>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760" t="1738" r="17765" b="5121"/>
        <a:stretch>
          <a:fillRect/>
        </a:stretch>
      </xdr:blipFill>
      <xdr:spPr>
        <a:xfrm flipH="1">
          <a:off x="10763250" y="502005600"/>
          <a:ext cx="1045264" cy="1087179"/>
        </a:xfrm>
        <a:prstGeom prst="rect">
          <a:avLst/>
        </a:prstGeom>
      </xdr:spPr>
    </xdr:pic>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A3C6-276C-4ABD-BC12-01533567C3F1}">
  <dimension ref="A1:BD848"/>
  <sheetViews>
    <sheetView tabSelected="1" topLeftCell="T520" workbookViewId="0">
      <selection activeCell="AN556" sqref="AN556"/>
    </sheetView>
  </sheetViews>
  <sheetFormatPr defaultRowHeight="14.25"/>
  <cols>
    <col min="1" max="56" width="9.125" style="1"/>
  </cols>
  <sheetData>
    <row r="1" spans="1:56">
      <c r="A1" s="1" t="s">
        <v>0</v>
      </c>
      <c r="B1" s="1" t="s">
        <v>1</v>
      </c>
      <c r="C1" s="1" t="s">
        <v>2</v>
      </c>
      <c r="D1" s="1" t="s">
        <v>3</v>
      </c>
      <c r="E1" s="1" t="s">
        <v>5</v>
      </c>
      <c r="F1" s="1" t="s">
        <v>4</v>
      </c>
      <c r="G1" s="1" t="s">
        <v>7</v>
      </c>
      <c r="H1" s="1" t="s">
        <v>6</v>
      </c>
      <c r="I1" s="1" t="s">
        <v>8</v>
      </c>
      <c r="J1" s="1" t="s">
        <v>42</v>
      </c>
      <c r="K1" s="1" t="s">
        <v>9</v>
      </c>
      <c r="L1" s="1" t="s">
        <v>41</v>
      </c>
      <c r="M1" s="1" t="s">
        <v>10</v>
      </c>
      <c r="N1" s="1" t="s">
        <v>11</v>
      </c>
      <c r="O1" s="1" t="s">
        <v>12</v>
      </c>
      <c r="P1" s="1" t="s">
        <v>13</v>
      </c>
      <c r="Q1" s="1" t="s">
        <v>52</v>
      </c>
      <c r="R1" s="1" t="s">
        <v>53</v>
      </c>
      <c r="S1" s="1" t="s">
        <v>54</v>
      </c>
      <c r="T1" s="1" t="s">
        <v>55</v>
      </c>
      <c r="U1" s="1" t="s">
        <v>56</v>
      </c>
      <c r="V1" s="1" t="s">
        <v>57</v>
      </c>
      <c r="W1" s="1" t="s">
        <v>58</v>
      </c>
      <c r="X1" s="1" t="s">
        <v>59</v>
      </c>
      <c r="Y1" s="1" t="s">
        <v>60</v>
      </c>
      <c r="Z1" s="1" t="s">
        <v>61</v>
      </c>
      <c r="AA1" s="1" t="s">
        <v>62</v>
      </c>
      <c r="AB1" s="1" t="s">
        <v>14</v>
      </c>
      <c r="AC1" s="1" t="s">
        <v>15</v>
      </c>
      <c r="AD1" s="1" t="s">
        <v>16</v>
      </c>
      <c r="AE1" s="1" t="s">
        <v>17</v>
      </c>
      <c r="AF1" s="1" t="s">
        <v>18</v>
      </c>
      <c r="AG1" s="1" t="s">
        <v>19</v>
      </c>
      <c r="AH1" s="1" t="s">
        <v>20</v>
      </c>
      <c r="AI1" s="1" t="s">
        <v>21</v>
      </c>
      <c r="AJ1" s="1" t="s">
        <v>22</v>
      </c>
      <c r="AK1" s="1" t="s">
        <v>23</v>
      </c>
      <c r="AL1" s="1" t="s">
        <v>24</v>
      </c>
      <c r="AM1" s="1" t="s">
        <v>25</v>
      </c>
      <c r="AN1" s="1" t="s">
        <v>26</v>
      </c>
      <c r="AO1" s="1" t="s">
        <v>63</v>
      </c>
      <c r="AP1" s="1" t="s">
        <v>43</v>
      </c>
      <c r="AQ1" s="1" t="s">
        <v>44</v>
      </c>
      <c r="AR1" s="1" t="s">
        <v>45</v>
      </c>
      <c r="AS1" s="1" t="s">
        <v>46</v>
      </c>
      <c r="AT1" s="1" t="s">
        <v>47</v>
      </c>
      <c r="AU1" s="1" t="s">
        <v>48</v>
      </c>
      <c r="AV1" s="1" t="s">
        <v>49</v>
      </c>
      <c r="AW1" s="1" t="s">
        <v>50</v>
      </c>
      <c r="AX1" s="1" t="s">
        <v>51</v>
      </c>
      <c r="AY1" s="1" t="s">
        <v>64</v>
      </c>
      <c r="AZ1" s="1" t="s">
        <v>65</v>
      </c>
      <c r="BA1" s="1" t="s">
        <v>66</v>
      </c>
      <c r="BB1" s="1" t="s">
        <v>68</v>
      </c>
      <c r="BC1" s="1" t="s">
        <v>69</v>
      </c>
      <c r="BD1" s="1" t="s">
        <v>67</v>
      </c>
    </row>
    <row r="2" spans="1:56">
      <c r="A2" s="18">
        <v>46192</v>
      </c>
      <c r="B2" s="1">
        <v>1</v>
      </c>
      <c r="C2" s="1" t="s">
        <v>89</v>
      </c>
      <c r="D2" s="1" t="s">
        <v>90</v>
      </c>
      <c r="E2" s="1">
        <v>2</v>
      </c>
      <c r="F2" s="1">
        <v>200</v>
      </c>
      <c r="H2" s="1" t="s">
        <v>91</v>
      </c>
      <c r="I2" s="1" t="s">
        <v>79</v>
      </c>
      <c r="J2" s="1" t="s">
        <v>81</v>
      </c>
      <c r="K2" s="1" t="s">
        <v>74</v>
      </c>
      <c r="L2" s="1" t="s">
        <v>72</v>
      </c>
      <c r="M2" s="1" t="s">
        <v>75</v>
      </c>
      <c r="N2" s="1" t="s">
        <v>76</v>
      </c>
      <c r="O2" s="1" t="s">
        <v>77</v>
      </c>
      <c r="P2" s="1" t="s">
        <v>78</v>
      </c>
      <c r="X2" s="1" t="s">
        <v>73</v>
      </c>
      <c r="Z2" s="1" t="s">
        <v>70</v>
      </c>
      <c r="AB2" s="1">
        <v>5</v>
      </c>
      <c r="AC2" s="1">
        <v>748778.03</v>
      </c>
      <c r="AD2" s="1">
        <v>8930606.5099999998</v>
      </c>
      <c r="AE2" s="1">
        <v>210.97</v>
      </c>
      <c r="AF2" s="1">
        <v>748776.35</v>
      </c>
      <c r="AG2" s="1">
        <v>8930604.4199999999</v>
      </c>
      <c r="AH2" s="1">
        <v>200.01</v>
      </c>
      <c r="AI2" s="1">
        <v>11.28</v>
      </c>
      <c r="AJ2" s="1">
        <v>0</v>
      </c>
      <c r="AK2" s="1">
        <v>1.5</v>
      </c>
      <c r="AL2" s="1">
        <v>0.8</v>
      </c>
      <c r="AM2" s="1">
        <v>218.87</v>
      </c>
      <c r="AN2" s="1">
        <v>13.73</v>
      </c>
      <c r="AO2" s="1">
        <v>0</v>
      </c>
      <c r="AP2" s="1">
        <v>3.12</v>
      </c>
      <c r="AQ2" s="1">
        <v>0.56999999999999995</v>
      </c>
      <c r="AR2" s="1">
        <v>0.1</v>
      </c>
      <c r="AS2" s="1">
        <v>0.09</v>
      </c>
      <c r="AT2" s="1">
        <v>17.55</v>
      </c>
      <c r="AU2" s="1">
        <v>5.19</v>
      </c>
      <c r="AV2" s="1">
        <v>0.33</v>
      </c>
      <c r="AW2" s="1">
        <v>1.23</v>
      </c>
      <c r="AX2" s="1">
        <v>5.55</v>
      </c>
      <c r="AY2" s="1">
        <v>0</v>
      </c>
      <c r="AZ2" s="1">
        <v>0</v>
      </c>
      <c r="BA2" s="1">
        <v>0</v>
      </c>
      <c r="BB2" s="1">
        <v>0</v>
      </c>
      <c r="BC2" s="1">
        <v>0</v>
      </c>
      <c r="BD2" s="1">
        <v>0</v>
      </c>
    </row>
    <row r="3" spans="1:56">
      <c r="A3" s="18">
        <v>46192</v>
      </c>
      <c r="B3" s="1">
        <v>2</v>
      </c>
      <c r="C3" s="1" t="s">
        <v>89</v>
      </c>
      <c r="D3" s="1" t="s">
        <v>90</v>
      </c>
      <c r="E3" s="1">
        <v>2</v>
      </c>
      <c r="F3" s="1">
        <v>200</v>
      </c>
      <c r="H3" s="1" t="s">
        <v>91</v>
      </c>
      <c r="I3" s="1" t="s">
        <v>79</v>
      </c>
      <c r="J3" s="1" t="s">
        <v>81</v>
      </c>
      <c r="K3" s="1" t="s">
        <v>74</v>
      </c>
      <c r="L3" s="1" t="s">
        <v>72</v>
      </c>
      <c r="M3" s="1" t="s">
        <v>75</v>
      </c>
      <c r="N3" s="1" t="s">
        <v>76</v>
      </c>
      <c r="O3" s="1" t="s">
        <v>77</v>
      </c>
      <c r="P3" s="1" t="s">
        <v>78</v>
      </c>
      <c r="X3" s="1" t="s">
        <v>73</v>
      </c>
      <c r="Z3" s="1" t="s">
        <v>70</v>
      </c>
      <c r="AB3" s="1">
        <v>5</v>
      </c>
      <c r="AC3" s="1">
        <v>748779.2</v>
      </c>
      <c r="AD3" s="1">
        <v>8930605.5700000003</v>
      </c>
      <c r="AE3" s="1">
        <v>210.78</v>
      </c>
      <c r="AF3" s="1">
        <v>748777.53</v>
      </c>
      <c r="AG3" s="1">
        <v>8930603.5</v>
      </c>
      <c r="AH3" s="1">
        <v>200.01</v>
      </c>
      <c r="AI3" s="1">
        <v>11.1</v>
      </c>
      <c r="AJ3" s="1">
        <v>0</v>
      </c>
      <c r="AK3" s="1">
        <v>1.5</v>
      </c>
      <c r="AL3" s="1">
        <v>0.8</v>
      </c>
      <c r="AM3" s="1">
        <v>218.87</v>
      </c>
      <c r="AN3" s="1">
        <v>13.87</v>
      </c>
      <c r="AO3" s="1">
        <v>0</v>
      </c>
      <c r="AP3" s="1">
        <v>3.08</v>
      </c>
      <c r="AQ3" s="1">
        <v>0.53</v>
      </c>
      <c r="AR3" s="1">
        <v>0.09</v>
      </c>
      <c r="AS3" s="1">
        <v>0.08</v>
      </c>
      <c r="AT3" s="1">
        <v>16.39</v>
      </c>
      <c r="AU3" s="1">
        <v>4.99</v>
      </c>
      <c r="AV3" s="1">
        <v>0.28999999999999998</v>
      </c>
      <c r="AW3" s="1">
        <v>1.23</v>
      </c>
      <c r="AX3" s="1">
        <v>5.34</v>
      </c>
      <c r="AY3" s="1">
        <v>0</v>
      </c>
      <c r="AZ3" s="1">
        <v>0</v>
      </c>
      <c r="BA3" s="1">
        <v>0</v>
      </c>
      <c r="BB3" s="1">
        <v>0</v>
      </c>
      <c r="BC3" s="1">
        <v>0</v>
      </c>
      <c r="BD3" s="1">
        <v>0</v>
      </c>
    </row>
    <row r="4" spans="1:56">
      <c r="A4" s="18">
        <v>46192</v>
      </c>
      <c r="B4" s="1">
        <v>3</v>
      </c>
      <c r="C4" s="1" t="s">
        <v>89</v>
      </c>
      <c r="D4" s="1" t="s">
        <v>90</v>
      </c>
      <c r="E4" s="1">
        <v>2</v>
      </c>
      <c r="F4" s="1">
        <v>200</v>
      </c>
      <c r="H4" s="1" t="s">
        <v>91</v>
      </c>
      <c r="I4" s="1" t="s">
        <v>79</v>
      </c>
      <c r="J4" s="1" t="s">
        <v>81</v>
      </c>
      <c r="K4" s="1" t="s">
        <v>74</v>
      </c>
      <c r="L4" s="1" t="s">
        <v>72</v>
      </c>
      <c r="M4" s="1" t="s">
        <v>75</v>
      </c>
      <c r="N4" s="1" t="s">
        <v>76</v>
      </c>
      <c r="O4" s="1" t="s">
        <v>77</v>
      </c>
      <c r="P4" s="1" t="s">
        <v>78</v>
      </c>
      <c r="X4" s="1" t="s">
        <v>73</v>
      </c>
      <c r="Z4" s="1" t="s">
        <v>70</v>
      </c>
      <c r="AB4" s="1">
        <v>5</v>
      </c>
      <c r="AC4" s="1">
        <v>748780.36</v>
      </c>
      <c r="AD4" s="1">
        <v>8930604.6199999992</v>
      </c>
      <c r="AE4" s="1">
        <v>210.6</v>
      </c>
      <c r="AF4" s="1">
        <v>748778.71</v>
      </c>
      <c r="AG4" s="1">
        <v>8930602.5700000003</v>
      </c>
      <c r="AH4" s="1">
        <v>200</v>
      </c>
      <c r="AI4" s="1">
        <v>10.92</v>
      </c>
      <c r="AJ4" s="1">
        <v>0</v>
      </c>
      <c r="AK4" s="1">
        <v>1.5</v>
      </c>
      <c r="AL4" s="1">
        <v>0.8</v>
      </c>
      <c r="AM4" s="1">
        <v>218.87</v>
      </c>
      <c r="AN4" s="1">
        <v>13.97</v>
      </c>
      <c r="AO4" s="1">
        <v>0</v>
      </c>
      <c r="AP4" s="1">
        <v>3.04</v>
      </c>
      <c r="AQ4" s="1">
        <v>0.48</v>
      </c>
      <c r="AR4" s="1">
        <v>0.09</v>
      </c>
      <c r="AS4" s="1">
        <v>7.0000000000000007E-2</v>
      </c>
      <c r="AT4" s="1">
        <v>14.71</v>
      </c>
      <c r="AU4" s="1">
        <v>4.6399999999999997</v>
      </c>
      <c r="AV4" s="1">
        <v>0.24</v>
      </c>
      <c r="AW4" s="1">
        <v>1.19</v>
      </c>
      <c r="AX4" s="1">
        <v>4.96</v>
      </c>
      <c r="AY4" s="1">
        <v>0</v>
      </c>
      <c r="AZ4" s="1">
        <v>0</v>
      </c>
      <c r="BA4" s="1">
        <v>0</v>
      </c>
      <c r="BB4" s="1">
        <v>0</v>
      </c>
      <c r="BC4" s="1">
        <v>0</v>
      </c>
      <c r="BD4" s="1">
        <v>0</v>
      </c>
    </row>
    <row r="5" spans="1:56">
      <c r="A5" s="18">
        <v>46192</v>
      </c>
      <c r="B5" s="1">
        <v>4</v>
      </c>
      <c r="C5" s="1" t="s">
        <v>89</v>
      </c>
      <c r="D5" s="1" t="s">
        <v>90</v>
      </c>
      <c r="E5" s="1">
        <v>2</v>
      </c>
      <c r="F5" s="1">
        <v>200</v>
      </c>
      <c r="H5" s="1" t="s">
        <v>91</v>
      </c>
      <c r="I5" s="1" t="s">
        <v>79</v>
      </c>
      <c r="J5" s="1" t="s">
        <v>81</v>
      </c>
      <c r="K5" s="1" t="s">
        <v>74</v>
      </c>
      <c r="L5" s="1" t="s">
        <v>72</v>
      </c>
      <c r="M5" s="1" t="s">
        <v>75</v>
      </c>
      <c r="N5" s="1" t="s">
        <v>76</v>
      </c>
      <c r="O5" s="1" t="s">
        <v>77</v>
      </c>
      <c r="P5" s="1" t="s">
        <v>78</v>
      </c>
      <c r="X5" s="1" t="s">
        <v>73</v>
      </c>
      <c r="Z5" s="1" t="s">
        <v>70</v>
      </c>
      <c r="AB5" s="1">
        <v>5</v>
      </c>
      <c r="AC5" s="1">
        <v>748781.53</v>
      </c>
      <c r="AD5" s="1">
        <v>8930603.6899999995</v>
      </c>
      <c r="AE5" s="1">
        <v>210.56</v>
      </c>
      <c r="AF5" s="1">
        <v>748779.89</v>
      </c>
      <c r="AG5" s="1">
        <v>8930601.6500000004</v>
      </c>
      <c r="AH5" s="1">
        <v>200</v>
      </c>
      <c r="AI5" s="1">
        <v>10.88</v>
      </c>
      <c r="AJ5" s="1">
        <v>0</v>
      </c>
      <c r="AK5" s="1">
        <v>1.5</v>
      </c>
      <c r="AL5" s="1">
        <v>0.8</v>
      </c>
      <c r="AM5" s="1">
        <v>218.87</v>
      </c>
      <c r="AN5" s="1">
        <v>13.95</v>
      </c>
      <c r="AO5" s="1">
        <v>0</v>
      </c>
      <c r="AP5" s="1">
        <v>3.01</v>
      </c>
      <c r="AQ5" s="1">
        <v>0.42</v>
      </c>
      <c r="AR5" s="1">
        <v>0.08</v>
      </c>
      <c r="AS5" s="1">
        <v>7.0000000000000007E-2</v>
      </c>
      <c r="AT5" s="1">
        <v>13.05</v>
      </c>
      <c r="AU5" s="1">
        <v>4.21</v>
      </c>
      <c r="AV5" s="1">
        <v>0.2</v>
      </c>
      <c r="AW5" s="1">
        <v>1.1200000000000001</v>
      </c>
      <c r="AX5" s="1">
        <v>4.49</v>
      </c>
      <c r="AY5" s="1">
        <v>0</v>
      </c>
      <c r="AZ5" s="1">
        <v>0</v>
      </c>
      <c r="BA5" s="1">
        <v>0</v>
      </c>
      <c r="BB5" s="1">
        <v>0</v>
      </c>
      <c r="BC5" s="1">
        <v>0</v>
      </c>
      <c r="BD5" s="1">
        <v>0</v>
      </c>
    </row>
    <row r="6" spans="1:56">
      <c r="A6" s="18">
        <v>46192</v>
      </c>
      <c r="B6" s="1">
        <v>5</v>
      </c>
      <c r="C6" s="1" t="s">
        <v>89</v>
      </c>
      <c r="D6" s="1" t="s">
        <v>90</v>
      </c>
      <c r="E6" s="1">
        <v>2</v>
      </c>
      <c r="F6" s="1">
        <v>200</v>
      </c>
      <c r="H6" s="1" t="s">
        <v>91</v>
      </c>
      <c r="I6" s="1" t="s">
        <v>28</v>
      </c>
      <c r="J6" s="1" t="s">
        <v>71</v>
      </c>
      <c r="K6" s="1" t="s">
        <v>74</v>
      </c>
      <c r="L6" s="1" t="s">
        <v>72</v>
      </c>
      <c r="M6" s="1" t="s">
        <v>75</v>
      </c>
      <c r="N6" s="1" t="s">
        <v>76</v>
      </c>
      <c r="O6" s="1" t="s">
        <v>77</v>
      </c>
      <c r="P6" s="1" t="s">
        <v>78</v>
      </c>
      <c r="X6" s="1" t="s">
        <v>73</v>
      </c>
      <c r="Z6" s="1" t="s">
        <v>70</v>
      </c>
      <c r="AB6" s="1">
        <v>5</v>
      </c>
      <c r="AC6" s="1">
        <v>748782.7</v>
      </c>
      <c r="AD6" s="1">
        <v>8930602.75</v>
      </c>
      <c r="AE6" s="1">
        <v>210.45</v>
      </c>
      <c r="AF6" s="1">
        <v>748781.07</v>
      </c>
      <c r="AG6" s="1">
        <v>8930600.7100000009</v>
      </c>
      <c r="AH6" s="1">
        <v>200</v>
      </c>
      <c r="AI6" s="1">
        <v>10.77</v>
      </c>
      <c r="AJ6" s="1">
        <v>0</v>
      </c>
      <c r="AK6" s="1">
        <v>1.5</v>
      </c>
      <c r="AL6" s="1">
        <v>0.8</v>
      </c>
      <c r="AM6" s="1">
        <v>218.62</v>
      </c>
      <c r="AN6" s="1">
        <v>14.03</v>
      </c>
      <c r="AO6" s="1">
        <v>0</v>
      </c>
      <c r="AP6" s="1">
        <v>3.01</v>
      </c>
      <c r="AQ6" s="1">
        <v>0.39</v>
      </c>
      <c r="AR6" s="1">
        <v>7.0000000000000007E-2</v>
      </c>
      <c r="AS6" s="1">
        <v>0.06</v>
      </c>
      <c r="AT6" s="1">
        <v>11.95</v>
      </c>
      <c r="AU6" s="1">
        <v>3.76</v>
      </c>
      <c r="AV6" s="1">
        <v>0.17</v>
      </c>
      <c r="AW6" s="1">
        <v>1.01</v>
      </c>
      <c r="AX6" s="1">
        <v>4.03</v>
      </c>
      <c r="AY6" s="1">
        <v>0</v>
      </c>
      <c r="AZ6" s="1">
        <v>0</v>
      </c>
      <c r="BA6" s="1">
        <v>0</v>
      </c>
      <c r="BB6" s="1">
        <v>0</v>
      </c>
      <c r="BC6" s="1">
        <v>0</v>
      </c>
      <c r="BD6" s="1">
        <v>0</v>
      </c>
    </row>
    <row r="7" spans="1:56">
      <c r="A7" s="18">
        <v>46192</v>
      </c>
      <c r="B7" s="1">
        <v>6</v>
      </c>
      <c r="C7" s="1" t="s">
        <v>89</v>
      </c>
      <c r="D7" s="1" t="s">
        <v>90</v>
      </c>
      <c r="E7" s="1">
        <v>2</v>
      </c>
      <c r="F7" s="1">
        <v>200</v>
      </c>
      <c r="H7" s="1" t="s">
        <v>91</v>
      </c>
      <c r="I7" s="1" t="s">
        <v>28</v>
      </c>
      <c r="J7" s="1" t="s">
        <v>71</v>
      </c>
      <c r="K7" s="1" t="s">
        <v>74</v>
      </c>
      <c r="L7" s="1" t="s">
        <v>72</v>
      </c>
      <c r="M7" s="1" t="s">
        <v>75</v>
      </c>
      <c r="N7" s="1" t="s">
        <v>76</v>
      </c>
      <c r="O7" s="1" t="s">
        <v>77</v>
      </c>
      <c r="P7" s="1" t="s">
        <v>78</v>
      </c>
      <c r="X7" s="1" t="s">
        <v>73</v>
      </c>
      <c r="Z7" s="1" t="s">
        <v>70</v>
      </c>
      <c r="AB7" s="1">
        <v>5</v>
      </c>
      <c r="AC7" s="1">
        <v>748783.88</v>
      </c>
      <c r="AD7" s="1">
        <v>8930601.8200000003</v>
      </c>
      <c r="AE7" s="1">
        <v>210.38</v>
      </c>
      <c r="AF7" s="1">
        <v>748782.25</v>
      </c>
      <c r="AG7" s="1">
        <v>8930599.7699999996</v>
      </c>
      <c r="AH7" s="1">
        <v>200</v>
      </c>
      <c r="AI7" s="1">
        <v>10.7</v>
      </c>
      <c r="AJ7" s="1">
        <v>0</v>
      </c>
      <c r="AK7" s="1">
        <v>1.5</v>
      </c>
      <c r="AL7" s="1">
        <v>0.8</v>
      </c>
      <c r="AM7" s="1">
        <v>218.62</v>
      </c>
      <c r="AN7" s="1">
        <v>14.14</v>
      </c>
      <c r="AO7" s="1">
        <v>0</v>
      </c>
      <c r="AP7" s="1">
        <v>3.01</v>
      </c>
      <c r="AQ7" s="1">
        <v>0.34</v>
      </c>
      <c r="AR7" s="1">
        <v>7.0000000000000007E-2</v>
      </c>
      <c r="AS7" s="1">
        <v>0.05</v>
      </c>
      <c r="AT7" s="1">
        <v>10.7</v>
      </c>
      <c r="AU7" s="1">
        <v>3.25</v>
      </c>
      <c r="AV7" s="1">
        <v>0.15</v>
      </c>
      <c r="AW7" s="1">
        <v>0.88</v>
      </c>
      <c r="AX7" s="1">
        <v>3.49</v>
      </c>
      <c r="AY7" s="1">
        <v>0</v>
      </c>
      <c r="AZ7" s="1">
        <v>0</v>
      </c>
      <c r="BA7" s="1">
        <v>0</v>
      </c>
      <c r="BB7" s="1">
        <v>0</v>
      </c>
      <c r="BC7" s="1">
        <v>0</v>
      </c>
      <c r="BD7" s="1">
        <v>0</v>
      </c>
    </row>
    <row r="8" spans="1:56">
      <c r="A8" s="18">
        <v>46192</v>
      </c>
      <c r="B8" s="1">
        <v>7</v>
      </c>
      <c r="C8" s="1" t="s">
        <v>89</v>
      </c>
      <c r="D8" s="1" t="s">
        <v>90</v>
      </c>
      <c r="E8" s="1">
        <v>2</v>
      </c>
      <c r="F8" s="1">
        <v>200</v>
      </c>
      <c r="H8" s="1" t="s">
        <v>91</v>
      </c>
      <c r="I8" s="1" t="s">
        <v>28</v>
      </c>
      <c r="J8" s="1" t="s">
        <v>71</v>
      </c>
      <c r="K8" s="1" t="s">
        <v>74</v>
      </c>
      <c r="L8" s="1" t="s">
        <v>72</v>
      </c>
      <c r="M8" s="1" t="s">
        <v>75</v>
      </c>
      <c r="N8" s="1" t="s">
        <v>76</v>
      </c>
      <c r="O8" s="1" t="s">
        <v>77</v>
      </c>
      <c r="P8" s="1" t="s">
        <v>78</v>
      </c>
      <c r="X8" s="1" t="s">
        <v>73</v>
      </c>
      <c r="Z8" s="1" t="s">
        <v>70</v>
      </c>
      <c r="AB8" s="1">
        <v>5</v>
      </c>
      <c r="AC8" s="1">
        <v>748785.04</v>
      </c>
      <c r="AD8" s="1">
        <v>8930600.8699999992</v>
      </c>
      <c r="AE8" s="1">
        <v>210.22</v>
      </c>
      <c r="AF8" s="1">
        <v>748783.42</v>
      </c>
      <c r="AG8" s="1">
        <v>8930598.8399999999</v>
      </c>
      <c r="AH8" s="1">
        <v>200</v>
      </c>
      <c r="AI8" s="1">
        <v>10.54</v>
      </c>
      <c r="AJ8" s="1">
        <v>0</v>
      </c>
      <c r="AK8" s="1">
        <v>1.5</v>
      </c>
      <c r="AL8" s="1">
        <v>0.8</v>
      </c>
      <c r="AM8" s="1">
        <v>218.62</v>
      </c>
      <c r="AN8" s="1">
        <v>14.26</v>
      </c>
      <c r="AO8" s="1">
        <v>0</v>
      </c>
      <c r="AP8" s="1">
        <v>3.01</v>
      </c>
      <c r="AQ8" s="1">
        <v>0.34</v>
      </c>
      <c r="AR8" s="1">
        <v>7.0000000000000007E-2</v>
      </c>
      <c r="AS8" s="1">
        <v>0.05</v>
      </c>
      <c r="AT8" s="1">
        <v>10.7</v>
      </c>
      <c r="AU8" s="1">
        <v>3.25</v>
      </c>
      <c r="AV8" s="1">
        <v>0.15</v>
      </c>
      <c r="AW8" s="1">
        <v>0.88</v>
      </c>
      <c r="AX8" s="1">
        <v>3.49</v>
      </c>
      <c r="AY8" s="1">
        <v>0</v>
      </c>
      <c r="AZ8" s="1">
        <v>0</v>
      </c>
      <c r="BA8" s="1">
        <v>0</v>
      </c>
      <c r="BB8" s="1">
        <v>0</v>
      </c>
      <c r="BC8" s="1">
        <v>0</v>
      </c>
      <c r="BD8" s="1">
        <v>0</v>
      </c>
    </row>
    <row r="9" spans="1:56">
      <c r="A9" s="18">
        <v>46192</v>
      </c>
      <c r="B9" s="1">
        <v>8</v>
      </c>
      <c r="C9" s="1" t="s">
        <v>89</v>
      </c>
      <c r="D9" s="1" t="s">
        <v>90</v>
      </c>
      <c r="E9" s="1">
        <v>2</v>
      </c>
      <c r="F9" s="1">
        <v>200</v>
      </c>
      <c r="H9" s="1" t="s">
        <v>91</v>
      </c>
      <c r="I9" s="1" t="s">
        <v>28</v>
      </c>
      <c r="J9" s="1" t="s">
        <v>71</v>
      </c>
      <c r="K9" s="1" t="s">
        <v>74</v>
      </c>
      <c r="L9" s="1" t="s">
        <v>72</v>
      </c>
      <c r="M9" s="1" t="s">
        <v>75</v>
      </c>
      <c r="N9" s="1" t="s">
        <v>76</v>
      </c>
      <c r="O9" s="1" t="s">
        <v>77</v>
      </c>
      <c r="P9" s="1" t="s">
        <v>78</v>
      </c>
      <c r="X9" s="1" t="s">
        <v>73</v>
      </c>
      <c r="Z9" s="1" t="s">
        <v>70</v>
      </c>
      <c r="AB9" s="1">
        <v>5</v>
      </c>
      <c r="AC9" s="1">
        <v>748786.22</v>
      </c>
      <c r="AD9" s="1">
        <v>8930599.9399999995</v>
      </c>
      <c r="AE9" s="1">
        <v>210.24</v>
      </c>
      <c r="AF9" s="1">
        <v>748784.59</v>
      </c>
      <c r="AG9" s="1">
        <v>8930597.9000000004</v>
      </c>
      <c r="AH9" s="1">
        <v>200</v>
      </c>
      <c r="AI9" s="1">
        <v>10.57</v>
      </c>
      <c r="AJ9" s="1">
        <v>0</v>
      </c>
      <c r="AK9" s="1">
        <v>1.5</v>
      </c>
      <c r="AL9" s="1">
        <v>0.8</v>
      </c>
      <c r="AM9" s="1">
        <v>218.62</v>
      </c>
      <c r="AN9" s="1">
        <v>14.26</v>
      </c>
      <c r="AO9" s="1">
        <v>0</v>
      </c>
      <c r="AP9" s="1">
        <v>3.01</v>
      </c>
      <c r="AQ9" s="1">
        <v>0.34</v>
      </c>
      <c r="AR9" s="1">
        <v>7.0000000000000007E-2</v>
      </c>
      <c r="AS9" s="1">
        <v>0.05</v>
      </c>
      <c r="AT9" s="1">
        <v>10.7</v>
      </c>
      <c r="AU9" s="1">
        <v>3.25</v>
      </c>
      <c r="AV9" s="1">
        <v>0.15</v>
      </c>
      <c r="AW9" s="1">
        <v>0.88</v>
      </c>
      <c r="AX9" s="1">
        <v>3.49</v>
      </c>
      <c r="AY9" s="1">
        <v>0</v>
      </c>
      <c r="AZ9" s="1">
        <v>0</v>
      </c>
      <c r="BA9" s="1">
        <v>0</v>
      </c>
      <c r="BB9" s="1">
        <v>0</v>
      </c>
      <c r="BC9" s="1">
        <v>0</v>
      </c>
      <c r="BD9" s="1">
        <v>0</v>
      </c>
    </row>
    <row r="10" spans="1:56">
      <c r="A10" s="18">
        <v>46192</v>
      </c>
      <c r="B10" s="1">
        <v>9</v>
      </c>
      <c r="C10" s="1" t="s">
        <v>89</v>
      </c>
      <c r="D10" s="1" t="s">
        <v>90</v>
      </c>
      <c r="E10" s="1">
        <v>2</v>
      </c>
      <c r="F10" s="1">
        <v>200</v>
      </c>
      <c r="H10" s="1" t="s">
        <v>91</v>
      </c>
      <c r="I10" s="1" t="s">
        <v>28</v>
      </c>
      <c r="J10" s="1" t="s">
        <v>71</v>
      </c>
      <c r="K10" s="1" t="s">
        <v>74</v>
      </c>
      <c r="L10" s="1" t="s">
        <v>72</v>
      </c>
      <c r="M10" s="1" t="s">
        <v>75</v>
      </c>
      <c r="N10" s="1" t="s">
        <v>76</v>
      </c>
      <c r="O10" s="1" t="s">
        <v>77</v>
      </c>
      <c r="P10" s="1" t="s">
        <v>78</v>
      </c>
      <c r="X10" s="1" t="s">
        <v>73</v>
      </c>
      <c r="Z10" s="1" t="s">
        <v>70</v>
      </c>
      <c r="AB10" s="1">
        <v>5</v>
      </c>
      <c r="AC10" s="1">
        <v>748787.4</v>
      </c>
      <c r="AD10" s="1">
        <v>8930599.0099999998</v>
      </c>
      <c r="AE10" s="1">
        <v>210.43</v>
      </c>
      <c r="AF10" s="1">
        <v>748785.77</v>
      </c>
      <c r="AG10" s="1">
        <v>8930596.9700000007</v>
      </c>
      <c r="AH10" s="1">
        <v>200</v>
      </c>
      <c r="AI10" s="1">
        <v>10.75</v>
      </c>
      <c r="AJ10" s="1">
        <v>0</v>
      </c>
      <c r="AK10" s="1">
        <v>1.5</v>
      </c>
      <c r="AL10" s="1">
        <v>0.8</v>
      </c>
      <c r="AM10" s="1">
        <v>218.62</v>
      </c>
      <c r="AN10" s="1">
        <v>14.05</v>
      </c>
      <c r="AO10" s="1">
        <v>0</v>
      </c>
      <c r="AP10" s="1">
        <v>3.01</v>
      </c>
      <c r="AQ10" s="1">
        <v>0.32</v>
      </c>
      <c r="AR10" s="1">
        <v>0.06</v>
      </c>
      <c r="AS10" s="1">
        <v>0.05</v>
      </c>
      <c r="AT10" s="1">
        <v>10.07</v>
      </c>
      <c r="AU10" s="1">
        <v>2.92</v>
      </c>
      <c r="AV10" s="1">
        <v>0.13</v>
      </c>
      <c r="AW10" s="1">
        <v>0.78</v>
      </c>
      <c r="AX10" s="1">
        <v>3.14</v>
      </c>
      <c r="AY10" s="1">
        <v>0</v>
      </c>
      <c r="AZ10" s="1">
        <v>0</v>
      </c>
      <c r="BA10" s="1">
        <v>0</v>
      </c>
      <c r="BB10" s="1">
        <v>0</v>
      </c>
      <c r="BC10" s="1">
        <v>0</v>
      </c>
      <c r="BD10" s="1">
        <v>0</v>
      </c>
    </row>
    <row r="11" spans="1:56">
      <c r="A11" s="18">
        <v>46192</v>
      </c>
      <c r="B11" s="1">
        <v>10</v>
      </c>
      <c r="C11" s="1" t="s">
        <v>89</v>
      </c>
      <c r="D11" s="1" t="s">
        <v>90</v>
      </c>
      <c r="E11" s="1">
        <v>2</v>
      </c>
      <c r="F11" s="1">
        <v>200</v>
      </c>
      <c r="H11" s="1" t="s">
        <v>91</v>
      </c>
      <c r="I11" s="1" t="s">
        <v>28</v>
      </c>
      <c r="J11" s="1" t="s">
        <v>71</v>
      </c>
      <c r="K11" s="1" t="s">
        <v>74</v>
      </c>
      <c r="L11" s="1" t="s">
        <v>72</v>
      </c>
      <c r="M11" s="1" t="s">
        <v>75</v>
      </c>
      <c r="N11" s="1" t="s">
        <v>76</v>
      </c>
      <c r="O11" s="1" t="s">
        <v>77</v>
      </c>
      <c r="P11" s="1" t="s">
        <v>78</v>
      </c>
      <c r="X11" s="1" t="s">
        <v>73</v>
      </c>
      <c r="Z11" s="1" t="s">
        <v>70</v>
      </c>
      <c r="AB11" s="1">
        <v>5</v>
      </c>
      <c r="AC11" s="1">
        <v>748788.56</v>
      </c>
      <c r="AD11" s="1">
        <v>8930598.0700000003</v>
      </c>
      <c r="AE11" s="1">
        <v>210.92</v>
      </c>
      <c r="AF11" s="1">
        <v>748786.94</v>
      </c>
      <c r="AG11" s="1">
        <v>8930596.0399999991</v>
      </c>
      <c r="AH11" s="1">
        <v>200</v>
      </c>
      <c r="AI11" s="1">
        <v>11.22</v>
      </c>
      <c r="AJ11" s="1">
        <v>0</v>
      </c>
      <c r="AK11" s="1">
        <v>1.5</v>
      </c>
      <c r="AL11" s="1">
        <v>0.8</v>
      </c>
      <c r="AM11" s="1">
        <v>218.62</v>
      </c>
      <c r="AN11" s="1">
        <v>13.39</v>
      </c>
      <c r="AO11" s="1">
        <v>0</v>
      </c>
      <c r="AP11" s="1">
        <v>3</v>
      </c>
      <c r="AQ11" s="1">
        <v>0.32</v>
      </c>
      <c r="AR11" s="1">
        <v>0.06</v>
      </c>
      <c r="AS11" s="1">
        <v>0.05</v>
      </c>
      <c r="AT11" s="1">
        <v>9.93</v>
      </c>
      <c r="AU11" s="1">
        <v>2.67</v>
      </c>
      <c r="AV11" s="1">
        <v>0.1</v>
      </c>
      <c r="AW11" s="1">
        <v>0.64</v>
      </c>
      <c r="AX11" s="1">
        <v>2.86</v>
      </c>
      <c r="AY11" s="1">
        <v>0</v>
      </c>
      <c r="AZ11" s="1">
        <v>0</v>
      </c>
      <c r="BA11" s="1">
        <v>0</v>
      </c>
      <c r="BB11" s="1">
        <v>0</v>
      </c>
      <c r="BC11" s="1">
        <v>0</v>
      </c>
      <c r="BD11" s="1">
        <v>0</v>
      </c>
    </row>
    <row r="12" spans="1:56">
      <c r="A12" s="18">
        <v>46192</v>
      </c>
      <c r="B12" s="1">
        <v>11</v>
      </c>
      <c r="C12" s="1" t="s">
        <v>89</v>
      </c>
      <c r="D12" s="1" t="s">
        <v>90</v>
      </c>
      <c r="E12" s="1">
        <v>2</v>
      </c>
      <c r="F12" s="1">
        <v>200</v>
      </c>
      <c r="H12" s="1" t="s">
        <v>91</v>
      </c>
      <c r="I12" s="1" t="s">
        <v>28</v>
      </c>
      <c r="J12" s="1" t="s">
        <v>71</v>
      </c>
      <c r="K12" s="1" t="s">
        <v>74</v>
      </c>
      <c r="L12" s="1" t="s">
        <v>72</v>
      </c>
      <c r="M12" s="1" t="s">
        <v>75</v>
      </c>
      <c r="N12" s="1" t="s">
        <v>76</v>
      </c>
      <c r="O12" s="1" t="s">
        <v>77</v>
      </c>
      <c r="P12" s="1" t="s">
        <v>78</v>
      </c>
      <c r="X12" s="1" t="s">
        <v>73</v>
      </c>
      <c r="Z12" s="1" t="s">
        <v>70</v>
      </c>
      <c r="AB12" s="1">
        <v>5</v>
      </c>
      <c r="AC12" s="1">
        <v>748789.73</v>
      </c>
      <c r="AD12" s="1">
        <v>8930597.1300000008</v>
      </c>
      <c r="AE12" s="1">
        <v>211.31</v>
      </c>
      <c r="AF12" s="1">
        <v>748788.11</v>
      </c>
      <c r="AG12" s="1">
        <v>8930595.0999999996</v>
      </c>
      <c r="AH12" s="1">
        <v>200</v>
      </c>
      <c r="AI12" s="1">
        <v>11.61</v>
      </c>
      <c r="AJ12" s="1">
        <v>0</v>
      </c>
      <c r="AK12" s="1">
        <v>1.5</v>
      </c>
      <c r="AL12" s="1">
        <v>0.8</v>
      </c>
      <c r="AM12" s="1">
        <v>218.62</v>
      </c>
      <c r="AN12" s="1">
        <v>12.92</v>
      </c>
      <c r="AO12" s="1">
        <v>0</v>
      </c>
      <c r="AP12" s="1">
        <v>2.93</v>
      </c>
      <c r="AQ12" s="1">
        <v>0.34</v>
      </c>
      <c r="AR12" s="1">
        <v>0.05</v>
      </c>
      <c r="AS12" s="1">
        <v>0.05</v>
      </c>
      <c r="AT12" s="1">
        <v>10.039999999999999</v>
      </c>
      <c r="AU12" s="1">
        <v>2.13</v>
      </c>
      <c r="AV12" s="1">
        <v>0.08</v>
      </c>
      <c r="AW12" s="1">
        <v>0.49</v>
      </c>
      <c r="AX12" s="1">
        <v>2.2999999999999998</v>
      </c>
      <c r="AY12" s="1">
        <v>0</v>
      </c>
      <c r="AZ12" s="1">
        <v>0</v>
      </c>
      <c r="BA12" s="1">
        <v>0</v>
      </c>
      <c r="BB12" s="1">
        <v>0</v>
      </c>
      <c r="BC12" s="1">
        <v>0</v>
      </c>
      <c r="BD12" s="1">
        <v>0</v>
      </c>
    </row>
    <row r="13" spans="1:56">
      <c r="A13" s="18">
        <v>46192</v>
      </c>
      <c r="B13" s="1">
        <v>12</v>
      </c>
      <c r="C13" s="1" t="s">
        <v>89</v>
      </c>
      <c r="D13" s="1" t="s">
        <v>90</v>
      </c>
      <c r="E13" s="1">
        <v>2</v>
      </c>
      <c r="F13" s="1">
        <v>200</v>
      </c>
      <c r="H13" s="1" t="s">
        <v>91</v>
      </c>
      <c r="I13" s="1" t="s">
        <v>28</v>
      </c>
      <c r="J13" s="1" t="s">
        <v>71</v>
      </c>
      <c r="K13" s="1" t="s">
        <v>74</v>
      </c>
      <c r="L13" s="1" t="s">
        <v>72</v>
      </c>
      <c r="M13" s="1" t="s">
        <v>75</v>
      </c>
      <c r="N13" s="1" t="s">
        <v>76</v>
      </c>
      <c r="O13" s="1" t="s">
        <v>77</v>
      </c>
      <c r="P13" s="1" t="s">
        <v>78</v>
      </c>
      <c r="X13" s="1" t="s">
        <v>73</v>
      </c>
      <c r="Z13" s="1" t="s">
        <v>70</v>
      </c>
      <c r="AB13" s="1">
        <v>5</v>
      </c>
      <c r="AC13" s="1">
        <v>748790.91</v>
      </c>
      <c r="AD13" s="1">
        <v>8930596.1899999995</v>
      </c>
      <c r="AE13" s="1">
        <v>211.34</v>
      </c>
      <c r="AF13" s="1">
        <v>748789.29</v>
      </c>
      <c r="AG13" s="1">
        <v>8930594.1699999999</v>
      </c>
      <c r="AH13" s="1">
        <v>200</v>
      </c>
      <c r="AI13" s="1">
        <v>11.63</v>
      </c>
      <c r="AJ13" s="1">
        <v>0</v>
      </c>
      <c r="AK13" s="1">
        <v>1.5</v>
      </c>
      <c r="AL13" s="1">
        <v>0.8</v>
      </c>
      <c r="AM13" s="1">
        <v>218.62</v>
      </c>
      <c r="AN13" s="1">
        <v>12.89</v>
      </c>
      <c r="AO13" s="1">
        <v>0</v>
      </c>
      <c r="AP13" s="1">
        <v>2.93</v>
      </c>
      <c r="AQ13" s="1">
        <v>0.34</v>
      </c>
      <c r="AR13" s="1">
        <v>0.05</v>
      </c>
      <c r="AS13" s="1">
        <v>0.05</v>
      </c>
      <c r="AT13" s="1">
        <v>10.039999999999999</v>
      </c>
      <c r="AU13" s="1">
        <v>2.13</v>
      </c>
      <c r="AV13" s="1">
        <v>0.08</v>
      </c>
      <c r="AW13" s="1">
        <v>0.49</v>
      </c>
      <c r="AX13" s="1">
        <v>2.2999999999999998</v>
      </c>
      <c r="AY13" s="1">
        <v>0</v>
      </c>
      <c r="AZ13" s="1">
        <v>0</v>
      </c>
      <c r="BA13" s="1">
        <v>0</v>
      </c>
      <c r="BB13" s="1">
        <v>0</v>
      </c>
      <c r="BC13" s="1">
        <v>0</v>
      </c>
      <c r="BD13" s="1">
        <v>0</v>
      </c>
    </row>
    <row r="14" spans="1:56">
      <c r="A14" s="18">
        <v>46192</v>
      </c>
      <c r="B14" s="1">
        <v>13</v>
      </c>
      <c r="C14" s="1" t="s">
        <v>89</v>
      </c>
      <c r="D14" s="1" t="s">
        <v>90</v>
      </c>
      <c r="E14" s="1">
        <v>2</v>
      </c>
      <c r="F14" s="1">
        <v>200</v>
      </c>
      <c r="H14" s="1" t="s">
        <v>91</v>
      </c>
      <c r="I14" s="1" t="s">
        <v>28</v>
      </c>
      <c r="J14" s="1" t="s">
        <v>71</v>
      </c>
      <c r="K14" s="1" t="s">
        <v>74</v>
      </c>
      <c r="L14" s="1" t="s">
        <v>72</v>
      </c>
      <c r="M14" s="1" t="s">
        <v>75</v>
      </c>
      <c r="N14" s="1" t="s">
        <v>76</v>
      </c>
      <c r="O14" s="1" t="s">
        <v>77</v>
      </c>
      <c r="P14" s="1" t="s">
        <v>78</v>
      </c>
      <c r="X14" s="1" t="s">
        <v>73</v>
      </c>
      <c r="Z14" s="1" t="s">
        <v>70</v>
      </c>
      <c r="AB14" s="1">
        <v>5</v>
      </c>
      <c r="AC14" s="1">
        <v>748792.08</v>
      </c>
      <c r="AD14" s="1">
        <v>8930595.2599999998</v>
      </c>
      <c r="AE14" s="1">
        <v>211.37</v>
      </c>
      <c r="AF14" s="1">
        <v>748790.46</v>
      </c>
      <c r="AG14" s="1">
        <v>8930593.2300000004</v>
      </c>
      <c r="AH14" s="1">
        <v>200</v>
      </c>
      <c r="AI14" s="1">
        <v>11.66</v>
      </c>
      <c r="AJ14" s="1">
        <v>0</v>
      </c>
      <c r="AK14" s="1">
        <v>1.5</v>
      </c>
      <c r="AL14" s="1">
        <v>0.8</v>
      </c>
      <c r="AM14" s="1">
        <v>218.62</v>
      </c>
      <c r="AN14" s="1">
        <v>12.86</v>
      </c>
      <c r="AO14" s="1">
        <v>0</v>
      </c>
      <c r="AP14" s="1">
        <v>2.93</v>
      </c>
      <c r="AQ14" s="1">
        <v>0.34</v>
      </c>
      <c r="AR14" s="1">
        <v>0.05</v>
      </c>
      <c r="AS14" s="1">
        <v>0.05</v>
      </c>
      <c r="AT14" s="1">
        <v>10.039999999999999</v>
      </c>
      <c r="AU14" s="1">
        <v>2.13</v>
      </c>
      <c r="AV14" s="1">
        <v>0.08</v>
      </c>
      <c r="AW14" s="1">
        <v>0.49</v>
      </c>
      <c r="AX14" s="1">
        <v>2.2999999999999998</v>
      </c>
      <c r="AY14" s="1">
        <v>0</v>
      </c>
      <c r="AZ14" s="1">
        <v>0</v>
      </c>
      <c r="BA14" s="1">
        <v>0</v>
      </c>
      <c r="BB14" s="1">
        <v>0</v>
      </c>
      <c r="BC14" s="1">
        <v>0</v>
      </c>
      <c r="BD14" s="1">
        <v>0</v>
      </c>
    </row>
    <row r="15" spans="1:56">
      <c r="A15" s="18">
        <v>46192</v>
      </c>
      <c r="B15" s="1">
        <v>14</v>
      </c>
      <c r="C15" s="1" t="s">
        <v>89</v>
      </c>
      <c r="D15" s="1" t="s">
        <v>90</v>
      </c>
      <c r="E15" s="1">
        <v>2</v>
      </c>
      <c r="F15" s="1">
        <v>200</v>
      </c>
      <c r="H15" s="1" t="s">
        <v>91</v>
      </c>
      <c r="I15" s="1" t="s">
        <v>28</v>
      </c>
      <c r="J15" s="1" t="s">
        <v>71</v>
      </c>
      <c r="K15" s="1" t="s">
        <v>74</v>
      </c>
      <c r="L15" s="1" t="s">
        <v>72</v>
      </c>
      <c r="M15" s="1" t="s">
        <v>75</v>
      </c>
      <c r="N15" s="1" t="s">
        <v>76</v>
      </c>
      <c r="O15" s="1" t="s">
        <v>77</v>
      </c>
      <c r="P15" s="1" t="s">
        <v>78</v>
      </c>
      <c r="X15" s="1" t="s">
        <v>73</v>
      </c>
      <c r="Z15" s="1" t="s">
        <v>70</v>
      </c>
      <c r="AB15" s="1">
        <v>5</v>
      </c>
      <c r="AC15" s="1">
        <v>748793.25</v>
      </c>
      <c r="AD15" s="1">
        <v>8930594.3200000003</v>
      </c>
      <c r="AE15" s="1">
        <v>211.39</v>
      </c>
      <c r="AF15" s="1">
        <v>748791.57</v>
      </c>
      <c r="AG15" s="1">
        <v>8930592.3399999999</v>
      </c>
      <c r="AH15" s="1">
        <v>200</v>
      </c>
      <c r="AI15" s="1">
        <v>11.68</v>
      </c>
      <c r="AJ15" s="1">
        <v>0</v>
      </c>
      <c r="AK15" s="1">
        <v>1.5</v>
      </c>
      <c r="AL15" s="1">
        <v>0.8</v>
      </c>
      <c r="AM15" s="1">
        <v>220.44</v>
      </c>
      <c r="AN15" s="1">
        <v>12.83</v>
      </c>
      <c r="AO15" s="1">
        <v>0</v>
      </c>
      <c r="AP15" s="1">
        <v>2.9</v>
      </c>
      <c r="AQ15" s="1">
        <v>0.31</v>
      </c>
      <c r="AR15" s="1">
        <v>0.06</v>
      </c>
      <c r="AS15" s="1">
        <v>0.05</v>
      </c>
      <c r="AT15" s="1">
        <v>9.3000000000000007</v>
      </c>
      <c r="AU15" s="1">
        <v>1.93</v>
      </c>
      <c r="AV15" s="1">
        <v>0.1</v>
      </c>
      <c r="AW15" s="1">
        <v>0.61</v>
      </c>
      <c r="AX15" s="1">
        <v>2.17</v>
      </c>
      <c r="AY15" s="1">
        <v>0</v>
      </c>
      <c r="AZ15" s="1">
        <v>0</v>
      </c>
      <c r="BA15" s="1">
        <v>0</v>
      </c>
      <c r="BB15" s="1">
        <v>0</v>
      </c>
      <c r="BC15" s="1">
        <v>0</v>
      </c>
      <c r="BD15" s="1">
        <v>0</v>
      </c>
    </row>
    <row r="16" spans="1:56">
      <c r="A16" s="18">
        <v>46192</v>
      </c>
      <c r="B16" s="1">
        <v>15</v>
      </c>
      <c r="C16" s="1" t="s">
        <v>89</v>
      </c>
      <c r="D16" s="1" t="s">
        <v>90</v>
      </c>
      <c r="E16" s="1">
        <v>2</v>
      </c>
      <c r="F16" s="1">
        <v>200</v>
      </c>
      <c r="H16" s="1" t="s">
        <v>91</v>
      </c>
      <c r="I16" s="1" t="s">
        <v>28</v>
      </c>
      <c r="J16" s="1" t="s">
        <v>71</v>
      </c>
      <c r="K16" s="1" t="s">
        <v>74</v>
      </c>
      <c r="L16" s="1" t="s">
        <v>72</v>
      </c>
      <c r="M16" s="1" t="s">
        <v>75</v>
      </c>
      <c r="N16" s="1" t="s">
        <v>76</v>
      </c>
      <c r="O16" s="1" t="s">
        <v>77</v>
      </c>
      <c r="P16" s="1" t="s">
        <v>78</v>
      </c>
      <c r="X16" s="1" t="s">
        <v>73</v>
      </c>
      <c r="Z16" s="1" t="s">
        <v>70</v>
      </c>
      <c r="AB16" s="1">
        <v>5</v>
      </c>
      <c r="AC16" s="1">
        <v>748794.39</v>
      </c>
      <c r="AD16" s="1">
        <v>8930593.3399999999</v>
      </c>
      <c r="AE16" s="1">
        <v>211.45</v>
      </c>
      <c r="AF16" s="1">
        <v>748792.7</v>
      </c>
      <c r="AG16" s="1">
        <v>8930591.3800000008</v>
      </c>
      <c r="AH16" s="1">
        <v>200</v>
      </c>
      <c r="AI16" s="1">
        <v>11.74</v>
      </c>
      <c r="AJ16" s="1">
        <v>0</v>
      </c>
      <c r="AK16" s="1">
        <v>1.5</v>
      </c>
      <c r="AL16" s="1">
        <v>0.8</v>
      </c>
      <c r="AM16" s="1">
        <v>220.74</v>
      </c>
      <c r="AN16" s="1">
        <v>12.74</v>
      </c>
      <c r="AO16" s="1">
        <v>0</v>
      </c>
      <c r="AP16" s="1">
        <v>2.9</v>
      </c>
      <c r="AQ16" s="1">
        <v>0.3</v>
      </c>
      <c r="AR16" s="1">
        <v>0.06</v>
      </c>
      <c r="AS16" s="1">
        <v>0.04</v>
      </c>
      <c r="AT16" s="1">
        <v>9.09</v>
      </c>
      <c r="AU16" s="1">
        <v>1.89</v>
      </c>
      <c r="AV16" s="1">
        <v>0.1</v>
      </c>
      <c r="AW16" s="1">
        <v>0.67</v>
      </c>
      <c r="AX16" s="1">
        <v>2.19</v>
      </c>
      <c r="AY16" s="1">
        <v>0</v>
      </c>
      <c r="AZ16" s="1">
        <v>0</v>
      </c>
      <c r="BA16" s="1">
        <v>0</v>
      </c>
      <c r="BB16" s="1">
        <v>0</v>
      </c>
      <c r="BC16" s="1">
        <v>0</v>
      </c>
      <c r="BD16" s="1">
        <v>0</v>
      </c>
    </row>
    <row r="17" spans="1:56">
      <c r="A17" s="18">
        <v>46192</v>
      </c>
      <c r="B17" s="1">
        <v>16</v>
      </c>
      <c r="C17" s="1" t="s">
        <v>89</v>
      </c>
      <c r="D17" s="1" t="s">
        <v>90</v>
      </c>
      <c r="E17" s="1">
        <v>2</v>
      </c>
      <c r="F17" s="1">
        <v>200</v>
      </c>
      <c r="H17" s="1" t="s">
        <v>91</v>
      </c>
      <c r="I17" s="1" t="s">
        <v>28</v>
      </c>
      <c r="J17" s="1" t="s">
        <v>71</v>
      </c>
      <c r="K17" s="1" t="s">
        <v>74</v>
      </c>
      <c r="L17" s="1" t="s">
        <v>72</v>
      </c>
      <c r="M17" s="1" t="s">
        <v>75</v>
      </c>
      <c r="N17" s="1" t="s">
        <v>76</v>
      </c>
      <c r="O17" s="1" t="s">
        <v>77</v>
      </c>
      <c r="P17" s="1" t="s">
        <v>78</v>
      </c>
      <c r="X17" s="1" t="s">
        <v>73</v>
      </c>
      <c r="Z17" s="1" t="s">
        <v>70</v>
      </c>
      <c r="AB17" s="1">
        <v>5</v>
      </c>
      <c r="AC17" s="1">
        <v>748795.53</v>
      </c>
      <c r="AD17" s="1">
        <v>8930592.3699999992</v>
      </c>
      <c r="AE17" s="1">
        <v>211.47</v>
      </c>
      <c r="AF17" s="1">
        <v>748793.84</v>
      </c>
      <c r="AG17" s="1">
        <v>8930590.4100000001</v>
      </c>
      <c r="AH17" s="1">
        <v>200</v>
      </c>
      <c r="AI17" s="1">
        <v>11.76</v>
      </c>
      <c r="AJ17" s="1">
        <v>0</v>
      </c>
      <c r="AK17" s="1">
        <v>1.5</v>
      </c>
      <c r="AL17" s="1">
        <v>0.8</v>
      </c>
      <c r="AM17" s="1">
        <v>220.74</v>
      </c>
      <c r="AN17" s="1">
        <v>12.73</v>
      </c>
      <c r="AO17" s="1">
        <v>0</v>
      </c>
      <c r="AP17" s="1">
        <v>2.91</v>
      </c>
      <c r="AQ17" s="1">
        <v>0.3</v>
      </c>
      <c r="AR17" s="1">
        <v>0.06</v>
      </c>
      <c r="AS17" s="1">
        <v>0.04</v>
      </c>
      <c r="AT17" s="1">
        <v>9.06</v>
      </c>
      <c r="AU17" s="1">
        <v>1.9</v>
      </c>
      <c r="AV17" s="1">
        <v>0.11</v>
      </c>
      <c r="AW17" s="1">
        <v>0.69</v>
      </c>
      <c r="AX17" s="1">
        <v>2.2599999999999998</v>
      </c>
      <c r="AY17" s="1">
        <v>0</v>
      </c>
      <c r="AZ17" s="1">
        <v>0</v>
      </c>
      <c r="BA17" s="1">
        <v>0</v>
      </c>
      <c r="BB17" s="1">
        <v>0</v>
      </c>
      <c r="BC17" s="1">
        <v>0</v>
      </c>
      <c r="BD17" s="1">
        <v>0</v>
      </c>
    </row>
    <row r="18" spans="1:56">
      <c r="A18" s="18">
        <v>46192</v>
      </c>
      <c r="B18" s="1">
        <v>17</v>
      </c>
      <c r="C18" s="1" t="s">
        <v>89</v>
      </c>
      <c r="D18" s="1" t="s">
        <v>90</v>
      </c>
      <c r="E18" s="1">
        <v>2</v>
      </c>
      <c r="F18" s="1">
        <v>200</v>
      </c>
      <c r="H18" s="1" t="s">
        <v>91</v>
      </c>
      <c r="I18" s="1" t="s">
        <v>28</v>
      </c>
      <c r="J18" s="1" t="s">
        <v>71</v>
      </c>
      <c r="K18" s="1" t="s">
        <v>74</v>
      </c>
      <c r="L18" s="1" t="s">
        <v>72</v>
      </c>
      <c r="M18" s="1" t="s">
        <v>75</v>
      </c>
      <c r="N18" s="1" t="s">
        <v>76</v>
      </c>
      <c r="O18" s="1" t="s">
        <v>77</v>
      </c>
      <c r="P18" s="1" t="s">
        <v>78</v>
      </c>
      <c r="X18" s="1" t="s">
        <v>73</v>
      </c>
      <c r="Z18" s="1" t="s">
        <v>70</v>
      </c>
      <c r="AB18" s="1">
        <v>5</v>
      </c>
      <c r="AC18" s="1">
        <v>748796.66</v>
      </c>
      <c r="AD18" s="1">
        <v>8930591.3900000006</v>
      </c>
      <c r="AE18" s="1">
        <v>211.48</v>
      </c>
      <c r="AF18" s="1">
        <v>748794.98</v>
      </c>
      <c r="AG18" s="1">
        <v>8930589.4299999997</v>
      </c>
      <c r="AH18" s="1">
        <v>200</v>
      </c>
      <c r="AI18" s="1">
        <v>11.76</v>
      </c>
      <c r="AJ18" s="1">
        <v>0</v>
      </c>
      <c r="AK18" s="1">
        <v>1.5</v>
      </c>
      <c r="AL18" s="1">
        <v>0.8</v>
      </c>
      <c r="AM18" s="1">
        <v>220.74</v>
      </c>
      <c r="AN18" s="1">
        <v>12.68</v>
      </c>
      <c r="AO18" s="1">
        <v>0</v>
      </c>
      <c r="AP18" s="1">
        <v>2.92</v>
      </c>
      <c r="AQ18" s="1">
        <v>0.28999999999999998</v>
      </c>
      <c r="AR18" s="1">
        <v>0.05</v>
      </c>
      <c r="AS18" s="1">
        <v>0.04</v>
      </c>
      <c r="AT18" s="1">
        <v>8.7799999999999994</v>
      </c>
      <c r="AU18" s="1">
        <v>1.85</v>
      </c>
      <c r="AV18" s="1">
        <v>0.11</v>
      </c>
      <c r="AW18" s="1">
        <v>0.69</v>
      </c>
      <c r="AX18" s="1">
        <v>2.27</v>
      </c>
      <c r="AY18" s="1">
        <v>0</v>
      </c>
      <c r="AZ18" s="1">
        <v>0</v>
      </c>
      <c r="BA18" s="1">
        <v>0</v>
      </c>
      <c r="BB18" s="1">
        <v>0</v>
      </c>
      <c r="BC18" s="1">
        <v>0</v>
      </c>
      <c r="BD18" s="1">
        <v>0</v>
      </c>
    </row>
    <row r="19" spans="1:56">
      <c r="A19" s="18">
        <v>46192</v>
      </c>
      <c r="B19" s="1">
        <v>18</v>
      </c>
      <c r="C19" s="1" t="s">
        <v>89</v>
      </c>
      <c r="D19" s="1" t="s">
        <v>90</v>
      </c>
      <c r="E19" s="1">
        <v>2</v>
      </c>
      <c r="F19" s="1">
        <v>200</v>
      </c>
      <c r="H19" s="1" t="s">
        <v>91</v>
      </c>
      <c r="I19" s="1" t="s">
        <v>28</v>
      </c>
      <c r="J19" s="1" t="s">
        <v>71</v>
      </c>
      <c r="K19" s="1" t="s">
        <v>74</v>
      </c>
      <c r="L19" s="1" t="s">
        <v>72</v>
      </c>
      <c r="M19" s="1" t="s">
        <v>75</v>
      </c>
      <c r="N19" s="1" t="s">
        <v>76</v>
      </c>
      <c r="O19" s="1" t="s">
        <v>77</v>
      </c>
      <c r="P19" s="1" t="s">
        <v>78</v>
      </c>
      <c r="X19" s="1" t="s">
        <v>73</v>
      </c>
      <c r="Z19" s="1" t="s">
        <v>70</v>
      </c>
      <c r="AB19" s="1">
        <v>5</v>
      </c>
      <c r="AC19" s="1">
        <v>748797.79</v>
      </c>
      <c r="AD19" s="1">
        <v>8930590.4000000004</v>
      </c>
      <c r="AE19" s="1">
        <v>211.34</v>
      </c>
      <c r="AF19" s="1">
        <v>748796.11</v>
      </c>
      <c r="AG19" s="1">
        <v>8930588.4499999993</v>
      </c>
      <c r="AH19" s="1">
        <v>200</v>
      </c>
      <c r="AI19" s="1">
        <v>11.63</v>
      </c>
      <c r="AJ19" s="1">
        <v>0</v>
      </c>
      <c r="AK19" s="1">
        <v>1.5</v>
      </c>
      <c r="AL19" s="1">
        <v>0.8</v>
      </c>
      <c r="AM19" s="1">
        <v>220.74</v>
      </c>
      <c r="AN19" s="1">
        <v>12.75</v>
      </c>
      <c r="AO19" s="1">
        <v>0</v>
      </c>
      <c r="AP19" s="1">
        <v>2.94</v>
      </c>
      <c r="AQ19" s="1">
        <v>0.28000000000000003</v>
      </c>
      <c r="AR19" s="1">
        <v>0.05</v>
      </c>
      <c r="AS19" s="1">
        <v>0.04</v>
      </c>
      <c r="AT19" s="1">
        <v>8.5</v>
      </c>
      <c r="AU19" s="1">
        <v>1.79</v>
      </c>
      <c r="AV19" s="1">
        <v>0.11</v>
      </c>
      <c r="AW19" s="1">
        <v>0.68</v>
      </c>
      <c r="AX19" s="1">
        <v>2.2999999999999998</v>
      </c>
      <c r="AY19" s="1">
        <v>0</v>
      </c>
      <c r="AZ19" s="1">
        <v>0</v>
      </c>
      <c r="BA19" s="1">
        <v>0</v>
      </c>
      <c r="BB19" s="1">
        <v>0</v>
      </c>
      <c r="BC19" s="1">
        <v>0</v>
      </c>
      <c r="BD19" s="1">
        <v>0</v>
      </c>
    </row>
    <row r="20" spans="1:56">
      <c r="A20" s="18">
        <v>46192</v>
      </c>
      <c r="B20" s="1">
        <v>19</v>
      </c>
      <c r="C20" s="1" t="s">
        <v>89</v>
      </c>
      <c r="D20" s="1" t="s">
        <v>90</v>
      </c>
      <c r="E20" s="1">
        <v>2</v>
      </c>
      <c r="F20" s="1">
        <v>200</v>
      </c>
      <c r="H20" s="1" t="s">
        <v>91</v>
      </c>
      <c r="I20" s="1" t="s">
        <v>28</v>
      </c>
      <c r="J20" s="1" t="s">
        <v>71</v>
      </c>
      <c r="K20" s="1" t="s">
        <v>74</v>
      </c>
      <c r="L20" s="1" t="s">
        <v>72</v>
      </c>
      <c r="M20" s="1" t="s">
        <v>75</v>
      </c>
      <c r="N20" s="1" t="s">
        <v>76</v>
      </c>
      <c r="O20" s="1" t="s">
        <v>77</v>
      </c>
      <c r="P20" s="1" t="s">
        <v>78</v>
      </c>
      <c r="X20" s="1" t="s">
        <v>73</v>
      </c>
      <c r="Z20" s="1" t="s">
        <v>70</v>
      </c>
      <c r="AB20" s="1">
        <v>5</v>
      </c>
      <c r="AC20" s="1">
        <v>748798.92</v>
      </c>
      <c r="AD20" s="1">
        <v>8930589.4100000001</v>
      </c>
      <c r="AE20" s="1">
        <v>210.92</v>
      </c>
      <c r="AF20" s="1">
        <v>748797.25</v>
      </c>
      <c r="AG20" s="1">
        <v>8930587.4800000004</v>
      </c>
      <c r="AH20" s="1">
        <v>200</v>
      </c>
      <c r="AI20" s="1">
        <v>11.21</v>
      </c>
      <c r="AJ20" s="1">
        <v>0</v>
      </c>
      <c r="AK20" s="1">
        <v>1.5</v>
      </c>
      <c r="AL20" s="1">
        <v>0.8</v>
      </c>
      <c r="AM20" s="1">
        <v>220.74</v>
      </c>
      <c r="AN20" s="1">
        <v>13.19</v>
      </c>
      <c r="AO20" s="1">
        <v>0</v>
      </c>
      <c r="AP20" s="1">
        <v>2.98</v>
      </c>
      <c r="AQ20" s="1">
        <v>0.24</v>
      </c>
      <c r="AR20" s="1">
        <v>0.04</v>
      </c>
      <c r="AS20" s="1">
        <v>0.04</v>
      </c>
      <c r="AT20" s="1">
        <v>7.49</v>
      </c>
      <c r="AU20" s="1">
        <v>1.65</v>
      </c>
      <c r="AV20" s="1">
        <v>0.11</v>
      </c>
      <c r="AW20" s="1">
        <v>0.65</v>
      </c>
      <c r="AX20" s="1">
        <v>2.3199999999999998</v>
      </c>
      <c r="AY20" s="1">
        <v>0</v>
      </c>
      <c r="AZ20" s="1">
        <v>0</v>
      </c>
      <c r="BA20" s="1">
        <v>0</v>
      </c>
      <c r="BB20" s="1">
        <v>0</v>
      </c>
      <c r="BC20" s="1">
        <v>0</v>
      </c>
      <c r="BD20" s="1">
        <v>0</v>
      </c>
    </row>
    <row r="21" spans="1:56">
      <c r="A21" s="18">
        <v>46192</v>
      </c>
      <c r="B21" s="1">
        <v>20</v>
      </c>
      <c r="C21" s="1" t="s">
        <v>89</v>
      </c>
      <c r="D21" s="1" t="s">
        <v>90</v>
      </c>
      <c r="E21" s="1">
        <v>2</v>
      </c>
      <c r="F21" s="1">
        <v>200</v>
      </c>
      <c r="H21" s="1" t="s">
        <v>91</v>
      </c>
      <c r="I21" s="1" t="s">
        <v>28</v>
      </c>
      <c r="J21" s="1" t="s">
        <v>71</v>
      </c>
      <c r="K21" s="1" t="s">
        <v>74</v>
      </c>
      <c r="L21" s="1" t="s">
        <v>72</v>
      </c>
      <c r="M21" s="1" t="s">
        <v>75</v>
      </c>
      <c r="N21" s="1" t="s">
        <v>76</v>
      </c>
      <c r="O21" s="1" t="s">
        <v>77</v>
      </c>
      <c r="P21" s="1" t="s">
        <v>78</v>
      </c>
      <c r="X21" s="1" t="s">
        <v>73</v>
      </c>
      <c r="Z21" s="1" t="s">
        <v>70</v>
      </c>
      <c r="AB21" s="1">
        <v>5</v>
      </c>
      <c r="AC21" s="1">
        <v>748800.07</v>
      </c>
      <c r="AD21" s="1">
        <v>8930588.4399999995</v>
      </c>
      <c r="AE21" s="1">
        <v>210.66</v>
      </c>
      <c r="AF21" s="1">
        <v>748798.39</v>
      </c>
      <c r="AG21" s="1">
        <v>8930586.5</v>
      </c>
      <c r="AH21" s="1">
        <v>200</v>
      </c>
      <c r="AI21" s="1">
        <v>10.96</v>
      </c>
      <c r="AJ21" s="1">
        <v>0</v>
      </c>
      <c r="AK21" s="1">
        <v>1.5</v>
      </c>
      <c r="AL21" s="1">
        <v>0.8</v>
      </c>
      <c r="AM21" s="1">
        <v>220.74</v>
      </c>
      <c r="AN21" s="1">
        <v>13.54</v>
      </c>
      <c r="AO21" s="1">
        <v>0</v>
      </c>
      <c r="AP21" s="1">
        <v>2.99</v>
      </c>
      <c r="AQ21" s="1">
        <v>0.25</v>
      </c>
      <c r="AR21" s="1">
        <v>0.05</v>
      </c>
      <c r="AS21" s="1">
        <v>0.04</v>
      </c>
      <c r="AT21" s="1">
        <v>7.56</v>
      </c>
      <c r="AU21" s="1">
        <v>1.79</v>
      </c>
      <c r="AV21" s="1">
        <v>0.12</v>
      </c>
      <c r="AW21" s="1">
        <v>0.67</v>
      </c>
      <c r="AX21" s="1">
        <v>2.57</v>
      </c>
      <c r="AY21" s="1">
        <v>0</v>
      </c>
      <c r="AZ21" s="1">
        <v>0</v>
      </c>
      <c r="BA21" s="1">
        <v>0</v>
      </c>
      <c r="BB21" s="1">
        <v>0</v>
      </c>
      <c r="BC21" s="1">
        <v>0</v>
      </c>
      <c r="BD21" s="1">
        <v>0</v>
      </c>
    </row>
    <row r="22" spans="1:56">
      <c r="A22" s="18">
        <v>46192</v>
      </c>
      <c r="B22" s="1">
        <v>21</v>
      </c>
      <c r="C22" s="1" t="s">
        <v>89</v>
      </c>
      <c r="D22" s="1" t="s">
        <v>90</v>
      </c>
      <c r="E22" s="1">
        <v>2</v>
      </c>
      <c r="F22" s="1">
        <v>200</v>
      </c>
      <c r="H22" s="1" t="s">
        <v>91</v>
      </c>
      <c r="I22" s="1" t="s">
        <v>28</v>
      </c>
      <c r="J22" s="1" t="s">
        <v>71</v>
      </c>
      <c r="K22" s="1" t="s">
        <v>74</v>
      </c>
      <c r="L22" s="1" t="s">
        <v>72</v>
      </c>
      <c r="M22" s="1" t="s">
        <v>75</v>
      </c>
      <c r="N22" s="1" t="s">
        <v>76</v>
      </c>
      <c r="O22" s="1" t="s">
        <v>77</v>
      </c>
      <c r="P22" s="1" t="s">
        <v>78</v>
      </c>
      <c r="X22" s="1" t="s">
        <v>73</v>
      </c>
      <c r="Z22" s="1" t="s">
        <v>70</v>
      </c>
      <c r="AB22" s="1">
        <v>5</v>
      </c>
      <c r="AC22" s="1">
        <v>748801.21</v>
      </c>
      <c r="AD22" s="1">
        <v>8930587.4700000007</v>
      </c>
      <c r="AE22" s="1">
        <v>210.56</v>
      </c>
      <c r="AF22" s="1">
        <v>748799.53</v>
      </c>
      <c r="AG22" s="1">
        <v>8930585.5199999996</v>
      </c>
      <c r="AH22" s="1">
        <v>200</v>
      </c>
      <c r="AI22" s="1">
        <v>10.86</v>
      </c>
      <c r="AJ22" s="1">
        <v>0</v>
      </c>
      <c r="AK22" s="1">
        <v>1.5</v>
      </c>
      <c r="AL22" s="1">
        <v>0.8</v>
      </c>
      <c r="AM22" s="1">
        <v>220.74</v>
      </c>
      <c r="AN22" s="1">
        <v>13.71</v>
      </c>
      <c r="AO22" s="1">
        <v>0</v>
      </c>
      <c r="AP22" s="1">
        <v>3</v>
      </c>
      <c r="AQ22" s="1">
        <v>0.25</v>
      </c>
      <c r="AR22" s="1">
        <v>0.05</v>
      </c>
      <c r="AS22" s="1">
        <v>0.03</v>
      </c>
      <c r="AT22" s="1">
        <v>7.49</v>
      </c>
      <c r="AU22" s="1">
        <v>1.88</v>
      </c>
      <c r="AV22" s="1">
        <v>0.13</v>
      </c>
      <c r="AW22" s="1">
        <v>0.67</v>
      </c>
      <c r="AX22" s="1">
        <v>2.74</v>
      </c>
      <c r="AY22" s="1">
        <v>0</v>
      </c>
      <c r="AZ22" s="1">
        <v>0</v>
      </c>
      <c r="BA22" s="1">
        <v>0</v>
      </c>
      <c r="BB22" s="1">
        <v>0</v>
      </c>
      <c r="BC22" s="1">
        <v>0</v>
      </c>
      <c r="BD22" s="1">
        <v>0</v>
      </c>
    </row>
    <row r="23" spans="1:56">
      <c r="A23" s="18">
        <v>46192</v>
      </c>
      <c r="B23" s="1">
        <v>22</v>
      </c>
      <c r="C23" s="1" t="s">
        <v>89</v>
      </c>
      <c r="D23" s="1" t="s">
        <v>90</v>
      </c>
      <c r="E23" s="1">
        <v>2</v>
      </c>
      <c r="F23" s="1">
        <v>200</v>
      </c>
      <c r="H23" s="1" t="s">
        <v>91</v>
      </c>
      <c r="I23" s="1" t="s">
        <v>28</v>
      </c>
      <c r="J23" s="1" t="s">
        <v>71</v>
      </c>
      <c r="K23" s="1" t="s">
        <v>74</v>
      </c>
      <c r="L23" s="1" t="s">
        <v>72</v>
      </c>
      <c r="M23" s="1" t="s">
        <v>75</v>
      </c>
      <c r="N23" s="1" t="s">
        <v>76</v>
      </c>
      <c r="O23" s="1" t="s">
        <v>77</v>
      </c>
      <c r="P23" s="1" t="s">
        <v>78</v>
      </c>
      <c r="X23" s="1" t="s">
        <v>73</v>
      </c>
      <c r="Z23" s="1" t="s">
        <v>70</v>
      </c>
      <c r="AB23" s="1">
        <v>5</v>
      </c>
      <c r="AC23" s="1">
        <v>748802.34</v>
      </c>
      <c r="AD23" s="1">
        <v>8930586.4900000002</v>
      </c>
      <c r="AE23" s="1">
        <v>210.33</v>
      </c>
      <c r="AF23" s="1">
        <v>748800.67</v>
      </c>
      <c r="AG23" s="1">
        <v>8930584.5500000007</v>
      </c>
      <c r="AH23" s="1">
        <v>200</v>
      </c>
      <c r="AI23" s="1">
        <v>10.64</v>
      </c>
      <c r="AJ23" s="1">
        <v>0</v>
      </c>
      <c r="AK23" s="1">
        <v>1.5</v>
      </c>
      <c r="AL23" s="1">
        <v>0.8</v>
      </c>
      <c r="AM23" s="1">
        <v>220.74</v>
      </c>
      <c r="AN23" s="1">
        <v>13.94</v>
      </c>
      <c r="AO23" s="1">
        <v>0</v>
      </c>
      <c r="AP23" s="1">
        <v>3</v>
      </c>
      <c r="AQ23" s="1">
        <v>0.25</v>
      </c>
      <c r="AR23" s="1">
        <v>0.05</v>
      </c>
      <c r="AS23" s="1">
        <v>0.03</v>
      </c>
      <c r="AT23" s="1">
        <v>7.49</v>
      </c>
      <c r="AU23" s="1">
        <v>1.88</v>
      </c>
      <c r="AV23" s="1">
        <v>0.13</v>
      </c>
      <c r="AW23" s="1">
        <v>0.67</v>
      </c>
      <c r="AX23" s="1">
        <v>2.74</v>
      </c>
      <c r="AY23" s="1">
        <v>0</v>
      </c>
      <c r="AZ23" s="1">
        <v>0</v>
      </c>
      <c r="BA23" s="1">
        <v>0</v>
      </c>
      <c r="BB23" s="1">
        <v>0</v>
      </c>
      <c r="BC23" s="1">
        <v>0</v>
      </c>
      <c r="BD23" s="1">
        <v>0</v>
      </c>
    </row>
    <row r="24" spans="1:56">
      <c r="A24" s="18">
        <v>46192</v>
      </c>
      <c r="B24" s="1">
        <v>23</v>
      </c>
      <c r="C24" s="1" t="s">
        <v>89</v>
      </c>
      <c r="D24" s="1" t="s">
        <v>90</v>
      </c>
      <c r="E24" s="1">
        <v>2</v>
      </c>
      <c r="F24" s="1">
        <v>200</v>
      </c>
      <c r="H24" s="1" t="s">
        <v>91</v>
      </c>
      <c r="I24" s="1" t="s">
        <v>28</v>
      </c>
      <c r="J24" s="1" t="s">
        <v>71</v>
      </c>
      <c r="K24" s="1" t="s">
        <v>74</v>
      </c>
      <c r="L24" s="1" t="s">
        <v>72</v>
      </c>
      <c r="M24" s="1" t="s">
        <v>75</v>
      </c>
      <c r="N24" s="1" t="s">
        <v>76</v>
      </c>
      <c r="O24" s="1" t="s">
        <v>77</v>
      </c>
      <c r="P24" s="1" t="s">
        <v>78</v>
      </c>
      <c r="X24" s="1" t="s">
        <v>73</v>
      </c>
      <c r="Z24" s="1" t="s">
        <v>70</v>
      </c>
      <c r="AB24" s="1">
        <v>5</v>
      </c>
      <c r="AC24" s="1">
        <v>748803.48</v>
      </c>
      <c r="AD24" s="1">
        <v>8930585.5099999998</v>
      </c>
      <c r="AE24" s="1">
        <v>210.17</v>
      </c>
      <c r="AF24" s="1">
        <v>748801.81</v>
      </c>
      <c r="AG24" s="1">
        <v>8930583.5700000003</v>
      </c>
      <c r="AH24" s="1">
        <v>200</v>
      </c>
      <c r="AI24" s="1">
        <v>10.49</v>
      </c>
      <c r="AJ24" s="1">
        <v>0</v>
      </c>
      <c r="AK24" s="1">
        <v>1.5</v>
      </c>
      <c r="AL24" s="1">
        <v>0.8</v>
      </c>
      <c r="AM24" s="1">
        <v>220.74</v>
      </c>
      <c r="AN24" s="1">
        <v>14.13</v>
      </c>
      <c r="AO24" s="1">
        <v>0</v>
      </c>
      <c r="AP24" s="1">
        <v>3</v>
      </c>
      <c r="AQ24" s="1">
        <v>0.25</v>
      </c>
      <c r="AR24" s="1">
        <v>0.05</v>
      </c>
      <c r="AS24" s="1">
        <v>0.03</v>
      </c>
      <c r="AT24" s="1">
        <v>7.49</v>
      </c>
      <c r="AU24" s="1">
        <v>1.88</v>
      </c>
      <c r="AV24" s="1">
        <v>0.13</v>
      </c>
      <c r="AW24" s="1">
        <v>0.67</v>
      </c>
      <c r="AX24" s="1">
        <v>2.74</v>
      </c>
      <c r="AY24" s="1">
        <v>0</v>
      </c>
      <c r="AZ24" s="1">
        <v>0</v>
      </c>
      <c r="BA24" s="1">
        <v>0</v>
      </c>
      <c r="BB24" s="1">
        <v>0</v>
      </c>
      <c r="BC24" s="1">
        <v>0</v>
      </c>
      <c r="BD24" s="1">
        <v>0</v>
      </c>
    </row>
    <row r="25" spans="1:56">
      <c r="A25" s="18">
        <v>46192</v>
      </c>
      <c r="B25" s="1">
        <v>24</v>
      </c>
      <c r="C25" s="1" t="s">
        <v>89</v>
      </c>
      <c r="D25" s="1" t="s">
        <v>90</v>
      </c>
      <c r="E25" s="1">
        <v>2</v>
      </c>
      <c r="F25" s="1">
        <v>200</v>
      </c>
      <c r="G25" s="1">
        <v>1</v>
      </c>
      <c r="H25" s="1" t="s">
        <v>91</v>
      </c>
      <c r="I25" s="1" t="s">
        <v>28</v>
      </c>
      <c r="J25" s="1" t="s">
        <v>71</v>
      </c>
      <c r="K25" s="1" t="s">
        <v>74</v>
      </c>
      <c r="L25" s="1" t="s">
        <v>72</v>
      </c>
      <c r="M25" s="1" t="s">
        <v>75</v>
      </c>
      <c r="N25" s="1" t="s">
        <v>76</v>
      </c>
      <c r="O25" s="1" t="s">
        <v>77</v>
      </c>
      <c r="P25" s="1" t="s">
        <v>78</v>
      </c>
      <c r="X25" s="1" t="s">
        <v>73</v>
      </c>
      <c r="Z25" s="1" t="s">
        <v>70</v>
      </c>
      <c r="AB25" s="1">
        <v>5</v>
      </c>
      <c r="AC25" s="1">
        <v>748804.61</v>
      </c>
      <c r="AD25" s="1">
        <v>8930584.5299999993</v>
      </c>
      <c r="AE25" s="1">
        <v>210.11</v>
      </c>
      <c r="AF25" s="1">
        <v>748802.95</v>
      </c>
      <c r="AG25" s="1">
        <v>8930582.5899999999</v>
      </c>
      <c r="AH25" s="1">
        <v>200</v>
      </c>
      <c r="AI25" s="1">
        <v>10.42</v>
      </c>
      <c r="AJ25" s="1">
        <v>0</v>
      </c>
      <c r="AK25" s="1">
        <v>1.5</v>
      </c>
      <c r="AL25" s="1">
        <v>0.8</v>
      </c>
      <c r="AM25" s="1">
        <v>220.74</v>
      </c>
      <c r="AN25" s="1">
        <v>14.21</v>
      </c>
      <c r="AO25" s="1">
        <v>0</v>
      </c>
      <c r="AP25" s="1">
        <v>3.01</v>
      </c>
      <c r="AQ25" s="1">
        <v>0.27</v>
      </c>
      <c r="AR25" s="1">
        <v>0.05</v>
      </c>
      <c r="AS25" s="1">
        <v>0.04</v>
      </c>
      <c r="AT25" s="1">
        <v>8.2200000000000006</v>
      </c>
      <c r="AU25" s="1">
        <v>2.0699999999999998</v>
      </c>
      <c r="AV25" s="1">
        <v>0.14000000000000001</v>
      </c>
      <c r="AW25" s="1">
        <v>0.74</v>
      </c>
      <c r="AX25" s="1">
        <v>3.02</v>
      </c>
      <c r="AY25" s="1">
        <v>0</v>
      </c>
      <c r="AZ25" s="1">
        <v>0</v>
      </c>
      <c r="BA25" s="1">
        <v>0</v>
      </c>
      <c r="BB25" s="1">
        <v>0</v>
      </c>
      <c r="BC25" s="1">
        <v>0</v>
      </c>
      <c r="BD25" s="1">
        <v>0</v>
      </c>
    </row>
    <row r="26" spans="1:56">
      <c r="A26" s="18">
        <v>46192</v>
      </c>
      <c r="B26" s="1">
        <v>25</v>
      </c>
      <c r="C26" s="1" t="s">
        <v>89</v>
      </c>
      <c r="D26" s="1" t="s">
        <v>90</v>
      </c>
      <c r="E26" s="1">
        <v>2</v>
      </c>
      <c r="F26" s="1">
        <v>200</v>
      </c>
      <c r="G26" s="1">
        <v>1</v>
      </c>
      <c r="H26" s="1" t="s">
        <v>91</v>
      </c>
      <c r="I26" s="1" t="s">
        <v>28</v>
      </c>
      <c r="J26" s="1" t="s">
        <v>71</v>
      </c>
      <c r="K26" s="1" t="s">
        <v>74</v>
      </c>
      <c r="L26" s="1" t="s">
        <v>72</v>
      </c>
      <c r="M26" s="1" t="s">
        <v>75</v>
      </c>
      <c r="N26" s="1" t="s">
        <v>76</v>
      </c>
      <c r="O26" s="1" t="s">
        <v>77</v>
      </c>
      <c r="P26" s="1" t="s">
        <v>78</v>
      </c>
      <c r="X26" s="1" t="s">
        <v>73</v>
      </c>
      <c r="Z26" s="1" t="s">
        <v>70</v>
      </c>
      <c r="AB26" s="1">
        <v>5</v>
      </c>
      <c r="AC26" s="1">
        <v>748805.75</v>
      </c>
      <c r="AD26" s="1">
        <v>8930583.5500000007</v>
      </c>
      <c r="AE26" s="1">
        <v>210.01</v>
      </c>
      <c r="AF26" s="1">
        <v>748804.08</v>
      </c>
      <c r="AG26" s="1">
        <v>8930581.6099999994</v>
      </c>
      <c r="AH26" s="1">
        <v>200</v>
      </c>
      <c r="AI26" s="1">
        <v>10.33</v>
      </c>
      <c r="AJ26" s="1">
        <v>0</v>
      </c>
      <c r="AK26" s="1">
        <v>1.5</v>
      </c>
      <c r="AL26" s="1">
        <v>0.8</v>
      </c>
      <c r="AM26" s="1">
        <v>220.74</v>
      </c>
      <c r="AN26" s="1">
        <v>14.32</v>
      </c>
      <c r="AO26" s="1">
        <v>0</v>
      </c>
      <c r="AP26" s="1">
        <v>3.04</v>
      </c>
      <c r="AQ26" s="1">
        <v>0.31</v>
      </c>
      <c r="AR26" s="1">
        <v>0.06</v>
      </c>
      <c r="AS26" s="1">
        <v>0.04</v>
      </c>
      <c r="AT26" s="1">
        <v>9.48</v>
      </c>
      <c r="AU26" s="1">
        <v>2.39</v>
      </c>
      <c r="AV26" s="1">
        <v>0.16</v>
      </c>
      <c r="AW26" s="1">
        <v>0.85</v>
      </c>
      <c r="AX26" s="1">
        <v>3.47</v>
      </c>
      <c r="AY26" s="1">
        <v>0</v>
      </c>
      <c r="AZ26" s="1">
        <v>0</v>
      </c>
      <c r="BA26" s="1">
        <v>0</v>
      </c>
      <c r="BB26" s="1">
        <v>0</v>
      </c>
      <c r="BC26" s="1">
        <v>0</v>
      </c>
      <c r="BD26" s="1">
        <v>0</v>
      </c>
    </row>
    <row r="27" spans="1:56">
      <c r="A27" s="18">
        <v>46192</v>
      </c>
      <c r="B27" s="1">
        <v>26</v>
      </c>
      <c r="C27" s="1" t="s">
        <v>89</v>
      </c>
      <c r="D27" s="1" t="s">
        <v>90</v>
      </c>
      <c r="E27" s="1">
        <v>2</v>
      </c>
      <c r="F27" s="1">
        <v>200</v>
      </c>
      <c r="G27" s="1">
        <v>1</v>
      </c>
      <c r="H27" s="1" t="s">
        <v>91</v>
      </c>
      <c r="I27" s="1" t="s">
        <v>79</v>
      </c>
      <c r="J27" s="1" t="s">
        <v>80</v>
      </c>
      <c r="K27" s="1" t="s">
        <v>74</v>
      </c>
      <c r="L27" s="1" t="s">
        <v>72</v>
      </c>
      <c r="M27" s="1" t="s">
        <v>75</v>
      </c>
      <c r="N27" s="1" t="s">
        <v>76</v>
      </c>
      <c r="O27" s="1" t="s">
        <v>77</v>
      </c>
      <c r="P27" s="1" t="s">
        <v>78</v>
      </c>
      <c r="X27" s="1" t="s">
        <v>73</v>
      </c>
      <c r="Z27" s="1" t="s">
        <v>70</v>
      </c>
      <c r="AB27" s="1">
        <v>5</v>
      </c>
      <c r="AC27" s="1">
        <v>748806.87</v>
      </c>
      <c r="AD27" s="1">
        <v>8930582.5600000005</v>
      </c>
      <c r="AE27" s="1">
        <v>209.95</v>
      </c>
      <c r="AF27" s="1">
        <v>748805.21</v>
      </c>
      <c r="AG27" s="1">
        <v>8930580.6300000008</v>
      </c>
      <c r="AH27" s="1">
        <v>200</v>
      </c>
      <c r="AI27" s="1">
        <v>10.27</v>
      </c>
      <c r="AJ27" s="1">
        <v>0</v>
      </c>
      <c r="AK27" s="1">
        <v>1.5</v>
      </c>
      <c r="AL27" s="1">
        <v>0.8</v>
      </c>
      <c r="AM27" s="1">
        <v>220.74</v>
      </c>
      <c r="AN27" s="1">
        <v>14.33</v>
      </c>
      <c r="AO27" s="1">
        <v>0</v>
      </c>
      <c r="AP27" s="1">
        <v>3.06</v>
      </c>
      <c r="AQ27" s="1">
        <v>0.36</v>
      </c>
      <c r="AR27" s="1">
        <v>7.0000000000000007E-2</v>
      </c>
      <c r="AS27" s="1">
        <v>0.05</v>
      </c>
      <c r="AT27" s="1">
        <v>10.83</v>
      </c>
      <c r="AU27" s="1">
        <v>2.72</v>
      </c>
      <c r="AV27" s="1">
        <v>0.19</v>
      </c>
      <c r="AW27" s="1">
        <v>0.97</v>
      </c>
      <c r="AX27" s="1">
        <v>3.95</v>
      </c>
      <c r="AY27" s="1">
        <v>0</v>
      </c>
      <c r="AZ27" s="1">
        <v>0</v>
      </c>
      <c r="BA27" s="1">
        <v>0</v>
      </c>
      <c r="BB27" s="1">
        <v>0</v>
      </c>
      <c r="BC27" s="1">
        <v>0</v>
      </c>
      <c r="BD27" s="1">
        <v>0</v>
      </c>
    </row>
    <row r="28" spans="1:56">
      <c r="A28" s="18">
        <v>46192</v>
      </c>
      <c r="B28" s="1">
        <v>27</v>
      </c>
      <c r="C28" s="1" t="s">
        <v>89</v>
      </c>
      <c r="D28" s="1" t="s">
        <v>90</v>
      </c>
      <c r="E28" s="1">
        <v>2</v>
      </c>
      <c r="F28" s="1">
        <v>200</v>
      </c>
      <c r="G28" s="1">
        <v>1</v>
      </c>
      <c r="H28" s="1" t="s">
        <v>91</v>
      </c>
      <c r="I28" s="1" t="s">
        <v>79</v>
      </c>
      <c r="J28" s="1" t="s">
        <v>80</v>
      </c>
      <c r="K28" s="1" t="s">
        <v>74</v>
      </c>
      <c r="L28" s="1" t="s">
        <v>72</v>
      </c>
      <c r="M28" s="1" t="s">
        <v>75</v>
      </c>
      <c r="N28" s="1" t="s">
        <v>76</v>
      </c>
      <c r="O28" s="1" t="s">
        <v>77</v>
      </c>
      <c r="P28" s="1" t="s">
        <v>78</v>
      </c>
      <c r="X28" s="1" t="s">
        <v>73</v>
      </c>
      <c r="Z28" s="1" t="s">
        <v>70</v>
      </c>
      <c r="AB28" s="1">
        <v>5</v>
      </c>
      <c r="AC28" s="1">
        <v>748808.02</v>
      </c>
      <c r="AD28" s="1">
        <v>8930581.5899999999</v>
      </c>
      <c r="AE28" s="1">
        <v>209.92</v>
      </c>
      <c r="AF28" s="1">
        <v>748806.35</v>
      </c>
      <c r="AG28" s="1">
        <v>8930579.6500000004</v>
      </c>
      <c r="AH28" s="1">
        <v>200</v>
      </c>
      <c r="AI28" s="1">
        <v>10.25</v>
      </c>
      <c r="AJ28" s="1">
        <v>0</v>
      </c>
      <c r="AK28" s="1">
        <v>1.5</v>
      </c>
      <c r="AL28" s="1">
        <v>0.8</v>
      </c>
      <c r="AM28" s="1">
        <v>220.74</v>
      </c>
      <c r="AN28" s="1">
        <v>14.49</v>
      </c>
      <c r="AO28" s="1">
        <v>0</v>
      </c>
      <c r="AP28" s="1">
        <v>3.1</v>
      </c>
      <c r="AQ28" s="1">
        <v>0.4</v>
      </c>
      <c r="AR28" s="1">
        <v>0.08</v>
      </c>
      <c r="AS28" s="1">
        <v>0.06</v>
      </c>
      <c r="AT28" s="1">
        <v>12.23</v>
      </c>
      <c r="AU28" s="1">
        <v>3.11</v>
      </c>
      <c r="AV28" s="1">
        <v>0.21</v>
      </c>
      <c r="AW28" s="1">
        <v>1.1100000000000001</v>
      </c>
      <c r="AX28" s="1">
        <v>4.5599999999999996</v>
      </c>
      <c r="AY28" s="1">
        <v>0</v>
      </c>
      <c r="AZ28" s="1">
        <v>0</v>
      </c>
      <c r="BA28" s="1">
        <v>0</v>
      </c>
      <c r="BB28" s="1">
        <v>0</v>
      </c>
      <c r="BC28" s="1">
        <v>0</v>
      </c>
      <c r="BD28" s="1">
        <v>0</v>
      </c>
    </row>
    <row r="29" spans="1:56">
      <c r="A29" s="18">
        <v>46192</v>
      </c>
      <c r="B29" s="1">
        <v>28</v>
      </c>
      <c r="C29" s="1" t="s">
        <v>89</v>
      </c>
      <c r="D29" s="1" t="s">
        <v>90</v>
      </c>
      <c r="E29" s="1">
        <v>2</v>
      </c>
      <c r="F29" s="1">
        <v>200</v>
      </c>
      <c r="G29" s="1">
        <v>1</v>
      </c>
      <c r="H29" s="1" t="s">
        <v>91</v>
      </c>
      <c r="I29" s="1" t="s">
        <v>79</v>
      </c>
      <c r="J29" s="1" t="s">
        <v>80</v>
      </c>
      <c r="K29" s="1" t="s">
        <v>74</v>
      </c>
      <c r="L29" s="1" t="s">
        <v>72</v>
      </c>
      <c r="M29" s="1" t="s">
        <v>75</v>
      </c>
      <c r="N29" s="1" t="s">
        <v>76</v>
      </c>
      <c r="O29" s="1" t="s">
        <v>77</v>
      </c>
      <c r="P29" s="1" t="s">
        <v>78</v>
      </c>
      <c r="X29" s="1" t="s">
        <v>73</v>
      </c>
      <c r="Z29" s="1" t="s">
        <v>70</v>
      </c>
      <c r="AB29" s="1">
        <v>5</v>
      </c>
      <c r="AC29" s="1">
        <v>748809.16</v>
      </c>
      <c r="AD29" s="1">
        <v>8930580.6099999994</v>
      </c>
      <c r="AE29" s="1">
        <v>209.87</v>
      </c>
      <c r="AF29" s="1">
        <v>748807.48</v>
      </c>
      <c r="AG29" s="1">
        <v>8930578.6699999999</v>
      </c>
      <c r="AH29" s="1">
        <v>200</v>
      </c>
      <c r="AI29" s="1">
        <v>10.199999999999999</v>
      </c>
      <c r="AJ29" s="1">
        <v>0</v>
      </c>
      <c r="AK29" s="1">
        <v>1.5</v>
      </c>
      <c r="AL29" s="1">
        <v>0.8</v>
      </c>
      <c r="AM29" s="1">
        <v>220.74</v>
      </c>
      <c r="AN29" s="1">
        <v>14.59</v>
      </c>
      <c r="AO29" s="1">
        <v>0</v>
      </c>
      <c r="AP29" s="1">
        <v>3.15</v>
      </c>
      <c r="AQ29" s="1">
        <v>0.41</v>
      </c>
      <c r="AR29" s="1">
        <v>0.08</v>
      </c>
      <c r="AS29" s="1">
        <v>0.06</v>
      </c>
      <c r="AT29" s="1">
        <v>13.24</v>
      </c>
      <c r="AU29" s="1">
        <v>3.5</v>
      </c>
      <c r="AV29" s="1">
        <v>0.21</v>
      </c>
      <c r="AW29" s="1">
        <v>1.28</v>
      </c>
      <c r="AX29" s="1">
        <v>5.38</v>
      </c>
      <c r="AY29" s="1">
        <v>0</v>
      </c>
      <c r="AZ29" s="1">
        <v>0</v>
      </c>
      <c r="BA29" s="1">
        <v>0</v>
      </c>
      <c r="BB29" s="1">
        <v>0</v>
      </c>
      <c r="BC29" s="1">
        <v>0</v>
      </c>
      <c r="BD29" s="1">
        <v>0</v>
      </c>
    </row>
    <row r="30" spans="1:56">
      <c r="A30" s="18">
        <v>46192</v>
      </c>
      <c r="B30" s="1">
        <v>29</v>
      </c>
      <c r="C30" s="1" t="s">
        <v>89</v>
      </c>
      <c r="D30" s="1" t="s">
        <v>90</v>
      </c>
      <c r="E30" s="1">
        <v>2</v>
      </c>
      <c r="F30" s="1">
        <v>200</v>
      </c>
      <c r="G30" s="1">
        <v>1</v>
      </c>
      <c r="H30" s="1" t="s">
        <v>91</v>
      </c>
      <c r="I30" s="1" t="s">
        <v>79</v>
      </c>
      <c r="J30" s="1" t="s">
        <v>80</v>
      </c>
      <c r="K30" s="1" t="s">
        <v>74</v>
      </c>
      <c r="L30" s="1" t="s">
        <v>72</v>
      </c>
      <c r="M30" s="1" t="s">
        <v>75</v>
      </c>
      <c r="N30" s="1" t="s">
        <v>76</v>
      </c>
      <c r="O30" s="1" t="s">
        <v>77</v>
      </c>
      <c r="P30" s="1" t="s">
        <v>78</v>
      </c>
      <c r="X30" s="1" t="s">
        <v>73</v>
      </c>
      <c r="Z30" s="1" t="s">
        <v>70</v>
      </c>
      <c r="AB30" s="1">
        <v>5</v>
      </c>
      <c r="AC30" s="1">
        <v>748810.3</v>
      </c>
      <c r="AD30" s="1">
        <v>8930579.6400000006</v>
      </c>
      <c r="AE30" s="1">
        <v>209.95</v>
      </c>
      <c r="AF30" s="1">
        <v>748808.62</v>
      </c>
      <c r="AG30" s="1">
        <v>8930577.6899999995</v>
      </c>
      <c r="AH30" s="1">
        <v>200</v>
      </c>
      <c r="AI30" s="1">
        <v>10.28</v>
      </c>
      <c r="AJ30" s="1">
        <v>0</v>
      </c>
      <c r="AK30" s="1">
        <v>1.5</v>
      </c>
      <c r="AL30" s="1">
        <v>0.8</v>
      </c>
      <c r="AM30" s="1">
        <v>220.74</v>
      </c>
      <c r="AN30" s="1">
        <v>14.52</v>
      </c>
      <c r="AO30" s="1">
        <v>0</v>
      </c>
      <c r="AP30" s="1">
        <v>3.21</v>
      </c>
      <c r="AQ30" s="1">
        <v>0.42</v>
      </c>
      <c r="AR30" s="1">
        <v>0.08</v>
      </c>
      <c r="AS30" s="1">
        <v>0.06</v>
      </c>
      <c r="AT30" s="1">
        <v>14.01</v>
      </c>
      <c r="AU30" s="1">
        <v>3.85</v>
      </c>
      <c r="AV30" s="1">
        <v>0.2</v>
      </c>
      <c r="AW30" s="1">
        <v>1.41</v>
      </c>
      <c r="AX30" s="1">
        <v>6.36</v>
      </c>
      <c r="AY30" s="1">
        <v>0</v>
      </c>
      <c r="AZ30" s="1">
        <v>0</v>
      </c>
      <c r="BA30" s="1">
        <v>0</v>
      </c>
      <c r="BB30" s="1">
        <v>0</v>
      </c>
      <c r="BC30" s="1">
        <v>0</v>
      </c>
      <c r="BD30" s="1">
        <v>0</v>
      </c>
    </row>
    <row r="31" spans="1:56">
      <c r="A31" s="18">
        <v>46192</v>
      </c>
      <c r="B31" s="1">
        <v>30</v>
      </c>
      <c r="C31" s="1" t="s">
        <v>89</v>
      </c>
      <c r="D31" s="1" t="s">
        <v>90</v>
      </c>
      <c r="E31" s="1">
        <v>2</v>
      </c>
      <c r="F31" s="1">
        <v>200</v>
      </c>
      <c r="G31" s="1">
        <v>1</v>
      </c>
      <c r="H31" s="1" t="s">
        <v>91</v>
      </c>
      <c r="I31" s="1" t="s">
        <v>79</v>
      </c>
      <c r="J31" s="1" t="s">
        <v>80</v>
      </c>
      <c r="K31" s="1" t="s">
        <v>74</v>
      </c>
      <c r="L31" s="1" t="s">
        <v>72</v>
      </c>
      <c r="M31" s="1" t="s">
        <v>75</v>
      </c>
      <c r="N31" s="1" t="s">
        <v>76</v>
      </c>
      <c r="O31" s="1" t="s">
        <v>77</v>
      </c>
      <c r="P31" s="1" t="s">
        <v>78</v>
      </c>
      <c r="X31" s="1" t="s">
        <v>73</v>
      </c>
      <c r="Z31" s="1" t="s">
        <v>70</v>
      </c>
      <c r="AB31" s="1">
        <v>5</v>
      </c>
      <c r="AC31" s="1">
        <v>748811.44</v>
      </c>
      <c r="AD31" s="1">
        <v>8930578.6600000001</v>
      </c>
      <c r="AE31" s="1">
        <v>210.08</v>
      </c>
      <c r="AF31" s="1">
        <v>748809.75</v>
      </c>
      <c r="AG31" s="1">
        <v>8930576.7100000009</v>
      </c>
      <c r="AH31" s="1">
        <v>200</v>
      </c>
      <c r="AI31" s="1">
        <v>10.4</v>
      </c>
      <c r="AJ31" s="1">
        <v>0</v>
      </c>
      <c r="AK31" s="1">
        <v>1.5</v>
      </c>
      <c r="AL31" s="1">
        <v>0.8</v>
      </c>
      <c r="AM31" s="1">
        <v>220.74</v>
      </c>
      <c r="AN31" s="1">
        <v>14.38</v>
      </c>
      <c r="AO31" s="1">
        <v>0</v>
      </c>
      <c r="AP31" s="1">
        <v>3.27</v>
      </c>
      <c r="AQ31" s="1">
        <v>0.44</v>
      </c>
      <c r="AR31" s="1">
        <v>0.08</v>
      </c>
      <c r="AS31" s="1">
        <v>0.06</v>
      </c>
      <c r="AT31" s="1">
        <v>14.65</v>
      </c>
      <c r="AU31" s="1">
        <v>4.0199999999999996</v>
      </c>
      <c r="AV31" s="1">
        <v>0.2</v>
      </c>
      <c r="AW31" s="1">
        <v>1.59</v>
      </c>
      <c r="AX31" s="1">
        <v>7.21</v>
      </c>
      <c r="AY31" s="1">
        <v>0</v>
      </c>
      <c r="AZ31" s="1">
        <v>0</v>
      </c>
      <c r="BA31" s="1">
        <v>0</v>
      </c>
      <c r="BB31" s="1">
        <v>0</v>
      </c>
      <c r="BC31" s="1">
        <v>0</v>
      </c>
      <c r="BD31" s="1">
        <v>0</v>
      </c>
    </row>
    <row r="32" spans="1:56">
      <c r="A32" s="18">
        <v>46192</v>
      </c>
      <c r="B32" s="1">
        <v>31</v>
      </c>
      <c r="C32" s="1" t="s">
        <v>89</v>
      </c>
      <c r="D32" s="1" t="s">
        <v>90</v>
      </c>
      <c r="E32" s="1">
        <v>2</v>
      </c>
      <c r="F32" s="1">
        <v>200</v>
      </c>
      <c r="H32" s="1" t="s">
        <v>91</v>
      </c>
      <c r="I32" s="1" t="s">
        <v>79</v>
      </c>
      <c r="J32" s="1" t="s">
        <v>80</v>
      </c>
      <c r="K32" s="1" t="s">
        <v>74</v>
      </c>
      <c r="L32" s="1" t="s">
        <v>72</v>
      </c>
      <c r="M32" s="1" t="s">
        <v>75</v>
      </c>
      <c r="N32" s="1" t="s">
        <v>76</v>
      </c>
      <c r="O32" s="1" t="s">
        <v>77</v>
      </c>
      <c r="P32" s="1" t="s">
        <v>78</v>
      </c>
      <c r="X32" s="1" t="s">
        <v>73</v>
      </c>
      <c r="Z32" s="1" t="s">
        <v>70</v>
      </c>
      <c r="AB32" s="1">
        <v>5</v>
      </c>
      <c r="AC32" s="1">
        <v>748812.58</v>
      </c>
      <c r="AD32" s="1">
        <v>8930577.6899999995</v>
      </c>
      <c r="AE32" s="1">
        <v>210</v>
      </c>
      <c r="AF32" s="1">
        <v>748810.89</v>
      </c>
      <c r="AG32" s="1">
        <v>8930575.7300000004</v>
      </c>
      <c r="AH32" s="1">
        <v>200</v>
      </c>
      <c r="AI32" s="1">
        <v>10.33</v>
      </c>
      <c r="AJ32" s="1">
        <v>0</v>
      </c>
      <c r="AK32" s="1">
        <v>1.5</v>
      </c>
      <c r="AL32" s="1">
        <v>0.8</v>
      </c>
      <c r="AM32" s="1">
        <v>220.74</v>
      </c>
      <c r="AN32" s="1">
        <v>14.51</v>
      </c>
      <c r="AO32" s="1">
        <v>0</v>
      </c>
      <c r="AP32" s="1">
        <v>3.32</v>
      </c>
      <c r="AQ32" s="1">
        <v>0.49</v>
      </c>
      <c r="AR32" s="1">
        <v>0.08</v>
      </c>
      <c r="AS32" s="1">
        <v>7.0000000000000007E-2</v>
      </c>
      <c r="AT32" s="1">
        <v>15.3</v>
      </c>
      <c r="AU32" s="1">
        <v>4.04</v>
      </c>
      <c r="AV32" s="1">
        <v>0.23</v>
      </c>
      <c r="AW32" s="1">
        <v>1.84</v>
      </c>
      <c r="AX32" s="1">
        <v>7.77</v>
      </c>
      <c r="AY32" s="1">
        <v>0</v>
      </c>
      <c r="AZ32" s="1">
        <v>0</v>
      </c>
      <c r="BA32" s="1">
        <v>0</v>
      </c>
      <c r="BB32" s="1">
        <v>0</v>
      </c>
      <c r="BC32" s="1">
        <v>0</v>
      </c>
      <c r="BD32" s="1">
        <v>0</v>
      </c>
    </row>
    <row r="33" spans="1:56">
      <c r="A33" s="18">
        <v>46192</v>
      </c>
      <c r="B33" s="1">
        <v>32</v>
      </c>
      <c r="C33" s="1" t="s">
        <v>89</v>
      </c>
      <c r="D33" s="1" t="s">
        <v>90</v>
      </c>
      <c r="E33" s="1">
        <v>2</v>
      </c>
      <c r="F33" s="1">
        <v>200</v>
      </c>
      <c r="H33" s="1" t="s">
        <v>91</v>
      </c>
      <c r="I33" s="1" t="s">
        <v>79</v>
      </c>
      <c r="J33" s="1" t="s">
        <v>80</v>
      </c>
      <c r="K33" s="1" t="s">
        <v>74</v>
      </c>
      <c r="L33" s="1" t="s">
        <v>72</v>
      </c>
      <c r="M33" s="1" t="s">
        <v>75</v>
      </c>
      <c r="N33" s="1" t="s">
        <v>76</v>
      </c>
      <c r="O33" s="1" t="s">
        <v>77</v>
      </c>
      <c r="P33" s="1" t="s">
        <v>78</v>
      </c>
      <c r="X33" s="1" t="s">
        <v>73</v>
      </c>
      <c r="Z33" s="1" t="s">
        <v>70</v>
      </c>
      <c r="AB33" s="1">
        <v>5</v>
      </c>
      <c r="AC33" s="1">
        <v>748813.77</v>
      </c>
      <c r="AD33" s="1">
        <v>8930576.7699999996</v>
      </c>
      <c r="AE33" s="1">
        <v>210.41</v>
      </c>
      <c r="AF33" s="1">
        <v>748812.02</v>
      </c>
      <c r="AG33" s="1">
        <v>8930574.7400000002</v>
      </c>
      <c r="AH33" s="1">
        <v>200</v>
      </c>
      <c r="AI33" s="1">
        <v>10.74</v>
      </c>
      <c r="AJ33" s="1">
        <v>0</v>
      </c>
      <c r="AK33" s="1">
        <v>1.5</v>
      </c>
      <c r="AL33" s="1">
        <v>0.8</v>
      </c>
      <c r="AM33" s="1">
        <v>220.74</v>
      </c>
      <c r="AN33" s="1">
        <v>14.4</v>
      </c>
      <c r="AO33" s="1">
        <v>0</v>
      </c>
      <c r="AP33" s="1">
        <v>3.35</v>
      </c>
      <c r="AQ33" s="1">
        <v>0.54</v>
      </c>
      <c r="AR33" s="1">
        <v>0.09</v>
      </c>
      <c r="AS33" s="1">
        <v>0.08</v>
      </c>
      <c r="AT33" s="1">
        <v>15.84</v>
      </c>
      <c r="AU33" s="1">
        <v>4</v>
      </c>
      <c r="AV33" s="1">
        <v>0.26</v>
      </c>
      <c r="AW33" s="1">
        <v>1.98</v>
      </c>
      <c r="AX33" s="1">
        <v>8.02</v>
      </c>
      <c r="AY33" s="1">
        <v>0</v>
      </c>
      <c r="AZ33" s="1">
        <v>0</v>
      </c>
      <c r="BA33" s="1">
        <v>0</v>
      </c>
      <c r="BB33" s="1">
        <v>0</v>
      </c>
      <c r="BC33" s="1">
        <v>0</v>
      </c>
      <c r="BD33" s="1">
        <v>0</v>
      </c>
    </row>
    <row r="34" spans="1:56">
      <c r="A34" s="18">
        <v>46192</v>
      </c>
      <c r="B34" s="1">
        <v>33</v>
      </c>
      <c r="C34" s="1" t="s">
        <v>89</v>
      </c>
      <c r="D34" s="1" t="s">
        <v>90</v>
      </c>
      <c r="E34" s="1">
        <v>2</v>
      </c>
      <c r="F34" s="1">
        <v>200</v>
      </c>
      <c r="H34" s="1" t="s">
        <v>91</v>
      </c>
      <c r="I34" s="1" t="s">
        <v>79</v>
      </c>
      <c r="J34" s="1" t="s">
        <v>80</v>
      </c>
      <c r="K34" s="1" t="s">
        <v>74</v>
      </c>
      <c r="L34" s="1" t="s">
        <v>72</v>
      </c>
      <c r="M34" s="1" t="s">
        <v>75</v>
      </c>
      <c r="N34" s="1" t="s">
        <v>76</v>
      </c>
      <c r="O34" s="1" t="s">
        <v>77</v>
      </c>
      <c r="P34" s="1" t="s">
        <v>78</v>
      </c>
      <c r="X34" s="1" t="s">
        <v>73</v>
      </c>
      <c r="Z34" s="1" t="s">
        <v>70</v>
      </c>
      <c r="AB34" s="1">
        <v>5</v>
      </c>
      <c r="AC34" s="1">
        <v>748814.9</v>
      </c>
      <c r="AD34" s="1">
        <v>8930575.7799999993</v>
      </c>
      <c r="AE34" s="1">
        <v>210.42</v>
      </c>
      <c r="AF34" s="1">
        <v>748813.16</v>
      </c>
      <c r="AG34" s="1">
        <v>8930573.7599999998</v>
      </c>
      <c r="AH34" s="1">
        <v>200</v>
      </c>
      <c r="AI34" s="1">
        <v>10.76</v>
      </c>
      <c r="AJ34" s="1">
        <v>0</v>
      </c>
      <c r="AK34" s="1">
        <v>1.5</v>
      </c>
      <c r="AL34" s="1">
        <v>0.8</v>
      </c>
      <c r="AM34" s="1">
        <v>220.74</v>
      </c>
      <c r="AN34" s="1">
        <v>14.36</v>
      </c>
      <c r="AO34" s="1">
        <v>0</v>
      </c>
      <c r="AP34" s="1">
        <v>3.37</v>
      </c>
      <c r="AQ34" s="1">
        <v>0.56000000000000005</v>
      </c>
      <c r="AR34" s="1">
        <v>0.09</v>
      </c>
      <c r="AS34" s="1">
        <v>0.08</v>
      </c>
      <c r="AT34" s="1">
        <v>16.14</v>
      </c>
      <c r="AU34" s="1">
        <v>4.04</v>
      </c>
      <c r="AV34" s="1">
        <v>0.27</v>
      </c>
      <c r="AW34" s="1">
        <v>2.02</v>
      </c>
      <c r="AX34" s="1">
        <v>8.15</v>
      </c>
      <c r="AY34" s="1">
        <v>0</v>
      </c>
      <c r="AZ34" s="1">
        <v>0</v>
      </c>
      <c r="BA34" s="1">
        <v>0</v>
      </c>
      <c r="BB34" s="1">
        <v>0</v>
      </c>
      <c r="BC34" s="1">
        <v>0</v>
      </c>
      <c r="BD34" s="1">
        <v>0</v>
      </c>
    </row>
    <row r="35" spans="1:56">
      <c r="A35" s="18">
        <v>46192</v>
      </c>
      <c r="B35" s="1">
        <v>34</v>
      </c>
      <c r="C35" s="1" t="s">
        <v>89</v>
      </c>
      <c r="D35" s="1" t="s">
        <v>90</v>
      </c>
      <c r="E35" s="1">
        <v>2</v>
      </c>
      <c r="F35" s="1">
        <v>200</v>
      </c>
      <c r="H35" s="1" t="s">
        <v>91</v>
      </c>
      <c r="I35" s="1" t="s">
        <v>79</v>
      </c>
      <c r="J35" s="1" t="s">
        <v>80</v>
      </c>
      <c r="K35" s="1" t="s">
        <v>74</v>
      </c>
      <c r="L35" s="1" t="s">
        <v>72</v>
      </c>
      <c r="M35" s="1" t="s">
        <v>75</v>
      </c>
      <c r="N35" s="1" t="s">
        <v>76</v>
      </c>
      <c r="O35" s="1" t="s">
        <v>77</v>
      </c>
      <c r="P35" s="1" t="s">
        <v>78</v>
      </c>
      <c r="X35" s="1" t="s">
        <v>73</v>
      </c>
      <c r="Z35" s="1" t="s">
        <v>70</v>
      </c>
      <c r="AB35" s="1">
        <v>5</v>
      </c>
      <c r="AC35" s="1">
        <v>748815.98</v>
      </c>
      <c r="AD35" s="1">
        <v>8930574.7400000002</v>
      </c>
      <c r="AE35" s="1">
        <v>210.21</v>
      </c>
      <c r="AF35" s="1">
        <v>748814.29</v>
      </c>
      <c r="AG35" s="1">
        <v>8930572.7799999993</v>
      </c>
      <c r="AH35" s="1">
        <v>200</v>
      </c>
      <c r="AI35" s="1">
        <v>10.53</v>
      </c>
      <c r="AJ35" s="1">
        <v>0</v>
      </c>
      <c r="AK35" s="1">
        <v>1.5</v>
      </c>
      <c r="AL35" s="1">
        <v>0.8</v>
      </c>
      <c r="AM35" s="1">
        <v>220.74</v>
      </c>
      <c r="AN35" s="1">
        <v>14.21</v>
      </c>
      <c r="AO35" s="1">
        <v>0</v>
      </c>
      <c r="AP35" s="1">
        <v>3.36</v>
      </c>
      <c r="AQ35" s="1">
        <v>0.55000000000000004</v>
      </c>
      <c r="AR35" s="1">
        <v>0.09</v>
      </c>
      <c r="AS35" s="1">
        <v>0.08</v>
      </c>
      <c r="AT35" s="1">
        <v>16.09</v>
      </c>
      <c r="AU35" s="1">
        <v>4.04</v>
      </c>
      <c r="AV35" s="1">
        <v>0.27</v>
      </c>
      <c r="AW35" s="1">
        <v>2.0099999999999998</v>
      </c>
      <c r="AX35" s="1">
        <v>8.11</v>
      </c>
      <c r="AY35" s="1">
        <v>0</v>
      </c>
      <c r="AZ35" s="1">
        <v>0</v>
      </c>
      <c r="BA35" s="1">
        <v>0</v>
      </c>
      <c r="BB35" s="1">
        <v>0</v>
      </c>
      <c r="BC35" s="1">
        <v>0</v>
      </c>
      <c r="BD35" s="1">
        <v>0</v>
      </c>
    </row>
    <row r="36" spans="1:56">
      <c r="A36" s="18">
        <v>46192</v>
      </c>
      <c r="B36" s="1">
        <v>35</v>
      </c>
      <c r="C36" s="1" t="s">
        <v>89</v>
      </c>
      <c r="D36" s="1" t="s">
        <v>90</v>
      </c>
      <c r="E36" s="1">
        <v>2</v>
      </c>
      <c r="F36" s="1">
        <v>200</v>
      </c>
      <c r="H36" s="1" t="s">
        <v>91</v>
      </c>
      <c r="I36" s="1" t="s">
        <v>79</v>
      </c>
      <c r="J36" s="1" t="s">
        <v>80</v>
      </c>
      <c r="K36" s="1" t="s">
        <v>74</v>
      </c>
      <c r="L36" s="1" t="s">
        <v>72</v>
      </c>
      <c r="M36" s="1" t="s">
        <v>75</v>
      </c>
      <c r="N36" s="1" t="s">
        <v>76</v>
      </c>
      <c r="O36" s="1" t="s">
        <v>77</v>
      </c>
      <c r="P36" s="1" t="s">
        <v>78</v>
      </c>
      <c r="X36" s="1" t="s">
        <v>73</v>
      </c>
      <c r="Z36" s="1" t="s">
        <v>70</v>
      </c>
      <c r="AB36" s="1">
        <v>5</v>
      </c>
      <c r="AC36" s="1">
        <v>748817.12</v>
      </c>
      <c r="AD36" s="1">
        <v>8930573.7699999996</v>
      </c>
      <c r="AE36" s="1">
        <v>210.45</v>
      </c>
      <c r="AF36" s="1">
        <v>748815.4</v>
      </c>
      <c r="AG36" s="1">
        <v>8930571.8200000003</v>
      </c>
      <c r="AH36" s="1">
        <v>200</v>
      </c>
      <c r="AI36" s="1">
        <v>10.77</v>
      </c>
      <c r="AJ36" s="1">
        <v>0</v>
      </c>
      <c r="AK36" s="1">
        <v>1.5</v>
      </c>
      <c r="AL36" s="1">
        <v>0.8</v>
      </c>
      <c r="AM36" s="1">
        <v>221.53</v>
      </c>
      <c r="AN36" s="1">
        <v>13.95</v>
      </c>
      <c r="AO36" s="1">
        <v>0</v>
      </c>
      <c r="AP36" s="1">
        <v>3.36</v>
      </c>
      <c r="AQ36" s="1">
        <v>0.55000000000000004</v>
      </c>
      <c r="AR36" s="1">
        <v>0.09</v>
      </c>
      <c r="AS36" s="1">
        <v>0.08</v>
      </c>
      <c r="AT36" s="1">
        <v>16.010000000000002</v>
      </c>
      <c r="AU36" s="1">
        <v>4.01</v>
      </c>
      <c r="AV36" s="1">
        <v>0.26</v>
      </c>
      <c r="AW36" s="1">
        <v>2</v>
      </c>
      <c r="AX36" s="1">
        <v>8.06</v>
      </c>
      <c r="AY36" s="1">
        <v>0</v>
      </c>
      <c r="AZ36" s="1">
        <v>0</v>
      </c>
      <c r="BA36" s="1">
        <v>0</v>
      </c>
      <c r="BB36" s="1">
        <v>0</v>
      </c>
      <c r="BC36" s="1">
        <v>0</v>
      </c>
      <c r="BD36" s="1">
        <v>0</v>
      </c>
    </row>
    <row r="37" spans="1:56">
      <c r="A37" s="18">
        <v>46192</v>
      </c>
      <c r="B37" s="1">
        <v>36</v>
      </c>
      <c r="C37" s="1" t="s">
        <v>89</v>
      </c>
      <c r="D37" s="1" t="s">
        <v>90</v>
      </c>
      <c r="E37" s="1">
        <v>2</v>
      </c>
      <c r="F37" s="1">
        <v>200</v>
      </c>
      <c r="H37" s="1" t="s">
        <v>91</v>
      </c>
      <c r="I37" s="1" t="s">
        <v>79</v>
      </c>
      <c r="J37" s="1" t="s">
        <v>80</v>
      </c>
      <c r="K37" s="1" t="s">
        <v>74</v>
      </c>
      <c r="L37" s="1" t="s">
        <v>72</v>
      </c>
      <c r="M37" s="1" t="s">
        <v>75</v>
      </c>
      <c r="N37" s="1" t="s">
        <v>76</v>
      </c>
      <c r="O37" s="1" t="s">
        <v>77</v>
      </c>
      <c r="P37" s="1" t="s">
        <v>78</v>
      </c>
      <c r="X37" s="1" t="s">
        <v>73</v>
      </c>
      <c r="Z37" s="1" t="s">
        <v>70</v>
      </c>
      <c r="AB37" s="1">
        <v>5</v>
      </c>
      <c r="AC37" s="1">
        <v>748818.25</v>
      </c>
      <c r="AD37" s="1">
        <v>8930572.7799999993</v>
      </c>
      <c r="AE37" s="1">
        <v>210.62</v>
      </c>
      <c r="AF37" s="1">
        <v>748816.39</v>
      </c>
      <c r="AG37" s="1">
        <v>8930570.9299999997</v>
      </c>
      <c r="AH37" s="1">
        <v>200.01</v>
      </c>
      <c r="AI37" s="1">
        <v>10.93</v>
      </c>
      <c r="AJ37" s="1">
        <v>0</v>
      </c>
      <c r="AK37" s="1">
        <v>1.5</v>
      </c>
      <c r="AL37" s="1">
        <v>0.8</v>
      </c>
      <c r="AM37" s="1">
        <v>225.14</v>
      </c>
      <c r="AN37" s="1">
        <v>13.89</v>
      </c>
      <c r="AO37" s="1">
        <v>0</v>
      </c>
      <c r="AP37" s="1">
        <v>3.36</v>
      </c>
      <c r="AQ37" s="1">
        <v>0.55000000000000004</v>
      </c>
      <c r="AR37" s="1">
        <v>0.09</v>
      </c>
      <c r="AS37" s="1">
        <v>0.08</v>
      </c>
      <c r="AT37" s="1">
        <v>15.92</v>
      </c>
      <c r="AU37" s="1">
        <v>3.99</v>
      </c>
      <c r="AV37" s="1">
        <v>0.26</v>
      </c>
      <c r="AW37" s="1">
        <v>1.99</v>
      </c>
      <c r="AX37" s="1">
        <v>8.02</v>
      </c>
      <c r="AY37" s="1">
        <v>0</v>
      </c>
      <c r="AZ37" s="1">
        <v>0</v>
      </c>
      <c r="BA37" s="1">
        <v>0</v>
      </c>
      <c r="BB37" s="1">
        <v>0</v>
      </c>
      <c r="BC37" s="1">
        <v>0</v>
      </c>
      <c r="BD37" s="1">
        <v>0</v>
      </c>
    </row>
    <row r="38" spans="1:56">
      <c r="A38" s="18">
        <v>46192</v>
      </c>
      <c r="B38" s="1">
        <v>37</v>
      </c>
      <c r="C38" s="1" t="s">
        <v>89</v>
      </c>
      <c r="D38" s="1" t="s">
        <v>90</v>
      </c>
      <c r="E38" s="1">
        <v>2</v>
      </c>
      <c r="F38" s="1">
        <v>200</v>
      </c>
      <c r="H38" s="1" t="s">
        <v>91</v>
      </c>
      <c r="I38" s="1" t="s">
        <v>79</v>
      </c>
      <c r="J38" s="1" t="s">
        <v>80</v>
      </c>
      <c r="K38" s="1" t="s">
        <v>74</v>
      </c>
      <c r="L38" s="1" t="s">
        <v>72</v>
      </c>
      <c r="M38" s="1" t="s">
        <v>75</v>
      </c>
      <c r="N38" s="1" t="s">
        <v>76</v>
      </c>
      <c r="O38" s="1" t="s">
        <v>77</v>
      </c>
      <c r="P38" s="1" t="s">
        <v>78</v>
      </c>
      <c r="X38" s="1" t="s">
        <v>73</v>
      </c>
      <c r="Z38" s="1" t="s">
        <v>70</v>
      </c>
      <c r="AB38" s="1">
        <v>5</v>
      </c>
      <c r="AC38" s="1">
        <v>748819.3</v>
      </c>
      <c r="AD38" s="1">
        <v>8930571.7100000009</v>
      </c>
      <c r="AE38" s="1">
        <v>210.64</v>
      </c>
      <c r="AF38" s="1">
        <v>748817.34</v>
      </c>
      <c r="AG38" s="1">
        <v>8930569.9900000002</v>
      </c>
      <c r="AH38" s="1">
        <v>200.02</v>
      </c>
      <c r="AI38" s="1">
        <v>10.93</v>
      </c>
      <c r="AJ38" s="1">
        <v>0</v>
      </c>
      <c r="AK38" s="1">
        <v>1.5</v>
      </c>
      <c r="AL38" s="1">
        <v>0.8</v>
      </c>
      <c r="AM38" s="1">
        <v>228.73</v>
      </c>
      <c r="AN38" s="1">
        <v>13.83</v>
      </c>
      <c r="AO38" s="1">
        <v>0</v>
      </c>
      <c r="AP38" s="1">
        <v>3.36</v>
      </c>
      <c r="AQ38" s="1">
        <v>0.55000000000000004</v>
      </c>
      <c r="AR38" s="1">
        <v>0.09</v>
      </c>
      <c r="AS38" s="1">
        <v>0.08</v>
      </c>
      <c r="AT38" s="1">
        <v>15.96</v>
      </c>
      <c r="AU38" s="1">
        <v>4.03</v>
      </c>
      <c r="AV38" s="1">
        <v>0.26</v>
      </c>
      <c r="AW38" s="1">
        <v>2.0099999999999998</v>
      </c>
      <c r="AX38" s="1">
        <v>8.14</v>
      </c>
      <c r="AY38" s="1">
        <v>0</v>
      </c>
      <c r="AZ38" s="1">
        <v>0</v>
      </c>
      <c r="BA38" s="1">
        <v>0</v>
      </c>
      <c r="BB38" s="1">
        <v>0</v>
      </c>
      <c r="BC38" s="1">
        <v>0</v>
      </c>
      <c r="BD38" s="1">
        <v>0</v>
      </c>
    </row>
    <row r="39" spans="1:56">
      <c r="A39" s="18">
        <v>46192</v>
      </c>
      <c r="B39" s="1">
        <v>38</v>
      </c>
      <c r="C39" s="1" t="s">
        <v>89</v>
      </c>
      <c r="D39" s="1" t="s">
        <v>90</v>
      </c>
      <c r="E39" s="1">
        <v>2</v>
      </c>
      <c r="F39" s="1">
        <v>200</v>
      </c>
      <c r="H39" s="1" t="s">
        <v>91</v>
      </c>
      <c r="I39" s="1" t="s">
        <v>79</v>
      </c>
      <c r="J39" s="1" t="s">
        <v>80</v>
      </c>
      <c r="K39" s="1" t="s">
        <v>74</v>
      </c>
      <c r="L39" s="1" t="s">
        <v>72</v>
      </c>
      <c r="M39" s="1" t="s">
        <v>75</v>
      </c>
      <c r="N39" s="1" t="s">
        <v>76</v>
      </c>
      <c r="O39" s="1" t="s">
        <v>77</v>
      </c>
      <c r="P39" s="1" t="s">
        <v>78</v>
      </c>
      <c r="X39" s="1" t="s">
        <v>73</v>
      </c>
      <c r="Z39" s="1" t="s">
        <v>70</v>
      </c>
      <c r="AB39" s="1">
        <v>5</v>
      </c>
      <c r="AC39" s="1">
        <v>748820.29</v>
      </c>
      <c r="AD39" s="1">
        <v>8930570.5800000001</v>
      </c>
      <c r="AE39" s="1">
        <v>210.72</v>
      </c>
      <c r="AF39" s="1">
        <v>748818.23</v>
      </c>
      <c r="AG39" s="1">
        <v>8930568.9900000002</v>
      </c>
      <c r="AH39" s="1">
        <v>200.03</v>
      </c>
      <c r="AI39" s="1">
        <v>11</v>
      </c>
      <c r="AJ39" s="1">
        <v>0</v>
      </c>
      <c r="AK39" s="1">
        <v>1.5</v>
      </c>
      <c r="AL39" s="1">
        <v>0.8</v>
      </c>
      <c r="AM39" s="1">
        <v>232.25</v>
      </c>
      <c r="AN39" s="1">
        <v>13.74</v>
      </c>
      <c r="AO39" s="1">
        <v>0</v>
      </c>
      <c r="AP39" s="1">
        <v>3.35</v>
      </c>
      <c r="AQ39" s="1">
        <v>0.53</v>
      </c>
      <c r="AR39" s="1">
        <v>0.08</v>
      </c>
      <c r="AS39" s="1">
        <v>7.0000000000000007E-2</v>
      </c>
      <c r="AT39" s="1">
        <v>15.47</v>
      </c>
      <c r="AU39" s="1">
        <v>3.99</v>
      </c>
      <c r="AV39" s="1">
        <v>0.24</v>
      </c>
      <c r="AW39" s="1">
        <v>1.87</v>
      </c>
      <c r="AX39" s="1">
        <v>8.25</v>
      </c>
      <c r="AY39" s="1">
        <v>0</v>
      </c>
      <c r="AZ39" s="1">
        <v>0</v>
      </c>
      <c r="BA39" s="1">
        <v>0</v>
      </c>
      <c r="BB39" s="1">
        <v>0</v>
      </c>
      <c r="BC39" s="1">
        <v>0</v>
      </c>
      <c r="BD39" s="1">
        <v>0</v>
      </c>
    </row>
    <row r="40" spans="1:56">
      <c r="A40" s="18">
        <v>46192</v>
      </c>
      <c r="B40" s="1">
        <v>39</v>
      </c>
      <c r="C40" s="1" t="s">
        <v>89</v>
      </c>
      <c r="D40" s="1" t="s">
        <v>90</v>
      </c>
      <c r="E40" s="1">
        <v>2</v>
      </c>
      <c r="F40" s="1">
        <v>200</v>
      </c>
      <c r="H40" s="1" t="s">
        <v>91</v>
      </c>
      <c r="I40" s="1" t="s">
        <v>79</v>
      </c>
      <c r="J40" s="1" t="s">
        <v>80</v>
      </c>
      <c r="K40" s="1" t="s">
        <v>74</v>
      </c>
      <c r="L40" s="1" t="s">
        <v>72</v>
      </c>
      <c r="M40" s="1" t="s">
        <v>75</v>
      </c>
      <c r="N40" s="1" t="s">
        <v>76</v>
      </c>
      <c r="O40" s="1" t="s">
        <v>77</v>
      </c>
      <c r="P40" s="1" t="s">
        <v>78</v>
      </c>
      <c r="X40" s="1" t="s">
        <v>73</v>
      </c>
      <c r="Z40" s="1" t="s">
        <v>70</v>
      </c>
      <c r="AB40" s="1">
        <v>5</v>
      </c>
      <c r="AC40" s="1">
        <v>748821.21</v>
      </c>
      <c r="AD40" s="1">
        <v>8930569.4000000004</v>
      </c>
      <c r="AE40" s="1">
        <v>210.78</v>
      </c>
      <c r="AF40" s="1">
        <v>748819.06</v>
      </c>
      <c r="AG40" s="1">
        <v>8930567.9000000004</v>
      </c>
      <c r="AH40" s="1">
        <v>200.01</v>
      </c>
      <c r="AI40" s="1">
        <v>11.08</v>
      </c>
      <c r="AJ40" s="1">
        <v>0</v>
      </c>
      <c r="AK40" s="1">
        <v>1.5</v>
      </c>
      <c r="AL40" s="1">
        <v>0.8</v>
      </c>
      <c r="AM40" s="1">
        <v>235.07</v>
      </c>
      <c r="AN40" s="1">
        <v>13.69</v>
      </c>
      <c r="AO40" s="1">
        <v>0</v>
      </c>
      <c r="AP40" s="1">
        <v>3.32</v>
      </c>
      <c r="AQ40" s="1">
        <v>0.51</v>
      </c>
      <c r="AR40" s="1">
        <v>7.0000000000000007E-2</v>
      </c>
      <c r="AS40" s="1">
        <v>0.06</v>
      </c>
      <c r="AT40" s="1">
        <v>14.57</v>
      </c>
      <c r="AU40" s="1">
        <v>3.97</v>
      </c>
      <c r="AV40" s="1">
        <v>0.18</v>
      </c>
      <c r="AW40" s="1">
        <v>1.49</v>
      </c>
      <c r="AX40" s="1">
        <v>8.2799999999999994</v>
      </c>
      <c r="AY40" s="1">
        <v>0</v>
      </c>
      <c r="AZ40" s="1">
        <v>0</v>
      </c>
      <c r="BA40" s="1">
        <v>0</v>
      </c>
      <c r="BB40" s="1">
        <v>0</v>
      </c>
      <c r="BC40" s="1">
        <v>0</v>
      </c>
      <c r="BD40" s="1">
        <v>0</v>
      </c>
    </row>
    <row r="41" spans="1:56">
      <c r="A41" s="18">
        <v>46192</v>
      </c>
      <c r="B41" s="1">
        <v>40</v>
      </c>
      <c r="C41" s="1" t="s">
        <v>89</v>
      </c>
      <c r="D41" s="1" t="s">
        <v>90</v>
      </c>
      <c r="E41" s="1">
        <v>2</v>
      </c>
      <c r="F41" s="1">
        <v>200</v>
      </c>
      <c r="H41" s="1" t="s">
        <v>91</v>
      </c>
      <c r="I41" s="1" t="s">
        <v>79</v>
      </c>
      <c r="J41" s="1" t="s">
        <v>80</v>
      </c>
      <c r="K41" s="1" t="s">
        <v>74</v>
      </c>
      <c r="L41" s="1" t="s">
        <v>72</v>
      </c>
      <c r="M41" s="1" t="s">
        <v>75</v>
      </c>
      <c r="N41" s="1" t="s">
        <v>76</v>
      </c>
      <c r="O41" s="1" t="s">
        <v>77</v>
      </c>
      <c r="P41" s="1" t="s">
        <v>78</v>
      </c>
      <c r="X41" s="1" t="s">
        <v>73</v>
      </c>
      <c r="Z41" s="1" t="s">
        <v>70</v>
      </c>
      <c r="AB41" s="1">
        <v>5</v>
      </c>
      <c r="AC41" s="1">
        <v>748822.08</v>
      </c>
      <c r="AD41" s="1">
        <v>8930568.1799999997</v>
      </c>
      <c r="AE41" s="1">
        <v>210.67</v>
      </c>
      <c r="AF41" s="1">
        <v>748819.85</v>
      </c>
      <c r="AG41" s="1">
        <v>8930566.75</v>
      </c>
      <c r="AH41" s="1">
        <v>200</v>
      </c>
      <c r="AI41" s="1">
        <v>10.99</v>
      </c>
      <c r="AJ41" s="1">
        <v>0</v>
      </c>
      <c r="AK41" s="1">
        <v>1.5</v>
      </c>
      <c r="AL41" s="1">
        <v>0.8</v>
      </c>
      <c r="AM41" s="1">
        <v>237.49</v>
      </c>
      <c r="AN41" s="1">
        <v>13.92</v>
      </c>
      <c r="AO41" s="1">
        <v>0</v>
      </c>
      <c r="AP41" s="1">
        <v>3.28</v>
      </c>
      <c r="AQ41" s="1">
        <v>0.5</v>
      </c>
      <c r="AR41" s="1">
        <v>0.06</v>
      </c>
      <c r="AS41" s="1">
        <v>0.06</v>
      </c>
      <c r="AT41" s="1">
        <v>13.84</v>
      </c>
      <c r="AU41" s="1">
        <v>4.05</v>
      </c>
      <c r="AV41" s="1">
        <v>0.12</v>
      </c>
      <c r="AW41" s="1">
        <v>1.02</v>
      </c>
      <c r="AX41" s="1">
        <v>8.25</v>
      </c>
      <c r="AY41" s="1">
        <v>0</v>
      </c>
      <c r="AZ41" s="1">
        <v>0</v>
      </c>
      <c r="BA41" s="1">
        <v>0</v>
      </c>
      <c r="BB41" s="1">
        <v>0</v>
      </c>
      <c r="BC41" s="1">
        <v>0</v>
      </c>
      <c r="BD41" s="1">
        <v>0</v>
      </c>
    </row>
    <row r="42" spans="1:56">
      <c r="A42" s="18">
        <v>46192</v>
      </c>
      <c r="B42" s="1">
        <v>41</v>
      </c>
      <c r="C42" s="1" t="s">
        <v>89</v>
      </c>
      <c r="D42" s="1" t="s">
        <v>90</v>
      </c>
      <c r="E42" s="1">
        <v>2</v>
      </c>
      <c r="F42" s="1">
        <v>200</v>
      </c>
      <c r="H42" s="1" t="s">
        <v>91</v>
      </c>
      <c r="I42" s="1" t="s">
        <v>79</v>
      </c>
      <c r="J42" s="1" t="s">
        <v>80</v>
      </c>
      <c r="K42" s="1" t="s">
        <v>74</v>
      </c>
      <c r="L42" s="1" t="s">
        <v>72</v>
      </c>
      <c r="M42" s="1" t="s">
        <v>75</v>
      </c>
      <c r="N42" s="1" t="s">
        <v>76</v>
      </c>
      <c r="O42" s="1" t="s">
        <v>77</v>
      </c>
      <c r="P42" s="1" t="s">
        <v>78</v>
      </c>
      <c r="X42" s="1" t="s">
        <v>73</v>
      </c>
      <c r="Z42" s="1" t="s">
        <v>70</v>
      </c>
      <c r="AB42" s="1">
        <v>5</v>
      </c>
      <c r="AC42" s="1">
        <v>748822.87</v>
      </c>
      <c r="AD42" s="1">
        <v>8930566.9000000004</v>
      </c>
      <c r="AE42" s="1">
        <v>210.45</v>
      </c>
      <c r="AF42" s="1">
        <v>748820.65</v>
      </c>
      <c r="AG42" s="1">
        <v>8930565.5399999991</v>
      </c>
      <c r="AH42" s="1">
        <v>200</v>
      </c>
      <c r="AI42" s="1">
        <v>10.77</v>
      </c>
      <c r="AJ42" s="1">
        <v>0</v>
      </c>
      <c r="AK42" s="1">
        <v>1.5</v>
      </c>
      <c r="AL42" s="1">
        <v>0.8</v>
      </c>
      <c r="AM42" s="1">
        <v>238.53</v>
      </c>
      <c r="AN42" s="1">
        <v>13.98</v>
      </c>
      <c r="AO42" s="1">
        <v>0</v>
      </c>
      <c r="AP42" s="1">
        <v>3.26</v>
      </c>
      <c r="AQ42" s="1">
        <v>0.5</v>
      </c>
      <c r="AR42" s="1">
        <v>0.06</v>
      </c>
      <c r="AS42" s="1">
        <v>0.06</v>
      </c>
      <c r="AT42" s="1">
        <v>13.45</v>
      </c>
      <c r="AU42" s="1">
        <v>4.1399999999999997</v>
      </c>
      <c r="AV42" s="1">
        <v>7.0000000000000007E-2</v>
      </c>
      <c r="AW42" s="1">
        <v>0.57999999999999996</v>
      </c>
      <c r="AX42" s="1">
        <v>8.11</v>
      </c>
      <c r="AY42" s="1">
        <v>0</v>
      </c>
      <c r="AZ42" s="1">
        <v>0</v>
      </c>
      <c r="BA42" s="1">
        <v>0</v>
      </c>
      <c r="BB42" s="1">
        <v>0</v>
      </c>
      <c r="BC42" s="1">
        <v>0</v>
      </c>
      <c r="BD42" s="1">
        <v>0</v>
      </c>
    </row>
    <row r="43" spans="1:56">
      <c r="A43" s="18">
        <v>46192</v>
      </c>
      <c r="B43" s="1">
        <v>42</v>
      </c>
      <c r="C43" s="1" t="s">
        <v>89</v>
      </c>
      <c r="D43" s="1" t="s">
        <v>90</v>
      </c>
      <c r="E43" s="1">
        <v>2</v>
      </c>
      <c r="F43" s="1">
        <v>200</v>
      </c>
      <c r="H43" s="1" t="s">
        <v>91</v>
      </c>
      <c r="I43" s="1" t="s">
        <v>79</v>
      </c>
      <c r="J43" s="1" t="s">
        <v>80</v>
      </c>
      <c r="K43" s="1" t="s">
        <v>74</v>
      </c>
      <c r="L43" s="1" t="s">
        <v>72</v>
      </c>
      <c r="M43" s="1" t="s">
        <v>75</v>
      </c>
      <c r="N43" s="1" t="s">
        <v>76</v>
      </c>
      <c r="O43" s="1" t="s">
        <v>77</v>
      </c>
      <c r="P43" s="1" t="s">
        <v>78</v>
      </c>
      <c r="X43" s="1" t="s">
        <v>73</v>
      </c>
      <c r="Z43" s="1" t="s">
        <v>70</v>
      </c>
      <c r="AB43" s="1">
        <v>5</v>
      </c>
      <c r="AC43" s="1">
        <v>748823.66</v>
      </c>
      <c r="AD43" s="1">
        <v>8930565.6199999992</v>
      </c>
      <c r="AE43" s="1">
        <v>210.57</v>
      </c>
      <c r="AF43" s="1">
        <v>748821.48</v>
      </c>
      <c r="AG43" s="1">
        <v>8930564.2300000004</v>
      </c>
      <c r="AH43" s="1">
        <v>200</v>
      </c>
      <c r="AI43" s="1">
        <v>10.88</v>
      </c>
      <c r="AJ43" s="1">
        <v>0</v>
      </c>
      <c r="AK43" s="1">
        <v>1.5</v>
      </c>
      <c r="AL43" s="1">
        <v>0.8</v>
      </c>
      <c r="AM43" s="1">
        <v>237.36</v>
      </c>
      <c r="AN43" s="1">
        <v>13.73</v>
      </c>
      <c r="AO43" s="1">
        <v>0</v>
      </c>
      <c r="AP43" s="1">
        <v>3.23</v>
      </c>
      <c r="AQ43" s="1">
        <v>0.49</v>
      </c>
      <c r="AR43" s="1">
        <v>0.06</v>
      </c>
      <c r="AS43" s="1">
        <v>0.06</v>
      </c>
      <c r="AT43" s="1">
        <v>12.65</v>
      </c>
      <c r="AU43" s="1">
        <v>3.96</v>
      </c>
      <c r="AV43" s="1">
        <v>0.03</v>
      </c>
      <c r="AW43" s="1">
        <v>0.25</v>
      </c>
      <c r="AX43" s="1">
        <v>7.63</v>
      </c>
      <c r="AY43" s="1">
        <v>0</v>
      </c>
      <c r="AZ43" s="1">
        <v>0</v>
      </c>
      <c r="BA43" s="1">
        <v>0</v>
      </c>
      <c r="BB43" s="1">
        <v>0</v>
      </c>
      <c r="BC43" s="1">
        <v>0</v>
      </c>
      <c r="BD43" s="1">
        <v>0</v>
      </c>
    </row>
    <row r="44" spans="1:56">
      <c r="A44" s="18">
        <v>46192</v>
      </c>
      <c r="B44" s="1">
        <v>43</v>
      </c>
      <c r="C44" s="1" t="s">
        <v>89</v>
      </c>
      <c r="D44" s="1" t="s">
        <v>90</v>
      </c>
      <c r="E44" s="1">
        <v>2</v>
      </c>
      <c r="F44" s="1">
        <v>200</v>
      </c>
      <c r="H44" s="1" t="s">
        <v>91</v>
      </c>
      <c r="I44" s="1" t="s">
        <v>79</v>
      </c>
      <c r="J44" s="1" t="s">
        <v>80</v>
      </c>
      <c r="K44" s="1" t="s">
        <v>74</v>
      </c>
      <c r="L44" s="1" t="s">
        <v>72</v>
      </c>
      <c r="M44" s="1" t="s">
        <v>75</v>
      </c>
      <c r="N44" s="1" t="s">
        <v>76</v>
      </c>
      <c r="O44" s="1" t="s">
        <v>77</v>
      </c>
      <c r="P44" s="1" t="s">
        <v>78</v>
      </c>
      <c r="X44" s="1" t="s">
        <v>73</v>
      </c>
      <c r="Z44" s="1" t="s">
        <v>70</v>
      </c>
      <c r="AB44" s="1">
        <v>5</v>
      </c>
      <c r="AC44" s="1">
        <v>748824.47</v>
      </c>
      <c r="AD44" s="1">
        <v>8930564.3599999994</v>
      </c>
      <c r="AE44" s="1">
        <v>210.62</v>
      </c>
      <c r="AF44" s="1">
        <v>748822.3</v>
      </c>
      <c r="AG44" s="1">
        <v>8930562.9700000007</v>
      </c>
      <c r="AH44" s="1">
        <v>200</v>
      </c>
      <c r="AI44" s="1">
        <v>10.93</v>
      </c>
      <c r="AJ44" s="1">
        <v>0</v>
      </c>
      <c r="AK44" s="1">
        <v>1.5</v>
      </c>
      <c r="AL44" s="1">
        <v>0.8</v>
      </c>
      <c r="AM44" s="1">
        <v>237.36</v>
      </c>
      <c r="AN44" s="1">
        <v>13.68</v>
      </c>
      <c r="AO44" s="1">
        <v>0</v>
      </c>
      <c r="AP44" s="1">
        <v>3.18</v>
      </c>
      <c r="AQ44" s="1">
        <v>0.42</v>
      </c>
      <c r="AR44" s="1">
        <v>0.05</v>
      </c>
      <c r="AS44" s="1">
        <v>0.05</v>
      </c>
      <c r="AT44" s="1">
        <v>10.52</v>
      </c>
      <c r="AU44" s="1">
        <v>3.34</v>
      </c>
      <c r="AV44" s="1">
        <v>0.02</v>
      </c>
      <c r="AW44" s="1">
        <v>0.13</v>
      </c>
      <c r="AX44" s="1">
        <v>6.39</v>
      </c>
      <c r="AY44" s="1">
        <v>0</v>
      </c>
      <c r="AZ44" s="1">
        <v>0</v>
      </c>
      <c r="BA44" s="1">
        <v>0</v>
      </c>
      <c r="BB44" s="1">
        <v>0</v>
      </c>
      <c r="BC44" s="1">
        <v>0</v>
      </c>
      <c r="BD44" s="1">
        <v>0</v>
      </c>
    </row>
    <row r="45" spans="1:56">
      <c r="A45" s="18">
        <v>46192</v>
      </c>
      <c r="B45" s="1">
        <v>44</v>
      </c>
      <c r="C45" s="1" t="s">
        <v>89</v>
      </c>
      <c r="D45" s="1" t="s">
        <v>90</v>
      </c>
      <c r="E45" s="1">
        <v>2</v>
      </c>
      <c r="F45" s="1">
        <v>200</v>
      </c>
      <c r="H45" s="1" t="s">
        <v>91</v>
      </c>
      <c r="I45" s="1" t="s">
        <v>79</v>
      </c>
      <c r="J45" s="1" t="s">
        <v>80</v>
      </c>
      <c r="K45" s="1" t="s">
        <v>74</v>
      </c>
      <c r="L45" s="1" t="s">
        <v>72</v>
      </c>
      <c r="M45" s="1" t="s">
        <v>75</v>
      </c>
      <c r="N45" s="1" t="s">
        <v>76</v>
      </c>
      <c r="O45" s="1" t="s">
        <v>77</v>
      </c>
      <c r="P45" s="1" t="s">
        <v>78</v>
      </c>
      <c r="X45" s="1" t="s">
        <v>73</v>
      </c>
      <c r="Z45" s="1" t="s">
        <v>70</v>
      </c>
      <c r="AB45" s="1">
        <v>5</v>
      </c>
      <c r="AC45" s="1">
        <v>748825.29</v>
      </c>
      <c r="AD45" s="1">
        <v>8930563.0999999996</v>
      </c>
      <c r="AE45" s="1">
        <v>210.69</v>
      </c>
      <c r="AF45" s="1">
        <v>748823.11</v>
      </c>
      <c r="AG45" s="1">
        <v>8930561.7100000009</v>
      </c>
      <c r="AH45" s="1">
        <v>200</v>
      </c>
      <c r="AI45" s="1">
        <v>11</v>
      </c>
      <c r="AJ45" s="1">
        <v>0</v>
      </c>
      <c r="AK45" s="1">
        <v>1.5</v>
      </c>
      <c r="AL45" s="1">
        <v>0.8</v>
      </c>
      <c r="AM45" s="1">
        <v>237.36</v>
      </c>
      <c r="AN45" s="1">
        <v>13.61</v>
      </c>
      <c r="AO45" s="1">
        <v>0</v>
      </c>
      <c r="AP45" s="1">
        <v>3.18</v>
      </c>
      <c r="AQ45" s="1">
        <v>0.42</v>
      </c>
      <c r="AR45" s="1">
        <v>0.05</v>
      </c>
      <c r="AS45" s="1">
        <v>0.05</v>
      </c>
      <c r="AT45" s="1">
        <v>10.52</v>
      </c>
      <c r="AU45" s="1">
        <v>3.34</v>
      </c>
      <c r="AV45" s="1">
        <v>0.02</v>
      </c>
      <c r="AW45" s="1">
        <v>0.13</v>
      </c>
      <c r="AX45" s="1">
        <v>6.39</v>
      </c>
      <c r="AY45" s="1">
        <v>0</v>
      </c>
      <c r="AZ45" s="1">
        <v>0</v>
      </c>
      <c r="BA45" s="1">
        <v>0</v>
      </c>
      <c r="BB45" s="1">
        <v>0</v>
      </c>
      <c r="BC45" s="1">
        <v>0</v>
      </c>
      <c r="BD45" s="1">
        <v>0</v>
      </c>
    </row>
    <row r="46" spans="1:56">
      <c r="A46" s="18">
        <v>46192</v>
      </c>
      <c r="B46" s="1">
        <v>45</v>
      </c>
      <c r="C46" s="1" t="s">
        <v>89</v>
      </c>
      <c r="D46" s="1" t="s">
        <v>90</v>
      </c>
      <c r="E46" s="1">
        <v>2</v>
      </c>
      <c r="F46" s="1">
        <v>200</v>
      </c>
      <c r="H46" s="1" t="s">
        <v>91</v>
      </c>
      <c r="I46" s="1" t="s">
        <v>79</v>
      </c>
      <c r="J46" s="1" t="s">
        <v>80</v>
      </c>
      <c r="K46" s="1" t="s">
        <v>74</v>
      </c>
      <c r="L46" s="1" t="s">
        <v>72</v>
      </c>
      <c r="M46" s="1" t="s">
        <v>75</v>
      </c>
      <c r="N46" s="1" t="s">
        <v>76</v>
      </c>
      <c r="O46" s="1" t="s">
        <v>77</v>
      </c>
      <c r="P46" s="1" t="s">
        <v>78</v>
      </c>
      <c r="X46" s="1" t="s">
        <v>73</v>
      </c>
      <c r="Z46" s="1" t="s">
        <v>70</v>
      </c>
      <c r="AB46" s="1">
        <v>5</v>
      </c>
      <c r="AC46" s="1">
        <v>748826.1</v>
      </c>
      <c r="AD46" s="1">
        <v>8930561.8399999999</v>
      </c>
      <c r="AE46" s="1">
        <v>210.87</v>
      </c>
      <c r="AF46" s="1">
        <v>748823.92</v>
      </c>
      <c r="AG46" s="1">
        <v>8930560.4499999993</v>
      </c>
      <c r="AH46" s="1">
        <v>200</v>
      </c>
      <c r="AI46" s="1">
        <v>11.18</v>
      </c>
      <c r="AJ46" s="1">
        <v>0</v>
      </c>
      <c r="AK46" s="1">
        <v>1.5</v>
      </c>
      <c r="AL46" s="1">
        <v>0.8</v>
      </c>
      <c r="AM46" s="1">
        <v>237.36</v>
      </c>
      <c r="AN46" s="1">
        <v>13.39</v>
      </c>
      <c r="AO46" s="1">
        <v>0</v>
      </c>
      <c r="AP46" s="1">
        <v>3.18</v>
      </c>
      <c r="AQ46" s="1">
        <v>0.42</v>
      </c>
      <c r="AR46" s="1">
        <v>0.05</v>
      </c>
      <c r="AS46" s="1">
        <v>0.05</v>
      </c>
      <c r="AT46" s="1">
        <v>10.52</v>
      </c>
      <c r="AU46" s="1">
        <v>3.34</v>
      </c>
      <c r="AV46" s="1">
        <v>0.02</v>
      </c>
      <c r="AW46" s="1">
        <v>0.13</v>
      </c>
      <c r="AX46" s="1">
        <v>6.39</v>
      </c>
      <c r="AY46" s="1">
        <v>0</v>
      </c>
      <c r="AZ46" s="1">
        <v>0</v>
      </c>
      <c r="BA46" s="1">
        <v>0</v>
      </c>
      <c r="BB46" s="1">
        <v>0</v>
      </c>
      <c r="BC46" s="1">
        <v>0</v>
      </c>
      <c r="BD46" s="1">
        <v>0</v>
      </c>
    </row>
    <row r="47" spans="1:56">
      <c r="A47" s="18">
        <v>46192</v>
      </c>
      <c r="B47" s="1">
        <v>46</v>
      </c>
      <c r="C47" s="1" t="s">
        <v>89</v>
      </c>
      <c r="D47" s="1" t="s">
        <v>90</v>
      </c>
      <c r="E47" s="1">
        <v>2</v>
      </c>
      <c r="F47" s="1">
        <v>200</v>
      </c>
      <c r="H47" s="1" t="s">
        <v>91</v>
      </c>
      <c r="I47" s="1" t="s">
        <v>79</v>
      </c>
      <c r="J47" s="1" t="s">
        <v>80</v>
      </c>
      <c r="K47" s="1" t="s">
        <v>74</v>
      </c>
      <c r="L47" s="1" t="s">
        <v>72</v>
      </c>
      <c r="M47" s="1" t="s">
        <v>75</v>
      </c>
      <c r="N47" s="1" t="s">
        <v>76</v>
      </c>
      <c r="O47" s="1" t="s">
        <v>77</v>
      </c>
      <c r="P47" s="1" t="s">
        <v>78</v>
      </c>
      <c r="X47" s="1" t="s">
        <v>73</v>
      </c>
      <c r="Z47" s="1" t="s">
        <v>70</v>
      </c>
      <c r="AB47" s="1">
        <v>5</v>
      </c>
      <c r="AC47" s="1">
        <v>748826.91</v>
      </c>
      <c r="AD47" s="1">
        <v>8930560.5800000001</v>
      </c>
      <c r="AE47" s="1">
        <v>211</v>
      </c>
      <c r="AF47" s="1">
        <v>748824.73</v>
      </c>
      <c r="AG47" s="1">
        <v>8930559.1899999995</v>
      </c>
      <c r="AH47" s="1">
        <v>200</v>
      </c>
      <c r="AI47" s="1">
        <v>11.3</v>
      </c>
      <c r="AJ47" s="1">
        <v>0</v>
      </c>
      <c r="AK47" s="1">
        <v>1.5</v>
      </c>
      <c r="AL47" s="1">
        <v>0.8</v>
      </c>
      <c r="AM47" s="1">
        <v>237.36</v>
      </c>
      <c r="AN47" s="1">
        <v>13.21</v>
      </c>
      <c r="AO47" s="1">
        <v>0</v>
      </c>
      <c r="AP47" s="1">
        <v>3.18</v>
      </c>
      <c r="AQ47" s="1">
        <v>0.42</v>
      </c>
      <c r="AR47" s="1">
        <v>0.05</v>
      </c>
      <c r="AS47" s="1">
        <v>0.05</v>
      </c>
      <c r="AT47" s="1">
        <v>10.46</v>
      </c>
      <c r="AU47" s="1">
        <v>3.41</v>
      </c>
      <c r="AV47" s="1">
        <v>0.02</v>
      </c>
      <c r="AW47" s="1">
        <v>0.15</v>
      </c>
      <c r="AX47" s="1">
        <v>6.35</v>
      </c>
      <c r="AY47" s="1">
        <v>0</v>
      </c>
      <c r="AZ47" s="1">
        <v>0</v>
      </c>
      <c r="BA47" s="1">
        <v>0</v>
      </c>
      <c r="BB47" s="1">
        <v>0</v>
      </c>
      <c r="BC47" s="1">
        <v>0</v>
      </c>
      <c r="BD47" s="1">
        <v>0</v>
      </c>
    </row>
    <row r="48" spans="1:56">
      <c r="A48" s="18">
        <v>46192</v>
      </c>
      <c r="B48" s="1">
        <v>47</v>
      </c>
      <c r="C48" s="1" t="s">
        <v>89</v>
      </c>
      <c r="D48" s="1" t="s">
        <v>90</v>
      </c>
      <c r="E48" s="1">
        <v>2</v>
      </c>
      <c r="F48" s="1">
        <v>200</v>
      </c>
      <c r="H48" s="1" t="s">
        <v>91</v>
      </c>
      <c r="I48" s="1" t="s">
        <v>79</v>
      </c>
      <c r="J48" s="1" t="s">
        <v>80</v>
      </c>
      <c r="K48" s="1" t="s">
        <v>74</v>
      </c>
      <c r="L48" s="1" t="s">
        <v>72</v>
      </c>
      <c r="M48" s="1" t="s">
        <v>75</v>
      </c>
      <c r="N48" s="1" t="s">
        <v>76</v>
      </c>
      <c r="O48" s="1" t="s">
        <v>77</v>
      </c>
      <c r="P48" s="1" t="s">
        <v>78</v>
      </c>
      <c r="X48" s="1" t="s">
        <v>73</v>
      </c>
      <c r="Z48" s="1" t="s">
        <v>70</v>
      </c>
      <c r="AB48" s="1">
        <v>5</v>
      </c>
      <c r="AC48" s="1">
        <v>748827.72</v>
      </c>
      <c r="AD48" s="1">
        <v>8930559.3200000003</v>
      </c>
      <c r="AE48" s="1">
        <v>211.02</v>
      </c>
      <c r="AF48" s="1">
        <v>748825.55</v>
      </c>
      <c r="AG48" s="1">
        <v>8930557.9299999997</v>
      </c>
      <c r="AH48" s="1">
        <v>200</v>
      </c>
      <c r="AI48" s="1">
        <v>11.32</v>
      </c>
      <c r="AJ48" s="1">
        <v>0</v>
      </c>
      <c r="AK48" s="1">
        <v>1.5</v>
      </c>
      <c r="AL48" s="1">
        <v>0.8</v>
      </c>
      <c r="AM48" s="1">
        <v>237.36</v>
      </c>
      <c r="AN48" s="1">
        <v>13.17</v>
      </c>
      <c r="AO48" s="1">
        <v>0</v>
      </c>
      <c r="AP48" s="1">
        <v>3.18</v>
      </c>
      <c r="AQ48" s="1">
        <v>0.42</v>
      </c>
      <c r="AR48" s="1">
        <v>0.05</v>
      </c>
      <c r="AS48" s="1">
        <v>0.05</v>
      </c>
      <c r="AT48" s="1">
        <v>10.53</v>
      </c>
      <c r="AU48" s="1">
        <v>3.61</v>
      </c>
      <c r="AV48" s="1">
        <v>0.01</v>
      </c>
      <c r="AW48" s="1">
        <v>0.11</v>
      </c>
      <c r="AX48" s="1">
        <v>6.22</v>
      </c>
      <c r="AY48" s="1">
        <v>0</v>
      </c>
      <c r="AZ48" s="1">
        <v>0</v>
      </c>
      <c r="BA48" s="1">
        <v>0</v>
      </c>
      <c r="BB48" s="1">
        <v>0</v>
      </c>
      <c r="BC48" s="1">
        <v>0</v>
      </c>
      <c r="BD48" s="1">
        <v>0</v>
      </c>
    </row>
    <row r="49" spans="1:56">
      <c r="A49" s="18">
        <v>46192</v>
      </c>
      <c r="B49" s="1">
        <v>48</v>
      </c>
      <c r="C49" s="1" t="s">
        <v>89</v>
      </c>
      <c r="D49" s="1" t="s">
        <v>90</v>
      </c>
      <c r="E49" s="1">
        <v>2</v>
      </c>
      <c r="F49" s="1">
        <v>200</v>
      </c>
      <c r="H49" s="1" t="s">
        <v>91</v>
      </c>
      <c r="I49" s="1" t="s">
        <v>79</v>
      </c>
      <c r="J49" s="1" t="s">
        <v>80</v>
      </c>
      <c r="K49" s="1" t="s">
        <v>74</v>
      </c>
      <c r="L49" s="1" t="s">
        <v>72</v>
      </c>
      <c r="M49" s="1" t="s">
        <v>75</v>
      </c>
      <c r="N49" s="1" t="s">
        <v>76</v>
      </c>
      <c r="O49" s="1" t="s">
        <v>77</v>
      </c>
      <c r="P49" s="1" t="s">
        <v>78</v>
      </c>
      <c r="X49" s="1" t="s">
        <v>73</v>
      </c>
      <c r="Z49" s="1" t="s">
        <v>70</v>
      </c>
      <c r="AB49" s="1">
        <v>5</v>
      </c>
      <c r="AC49" s="1">
        <v>748828.52</v>
      </c>
      <c r="AD49" s="1">
        <v>8930558.0500000007</v>
      </c>
      <c r="AE49" s="1">
        <v>210.96</v>
      </c>
      <c r="AF49" s="1">
        <v>748826.36</v>
      </c>
      <c r="AG49" s="1">
        <v>8930556.6600000001</v>
      </c>
      <c r="AH49" s="1">
        <v>200</v>
      </c>
      <c r="AI49" s="1">
        <v>11.26</v>
      </c>
      <c r="AJ49" s="1">
        <v>0</v>
      </c>
      <c r="AK49" s="1">
        <v>1.5</v>
      </c>
      <c r="AL49" s="1">
        <v>0.8</v>
      </c>
      <c r="AM49" s="1">
        <v>237.36</v>
      </c>
      <c r="AN49" s="1">
        <v>13.17</v>
      </c>
      <c r="AO49" s="1">
        <v>0</v>
      </c>
      <c r="AP49" s="1">
        <v>3.19</v>
      </c>
      <c r="AQ49" s="1">
        <v>0.48</v>
      </c>
      <c r="AR49" s="1">
        <v>0.05</v>
      </c>
      <c r="AS49" s="1">
        <v>0.06</v>
      </c>
      <c r="AT49" s="1">
        <v>11.53</v>
      </c>
      <c r="AU49" s="1">
        <v>4.21</v>
      </c>
      <c r="AV49" s="1">
        <v>0</v>
      </c>
      <c r="AW49" s="1">
        <v>0</v>
      </c>
      <c r="AX49" s="1">
        <v>6.43</v>
      </c>
      <c r="AY49" s="1">
        <v>0</v>
      </c>
      <c r="AZ49" s="1">
        <v>0</v>
      </c>
      <c r="BA49" s="1">
        <v>0</v>
      </c>
      <c r="BB49" s="1">
        <v>0</v>
      </c>
      <c r="BC49" s="1">
        <v>0</v>
      </c>
      <c r="BD49" s="1">
        <v>0</v>
      </c>
    </row>
    <row r="50" spans="1:56">
      <c r="A50" s="18">
        <v>46192</v>
      </c>
      <c r="B50" s="1">
        <v>49</v>
      </c>
      <c r="C50" s="1" t="s">
        <v>89</v>
      </c>
      <c r="D50" s="1" t="s">
        <v>90</v>
      </c>
      <c r="E50" s="1">
        <v>2</v>
      </c>
      <c r="F50" s="1">
        <v>200</v>
      </c>
      <c r="H50" s="1" t="s">
        <v>91</v>
      </c>
      <c r="I50" s="1" t="s">
        <v>79</v>
      </c>
      <c r="J50" s="1" t="s">
        <v>80</v>
      </c>
      <c r="K50" s="1" t="s">
        <v>74</v>
      </c>
      <c r="L50" s="1" t="s">
        <v>72</v>
      </c>
      <c r="M50" s="1" t="s">
        <v>75</v>
      </c>
      <c r="N50" s="1" t="s">
        <v>76</v>
      </c>
      <c r="O50" s="1" t="s">
        <v>77</v>
      </c>
      <c r="P50" s="1" t="s">
        <v>78</v>
      </c>
      <c r="X50" s="1" t="s">
        <v>73</v>
      </c>
      <c r="Z50" s="1" t="s">
        <v>70</v>
      </c>
      <c r="AB50" s="1">
        <v>5</v>
      </c>
      <c r="AC50" s="1">
        <v>748829.34</v>
      </c>
      <c r="AD50" s="1">
        <v>8930556.7899999991</v>
      </c>
      <c r="AE50" s="1">
        <v>210.87</v>
      </c>
      <c r="AF50" s="1">
        <v>748827.17</v>
      </c>
      <c r="AG50" s="1">
        <v>8930555.4000000004</v>
      </c>
      <c r="AH50" s="1">
        <v>200</v>
      </c>
      <c r="AI50" s="1">
        <v>11.17</v>
      </c>
      <c r="AJ50" s="1">
        <v>0</v>
      </c>
      <c r="AK50" s="1">
        <v>1.5</v>
      </c>
      <c r="AL50" s="1">
        <v>0.8</v>
      </c>
      <c r="AM50" s="1">
        <v>237.36</v>
      </c>
      <c r="AN50" s="1">
        <v>13.34</v>
      </c>
      <c r="AO50" s="1">
        <v>0</v>
      </c>
      <c r="AP50" s="1">
        <v>3.19</v>
      </c>
      <c r="AQ50" s="1">
        <v>0.48</v>
      </c>
      <c r="AR50" s="1">
        <v>0.05</v>
      </c>
      <c r="AS50" s="1">
        <v>0.06</v>
      </c>
      <c r="AT50" s="1">
        <v>11.53</v>
      </c>
      <c r="AU50" s="1">
        <v>4.21</v>
      </c>
      <c r="AV50" s="1">
        <v>0</v>
      </c>
      <c r="AW50" s="1">
        <v>0</v>
      </c>
      <c r="AX50" s="1">
        <v>6.43</v>
      </c>
      <c r="AY50" s="1">
        <v>0</v>
      </c>
      <c r="AZ50" s="1">
        <v>0</v>
      </c>
      <c r="BA50" s="1">
        <v>0</v>
      </c>
      <c r="BB50" s="1">
        <v>0</v>
      </c>
      <c r="BC50" s="1">
        <v>0</v>
      </c>
      <c r="BD50" s="1">
        <v>0</v>
      </c>
    </row>
    <row r="51" spans="1:56">
      <c r="A51" s="18">
        <v>46192</v>
      </c>
      <c r="B51" s="1">
        <v>50</v>
      </c>
      <c r="C51" s="1" t="s">
        <v>89</v>
      </c>
      <c r="D51" s="1" t="s">
        <v>90</v>
      </c>
      <c r="E51" s="1">
        <v>2</v>
      </c>
      <c r="F51" s="1">
        <v>200</v>
      </c>
      <c r="H51" s="1" t="s">
        <v>91</v>
      </c>
      <c r="I51" s="1" t="s">
        <v>79</v>
      </c>
      <c r="J51" s="1" t="s">
        <v>80</v>
      </c>
      <c r="K51" s="1" t="s">
        <v>74</v>
      </c>
      <c r="L51" s="1" t="s">
        <v>72</v>
      </c>
      <c r="M51" s="1" t="s">
        <v>75</v>
      </c>
      <c r="N51" s="1" t="s">
        <v>76</v>
      </c>
      <c r="O51" s="1" t="s">
        <v>77</v>
      </c>
      <c r="P51" s="1" t="s">
        <v>78</v>
      </c>
      <c r="X51" s="1" t="s">
        <v>73</v>
      </c>
      <c r="Z51" s="1" t="s">
        <v>70</v>
      </c>
      <c r="AB51" s="1">
        <v>5</v>
      </c>
      <c r="AC51" s="1">
        <v>748830.15</v>
      </c>
      <c r="AD51" s="1">
        <v>8930555.5299999993</v>
      </c>
      <c r="AE51" s="1">
        <v>210.78</v>
      </c>
      <c r="AF51" s="1">
        <v>748827.98</v>
      </c>
      <c r="AG51" s="1">
        <v>8930554.1400000006</v>
      </c>
      <c r="AH51" s="1">
        <v>200</v>
      </c>
      <c r="AI51" s="1">
        <v>11.08</v>
      </c>
      <c r="AJ51" s="1">
        <v>0</v>
      </c>
      <c r="AK51" s="1">
        <v>1.5</v>
      </c>
      <c r="AL51" s="1">
        <v>0.8</v>
      </c>
      <c r="AM51" s="1">
        <v>237.36</v>
      </c>
      <c r="AN51" s="1">
        <v>13.42</v>
      </c>
      <c r="AO51" s="1">
        <v>0</v>
      </c>
      <c r="AP51" s="1">
        <v>3.19</v>
      </c>
      <c r="AQ51" s="1">
        <v>0.48</v>
      </c>
      <c r="AR51" s="1">
        <v>0.05</v>
      </c>
      <c r="AS51" s="1">
        <v>0.06</v>
      </c>
      <c r="AT51" s="1">
        <v>11.53</v>
      </c>
      <c r="AU51" s="1">
        <v>4.21</v>
      </c>
      <c r="AV51" s="1">
        <v>0</v>
      </c>
      <c r="AW51" s="1">
        <v>0</v>
      </c>
      <c r="AX51" s="1">
        <v>6.43</v>
      </c>
      <c r="AY51" s="1">
        <v>0</v>
      </c>
      <c r="AZ51" s="1">
        <v>0</v>
      </c>
      <c r="BA51" s="1">
        <v>0</v>
      </c>
      <c r="BB51" s="1">
        <v>0</v>
      </c>
      <c r="BC51" s="1">
        <v>0</v>
      </c>
      <c r="BD51" s="1">
        <v>0</v>
      </c>
    </row>
    <row r="52" spans="1:56">
      <c r="A52" s="18">
        <v>46192</v>
      </c>
      <c r="B52" s="1">
        <v>51</v>
      </c>
      <c r="C52" s="1" t="s">
        <v>89</v>
      </c>
      <c r="D52" s="1" t="s">
        <v>90</v>
      </c>
      <c r="E52" s="1">
        <v>2</v>
      </c>
      <c r="F52" s="1">
        <v>200</v>
      </c>
      <c r="H52" s="1" t="s">
        <v>91</v>
      </c>
      <c r="I52" s="1" t="s">
        <v>79</v>
      </c>
      <c r="J52" s="1" t="s">
        <v>80</v>
      </c>
      <c r="K52" s="1" t="s">
        <v>74</v>
      </c>
      <c r="L52" s="1" t="s">
        <v>72</v>
      </c>
      <c r="M52" s="1" t="s">
        <v>75</v>
      </c>
      <c r="N52" s="1" t="s">
        <v>76</v>
      </c>
      <c r="O52" s="1" t="s">
        <v>77</v>
      </c>
      <c r="P52" s="1" t="s">
        <v>78</v>
      </c>
      <c r="X52" s="1" t="s">
        <v>73</v>
      </c>
      <c r="Z52" s="1" t="s">
        <v>70</v>
      </c>
      <c r="AB52" s="1">
        <v>5</v>
      </c>
      <c r="AC52" s="1">
        <v>748830.95</v>
      </c>
      <c r="AD52" s="1">
        <v>8930554.2599999998</v>
      </c>
      <c r="AE52" s="1">
        <v>210.7</v>
      </c>
      <c r="AF52" s="1">
        <v>748828.79</v>
      </c>
      <c r="AG52" s="1">
        <v>8930552.8800000008</v>
      </c>
      <c r="AH52" s="1">
        <v>200</v>
      </c>
      <c r="AI52" s="1">
        <v>11</v>
      </c>
      <c r="AJ52" s="1">
        <v>0</v>
      </c>
      <c r="AK52" s="1">
        <v>1.5</v>
      </c>
      <c r="AL52" s="1">
        <v>0.8</v>
      </c>
      <c r="AM52" s="1">
        <v>237.36</v>
      </c>
      <c r="AN52" s="1">
        <v>13.45</v>
      </c>
      <c r="AO52" s="1">
        <v>0</v>
      </c>
      <c r="AP52" s="1">
        <v>3.19</v>
      </c>
      <c r="AQ52" s="1">
        <v>0.52</v>
      </c>
      <c r="AR52" s="1">
        <v>0.05</v>
      </c>
      <c r="AS52" s="1">
        <v>0.06</v>
      </c>
      <c r="AT52" s="1">
        <v>12.17</v>
      </c>
      <c r="AU52" s="1">
        <v>4.3899999999999997</v>
      </c>
      <c r="AV52" s="1">
        <v>0</v>
      </c>
      <c r="AW52" s="1">
        <v>0</v>
      </c>
      <c r="AX52" s="1">
        <v>6.55</v>
      </c>
      <c r="AY52" s="1">
        <v>0</v>
      </c>
      <c r="AZ52" s="1">
        <v>0</v>
      </c>
      <c r="BA52" s="1">
        <v>0</v>
      </c>
      <c r="BB52" s="1">
        <v>0</v>
      </c>
      <c r="BC52" s="1">
        <v>0</v>
      </c>
      <c r="BD52" s="1">
        <v>0</v>
      </c>
    </row>
    <row r="53" spans="1:56">
      <c r="A53" s="18">
        <v>46192</v>
      </c>
      <c r="B53" s="1">
        <v>52</v>
      </c>
      <c r="C53" s="1" t="s">
        <v>89</v>
      </c>
      <c r="D53" s="1" t="s">
        <v>90</v>
      </c>
      <c r="E53" s="1">
        <v>2</v>
      </c>
      <c r="F53" s="1">
        <v>200</v>
      </c>
      <c r="H53" s="1" t="s">
        <v>91</v>
      </c>
      <c r="I53" s="1" t="s">
        <v>79</v>
      </c>
      <c r="J53" s="1" t="s">
        <v>81</v>
      </c>
      <c r="K53" s="1" t="s">
        <v>74</v>
      </c>
      <c r="L53" s="1" t="s">
        <v>72</v>
      </c>
      <c r="M53" s="1" t="s">
        <v>75</v>
      </c>
      <c r="N53" s="1" t="s">
        <v>76</v>
      </c>
      <c r="O53" s="1" t="s">
        <v>77</v>
      </c>
      <c r="P53" s="1" t="s">
        <v>78</v>
      </c>
      <c r="X53" s="1" t="s">
        <v>73</v>
      </c>
      <c r="Z53" s="1" t="s">
        <v>70</v>
      </c>
      <c r="AB53" s="1">
        <v>5</v>
      </c>
      <c r="AC53" s="1">
        <v>748831.76</v>
      </c>
      <c r="AD53" s="1">
        <v>8930553</v>
      </c>
      <c r="AE53" s="1">
        <v>210.73</v>
      </c>
      <c r="AF53" s="1">
        <v>748829.61</v>
      </c>
      <c r="AG53" s="1">
        <v>8930551.6199999992</v>
      </c>
      <c r="AH53" s="1">
        <v>200</v>
      </c>
      <c r="AI53" s="1">
        <v>11.03</v>
      </c>
      <c r="AJ53" s="1">
        <v>0</v>
      </c>
      <c r="AK53" s="1">
        <v>1.5</v>
      </c>
      <c r="AL53" s="1">
        <v>0.8</v>
      </c>
      <c r="AM53" s="1">
        <v>237.36</v>
      </c>
      <c r="AN53" s="1">
        <v>13.39</v>
      </c>
      <c r="AO53" s="1">
        <v>0</v>
      </c>
      <c r="AP53" s="1">
        <v>3.19</v>
      </c>
      <c r="AQ53" s="1">
        <v>0.59</v>
      </c>
      <c r="AR53" s="1">
        <v>0.05</v>
      </c>
      <c r="AS53" s="1">
        <v>7.0000000000000007E-2</v>
      </c>
      <c r="AT53" s="1">
        <v>13.1</v>
      </c>
      <c r="AU53" s="1">
        <v>4.66</v>
      </c>
      <c r="AV53" s="1">
        <v>0</v>
      </c>
      <c r="AW53" s="1">
        <v>0</v>
      </c>
      <c r="AX53" s="1">
        <v>6.72</v>
      </c>
      <c r="AY53" s="1">
        <v>0</v>
      </c>
      <c r="AZ53" s="1">
        <v>0</v>
      </c>
      <c r="BA53" s="1">
        <v>0</v>
      </c>
      <c r="BB53" s="1">
        <v>0</v>
      </c>
      <c r="BC53" s="1">
        <v>0</v>
      </c>
      <c r="BD53" s="1">
        <v>0</v>
      </c>
    </row>
    <row r="54" spans="1:56">
      <c r="A54" s="18">
        <v>46192</v>
      </c>
      <c r="B54" s="1">
        <v>53</v>
      </c>
      <c r="C54" s="1" t="s">
        <v>89</v>
      </c>
      <c r="D54" s="1" t="s">
        <v>90</v>
      </c>
      <c r="E54" s="1">
        <v>2</v>
      </c>
      <c r="F54" s="1">
        <v>200</v>
      </c>
      <c r="H54" s="1" t="s">
        <v>91</v>
      </c>
      <c r="I54" s="1" t="s">
        <v>79</v>
      </c>
      <c r="J54" s="1" t="s">
        <v>81</v>
      </c>
      <c r="K54" s="1" t="s">
        <v>74</v>
      </c>
      <c r="L54" s="1" t="s">
        <v>72</v>
      </c>
      <c r="M54" s="1" t="s">
        <v>75</v>
      </c>
      <c r="N54" s="1" t="s">
        <v>76</v>
      </c>
      <c r="O54" s="1" t="s">
        <v>77</v>
      </c>
      <c r="P54" s="1" t="s">
        <v>78</v>
      </c>
      <c r="X54" s="1" t="s">
        <v>73</v>
      </c>
      <c r="Z54" s="1" t="s">
        <v>70</v>
      </c>
      <c r="AB54" s="1">
        <v>5</v>
      </c>
      <c r="AC54" s="1">
        <v>748832.57</v>
      </c>
      <c r="AD54" s="1">
        <v>8930551.7400000002</v>
      </c>
      <c r="AE54" s="1">
        <v>210.84</v>
      </c>
      <c r="AF54" s="1">
        <v>748830.42</v>
      </c>
      <c r="AG54" s="1">
        <v>8930550.3599999994</v>
      </c>
      <c r="AH54" s="1">
        <v>200</v>
      </c>
      <c r="AI54" s="1">
        <v>11.14</v>
      </c>
      <c r="AJ54" s="1">
        <v>0</v>
      </c>
      <c r="AK54" s="1">
        <v>1.5</v>
      </c>
      <c r="AL54" s="1">
        <v>0.8</v>
      </c>
      <c r="AM54" s="1">
        <v>237.36</v>
      </c>
      <c r="AN54" s="1">
        <v>13.27</v>
      </c>
      <c r="AO54" s="1">
        <v>0</v>
      </c>
      <c r="AP54" s="1">
        <v>3.19</v>
      </c>
      <c r="AQ54" s="1">
        <v>0.66</v>
      </c>
      <c r="AR54" s="1">
        <v>0.05</v>
      </c>
      <c r="AS54" s="1">
        <v>7.0000000000000007E-2</v>
      </c>
      <c r="AT54" s="1">
        <v>14.16</v>
      </c>
      <c r="AU54" s="1">
        <v>4.9400000000000004</v>
      </c>
      <c r="AV54" s="1">
        <v>0</v>
      </c>
      <c r="AW54" s="1">
        <v>0</v>
      </c>
      <c r="AX54" s="1">
        <v>6.91</v>
      </c>
      <c r="AY54" s="1">
        <v>0</v>
      </c>
      <c r="AZ54" s="1">
        <v>0</v>
      </c>
      <c r="BA54" s="1">
        <v>0</v>
      </c>
      <c r="BB54" s="1">
        <v>0</v>
      </c>
      <c r="BC54" s="1">
        <v>0</v>
      </c>
      <c r="BD54" s="1">
        <v>0</v>
      </c>
    </row>
    <row r="55" spans="1:56">
      <c r="A55" s="18">
        <v>46192</v>
      </c>
      <c r="B55" s="1">
        <v>54</v>
      </c>
      <c r="C55" s="1" t="s">
        <v>89</v>
      </c>
      <c r="D55" s="1" t="s">
        <v>90</v>
      </c>
      <c r="E55" s="1">
        <v>2</v>
      </c>
      <c r="F55" s="1">
        <v>200</v>
      </c>
      <c r="H55" s="1" t="s">
        <v>91</v>
      </c>
      <c r="I55" s="1" t="s">
        <v>79</v>
      </c>
      <c r="J55" s="1" t="s">
        <v>81</v>
      </c>
      <c r="K55" s="1" t="s">
        <v>74</v>
      </c>
      <c r="L55" s="1" t="s">
        <v>72</v>
      </c>
      <c r="M55" s="1" t="s">
        <v>75</v>
      </c>
      <c r="N55" s="1" t="s">
        <v>76</v>
      </c>
      <c r="O55" s="1" t="s">
        <v>77</v>
      </c>
      <c r="P55" s="1" t="s">
        <v>78</v>
      </c>
      <c r="X55" s="1" t="s">
        <v>73</v>
      </c>
      <c r="Z55" s="1" t="s">
        <v>70</v>
      </c>
      <c r="AB55" s="1">
        <v>5</v>
      </c>
      <c r="AC55" s="1">
        <v>748833.38</v>
      </c>
      <c r="AD55" s="1">
        <v>8930550.4700000007</v>
      </c>
      <c r="AE55" s="1">
        <v>210.88</v>
      </c>
      <c r="AF55" s="1">
        <v>748831.23</v>
      </c>
      <c r="AG55" s="1">
        <v>8930549.0899999999</v>
      </c>
      <c r="AH55" s="1">
        <v>200</v>
      </c>
      <c r="AI55" s="1">
        <v>11.18</v>
      </c>
      <c r="AJ55" s="1">
        <v>0</v>
      </c>
      <c r="AK55" s="1">
        <v>1.5</v>
      </c>
      <c r="AL55" s="1">
        <v>0.8</v>
      </c>
      <c r="AM55" s="1">
        <v>237.36</v>
      </c>
      <c r="AN55" s="1">
        <v>13.21</v>
      </c>
      <c r="AO55" s="1">
        <v>0</v>
      </c>
      <c r="AP55" s="1">
        <v>3.19</v>
      </c>
      <c r="AQ55" s="1">
        <v>0.74</v>
      </c>
      <c r="AR55" s="1">
        <v>0.05</v>
      </c>
      <c r="AS55" s="1">
        <v>0.08</v>
      </c>
      <c r="AT55" s="1">
        <v>15.66</v>
      </c>
      <c r="AU55" s="1">
        <v>5.29</v>
      </c>
      <c r="AV55" s="1">
        <v>0</v>
      </c>
      <c r="AW55" s="1">
        <v>0</v>
      </c>
      <c r="AX55" s="1">
        <v>7.01</v>
      </c>
      <c r="AY55" s="1">
        <v>0</v>
      </c>
      <c r="AZ55" s="1">
        <v>0</v>
      </c>
      <c r="BA55" s="1">
        <v>0</v>
      </c>
      <c r="BB55" s="1">
        <v>0</v>
      </c>
      <c r="BC55" s="1">
        <v>0</v>
      </c>
      <c r="BD55" s="1">
        <v>0</v>
      </c>
    </row>
    <row r="56" spans="1:56">
      <c r="A56" s="18">
        <v>46192</v>
      </c>
      <c r="B56" s="1">
        <v>55</v>
      </c>
      <c r="C56" s="1" t="s">
        <v>89</v>
      </c>
      <c r="D56" s="1" t="s">
        <v>90</v>
      </c>
      <c r="E56" s="1">
        <v>2</v>
      </c>
      <c r="F56" s="1">
        <v>200</v>
      </c>
      <c r="H56" s="1" t="s">
        <v>91</v>
      </c>
      <c r="I56" s="1" t="s">
        <v>79</v>
      </c>
      <c r="J56" s="1" t="s">
        <v>81</v>
      </c>
      <c r="K56" s="1" t="s">
        <v>74</v>
      </c>
      <c r="L56" s="1" t="s">
        <v>72</v>
      </c>
      <c r="M56" s="1" t="s">
        <v>75</v>
      </c>
      <c r="N56" s="1" t="s">
        <v>76</v>
      </c>
      <c r="O56" s="1" t="s">
        <v>77</v>
      </c>
      <c r="P56" s="1" t="s">
        <v>78</v>
      </c>
      <c r="X56" s="1" t="s">
        <v>73</v>
      </c>
      <c r="Z56" s="1" t="s">
        <v>70</v>
      </c>
      <c r="AB56" s="1">
        <v>5</v>
      </c>
      <c r="AC56" s="1">
        <v>748834.19</v>
      </c>
      <c r="AD56" s="1">
        <v>8930549.2100000009</v>
      </c>
      <c r="AE56" s="1">
        <v>211.01</v>
      </c>
      <c r="AF56" s="1">
        <v>748832.03</v>
      </c>
      <c r="AG56" s="1">
        <v>8930547.8300000001</v>
      </c>
      <c r="AH56" s="1">
        <v>200</v>
      </c>
      <c r="AI56" s="1">
        <v>11.3</v>
      </c>
      <c r="AJ56" s="1">
        <v>0</v>
      </c>
      <c r="AK56" s="1">
        <v>1.5</v>
      </c>
      <c r="AL56" s="1">
        <v>0.8</v>
      </c>
      <c r="AM56" s="1">
        <v>237.36</v>
      </c>
      <c r="AN56" s="1">
        <v>13.09</v>
      </c>
      <c r="AO56" s="1">
        <v>0</v>
      </c>
      <c r="AP56" s="1">
        <v>3.2</v>
      </c>
      <c r="AQ56" s="1">
        <v>0.83</v>
      </c>
      <c r="AR56" s="1">
        <v>0.05</v>
      </c>
      <c r="AS56" s="1">
        <v>0.09</v>
      </c>
      <c r="AT56" s="1">
        <v>17.28</v>
      </c>
      <c r="AU56" s="1">
        <v>5.69</v>
      </c>
      <c r="AV56" s="1">
        <v>0</v>
      </c>
      <c r="AW56" s="1">
        <v>0</v>
      </c>
      <c r="AX56" s="1">
        <v>7.11</v>
      </c>
      <c r="AY56" s="1">
        <v>0</v>
      </c>
      <c r="AZ56" s="1">
        <v>0</v>
      </c>
      <c r="BA56" s="1">
        <v>0</v>
      </c>
      <c r="BB56" s="1">
        <v>0</v>
      </c>
      <c r="BC56" s="1">
        <v>0</v>
      </c>
      <c r="BD56" s="1">
        <v>0</v>
      </c>
    </row>
    <row r="57" spans="1:56">
      <c r="A57" s="18">
        <v>46192</v>
      </c>
      <c r="B57" s="1">
        <v>56</v>
      </c>
      <c r="C57" s="1" t="s">
        <v>89</v>
      </c>
      <c r="D57" s="1" t="s">
        <v>90</v>
      </c>
      <c r="E57" s="1">
        <v>2</v>
      </c>
      <c r="F57" s="1">
        <v>200</v>
      </c>
      <c r="H57" s="1" t="s">
        <v>91</v>
      </c>
      <c r="I57" s="1" t="s">
        <v>79</v>
      </c>
      <c r="J57" s="1" t="s">
        <v>81</v>
      </c>
      <c r="K57" s="1" t="s">
        <v>74</v>
      </c>
      <c r="L57" s="1" t="s">
        <v>72</v>
      </c>
      <c r="M57" s="1" t="s">
        <v>75</v>
      </c>
      <c r="N57" s="1" t="s">
        <v>76</v>
      </c>
      <c r="O57" s="1" t="s">
        <v>77</v>
      </c>
      <c r="P57" s="1" t="s">
        <v>78</v>
      </c>
      <c r="X57" s="1" t="s">
        <v>73</v>
      </c>
      <c r="Z57" s="1" t="s">
        <v>70</v>
      </c>
      <c r="AB57" s="1">
        <v>5</v>
      </c>
      <c r="AC57" s="1">
        <v>748835</v>
      </c>
      <c r="AD57" s="1">
        <v>8930547.9499999993</v>
      </c>
      <c r="AE57" s="1">
        <v>211.16</v>
      </c>
      <c r="AF57" s="1">
        <v>748832.84</v>
      </c>
      <c r="AG57" s="1">
        <v>8930546.5700000003</v>
      </c>
      <c r="AH57" s="1">
        <v>200</v>
      </c>
      <c r="AI57" s="1">
        <v>11.46</v>
      </c>
      <c r="AJ57" s="1">
        <v>0</v>
      </c>
      <c r="AK57" s="1">
        <v>1.5</v>
      </c>
      <c r="AL57" s="1">
        <v>0.8</v>
      </c>
      <c r="AM57" s="1">
        <v>237.36</v>
      </c>
      <c r="AN57" s="1">
        <v>12.94</v>
      </c>
      <c r="AO57" s="1">
        <v>0</v>
      </c>
      <c r="AP57" s="1">
        <v>3.21</v>
      </c>
      <c r="AQ57" s="1">
        <v>0.88</v>
      </c>
      <c r="AR57" s="1">
        <v>0.05</v>
      </c>
      <c r="AS57" s="1">
        <v>0.09</v>
      </c>
      <c r="AT57" s="1">
        <v>18.489999999999998</v>
      </c>
      <c r="AU57" s="1">
        <v>6</v>
      </c>
      <c r="AV57" s="1">
        <v>0</v>
      </c>
      <c r="AW57" s="1">
        <v>0</v>
      </c>
      <c r="AX57" s="1">
        <v>7.19</v>
      </c>
      <c r="AY57" s="1">
        <v>0</v>
      </c>
      <c r="AZ57" s="1">
        <v>0</v>
      </c>
      <c r="BA57" s="1">
        <v>0</v>
      </c>
      <c r="BB57" s="1">
        <v>0</v>
      </c>
      <c r="BC57" s="1">
        <v>0</v>
      </c>
      <c r="BD57" s="1">
        <v>0</v>
      </c>
    </row>
    <row r="58" spans="1:56">
      <c r="A58" s="18">
        <v>46192</v>
      </c>
      <c r="B58" s="1">
        <v>57</v>
      </c>
      <c r="C58" s="1" t="s">
        <v>89</v>
      </c>
      <c r="D58" s="1" t="s">
        <v>90</v>
      </c>
      <c r="E58" s="1">
        <v>2</v>
      </c>
      <c r="F58" s="1">
        <v>200</v>
      </c>
      <c r="H58" s="1" t="s">
        <v>91</v>
      </c>
      <c r="I58" s="1" t="s">
        <v>79</v>
      </c>
      <c r="J58" s="1" t="s">
        <v>81</v>
      </c>
      <c r="K58" s="1" t="s">
        <v>74</v>
      </c>
      <c r="L58" s="1" t="s">
        <v>72</v>
      </c>
      <c r="M58" s="1" t="s">
        <v>75</v>
      </c>
      <c r="N58" s="1" t="s">
        <v>76</v>
      </c>
      <c r="O58" s="1" t="s">
        <v>77</v>
      </c>
      <c r="P58" s="1" t="s">
        <v>78</v>
      </c>
      <c r="X58" s="1" t="s">
        <v>73</v>
      </c>
      <c r="Z58" s="1" t="s">
        <v>70</v>
      </c>
      <c r="AB58" s="1">
        <v>5</v>
      </c>
      <c r="AC58" s="1">
        <v>748835.8</v>
      </c>
      <c r="AD58" s="1">
        <v>8930546.6799999997</v>
      </c>
      <c r="AE58" s="1">
        <v>211.21</v>
      </c>
      <c r="AF58" s="1">
        <v>748833.65</v>
      </c>
      <c r="AG58" s="1">
        <v>8930545.3000000007</v>
      </c>
      <c r="AH58" s="1">
        <v>200</v>
      </c>
      <c r="AI58" s="1">
        <v>11.5</v>
      </c>
      <c r="AJ58" s="1">
        <v>0</v>
      </c>
      <c r="AK58" s="1">
        <v>1.5</v>
      </c>
      <c r="AL58" s="1">
        <v>0.8</v>
      </c>
      <c r="AM58" s="1">
        <v>237.36</v>
      </c>
      <c r="AN58" s="1">
        <v>12.83</v>
      </c>
      <c r="AO58" s="1">
        <v>0</v>
      </c>
      <c r="AP58" s="1">
        <v>3.22</v>
      </c>
      <c r="AQ58" s="1">
        <v>0.9</v>
      </c>
      <c r="AR58" s="1">
        <v>0.05</v>
      </c>
      <c r="AS58" s="1">
        <v>0.1</v>
      </c>
      <c r="AT58" s="1">
        <v>19.010000000000002</v>
      </c>
      <c r="AU58" s="1">
        <v>6.13</v>
      </c>
      <c r="AV58" s="1">
        <v>0</v>
      </c>
      <c r="AW58" s="1">
        <v>0</v>
      </c>
      <c r="AX58" s="1">
        <v>7.27</v>
      </c>
      <c r="AY58" s="1">
        <v>0</v>
      </c>
      <c r="AZ58" s="1">
        <v>0</v>
      </c>
      <c r="BA58" s="1">
        <v>0</v>
      </c>
      <c r="BB58" s="1">
        <v>0</v>
      </c>
      <c r="BC58" s="1">
        <v>0</v>
      </c>
      <c r="BD58" s="1">
        <v>0</v>
      </c>
    </row>
    <row r="59" spans="1:56">
      <c r="A59" s="18">
        <v>46192</v>
      </c>
      <c r="B59" s="1">
        <v>58</v>
      </c>
      <c r="C59" s="1" t="s">
        <v>89</v>
      </c>
      <c r="D59" s="1" t="s">
        <v>90</v>
      </c>
      <c r="E59" s="1">
        <v>2</v>
      </c>
      <c r="F59" s="1">
        <v>200</v>
      </c>
      <c r="H59" s="1" t="s">
        <v>91</v>
      </c>
      <c r="I59" s="1" t="s">
        <v>79</v>
      </c>
      <c r="J59" s="1" t="s">
        <v>81</v>
      </c>
      <c r="K59" s="1" t="s">
        <v>74</v>
      </c>
      <c r="L59" s="1" t="s">
        <v>72</v>
      </c>
      <c r="M59" s="1" t="s">
        <v>75</v>
      </c>
      <c r="N59" s="1" t="s">
        <v>76</v>
      </c>
      <c r="O59" s="1" t="s">
        <v>77</v>
      </c>
      <c r="P59" s="1" t="s">
        <v>78</v>
      </c>
      <c r="X59" s="1" t="s">
        <v>73</v>
      </c>
      <c r="Z59" s="1" t="s">
        <v>70</v>
      </c>
      <c r="AB59" s="1">
        <v>5</v>
      </c>
      <c r="AC59" s="1">
        <v>748836.61</v>
      </c>
      <c r="AD59" s="1">
        <v>8930545.4199999999</v>
      </c>
      <c r="AE59" s="1">
        <v>211.46</v>
      </c>
      <c r="AF59" s="1">
        <v>748834.45</v>
      </c>
      <c r="AG59" s="1">
        <v>8930544.0399999991</v>
      </c>
      <c r="AH59" s="1">
        <v>200</v>
      </c>
      <c r="AI59" s="1">
        <v>11.75</v>
      </c>
      <c r="AJ59" s="1">
        <v>0</v>
      </c>
      <c r="AK59" s="1">
        <v>1.5</v>
      </c>
      <c r="AL59" s="1">
        <v>0.8</v>
      </c>
      <c r="AM59" s="1">
        <v>237.36</v>
      </c>
      <c r="AN59" s="1">
        <v>12.57</v>
      </c>
      <c r="AO59" s="1">
        <v>0</v>
      </c>
      <c r="AP59" s="1">
        <v>3.22</v>
      </c>
      <c r="AQ59" s="1">
        <v>0.9</v>
      </c>
      <c r="AR59" s="1">
        <v>0.05</v>
      </c>
      <c r="AS59" s="1">
        <v>0.1</v>
      </c>
      <c r="AT59" s="1">
        <v>19.03</v>
      </c>
      <c r="AU59" s="1">
        <v>6.14</v>
      </c>
      <c r="AV59" s="1">
        <v>0</v>
      </c>
      <c r="AW59" s="1">
        <v>0</v>
      </c>
      <c r="AX59" s="1">
        <v>7.28</v>
      </c>
      <c r="AY59" s="1">
        <v>0</v>
      </c>
      <c r="AZ59" s="1">
        <v>0</v>
      </c>
      <c r="BA59" s="1">
        <v>0</v>
      </c>
      <c r="BB59" s="1">
        <v>0</v>
      </c>
      <c r="BC59" s="1">
        <v>0</v>
      </c>
      <c r="BD59" s="1">
        <v>0</v>
      </c>
    </row>
    <row r="60" spans="1:56">
      <c r="A60" s="18">
        <v>46192</v>
      </c>
      <c r="B60" s="1">
        <v>59</v>
      </c>
      <c r="C60" s="1" t="s">
        <v>89</v>
      </c>
      <c r="D60" s="1" t="s">
        <v>90</v>
      </c>
      <c r="E60" s="1">
        <v>2</v>
      </c>
      <c r="F60" s="1">
        <v>200</v>
      </c>
      <c r="H60" s="1" t="s">
        <v>91</v>
      </c>
      <c r="I60" s="1" t="s">
        <v>79</v>
      </c>
      <c r="J60" s="1" t="s">
        <v>81</v>
      </c>
      <c r="K60" s="1" t="s">
        <v>74</v>
      </c>
      <c r="L60" s="1" t="s">
        <v>72</v>
      </c>
      <c r="M60" s="1" t="s">
        <v>75</v>
      </c>
      <c r="N60" s="1" t="s">
        <v>76</v>
      </c>
      <c r="O60" s="1" t="s">
        <v>77</v>
      </c>
      <c r="P60" s="1" t="s">
        <v>78</v>
      </c>
      <c r="X60" s="1" t="s">
        <v>73</v>
      </c>
      <c r="Z60" s="1" t="s">
        <v>70</v>
      </c>
      <c r="AB60" s="1">
        <v>5</v>
      </c>
      <c r="AC60" s="1">
        <v>748837.42</v>
      </c>
      <c r="AD60" s="1">
        <v>8930544.1600000001</v>
      </c>
      <c r="AE60" s="1">
        <v>211.72</v>
      </c>
      <c r="AF60" s="1">
        <v>748835.26</v>
      </c>
      <c r="AG60" s="1">
        <v>8930542.7699999996</v>
      </c>
      <c r="AH60" s="1">
        <v>200</v>
      </c>
      <c r="AI60" s="1">
        <v>12</v>
      </c>
      <c r="AJ60" s="1">
        <v>0</v>
      </c>
      <c r="AK60" s="1">
        <v>1.5</v>
      </c>
      <c r="AL60" s="1">
        <v>0.8</v>
      </c>
      <c r="AM60" s="1">
        <v>237.36</v>
      </c>
      <c r="AN60" s="1">
        <v>12.34</v>
      </c>
      <c r="AO60" s="1">
        <v>0</v>
      </c>
      <c r="AP60" s="1">
        <v>3.22</v>
      </c>
      <c r="AQ60" s="1">
        <v>0.9</v>
      </c>
      <c r="AR60" s="1">
        <v>0.05</v>
      </c>
      <c r="AS60" s="1">
        <v>0.1</v>
      </c>
      <c r="AT60" s="1">
        <v>19.04</v>
      </c>
      <c r="AU60" s="1">
        <v>6.14</v>
      </c>
      <c r="AV60" s="1">
        <v>0</v>
      </c>
      <c r="AW60" s="1">
        <v>0</v>
      </c>
      <c r="AX60" s="1">
        <v>7.28</v>
      </c>
      <c r="AY60" s="1">
        <v>0</v>
      </c>
      <c r="AZ60" s="1">
        <v>0</v>
      </c>
      <c r="BA60" s="1">
        <v>0</v>
      </c>
      <c r="BB60" s="1">
        <v>0</v>
      </c>
      <c r="BC60" s="1">
        <v>0</v>
      </c>
      <c r="BD60" s="1">
        <v>0</v>
      </c>
    </row>
    <row r="61" spans="1:56">
      <c r="A61" s="18">
        <v>46192</v>
      </c>
      <c r="B61" s="1">
        <v>60</v>
      </c>
      <c r="C61" s="1" t="s">
        <v>89</v>
      </c>
      <c r="D61" s="1" t="s">
        <v>90</v>
      </c>
      <c r="E61" s="1">
        <v>2</v>
      </c>
      <c r="F61" s="1">
        <v>200</v>
      </c>
      <c r="H61" s="1" t="s">
        <v>91</v>
      </c>
      <c r="I61" s="1" t="s">
        <v>79</v>
      </c>
      <c r="J61" s="1" t="s">
        <v>81</v>
      </c>
      <c r="K61" s="1" t="s">
        <v>74</v>
      </c>
      <c r="L61" s="1" t="s">
        <v>72</v>
      </c>
      <c r="M61" s="1" t="s">
        <v>75</v>
      </c>
      <c r="N61" s="1" t="s">
        <v>76</v>
      </c>
      <c r="O61" s="1" t="s">
        <v>77</v>
      </c>
      <c r="P61" s="1" t="s">
        <v>78</v>
      </c>
      <c r="X61" s="1" t="s">
        <v>73</v>
      </c>
      <c r="Z61" s="1" t="s">
        <v>70</v>
      </c>
      <c r="AB61" s="1">
        <v>5</v>
      </c>
      <c r="AC61" s="1">
        <v>748838.21</v>
      </c>
      <c r="AD61" s="1">
        <v>8930542.8800000008</v>
      </c>
      <c r="AE61" s="1">
        <v>211.94</v>
      </c>
      <c r="AF61" s="1">
        <v>748836.07</v>
      </c>
      <c r="AG61" s="1">
        <v>8930541.5099999998</v>
      </c>
      <c r="AH61" s="1">
        <v>200</v>
      </c>
      <c r="AI61" s="1">
        <v>12.21</v>
      </c>
      <c r="AJ61" s="1">
        <v>0</v>
      </c>
      <c r="AK61" s="1">
        <v>1.5</v>
      </c>
      <c r="AL61" s="1">
        <v>0.8</v>
      </c>
      <c r="AM61" s="1">
        <v>237.36</v>
      </c>
      <c r="AN61" s="1">
        <v>12.03</v>
      </c>
      <c r="AO61" s="1">
        <v>0</v>
      </c>
      <c r="AP61" s="1">
        <v>3.22</v>
      </c>
      <c r="AQ61" s="1">
        <v>0.9</v>
      </c>
      <c r="AR61" s="1">
        <v>0.05</v>
      </c>
      <c r="AS61" s="1">
        <v>0.1</v>
      </c>
      <c r="AT61" s="1">
        <v>19.059999999999999</v>
      </c>
      <c r="AU61" s="1">
        <v>6.14</v>
      </c>
      <c r="AV61" s="1">
        <v>0</v>
      </c>
      <c r="AW61" s="1">
        <v>0</v>
      </c>
      <c r="AX61" s="1">
        <v>7.29</v>
      </c>
      <c r="AY61" s="1">
        <v>0</v>
      </c>
      <c r="AZ61" s="1">
        <v>0</v>
      </c>
      <c r="BA61" s="1">
        <v>0</v>
      </c>
      <c r="BB61" s="1">
        <v>0</v>
      </c>
      <c r="BC61" s="1">
        <v>0</v>
      </c>
      <c r="BD61" s="1">
        <v>0</v>
      </c>
    </row>
    <row r="62" spans="1:56">
      <c r="A62" s="18">
        <v>46192</v>
      </c>
      <c r="B62" s="1">
        <v>61</v>
      </c>
      <c r="C62" s="1" t="s">
        <v>89</v>
      </c>
      <c r="D62" s="1" t="s">
        <v>90</v>
      </c>
      <c r="E62" s="1">
        <v>2</v>
      </c>
      <c r="F62" s="1">
        <v>200</v>
      </c>
      <c r="H62" s="1" t="s">
        <v>91</v>
      </c>
      <c r="I62" s="1" t="s">
        <v>79</v>
      </c>
      <c r="J62" s="1" t="s">
        <v>81</v>
      </c>
      <c r="K62" s="1" t="s">
        <v>74</v>
      </c>
      <c r="L62" s="1" t="s">
        <v>72</v>
      </c>
      <c r="M62" s="1" t="s">
        <v>75</v>
      </c>
      <c r="N62" s="1" t="s">
        <v>76</v>
      </c>
      <c r="O62" s="1" t="s">
        <v>77</v>
      </c>
      <c r="P62" s="1" t="s">
        <v>78</v>
      </c>
      <c r="X62" s="1" t="s">
        <v>73</v>
      </c>
      <c r="Z62" s="1" t="s">
        <v>70</v>
      </c>
      <c r="AB62" s="1">
        <v>5</v>
      </c>
      <c r="AC62" s="1">
        <v>748839.03</v>
      </c>
      <c r="AD62" s="1">
        <v>8930541.6300000008</v>
      </c>
      <c r="AE62" s="1">
        <v>211.95</v>
      </c>
      <c r="AF62" s="1">
        <v>748836.88</v>
      </c>
      <c r="AG62" s="1">
        <v>8930540.2400000002</v>
      </c>
      <c r="AH62" s="1">
        <v>200</v>
      </c>
      <c r="AI62" s="1">
        <v>12.22</v>
      </c>
      <c r="AJ62" s="1">
        <v>0</v>
      </c>
      <c r="AK62" s="1">
        <v>1.5</v>
      </c>
      <c r="AL62" s="1">
        <v>0.8</v>
      </c>
      <c r="AM62" s="1">
        <v>237.36</v>
      </c>
      <c r="AN62" s="1">
        <v>12.09</v>
      </c>
      <c r="AO62" s="1">
        <v>0</v>
      </c>
      <c r="AP62" s="1">
        <v>3.22</v>
      </c>
      <c r="AQ62" s="1">
        <v>0.89</v>
      </c>
      <c r="AR62" s="1">
        <v>0.05</v>
      </c>
      <c r="AS62" s="1">
        <v>0.1</v>
      </c>
      <c r="AT62" s="1">
        <v>19.05</v>
      </c>
      <c r="AU62" s="1">
        <v>6.13</v>
      </c>
      <c r="AV62" s="1">
        <v>0</v>
      </c>
      <c r="AW62" s="1">
        <v>0</v>
      </c>
      <c r="AX62" s="1">
        <v>7.28</v>
      </c>
      <c r="AY62" s="1">
        <v>0</v>
      </c>
      <c r="AZ62" s="1">
        <v>0</v>
      </c>
      <c r="BA62" s="1">
        <v>0</v>
      </c>
      <c r="BB62" s="1">
        <v>0</v>
      </c>
      <c r="BC62" s="1">
        <v>0</v>
      </c>
      <c r="BD62" s="1">
        <v>0</v>
      </c>
    </row>
    <row r="63" spans="1:56">
      <c r="A63" s="18">
        <v>46192</v>
      </c>
      <c r="B63" s="1">
        <v>62</v>
      </c>
      <c r="C63" s="1" t="s">
        <v>89</v>
      </c>
      <c r="D63" s="1" t="s">
        <v>90</v>
      </c>
      <c r="E63" s="1">
        <v>2</v>
      </c>
      <c r="F63" s="1">
        <v>200</v>
      </c>
      <c r="H63" s="1" t="s">
        <v>91</v>
      </c>
      <c r="I63" s="1" t="s">
        <v>79</v>
      </c>
      <c r="J63" s="1" t="s">
        <v>81</v>
      </c>
      <c r="K63" s="1" t="s">
        <v>74</v>
      </c>
      <c r="L63" s="1" t="s">
        <v>72</v>
      </c>
      <c r="M63" s="1" t="s">
        <v>75</v>
      </c>
      <c r="N63" s="1" t="s">
        <v>76</v>
      </c>
      <c r="O63" s="1" t="s">
        <v>77</v>
      </c>
      <c r="P63" s="1" t="s">
        <v>78</v>
      </c>
      <c r="X63" s="1" t="s">
        <v>73</v>
      </c>
      <c r="Z63" s="1" t="s">
        <v>70</v>
      </c>
      <c r="AB63" s="1">
        <v>5</v>
      </c>
      <c r="AC63" s="1">
        <v>748839.84</v>
      </c>
      <c r="AD63" s="1">
        <v>8930540.3599999994</v>
      </c>
      <c r="AE63" s="1">
        <v>211.96</v>
      </c>
      <c r="AF63" s="1">
        <v>748837.68</v>
      </c>
      <c r="AG63" s="1">
        <v>8930538.9800000004</v>
      </c>
      <c r="AH63" s="1">
        <v>200</v>
      </c>
      <c r="AI63" s="1">
        <v>12.24</v>
      </c>
      <c r="AJ63" s="1">
        <v>0</v>
      </c>
      <c r="AK63" s="1">
        <v>1.5</v>
      </c>
      <c r="AL63" s="1">
        <v>0.8</v>
      </c>
      <c r="AM63" s="1">
        <v>237.37</v>
      </c>
      <c r="AN63" s="1">
        <v>12.09</v>
      </c>
      <c r="AO63" s="1">
        <v>0</v>
      </c>
      <c r="AP63" s="1">
        <v>3.22</v>
      </c>
      <c r="AQ63" s="1">
        <v>0.84</v>
      </c>
      <c r="AR63" s="1">
        <v>0.05</v>
      </c>
      <c r="AS63" s="1">
        <v>0.09</v>
      </c>
      <c r="AT63" s="1">
        <v>18.79</v>
      </c>
      <c r="AU63" s="1">
        <v>5.97</v>
      </c>
      <c r="AV63" s="1">
        <v>0</v>
      </c>
      <c r="AW63" s="1">
        <v>0</v>
      </c>
      <c r="AX63" s="1">
        <v>6.9</v>
      </c>
      <c r="AY63" s="1">
        <v>0</v>
      </c>
      <c r="AZ63" s="1">
        <v>0</v>
      </c>
      <c r="BA63" s="1">
        <v>0</v>
      </c>
      <c r="BB63" s="1">
        <v>0</v>
      </c>
      <c r="BC63" s="1">
        <v>0</v>
      </c>
      <c r="BD63" s="1">
        <v>0</v>
      </c>
    </row>
    <row r="64" spans="1:56">
      <c r="A64" s="18">
        <v>46192</v>
      </c>
      <c r="B64" s="1">
        <v>63</v>
      </c>
      <c r="C64" s="1" t="s">
        <v>89</v>
      </c>
      <c r="D64" s="1" t="s">
        <v>90</v>
      </c>
      <c r="E64" s="1">
        <v>2</v>
      </c>
      <c r="F64" s="1">
        <v>200</v>
      </c>
      <c r="H64" s="1" t="s">
        <v>91</v>
      </c>
      <c r="I64" s="1" t="s">
        <v>79</v>
      </c>
      <c r="J64" s="1" t="s">
        <v>81</v>
      </c>
      <c r="K64" s="1" t="s">
        <v>74</v>
      </c>
      <c r="L64" s="1" t="s">
        <v>72</v>
      </c>
      <c r="M64" s="1" t="s">
        <v>75</v>
      </c>
      <c r="N64" s="1" t="s">
        <v>76</v>
      </c>
      <c r="O64" s="1" t="s">
        <v>77</v>
      </c>
      <c r="P64" s="1" t="s">
        <v>78</v>
      </c>
      <c r="X64" s="1" t="s">
        <v>73</v>
      </c>
      <c r="Z64" s="1" t="s">
        <v>70</v>
      </c>
      <c r="AB64" s="1">
        <v>5</v>
      </c>
      <c r="AC64" s="1">
        <v>748840.65</v>
      </c>
      <c r="AD64" s="1">
        <v>8930539.0999999996</v>
      </c>
      <c r="AE64" s="1">
        <v>211.98</v>
      </c>
      <c r="AF64" s="1">
        <v>748838.49</v>
      </c>
      <c r="AG64" s="1">
        <v>8930537.7200000007</v>
      </c>
      <c r="AH64" s="1">
        <v>200</v>
      </c>
      <c r="AI64" s="1">
        <v>12.25</v>
      </c>
      <c r="AJ64" s="1">
        <v>0</v>
      </c>
      <c r="AK64" s="1">
        <v>1.5</v>
      </c>
      <c r="AL64" s="1">
        <v>0.8</v>
      </c>
      <c r="AM64" s="1">
        <v>237.38</v>
      </c>
      <c r="AN64" s="1">
        <v>12.09</v>
      </c>
      <c r="AO64" s="1">
        <v>0</v>
      </c>
      <c r="AP64" s="1">
        <v>3.21</v>
      </c>
      <c r="AQ64" s="1">
        <v>0.57999999999999996</v>
      </c>
      <c r="AR64" s="1">
        <v>0.04</v>
      </c>
      <c r="AS64" s="1">
        <v>7.0000000000000007E-2</v>
      </c>
      <c r="AT64" s="1">
        <v>15.9</v>
      </c>
      <c r="AU64" s="1">
        <v>5.37</v>
      </c>
      <c r="AV64" s="1">
        <v>0</v>
      </c>
      <c r="AW64" s="1">
        <v>0</v>
      </c>
      <c r="AX64" s="1">
        <v>4.3099999999999996</v>
      </c>
      <c r="AY64" s="1">
        <v>0</v>
      </c>
      <c r="AZ64" s="1">
        <v>0</v>
      </c>
      <c r="BA64" s="1">
        <v>0</v>
      </c>
      <c r="BB64" s="1">
        <v>0</v>
      </c>
      <c r="BC64" s="1">
        <v>0</v>
      </c>
      <c r="BD64" s="1">
        <v>0</v>
      </c>
    </row>
    <row r="65" spans="1:56">
      <c r="A65" s="18">
        <v>46192</v>
      </c>
      <c r="B65" s="1">
        <v>64</v>
      </c>
      <c r="C65" s="1" t="s">
        <v>92</v>
      </c>
      <c r="D65" s="1" t="s">
        <v>90</v>
      </c>
      <c r="E65" s="1">
        <v>2</v>
      </c>
      <c r="F65" s="1">
        <v>200</v>
      </c>
      <c r="H65" s="1" t="s">
        <v>93</v>
      </c>
      <c r="I65" s="1" t="s">
        <v>79</v>
      </c>
      <c r="J65" s="1" t="s">
        <v>81</v>
      </c>
      <c r="K65" s="1" t="s">
        <v>74</v>
      </c>
      <c r="L65" s="1" t="s">
        <v>72</v>
      </c>
      <c r="M65" s="1" t="s">
        <v>75</v>
      </c>
      <c r="N65" s="1" t="s">
        <v>76</v>
      </c>
      <c r="O65" s="1" t="s">
        <v>77</v>
      </c>
      <c r="P65" s="1" t="s">
        <v>78</v>
      </c>
      <c r="X65" s="1" t="s">
        <v>73</v>
      </c>
      <c r="Z65" s="1" t="s">
        <v>70</v>
      </c>
      <c r="AB65" s="1">
        <v>5</v>
      </c>
      <c r="AC65" s="1">
        <v>748841.46</v>
      </c>
      <c r="AD65" s="1">
        <v>8930537.8399999999</v>
      </c>
      <c r="AE65" s="1">
        <v>211.99</v>
      </c>
      <c r="AF65" s="1">
        <v>748839.3</v>
      </c>
      <c r="AG65" s="1">
        <v>8930536.4499999993</v>
      </c>
      <c r="AH65" s="1">
        <v>200</v>
      </c>
      <c r="AI65" s="1">
        <v>12.26</v>
      </c>
      <c r="AJ65" s="1">
        <v>0</v>
      </c>
      <c r="AK65" s="1">
        <v>1.5</v>
      </c>
      <c r="AL65" s="1">
        <v>0.8</v>
      </c>
      <c r="AM65" s="1">
        <v>237.39</v>
      </c>
      <c r="AN65" s="1">
        <v>12.09</v>
      </c>
      <c r="AO65" s="1">
        <v>0</v>
      </c>
      <c r="AP65" s="1">
        <v>3.21</v>
      </c>
      <c r="AQ65" s="1">
        <v>0.57999999999999996</v>
      </c>
      <c r="AR65" s="1">
        <v>0.04</v>
      </c>
      <c r="AS65" s="1">
        <v>7.0000000000000007E-2</v>
      </c>
      <c r="AT65" s="1">
        <v>15.9</v>
      </c>
      <c r="AU65" s="1">
        <v>5.37</v>
      </c>
      <c r="AV65" s="1">
        <v>0</v>
      </c>
      <c r="AW65" s="1">
        <v>0</v>
      </c>
      <c r="AX65" s="1">
        <v>4.3099999999999996</v>
      </c>
      <c r="AY65" s="1">
        <v>0</v>
      </c>
      <c r="AZ65" s="1">
        <v>0</v>
      </c>
      <c r="BA65" s="1">
        <v>0</v>
      </c>
      <c r="BB65" s="1">
        <v>0</v>
      </c>
      <c r="BC65" s="1">
        <v>0</v>
      </c>
      <c r="BD65" s="1">
        <v>0</v>
      </c>
    </row>
    <row r="66" spans="1:56">
      <c r="A66" s="18">
        <v>46192</v>
      </c>
      <c r="B66" s="1">
        <v>65</v>
      </c>
      <c r="C66" s="1" t="s">
        <v>92</v>
      </c>
      <c r="D66" s="1" t="s">
        <v>90</v>
      </c>
      <c r="E66" s="1">
        <v>2</v>
      </c>
      <c r="F66" s="1">
        <v>200</v>
      </c>
      <c r="H66" s="1" t="s">
        <v>93</v>
      </c>
      <c r="I66" s="1" t="s">
        <v>28</v>
      </c>
      <c r="J66" s="1" t="s">
        <v>71</v>
      </c>
      <c r="K66" s="1" t="s">
        <v>74</v>
      </c>
      <c r="L66" s="1" t="s">
        <v>72</v>
      </c>
      <c r="M66" s="1" t="s">
        <v>75</v>
      </c>
      <c r="N66" s="1" t="s">
        <v>76</v>
      </c>
      <c r="O66" s="1" t="s">
        <v>77</v>
      </c>
      <c r="P66" s="1" t="s">
        <v>78</v>
      </c>
      <c r="X66" s="1" t="s">
        <v>73</v>
      </c>
      <c r="Z66" s="1" t="s">
        <v>70</v>
      </c>
      <c r="AB66" s="1">
        <v>5</v>
      </c>
      <c r="AC66" s="1">
        <v>748842.27</v>
      </c>
      <c r="AD66" s="1">
        <v>8930536.5700000003</v>
      </c>
      <c r="AE66" s="1">
        <v>212</v>
      </c>
      <c r="AF66" s="1">
        <v>748840.1</v>
      </c>
      <c r="AG66" s="1">
        <v>8930535.1899999995</v>
      </c>
      <c r="AH66" s="1">
        <v>200</v>
      </c>
      <c r="AI66" s="1">
        <v>12.27</v>
      </c>
      <c r="AJ66" s="1">
        <v>0</v>
      </c>
      <c r="AK66" s="1">
        <v>1.5</v>
      </c>
      <c r="AL66" s="1">
        <v>0.8</v>
      </c>
      <c r="AM66" s="1">
        <v>237.39</v>
      </c>
      <c r="AN66" s="1">
        <v>12.1</v>
      </c>
      <c r="AO66" s="1">
        <v>0</v>
      </c>
      <c r="AP66" s="1">
        <v>3.05</v>
      </c>
      <c r="AQ66" s="1">
        <v>0.16</v>
      </c>
      <c r="AR66" s="1">
        <v>0.02</v>
      </c>
      <c r="AS66" s="1">
        <v>0.02</v>
      </c>
      <c r="AT66" s="1">
        <v>5.07</v>
      </c>
      <c r="AU66" s="1">
        <v>2.29</v>
      </c>
      <c r="AV66" s="1">
        <v>0</v>
      </c>
      <c r="AW66" s="1">
        <v>0</v>
      </c>
      <c r="AX66" s="1">
        <v>0.33</v>
      </c>
      <c r="AY66" s="1">
        <v>0</v>
      </c>
      <c r="AZ66" s="1">
        <v>0</v>
      </c>
      <c r="BA66" s="1">
        <v>0</v>
      </c>
      <c r="BB66" s="1">
        <v>0</v>
      </c>
      <c r="BC66" s="1">
        <v>0</v>
      </c>
      <c r="BD66" s="1">
        <v>0</v>
      </c>
    </row>
    <row r="67" spans="1:56">
      <c r="A67" s="18">
        <v>46192</v>
      </c>
      <c r="B67" s="1">
        <v>66</v>
      </c>
      <c r="C67" s="1" t="s">
        <v>92</v>
      </c>
      <c r="D67" s="1" t="s">
        <v>90</v>
      </c>
      <c r="E67" s="1">
        <v>2</v>
      </c>
      <c r="F67" s="1">
        <v>200</v>
      </c>
      <c r="H67" s="1" t="s">
        <v>93</v>
      </c>
      <c r="I67" s="1" t="s">
        <v>28</v>
      </c>
      <c r="J67" s="1" t="s">
        <v>71</v>
      </c>
      <c r="K67" s="1" t="s">
        <v>74</v>
      </c>
      <c r="L67" s="1" t="s">
        <v>72</v>
      </c>
      <c r="M67" s="1" t="s">
        <v>75</v>
      </c>
      <c r="N67" s="1" t="s">
        <v>76</v>
      </c>
      <c r="O67" s="1" t="s">
        <v>77</v>
      </c>
      <c r="P67" s="1" t="s">
        <v>78</v>
      </c>
      <c r="X67" s="1" t="s">
        <v>73</v>
      </c>
      <c r="Z67" s="1" t="s">
        <v>70</v>
      </c>
      <c r="AB67" s="1">
        <v>5</v>
      </c>
      <c r="AC67" s="1">
        <v>748843.08</v>
      </c>
      <c r="AD67" s="1">
        <v>8930535.3100000005</v>
      </c>
      <c r="AE67" s="1">
        <v>212.01</v>
      </c>
      <c r="AF67" s="1">
        <v>748840.91</v>
      </c>
      <c r="AG67" s="1">
        <v>8930533.9199999999</v>
      </c>
      <c r="AH67" s="1">
        <v>200</v>
      </c>
      <c r="AI67" s="1">
        <v>12.28</v>
      </c>
      <c r="AJ67" s="1">
        <v>0</v>
      </c>
      <c r="AK67" s="1">
        <v>1.5</v>
      </c>
      <c r="AL67" s="1">
        <v>0.8</v>
      </c>
      <c r="AM67" s="1">
        <v>237.39</v>
      </c>
      <c r="AN67" s="1">
        <v>12.09</v>
      </c>
      <c r="AO67" s="1">
        <v>0</v>
      </c>
      <c r="AP67" s="1">
        <v>3.05</v>
      </c>
      <c r="AQ67" s="1">
        <v>0.16</v>
      </c>
      <c r="AR67" s="1">
        <v>0.02</v>
      </c>
      <c r="AS67" s="1">
        <v>0.02</v>
      </c>
      <c r="AT67" s="1">
        <v>5.07</v>
      </c>
      <c r="AU67" s="1">
        <v>2.29</v>
      </c>
      <c r="AV67" s="1">
        <v>0</v>
      </c>
      <c r="AW67" s="1">
        <v>0</v>
      </c>
      <c r="AX67" s="1">
        <v>0.33</v>
      </c>
      <c r="AY67" s="1">
        <v>0</v>
      </c>
      <c r="AZ67" s="1">
        <v>0</v>
      </c>
      <c r="BA67" s="1">
        <v>0</v>
      </c>
      <c r="BB67" s="1">
        <v>0</v>
      </c>
      <c r="BC67" s="1">
        <v>0</v>
      </c>
      <c r="BD67" s="1">
        <v>0</v>
      </c>
    </row>
    <row r="68" spans="1:56">
      <c r="A68" s="18">
        <v>46192</v>
      </c>
      <c r="B68" s="1">
        <v>67</v>
      </c>
      <c r="C68" s="1" t="s">
        <v>89</v>
      </c>
      <c r="D68" s="1" t="s">
        <v>90</v>
      </c>
      <c r="E68" s="1">
        <v>2</v>
      </c>
      <c r="F68" s="1">
        <v>200</v>
      </c>
      <c r="H68" s="1" t="s">
        <v>91</v>
      </c>
      <c r="I68" s="1" t="s">
        <v>79</v>
      </c>
      <c r="J68" s="1" t="s">
        <v>81</v>
      </c>
      <c r="K68" s="1" t="s">
        <v>74</v>
      </c>
      <c r="L68" s="1" t="s">
        <v>72</v>
      </c>
      <c r="M68" s="1" t="s">
        <v>75</v>
      </c>
      <c r="N68" s="1" t="s">
        <v>76</v>
      </c>
      <c r="O68" s="1" t="s">
        <v>77</v>
      </c>
      <c r="P68" s="1" t="s">
        <v>27</v>
      </c>
      <c r="Q68" s="1" t="s">
        <v>86</v>
      </c>
      <c r="R68" s="1" t="s">
        <v>94</v>
      </c>
      <c r="S68" s="1" t="s">
        <v>87</v>
      </c>
      <c r="T68" s="1" t="s">
        <v>88</v>
      </c>
      <c r="X68" s="1" t="s">
        <v>73</v>
      </c>
      <c r="Z68" s="1" t="s">
        <v>70</v>
      </c>
      <c r="AA68" s="1" t="s">
        <v>95</v>
      </c>
      <c r="AB68" s="1">
        <v>5</v>
      </c>
      <c r="AC68" s="1">
        <v>748839.09</v>
      </c>
      <c r="AD68" s="1">
        <v>8930534.3000000007</v>
      </c>
      <c r="AE68" s="1">
        <v>211.71</v>
      </c>
      <c r="AF68" s="1">
        <v>748839.09</v>
      </c>
      <c r="AG68" s="1">
        <v>8930534.3000000007</v>
      </c>
      <c r="AH68" s="1">
        <v>199.67</v>
      </c>
      <c r="AI68" s="1">
        <v>12.04</v>
      </c>
      <c r="AJ68" s="1">
        <v>0.6</v>
      </c>
      <c r="AK68" s="1">
        <v>2.97</v>
      </c>
      <c r="AL68" s="1">
        <v>2.58</v>
      </c>
      <c r="AM68" s="1">
        <v>0</v>
      </c>
      <c r="AN68" s="1">
        <v>0</v>
      </c>
      <c r="AO68" s="1">
        <v>279.95422539999998</v>
      </c>
      <c r="AP68" s="1">
        <v>3.2</v>
      </c>
      <c r="AQ68" s="1">
        <v>0.62</v>
      </c>
      <c r="AR68" s="1">
        <v>0.04</v>
      </c>
      <c r="AS68" s="1">
        <v>7.0000000000000007E-2</v>
      </c>
      <c r="AT68" s="1">
        <v>16.59</v>
      </c>
      <c r="AU68" s="1">
        <v>5.17</v>
      </c>
      <c r="AV68" s="1">
        <v>0</v>
      </c>
      <c r="AW68" s="1">
        <v>0</v>
      </c>
      <c r="AX68" s="1">
        <v>5.2</v>
      </c>
      <c r="AY68" s="1">
        <v>0</v>
      </c>
      <c r="AZ68" s="1">
        <v>124.342</v>
      </c>
      <c r="BA68" s="1">
        <v>0</v>
      </c>
      <c r="BB68" s="1">
        <v>0</v>
      </c>
      <c r="BC68" s="1">
        <v>0</v>
      </c>
      <c r="BD68" s="1">
        <v>0</v>
      </c>
    </row>
    <row r="69" spans="1:56">
      <c r="A69" s="18">
        <v>46192</v>
      </c>
      <c r="B69" s="1">
        <v>68</v>
      </c>
      <c r="C69" s="1" t="s">
        <v>89</v>
      </c>
      <c r="D69" s="1" t="s">
        <v>90</v>
      </c>
      <c r="E69" s="1">
        <v>2</v>
      </c>
      <c r="F69" s="1">
        <v>200</v>
      </c>
      <c r="H69" s="1" t="s">
        <v>91</v>
      </c>
      <c r="I69" s="1" t="s">
        <v>79</v>
      </c>
      <c r="J69" s="1" t="s">
        <v>81</v>
      </c>
      <c r="K69" s="1" t="s">
        <v>74</v>
      </c>
      <c r="L69" s="1" t="s">
        <v>72</v>
      </c>
      <c r="M69" s="1" t="s">
        <v>75</v>
      </c>
      <c r="N69" s="1" t="s">
        <v>76</v>
      </c>
      <c r="O69" s="1" t="s">
        <v>77</v>
      </c>
      <c r="P69" s="1" t="s">
        <v>27</v>
      </c>
      <c r="Q69" s="1" t="s">
        <v>86</v>
      </c>
      <c r="R69" s="1" t="s">
        <v>94</v>
      </c>
      <c r="S69" s="1" t="s">
        <v>87</v>
      </c>
      <c r="T69" s="1" t="s">
        <v>88</v>
      </c>
      <c r="X69" s="1" t="s">
        <v>73</v>
      </c>
      <c r="Z69" s="1" t="s">
        <v>70</v>
      </c>
      <c r="AA69" s="1" t="s">
        <v>95</v>
      </c>
      <c r="AB69" s="1">
        <v>5</v>
      </c>
      <c r="AC69" s="1">
        <v>748837.48</v>
      </c>
      <c r="AD69" s="1">
        <v>8930536.8000000007</v>
      </c>
      <c r="AE69" s="1">
        <v>211.73</v>
      </c>
      <c r="AF69" s="1">
        <v>748837.48</v>
      </c>
      <c r="AG69" s="1">
        <v>8930536.8000000007</v>
      </c>
      <c r="AH69" s="1">
        <v>199.67</v>
      </c>
      <c r="AI69" s="1">
        <v>12.07</v>
      </c>
      <c r="AJ69" s="1">
        <v>0.6</v>
      </c>
      <c r="AK69" s="1">
        <v>2.97</v>
      </c>
      <c r="AL69" s="1">
        <v>2.58</v>
      </c>
      <c r="AM69" s="1">
        <v>0</v>
      </c>
      <c r="AN69" s="1">
        <v>0</v>
      </c>
      <c r="AO69" s="1">
        <v>279.95422539999998</v>
      </c>
      <c r="AP69" s="1">
        <v>3.22</v>
      </c>
      <c r="AQ69" s="1">
        <v>0.74</v>
      </c>
      <c r="AR69" s="1">
        <v>0.05</v>
      </c>
      <c r="AS69" s="1">
        <v>0.09</v>
      </c>
      <c r="AT69" s="1">
        <v>19.309999999999999</v>
      </c>
      <c r="AU69" s="1">
        <v>5.56</v>
      </c>
      <c r="AV69" s="1">
        <v>0</v>
      </c>
      <c r="AW69" s="1">
        <v>0</v>
      </c>
      <c r="AX69" s="1">
        <v>6.86</v>
      </c>
      <c r="AY69" s="1">
        <v>0</v>
      </c>
      <c r="AZ69" s="1">
        <v>124.779</v>
      </c>
      <c r="BA69" s="1">
        <v>0</v>
      </c>
      <c r="BB69" s="1">
        <v>0</v>
      </c>
      <c r="BC69" s="1">
        <v>0</v>
      </c>
      <c r="BD69" s="1">
        <v>0</v>
      </c>
    </row>
    <row r="70" spans="1:56">
      <c r="A70" s="18">
        <v>46192</v>
      </c>
      <c r="B70" s="1">
        <v>69</v>
      </c>
      <c r="C70" s="1" t="s">
        <v>89</v>
      </c>
      <c r="D70" s="1" t="s">
        <v>90</v>
      </c>
      <c r="E70" s="1">
        <v>2</v>
      </c>
      <c r="F70" s="1">
        <v>200</v>
      </c>
      <c r="H70" s="1" t="s">
        <v>91</v>
      </c>
      <c r="I70" s="1" t="s">
        <v>79</v>
      </c>
      <c r="J70" s="1" t="s">
        <v>81</v>
      </c>
      <c r="K70" s="1" t="s">
        <v>74</v>
      </c>
      <c r="L70" s="1" t="s">
        <v>72</v>
      </c>
      <c r="M70" s="1" t="s">
        <v>75</v>
      </c>
      <c r="N70" s="1" t="s">
        <v>76</v>
      </c>
      <c r="O70" s="1" t="s">
        <v>77</v>
      </c>
      <c r="P70" s="1" t="s">
        <v>27</v>
      </c>
      <c r="Q70" s="1" t="s">
        <v>86</v>
      </c>
      <c r="R70" s="1" t="s">
        <v>94</v>
      </c>
      <c r="S70" s="1" t="s">
        <v>87</v>
      </c>
      <c r="T70" s="1" t="s">
        <v>88</v>
      </c>
      <c r="X70" s="1" t="s">
        <v>73</v>
      </c>
      <c r="Z70" s="1" t="s">
        <v>70</v>
      </c>
      <c r="AA70" s="1" t="s">
        <v>95</v>
      </c>
      <c r="AB70" s="1">
        <v>5</v>
      </c>
      <c r="AC70" s="1">
        <v>748835.88</v>
      </c>
      <c r="AD70" s="1">
        <v>8930539.3000000007</v>
      </c>
      <c r="AE70" s="1">
        <v>211.76</v>
      </c>
      <c r="AF70" s="1">
        <v>748835.88</v>
      </c>
      <c r="AG70" s="1">
        <v>8930539.3000000007</v>
      </c>
      <c r="AH70" s="1">
        <v>199.67</v>
      </c>
      <c r="AI70" s="1">
        <v>12.09</v>
      </c>
      <c r="AJ70" s="1">
        <v>0.6</v>
      </c>
      <c r="AK70" s="1">
        <v>2.97</v>
      </c>
      <c r="AL70" s="1">
        <v>2.58</v>
      </c>
      <c r="AM70" s="1">
        <v>0</v>
      </c>
      <c r="AN70" s="1">
        <v>0</v>
      </c>
      <c r="AO70" s="1">
        <v>279.95422539999998</v>
      </c>
      <c r="AP70" s="1">
        <v>3.22</v>
      </c>
      <c r="AQ70" s="1">
        <v>0.79</v>
      </c>
      <c r="AR70" s="1">
        <v>0.05</v>
      </c>
      <c r="AS70" s="1">
        <v>0.09</v>
      </c>
      <c r="AT70" s="1">
        <v>19.38</v>
      </c>
      <c r="AU70" s="1">
        <v>5.79</v>
      </c>
      <c r="AV70" s="1">
        <v>0</v>
      </c>
      <c r="AW70" s="1">
        <v>0</v>
      </c>
      <c r="AX70" s="1">
        <v>6.97</v>
      </c>
      <c r="AY70" s="1">
        <v>0</v>
      </c>
      <c r="AZ70" s="1">
        <v>125.07</v>
      </c>
      <c r="BA70" s="1">
        <v>0</v>
      </c>
      <c r="BB70" s="1">
        <v>0</v>
      </c>
      <c r="BC70" s="1">
        <v>0</v>
      </c>
      <c r="BD70" s="1">
        <v>0</v>
      </c>
    </row>
    <row r="71" spans="1:56">
      <c r="A71" s="18">
        <v>46192</v>
      </c>
      <c r="B71" s="1">
        <v>70</v>
      </c>
      <c r="C71" s="1" t="s">
        <v>89</v>
      </c>
      <c r="D71" s="1" t="s">
        <v>90</v>
      </c>
      <c r="E71" s="1">
        <v>2</v>
      </c>
      <c r="F71" s="1">
        <v>200</v>
      </c>
      <c r="H71" s="1" t="s">
        <v>91</v>
      </c>
      <c r="I71" s="1" t="s">
        <v>79</v>
      </c>
      <c r="J71" s="1" t="s">
        <v>81</v>
      </c>
      <c r="K71" s="1" t="s">
        <v>74</v>
      </c>
      <c r="L71" s="1" t="s">
        <v>72</v>
      </c>
      <c r="M71" s="1" t="s">
        <v>75</v>
      </c>
      <c r="N71" s="1" t="s">
        <v>76</v>
      </c>
      <c r="O71" s="1" t="s">
        <v>77</v>
      </c>
      <c r="P71" s="1" t="s">
        <v>27</v>
      </c>
      <c r="Q71" s="1" t="s">
        <v>86</v>
      </c>
      <c r="R71" s="1" t="s">
        <v>94</v>
      </c>
      <c r="S71" s="1" t="s">
        <v>87</v>
      </c>
      <c r="T71" s="1" t="s">
        <v>88</v>
      </c>
      <c r="X71" s="1" t="s">
        <v>73</v>
      </c>
      <c r="Z71" s="1" t="s">
        <v>70</v>
      </c>
      <c r="AA71" s="1" t="s">
        <v>95</v>
      </c>
      <c r="AB71" s="1">
        <v>5</v>
      </c>
      <c r="AC71" s="1">
        <v>748834.28</v>
      </c>
      <c r="AD71" s="1">
        <v>8930541.8000000007</v>
      </c>
      <c r="AE71" s="1">
        <v>211.76</v>
      </c>
      <c r="AF71" s="1">
        <v>748834.28</v>
      </c>
      <c r="AG71" s="1">
        <v>8930541.8000000007</v>
      </c>
      <c r="AH71" s="1">
        <v>199.67</v>
      </c>
      <c r="AI71" s="1">
        <v>12.09</v>
      </c>
      <c r="AJ71" s="1">
        <v>0.6</v>
      </c>
      <c r="AK71" s="1">
        <v>2.97</v>
      </c>
      <c r="AL71" s="1">
        <v>2.58</v>
      </c>
      <c r="AM71" s="1">
        <v>0</v>
      </c>
      <c r="AN71" s="1">
        <v>0</v>
      </c>
      <c r="AO71" s="1">
        <v>279.95422539999998</v>
      </c>
      <c r="AP71" s="1">
        <v>3.22</v>
      </c>
      <c r="AQ71" s="1">
        <v>0.89</v>
      </c>
      <c r="AR71" s="1">
        <v>0.05</v>
      </c>
      <c r="AS71" s="1">
        <v>0.09</v>
      </c>
      <c r="AT71" s="1">
        <v>19.02</v>
      </c>
      <c r="AU71" s="1">
        <v>6.15</v>
      </c>
      <c r="AV71" s="1">
        <v>0</v>
      </c>
      <c r="AW71" s="1">
        <v>0</v>
      </c>
      <c r="AX71" s="1">
        <v>7.14</v>
      </c>
      <c r="AY71" s="1">
        <v>0</v>
      </c>
      <c r="AZ71" s="1">
        <v>125.07</v>
      </c>
      <c r="BA71" s="1">
        <v>0</v>
      </c>
      <c r="BB71" s="1">
        <v>0</v>
      </c>
      <c r="BC71" s="1">
        <v>0</v>
      </c>
      <c r="BD71" s="1">
        <v>0</v>
      </c>
    </row>
    <row r="72" spans="1:56">
      <c r="A72" s="18">
        <v>46192</v>
      </c>
      <c r="B72" s="1">
        <v>71</v>
      </c>
      <c r="C72" s="1" t="s">
        <v>89</v>
      </c>
      <c r="D72" s="1" t="s">
        <v>90</v>
      </c>
      <c r="E72" s="1">
        <v>2</v>
      </c>
      <c r="F72" s="1">
        <v>200</v>
      </c>
      <c r="H72" s="1" t="s">
        <v>91</v>
      </c>
      <c r="I72" s="1" t="s">
        <v>79</v>
      </c>
      <c r="J72" s="1" t="s">
        <v>81</v>
      </c>
      <c r="K72" s="1" t="s">
        <v>74</v>
      </c>
      <c r="L72" s="1" t="s">
        <v>72</v>
      </c>
      <c r="M72" s="1" t="s">
        <v>75</v>
      </c>
      <c r="N72" s="1" t="s">
        <v>76</v>
      </c>
      <c r="O72" s="1" t="s">
        <v>77</v>
      </c>
      <c r="P72" s="1" t="s">
        <v>27</v>
      </c>
      <c r="Q72" s="1" t="s">
        <v>86</v>
      </c>
      <c r="R72" s="1" t="s">
        <v>94</v>
      </c>
      <c r="S72" s="1" t="s">
        <v>87</v>
      </c>
      <c r="T72" s="1" t="s">
        <v>88</v>
      </c>
      <c r="X72" s="1" t="s">
        <v>73</v>
      </c>
      <c r="Z72" s="1" t="s">
        <v>70</v>
      </c>
      <c r="AA72" s="1" t="s">
        <v>95</v>
      </c>
      <c r="AB72" s="1">
        <v>5</v>
      </c>
      <c r="AC72" s="1">
        <v>748832.68</v>
      </c>
      <c r="AD72" s="1">
        <v>8930544.3000000007</v>
      </c>
      <c r="AE72" s="1">
        <v>211.36</v>
      </c>
      <c r="AF72" s="1">
        <v>748832.68</v>
      </c>
      <c r="AG72" s="1">
        <v>8930544.3000000007</v>
      </c>
      <c r="AH72" s="1">
        <v>199.67</v>
      </c>
      <c r="AI72" s="1">
        <v>11.69</v>
      </c>
      <c r="AJ72" s="1">
        <v>0.6</v>
      </c>
      <c r="AK72" s="1">
        <v>2.97</v>
      </c>
      <c r="AL72" s="1">
        <v>2.58</v>
      </c>
      <c r="AM72" s="1">
        <v>0</v>
      </c>
      <c r="AN72" s="1">
        <v>0</v>
      </c>
      <c r="AO72" s="1">
        <v>279.95422539999998</v>
      </c>
      <c r="AP72" s="1">
        <v>3.21</v>
      </c>
      <c r="AQ72" s="1">
        <v>0.89</v>
      </c>
      <c r="AR72" s="1">
        <v>0.05</v>
      </c>
      <c r="AS72" s="1">
        <v>0.09</v>
      </c>
      <c r="AT72" s="1">
        <v>18.75</v>
      </c>
      <c r="AU72" s="1">
        <v>6.05</v>
      </c>
      <c r="AV72" s="1">
        <v>0</v>
      </c>
      <c r="AW72" s="1">
        <v>0</v>
      </c>
      <c r="AX72" s="1">
        <v>7.14</v>
      </c>
      <c r="AY72" s="1">
        <v>0</v>
      </c>
      <c r="AZ72" s="1">
        <v>119.246</v>
      </c>
      <c r="BA72" s="1">
        <v>0</v>
      </c>
      <c r="BB72" s="1">
        <v>0</v>
      </c>
      <c r="BC72" s="1">
        <v>0</v>
      </c>
      <c r="BD72" s="1">
        <v>0</v>
      </c>
    </row>
    <row r="73" spans="1:56">
      <c r="A73" s="18">
        <v>46192</v>
      </c>
      <c r="B73" s="1">
        <v>72</v>
      </c>
      <c r="C73" s="1" t="s">
        <v>89</v>
      </c>
      <c r="D73" s="1" t="s">
        <v>90</v>
      </c>
      <c r="E73" s="1">
        <v>2</v>
      </c>
      <c r="F73" s="1">
        <v>200</v>
      </c>
      <c r="H73" s="1" t="s">
        <v>91</v>
      </c>
      <c r="I73" s="1" t="s">
        <v>79</v>
      </c>
      <c r="J73" s="1" t="s">
        <v>81</v>
      </c>
      <c r="K73" s="1" t="s">
        <v>74</v>
      </c>
      <c r="L73" s="1" t="s">
        <v>72</v>
      </c>
      <c r="M73" s="1" t="s">
        <v>75</v>
      </c>
      <c r="N73" s="1" t="s">
        <v>76</v>
      </c>
      <c r="O73" s="1" t="s">
        <v>77</v>
      </c>
      <c r="P73" s="1" t="s">
        <v>27</v>
      </c>
      <c r="Q73" s="1" t="s">
        <v>86</v>
      </c>
      <c r="R73" s="1" t="s">
        <v>94</v>
      </c>
      <c r="S73" s="1" t="s">
        <v>87</v>
      </c>
      <c r="T73" s="1" t="s">
        <v>88</v>
      </c>
      <c r="X73" s="1" t="s">
        <v>73</v>
      </c>
      <c r="Z73" s="1" t="s">
        <v>70</v>
      </c>
      <c r="AA73" s="1" t="s">
        <v>95</v>
      </c>
      <c r="AB73" s="1">
        <v>5</v>
      </c>
      <c r="AC73" s="1">
        <v>748831.07</v>
      </c>
      <c r="AD73" s="1">
        <v>8930546.8000000007</v>
      </c>
      <c r="AE73" s="1">
        <v>210.91</v>
      </c>
      <c r="AF73" s="1">
        <v>748831.07</v>
      </c>
      <c r="AG73" s="1">
        <v>8930546.8000000007</v>
      </c>
      <c r="AH73" s="1">
        <v>199.67</v>
      </c>
      <c r="AI73" s="1">
        <v>11.24</v>
      </c>
      <c r="AJ73" s="1">
        <v>0.6</v>
      </c>
      <c r="AK73" s="1">
        <v>2.97</v>
      </c>
      <c r="AL73" s="1">
        <v>2.58</v>
      </c>
      <c r="AM73" s="1">
        <v>0</v>
      </c>
      <c r="AN73" s="1">
        <v>0</v>
      </c>
      <c r="AO73" s="1">
        <v>279.95422539999998</v>
      </c>
      <c r="AP73" s="1">
        <v>3.21</v>
      </c>
      <c r="AQ73" s="1">
        <v>0.88</v>
      </c>
      <c r="AR73" s="1">
        <v>0.05</v>
      </c>
      <c r="AS73" s="1">
        <v>0.09</v>
      </c>
      <c r="AT73" s="1">
        <v>18.489999999999998</v>
      </c>
      <c r="AU73" s="1">
        <v>5.8</v>
      </c>
      <c r="AV73" s="1">
        <v>0</v>
      </c>
      <c r="AW73" s="1">
        <v>0</v>
      </c>
      <c r="AX73" s="1">
        <v>6.87</v>
      </c>
      <c r="AY73" s="1">
        <v>0</v>
      </c>
      <c r="AZ73" s="1">
        <v>112.694</v>
      </c>
      <c r="BA73" s="1">
        <v>0</v>
      </c>
      <c r="BB73" s="1">
        <v>0</v>
      </c>
      <c r="BC73" s="1">
        <v>0</v>
      </c>
      <c r="BD73" s="1">
        <v>0</v>
      </c>
    </row>
    <row r="74" spans="1:56">
      <c r="A74" s="18">
        <v>46192</v>
      </c>
      <c r="B74" s="1">
        <v>73</v>
      </c>
      <c r="C74" s="1" t="s">
        <v>89</v>
      </c>
      <c r="D74" s="1" t="s">
        <v>90</v>
      </c>
      <c r="E74" s="1">
        <v>2</v>
      </c>
      <c r="F74" s="1">
        <v>200</v>
      </c>
      <c r="H74" s="1" t="s">
        <v>91</v>
      </c>
      <c r="I74" s="1" t="s">
        <v>79</v>
      </c>
      <c r="J74" s="1" t="s">
        <v>81</v>
      </c>
      <c r="K74" s="1" t="s">
        <v>74</v>
      </c>
      <c r="L74" s="1" t="s">
        <v>72</v>
      </c>
      <c r="M74" s="1" t="s">
        <v>75</v>
      </c>
      <c r="N74" s="1" t="s">
        <v>76</v>
      </c>
      <c r="O74" s="1" t="s">
        <v>77</v>
      </c>
      <c r="P74" s="1" t="s">
        <v>27</v>
      </c>
      <c r="Q74" s="1" t="s">
        <v>86</v>
      </c>
      <c r="R74" s="1" t="s">
        <v>94</v>
      </c>
      <c r="S74" s="1" t="s">
        <v>87</v>
      </c>
      <c r="T74" s="1" t="s">
        <v>88</v>
      </c>
      <c r="X74" s="1" t="s">
        <v>73</v>
      </c>
      <c r="Z74" s="1" t="s">
        <v>70</v>
      </c>
      <c r="AA74" s="1" t="s">
        <v>95</v>
      </c>
      <c r="AB74" s="1">
        <v>5</v>
      </c>
      <c r="AC74" s="1">
        <v>748829.47</v>
      </c>
      <c r="AD74" s="1">
        <v>8930549.3000000007</v>
      </c>
      <c r="AE74" s="1">
        <v>211.14</v>
      </c>
      <c r="AF74" s="1">
        <v>748829.47</v>
      </c>
      <c r="AG74" s="1">
        <v>8930549.3000000007</v>
      </c>
      <c r="AH74" s="1">
        <v>199.67</v>
      </c>
      <c r="AI74" s="1">
        <v>11.47</v>
      </c>
      <c r="AJ74" s="1">
        <v>0.6</v>
      </c>
      <c r="AK74" s="1">
        <v>2.97</v>
      </c>
      <c r="AL74" s="1">
        <v>2.58</v>
      </c>
      <c r="AM74" s="1">
        <v>0</v>
      </c>
      <c r="AN74" s="1">
        <v>0</v>
      </c>
      <c r="AO74" s="1">
        <v>279.95422539999998</v>
      </c>
      <c r="AP74" s="1">
        <v>3.21</v>
      </c>
      <c r="AQ74" s="1">
        <v>0.79</v>
      </c>
      <c r="AR74" s="1">
        <v>0.05</v>
      </c>
      <c r="AS74" s="1">
        <v>0.09</v>
      </c>
      <c r="AT74" s="1">
        <v>16.71</v>
      </c>
      <c r="AU74" s="1">
        <v>5.13</v>
      </c>
      <c r="AV74" s="1">
        <v>0</v>
      </c>
      <c r="AW74" s="1">
        <v>0</v>
      </c>
      <c r="AX74" s="1">
        <v>6.46</v>
      </c>
      <c r="AY74" s="1">
        <v>0</v>
      </c>
      <c r="AZ74" s="1">
        <v>116.04300000000001</v>
      </c>
      <c r="BA74" s="1">
        <v>0</v>
      </c>
      <c r="BB74" s="1">
        <v>0</v>
      </c>
      <c r="BC74" s="1">
        <v>0</v>
      </c>
      <c r="BD74" s="1">
        <v>0</v>
      </c>
    </row>
    <row r="75" spans="1:56">
      <c r="A75" s="18">
        <v>46192</v>
      </c>
      <c r="B75" s="1">
        <v>74</v>
      </c>
      <c r="C75" s="1" t="s">
        <v>89</v>
      </c>
      <c r="D75" s="1" t="s">
        <v>90</v>
      </c>
      <c r="E75" s="1">
        <v>2</v>
      </c>
      <c r="F75" s="1">
        <v>200</v>
      </c>
      <c r="H75" s="1" t="s">
        <v>91</v>
      </c>
      <c r="I75" s="1" t="s">
        <v>79</v>
      </c>
      <c r="J75" s="1" t="s">
        <v>80</v>
      </c>
      <c r="K75" s="1" t="s">
        <v>74</v>
      </c>
      <c r="L75" s="1" t="s">
        <v>72</v>
      </c>
      <c r="M75" s="1" t="s">
        <v>75</v>
      </c>
      <c r="N75" s="1" t="s">
        <v>76</v>
      </c>
      <c r="O75" s="1" t="s">
        <v>77</v>
      </c>
      <c r="P75" s="1" t="s">
        <v>27</v>
      </c>
      <c r="Q75" s="1" t="s">
        <v>86</v>
      </c>
      <c r="R75" s="1" t="s">
        <v>94</v>
      </c>
      <c r="S75" s="1" t="s">
        <v>87</v>
      </c>
      <c r="T75" s="1" t="s">
        <v>88</v>
      </c>
      <c r="X75" s="1" t="s">
        <v>73</v>
      </c>
      <c r="Z75" s="1" t="s">
        <v>70</v>
      </c>
      <c r="AA75" s="1" t="s">
        <v>95</v>
      </c>
      <c r="AB75" s="1">
        <v>5</v>
      </c>
      <c r="AC75" s="1">
        <v>748827.87</v>
      </c>
      <c r="AD75" s="1">
        <v>8930551.8000000007</v>
      </c>
      <c r="AE75" s="1">
        <v>211.05</v>
      </c>
      <c r="AF75" s="1">
        <v>748827.87</v>
      </c>
      <c r="AG75" s="1">
        <v>8930551.8000000007</v>
      </c>
      <c r="AH75" s="1">
        <v>199.67</v>
      </c>
      <c r="AI75" s="1">
        <v>11.38</v>
      </c>
      <c r="AJ75" s="1">
        <v>0.6</v>
      </c>
      <c r="AK75" s="1">
        <v>2.97</v>
      </c>
      <c r="AL75" s="1">
        <v>2.58</v>
      </c>
      <c r="AM75" s="1">
        <v>0</v>
      </c>
      <c r="AN75" s="1">
        <v>0</v>
      </c>
      <c r="AO75" s="1">
        <v>279.95422539999998</v>
      </c>
      <c r="AP75" s="1">
        <v>3.2</v>
      </c>
      <c r="AQ75" s="1">
        <v>0.47</v>
      </c>
      <c r="AR75" s="1">
        <v>0.05</v>
      </c>
      <c r="AS75" s="1">
        <v>0.06</v>
      </c>
      <c r="AT75" s="1">
        <v>11.44</v>
      </c>
      <c r="AU75" s="1">
        <v>4.13</v>
      </c>
      <c r="AV75" s="1">
        <v>0</v>
      </c>
      <c r="AW75" s="1">
        <v>0</v>
      </c>
      <c r="AX75" s="1">
        <v>6.31</v>
      </c>
      <c r="AY75" s="1">
        <v>0</v>
      </c>
      <c r="AZ75" s="1">
        <v>114.733</v>
      </c>
      <c r="BA75" s="1">
        <v>0</v>
      </c>
      <c r="BB75" s="1">
        <v>0</v>
      </c>
      <c r="BC75" s="1">
        <v>0</v>
      </c>
      <c r="BD75" s="1">
        <v>0</v>
      </c>
    </row>
    <row r="76" spans="1:56">
      <c r="A76" s="18">
        <v>46192</v>
      </c>
      <c r="B76" s="1">
        <v>75</v>
      </c>
      <c r="C76" s="1" t="s">
        <v>89</v>
      </c>
      <c r="D76" s="1" t="s">
        <v>90</v>
      </c>
      <c r="E76" s="1">
        <v>2</v>
      </c>
      <c r="F76" s="1">
        <v>200</v>
      </c>
      <c r="H76" s="1" t="s">
        <v>91</v>
      </c>
      <c r="I76" s="1" t="s">
        <v>79</v>
      </c>
      <c r="J76" s="1" t="s">
        <v>80</v>
      </c>
      <c r="K76" s="1" t="s">
        <v>74</v>
      </c>
      <c r="L76" s="1" t="s">
        <v>72</v>
      </c>
      <c r="M76" s="1" t="s">
        <v>75</v>
      </c>
      <c r="N76" s="1" t="s">
        <v>76</v>
      </c>
      <c r="O76" s="1" t="s">
        <v>77</v>
      </c>
      <c r="P76" s="1" t="s">
        <v>27</v>
      </c>
      <c r="Q76" s="1" t="s">
        <v>86</v>
      </c>
      <c r="R76" s="1" t="s">
        <v>94</v>
      </c>
      <c r="S76" s="1" t="s">
        <v>87</v>
      </c>
      <c r="T76" s="1" t="s">
        <v>88</v>
      </c>
      <c r="X76" s="1" t="s">
        <v>73</v>
      </c>
      <c r="Z76" s="1" t="s">
        <v>70</v>
      </c>
      <c r="AA76" s="1" t="s">
        <v>95</v>
      </c>
      <c r="AB76" s="1">
        <v>5</v>
      </c>
      <c r="AC76" s="1">
        <v>748826.26</v>
      </c>
      <c r="AD76" s="1">
        <v>8930554.3000000007</v>
      </c>
      <c r="AE76" s="1">
        <v>211.01</v>
      </c>
      <c r="AF76" s="1">
        <v>748826.26</v>
      </c>
      <c r="AG76" s="1">
        <v>8930554.3000000007</v>
      </c>
      <c r="AH76" s="1">
        <v>199.67</v>
      </c>
      <c r="AI76" s="1">
        <v>11.34</v>
      </c>
      <c r="AJ76" s="1">
        <v>0.6</v>
      </c>
      <c r="AK76" s="1">
        <v>2.97</v>
      </c>
      <c r="AL76" s="1">
        <v>2.58</v>
      </c>
      <c r="AM76" s="1">
        <v>0</v>
      </c>
      <c r="AN76" s="1">
        <v>0</v>
      </c>
      <c r="AO76" s="1">
        <v>279.95422539999998</v>
      </c>
      <c r="AP76" s="1">
        <v>3.18</v>
      </c>
      <c r="AQ76" s="1">
        <v>0.44</v>
      </c>
      <c r="AR76" s="1">
        <v>0.05</v>
      </c>
      <c r="AS76" s="1">
        <v>0.06</v>
      </c>
      <c r="AT76" s="1">
        <v>10.77</v>
      </c>
      <c r="AU76" s="1">
        <v>3.94</v>
      </c>
      <c r="AV76" s="1">
        <v>0</v>
      </c>
      <c r="AW76" s="1">
        <v>0</v>
      </c>
      <c r="AX76" s="1">
        <v>6.06</v>
      </c>
      <c r="AY76" s="1">
        <v>0</v>
      </c>
      <c r="AZ76" s="1">
        <v>114.15</v>
      </c>
      <c r="BA76" s="1">
        <v>0</v>
      </c>
      <c r="BB76" s="1">
        <v>0</v>
      </c>
      <c r="BC76" s="1">
        <v>0</v>
      </c>
      <c r="BD76" s="1">
        <v>0</v>
      </c>
    </row>
    <row r="77" spans="1:56">
      <c r="A77" s="18">
        <v>46192</v>
      </c>
      <c r="B77" s="1">
        <v>76</v>
      </c>
      <c r="C77" s="1" t="s">
        <v>89</v>
      </c>
      <c r="D77" s="1" t="s">
        <v>90</v>
      </c>
      <c r="E77" s="1">
        <v>2</v>
      </c>
      <c r="F77" s="1">
        <v>200</v>
      </c>
      <c r="H77" s="1" t="s">
        <v>91</v>
      </c>
      <c r="I77" s="1" t="s">
        <v>79</v>
      </c>
      <c r="J77" s="1" t="s">
        <v>80</v>
      </c>
      <c r="K77" s="1" t="s">
        <v>74</v>
      </c>
      <c r="L77" s="1" t="s">
        <v>72</v>
      </c>
      <c r="M77" s="1" t="s">
        <v>75</v>
      </c>
      <c r="N77" s="1" t="s">
        <v>76</v>
      </c>
      <c r="O77" s="1" t="s">
        <v>77</v>
      </c>
      <c r="P77" s="1" t="s">
        <v>27</v>
      </c>
      <c r="Q77" s="1" t="s">
        <v>86</v>
      </c>
      <c r="R77" s="1" t="s">
        <v>94</v>
      </c>
      <c r="S77" s="1" t="s">
        <v>87</v>
      </c>
      <c r="T77" s="1" t="s">
        <v>88</v>
      </c>
      <c r="X77" s="1" t="s">
        <v>73</v>
      </c>
      <c r="Z77" s="1" t="s">
        <v>70</v>
      </c>
      <c r="AA77" s="1" t="s">
        <v>95</v>
      </c>
      <c r="AB77" s="1">
        <v>5</v>
      </c>
      <c r="AC77" s="1">
        <v>748824.66</v>
      </c>
      <c r="AD77" s="1">
        <v>8930556.8000000007</v>
      </c>
      <c r="AE77" s="1">
        <v>211.15</v>
      </c>
      <c r="AF77" s="1">
        <v>748824.66</v>
      </c>
      <c r="AG77" s="1">
        <v>8930556.8000000007</v>
      </c>
      <c r="AH77" s="1">
        <v>199.67</v>
      </c>
      <c r="AI77" s="1">
        <v>11.48</v>
      </c>
      <c r="AJ77" s="1">
        <v>0.6</v>
      </c>
      <c r="AK77" s="1">
        <v>2.97</v>
      </c>
      <c r="AL77" s="1">
        <v>2.58</v>
      </c>
      <c r="AM77" s="1">
        <v>0</v>
      </c>
      <c r="AN77" s="1">
        <v>0</v>
      </c>
      <c r="AO77" s="1">
        <v>279.95422539999998</v>
      </c>
      <c r="AP77" s="1">
        <v>3.17</v>
      </c>
      <c r="AQ77" s="1">
        <v>0.41</v>
      </c>
      <c r="AR77" s="1">
        <v>0.04</v>
      </c>
      <c r="AS77" s="1">
        <v>0.05</v>
      </c>
      <c r="AT77" s="1">
        <v>10.23</v>
      </c>
      <c r="AU77" s="1">
        <v>3.72</v>
      </c>
      <c r="AV77" s="1">
        <v>0</v>
      </c>
      <c r="AW77" s="1">
        <v>0.02</v>
      </c>
      <c r="AX77" s="1">
        <v>5.72</v>
      </c>
      <c r="AY77" s="1">
        <v>0</v>
      </c>
      <c r="AZ77" s="1">
        <v>116.18899999999999</v>
      </c>
      <c r="BA77" s="1">
        <v>0</v>
      </c>
      <c r="BB77" s="1">
        <v>0</v>
      </c>
      <c r="BC77" s="1">
        <v>0</v>
      </c>
      <c r="BD77" s="1">
        <v>0</v>
      </c>
    </row>
    <row r="78" spans="1:56">
      <c r="A78" s="18">
        <v>46192</v>
      </c>
      <c r="B78" s="1">
        <v>77</v>
      </c>
      <c r="C78" s="1" t="s">
        <v>89</v>
      </c>
      <c r="D78" s="1" t="s">
        <v>90</v>
      </c>
      <c r="E78" s="1">
        <v>2</v>
      </c>
      <c r="F78" s="1">
        <v>200</v>
      </c>
      <c r="H78" s="1" t="s">
        <v>91</v>
      </c>
      <c r="I78" s="1" t="s">
        <v>85</v>
      </c>
      <c r="J78" s="1" t="s">
        <v>80</v>
      </c>
      <c r="K78" s="1" t="s">
        <v>74</v>
      </c>
      <c r="L78" s="1" t="s">
        <v>72</v>
      </c>
      <c r="M78" s="1" t="s">
        <v>75</v>
      </c>
      <c r="N78" s="1" t="s">
        <v>76</v>
      </c>
      <c r="O78" s="1" t="s">
        <v>77</v>
      </c>
      <c r="P78" s="1" t="s">
        <v>27</v>
      </c>
      <c r="Q78" s="1" t="s">
        <v>86</v>
      </c>
      <c r="R78" s="1" t="s">
        <v>94</v>
      </c>
      <c r="S78" s="1" t="s">
        <v>87</v>
      </c>
      <c r="T78" s="1" t="s">
        <v>88</v>
      </c>
      <c r="X78" s="1" t="s">
        <v>73</v>
      </c>
      <c r="Z78" s="1" t="s">
        <v>70</v>
      </c>
      <c r="AA78" s="1" t="s">
        <v>95</v>
      </c>
      <c r="AB78" s="1">
        <v>5</v>
      </c>
      <c r="AC78" s="1">
        <v>748823.06</v>
      </c>
      <c r="AD78" s="1">
        <v>8930559.3000000007</v>
      </c>
      <c r="AE78" s="1">
        <v>211.06</v>
      </c>
      <c r="AF78" s="1">
        <v>748823.06</v>
      </c>
      <c r="AG78" s="1">
        <v>8930559.3000000007</v>
      </c>
      <c r="AH78" s="1">
        <v>199.67</v>
      </c>
      <c r="AI78" s="1">
        <v>11.39</v>
      </c>
      <c r="AJ78" s="1">
        <v>0.6</v>
      </c>
      <c r="AK78" s="1">
        <v>2.97</v>
      </c>
      <c r="AL78" s="1">
        <v>2.58</v>
      </c>
      <c r="AM78" s="1">
        <v>0</v>
      </c>
      <c r="AN78" s="1">
        <v>0</v>
      </c>
      <c r="AO78" s="1">
        <v>279.95422539999998</v>
      </c>
      <c r="AP78" s="1">
        <v>3.16</v>
      </c>
      <c r="AQ78" s="1">
        <v>0.4</v>
      </c>
      <c r="AR78" s="1">
        <v>0.05</v>
      </c>
      <c r="AS78" s="1">
        <v>0.05</v>
      </c>
      <c r="AT78" s="1">
        <v>9.92</v>
      </c>
      <c r="AU78" s="1">
        <v>3.47</v>
      </c>
      <c r="AV78" s="1">
        <v>0.01</v>
      </c>
      <c r="AW78" s="1">
        <v>7.0000000000000007E-2</v>
      </c>
      <c r="AX78" s="1">
        <v>5.71</v>
      </c>
      <c r="AY78" s="1">
        <v>0</v>
      </c>
      <c r="AZ78" s="1">
        <v>114.878</v>
      </c>
      <c r="BA78" s="1">
        <v>0</v>
      </c>
      <c r="BB78" s="1">
        <v>0</v>
      </c>
      <c r="BC78" s="1">
        <v>0</v>
      </c>
      <c r="BD78" s="1">
        <v>0</v>
      </c>
    </row>
    <row r="79" spans="1:56">
      <c r="A79" s="18">
        <v>46192</v>
      </c>
      <c r="B79" s="1">
        <v>78</v>
      </c>
      <c r="C79" s="1" t="s">
        <v>89</v>
      </c>
      <c r="D79" s="1" t="s">
        <v>90</v>
      </c>
      <c r="E79" s="1">
        <v>2</v>
      </c>
      <c r="F79" s="1">
        <v>200</v>
      </c>
      <c r="H79" s="1" t="s">
        <v>91</v>
      </c>
      <c r="I79" s="1" t="s">
        <v>85</v>
      </c>
      <c r="J79" s="1" t="s">
        <v>80</v>
      </c>
      <c r="K79" s="1" t="s">
        <v>74</v>
      </c>
      <c r="L79" s="1" t="s">
        <v>72</v>
      </c>
      <c r="M79" s="1" t="s">
        <v>75</v>
      </c>
      <c r="N79" s="1" t="s">
        <v>76</v>
      </c>
      <c r="O79" s="1" t="s">
        <v>77</v>
      </c>
      <c r="P79" s="1" t="s">
        <v>27</v>
      </c>
      <c r="Q79" s="1" t="s">
        <v>86</v>
      </c>
      <c r="R79" s="1" t="s">
        <v>94</v>
      </c>
      <c r="S79" s="1" t="s">
        <v>87</v>
      </c>
      <c r="T79" s="1" t="s">
        <v>88</v>
      </c>
      <c r="X79" s="1" t="s">
        <v>73</v>
      </c>
      <c r="Z79" s="1" t="s">
        <v>70</v>
      </c>
      <c r="AA79" s="1" t="s">
        <v>95</v>
      </c>
      <c r="AB79" s="1">
        <v>5</v>
      </c>
      <c r="AC79" s="1">
        <v>748821.45</v>
      </c>
      <c r="AD79" s="1">
        <v>8930561.8000000007</v>
      </c>
      <c r="AE79" s="1">
        <v>210.78</v>
      </c>
      <c r="AF79" s="1">
        <v>748821.45</v>
      </c>
      <c r="AG79" s="1">
        <v>8930561.8000000007</v>
      </c>
      <c r="AH79" s="1">
        <v>199.67</v>
      </c>
      <c r="AI79" s="1">
        <v>11.11</v>
      </c>
      <c r="AJ79" s="1">
        <v>0.6</v>
      </c>
      <c r="AK79" s="1">
        <v>2.97</v>
      </c>
      <c r="AL79" s="1">
        <v>2.58</v>
      </c>
      <c r="AM79" s="1">
        <v>0</v>
      </c>
      <c r="AN79" s="1">
        <v>0</v>
      </c>
      <c r="AO79" s="1">
        <v>279.95422539999998</v>
      </c>
      <c r="AP79" s="1">
        <v>3.18</v>
      </c>
      <c r="AQ79" s="1">
        <v>0.4</v>
      </c>
      <c r="AR79" s="1">
        <v>0.05</v>
      </c>
      <c r="AS79" s="1">
        <v>0.05</v>
      </c>
      <c r="AT79" s="1">
        <v>10.32</v>
      </c>
      <c r="AU79" s="1">
        <v>3.25</v>
      </c>
      <c r="AV79" s="1">
        <v>0.03</v>
      </c>
      <c r="AW79" s="1">
        <v>0.28000000000000003</v>
      </c>
      <c r="AX79" s="1">
        <v>6.28</v>
      </c>
      <c r="AY79" s="1">
        <v>0</v>
      </c>
      <c r="AZ79" s="1">
        <v>110.80200000000001</v>
      </c>
      <c r="BA79" s="1">
        <v>0</v>
      </c>
      <c r="BB79" s="1">
        <v>0</v>
      </c>
      <c r="BC79" s="1">
        <v>0</v>
      </c>
      <c r="BD79" s="1">
        <v>0</v>
      </c>
    </row>
    <row r="80" spans="1:56">
      <c r="A80" s="18">
        <v>46192</v>
      </c>
      <c r="B80" s="1">
        <v>79</v>
      </c>
      <c r="C80" s="1" t="s">
        <v>89</v>
      </c>
      <c r="D80" s="1" t="s">
        <v>90</v>
      </c>
      <c r="E80" s="1">
        <v>2</v>
      </c>
      <c r="F80" s="1">
        <v>200</v>
      </c>
      <c r="H80" s="1" t="s">
        <v>91</v>
      </c>
      <c r="I80" s="1" t="s">
        <v>79</v>
      </c>
      <c r="J80" s="1" t="s">
        <v>80</v>
      </c>
      <c r="K80" s="1" t="s">
        <v>74</v>
      </c>
      <c r="L80" s="1" t="s">
        <v>72</v>
      </c>
      <c r="M80" s="1" t="s">
        <v>75</v>
      </c>
      <c r="N80" s="1" t="s">
        <v>76</v>
      </c>
      <c r="O80" s="1" t="s">
        <v>77</v>
      </c>
      <c r="P80" s="1" t="s">
        <v>27</v>
      </c>
      <c r="Q80" s="1" t="s">
        <v>86</v>
      </c>
      <c r="R80" s="1" t="s">
        <v>94</v>
      </c>
      <c r="S80" s="1" t="s">
        <v>87</v>
      </c>
      <c r="T80" s="1" t="s">
        <v>88</v>
      </c>
      <c r="X80" s="1" t="s">
        <v>73</v>
      </c>
      <c r="Z80" s="1" t="s">
        <v>70</v>
      </c>
      <c r="AA80" s="1" t="s">
        <v>95</v>
      </c>
      <c r="AB80" s="1">
        <v>5</v>
      </c>
      <c r="AC80" s="1">
        <v>748819.85</v>
      </c>
      <c r="AD80" s="1">
        <v>8930564.3100000005</v>
      </c>
      <c r="AE80" s="1">
        <v>210.7</v>
      </c>
      <c r="AF80" s="1">
        <v>748819.85</v>
      </c>
      <c r="AG80" s="1">
        <v>8930564.3100000005</v>
      </c>
      <c r="AH80" s="1">
        <v>199.67</v>
      </c>
      <c r="AI80" s="1">
        <v>11.03</v>
      </c>
      <c r="AJ80" s="1">
        <v>0.6</v>
      </c>
      <c r="AK80" s="1">
        <v>2.97</v>
      </c>
      <c r="AL80" s="1">
        <v>2.58</v>
      </c>
      <c r="AM80" s="1">
        <v>0</v>
      </c>
      <c r="AN80" s="1">
        <v>0</v>
      </c>
      <c r="AO80" s="1">
        <v>279.95422539999998</v>
      </c>
      <c r="AP80" s="1">
        <v>3.26</v>
      </c>
      <c r="AQ80" s="1">
        <v>0.43</v>
      </c>
      <c r="AR80" s="1">
        <v>0.06</v>
      </c>
      <c r="AS80" s="1">
        <v>0.05</v>
      </c>
      <c r="AT80" s="1">
        <v>12.67</v>
      </c>
      <c r="AU80" s="1">
        <v>3.75</v>
      </c>
      <c r="AV80" s="1">
        <v>0.12</v>
      </c>
      <c r="AW80" s="1">
        <v>1.07</v>
      </c>
      <c r="AX80" s="1">
        <v>7.64</v>
      </c>
      <c r="AY80" s="1">
        <v>0</v>
      </c>
      <c r="AZ80" s="1">
        <v>109.637</v>
      </c>
      <c r="BA80" s="1">
        <v>0</v>
      </c>
      <c r="BB80" s="1">
        <v>0</v>
      </c>
      <c r="BC80" s="1">
        <v>0</v>
      </c>
      <c r="BD80" s="1">
        <v>0</v>
      </c>
    </row>
    <row r="81" spans="1:56">
      <c r="A81" s="18">
        <v>46192</v>
      </c>
      <c r="B81" s="1">
        <v>80</v>
      </c>
      <c r="C81" s="1" t="s">
        <v>89</v>
      </c>
      <c r="D81" s="1" t="s">
        <v>90</v>
      </c>
      <c r="E81" s="1">
        <v>2</v>
      </c>
      <c r="F81" s="1">
        <v>200</v>
      </c>
      <c r="H81" s="1" t="s">
        <v>91</v>
      </c>
      <c r="I81" s="1" t="s">
        <v>79</v>
      </c>
      <c r="J81" s="1" t="s">
        <v>80</v>
      </c>
      <c r="K81" s="1" t="s">
        <v>74</v>
      </c>
      <c r="L81" s="1" t="s">
        <v>72</v>
      </c>
      <c r="M81" s="1" t="s">
        <v>75</v>
      </c>
      <c r="N81" s="1" t="s">
        <v>76</v>
      </c>
      <c r="O81" s="1" t="s">
        <v>77</v>
      </c>
      <c r="P81" s="1" t="s">
        <v>27</v>
      </c>
      <c r="Q81" s="1" t="s">
        <v>86</v>
      </c>
      <c r="R81" s="1" t="s">
        <v>94</v>
      </c>
      <c r="S81" s="1" t="s">
        <v>87</v>
      </c>
      <c r="T81" s="1" t="s">
        <v>88</v>
      </c>
      <c r="X81" s="1" t="s">
        <v>73</v>
      </c>
      <c r="Z81" s="1" t="s">
        <v>70</v>
      </c>
      <c r="AA81" s="1" t="s">
        <v>95</v>
      </c>
      <c r="AB81" s="1">
        <v>5</v>
      </c>
      <c r="AC81" s="1">
        <v>748818.15</v>
      </c>
      <c r="AD81" s="1">
        <v>8930566.7400000002</v>
      </c>
      <c r="AE81" s="1">
        <v>210.6</v>
      </c>
      <c r="AF81" s="1">
        <v>748818.15</v>
      </c>
      <c r="AG81" s="1">
        <v>8930566.7400000002</v>
      </c>
      <c r="AH81" s="1">
        <v>199.69</v>
      </c>
      <c r="AI81" s="1">
        <v>10.91</v>
      </c>
      <c r="AJ81" s="1">
        <v>0.6</v>
      </c>
      <c r="AK81" s="1">
        <v>2.97</v>
      </c>
      <c r="AL81" s="1">
        <v>2.58</v>
      </c>
      <c r="AM81" s="1">
        <v>0</v>
      </c>
      <c r="AN81" s="1">
        <v>0</v>
      </c>
      <c r="AO81" s="1">
        <v>279.95422539999998</v>
      </c>
      <c r="AP81" s="1">
        <v>3.32</v>
      </c>
      <c r="AQ81" s="1">
        <v>0.43</v>
      </c>
      <c r="AR81" s="1">
        <v>0.06</v>
      </c>
      <c r="AS81" s="1">
        <v>0.05</v>
      </c>
      <c r="AT81" s="1">
        <v>13.97</v>
      </c>
      <c r="AU81" s="1">
        <v>3.96</v>
      </c>
      <c r="AV81" s="1">
        <v>0.21</v>
      </c>
      <c r="AW81" s="1">
        <v>1.86</v>
      </c>
      <c r="AX81" s="1">
        <v>8.34</v>
      </c>
      <c r="AY81" s="1">
        <v>0</v>
      </c>
      <c r="AZ81" s="1">
        <v>107.89</v>
      </c>
      <c r="BA81" s="1">
        <v>0</v>
      </c>
      <c r="BB81" s="1">
        <v>0</v>
      </c>
      <c r="BC81" s="1">
        <v>0</v>
      </c>
      <c r="BD81" s="1">
        <v>0</v>
      </c>
    </row>
    <row r="82" spans="1:56">
      <c r="A82" s="18">
        <v>46192</v>
      </c>
      <c r="B82" s="1">
        <v>81</v>
      </c>
      <c r="C82" s="1" t="s">
        <v>89</v>
      </c>
      <c r="D82" s="1" t="s">
        <v>90</v>
      </c>
      <c r="E82" s="1">
        <v>2</v>
      </c>
      <c r="F82" s="1">
        <v>200</v>
      </c>
      <c r="H82" s="1" t="s">
        <v>91</v>
      </c>
      <c r="I82" s="1" t="s">
        <v>79</v>
      </c>
      <c r="J82" s="1" t="s">
        <v>80</v>
      </c>
      <c r="K82" s="1" t="s">
        <v>74</v>
      </c>
      <c r="L82" s="1" t="s">
        <v>72</v>
      </c>
      <c r="M82" s="1" t="s">
        <v>75</v>
      </c>
      <c r="N82" s="1" t="s">
        <v>76</v>
      </c>
      <c r="O82" s="1" t="s">
        <v>77</v>
      </c>
      <c r="P82" s="1" t="s">
        <v>27</v>
      </c>
      <c r="Q82" s="1" t="s">
        <v>86</v>
      </c>
      <c r="R82" s="1" t="s">
        <v>94</v>
      </c>
      <c r="S82" s="1" t="s">
        <v>87</v>
      </c>
      <c r="T82" s="1" t="s">
        <v>88</v>
      </c>
      <c r="X82" s="1" t="s">
        <v>73</v>
      </c>
      <c r="Z82" s="1" t="s">
        <v>70</v>
      </c>
      <c r="AA82" s="1" t="s">
        <v>95</v>
      </c>
      <c r="AB82" s="1">
        <v>5</v>
      </c>
      <c r="AC82" s="1">
        <v>748816.34</v>
      </c>
      <c r="AD82" s="1">
        <v>8930569.0899999999</v>
      </c>
      <c r="AE82" s="1">
        <v>210.36</v>
      </c>
      <c r="AF82" s="1">
        <v>748816.34</v>
      </c>
      <c r="AG82" s="1">
        <v>8930569.0899999999</v>
      </c>
      <c r="AH82" s="1">
        <v>199.69</v>
      </c>
      <c r="AI82" s="1">
        <v>10.67</v>
      </c>
      <c r="AJ82" s="1">
        <v>0.6</v>
      </c>
      <c r="AK82" s="1">
        <v>2.97</v>
      </c>
      <c r="AL82" s="1">
        <v>2.58</v>
      </c>
      <c r="AM82" s="1">
        <v>0</v>
      </c>
      <c r="AN82" s="1">
        <v>0</v>
      </c>
      <c r="AO82" s="1">
        <v>279.95422539999998</v>
      </c>
      <c r="AP82" s="1">
        <v>3.33</v>
      </c>
      <c r="AQ82" s="1">
        <v>0.46</v>
      </c>
      <c r="AR82" s="1">
        <v>0.06</v>
      </c>
      <c r="AS82" s="1">
        <v>0.06</v>
      </c>
      <c r="AT82" s="1">
        <v>14.55</v>
      </c>
      <c r="AU82" s="1">
        <v>4</v>
      </c>
      <c r="AV82" s="1">
        <v>0.22</v>
      </c>
      <c r="AW82" s="1">
        <v>1.93</v>
      </c>
      <c r="AX82" s="1">
        <v>8.27</v>
      </c>
      <c r="AY82" s="1">
        <v>0</v>
      </c>
      <c r="AZ82" s="1">
        <v>104.395</v>
      </c>
      <c r="BA82" s="1">
        <v>0</v>
      </c>
      <c r="BB82" s="1">
        <v>0</v>
      </c>
      <c r="BC82" s="1">
        <v>0</v>
      </c>
      <c r="BD82" s="1">
        <v>0</v>
      </c>
    </row>
    <row r="83" spans="1:56">
      <c r="A83" s="18">
        <v>46192</v>
      </c>
      <c r="B83" s="1">
        <v>82</v>
      </c>
      <c r="C83" s="1" t="s">
        <v>89</v>
      </c>
      <c r="D83" s="1" t="s">
        <v>90</v>
      </c>
      <c r="E83" s="1">
        <v>2</v>
      </c>
      <c r="F83" s="1">
        <v>200</v>
      </c>
      <c r="H83" s="1" t="s">
        <v>91</v>
      </c>
      <c r="I83" s="1" t="s">
        <v>79</v>
      </c>
      <c r="J83" s="1" t="s">
        <v>80</v>
      </c>
      <c r="K83" s="1" t="s">
        <v>74</v>
      </c>
      <c r="L83" s="1" t="s">
        <v>72</v>
      </c>
      <c r="M83" s="1" t="s">
        <v>75</v>
      </c>
      <c r="N83" s="1" t="s">
        <v>76</v>
      </c>
      <c r="O83" s="1" t="s">
        <v>77</v>
      </c>
      <c r="P83" s="1" t="s">
        <v>27</v>
      </c>
      <c r="Q83" s="1" t="s">
        <v>86</v>
      </c>
      <c r="R83" s="1" t="s">
        <v>94</v>
      </c>
      <c r="S83" s="1" t="s">
        <v>87</v>
      </c>
      <c r="T83" s="1" t="s">
        <v>88</v>
      </c>
      <c r="X83" s="1" t="s">
        <v>73</v>
      </c>
      <c r="Z83" s="1" t="s">
        <v>70</v>
      </c>
      <c r="AA83" s="1" t="s">
        <v>95</v>
      </c>
      <c r="AB83" s="1">
        <v>5</v>
      </c>
      <c r="AC83" s="1">
        <v>748814.18</v>
      </c>
      <c r="AD83" s="1">
        <v>8930571.1199999992</v>
      </c>
      <c r="AE83" s="1">
        <v>210.31</v>
      </c>
      <c r="AF83" s="1">
        <v>748814.18</v>
      </c>
      <c r="AG83" s="1">
        <v>8930571.1199999992</v>
      </c>
      <c r="AH83" s="1">
        <v>199.67</v>
      </c>
      <c r="AI83" s="1">
        <v>10.65</v>
      </c>
      <c r="AJ83" s="1">
        <v>0.6</v>
      </c>
      <c r="AK83" s="1">
        <v>2.97</v>
      </c>
      <c r="AL83" s="1">
        <v>2.58</v>
      </c>
      <c r="AM83" s="1">
        <v>0</v>
      </c>
      <c r="AN83" s="1">
        <v>0</v>
      </c>
      <c r="AO83" s="1">
        <v>279.95422539999998</v>
      </c>
      <c r="AP83" s="1">
        <v>3.36</v>
      </c>
      <c r="AQ83" s="1">
        <v>0.53</v>
      </c>
      <c r="AR83" s="1">
        <v>0.08</v>
      </c>
      <c r="AS83" s="1">
        <v>7.0000000000000007E-2</v>
      </c>
      <c r="AT83" s="1">
        <v>15.74</v>
      </c>
      <c r="AU83" s="1">
        <v>4.09</v>
      </c>
      <c r="AV83" s="1">
        <v>0.25</v>
      </c>
      <c r="AW83" s="1">
        <v>1.96</v>
      </c>
      <c r="AX83" s="1">
        <v>8.02</v>
      </c>
      <c r="AY83" s="1">
        <v>0</v>
      </c>
      <c r="AZ83" s="1">
        <v>104.104</v>
      </c>
      <c r="BA83" s="1">
        <v>0</v>
      </c>
      <c r="BB83" s="1">
        <v>0</v>
      </c>
      <c r="BC83" s="1">
        <v>0</v>
      </c>
      <c r="BD83" s="1">
        <v>0</v>
      </c>
    </row>
    <row r="84" spans="1:56">
      <c r="A84" s="18">
        <v>46192</v>
      </c>
      <c r="B84" s="1">
        <v>83</v>
      </c>
      <c r="C84" s="1" t="s">
        <v>89</v>
      </c>
      <c r="D84" s="1" t="s">
        <v>90</v>
      </c>
      <c r="E84" s="1">
        <v>2</v>
      </c>
      <c r="F84" s="1">
        <v>200</v>
      </c>
      <c r="H84" s="1" t="s">
        <v>91</v>
      </c>
      <c r="I84" s="1" t="s">
        <v>79</v>
      </c>
      <c r="J84" s="1" t="s">
        <v>80</v>
      </c>
      <c r="K84" s="1" t="s">
        <v>74</v>
      </c>
      <c r="L84" s="1" t="s">
        <v>72</v>
      </c>
      <c r="M84" s="1" t="s">
        <v>75</v>
      </c>
      <c r="N84" s="1" t="s">
        <v>76</v>
      </c>
      <c r="O84" s="1" t="s">
        <v>77</v>
      </c>
      <c r="P84" s="1" t="s">
        <v>27</v>
      </c>
      <c r="Q84" s="1" t="s">
        <v>86</v>
      </c>
      <c r="R84" s="1" t="s">
        <v>94</v>
      </c>
      <c r="S84" s="1" t="s">
        <v>87</v>
      </c>
      <c r="T84" s="1" t="s">
        <v>88</v>
      </c>
      <c r="X84" s="1" t="s">
        <v>73</v>
      </c>
      <c r="Z84" s="1" t="s">
        <v>70</v>
      </c>
      <c r="AA84" s="1" t="s">
        <v>95</v>
      </c>
      <c r="AB84" s="1">
        <v>5</v>
      </c>
      <c r="AC84" s="1">
        <v>748811.93</v>
      </c>
      <c r="AD84" s="1">
        <v>8930573.0600000005</v>
      </c>
      <c r="AE84" s="1">
        <v>210.24</v>
      </c>
      <c r="AF84" s="1">
        <v>748811.93</v>
      </c>
      <c r="AG84" s="1">
        <v>8930573.0600000005</v>
      </c>
      <c r="AH84" s="1">
        <v>199.67</v>
      </c>
      <c r="AI84" s="1">
        <v>10.57</v>
      </c>
      <c r="AJ84" s="1">
        <v>0.6</v>
      </c>
      <c r="AK84" s="1">
        <v>2.97</v>
      </c>
      <c r="AL84" s="1">
        <v>2.58</v>
      </c>
      <c r="AM84" s="1">
        <v>0</v>
      </c>
      <c r="AN84" s="1">
        <v>0</v>
      </c>
      <c r="AO84" s="1">
        <v>279.95422539999998</v>
      </c>
      <c r="AP84" s="1">
        <v>3.37</v>
      </c>
      <c r="AQ84" s="1">
        <v>0.56000000000000005</v>
      </c>
      <c r="AR84" s="1">
        <v>0.09</v>
      </c>
      <c r="AS84" s="1">
        <v>0.08</v>
      </c>
      <c r="AT84" s="1">
        <v>16.27</v>
      </c>
      <c r="AU84" s="1">
        <v>4.17</v>
      </c>
      <c r="AV84" s="1">
        <v>0.26</v>
      </c>
      <c r="AW84" s="1">
        <v>2</v>
      </c>
      <c r="AX84" s="1">
        <v>8.0500000000000007</v>
      </c>
      <c r="AY84" s="1">
        <v>0</v>
      </c>
      <c r="AZ84" s="1">
        <v>102.93899999999999</v>
      </c>
      <c r="BA84" s="1">
        <v>0</v>
      </c>
      <c r="BB84" s="1">
        <v>0</v>
      </c>
      <c r="BC84" s="1">
        <v>0</v>
      </c>
      <c r="BD84" s="1">
        <v>0</v>
      </c>
    </row>
    <row r="85" spans="1:56">
      <c r="A85" s="18">
        <v>46192</v>
      </c>
      <c r="B85" s="1">
        <v>84</v>
      </c>
      <c r="C85" s="1" t="s">
        <v>89</v>
      </c>
      <c r="D85" s="1" t="s">
        <v>90</v>
      </c>
      <c r="E85" s="1">
        <v>2</v>
      </c>
      <c r="F85" s="1">
        <v>200</v>
      </c>
      <c r="G85" s="1">
        <v>1</v>
      </c>
      <c r="H85" s="1" t="s">
        <v>91</v>
      </c>
      <c r="I85" s="1" t="s">
        <v>79</v>
      </c>
      <c r="J85" s="1" t="s">
        <v>80</v>
      </c>
      <c r="K85" s="1" t="s">
        <v>74</v>
      </c>
      <c r="L85" s="1" t="s">
        <v>72</v>
      </c>
      <c r="M85" s="1" t="s">
        <v>75</v>
      </c>
      <c r="N85" s="1" t="s">
        <v>76</v>
      </c>
      <c r="O85" s="1" t="s">
        <v>77</v>
      </c>
      <c r="P85" s="1" t="s">
        <v>27</v>
      </c>
      <c r="Q85" s="1" t="s">
        <v>86</v>
      </c>
      <c r="R85" s="1" t="s">
        <v>94</v>
      </c>
      <c r="S85" s="1" t="s">
        <v>87</v>
      </c>
      <c r="T85" s="1" t="s">
        <v>88</v>
      </c>
      <c r="X85" s="1" t="s">
        <v>73</v>
      </c>
      <c r="Z85" s="1" t="s">
        <v>70</v>
      </c>
      <c r="AA85" s="1" t="s">
        <v>95</v>
      </c>
      <c r="AB85" s="1">
        <v>5</v>
      </c>
      <c r="AC85" s="1">
        <v>748809.68</v>
      </c>
      <c r="AD85" s="1">
        <v>8930575</v>
      </c>
      <c r="AE85" s="1">
        <v>210.19</v>
      </c>
      <c r="AF85" s="1">
        <v>748809.68</v>
      </c>
      <c r="AG85" s="1">
        <v>8930575</v>
      </c>
      <c r="AH85" s="1">
        <v>199.67</v>
      </c>
      <c r="AI85" s="1">
        <v>10.52</v>
      </c>
      <c r="AJ85" s="1">
        <v>0.6</v>
      </c>
      <c r="AK85" s="1">
        <v>2.97</v>
      </c>
      <c r="AL85" s="1">
        <v>2.58</v>
      </c>
      <c r="AM85" s="1">
        <v>0</v>
      </c>
      <c r="AN85" s="1">
        <v>0</v>
      </c>
      <c r="AO85" s="1">
        <v>279.95422539999998</v>
      </c>
      <c r="AP85" s="1">
        <v>3.34</v>
      </c>
      <c r="AQ85" s="1">
        <v>0.51</v>
      </c>
      <c r="AR85" s="1">
        <v>0.09</v>
      </c>
      <c r="AS85" s="1">
        <v>7.0000000000000007E-2</v>
      </c>
      <c r="AT85" s="1">
        <v>16.920000000000002</v>
      </c>
      <c r="AU85" s="1">
        <v>4.79</v>
      </c>
      <c r="AV85" s="1">
        <v>0.24</v>
      </c>
      <c r="AW85" s="1">
        <v>1.99</v>
      </c>
      <c r="AX85" s="1">
        <v>8.41</v>
      </c>
      <c r="AY85" s="1">
        <v>0</v>
      </c>
      <c r="AZ85" s="1">
        <v>102.211</v>
      </c>
      <c r="BA85" s="1">
        <v>0</v>
      </c>
      <c r="BB85" s="1">
        <v>0</v>
      </c>
      <c r="BC85" s="1">
        <v>0</v>
      </c>
      <c r="BD85" s="1">
        <v>0</v>
      </c>
    </row>
    <row r="86" spans="1:56">
      <c r="A86" s="18">
        <v>46192</v>
      </c>
      <c r="B86" s="1">
        <v>85</v>
      </c>
      <c r="C86" s="1" t="s">
        <v>89</v>
      </c>
      <c r="D86" s="1" t="s">
        <v>90</v>
      </c>
      <c r="E86" s="1">
        <v>2</v>
      </c>
      <c r="F86" s="1">
        <v>200</v>
      </c>
      <c r="G86" s="1">
        <v>1</v>
      </c>
      <c r="H86" s="1" t="s">
        <v>91</v>
      </c>
      <c r="I86" s="1" t="s">
        <v>79</v>
      </c>
      <c r="J86" s="1" t="s">
        <v>80</v>
      </c>
      <c r="K86" s="1" t="s">
        <v>74</v>
      </c>
      <c r="L86" s="1" t="s">
        <v>72</v>
      </c>
      <c r="M86" s="1" t="s">
        <v>75</v>
      </c>
      <c r="N86" s="1" t="s">
        <v>76</v>
      </c>
      <c r="O86" s="1" t="s">
        <v>77</v>
      </c>
      <c r="P86" s="1" t="s">
        <v>27</v>
      </c>
      <c r="Q86" s="1" t="s">
        <v>86</v>
      </c>
      <c r="R86" s="1" t="s">
        <v>94</v>
      </c>
      <c r="S86" s="1" t="s">
        <v>87</v>
      </c>
      <c r="T86" s="1" t="s">
        <v>88</v>
      </c>
      <c r="X86" s="1" t="s">
        <v>73</v>
      </c>
      <c r="Z86" s="1" t="s">
        <v>70</v>
      </c>
      <c r="AA86" s="1" t="s">
        <v>95</v>
      </c>
      <c r="AB86" s="1">
        <v>5</v>
      </c>
      <c r="AC86" s="1">
        <v>748807.43</v>
      </c>
      <c r="AD86" s="1">
        <v>8930576.9399999995</v>
      </c>
      <c r="AE86" s="1">
        <v>210.08</v>
      </c>
      <c r="AF86" s="1">
        <v>748807.43</v>
      </c>
      <c r="AG86" s="1">
        <v>8930576.9399999995</v>
      </c>
      <c r="AH86" s="1">
        <v>199.67</v>
      </c>
      <c r="AI86" s="1">
        <v>10.41</v>
      </c>
      <c r="AJ86" s="1">
        <v>0.6</v>
      </c>
      <c r="AK86" s="1">
        <v>2.97</v>
      </c>
      <c r="AL86" s="1">
        <v>2.58</v>
      </c>
      <c r="AM86" s="1">
        <v>0</v>
      </c>
      <c r="AN86" s="1">
        <v>0</v>
      </c>
      <c r="AO86" s="1">
        <v>279.95422539999998</v>
      </c>
      <c r="AP86" s="1">
        <v>3.3</v>
      </c>
      <c r="AQ86" s="1">
        <v>0.44</v>
      </c>
      <c r="AR86" s="1">
        <v>0.08</v>
      </c>
      <c r="AS86" s="1">
        <v>7.0000000000000007E-2</v>
      </c>
      <c r="AT86" s="1">
        <v>16.190000000000001</v>
      </c>
      <c r="AU86" s="1">
        <v>4.83</v>
      </c>
      <c r="AV86" s="1">
        <v>0.21</v>
      </c>
      <c r="AW86" s="1">
        <v>1.87</v>
      </c>
      <c r="AX86" s="1">
        <v>8.17</v>
      </c>
      <c r="AY86" s="1">
        <v>0</v>
      </c>
      <c r="AZ86" s="1">
        <v>100.61</v>
      </c>
      <c r="BA86" s="1">
        <v>0</v>
      </c>
      <c r="BB86" s="1">
        <v>0</v>
      </c>
      <c r="BC86" s="1">
        <v>0</v>
      </c>
      <c r="BD86" s="1">
        <v>0</v>
      </c>
    </row>
    <row r="87" spans="1:56">
      <c r="A87" s="18">
        <v>46192</v>
      </c>
      <c r="B87" s="1">
        <v>86</v>
      </c>
      <c r="C87" s="1" t="s">
        <v>89</v>
      </c>
      <c r="D87" s="1" t="s">
        <v>90</v>
      </c>
      <c r="E87" s="1">
        <v>2</v>
      </c>
      <c r="F87" s="1">
        <v>200</v>
      </c>
      <c r="G87" s="1">
        <v>1</v>
      </c>
      <c r="H87" s="1" t="s">
        <v>91</v>
      </c>
      <c r="I87" s="1" t="s">
        <v>79</v>
      </c>
      <c r="J87" s="1" t="s">
        <v>80</v>
      </c>
      <c r="K87" s="1" t="s">
        <v>74</v>
      </c>
      <c r="L87" s="1" t="s">
        <v>72</v>
      </c>
      <c r="M87" s="1" t="s">
        <v>75</v>
      </c>
      <c r="N87" s="1" t="s">
        <v>76</v>
      </c>
      <c r="O87" s="1" t="s">
        <v>77</v>
      </c>
      <c r="P87" s="1" t="s">
        <v>27</v>
      </c>
      <c r="Q87" s="1" t="s">
        <v>86</v>
      </c>
      <c r="R87" s="1" t="s">
        <v>94</v>
      </c>
      <c r="S87" s="1" t="s">
        <v>87</v>
      </c>
      <c r="T87" s="1" t="s">
        <v>88</v>
      </c>
      <c r="X87" s="1" t="s">
        <v>73</v>
      </c>
      <c r="Z87" s="1" t="s">
        <v>70</v>
      </c>
      <c r="AA87" s="1" t="s">
        <v>95</v>
      </c>
      <c r="AB87" s="1">
        <v>5</v>
      </c>
      <c r="AC87" s="1">
        <v>748805.18</v>
      </c>
      <c r="AD87" s="1">
        <v>8930578.8800000008</v>
      </c>
      <c r="AE87" s="1">
        <v>209.94</v>
      </c>
      <c r="AF87" s="1">
        <v>748805.18</v>
      </c>
      <c r="AG87" s="1">
        <v>8930578.8800000008</v>
      </c>
      <c r="AH87" s="1">
        <v>199.67</v>
      </c>
      <c r="AI87" s="1">
        <v>10.27</v>
      </c>
      <c r="AJ87" s="1">
        <v>0.6</v>
      </c>
      <c r="AK87" s="1">
        <v>2.97</v>
      </c>
      <c r="AL87" s="1">
        <v>2.58</v>
      </c>
      <c r="AM87" s="1">
        <v>0</v>
      </c>
      <c r="AN87" s="1">
        <v>0</v>
      </c>
      <c r="AO87" s="1">
        <v>279.95422539999998</v>
      </c>
      <c r="AP87" s="1">
        <v>3.24</v>
      </c>
      <c r="AQ87" s="1">
        <v>0.41</v>
      </c>
      <c r="AR87" s="1">
        <v>0.08</v>
      </c>
      <c r="AS87" s="1">
        <v>0.06</v>
      </c>
      <c r="AT87" s="1">
        <v>14.59</v>
      </c>
      <c r="AU87" s="1">
        <v>4.22</v>
      </c>
      <c r="AV87" s="1">
        <v>0.2</v>
      </c>
      <c r="AW87" s="1">
        <v>1.64</v>
      </c>
      <c r="AX87" s="1">
        <v>7.08</v>
      </c>
      <c r="AY87" s="1">
        <v>0</v>
      </c>
      <c r="AZ87" s="1">
        <v>98.570999999999998</v>
      </c>
      <c r="BA87" s="1">
        <v>0</v>
      </c>
      <c r="BB87" s="1">
        <v>0</v>
      </c>
      <c r="BC87" s="1">
        <v>0</v>
      </c>
      <c r="BD87" s="1">
        <v>0</v>
      </c>
    </row>
    <row r="88" spans="1:56">
      <c r="A88" s="18">
        <v>46192</v>
      </c>
      <c r="B88" s="1">
        <v>87</v>
      </c>
      <c r="C88" s="1" t="s">
        <v>89</v>
      </c>
      <c r="D88" s="1" t="s">
        <v>90</v>
      </c>
      <c r="E88" s="1">
        <v>2</v>
      </c>
      <c r="F88" s="1">
        <v>200</v>
      </c>
      <c r="G88" s="1">
        <v>1</v>
      </c>
      <c r="H88" s="1" t="s">
        <v>91</v>
      </c>
      <c r="I88" s="1" t="s">
        <v>79</v>
      </c>
      <c r="J88" s="1" t="s">
        <v>80</v>
      </c>
      <c r="K88" s="1" t="s">
        <v>74</v>
      </c>
      <c r="L88" s="1" t="s">
        <v>72</v>
      </c>
      <c r="M88" s="1" t="s">
        <v>75</v>
      </c>
      <c r="N88" s="1" t="s">
        <v>76</v>
      </c>
      <c r="O88" s="1" t="s">
        <v>77</v>
      </c>
      <c r="P88" s="1" t="s">
        <v>27</v>
      </c>
      <c r="Q88" s="1" t="s">
        <v>86</v>
      </c>
      <c r="R88" s="1" t="s">
        <v>94</v>
      </c>
      <c r="S88" s="1" t="s">
        <v>87</v>
      </c>
      <c r="T88" s="1" t="s">
        <v>88</v>
      </c>
      <c r="X88" s="1" t="s">
        <v>73</v>
      </c>
      <c r="Z88" s="1" t="s">
        <v>70</v>
      </c>
      <c r="AA88" s="1" t="s">
        <v>95</v>
      </c>
      <c r="AB88" s="1">
        <v>5</v>
      </c>
      <c r="AC88" s="1">
        <v>748802.93</v>
      </c>
      <c r="AD88" s="1">
        <v>8930580.8200000003</v>
      </c>
      <c r="AE88" s="1">
        <v>210.31</v>
      </c>
      <c r="AF88" s="1">
        <v>748802.93</v>
      </c>
      <c r="AG88" s="1">
        <v>8930580.8200000003</v>
      </c>
      <c r="AH88" s="1">
        <v>199.67</v>
      </c>
      <c r="AI88" s="1">
        <v>10.64</v>
      </c>
      <c r="AJ88" s="1">
        <v>0.6</v>
      </c>
      <c r="AK88" s="1">
        <v>2.97</v>
      </c>
      <c r="AL88" s="1">
        <v>2.58</v>
      </c>
      <c r="AM88" s="1">
        <v>0</v>
      </c>
      <c r="AN88" s="1">
        <v>0</v>
      </c>
      <c r="AO88" s="1">
        <v>279.95422539999998</v>
      </c>
      <c r="AP88" s="1">
        <v>3.16</v>
      </c>
      <c r="AQ88" s="1">
        <v>0.45</v>
      </c>
      <c r="AR88" s="1">
        <v>0.09</v>
      </c>
      <c r="AS88" s="1">
        <v>0.06</v>
      </c>
      <c r="AT88" s="1">
        <v>14.42</v>
      </c>
      <c r="AU88" s="1">
        <v>3.8</v>
      </c>
      <c r="AV88" s="1">
        <v>0.23</v>
      </c>
      <c r="AW88" s="1">
        <v>1.39</v>
      </c>
      <c r="AX88" s="1">
        <v>5.82</v>
      </c>
      <c r="AY88" s="1">
        <v>0</v>
      </c>
      <c r="AZ88" s="1">
        <v>103.958</v>
      </c>
      <c r="BA88" s="1">
        <v>0</v>
      </c>
      <c r="BB88" s="1">
        <v>0</v>
      </c>
      <c r="BC88" s="1">
        <v>0</v>
      </c>
      <c r="BD88" s="1">
        <v>0</v>
      </c>
    </row>
    <row r="89" spans="1:56">
      <c r="A89" s="18">
        <v>46192</v>
      </c>
      <c r="B89" s="1">
        <v>88</v>
      </c>
      <c r="C89" s="1" t="s">
        <v>89</v>
      </c>
      <c r="D89" s="1" t="s">
        <v>90</v>
      </c>
      <c r="E89" s="1">
        <v>2</v>
      </c>
      <c r="F89" s="1">
        <v>200</v>
      </c>
      <c r="G89" s="1">
        <v>1</v>
      </c>
      <c r="H89" s="1" t="s">
        <v>91</v>
      </c>
      <c r="I89" s="1" t="s">
        <v>79</v>
      </c>
      <c r="J89" s="1" t="s">
        <v>80</v>
      </c>
      <c r="K89" s="1" t="s">
        <v>74</v>
      </c>
      <c r="L89" s="1" t="s">
        <v>72</v>
      </c>
      <c r="M89" s="1" t="s">
        <v>75</v>
      </c>
      <c r="N89" s="1" t="s">
        <v>76</v>
      </c>
      <c r="O89" s="1" t="s">
        <v>77</v>
      </c>
      <c r="P89" s="1" t="s">
        <v>27</v>
      </c>
      <c r="Q89" s="1" t="s">
        <v>86</v>
      </c>
      <c r="R89" s="1" t="s">
        <v>94</v>
      </c>
      <c r="S89" s="1" t="s">
        <v>87</v>
      </c>
      <c r="T89" s="1" t="s">
        <v>88</v>
      </c>
      <c r="X89" s="1" t="s">
        <v>73</v>
      </c>
      <c r="Z89" s="1" t="s">
        <v>70</v>
      </c>
      <c r="AA89" s="1" t="s">
        <v>95</v>
      </c>
      <c r="AB89" s="1">
        <v>5</v>
      </c>
      <c r="AC89" s="1">
        <v>748800.67</v>
      </c>
      <c r="AD89" s="1">
        <v>8930582.75</v>
      </c>
      <c r="AE89" s="1">
        <v>210.19</v>
      </c>
      <c r="AF89" s="1">
        <v>748800.67</v>
      </c>
      <c r="AG89" s="1">
        <v>8930582.75</v>
      </c>
      <c r="AH89" s="1">
        <v>199.67</v>
      </c>
      <c r="AI89" s="1">
        <v>10.52</v>
      </c>
      <c r="AJ89" s="1">
        <v>0.6</v>
      </c>
      <c r="AK89" s="1">
        <v>2.97</v>
      </c>
      <c r="AL89" s="1">
        <v>2.58</v>
      </c>
      <c r="AM89" s="1">
        <v>0</v>
      </c>
      <c r="AN89" s="1">
        <v>0</v>
      </c>
      <c r="AO89" s="1">
        <v>279.95422539999998</v>
      </c>
      <c r="AP89" s="1">
        <v>3.11</v>
      </c>
      <c r="AQ89" s="1">
        <v>0.48</v>
      </c>
      <c r="AR89" s="1">
        <v>0.09</v>
      </c>
      <c r="AS89" s="1">
        <v>7.0000000000000007E-2</v>
      </c>
      <c r="AT89" s="1">
        <v>14.54</v>
      </c>
      <c r="AU89" s="1">
        <v>3.45</v>
      </c>
      <c r="AV89" s="1">
        <v>0.24</v>
      </c>
      <c r="AW89" s="1">
        <v>1.28</v>
      </c>
      <c r="AX89" s="1">
        <v>4.95</v>
      </c>
      <c r="AY89" s="1">
        <v>0</v>
      </c>
      <c r="AZ89" s="1">
        <v>102.211</v>
      </c>
      <c r="BA89" s="1">
        <v>0</v>
      </c>
      <c r="BB89" s="1">
        <v>0</v>
      </c>
      <c r="BC89" s="1">
        <v>0</v>
      </c>
      <c r="BD89" s="1">
        <v>0</v>
      </c>
    </row>
    <row r="90" spans="1:56">
      <c r="A90" s="18">
        <v>46192</v>
      </c>
      <c r="B90" s="1">
        <v>89</v>
      </c>
      <c r="C90" s="1" t="s">
        <v>89</v>
      </c>
      <c r="D90" s="1" t="s">
        <v>90</v>
      </c>
      <c r="E90" s="1">
        <v>2</v>
      </c>
      <c r="F90" s="1">
        <v>200</v>
      </c>
      <c r="G90" s="1">
        <v>1</v>
      </c>
      <c r="H90" s="1" t="s">
        <v>91</v>
      </c>
      <c r="I90" s="1" t="s">
        <v>79</v>
      </c>
      <c r="J90" s="1" t="s">
        <v>81</v>
      </c>
      <c r="K90" s="1" t="s">
        <v>74</v>
      </c>
      <c r="L90" s="1" t="s">
        <v>72</v>
      </c>
      <c r="M90" s="1" t="s">
        <v>75</v>
      </c>
      <c r="N90" s="1" t="s">
        <v>76</v>
      </c>
      <c r="O90" s="1" t="s">
        <v>77</v>
      </c>
      <c r="P90" s="1" t="s">
        <v>27</v>
      </c>
      <c r="Q90" s="1" t="s">
        <v>86</v>
      </c>
      <c r="R90" s="1" t="s">
        <v>94</v>
      </c>
      <c r="S90" s="1" t="s">
        <v>87</v>
      </c>
      <c r="T90" s="1" t="s">
        <v>88</v>
      </c>
      <c r="X90" s="1" t="s">
        <v>73</v>
      </c>
      <c r="Z90" s="1" t="s">
        <v>70</v>
      </c>
      <c r="AA90" s="1" t="s">
        <v>95</v>
      </c>
      <c r="AB90" s="1">
        <v>5</v>
      </c>
      <c r="AC90" s="1">
        <v>748798.42</v>
      </c>
      <c r="AD90" s="1">
        <v>8930584.6899999995</v>
      </c>
      <c r="AE90" s="1">
        <v>210.47</v>
      </c>
      <c r="AF90" s="1">
        <v>748798.42</v>
      </c>
      <c r="AG90" s="1">
        <v>8930584.6899999995</v>
      </c>
      <c r="AH90" s="1">
        <v>199.67</v>
      </c>
      <c r="AI90" s="1">
        <v>10.8</v>
      </c>
      <c r="AJ90" s="1">
        <v>0.6</v>
      </c>
      <c r="AK90" s="1">
        <v>2.97</v>
      </c>
      <c r="AL90" s="1">
        <v>2.58</v>
      </c>
      <c r="AM90" s="1">
        <v>0</v>
      </c>
      <c r="AN90" s="1">
        <v>0</v>
      </c>
      <c r="AO90" s="1">
        <v>279.95422539999998</v>
      </c>
      <c r="AP90" s="1">
        <v>3.07</v>
      </c>
      <c r="AQ90" s="1">
        <v>0.49</v>
      </c>
      <c r="AR90" s="1">
        <v>0.08</v>
      </c>
      <c r="AS90" s="1">
        <v>7.0000000000000007E-2</v>
      </c>
      <c r="AT90" s="1">
        <v>15.07</v>
      </c>
      <c r="AU90" s="1">
        <v>3.21</v>
      </c>
      <c r="AV90" s="1">
        <v>0.23</v>
      </c>
      <c r="AW90" s="1">
        <v>1.28</v>
      </c>
      <c r="AX90" s="1">
        <v>4.5</v>
      </c>
      <c r="AY90" s="1">
        <v>0</v>
      </c>
      <c r="AZ90" s="1">
        <v>106.288</v>
      </c>
      <c r="BA90" s="1">
        <v>0</v>
      </c>
      <c r="BB90" s="1">
        <v>0</v>
      </c>
      <c r="BC90" s="1">
        <v>0</v>
      </c>
      <c r="BD90" s="1">
        <v>0</v>
      </c>
    </row>
    <row r="91" spans="1:56">
      <c r="A91" s="18">
        <v>46192</v>
      </c>
      <c r="B91" s="1">
        <v>90</v>
      </c>
      <c r="C91" s="1" t="s">
        <v>89</v>
      </c>
      <c r="D91" s="1" t="s">
        <v>90</v>
      </c>
      <c r="E91" s="1">
        <v>2</v>
      </c>
      <c r="F91" s="1">
        <v>200</v>
      </c>
      <c r="G91" s="1">
        <v>1</v>
      </c>
      <c r="H91" s="1" t="s">
        <v>91</v>
      </c>
      <c r="I91" s="1" t="s">
        <v>79</v>
      </c>
      <c r="J91" s="1" t="s">
        <v>81</v>
      </c>
      <c r="K91" s="1" t="s">
        <v>74</v>
      </c>
      <c r="L91" s="1" t="s">
        <v>72</v>
      </c>
      <c r="M91" s="1" t="s">
        <v>75</v>
      </c>
      <c r="N91" s="1" t="s">
        <v>76</v>
      </c>
      <c r="O91" s="1" t="s">
        <v>77</v>
      </c>
      <c r="P91" s="1" t="s">
        <v>27</v>
      </c>
      <c r="Q91" s="1" t="s">
        <v>86</v>
      </c>
      <c r="R91" s="1" t="s">
        <v>94</v>
      </c>
      <c r="S91" s="1" t="s">
        <v>87</v>
      </c>
      <c r="T91" s="1" t="s">
        <v>88</v>
      </c>
      <c r="X91" s="1" t="s">
        <v>73</v>
      </c>
      <c r="Z91" s="1" t="s">
        <v>70</v>
      </c>
      <c r="AA91" s="1" t="s">
        <v>95</v>
      </c>
      <c r="AB91" s="1">
        <v>5</v>
      </c>
      <c r="AC91" s="1">
        <v>748796.17</v>
      </c>
      <c r="AD91" s="1">
        <v>8930586.6300000008</v>
      </c>
      <c r="AE91" s="1">
        <v>210.76</v>
      </c>
      <c r="AF91" s="1">
        <v>748796.17</v>
      </c>
      <c r="AG91" s="1">
        <v>8930586.6300000008</v>
      </c>
      <c r="AH91" s="1">
        <v>199.67</v>
      </c>
      <c r="AI91" s="1">
        <v>11.09</v>
      </c>
      <c r="AJ91" s="1">
        <v>0.6</v>
      </c>
      <c r="AK91" s="1">
        <v>2.97</v>
      </c>
      <c r="AL91" s="1">
        <v>2.58</v>
      </c>
      <c r="AM91" s="1">
        <v>0</v>
      </c>
      <c r="AN91" s="1">
        <v>0</v>
      </c>
      <c r="AO91" s="1">
        <v>279.95422539999998</v>
      </c>
      <c r="AP91" s="1">
        <v>3.07</v>
      </c>
      <c r="AQ91" s="1">
        <v>0.47</v>
      </c>
      <c r="AR91" s="1">
        <v>0.08</v>
      </c>
      <c r="AS91" s="1">
        <v>7.0000000000000007E-2</v>
      </c>
      <c r="AT91" s="1">
        <v>14.55</v>
      </c>
      <c r="AU91" s="1">
        <v>3.07</v>
      </c>
      <c r="AV91" s="1">
        <v>0.22</v>
      </c>
      <c r="AW91" s="1">
        <v>1.23</v>
      </c>
      <c r="AX91" s="1">
        <v>4.29</v>
      </c>
      <c r="AY91" s="1">
        <v>0</v>
      </c>
      <c r="AZ91" s="1">
        <v>110.51</v>
      </c>
      <c r="BA91" s="1">
        <v>0</v>
      </c>
      <c r="BB91" s="1">
        <v>0</v>
      </c>
      <c r="BC91" s="1">
        <v>0</v>
      </c>
      <c r="BD91" s="1">
        <v>0</v>
      </c>
    </row>
    <row r="92" spans="1:56">
      <c r="A92" s="18">
        <v>46192</v>
      </c>
      <c r="B92" s="1">
        <v>91</v>
      </c>
      <c r="C92" s="1" t="s">
        <v>89</v>
      </c>
      <c r="D92" s="1" t="s">
        <v>90</v>
      </c>
      <c r="E92" s="1">
        <v>2</v>
      </c>
      <c r="F92" s="1">
        <v>200</v>
      </c>
      <c r="H92" s="1" t="s">
        <v>91</v>
      </c>
      <c r="I92" s="1" t="s">
        <v>79</v>
      </c>
      <c r="J92" s="1" t="s">
        <v>81</v>
      </c>
      <c r="K92" s="1" t="s">
        <v>74</v>
      </c>
      <c r="L92" s="1" t="s">
        <v>72</v>
      </c>
      <c r="M92" s="1" t="s">
        <v>75</v>
      </c>
      <c r="N92" s="1" t="s">
        <v>76</v>
      </c>
      <c r="O92" s="1" t="s">
        <v>77</v>
      </c>
      <c r="P92" s="1" t="s">
        <v>27</v>
      </c>
      <c r="Q92" s="1" t="s">
        <v>86</v>
      </c>
      <c r="R92" s="1" t="s">
        <v>94</v>
      </c>
      <c r="S92" s="1" t="s">
        <v>87</v>
      </c>
      <c r="T92" s="1" t="s">
        <v>88</v>
      </c>
      <c r="X92" s="1" t="s">
        <v>73</v>
      </c>
      <c r="Z92" s="1" t="s">
        <v>70</v>
      </c>
      <c r="AA92" s="1" t="s">
        <v>95</v>
      </c>
      <c r="AB92" s="1">
        <v>5</v>
      </c>
      <c r="AC92" s="1">
        <v>748793.92</v>
      </c>
      <c r="AD92" s="1">
        <v>8930588.5700000003</v>
      </c>
      <c r="AE92" s="1">
        <v>211.21</v>
      </c>
      <c r="AF92" s="1">
        <v>748793.92</v>
      </c>
      <c r="AG92" s="1">
        <v>8930588.5700000003</v>
      </c>
      <c r="AH92" s="1">
        <v>199.67</v>
      </c>
      <c r="AI92" s="1">
        <v>11.54</v>
      </c>
      <c r="AJ92" s="1">
        <v>0.6</v>
      </c>
      <c r="AK92" s="1">
        <v>2.97</v>
      </c>
      <c r="AL92" s="1">
        <v>2.58</v>
      </c>
      <c r="AM92" s="1">
        <v>0</v>
      </c>
      <c r="AN92" s="1">
        <v>0</v>
      </c>
      <c r="AO92" s="1">
        <v>279.95422539999998</v>
      </c>
      <c r="AP92" s="1">
        <v>3.05</v>
      </c>
      <c r="AQ92" s="1">
        <v>0.46</v>
      </c>
      <c r="AR92" s="1">
        <v>0.08</v>
      </c>
      <c r="AS92" s="1">
        <v>7.0000000000000007E-2</v>
      </c>
      <c r="AT92" s="1">
        <v>14.23</v>
      </c>
      <c r="AU92" s="1">
        <v>3</v>
      </c>
      <c r="AV92" s="1">
        <v>0.21</v>
      </c>
      <c r="AW92" s="1">
        <v>1.19</v>
      </c>
      <c r="AX92" s="1">
        <v>4.16</v>
      </c>
      <c r="AY92" s="1">
        <v>0</v>
      </c>
      <c r="AZ92" s="1">
        <v>117.062</v>
      </c>
      <c r="BA92" s="1">
        <v>0</v>
      </c>
      <c r="BB92" s="1">
        <v>0</v>
      </c>
      <c r="BC92" s="1">
        <v>0</v>
      </c>
      <c r="BD92" s="1">
        <v>0</v>
      </c>
    </row>
    <row r="93" spans="1:56">
      <c r="A93" s="18">
        <v>46192</v>
      </c>
      <c r="B93" s="1">
        <v>92</v>
      </c>
      <c r="C93" s="1" t="s">
        <v>89</v>
      </c>
      <c r="D93" s="1" t="s">
        <v>90</v>
      </c>
      <c r="E93" s="1">
        <v>2</v>
      </c>
      <c r="F93" s="1">
        <v>200</v>
      </c>
      <c r="H93" s="1" t="s">
        <v>91</v>
      </c>
      <c r="I93" s="1" t="s">
        <v>79</v>
      </c>
      <c r="J93" s="1" t="s">
        <v>81</v>
      </c>
      <c r="K93" s="1" t="s">
        <v>74</v>
      </c>
      <c r="L93" s="1" t="s">
        <v>72</v>
      </c>
      <c r="M93" s="1" t="s">
        <v>75</v>
      </c>
      <c r="N93" s="1" t="s">
        <v>76</v>
      </c>
      <c r="O93" s="1" t="s">
        <v>77</v>
      </c>
      <c r="P93" s="1" t="s">
        <v>27</v>
      </c>
      <c r="Q93" s="1" t="s">
        <v>86</v>
      </c>
      <c r="R93" s="1" t="s">
        <v>94</v>
      </c>
      <c r="S93" s="1" t="s">
        <v>87</v>
      </c>
      <c r="T93" s="1" t="s">
        <v>88</v>
      </c>
      <c r="X93" s="1" t="s">
        <v>73</v>
      </c>
      <c r="Z93" s="1" t="s">
        <v>70</v>
      </c>
      <c r="AA93" s="1" t="s">
        <v>95</v>
      </c>
      <c r="AB93" s="1">
        <v>5</v>
      </c>
      <c r="AC93" s="1">
        <v>748791.67</v>
      </c>
      <c r="AD93" s="1">
        <v>8930590.5099999998</v>
      </c>
      <c r="AE93" s="1">
        <v>210.89</v>
      </c>
      <c r="AF93" s="1">
        <v>748791.67</v>
      </c>
      <c r="AG93" s="1">
        <v>8930590.5099999998</v>
      </c>
      <c r="AH93" s="1">
        <v>199.67</v>
      </c>
      <c r="AI93" s="1">
        <v>11.22</v>
      </c>
      <c r="AJ93" s="1">
        <v>0.6</v>
      </c>
      <c r="AK93" s="1">
        <v>2.97</v>
      </c>
      <c r="AL93" s="1">
        <v>2.58</v>
      </c>
      <c r="AM93" s="1">
        <v>0</v>
      </c>
      <c r="AN93" s="1">
        <v>0</v>
      </c>
      <c r="AO93" s="1">
        <v>279.95422539999998</v>
      </c>
      <c r="AP93" s="1">
        <v>3.02</v>
      </c>
      <c r="AQ93" s="1">
        <v>0.47</v>
      </c>
      <c r="AR93" s="1">
        <v>0.08</v>
      </c>
      <c r="AS93" s="1">
        <v>7.0000000000000007E-2</v>
      </c>
      <c r="AT93" s="1">
        <v>14.2</v>
      </c>
      <c r="AU93" s="1">
        <v>3.07</v>
      </c>
      <c r="AV93" s="1">
        <v>0.19</v>
      </c>
      <c r="AW93" s="1">
        <v>1.18</v>
      </c>
      <c r="AX93" s="1">
        <v>4.04</v>
      </c>
      <c r="AY93" s="1">
        <v>0</v>
      </c>
      <c r="AZ93" s="1">
        <v>112.40300000000001</v>
      </c>
      <c r="BA93" s="1">
        <v>0</v>
      </c>
      <c r="BB93" s="1">
        <v>0</v>
      </c>
      <c r="BC93" s="1">
        <v>0</v>
      </c>
      <c r="BD93" s="1">
        <v>0</v>
      </c>
    </row>
    <row r="94" spans="1:56">
      <c r="A94" s="18">
        <v>46192</v>
      </c>
      <c r="B94" s="1">
        <v>93</v>
      </c>
      <c r="C94" s="1" t="s">
        <v>89</v>
      </c>
      <c r="D94" s="1" t="s">
        <v>90</v>
      </c>
      <c r="E94" s="1">
        <v>2</v>
      </c>
      <c r="F94" s="1">
        <v>200</v>
      </c>
      <c r="H94" s="1" t="s">
        <v>91</v>
      </c>
      <c r="I94" s="1" t="s">
        <v>79</v>
      </c>
      <c r="J94" s="1" t="s">
        <v>81</v>
      </c>
      <c r="K94" s="1" t="s">
        <v>74</v>
      </c>
      <c r="L94" s="1" t="s">
        <v>72</v>
      </c>
      <c r="M94" s="1" t="s">
        <v>75</v>
      </c>
      <c r="N94" s="1" t="s">
        <v>76</v>
      </c>
      <c r="O94" s="1" t="s">
        <v>77</v>
      </c>
      <c r="P94" s="1" t="s">
        <v>27</v>
      </c>
      <c r="Q94" s="1" t="s">
        <v>86</v>
      </c>
      <c r="R94" s="1" t="s">
        <v>94</v>
      </c>
      <c r="S94" s="1" t="s">
        <v>87</v>
      </c>
      <c r="T94" s="1" t="s">
        <v>88</v>
      </c>
      <c r="X94" s="1" t="s">
        <v>73</v>
      </c>
      <c r="Z94" s="1" t="s">
        <v>70</v>
      </c>
      <c r="AA94" s="1" t="s">
        <v>95</v>
      </c>
      <c r="AB94" s="1">
        <v>5</v>
      </c>
      <c r="AC94" s="1">
        <v>748789.37</v>
      </c>
      <c r="AD94" s="1">
        <v>8930592.3800000008</v>
      </c>
      <c r="AE94" s="1">
        <v>211.13</v>
      </c>
      <c r="AF94" s="1">
        <v>748789.37</v>
      </c>
      <c r="AG94" s="1">
        <v>8930592.3800000008</v>
      </c>
      <c r="AH94" s="1">
        <v>199.67</v>
      </c>
      <c r="AI94" s="1">
        <v>11.46</v>
      </c>
      <c r="AJ94" s="1">
        <v>0.6</v>
      </c>
      <c r="AK94" s="1">
        <v>2.97</v>
      </c>
      <c r="AL94" s="1">
        <v>2.58</v>
      </c>
      <c r="AM94" s="1">
        <v>0</v>
      </c>
      <c r="AN94" s="1">
        <v>0</v>
      </c>
      <c r="AO94" s="1">
        <v>279.95422539999998</v>
      </c>
      <c r="AP94" s="1">
        <v>3.03</v>
      </c>
      <c r="AQ94" s="1">
        <v>0.48</v>
      </c>
      <c r="AR94" s="1">
        <v>7.0000000000000007E-2</v>
      </c>
      <c r="AS94" s="1">
        <v>0.08</v>
      </c>
      <c r="AT94" s="1">
        <v>14.81</v>
      </c>
      <c r="AU94" s="1">
        <v>3.59</v>
      </c>
      <c r="AV94" s="1">
        <v>0.14000000000000001</v>
      </c>
      <c r="AW94" s="1">
        <v>0.88</v>
      </c>
      <c r="AX94" s="1">
        <v>4.29</v>
      </c>
      <c r="AY94" s="1">
        <v>0</v>
      </c>
      <c r="AZ94" s="1">
        <v>115.898</v>
      </c>
      <c r="BA94" s="1">
        <v>0</v>
      </c>
      <c r="BB94" s="1">
        <v>0</v>
      </c>
      <c r="BC94" s="1">
        <v>0</v>
      </c>
      <c r="BD94" s="1">
        <v>0</v>
      </c>
    </row>
    <row r="95" spans="1:56">
      <c r="A95" s="18">
        <v>46192</v>
      </c>
      <c r="B95" s="1">
        <v>94</v>
      </c>
      <c r="C95" s="1" t="s">
        <v>89</v>
      </c>
      <c r="D95" s="1" t="s">
        <v>90</v>
      </c>
      <c r="E95" s="1">
        <v>2</v>
      </c>
      <c r="F95" s="1">
        <v>200</v>
      </c>
      <c r="H95" s="1" t="s">
        <v>91</v>
      </c>
      <c r="I95" s="1" t="s">
        <v>79</v>
      </c>
      <c r="J95" s="1" t="s">
        <v>81</v>
      </c>
      <c r="K95" s="1" t="s">
        <v>74</v>
      </c>
      <c r="L95" s="1" t="s">
        <v>72</v>
      </c>
      <c r="M95" s="1" t="s">
        <v>75</v>
      </c>
      <c r="N95" s="1" t="s">
        <v>76</v>
      </c>
      <c r="O95" s="1" t="s">
        <v>77</v>
      </c>
      <c r="P95" s="1" t="s">
        <v>27</v>
      </c>
      <c r="Q95" s="1" t="s">
        <v>86</v>
      </c>
      <c r="R95" s="1" t="s">
        <v>94</v>
      </c>
      <c r="S95" s="1" t="s">
        <v>87</v>
      </c>
      <c r="T95" s="1" t="s">
        <v>88</v>
      </c>
      <c r="X95" s="1" t="s">
        <v>73</v>
      </c>
      <c r="Z95" s="1" t="s">
        <v>70</v>
      </c>
      <c r="AA95" s="1" t="s">
        <v>95</v>
      </c>
      <c r="AB95" s="1">
        <v>5</v>
      </c>
      <c r="AC95" s="1">
        <v>748787.05</v>
      </c>
      <c r="AD95" s="1">
        <v>8930594.2300000004</v>
      </c>
      <c r="AE95" s="1">
        <v>210.57</v>
      </c>
      <c r="AF95" s="1">
        <v>748787.05</v>
      </c>
      <c r="AG95" s="1">
        <v>8930594.2300000004</v>
      </c>
      <c r="AH95" s="1">
        <v>199.67</v>
      </c>
      <c r="AI95" s="1">
        <v>10.91</v>
      </c>
      <c r="AJ95" s="1">
        <v>0.6</v>
      </c>
      <c r="AK95" s="1">
        <v>2.97</v>
      </c>
      <c r="AL95" s="1">
        <v>2.58</v>
      </c>
      <c r="AM95" s="1">
        <v>0</v>
      </c>
      <c r="AN95" s="1">
        <v>0</v>
      </c>
      <c r="AO95" s="1">
        <v>279.95422539999998</v>
      </c>
      <c r="AP95" s="1">
        <v>3.07</v>
      </c>
      <c r="AQ95" s="1">
        <v>0.47</v>
      </c>
      <c r="AR95" s="1">
        <v>0.08</v>
      </c>
      <c r="AS95" s="1">
        <v>0.08</v>
      </c>
      <c r="AT95" s="1">
        <v>14.68</v>
      </c>
      <c r="AU95" s="1">
        <v>4.1900000000000004</v>
      </c>
      <c r="AV95" s="1">
        <v>0.18</v>
      </c>
      <c r="AW95" s="1">
        <v>1.1399999999999999</v>
      </c>
      <c r="AX95" s="1">
        <v>4.96</v>
      </c>
      <c r="AY95" s="1">
        <v>0</v>
      </c>
      <c r="AZ95" s="1">
        <v>107.89</v>
      </c>
      <c r="BA95" s="1">
        <v>0</v>
      </c>
      <c r="BB95" s="1">
        <v>0</v>
      </c>
      <c r="BC95" s="1">
        <v>0</v>
      </c>
      <c r="BD95" s="1">
        <v>0</v>
      </c>
    </row>
    <row r="96" spans="1:56">
      <c r="A96" s="18">
        <v>46192</v>
      </c>
      <c r="B96" s="1">
        <v>95</v>
      </c>
      <c r="C96" s="1" t="s">
        <v>89</v>
      </c>
      <c r="D96" s="1" t="s">
        <v>90</v>
      </c>
      <c r="E96" s="1">
        <v>2</v>
      </c>
      <c r="F96" s="1">
        <v>200</v>
      </c>
      <c r="H96" s="1" t="s">
        <v>91</v>
      </c>
      <c r="I96" s="1" t="s">
        <v>79</v>
      </c>
      <c r="J96" s="1" t="s">
        <v>81</v>
      </c>
      <c r="K96" s="1" t="s">
        <v>74</v>
      </c>
      <c r="L96" s="1" t="s">
        <v>72</v>
      </c>
      <c r="M96" s="1" t="s">
        <v>75</v>
      </c>
      <c r="N96" s="1" t="s">
        <v>76</v>
      </c>
      <c r="O96" s="1" t="s">
        <v>77</v>
      </c>
      <c r="P96" s="1" t="s">
        <v>27</v>
      </c>
      <c r="Q96" s="1" t="s">
        <v>86</v>
      </c>
      <c r="R96" s="1" t="s">
        <v>94</v>
      </c>
      <c r="S96" s="1" t="s">
        <v>87</v>
      </c>
      <c r="T96" s="1" t="s">
        <v>88</v>
      </c>
      <c r="X96" s="1" t="s">
        <v>73</v>
      </c>
      <c r="Z96" s="1" t="s">
        <v>70</v>
      </c>
      <c r="AA96" s="1" t="s">
        <v>95</v>
      </c>
      <c r="AB96" s="1">
        <v>5</v>
      </c>
      <c r="AC96" s="1">
        <v>748784.72</v>
      </c>
      <c r="AD96" s="1">
        <v>8930596.0800000001</v>
      </c>
      <c r="AE96" s="1">
        <v>209.91</v>
      </c>
      <c r="AF96" s="1">
        <v>748784.72</v>
      </c>
      <c r="AG96" s="1">
        <v>8930596.0800000001</v>
      </c>
      <c r="AH96" s="1">
        <v>199.67</v>
      </c>
      <c r="AI96" s="1">
        <v>10.24</v>
      </c>
      <c r="AJ96" s="1">
        <v>0.6</v>
      </c>
      <c r="AK96" s="1">
        <v>2.97</v>
      </c>
      <c r="AL96" s="1">
        <v>2.58</v>
      </c>
      <c r="AM96" s="1">
        <v>0</v>
      </c>
      <c r="AN96" s="1">
        <v>0</v>
      </c>
      <c r="AO96" s="1">
        <v>279.95422539999998</v>
      </c>
      <c r="AP96" s="1">
        <v>3.08</v>
      </c>
      <c r="AQ96" s="1">
        <v>0.45</v>
      </c>
      <c r="AR96" s="1">
        <v>0.09</v>
      </c>
      <c r="AS96" s="1">
        <v>7.0000000000000007E-2</v>
      </c>
      <c r="AT96" s="1">
        <v>14.44</v>
      </c>
      <c r="AU96" s="1">
        <v>4.3899999999999997</v>
      </c>
      <c r="AV96" s="1">
        <v>0.21</v>
      </c>
      <c r="AW96" s="1">
        <v>1.31</v>
      </c>
      <c r="AX96" s="1">
        <v>5.2</v>
      </c>
      <c r="AY96" s="1">
        <v>0</v>
      </c>
      <c r="AZ96" s="1">
        <v>98.134</v>
      </c>
      <c r="BA96" s="1">
        <v>0</v>
      </c>
      <c r="BB96" s="1">
        <v>0</v>
      </c>
      <c r="BC96" s="1">
        <v>0</v>
      </c>
      <c r="BD96" s="1">
        <v>0</v>
      </c>
    </row>
    <row r="97" spans="1:56">
      <c r="A97" s="18">
        <v>46192</v>
      </c>
      <c r="B97" s="1">
        <v>96</v>
      </c>
      <c r="C97" s="1" t="s">
        <v>89</v>
      </c>
      <c r="D97" s="1" t="s">
        <v>90</v>
      </c>
      <c r="E97" s="1">
        <v>2</v>
      </c>
      <c r="F97" s="1">
        <v>200</v>
      </c>
      <c r="H97" s="1" t="s">
        <v>91</v>
      </c>
      <c r="I97" s="1" t="s">
        <v>79</v>
      </c>
      <c r="J97" s="1" t="s">
        <v>81</v>
      </c>
      <c r="K97" s="1" t="s">
        <v>74</v>
      </c>
      <c r="L97" s="1" t="s">
        <v>72</v>
      </c>
      <c r="M97" s="1" t="s">
        <v>75</v>
      </c>
      <c r="N97" s="1" t="s">
        <v>76</v>
      </c>
      <c r="O97" s="1" t="s">
        <v>77</v>
      </c>
      <c r="P97" s="1" t="s">
        <v>27</v>
      </c>
      <c r="Q97" s="1" t="s">
        <v>86</v>
      </c>
      <c r="R97" s="1" t="s">
        <v>94</v>
      </c>
      <c r="S97" s="1" t="s">
        <v>87</v>
      </c>
      <c r="T97" s="1" t="s">
        <v>88</v>
      </c>
      <c r="X97" s="1" t="s">
        <v>73</v>
      </c>
      <c r="Z97" s="1" t="s">
        <v>70</v>
      </c>
      <c r="AA97" s="1" t="s">
        <v>95</v>
      </c>
      <c r="AB97" s="1">
        <v>5</v>
      </c>
      <c r="AC97" s="1">
        <v>748782.39</v>
      </c>
      <c r="AD97" s="1">
        <v>8930597.9199999999</v>
      </c>
      <c r="AE97" s="1">
        <v>209.97</v>
      </c>
      <c r="AF97" s="1">
        <v>748782.39</v>
      </c>
      <c r="AG97" s="1">
        <v>8930597.9199999999</v>
      </c>
      <c r="AH97" s="1">
        <v>199.67</v>
      </c>
      <c r="AI97" s="1">
        <v>10.3</v>
      </c>
      <c r="AJ97" s="1">
        <v>0.6</v>
      </c>
      <c r="AK97" s="1">
        <v>2.97</v>
      </c>
      <c r="AL97" s="1">
        <v>2.58</v>
      </c>
      <c r="AM97" s="1">
        <v>0</v>
      </c>
      <c r="AN97" s="1">
        <v>0</v>
      </c>
      <c r="AO97" s="1">
        <v>279.95422539999998</v>
      </c>
      <c r="AP97" s="1">
        <v>3.11</v>
      </c>
      <c r="AQ97" s="1">
        <v>0.5</v>
      </c>
      <c r="AR97" s="1">
        <v>0.09</v>
      </c>
      <c r="AS97" s="1">
        <v>0.08</v>
      </c>
      <c r="AT97" s="1">
        <v>15.97</v>
      </c>
      <c r="AU97" s="1">
        <v>4.87</v>
      </c>
      <c r="AV97" s="1">
        <v>0.23</v>
      </c>
      <c r="AW97" s="1">
        <v>1.45</v>
      </c>
      <c r="AX97" s="1">
        <v>5.78</v>
      </c>
      <c r="AY97" s="1">
        <v>0</v>
      </c>
      <c r="AZ97" s="1">
        <v>99.007999999999996</v>
      </c>
      <c r="BA97" s="1">
        <v>0</v>
      </c>
      <c r="BB97" s="1">
        <v>0</v>
      </c>
      <c r="BC97" s="1">
        <v>0</v>
      </c>
      <c r="BD97" s="1">
        <v>0</v>
      </c>
    </row>
    <row r="98" spans="1:56">
      <c r="A98" s="18">
        <v>46192</v>
      </c>
      <c r="B98" s="1">
        <v>97</v>
      </c>
      <c r="C98" s="1" t="s">
        <v>89</v>
      </c>
      <c r="D98" s="1" t="s">
        <v>90</v>
      </c>
      <c r="E98" s="1">
        <v>2</v>
      </c>
      <c r="F98" s="1">
        <v>200</v>
      </c>
      <c r="H98" s="1" t="s">
        <v>91</v>
      </c>
      <c r="I98" s="1" t="s">
        <v>79</v>
      </c>
      <c r="J98" s="1" t="s">
        <v>81</v>
      </c>
      <c r="K98" s="1" t="s">
        <v>74</v>
      </c>
      <c r="L98" s="1" t="s">
        <v>72</v>
      </c>
      <c r="M98" s="1" t="s">
        <v>75</v>
      </c>
      <c r="N98" s="1" t="s">
        <v>76</v>
      </c>
      <c r="O98" s="1" t="s">
        <v>77</v>
      </c>
      <c r="P98" s="1" t="s">
        <v>27</v>
      </c>
      <c r="Q98" s="1" t="s">
        <v>86</v>
      </c>
      <c r="R98" s="1" t="s">
        <v>94</v>
      </c>
      <c r="S98" s="1" t="s">
        <v>87</v>
      </c>
      <c r="T98" s="1" t="s">
        <v>88</v>
      </c>
      <c r="X98" s="1" t="s">
        <v>73</v>
      </c>
      <c r="Z98" s="1" t="s">
        <v>70</v>
      </c>
      <c r="AA98" s="1" t="s">
        <v>95</v>
      </c>
      <c r="AB98" s="1">
        <v>5</v>
      </c>
      <c r="AC98" s="1">
        <v>748780.07</v>
      </c>
      <c r="AD98" s="1">
        <v>8930599.7699999996</v>
      </c>
      <c r="AE98" s="1">
        <v>210.13</v>
      </c>
      <c r="AF98" s="1">
        <v>748780.07</v>
      </c>
      <c r="AG98" s="1">
        <v>8930599.7699999996</v>
      </c>
      <c r="AH98" s="1">
        <v>199.67</v>
      </c>
      <c r="AI98" s="1">
        <v>10.45</v>
      </c>
      <c r="AJ98" s="1">
        <v>0.6</v>
      </c>
      <c r="AK98" s="1">
        <v>2.97</v>
      </c>
      <c r="AL98" s="1">
        <v>2.58</v>
      </c>
      <c r="AM98" s="1">
        <v>0</v>
      </c>
      <c r="AN98" s="1">
        <v>0</v>
      </c>
      <c r="AO98" s="1">
        <v>279.95422539999998</v>
      </c>
      <c r="AP98" s="1">
        <v>3.14</v>
      </c>
      <c r="AQ98" s="1">
        <v>0.57999999999999996</v>
      </c>
      <c r="AR98" s="1">
        <v>0.12</v>
      </c>
      <c r="AS98" s="1">
        <v>0.09</v>
      </c>
      <c r="AT98" s="1">
        <v>18.2</v>
      </c>
      <c r="AU98" s="1">
        <v>5.44</v>
      </c>
      <c r="AV98" s="1">
        <v>0.28999999999999998</v>
      </c>
      <c r="AW98" s="1">
        <v>1.52</v>
      </c>
      <c r="AX98" s="1">
        <v>6.23</v>
      </c>
      <c r="AY98" s="1">
        <v>0</v>
      </c>
      <c r="AZ98" s="1">
        <v>101.19199999999999</v>
      </c>
      <c r="BA98" s="1">
        <v>0</v>
      </c>
      <c r="BB98" s="1">
        <v>0</v>
      </c>
      <c r="BC98" s="1">
        <v>0</v>
      </c>
      <c r="BD98" s="1">
        <v>0</v>
      </c>
    </row>
    <row r="99" spans="1:56">
      <c r="A99" s="18">
        <v>46192</v>
      </c>
      <c r="B99" s="1">
        <v>98</v>
      </c>
      <c r="C99" s="1" t="s">
        <v>89</v>
      </c>
      <c r="D99" s="1" t="s">
        <v>90</v>
      </c>
      <c r="E99" s="1">
        <v>2</v>
      </c>
      <c r="F99" s="1">
        <v>200</v>
      </c>
      <c r="G99" s="1">
        <v>1</v>
      </c>
      <c r="H99" s="1" t="s">
        <v>91</v>
      </c>
      <c r="I99" s="1" t="s">
        <v>79</v>
      </c>
      <c r="J99" s="1" t="s">
        <v>81</v>
      </c>
      <c r="K99" s="1" t="s">
        <v>74</v>
      </c>
      <c r="L99" s="1" t="s">
        <v>72</v>
      </c>
      <c r="M99" s="1" t="s">
        <v>75</v>
      </c>
      <c r="N99" s="1" t="s">
        <v>76</v>
      </c>
      <c r="O99" s="1" t="s">
        <v>77</v>
      </c>
      <c r="P99" s="1" t="s">
        <v>27</v>
      </c>
      <c r="Q99" s="1" t="s">
        <v>86</v>
      </c>
      <c r="R99" s="1" t="s">
        <v>94</v>
      </c>
      <c r="S99" s="1" t="s">
        <v>87</v>
      </c>
      <c r="T99" s="1" t="s">
        <v>88</v>
      </c>
      <c r="X99" s="1" t="s">
        <v>73</v>
      </c>
      <c r="Z99" s="1" t="s">
        <v>70</v>
      </c>
      <c r="AA99" s="1" t="s">
        <v>95</v>
      </c>
      <c r="AB99" s="1">
        <v>5</v>
      </c>
      <c r="AC99" s="1">
        <v>748777.74</v>
      </c>
      <c r="AD99" s="1">
        <v>8930601.6199999992</v>
      </c>
      <c r="AE99" s="1">
        <v>210.24</v>
      </c>
      <c r="AF99" s="1">
        <v>748777.74</v>
      </c>
      <c r="AG99" s="1">
        <v>8930601.6199999992</v>
      </c>
      <c r="AH99" s="1">
        <v>199.67</v>
      </c>
      <c r="AI99" s="1">
        <v>10.57</v>
      </c>
      <c r="AJ99" s="1">
        <v>0.6</v>
      </c>
      <c r="AK99" s="1">
        <v>2.97</v>
      </c>
      <c r="AL99" s="1">
        <v>2.58</v>
      </c>
      <c r="AM99" s="1">
        <v>0</v>
      </c>
      <c r="AN99" s="1">
        <v>0</v>
      </c>
      <c r="AO99" s="1">
        <v>279.95422539999998</v>
      </c>
      <c r="AP99" s="1">
        <v>3.19</v>
      </c>
      <c r="AQ99" s="1">
        <v>0.66</v>
      </c>
      <c r="AR99" s="1">
        <v>0.12</v>
      </c>
      <c r="AS99" s="1">
        <v>0.1</v>
      </c>
      <c r="AT99" s="1">
        <v>20.440000000000001</v>
      </c>
      <c r="AU99" s="1">
        <v>6.02</v>
      </c>
      <c r="AV99" s="1">
        <v>0.38</v>
      </c>
      <c r="AW99" s="1">
        <v>1.41</v>
      </c>
      <c r="AX99" s="1">
        <v>6.45</v>
      </c>
      <c r="AY99" s="1">
        <v>0</v>
      </c>
      <c r="AZ99" s="1">
        <v>102.93899999999999</v>
      </c>
      <c r="BA99" s="1">
        <v>0</v>
      </c>
      <c r="BB99" s="1">
        <v>0</v>
      </c>
      <c r="BC99" s="1">
        <v>0</v>
      </c>
      <c r="BD99" s="1">
        <v>0</v>
      </c>
    </row>
    <row r="100" spans="1:56">
      <c r="A100" s="18">
        <v>46192</v>
      </c>
      <c r="B100" s="1">
        <v>99</v>
      </c>
      <c r="C100" s="1" t="s">
        <v>89</v>
      </c>
      <c r="D100" s="1" t="s">
        <v>90</v>
      </c>
      <c r="E100" s="1">
        <v>2</v>
      </c>
      <c r="F100" s="1">
        <v>200</v>
      </c>
      <c r="G100" s="1">
        <v>1</v>
      </c>
      <c r="H100" s="1" t="s">
        <v>91</v>
      </c>
      <c r="I100" s="1" t="s">
        <v>79</v>
      </c>
      <c r="J100" s="1" t="s">
        <v>81</v>
      </c>
      <c r="K100" s="1" t="s">
        <v>74</v>
      </c>
      <c r="L100" s="1" t="s">
        <v>72</v>
      </c>
      <c r="M100" s="1" t="s">
        <v>75</v>
      </c>
      <c r="N100" s="1" t="s">
        <v>76</v>
      </c>
      <c r="O100" s="1" t="s">
        <v>77</v>
      </c>
      <c r="P100" s="1" t="s">
        <v>27</v>
      </c>
      <c r="Q100" s="1" t="s">
        <v>86</v>
      </c>
      <c r="R100" s="1" t="s">
        <v>94</v>
      </c>
      <c r="S100" s="1" t="s">
        <v>87</v>
      </c>
      <c r="T100" s="1" t="s">
        <v>88</v>
      </c>
      <c r="X100" s="1" t="s">
        <v>73</v>
      </c>
      <c r="Z100" s="1" t="s">
        <v>70</v>
      </c>
      <c r="AA100" s="1" t="s">
        <v>95</v>
      </c>
      <c r="AB100" s="1">
        <v>5</v>
      </c>
      <c r="AC100" s="1">
        <v>748775.41</v>
      </c>
      <c r="AD100" s="1">
        <v>8930603.4499999993</v>
      </c>
      <c r="AE100" s="1">
        <v>210.31</v>
      </c>
      <c r="AF100" s="1">
        <v>748775.41</v>
      </c>
      <c r="AG100" s="1">
        <v>8930603.4499999993</v>
      </c>
      <c r="AH100" s="1">
        <v>199.68</v>
      </c>
      <c r="AI100" s="1">
        <v>10.63</v>
      </c>
      <c r="AJ100" s="1">
        <v>0.6</v>
      </c>
      <c r="AK100" s="1">
        <v>2.97</v>
      </c>
      <c r="AL100" s="1">
        <v>2.58</v>
      </c>
      <c r="AM100" s="1">
        <v>0</v>
      </c>
      <c r="AN100" s="1">
        <v>0</v>
      </c>
      <c r="AO100" s="1">
        <v>279.95422539999998</v>
      </c>
      <c r="AP100" s="1">
        <v>3.19</v>
      </c>
      <c r="AQ100" s="1">
        <v>0.67</v>
      </c>
      <c r="AR100" s="1">
        <v>0.12</v>
      </c>
      <c r="AS100" s="1">
        <v>0.11</v>
      </c>
      <c r="AT100" s="1">
        <v>20.66</v>
      </c>
      <c r="AU100" s="1">
        <v>6.1</v>
      </c>
      <c r="AV100" s="1">
        <v>0.39</v>
      </c>
      <c r="AW100" s="1">
        <v>1.4</v>
      </c>
      <c r="AX100" s="1">
        <v>6.48</v>
      </c>
      <c r="AY100" s="1">
        <v>0</v>
      </c>
      <c r="AZ100" s="1">
        <v>103.813</v>
      </c>
      <c r="BA100" s="1">
        <v>0</v>
      </c>
      <c r="BB100" s="1">
        <v>0</v>
      </c>
      <c r="BC100" s="1">
        <v>0</v>
      </c>
      <c r="BD100" s="1">
        <v>0</v>
      </c>
    </row>
    <row r="101" spans="1:56">
      <c r="A101" s="18">
        <v>46192</v>
      </c>
      <c r="B101" s="1">
        <v>100</v>
      </c>
      <c r="C101" s="1" t="s">
        <v>89</v>
      </c>
      <c r="D101" s="1" t="s">
        <v>90</v>
      </c>
      <c r="E101" s="1">
        <v>2</v>
      </c>
      <c r="F101" s="1">
        <v>200</v>
      </c>
      <c r="G101" s="1">
        <v>1</v>
      </c>
      <c r="H101" s="1" t="s">
        <v>91</v>
      </c>
      <c r="I101" s="1" t="s">
        <v>79</v>
      </c>
      <c r="J101" s="1" t="s">
        <v>81</v>
      </c>
      <c r="K101" s="1" t="s">
        <v>74</v>
      </c>
      <c r="L101" s="1" t="s">
        <v>72</v>
      </c>
      <c r="M101" s="1" t="s">
        <v>75</v>
      </c>
      <c r="N101" s="1" t="s">
        <v>76</v>
      </c>
      <c r="O101" s="1" t="s">
        <v>77</v>
      </c>
      <c r="P101" s="1" t="s">
        <v>27</v>
      </c>
      <c r="Q101" s="1" t="s">
        <v>86</v>
      </c>
      <c r="R101" s="1" t="s">
        <v>94</v>
      </c>
      <c r="S101" s="1" t="s">
        <v>87</v>
      </c>
      <c r="T101" s="1" t="s">
        <v>88</v>
      </c>
      <c r="X101" s="1" t="s">
        <v>73</v>
      </c>
      <c r="Z101" s="1" t="s">
        <v>70</v>
      </c>
      <c r="AA101" s="1" t="s">
        <v>95</v>
      </c>
      <c r="AB101" s="1">
        <v>5</v>
      </c>
      <c r="AC101" s="1">
        <v>748774.52</v>
      </c>
      <c r="AD101" s="1">
        <v>8930600.8800000008</v>
      </c>
      <c r="AE101" s="1">
        <v>210.22</v>
      </c>
      <c r="AF101" s="1">
        <v>748774.52</v>
      </c>
      <c r="AG101" s="1">
        <v>8930600.8800000008</v>
      </c>
      <c r="AH101" s="1">
        <v>200.19</v>
      </c>
      <c r="AI101" s="1">
        <v>10.029999999999999</v>
      </c>
      <c r="AJ101" s="1">
        <v>0.6</v>
      </c>
      <c r="AK101" s="1">
        <v>2.97</v>
      </c>
      <c r="AL101" s="1">
        <v>2.58</v>
      </c>
      <c r="AM101" s="1">
        <v>0</v>
      </c>
      <c r="AN101" s="1">
        <v>0</v>
      </c>
      <c r="AO101" s="1">
        <v>279.95422539999998</v>
      </c>
      <c r="AP101" s="1">
        <v>3.29</v>
      </c>
      <c r="AQ101" s="1">
        <v>0.79</v>
      </c>
      <c r="AR101" s="1">
        <v>0.15</v>
      </c>
      <c r="AS101" s="1">
        <v>0.12</v>
      </c>
      <c r="AT101" s="1">
        <v>24.28</v>
      </c>
      <c r="AU101" s="1">
        <v>7.08</v>
      </c>
      <c r="AV101" s="1">
        <v>0.44</v>
      </c>
      <c r="AW101" s="1">
        <v>1.74</v>
      </c>
      <c r="AX101" s="1">
        <v>7.77</v>
      </c>
      <c r="AY101" s="1">
        <v>0</v>
      </c>
      <c r="AZ101" s="1">
        <v>95.076999999999998</v>
      </c>
      <c r="BA101" s="1">
        <v>0</v>
      </c>
      <c r="BB101" s="1">
        <v>0</v>
      </c>
      <c r="BC101" s="1">
        <v>0</v>
      </c>
      <c r="BD101" s="1">
        <v>0</v>
      </c>
    </row>
    <row r="102" spans="1:56">
      <c r="A102" s="18">
        <v>46192</v>
      </c>
      <c r="B102" s="1">
        <v>101</v>
      </c>
      <c r="C102" s="1" t="s">
        <v>89</v>
      </c>
      <c r="D102" s="1" t="s">
        <v>90</v>
      </c>
      <c r="E102" s="1">
        <v>2</v>
      </c>
      <c r="F102" s="1">
        <v>200</v>
      </c>
      <c r="G102" s="1">
        <v>1</v>
      </c>
      <c r="H102" s="1" t="s">
        <v>91</v>
      </c>
      <c r="I102" s="1" t="s">
        <v>79</v>
      </c>
      <c r="J102" s="1" t="s">
        <v>81</v>
      </c>
      <c r="K102" s="1" t="s">
        <v>74</v>
      </c>
      <c r="L102" s="1" t="s">
        <v>72</v>
      </c>
      <c r="M102" s="1" t="s">
        <v>75</v>
      </c>
      <c r="N102" s="1" t="s">
        <v>76</v>
      </c>
      <c r="O102" s="1" t="s">
        <v>77</v>
      </c>
      <c r="P102" s="1" t="s">
        <v>27</v>
      </c>
      <c r="Q102" s="1" t="s">
        <v>86</v>
      </c>
      <c r="R102" s="1" t="s">
        <v>94</v>
      </c>
      <c r="S102" s="1" t="s">
        <v>87</v>
      </c>
      <c r="T102" s="1" t="s">
        <v>88</v>
      </c>
      <c r="X102" s="1" t="s">
        <v>73</v>
      </c>
      <c r="Z102" s="1" t="s">
        <v>70</v>
      </c>
      <c r="AA102" s="1" t="s">
        <v>95</v>
      </c>
      <c r="AB102" s="1">
        <v>5</v>
      </c>
      <c r="AC102" s="1">
        <v>748776.84</v>
      </c>
      <c r="AD102" s="1">
        <v>8930599.0299999993</v>
      </c>
      <c r="AE102" s="1">
        <v>209.91</v>
      </c>
      <c r="AF102" s="1">
        <v>748776.84</v>
      </c>
      <c r="AG102" s="1">
        <v>8930599.0299999993</v>
      </c>
      <c r="AH102" s="1">
        <v>200.19</v>
      </c>
      <c r="AI102" s="1">
        <v>9.7200000000000006</v>
      </c>
      <c r="AJ102" s="1">
        <v>0.6</v>
      </c>
      <c r="AK102" s="1">
        <v>2.97</v>
      </c>
      <c r="AL102" s="1">
        <v>2.58</v>
      </c>
      <c r="AM102" s="1">
        <v>0</v>
      </c>
      <c r="AN102" s="1">
        <v>0</v>
      </c>
      <c r="AO102" s="1">
        <v>279.95422539999998</v>
      </c>
      <c r="AP102" s="1">
        <v>3.29</v>
      </c>
      <c r="AQ102" s="1">
        <v>0.76</v>
      </c>
      <c r="AR102" s="1">
        <v>0.17</v>
      </c>
      <c r="AS102" s="1">
        <v>0.12</v>
      </c>
      <c r="AT102" s="1">
        <v>23.74</v>
      </c>
      <c r="AU102" s="1">
        <v>6.71</v>
      </c>
      <c r="AV102" s="1">
        <v>0.39</v>
      </c>
      <c r="AW102" s="1">
        <v>1.91</v>
      </c>
      <c r="AX102" s="1">
        <v>7.94</v>
      </c>
      <c r="AY102" s="1">
        <v>0</v>
      </c>
      <c r="AZ102" s="1">
        <v>90.563000000000002</v>
      </c>
      <c r="BA102" s="1">
        <v>0</v>
      </c>
      <c r="BB102" s="1">
        <v>0</v>
      </c>
      <c r="BC102" s="1">
        <v>0</v>
      </c>
      <c r="BD102" s="1">
        <v>0</v>
      </c>
    </row>
    <row r="103" spans="1:56">
      <c r="A103" s="18">
        <v>46192</v>
      </c>
      <c r="B103" s="1">
        <v>102</v>
      </c>
      <c r="C103" s="1" t="s">
        <v>89</v>
      </c>
      <c r="D103" s="1" t="s">
        <v>90</v>
      </c>
      <c r="E103" s="1">
        <v>2</v>
      </c>
      <c r="F103" s="1">
        <v>200</v>
      </c>
      <c r="G103" s="1">
        <v>1</v>
      </c>
      <c r="H103" s="1" t="s">
        <v>91</v>
      </c>
      <c r="I103" s="1" t="s">
        <v>79</v>
      </c>
      <c r="J103" s="1" t="s">
        <v>81</v>
      </c>
      <c r="K103" s="1" t="s">
        <v>74</v>
      </c>
      <c r="L103" s="1" t="s">
        <v>72</v>
      </c>
      <c r="M103" s="1" t="s">
        <v>75</v>
      </c>
      <c r="N103" s="1" t="s">
        <v>76</v>
      </c>
      <c r="O103" s="1" t="s">
        <v>77</v>
      </c>
      <c r="P103" s="1" t="s">
        <v>27</v>
      </c>
      <c r="Q103" s="1" t="s">
        <v>86</v>
      </c>
      <c r="R103" s="1" t="s">
        <v>94</v>
      </c>
      <c r="S103" s="1" t="s">
        <v>87</v>
      </c>
      <c r="T103" s="1" t="s">
        <v>88</v>
      </c>
      <c r="X103" s="1" t="s">
        <v>73</v>
      </c>
      <c r="Z103" s="1" t="s">
        <v>70</v>
      </c>
      <c r="AA103" s="1" t="s">
        <v>95</v>
      </c>
      <c r="AB103" s="1">
        <v>5</v>
      </c>
      <c r="AC103" s="1">
        <v>748779.17</v>
      </c>
      <c r="AD103" s="1">
        <v>8930597.1899999995</v>
      </c>
      <c r="AE103" s="1">
        <v>209.82</v>
      </c>
      <c r="AF103" s="1">
        <v>748779.17</v>
      </c>
      <c r="AG103" s="1">
        <v>8930597.1899999995</v>
      </c>
      <c r="AH103" s="1">
        <v>200.19</v>
      </c>
      <c r="AI103" s="1">
        <v>9.6300000000000008</v>
      </c>
      <c r="AJ103" s="1">
        <v>0.6</v>
      </c>
      <c r="AK103" s="1">
        <v>2.97</v>
      </c>
      <c r="AL103" s="1">
        <v>2.58</v>
      </c>
      <c r="AM103" s="1">
        <v>0</v>
      </c>
      <c r="AN103" s="1">
        <v>0</v>
      </c>
      <c r="AO103" s="1">
        <v>279.95422539999998</v>
      </c>
      <c r="AP103" s="1">
        <v>3.27</v>
      </c>
      <c r="AQ103" s="1">
        <v>0.73</v>
      </c>
      <c r="AR103" s="1">
        <v>0.17</v>
      </c>
      <c r="AS103" s="1">
        <v>0.12</v>
      </c>
      <c r="AT103" s="1">
        <v>22.94</v>
      </c>
      <c r="AU103" s="1">
        <v>6.54</v>
      </c>
      <c r="AV103" s="1">
        <v>0.35</v>
      </c>
      <c r="AW103" s="1">
        <v>1.96</v>
      </c>
      <c r="AX103" s="1">
        <v>7.91</v>
      </c>
      <c r="AY103" s="1">
        <v>0</v>
      </c>
      <c r="AZ103" s="1">
        <v>89.253</v>
      </c>
      <c r="BA103" s="1">
        <v>0</v>
      </c>
      <c r="BB103" s="1">
        <v>0</v>
      </c>
      <c r="BC103" s="1">
        <v>0</v>
      </c>
      <c r="BD103" s="1">
        <v>0</v>
      </c>
    </row>
    <row r="104" spans="1:56">
      <c r="A104" s="18">
        <v>46192</v>
      </c>
      <c r="B104" s="1">
        <v>103</v>
      </c>
      <c r="C104" s="1" t="s">
        <v>89</v>
      </c>
      <c r="D104" s="1" t="s">
        <v>90</v>
      </c>
      <c r="E104" s="1">
        <v>2</v>
      </c>
      <c r="F104" s="1">
        <v>200</v>
      </c>
      <c r="G104" s="1">
        <v>1</v>
      </c>
      <c r="H104" s="1" t="s">
        <v>91</v>
      </c>
      <c r="I104" s="1" t="s">
        <v>79</v>
      </c>
      <c r="J104" s="1" t="s">
        <v>81</v>
      </c>
      <c r="K104" s="1" t="s">
        <v>74</v>
      </c>
      <c r="L104" s="1" t="s">
        <v>72</v>
      </c>
      <c r="M104" s="1" t="s">
        <v>75</v>
      </c>
      <c r="N104" s="1" t="s">
        <v>76</v>
      </c>
      <c r="O104" s="1" t="s">
        <v>77</v>
      </c>
      <c r="P104" s="1" t="s">
        <v>27</v>
      </c>
      <c r="Q104" s="1" t="s">
        <v>86</v>
      </c>
      <c r="R104" s="1" t="s">
        <v>94</v>
      </c>
      <c r="S104" s="1" t="s">
        <v>87</v>
      </c>
      <c r="T104" s="1" t="s">
        <v>88</v>
      </c>
      <c r="X104" s="1" t="s">
        <v>73</v>
      </c>
      <c r="Z104" s="1" t="s">
        <v>70</v>
      </c>
      <c r="AA104" s="1" t="s">
        <v>95</v>
      </c>
      <c r="AB104" s="1">
        <v>5</v>
      </c>
      <c r="AC104" s="1">
        <v>748781.5</v>
      </c>
      <c r="AD104" s="1">
        <v>8930595.3399999999</v>
      </c>
      <c r="AE104" s="1">
        <v>209.71</v>
      </c>
      <c r="AF104" s="1">
        <v>748781.5</v>
      </c>
      <c r="AG104" s="1">
        <v>8930595.3399999999</v>
      </c>
      <c r="AH104" s="1">
        <v>200.19</v>
      </c>
      <c r="AI104" s="1">
        <v>9.5299999999999994</v>
      </c>
      <c r="AJ104" s="1">
        <v>0.6</v>
      </c>
      <c r="AK104" s="1">
        <v>2.97</v>
      </c>
      <c r="AL104" s="1">
        <v>2.58</v>
      </c>
      <c r="AM104" s="1">
        <v>0</v>
      </c>
      <c r="AN104" s="1">
        <v>0</v>
      </c>
      <c r="AO104" s="1">
        <v>279.95422539999998</v>
      </c>
      <c r="AP104" s="1">
        <v>3.22</v>
      </c>
      <c r="AQ104" s="1">
        <v>0.66</v>
      </c>
      <c r="AR104" s="1">
        <v>0.13</v>
      </c>
      <c r="AS104" s="1">
        <v>0.11</v>
      </c>
      <c r="AT104" s="1">
        <v>20.9</v>
      </c>
      <c r="AU104" s="1">
        <v>6.32</v>
      </c>
      <c r="AV104" s="1">
        <v>0.3</v>
      </c>
      <c r="AW104" s="1">
        <v>1.89</v>
      </c>
      <c r="AX104" s="1">
        <v>7.52</v>
      </c>
      <c r="AY104" s="1">
        <v>0</v>
      </c>
      <c r="AZ104" s="1">
        <v>87.796999999999997</v>
      </c>
      <c r="BA104" s="1">
        <v>0</v>
      </c>
      <c r="BB104" s="1">
        <v>0</v>
      </c>
      <c r="BC104" s="1">
        <v>0</v>
      </c>
      <c r="BD104" s="1">
        <v>0</v>
      </c>
    </row>
    <row r="105" spans="1:56">
      <c r="A105" s="18">
        <v>46192</v>
      </c>
      <c r="B105" s="1">
        <v>104</v>
      </c>
      <c r="C105" s="1" t="s">
        <v>89</v>
      </c>
      <c r="D105" s="1" t="s">
        <v>90</v>
      </c>
      <c r="E105" s="1">
        <v>2</v>
      </c>
      <c r="F105" s="1">
        <v>200</v>
      </c>
      <c r="G105" s="1">
        <v>1</v>
      </c>
      <c r="H105" s="1" t="s">
        <v>91</v>
      </c>
      <c r="I105" s="1" t="s">
        <v>79</v>
      </c>
      <c r="J105" s="1" t="s">
        <v>81</v>
      </c>
      <c r="K105" s="1" t="s">
        <v>74</v>
      </c>
      <c r="L105" s="1" t="s">
        <v>72</v>
      </c>
      <c r="M105" s="1" t="s">
        <v>75</v>
      </c>
      <c r="N105" s="1" t="s">
        <v>76</v>
      </c>
      <c r="O105" s="1" t="s">
        <v>77</v>
      </c>
      <c r="P105" s="1" t="s">
        <v>27</v>
      </c>
      <c r="Q105" s="1" t="s">
        <v>86</v>
      </c>
      <c r="R105" s="1" t="s">
        <v>94</v>
      </c>
      <c r="S105" s="1" t="s">
        <v>87</v>
      </c>
      <c r="T105" s="1" t="s">
        <v>88</v>
      </c>
      <c r="X105" s="1" t="s">
        <v>73</v>
      </c>
      <c r="Z105" s="1" t="s">
        <v>70</v>
      </c>
      <c r="AA105" s="1" t="s">
        <v>95</v>
      </c>
      <c r="AB105" s="1">
        <v>5</v>
      </c>
      <c r="AC105" s="1">
        <v>748783.82</v>
      </c>
      <c r="AD105" s="1">
        <v>8930593.5</v>
      </c>
      <c r="AE105" s="1">
        <v>209.91</v>
      </c>
      <c r="AF105" s="1">
        <v>748783.82</v>
      </c>
      <c r="AG105" s="1">
        <v>8930593.5</v>
      </c>
      <c r="AH105" s="1">
        <v>200.18</v>
      </c>
      <c r="AI105" s="1">
        <v>9.73</v>
      </c>
      <c r="AJ105" s="1">
        <v>0.6</v>
      </c>
      <c r="AK105" s="1">
        <v>2.97</v>
      </c>
      <c r="AL105" s="1">
        <v>2.58</v>
      </c>
      <c r="AM105" s="1">
        <v>0</v>
      </c>
      <c r="AN105" s="1">
        <v>0</v>
      </c>
      <c r="AO105" s="1">
        <v>279.95422539999998</v>
      </c>
      <c r="AP105" s="1">
        <v>3.18</v>
      </c>
      <c r="AQ105" s="1">
        <v>0.61</v>
      </c>
      <c r="AR105" s="1">
        <v>0.11</v>
      </c>
      <c r="AS105" s="1">
        <v>0.1</v>
      </c>
      <c r="AT105" s="1">
        <v>19.38</v>
      </c>
      <c r="AU105" s="1">
        <v>5.91</v>
      </c>
      <c r="AV105" s="1">
        <v>0.28000000000000003</v>
      </c>
      <c r="AW105" s="1">
        <v>1.76</v>
      </c>
      <c r="AX105" s="1">
        <v>7.02</v>
      </c>
      <c r="AY105" s="1">
        <v>0</v>
      </c>
      <c r="AZ105" s="1">
        <v>90.709000000000003</v>
      </c>
      <c r="BA105" s="1">
        <v>0</v>
      </c>
      <c r="BB105" s="1">
        <v>0</v>
      </c>
      <c r="BC105" s="1">
        <v>0</v>
      </c>
      <c r="BD105" s="1">
        <v>0</v>
      </c>
    </row>
    <row r="106" spans="1:56">
      <c r="A106" s="18">
        <v>46192</v>
      </c>
      <c r="B106" s="1">
        <v>105</v>
      </c>
      <c r="C106" s="1" t="s">
        <v>89</v>
      </c>
      <c r="D106" s="1" t="s">
        <v>90</v>
      </c>
      <c r="E106" s="1">
        <v>2</v>
      </c>
      <c r="F106" s="1">
        <v>200</v>
      </c>
      <c r="G106" s="1">
        <v>1</v>
      </c>
      <c r="H106" s="1" t="s">
        <v>91</v>
      </c>
      <c r="I106" s="1" t="s">
        <v>79</v>
      </c>
      <c r="J106" s="1" t="s">
        <v>81</v>
      </c>
      <c r="K106" s="1" t="s">
        <v>74</v>
      </c>
      <c r="L106" s="1" t="s">
        <v>72</v>
      </c>
      <c r="M106" s="1" t="s">
        <v>75</v>
      </c>
      <c r="N106" s="1" t="s">
        <v>76</v>
      </c>
      <c r="O106" s="1" t="s">
        <v>77</v>
      </c>
      <c r="P106" s="1" t="s">
        <v>27</v>
      </c>
      <c r="Q106" s="1" t="s">
        <v>86</v>
      </c>
      <c r="R106" s="1" t="s">
        <v>94</v>
      </c>
      <c r="S106" s="1" t="s">
        <v>87</v>
      </c>
      <c r="T106" s="1" t="s">
        <v>88</v>
      </c>
      <c r="X106" s="1" t="s">
        <v>73</v>
      </c>
      <c r="Z106" s="1" t="s">
        <v>70</v>
      </c>
      <c r="AA106" s="1" t="s">
        <v>95</v>
      </c>
      <c r="AB106" s="1">
        <v>5</v>
      </c>
      <c r="AC106" s="1">
        <v>748786.15</v>
      </c>
      <c r="AD106" s="1">
        <v>8930591.6500000004</v>
      </c>
      <c r="AE106" s="1">
        <v>210.4</v>
      </c>
      <c r="AF106" s="1">
        <v>748786.15</v>
      </c>
      <c r="AG106" s="1">
        <v>8930591.6500000004</v>
      </c>
      <c r="AH106" s="1">
        <v>200.18</v>
      </c>
      <c r="AI106" s="1">
        <v>10.220000000000001</v>
      </c>
      <c r="AJ106" s="1">
        <v>0.6</v>
      </c>
      <c r="AK106" s="1">
        <v>2.97</v>
      </c>
      <c r="AL106" s="1">
        <v>2.58</v>
      </c>
      <c r="AM106" s="1">
        <v>0</v>
      </c>
      <c r="AN106" s="1">
        <v>0</v>
      </c>
      <c r="AO106" s="1">
        <v>279.95422539999998</v>
      </c>
      <c r="AP106" s="1">
        <v>3.17</v>
      </c>
      <c r="AQ106" s="1">
        <v>0.6</v>
      </c>
      <c r="AR106" s="1">
        <v>0.11</v>
      </c>
      <c r="AS106" s="1">
        <v>0.1</v>
      </c>
      <c r="AT106" s="1">
        <v>18.98</v>
      </c>
      <c r="AU106" s="1">
        <v>5.66</v>
      </c>
      <c r="AV106" s="1">
        <v>0.26</v>
      </c>
      <c r="AW106" s="1">
        <v>1.65</v>
      </c>
      <c r="AX106" s="1">
        <v>6.67</v>
      </c>
      <c r="AY106" s="1">
        <v>0</v>
      </c>
      <c r="AZ106" s="1">
        <v>97.843000000000004</v>
      </c>
      <c r="BA106" s="1">
        <v>0</v>
      </c>
      <c r="BB106" s="1">
        <v>0</v>
      </c>
      <c r="BC106" s="1">
        <v>0</v>
      </c>
      <c r="BD106" s="1">
        <v>0</v>
      </c>
    </row>
    <row r="107" spans="1:56">
      <c r="A107" s="18">
        <v>46192</v>
      </c>
      <c r="B107" s="1">
        <v>106</v>
      </c>
      <c r="C107" s="1" t="s">
        <v>89</v>
      </c>
      <c r="D107" s="1" t="s">
        <v>90</v>
      </c>
      <c r="E107" s="1">
        <v>2</v>
      </c>
      <c r="F107" s="1">
        <v>200</v>
      </c>
      <c r="G107" s="1">
        <v>1</v>
      </c>
      <c r="H107" s="1" t="s">
        <v>91</v>
      </c>
      <c r="I107" s="1" t="s">
        <v>79</v>
      </c>
      <c r="J107" s="1" t="s">
        <v>81</v>
      </c>
      <c r="K107" s="1" t="s">
        <v>74</v>
      </c>
      <c r="L107" s="1" t="s">
        <v>72</v>
      </c>
      <c r="M107" s="1" t="s">
        <v>75</v>
      </c>
      <c r="N107" s="1" t="s">
        <v>76</v>
      </c>
      <c r="O107" s="1" t="s">
        <v>77</v>
      </c>
      <c r="P107" s="1" t="s">
        <v>27</v>
      </c>
      <c r="Q107" s="1" t="s">
        <v>86</v>
      </c>
      <c r="R107" s="1" t="s">
        <v>94</v>
      </c>
      <c r="S107" s="1" t="s">
        <v>87</v>
      </c>
      <c r="T107" s="1" t="s">
        <v>88</v>
      </c>
      <c r="X107" s="1" t="s">
        <v>73</v>
      </c>
      <c r="Z107" s="1" t="s">
        <v>70</v>
      </c>
      <c r="AA107" s="1" t="s">
        <v>95</v>
      </c>
      <c r="AB107" s="1">
        <v>5</v>
      </c>
      <c r="AC107" s="1">
        <v>748788.47</v>
      </c>
      <c r="AD107" s="1">
        <v>8930589.8000000007</v>
      </c>
      <c r="AE107" s="1">
        <v>210.83</v>
      </c>
      <c r="AF107" s="1">
        <v>748788.47</v>
      </c>
      <c r="AG107" s="1">
        <v>8930589.8000000007</v>
      </c>
      <c r="AH107" s="1">
        <v>200.18</v>
      </c>
      <c r="AI107" s="1">
        <v>10.66</v>
      </c>
      <c r="AJ107" s="1">
        <v>0.6</v>
      </c>
      <c r="AK107" s="1">
        <v>2.97</v>
      </c>
      <c r="AL107" s="1">
        <v>2.58</v>
      </c>
      <c r="AM107" s="1">
        <v>0</v>
      </c>
      <c r="AN107" s="1">
        <v>0</v>
      </c>
      <c r="AO107" s="1">
        <v>279.95422539999998</v>
      </c>
      <c r="AP107" s="1">
        <v>3.18</v>
      </c>
      <c r="AQ107" s="1">
        <v>0.62</v>
      </c>
      <c r="AR107" s="1">
        <v>0.1</v>
      </c>
      <c r="AS107" s="1">
        <v>0.1</v>
      </c>
      <c r="AT107" s="1">
        <v>18.82</v>
      </c>
      <c r="AU107" s="1">
        <v>5.17</v>
      </c>
      <c r="AV107" s="1">
        <v>0.26</v>
      </c>
      <c r="AW107" s="1">
        <v>1.46</v>
      </c>
      <c r="AX107" s="1">
        <v>5.72</v>
      </c>
      <c r="AY107" s="1">
        <v>0</v>
      </c>
      <c r="AZ107" s="1">
        <v>104.25</v>
      </c>
      <c r="BA107" s="1">
        <v>0</v>
      </c>
      <c r="BB107" s="1">
        <v>0</v>
      </c>
      <c r="BC107" s="1">
        <v>0</v>
      </c>
      <c r="BD107" s="1">
        <v>0</v>
      </c>
    </row>
    <row r="108" spans="1:56">
      <c r="A108" s="18">
        <v>46192</v>
      </c>
      <c r="B108" s="1">
        <v>107</v>
      </c>
      <c r="C108" s="1" t="s">
        <v>89</v>
      </c>
      <c r="D108" s="1" t="s">
        <v>90</v>
      </c>
      <c r="E108" s="1">
        <v>2</v>
      </c>
      <c r="F108" s="1">
        <v>200</v>
      </c>
      <c r="G108" s="1">
        <v>1</v>
      </c>
      <c r="H108" s="1" t="s">
        <v>91</v>
      </c>
      <c r="I108" s="1" t="s">
        <v>79</v>
      </c>
      <c r="J108" s="1" t="s">
        <v>81</v>
      </c>
      <c r="K108" s="1" t="s">
        <v>74</v>
      </c>
      <c r="L108" s="1" t="s">
        <v>72</v>
      </c>
      <c r="M108" s="1" t="s">
        <v>75</v>
      </c>
      <c r="N108" s="1" t="s">
        <v>76</v>
      </c>
      <c r="O108" s="1" t="s">
        <v>77</v>
      </c>
      <c r="P108" s="1" t="s">
        <v>27</v>
      </c>
      <c r="Q108" s="1" t="s">
        <v>86</v>
      </c>
      <c r="R108" s="1" t="s">
        <v>94</v>
      </c>
      <c r="S108" s="1" t="s">
        <v>87</v>
      </c>
      <c r="T108" s="1" t="s">
        <v>88</v>
      </c>
      <c r="X108" s="1" t="s">
        <v>73</v>
      </c>
      <c r="Z108" s="1" t="s">
        <v>70</v>
      </c>
      <c r="AA108" s="1" t="s">
        <v>95</v>
      </c>
      <c r="AB108" s="1">
        <v>5</v>
      </c>
      <c r="AC108" s="1">
        <v>748790.75</v>
      </c>
      <c r="AD108" s="1">
        <v>8930587.9000000004</v>
      </c>
      <c r="AE108" s="1">
        <v>211.11</v>
      </c>
      <c r="AF108" s="1">
        <v>748790.75</v>
      </c>
      <c r="AG108" s="1">
        <v>8930587.9000000004</v>
      </c>
      <c r="AH108" s="1">
        <v>200.18</v>
      </c>
      <c r="AI108" s="1">
        <v>10.93</v>
      </c>
      <c r="AJ108" s="1">
        <v>0.6</v>
      </c>
      <c r="AK108" s="1">
        <v>2.97</v>
      </c>
      <c r="AL108" s="1">
        <v>2.58</v>
      </c>
      <c r="AM108" s="1">
        <v>0</v>
      </c>
      <c r="AN108" s="1">
        <v>0</v>
      </c>
      <c r="AO108" s="1">
        <v>279.95422539999998</v>
      </c>
      <c r="AP108" s="1">
        <v>3.18</v>
      </c>
      <c r="AQ108" s="1">
        <v>0.61</v>
      </c>
      <c r="AR108" s="1">
        <v>0.1</v>
      </c>
      <c r="AS108" s="1">
        <v>0.09</v>
      </c>
      <c r="AT108" s="1">
        <v>18.52</v>
      </c>
      <c r="AU108" s="1">
        <v>4.4000000000000004</v>
      </c>
      <c r="AV108" s="1">
        <v>0.28000000000000003</v>
      </c>
      <c r="AW108" s="1">
        <v>1.62</v>
      </c>
      <c r="AX108" s="1">
        <v>5.77</v>
      </c>
      <c r="AY108" s="1">
        <v>0</v>
      </c>
      <c r="AZ108" s="1">
        <v>108.181</v>
      </c>
      <c r="BA108" s="1">
        <v>0</v>
      </c>
      <c r="BB108" s="1">
        <v>0</v>
      </c>
      <c r="BC108" s="1">
        <v>0</v>
      </c>
      <c r="BD108" s="1">
        <v>0</v>
      </c>
    </row>
    <row r="109" spans="1:56">
      <c r="A109" s="18">
        <v>46192</v>
      </c>
      <c r="B109" s="1">
        <v>108</v>
      </c>
      <c r="C109" s="1" t="s">
        <v>89</v>
      </c>
      <c r="D109" s="1" t="s">
        <v>90</v>
      </c>
      <c r="E109" s="1">
        <v>2</v>
      </c>
      <c r="F109" s="1">
        <v>200</v>
      </c>
      <c r="G109" s="1">
        <v>1</v>
      </c>
      <c r="H109" s="1" t="s">
        <v>91</v>
      </c>
      <c r="I109" s="1" t="s">
        <v>79</v>
      </c>
      <c r="J109" s="1" t="s">
        <v>81</v>
      </c>
      <c r="K109" s="1" t="s">
        <v>74</v>
      </c>
      <c r="L109" s="1" t="s">
        <v>72</v>
      </c>
      <c r="M109" s="1" t="s">
        <v>75</v>
      </c>
      <c r="N109" s="1" t="s">
        <v>76</v>
      </c>
      <c r="O109" s="1" t="s">
        <v>77</v>
      </c>
      <c r="P109" s="1" t="s">
        <v>27</v>
      </c>
      <c r="Q109" s="1" t="s">
        <v>86</v>
      </c>
      <c r="R109" s="1" t="s">
        <v>94</v>
      </c>
      <c r="S109" s="1" t="s">
        <v>87</v>
      </c>
      <c r="T109" s="1" t="s">
        <v>88</v>
      </c>
      <c r="X109" s="1" t="s">
        <v>73</v>
      </c>
      <c r="Z109" s="1" t="s">
        <v>70</v>
      </c>
      <c r="AA109" s="1" t="s">
        <v>95</v>
      </c>
      <c r="AB109" s="1">
        <v>5</v>
      </c>
      <c r="AC109" s="1">
        <v>748793</v>
      </c>
      <c r="AD109" s="1">
        <v>8930585.9600000009</v>
      </c>
      <c r="AE109" s="1">
        <v>210.8</v>
      </c>
      <c r="AF109" s="1">
        <v>748793</v>
      </c>
      <c r="AG109" s="1">
        <v>8930585.9600000009</v>
      </c>
      <c r="AH109" s="1">
        <v>200.18</v>
      </c>
      <c r="AI109" s="1">
        <v>10.61</v>
      </c>
      <c r="AJ109" s="1">
        <v>0.6</v>
      </c>
      <c r="AK109" s="1">
        <v>2.97</v>
      </c>
      <c r="AL109" s="1">
        <v>2.58</v>
      </c>
      <c r="AM109" s="1">
        <v>0</v>
      </c>
      <c r="AN109" s="1">
        <v>0</v>
      </c>
      <c r="AO109" s="1">
        <v>279.95422539999998</v>
      </c>
      <c r="AP109" s="1">
        <v>3.16</v>
      </c>
      <c r="AQ109" s="1">
        <v>0.62</v>
      </c>
      <c r="AR109" s="1">
        <v>0.1</v>
      </c>
      <c r="AS109" s="1">
        <v>0.09</v>
      </c>
      <c r="AT109" s="1">
        <v>19.02</v>
      </c>
      <c r="AU109" s="1">
        <v>4.12</v>
      </c>
      <c r="AV109" s="1">
        <v>0.28999999999999998</v>
      </c>
      <c r="AW109" s="1">
        <v>1.66</v>
      </c>
      <c r="AX109" s="1">
        <v>5.9</v>
      </c>
      <c r="AY109" s="1">
        <v>0</v>
      </c>
      <c r="AZ109" s="1">
        <v>103.52200000000001</v>
      </c>
      <c r="BA109" s="1">
        <v>0</v>
      </c>
      <c r="BB109" s="1">
        <v>0</v>
      </c>
      <c r="BC109" s="1">
        <v>0</v>
      </c>
      <c r="BD109" s="1">
        <v>0</v>
      </c>
    </row>
    <row r="110" spans="1:56">
      <c r="A110" s="18">
        <v>46192</v>
      </c>
      <c r="B110" s="1">
        <v>109</v>
      </c>
      <c r="C110" s="1" t="s">
        <v>89</v>
      </c>
      <c r="D110" s="1" t="s">
        <v>90</v>
      </c>
      <c r="E110" s="1">
        <v>2</v>
      </c>
      <c r="F110" s="1">
        <v>200</v>
      </c>
      <c r="G110" s="1">
        <v>1</v>
      </c>
      <c r="H110" s="1" t="s">
        <v>91</v>
      </c>
      <c r="I110" s="1" t="s">
        <v>79</v>
      </c>
      <c r="J110" s="1" t="s">
        <v>81</v>
      </c>
      <c r="K110" s="1" t="s">
        <v>74</v>
      </c>
      <c r="L110" s="1" t="s">
        <v>72</v>
      </c>
      <c r="M110" s="1" t="s">
        <v>75</v>
      </c>
      <c r="N110" s="1" t="s">
        <v>76</v>
      </c>
      <c r="O110" s="1" t="s">
        <v>77</v>
      </c>
      <c r="P110" s="1" t="s">
        <v>27</v>
      </c>
      <c r="Q110" s="1" t="s">
        <v>86</v>
      </c>
      <c r="R110" s="1" t="s">
        <v>94</v>
      </c>
      <c r="S110" s="1" t="s">
        <v>87</v>
      </c>
      <c r="T110" s="1" t="s">
        <v>88</v>
      </c>
      <c r="X110" s="1" t="s">
        <v>73</v>
      </c>
      <c r="Z110" s="1" t="s">
        <v>70</v>
      </c>
      <c r="AA110" s="1" t="s">
        <v>95</v>
      </c>
      <c r="AB110" s="1">
        <v>5</v>
      </c>
      <c r="AC110" s="1">
        <v>748795.25</v>
      </c>
      <c r="AD110" s="1">
        <v>8930584.0199999996</v>
      </c>
      <c r="AE110" s="1">
        <v>210.55</v>
      </c>
      <c r="AF110" s="1">
        <v>748795.25</v>
      </c>
      <c r="AG110" s="1">
        <v>8930584.0199999996</v>
      </c>
      <c r="AH110" s="1">
        <v>200.19</v>
      </c>
      <c r="AI110" s="1">
        <v>10.36</v>
      </c>
      <c r="AJ110" s="1">
        <v>0.6</v>
      </c>
      <c r="AK110" s="1">
        <v>2.97</v>
      </c>
      <c r="AL110" s="1">
        <v>2.58</v>
      </c>
      <c r="AM110" s="1">
        <v>0</v>
      </c>
      <c r="AN110" s="1">
        <v>0</v>
      </c>
      <c r="AO110" s="1">
        <v>279.95422539999998</v>
      </c>
      <c r="AP110" s="1">
        <v>3.14</v>
      </c>
      <c r="AQ110" s="1">
        <v>0.65</v>
      </c>
      <c r="AR110" s="1">
        <v>0.11</v>
      </c>
      <c r="AS110" s="1">
        <v>0.09</v>
      </c>
      <c r="AT110" s="1">
        <v>19.829999999999998</v>
      </c>
      <c r="AU110" s="1">
        <v>4.22</v>
      </c>
      <c r="AV110" s="1">
        <v>0.3</v>
      </c>
      <c r="AW110" s="1">
        <v>1.7</v>
      </c>
      <c r="AX110" s="1">
        <v>5.97</v>
      </c>
      <c r="AY110" s="1">
        <v>0</v>
      </c>
      <c r="AZ110" s="1">
        <v>99.882000000000005</v>
      </c>
      <c r="BA110" s="1">
        <v>0</v>
      </c>
      <c r="BB110" s="1">
        <v>0</v>
      </c>
      <c r="BC110" s="1">
        <v>0</v>
      </c>
      <c r="BD110" s="1">
        <v>0</v>
      </c>
    </row>
    <row r="111" spans="1:56">
      <c r="A111" s="18">
        <v>46192</v>
      </c>
      <c r="B111" s="1">
        <v>110</v>
      </c>
      <c r="C111" s="1" t="s">
        <v>89</v>
      </c>
      <c r="D111" s="1" t="s">
        <v>90</v>
      </c>
      <c r="E111" s="1">
        <v>2</v>
      </c>
      <c r="F111" s="1">
        <v>200</v>
      </c>
      <c r="G111" s="1">
        <v>1</v>
      </c>
      <c r="H111" s="1" t="s">
        <v>91</v>
      </c>
      <c r="I111" s="1" t="s">
        <v>79</v>
      </c>
      <c r="J111" s="1" t="s">
        <v>81</v>
      </c>
      <c r="K111" s="1" t="s">
        <v>74</v>
      </c>
      <c r="L111" s="1" t="s">
        <v>72</v>
      </c>
      <c r="M111" s="1" t="s">
        <v>75</v>
      </c>
      <c r="N111" s="1" t="s">
        <v>76</v>
      </c>
      <c r="O111" s="1" t="s">
        <v>77</v>
      </c>
      <c r="P111" s="1" t="s">
        <v>27</v>
      </c>
      <c r="Q111" s="1" t="s">
        <v>86</v>
      </c>
      <c r="R111" s="1" t="s">
        <v>94</v>
      </c>
      <c r="S111" s="1" t="s">
        <v>87</v>
      </c>
      <c r="T111" s="1" t="s">
        <v>88</v>
      </c>
      <c r="X111" s="1" t="s">
        <v>73</v>
      </c>
      <c r="Z111" s="1" t="s">
        <v>70</v>
      </c>
      <c r="AA111" s="1" t="s">
        <v>95</v>
      </c>
      <c r="AB111" s="1">
        <v>5</v>
      </c>
      <c r="AC111" s="1">
        <v>748797.5</v>
      </c>
      <c r="AD111" s="1">
        <v>8930582.0800000001</v>
      </c>
      <c r="AE111" s="1">
        <v>210.9</v>
      </c>
      <c r="AF111" s="1">
        <v>748797.5</v>
      </c>
      <c r="AG111" s="1">
        <v>8930582.0800000001</v>
      </c>
      <c r="AH111" s="1">
        <v>200.19</v>
      </c>
      <c r="AI111" s="1">
        <v>10.71</v>
      </c>
      <c r="AJ111" s="1">
        <v>0.6</v>
      </c>
      <c r="AK111" s="1">
        <v>2.97</v>
      </c>
      <c r="AL111" s="1">
        <v>2.58</v>
      </c>
      <c r="AM111" s="1">
        <v>0</v>
      </c>
      <c r="AN111" s="1">
        <v>0</v>
      </c>
      <c r="AO111" s="1">
        <v>279.95422539999998</v>
      </c>
      <c r="AP111" s="1">
        <v>3.16</v>
      </c>
      <c r="AQ111" s="1">
        <v>0.69</v>
      </c>
      <c r="AR111" s="1">
        <v>0.11</v>
      </c>
      <c r="AS111" s="1">
        <v>0.1</v>
      </c>
      <c r="AT111" s="1">
        <v>21.16</v>
      </c>
      <c r="AU111" s="1">
        <v>4.49</v>
      </c>
      <c r="AV111" s="1">
        <v>0.32</v>
      </c>
      <c r="AW111" s="1">
        <v>1.8</v>
      </c>
      <c r="AX111" s="1">
        <v>6.32</v>
      </c>
      <c r="AY111" s="1">
        <v>0</v>
      </c>
      <c r="AZ111" s="1">
        <v>104.97799999999999</v>
      </c>
      <c r="BA111" s="1">
        <v>0</v>
      </c>
      <c r="BB111" s="1">
        <v>0</v>
      </c>
      <c r="BC111" s="1">
        <v>0</v>
      </c>
      <c r="BD111" s="1">
        <v>0</v>
      </c>
    </row>
    <row r="112" spans="1:56">
      <c r="A112" s="18">
        <v>46192</v>
      </c>
      <c r="B112" s="1">
        <v>111</v>
      </c>
      <c r="C112" s="1" t="s">
        <v>89</v>
      </c>
      <c r="D112" s="1" t="s">
        <v>90</v>
      </c>
      <c r="E112" s="1">
        <v>2</v>
      </c>
      <c r="F112" s="1">
        <v>200</v>
      </c>
      <c r="G112" s="1">
        <v>1</v>
      </c>
      <c r="H112" s="1" t="s">
        <v>91</v>
      </c>
      <c r="I112" s="1" t="s">
        <v>79</v>
      </c>
      <c r="J112" s="1" t="s">
        <v>81</v>
      </c>
      <c r="K112" s="1" t="s">
        <v>74</v>
      </c>
      <c r="L112" s="1" t="s">
        <v>72</v>
      </c>
      <c r="M112" s="1" t="s">
        <v>75</v>
      </c>
      <c r="N112" s="1" t="s">
        <v>76</v>
      </c>
      <c r="O112" s="1" t="s">
        <v>77</v>
      </c>
      <c r="P112" s="1" t="s">
        <v>27</v>
      </c>
      <c r="Q112" s="1" t="s">
        <v>86</v>
      </c>
      <c r="R112" s="1" t="s">
        <v>94</v>
      </c>
      <c r="S112" s="1" t="s">
        <v>87</v>
      </c>
      <c r="T112" s="1" t="s">
        <v>88</v>
      </c>
      <c r="X112" s="1" t="s">
        <v>73</v>
      </c>
      <c r="Z112" s="1" t="s">
        <v>70</v>
      </c>
      <c r="AA112" s="1" t="s">
        <v>95</v>
      </c>
      <c r="AB112" s="1">
        <v>5</v>
      </c>
      <c r="AC112" s="1">
        <v>748799.75</v>
      </c>
      <c r="AD112" s="1">
        <v>8930580.1400000006</v>
      </c>
      <c r="AE112" s="1">
        <v>210.7</v>
      </c>
      <c r="AF112" s="1">
        <v>748799.75</v>
      </c>
      <c r="AG112" s="1">
        <v>8930580.1400000006</v>
      </c>
      <c r="AH112" s="1">
        <v>200.19</v>
      </c>
      <c r="AI112" s="1">
        <v>10.51</v>
      </c>
      <c r="AJ112" s="1">
        <v>0.6</v>
      </c>
      <c r="AK112" s="1">
        <v>2.97</v>
      </c>
      <c r="AL112" s="1">
        <v>2.58</v>
      </c>
      <c r="AM112" s="1">
        <v>0</v>
      </c>
      <c r="AN112" s="1">
        <v>0</v>
      </c>
      <c r="AO112" s="1">
        <v>279.95422539999998</v>
      </c>
      <c r="AP112" s="1">
        <v>3.22</v>
      </c>
      <c r="AQ112" s="1">
        <v>0.6</v>
      </c>
      <c r="AR112" s="1">
        <v>0.1</v>
      </c>
      <c r="AS112" s="1">
        <v>0.09</v>
      </c>
      <c r="AT112" s="1">
        <v>19.96</v>
      </c>
      <c r="AU112" s="1">
        <v>4.6500000000000004</v>
      </c>
      <c r="AV112" s="1">
        <v>0.3</v>
      </c>
      <c r="AW112" s="1">
        <v>1.79</v>
      </c>
      <c r="AX112" s="1">
        <v>7.05</v>
      </c>
      <c r="AY112" s="1">
        <v>0</v>
      </c>
      <c r="AZ112" s="1">
        <v>102.066</v>
      </c>
      <c r="BA112" s="1">
        <v>0</v>
      </c>
      <c r="BB112" s="1">
        <v>0</v>
      </c>
      <c r="BC112" s="1">
        <v>0</v>
      </c>
      <c r="BD112" s="1">
        <v>0</v>
      </c>
    </row>
    <row r="113" spans="1:56">
      <c r="A113" s="18">
        <v>46192</v>
      </c>
      <c r="B113" s="1">
        <v>112</v>
      </c>
      <c r="C113" s="1" t="s">
        <v>89</v>
      </c>
      <c r="D113" s="1" t="s">
        <v>90</v>
      </c>
      <c r="E113" s="1">
        <v>2</v>
      </c>
      <c r="F113" s="1">
        <v>200</v>
      </c>
      <c r="G113" s="1">
        <v>1</v>
      </c>
      <c r="H113" s="1" t="s">
        <v>91</v>
      </c>
      <c r="I113" s="1" t="s">
        <v>79</v>
      </c>
      <c r="J113" s="1" t="s">
        <v>80</v>
      </c>
      <c r="K113" s="1" t="s">
        <v>74</v>
      </c>
      <c r="L113" s="1" t="s">
        <v>72</v>
      </c>
      <c r="M113" s="1" t="s">
        <v>75</v>
      </c>
      <c r="N113" s="1" t="s">
        <v>76</v>
      </c>
      <c r="O113" s="1" t="s">
        <v>77</v>
      </c>
      <c r="P113" s="1" t="s">
        <v>27</v>
      </c>
      <c r="Q113" s="1" t="s">
        <v>86</v>
      </c>
      <c r="R113" s="1" t="s">
        <v>94</v>
      </c>
      <c r="S113" s="1" t="s">
        <v>87</v>
      </c>
      <c r="T113" s="1" t="s">
        <v>88</v>
      </c>
      <c r="X113" s="1" t="s">
        <v>73</v>
      </c>
      <c r="Z113" s="1" t="s">
        <v>70</v>
      </c>
      <c r="AA113" s="1" t="s">
        <v>95</v>
      </c>
      <c r="AB113" s="1">
        <v>5</v>
      </c>
      <c r="AC113" s="1">
        <v>748802</v>
      </c>
      <c r="AD113" s="1">
        <v>8930578.1999999993</v>
      </c>
      <c r="AE113" s="1">
        <v>210.43</v>
      </c>
      <c r="AF113" s="1">
        <v>748802</v>
      </c>
      <c r="AG113" s="1">
        <v>8930578.1999999993</v>
      </c>
      <c r="AH113" s="1">
        <v>200.19</v>
      </c>
      <c r="AI113" s="1">
        <v>10.24</v>
      </c>
      <c r="AJ113" s="1">
        <v>0.6</v>
      </c>
      <c r="AK113" s="1">
        <v>2.97</v>
      </c>
      <c r="AL113" s="1">
        <v>2.58</v>
      </c>
      <c r="AM113" s="1">
        <v>0</v>
      </c>
      <c r="AN113" s="1">
        <v>0</v>
      </c>
      <c r="AO113" s="1">
        <v>279.95422539999998</v>
      </c>
      <c r="AP113" s="1">
        <v>3.31</v>
      </c>
      <c r="AQ113" s="1">
        <v>0.46</v>
      </c>
      <c r="AR113" s="1">
        <v>0.08</v>
      </c>
      <c r="AS113" s="1">
        <v>7.0000000000000007E-2</v>
      </c>
      <c r="AT113" s="1">
        <v>16.850000000000001</v>
      </c>
      <c r="AU113" s="1">
        <v>4.9400000000000004</v>
      </c>
      <c r="AV113" s="1">
        <v>0.22</v>
      </c>
      <c r="AW113" s="1">
        <v>1.93</v>
      </c>
      <c r="AX113" s="1">
        <v>8.3000000000000007</v>
      </c>
      <c r="AY113" s="1">
        <v>0</v>
      </c>
      <c r="AZ113" s="1">
        <v>98.134</v>
      </c>
      <c r="BA113" s="1">
        <v>0</v>
      </c>
      <c r="BB113" s="1">
        <v>0</v>
      </c>
      <c r="BC113" s="1">
        <v>0</v>
      </c>
      <c r="BD113" s="1">
        <v>0</v>
      </c>
    </row>
    <row r="114" spans="1:56">
      <c r="A114" s="18">
        <v>46192</v>
      </c>
      <c r="B114" s="1">
        <v>113</v>
      </c>
      <c r="C114" s="1" t="s">
        <v>89</v>
      </c>
      <c r="D114" s="1" t="s">
        <v>90</v>
      </c>
      <c r="E114" s="1">
        <v>2</v>
      </c>
      <c r="F114" s="1">
        <v>200</v>
      </c>
      <c r="G114" s="1">
        <v>1</v>
      </c>
      <c r="H114" s="1" t="s">
        <v>91</v>
      </c>
      <c r="I114" s="1" t="s">
        <v>79</v>
      </c>
      <c r="J114" s="1" t="s">
        <v>80</v>
      </c>
      <c r="K114" s="1" t="s">
        <v>74</v>
      </c>
      <c r="L114" s="1" t="s">
        <v>72</v>
      </c>
      <c r="M114" s="1" t="s">
        <v>75</v>
      </c>
      <c r="N114" s="1" t="s">
        <v>76</v>
      </c>
      <c r="O114" s="1" t="s">
        <v>77</v>
      </c>
      <c r="P114" s="1" t="s">
        <v>27</v>
      </c>
      <c r="Q114" s="1" t="s">
        <v>86</v>
      </c>
      <c r="R114" s="1" t="s">
        <v>94</v>
      </c>
      <c r="S114" s="1" t="s">
        <v>87</v>
      </c>
      <c r="T114" s="1" t="s">
        <v>88</v>
      </c>
      <c r="X114" s="1" t="s">
        <v>73</v>
      </c>
      <c r="Z114" s="1" t="s">
        <v>70</v>
      </c>
      <c r="AA114" s="1" t="s">
        <v>95</v>
      </c>
      <c r="AB114" s="1">
        <v>5</v>
      </c>
      <c r="AC114" s="1">
        <v>748804.25</v>
      </c>
      <c r="AD114" s="1">
        <v>8930576.2699999996</v>
      </c>
      <c r="AE114" s="1">
        <v>209.98</v>
      </c>
      <c r="AF114" s="1">
        <v>748804.25</v>
      </c>
      <c r="AG114" s="1">
        <v>8930576.2699999996</v>
      </c>
      <c r="AH114" s="1">
        <v>200.19</v>
      </c>
      <c r="AI114" s="1">
        <v>9.8000000000000007</v>
      </c>
      <c r="AJ114" s="1">
        <v>0.6</v>
      </c>
      <c r="AK114" s="1">
        <v>2.97</v>
      </c>
      <c r="AL114" s="1">
        <v>2.58</v>
      </c>
      <c r="AM114" s="1">
        <v>0</v>
      </c>
      <c r="AN114" s="1">
        <v>0</v>
      </c>
      <c r="AO114" s="1">
        <v>279.95422539999998</v>
      </c>
      <c r="AP114" s="1">
        <v>3.33</v>
      </c>
      <c r="AQ114" s="1">
        <v>0.47</v>
      </c>
      <c r="AR114" s="1">
        <v>0.09</v>
      </c>
      <c r="AS114" s="1">
        <v>7.0000000000000007E-2</v>
      </c>
      <c r="AT114" s="1">
        <v>17.489999999999998</v>
      </c>
      <c r="AU114" s="1">
        <v>5.19</v>
      </c>
      <c r="AV114" s="1">
        <v>0.23</v>
      </c>
      <c r="AW114" s="1">
        <v>2.04</v>
      </c>
      <c r="AX114" s="1">
        <v>8.82</v>
      </c>
      <c r="AY114" s="1">
        <v>0</v>
      </c>
      <c r="AZ114" s="1">
        <v>91.727999999999994</v>
      </c>
      <c r="BA114" s="1">
        <v>0</v>
      </c>
      <c r="BB114" s="1">
        <v>0</v>
      </c>
      <c r="BC114" s="1">
        <v>0</v>
      </c>
      <c r="BD114" s="1">
        <v>0</v>
      </c>
    </row>
    <row r="115" spans="1:56">
      <c r="A115" s="18">
        <v>46192</v>
      </c>
      <c r="B115" s="1">
        <v>114</v>
      </c>
      <c r="C115" s="1" t="s">
        <v>89</v>
      </c>
      <c r="D115" s="1" t="s">
        <v>90</v>
      </c>
      <c r="E115" s="1">
        <v>2</v>
      </c>
      <c r="F115" s="1">
        <v>200</v>
      </c>
      <c r="G115" s="1">
        <v>1</v>
      </c>
      <c r="H115" s="1" t="s">
        <v>91</v>
      </c>
      <c r="I115" s="1" t="s">
        <v>79</v>
      </c>
      <c r="J115" s="1" t="s">
        <v>80</v>
      </c>
      <c r="K115" s="1" t="s">
        <v>74</v>
      </c>
      <c r="L115" s="1" t="s">
        <v>72</v>
      </c>
      <c r="M115" s="1" t="s">
        <v>75</v>
      </c>
      <c r="N115" s="1" t="s">
        <v>76</v>
      </c>
      <c r="O115" s="1" t="s">
        <v>77</v>
      </c>
      <c r="P115" s="1" t="s">
        <v>27</v>
      </c>
      <c r="Q115" s="1" t="s">
        <v>86</v>
      </c>
      <c r="R115" s="1" t="s">
        <v>94</v>
      </c>
      <c r="S115" s="1" t="s">
        <v>87</v>
      </c>
      <c r="T115" s="1" t="s">
        <v>88</v>
      </c>
      <c r="X115" s="1" t="s">
        <v>73</v>
      </c>
      <c r="Z115" s="1" t="s">
        <v>70</v>
      </c>
      <c r="AA115" s="1" t="s">
        <v>95</v>
      </c>
      <c r="AB115" s="1">
        <v>5</v>
      </c>
      <c r="AC115" s="1">
        <v>748806.5</v>
      </c>
      <c r="AD115" s="1">
        <v>8930574.3300000001</v>
      </c>
      <c r="AE115" s="1">
        <v>209.93</v>
      </c>
      <c r="AF115" s="1">
        <v>748806.5</v>
      </c>
      <c r="AG115" s="1">
        <v>8930574.3300000001</v>
      </c>
      <c r="AH115" s="1">
        <v>200.18</v>
      </c>
      <c r="AI115" s="1">
        <v>9.75</v>
      </c>
      <c r="AJ115" s="1">
        <v>0.6</v>
      </c>
      <c r="AK115" s="1">
        <v>2.97</v>
      </c>
      <c r="AL115" s="1">
        <v>2.58</v>
      </c>
      <c r="AM115" s="1">
        <v>0</v>
      </c>
      <c r="AN115" s="1">
        <v>0</v>
      </c>
      <c r="AO115" s="1">
        <v>279.95422539999998</v>
      </c>
      <c r="AP115" s="1">
        <v>3.34</v>
      </c>
      <c r="AQ115" s="1">
        <v>0.48</v>
      </c>
      <c r="AR115" s="1">
        <v>0.09</v>
      </c>
      <c r="AS115" s="1">
        <v>7.0000000000000007E-2</v>
      </c>
      <c r="AT115" s="1">
        <v>17.8</v>
      </c>
      <c r="AU115" s="1">
        <v>5.28</v>
      </c>
      <c r="AV115" s="1">
        <v>0.23</v>
      </c>
      <c r="AW115" s="1">
        <v>2.0699999999999998</v>
      </c>
      <c r="AX115" s="1">
        <v>8.99</v>
      </c>
      <c r="AY115" s="1">
        <v>0</v>
      </c>
      <c r="AZ115" s="1">
        <v>91</v>
      </c>
      <c r="BA115" s="1">
        <v>0</v>
      </c>
      <c r="BB115" s="1">
        <v>0</v>
      </c>
      <c r="BC115" s="1">
        <v>0</v>
      </c>
      <c r="BD115" s="1">
        <v>0</v>
      </c>
    </row>
    <row r="116" spans="1:56">
      <c r="A116" s="18">
        <v>46192</v>
      </c>
      <c r="B116" s="1">
        <v>115</v>
      </c>
      <c r="C116" s="1" t="s">
        <v>89</v>
      </c>
      <c r="D116" s="1" t="s">
        <v>90</v>
      </c>
      <c r="E116" s="1">
        <v>2</v>
      </c>
      <c r="F116" s="1">
        <v>200</v>
      </c>
      <c r="G116" s="1">
        <v>1</v>
      </c>
      <c r="H116" s="1" t="s">
        <v>91</v>
      </c>
      <c r="I116" s="1" t="s">
        <v>79</v>
      </c>
      <c r="J116" s="1" t="s">
        <v>80</v>
      </c>
      <c r="K116" s="1" t="s">
        <v>74</v>
      </c>
      <c r="L116" s="1" t="s">
        <v>72</v>
      </c>
      <c r="M116" s="1" t="s">
        <v>75</v>
      </c>
      <c r="N116" s="1" t="s">
        <v>76</v>
      </c>
      <c r="O116" s="1" t="s">
        <v>77</v>
      </c>
      <c r="P116" s="1" t="s">
        <v>27</v>
      </c>
      <c r="Q116" s="1" t="s">
        <v>86</v>
      </c>
      <c r="R116" s="1" t="s">
        <v>94</v>
      </c>
      <c r="S116" s="1" t="s">
        <v>87</v>
      </c>
      <c r="T116" s="1" t="s">
        <v>88</v>
      </c>
      <c r="X116" s="1" t="s">
        <v>73</v>
      </c>
      <c r="Z116" s="1" t="s">
        <v>70</v>
      </c>
      <c r="AA116" s="1" t="s">
        <v>95</v>
      </c>
      <c r="AB116" s="1">
        <v>5</v>
      </c>
      <c r="AC116" s="1">
        <v>748808.75</v>
      </c>
      <c r="AD116" s="1">
        <v>8930572.3900000006</v>
      </c>
      <c r="AE116" s="1">
        <v>209.97</v>
      </c>
      <c r="AF116" s="1">
        <v>748808.75</v>
      </c>
      <c r="AG116" s="1">
        <v>8930572.3900000006</v>
      </c>
      <c r="AH116" s="1">
        <v>200.18</v>
      </c>
      <c r="AI116" s="1">
        <v>9.7799999999999994</v>
      </c>
      <c r="AJ116" s="1">
        <v>0.6</v>
      </c>
      <c r="AK116" s="1">
        <v>2.97</v>
      </c>
      <c r="AL116" s="1">
        <v>2.58</v>
      </c>
      <c r="AM116" s="1">
        <v>0</v>
      </c>
      <c r="AN116" s="1">
        <v>0</v>
      </c>
      <c r="AO116" s="1">
        <v>279.95422539999998</v>
      </c>
      <c r="AP116" s="1">
        <v>3.34</v>
      </c>
      <c r="AQ116" s="1">
        <v>0.49</v>
      </c>
      <c r="AR116" s="1">
        <v>0.09</v>
      </c>
      <c r="AS116" s="1">
        <v>7.0000000000000007E-2</v>
      </c>
      <c r="AT116" s="1">
        <v>17.61</v>
      </c>
      <c r="AU116" s="1">
        <v>5.1100000000000003</v>
      </c>
      <c r="AV116" s="1">
        <v>0.24</v>
      </c>
      <c r="AW116" s="1">
        <v>2.0699999999999998</v>
      </c>
      <c r="AX116" s="1">
        <v>8.8800000000000008</v>
      </c>
      <c r="AY116" s="1">
        <v>0</v>
      </c>
      <c r="AZ116" s="1">
        <v>91.436999999999998</v>
      </c>
      <c r="BA116" s="1">
        <v>0</v>
      </c>
      <c r="BB116" s="1">
        <v>0</v>
      </c>
      <c r="BC116" s="1">
        <v>0</v>
      </c>
      <c r="BD116" s="1">
        <v>0</v>
      </c>
    </row>
    <row r="117" spans="1:56">
      <c r="A117" s="18">
        <v>46192</v>
      </c>
      <c r="B117" s="1">
        <v>116</v>
      </c>
      <c r="C117" s="1" t="s">
        <v>89</v>
      </c>
      <c r="D117" s="1" t="s">
        <v>90</v>
      </c>
      <c r="E117" s="1">
        <v>2</v>
      </c>
      <c r="F117" s="1">
        <v>200</v>
      </c>
      <c r="G117" s="1">
        <v>1</v>
      </c>
      <c r="H117" s="1" t="s">
        <v>91</v>
      </c>
      <c r="I117" s="1" t="s">
        <v>79</v>
      </c>
      <c r="J117" s="1" t="s">
        <v>80</v>
      </c>
      <c r="K117" s="1" t="s">
        <v>74</v>
      </c>
      <c r="L117" s="1" t="s">
        <v>72</v>
      </c>
      <c r="M117" s="1" t="s">
        <v>75</v>
      </c>
      <c r="N117" s="1" t="s">
        <v>76</v>
      </c>
      <c r="O117" s="1" t="s">
        <v>77</v>
      </c>
      <c r="P117" s="1" t="s">
        <v>27</v>
      </c>
      <c r="Q117" s="1" t="s">
        <v>86</v>
      </c>
      <c r="R117" s="1" t="s">
        <v>94</v>
      </c>
      <c r="S117" s="1" t="s">
        <v>87</v>
      </c>
      <c r="T117" s="1" t="s">
        <v>88</v>
      </c>
      <c r="X117" s="1" t="s">
        <v>73</v>
      </c>
      <c r="Z117" s="1" t="s">
        <v>70</v>
      </c>
      <c r="AA117" s="1" t="s">
        <v>95</v>
      </c>
      <c r="AB117" s="1">
        <v>5</v>
      </c>
      <c r="AC117" s="1">
        <v>748811</v>
      </c>
      <c r="AD117" s="1">
        <v>8930570.4499999993</v>
      </c>
      <c r="AE117" s="1">
        <v>210.21</v>
      </c>
      <c r="AF117" s="1">
        <v>748811</v>
      </c>
      <c r="AG117" s="1">
        <v>8930570.4499999993</v>
      </c>
      <c r="AH117" s="1">
        <v>200.18</v>
      </c>
      <c r="AI117" s="1">
        <v>10.029999999999999</v>
      </c>
      <c r="AJ117" s="1">
        <v>0.6</v>
      </c>
      <c r="AK117" s="1">
        <v>2.97</v>
      </c>
      <c r="AL117" s="1">
        <v>2.58</v>
      </c>
      <c r="AM117" s="1">
        <v>0</v>
      </c>
      <c r="AN117" s="1">
        <v>0</v>
      </c>
      <c r="AO117" s="1">
        <v>279.95422539999998</v>
      </c>
      <c r="AP117" s="1">
        <v>3.35</v>
      </c>
      <c r="AQ117" s="1">
        <v>0.5</v>
      </c>
      <c r="AR117" s="1">
        <v>0.08</v>
      </c>
      <c r="AS117" s="1">
        <v>7.0000000000000007E-2</v>
      </c>
      <c r="AT117" s="1">
        <v>15.89</v>
      </c>
      <c r="AU117" s="1">
        <v>4.21</v>
      </c>
      <c r="AV117" s="1">
        <v>0.25</v>
      </c>
      <c r="AW117" s="1">
        <v>2.02</v>
      </c>
      <c r="AX117" s="1">
        <v>8.5</v>
      </c>
      <c r="AY117" s="1">
        <v>0</v>
      </c>
      <c r="AZ117" s="1">
        <v>95.076999999999998</v>
      </c>
      <c r="BA117" s="1">
        <v>0</v>
      </c>
      <c r="BB117" s="1">
        <v>0</v>
      </c>
      <c r="BC117" s="1">
        <v>0</v>
      </c>
      <c r="BD117" s="1">
        <v>0</v>
      </c>
    </row>
    <row r="118" spans="1:56">
      <c r="A118" s="18">
        <v>46192</v>
      </c>
      <c r="B118" s="1">
        <v>117</v>
      </c>
      <c r="C118" s="1" t="s">
        <v>89</v>
      </c>
      <c r="D118" s="1" t="s">
        <v>90</v>
      </c>
      <c r="E118" s="1">
        <v>2</v>
      </c>
      <c r="F118" s="1">
        <v>200</v>
      </c>
      <c r="H118" s="1" t="s">
        <v>91</v>
      </c>
      <c r="I118" s="1" t="s">
        <v>79</v>
      </c>
      <c r="J118" s="1" t="s">
        <v>80</v>
      </c>
      <c r="K118" s="1" t="s">
        <v>74</v>
      </c>
      <c r="L118" s="1" t="s">
        <v>72</v>
      </c>
      <c r="M118" s="1" t="s">
        <v>75</v>
      </c>
      <c r="N118" s="1" t="s">
        <v>76</v>
      </c>
      <c r="O118" s="1" t="s">
        <v>77</v>
      </c>
      <c r="P118" s="1" t="s">
        <v>27</v>
      </c>
      <c r="Q118" s="1" t="s">
        <v>86</v>
      </c>
      <c r="R118" s="1" t="s">
        <v>94</v>
      </c>
      <c r="S118" s="1" t="s">
        <v>87</v>
      </c>
      <c r="T118" s="1" t="s">
        <v>88</v>
      </c>
      <c r="X118" s="1" t="s">
        <v>73</v>
      </c>
      <c r="Z118" s="1" t="s">
        <v>70</v>
      </c>
      <c r="AA118" s="1" t="s">
        <v>95</v>
      </c>
      <c r="AB118" s="1">
        <v>5</v>
      </c>
      <c r="AC118" s="1">
        <v>748813.22</v>
      </c>
      <c r="AD118" s="1">
        <v>8930568.4800000004</v>
      </c>
      <c r="AE118" s="1">
        <v>210.3</v>
      </c>
      <c r="AF118" s="1">
        <v>748813.22</v>
      </c>
      <c r="AG118" s="1">
        <v>8930568.4800000004</v>
      </c>
      <c r="AH118" s="1">
        <v>200.19</v>
      </c>
      <c r="AI118" s="1">
        <v>10.11</v>
      </c>
      <c r="AJ118" s="1">
        <v>0.6</v>
      </c>
      <c r="AK118" s="1">
        <v>2.97</v>
      </c>
      <c r="AL118" s="1">
        <v>2.58</v>
      </c>
      <c r="AM118" s="1">
        <v>0</v>
      </c>
      <c r="AN118" s="1">
        <v>0</v>
      </c>
      <c r="AO118" s="1">
        <v>279.95422539999998</v>
      </c>
      <c r="AP118" s="1">
        <v>3.32</v>
      </c>
      <c r="AQ118" s="1">
        <v>0.44</v>
      </c>
      <c r="AR118" s="1">
        <v>0.06</v>
      </c>
      <c r="AS118" s="1">
        <v>0.05</v>
      </c>
      <c r="AT118" s="1">
        <v>14.2</v>
      </c>
      <c r="AU118" s="1">
        <v>3.89</v>
      </c>
      <c r="AV118" s="1">
        <v>0.22</v>
      </c>
      <c r="AW118" s="1">
        <v>1.98</v>
      </c>
      <c r="AX118" s="1">
        <v>8.57</v>
      </c>
      <c r="AY118" s="1">
        <v>0</v>
      </c>
      <c r="AZ118" s="1">
        <v>96.242000000000004</v>
      </c>
      <c r="BA118" s="1">
        <v>0</v>
      </c>
      <c r="BB118" s="1">
        <v>0</v>
      </c>
      <c r="BC118" s="1">
        <v>0</v>
      </c>
      <c r="BD118" s="1">
        <v>0</v>
      </c>
    </row>
    <row r="119" spans="1:56">
      <c r="A119" s="18">
        <v>46192</v>
      </c>
      <c r="B119" s="1">
        <v>118</v>
      </c>
      <c r="C119" s="1" t="s">
        <v>89</v>
      </c>
      <c r="D119" s="1" t="s">
        <v>90</v>
      </c>
      <c r="E119" s="1">
        <v>2</v>
      </c>
      <c r="F119" s="1">
        <v>200</v>
      </c>
      <c r="H119" s="1" t="s">
        <v>91</v>
      </c>
      <c r="I119" s="1" t="s">
        <v>79</v>
      </c>
      <c r="J119" s="1" t="s">
        <v>80</v>
      </c>
      <c r="K119" s="1" t="s">
        <v>74</v>
      </c>
      <c r="L119" s="1" t="s">
        <v>72</v>
      </c>
      <c r="M119" s="1" t="s">
        <v>75</v>
      </c>
      <c r="N119" s="1" t="s">
        <v>76</v>
      </c>
      <c r="O119" s="1" t="s">
        <v>77</v>
      </c>
      <c r="P119" s="1" t="s">
        <v>27</v>
      </c>
      <c r="Q119" s="1" t="s">
        <v>86</v>
      </c>
      <c r="R119" s="1" t="s">
        <v>94</v>
      </c>
      <c r="S119" s="1" t="s">
        <v>87</v>
      </c>
      <c r="T119" s="1" t="s">
        <v>88</v>
      </c>
      <c r="X119" s="1" t="s">
        <v>73</v>
      </c>
      <c r="Z119" s="1" t="s">
        <v>70</v>
      </c>
      <c r="AA119" s="1" t="s">
        <v>95</v>
      </c>
      <c r="AB119" s="1">
        <v>5</v>
      </c>
      <c r="AC119" s="1">
        <v>748815.24</v>
      </c>
      <c r="AD119" s="1">
        <v>8930566.3100000005</v>
      </c>
      <c r="AE119" s="1">
        <v>210.3</v>
      </c>
      <c r="AF119" s="1">
        <v>748815.24</v>
      </c>
      <c r="AG119" s="1">
        <v>8930566.3100000005</v>
      </c>
      <c r="AH119" s="1">
        <v>200.23</v>
      </c>
      <c r="AI119" s="1">
        <v>10.08</v>
      </c>
      <c r="AJ119" s="1">
        <v>0.6</v>
      </c>
      <c r="AK119" s="1">
        <v>2.97</v>
      </c>
      <c r="AL119" s="1">
        <v>2.58</v>
      </c>
      <c r="AM119" s="1">
        <v>0</v>
      </c>
      <c r="AN119" s="1">
        <v>0</v>
      </c>
      <c r="AO119" s="1">
        <v>279.95422539999998</v>
      </c>
      <c r="AP119" s="1">
        <v>3.32</v>
      </c>
      <c r="AQ119" s="1">
        <v>0.43</v>
      </c>
      <c r="AR119" s="1">
        <v>0.06</v>
      </c>
      <c r="AS119" s="1">
        <v>0.05</v>
      </c>
      <c r="AT119" s="1">
        <v>14.02</v>
      </c>
      <c r="AU119" s="1">
        <v>3.87</v>
      </c>
      <c r="AV119" s="1">
        <v>0.22</v>
      </c>
      <c r="AW119" s="1">
        <v>1.97</v>
      </c>
      <c r="AX119" s="1">
        <v>8.59</v>
      </c>
      <c r="AY119" s="1">
        <v>0</v>
      </c>
      <c r="AZ119" s="1">
        <v>95.805000000000007</v>
      </c>
      <c r="BA119" s="1">
        <v>0</v>
      </c>
      <c r="BB119" s="1">
        <v>0</v>
      </c>
      <c r="BC119" s="1">
        <v>0</v>
      </c>
      <c r="BD119" s="1">
        <v>0</v>
      </c>
    </row>
    <row r="120" spans="1:56">
      <c r="A120" s="18">
        <v>46192</v>
      </c>
      <c r="B120" s="1">
        <v>119</v>
      </c>
      <c r="C120" s="1" t="s">
        <v>89</v>
      </c>
      <c r="D120" s="1" t="s">
        <v>90</v>
      </c>
      <c r="E120" s="1">
        <v>2</v>
      </c>
      <c r="F120" s="1">
        <v>200</v>
      </c>
      <c r="H120" s="1" t="s">
        <v>91</v>
      </c>
      <c r="I120" s="1" t="s">
        <v>85</v>
      </c>
      <c r="J120" s="1" t="s">
        <v>80</v>
      </c>
      <c r="K120" s="1" t="s">
        <v>74</v>
      </c>
      <c r="L120" s="1" t="s">
        <v>72</v>
      </c>
      <c r="M120" s="1" t="s">
        <v>75</v>
      </c>
      <c r="N120" s="1" t="s">
        <v>76</v>
      </c>
      <c r="O120" s="1" t="s">
        <v>77</v>
      </c>
      <c r="P120" s="1" t="s">
        <v>27</v>
      </c>
      <c r="Q120" s="1" t="s">
        <v>86</v>
      </c>
      <c r="R120" s="1" t="s">
        <v>94</v>
      </c>
      <c r="S120" s="1" t="s">
        <v>87</v>
      </c>
      <c r="T120" s="1" t="s">
        <v>88</v>
      </c>
      <c r="X120" s="1" t="s">
        <v>73</v>
      </c>
      <c r="Z120" s="1" t="s">
        <v>70</v>
      </c>
      <c r="AA120" s="1" t="s">
        <v>95</v>
      </c>
      <c r="AB120" s="1">
        <v>5</v>
      </c>
      <c r="AC120" s="1">
        <v>748817.02</v>
      </c>
      <c r="AD120" s="1">
        <v>8930563.9399999995</v>
      </c>
      <c r="AE120" s="1">
        <v>210.42</v>
      </c>
      <c r="AF120" s="1">
        <v>748817.02</v>
      </c>
      <c r="AG120" s="1">
        <v>8930563.9399999995</v>
      </c>
      <c r="AH120" s="1">
        <v>200.18</v>
      </c>
      <c r="AI120" s="1">
        <v>10.23</v>
      </c>
      <c r="AJ120" s="1">
        <v>0.6</v>
      </c>
      <c r="AK120" s="1">
        <v>2.97</v>
      </c>
      <c r="AL120" s="1">
        <v>2.58</v>
      </c>
      <c r="AM120" s="1">
        <v>0</v>
      </c>
      <c r="AN120" s="1">
        <v>0</v>
      </c>
      <c r="AO120" s="1">
        <v>279.95422539999998</v>
      </c>
      <c r="AP120" s="1">
        <v>3.32</v>
      </c>
      <c r="AQ120" s="1">
        <v>0.43</v>
      </c>
      <c r="AR120" s="1">
        <v>0.06</v>
      </c>
      <c r="AS120" s="1">
        <v>0.05</v>
      </c>
      <c r="AT120" s="1">
        <v>13.94</v>
      </c>
      <c r="AU120" s="1">
        <v>3.85</v>
      </c>
      <c r="AV120" s="1">
        <v>0.22</v>
      </c>
      <c r="AW120" s="1">
        <v>1.96</v>
      </c>
      <c r="AX120" s="1">
        <v>8.5500000000000007</v>
      </c>
      <c r="AY120" s="1">
        <v>0</v>
      </c>
      <c r="AZ120" s="1">
        <v>97.989000000000004</v>
      </c>
      <c r="BA120" s="1">
        <v>0</v>
      </c>
      <c r="BB120" s="1">
        <v>0</v>
      </c>
      <c r="BC120" s="1">
        <v>0</v>
      </c>
      <c r="BD120" s="1">
        <v>0</v>
      </c>
    </row>
    <row r="121" spans="1:56">
      <c r="A121" s="18">
        <v>46192</v>
      </c>
      <c r="B121" s="1">
        <v>120</v>
      </c>
      <c r="C121" s="1" t="s">
        <v>89</v>
      </c>
      <c r="D121" s="1" t="s">
        <v>90</v>
      </c>
      <c r="E121" s="1">
        <v>2</v>
      </c>
      <c r="F121" s="1">
        <v>200</v>
      </c>
      <c r="H121" s="1" t="s">
        <v>91</v>
      </c>
      <c r="I121" s="1" t="s">
        <v>85</v>
      </c>
      <c r="J121" s="1" t="s">
        <v>80</v>
      </c>
      <c r="K121" s="1" t="s">
        <v>74</v>
      </c>
      <c r="L121" s="1" t="s">
        <v>72</v>
      </c>
      <c r="M121" s="1" t="s">
        <v>75</v>
      </c>
      <c r="N121" s="1" t="s">
        <v>76</v>
      </c>
      <c r="O121" s="1" t="s">
        <v>77</v>
      </c>
      <c r="P121" s="1" t="s">
        <v>27</v>
      </c>
      <c r="Q121" s="1" t="s">
        <v>86</v>
      </c>
      <c r="R121" s="1" t="s">
        <v>94</v>
      </c>
      <c r="S121" s="1" t="s">
        <v>87</v>
      </c>
      <c r="T121" s="1" t="s">
        <v>88</v>
      </c>
      <c r="X121" s="1" t="s">
        <v>73</v>
      </c>
      <c r="Z121" s="1" t="s">
        <v>70</v>
      </c>
      <c r="AA121" s="1" t="s">
        <v>95</v>
      </c>
      <c r="AB121" s="1">
        <v>5</v>
      </c>
      <c r="AC121" s="1">
        <v>748818.63</v>
      </c>
      <c r="AD121" s="1">
        <v>8930561.4399999995</v>
      </c>
      <c r="AE121" s="1">
        <v>210.8</v>
      </c>
      <c r="AF121" s="1">
        <v>748818.63</v>
      </c>
      <c r="AG121" s="1">
        <v>8930561.4399999995</v>
      </c>
      <c r="AH121" s="1">
        <v>200.18</v>
      </c>
      <c r="AI121" s="1">
        <v>10.62</v>
      </c>
      <c r="AJ121" s="1">
        <v>0.6</v>
      </c>
      <c r="AK121" s="1">
        <v>2.97</v>
      </c>
      <c r="AL121" s="1">
        <v>2.58</v>
      </c>
      <c r="AM121" s="1">
        <v>0</v>
      </c>
      <c r="AN121" s="1">
        <v>0</v>
      </c>
      <c r="AO121" s="1">
        <v>279.95422539999998</v>
      </c>
      <c r="AP121" s="1">
        <v>3.27</v>
      </c>
      <c r="AQ121" s="1">
        <v>0.37</v>
      </c>
      <c r="AR121" s="1">
        <v>0.05</v>
      </c>
      <c r="AS121" s="1">
        <v>0.05</v>
      </c>
      <c r="AT121" s="1">
        <v>11.87</v>
      </c>
      <c r="AU121" s="1">
        <v>3.49</v>
      </c>
      <c r="AV121" s="1">
        <v>0.16</v>
      </c>
      <c r="AW121" s="1">
        <v>1.39</v>
      </c>
      <c r="AX121" s="1">
        <v>6.78</v>
      </c>
      <c r="AY121" s="1">
        <v>0</v>
      </c>
      <c r="AZ121" s="1">
        <v>103.667</v>
      </c>
      <c r="BA121" s="1">
        <v>0</v>
      </c>
      <c r="BB121" s="1">
        <v>0</v>
      </c>
      <c r="BC121" s="1">
        <v>0</v>
      </c>
      <c r="BD121" s="1">
        <v>0</v>
      </c>
    </row>
    <row r="122" spans="1:56">
      <c r="A122" s="18">
        <v>46192</v>
      </c>
      <c r="B122" s="1">
        <v>121</v>
      </c>
      <c r="C122" s="1" t="s">
        <v>89</v>
      </c>
      <c r="D122" s="1" t="s">
        <v>90</v>
      </c>
      <c r="E122" s="1">
        <v>2</v>
      </c>
      <c r="F122" s="1">
        <v>200</v>
      </c>
      <c r="H122" s="1" t="s">
        <v>91</v>
      </c>
      <c r="I122" s="1" t="s">
        <v>85</v>
      </c>
      <c r="J122" s="1" t="s">
        <v>80</v>
      </c>
      <c r="K122" s="1" t="s">
        <v>74</v>
      </c>
      <c r="L122" s="1" t="s">
        <v>72</v>
      </c>
      <c r="M122" s="1" t="s">
        <v>75</v>
      </c>
      <c r="N122" s="1" t="s">
        <v>76</v>
      </c>
      <c r="O122" s="1" t="s">
        <v>77</v>
      </c>
      <c r="P122" s="1" t="s">
        <v>27</v>
      </c>
      <c r="Q122" s="1" t="s">
        <v>86</v>
      </c>
      <c r="R122" s="1" t="s">
        <v>94</v>
      </c>
      <c r="S122" s="1" t="s">
        <v>87</v>
      </c>
      <c r="T122" s="1" t="s">
        <v>88</v>
      </c>
      <c r="X122" s="1" t="s">
        <v>73</v>
      </c>
      <c r="Z122" s="1" t="s">
        <v>70</v>
      </c>
      <c r="AA122" s="1" t="s">
        <v>95</v>
      </c>
      <c r="AB122" s="1">
        <v>5</v>
      </c>
      <c r="AC122" s="1">
        <v>748820.23</v>
      </c>
      <c r="AD122" s="1">
        <v>8930558.9399999995</v>
      </c>
      <c r="AE122" s="1">
        <v>210.9</v>
      </c>
      <c r="AF122" s="1">
        <v>748820.23</v>
      </c>
      <c r="AG122" s="1">
        <v>8930558.9399999995</v>
      </c>
      <c r="AH122" s="1">
        <v>200.18</v>
      </c>
      <c r="AI122" s="1">
        <v>10.72</v>
      </c>
      <c r="AJ122" s="1">
        <v>0.6</v>
      </c>
      <c r="AK122" s="1">
        <v>2.97</v>
      </c>
      <c r="AL122" s="1">
        <v>2.58</v>
      </c>
      <c r="AM122" s="1">
        <v>0</v>
      </c>
      <c r="AN122" s="1">
        <v>0</v>
      </c>
      <c r="AO122" s="1">
        <v>279.95422539999998</v>
      </c>
      <c r="AP122" s="1">
        <v>3.19</v>
      </c>
      <c r="AQ122" s="1">
        <v>0.35</v>
      </c>
      <c r="AR122" s="1">
        <v>0.04</v>
      </c>
      <c r="AS122" s="1">
        <v>0.04</v>
      </c>
      <c r="AT122" s="1">
        <v>9.7100000000000009</v>
      </c>
      <c r="AU122" s="1">
        <v>3.65</v>
      </c>
      <c r="AV122" s="1">
        <v>0.03</v>
      </c>
      <c r="AW122" s="1">
        <v>0.24</v>
      </c>
      <c r="AX122" s="1">
        <v>4</v>
      </c>
      <c r="AY122" s="1">
        <v>0</v>
      </c>
      <c r="AZ122" s="1">
        <v>105.123</v>
      </c>
      <c r="BA122" s="1">
        <v>0</v>
      </c>
      <c r="BB122" s="1">
        <v>0</v>
      </c>
      <c r="BC122" s="1">
        <v>0</v>
      </c>
      <c r="BD122" s="1">
        <v>0</v>
      </c>
    </row>
    <row r="123" spans="1:56">
      <c r="A123" s="18">
        <v>46192</v>
      </c>
      <c r="B123" s="1">
        <v>122</v>
      </c>
      <c r="C123" s="1" t="s">
        <v>89</v>
      </c>
      <c r="D123" s="1" t="s">
        <v>90</v>
      </c>
      <c r="E123" s="1">
        <v>2</v>
      </c>
      <c r="F123" s="1">
        <v>200</v>
      </c>
      <c r="H123" s="1" t="s">
        <v>91</v>
      </c>
      <c r="I123" s="1" t="s">
        <v>85</v>
      </c>
      <c r="J123" s="1" t="s">
        <v>80</v>
      </c>
      <c r="K123" s="1" t="s">
        <v>74</v>
      </c>
      <c r="L123" s="1" t="s">
        <v>72</v>
      </c>
      <c r="M123" s="1" t="s">
        <v>75</v>
      </c>
      <c r="N123" s="1" t="s">
        <v>76</v>
      </c>
      <c r="O123" s="1" t="s">
        <v>77</v>
      </c>
      <c r="P123" s="1" t="s">
        <v>27</v>
      </c>
      <c r="Q123" s="1" t="s">
        <v>86</v>
      </c>
      <c r="R123" s="1" t="s">
        <v>94</v>
      </c>
      <c r="S123" s="1" t="s">
        <v>87</v>
      </c>
      <c r="T123" s="1" t="s">
        <v>88</v>
      </c>
      <c r="X123" s="1" t="s">
        <v>73</v>
      </c>
      <c r="Z123" s="1" t="s">
        <v>70</v>
      </c>
      <c r="AA123" s="1" t="s">
        <v>95</v>
      </c>
      <c r="AB123" s="1">
        <v>5</v>
      </c>
      <c r="AC123" s="1">
        <v>748821.83</v>
      </c>
      <c r="AD123" s="1">
        <v>8930556.4399999995</v>
      </c>
      <c r="AE123" s="1">
        <v>211</v>
      </c>
      <c r="AF123" s="1">
        <v>748821.83</v>
      </c>
      <c r="AG123" s="1">
        <v>8930556.4399999995</v>
      </c>
      <c r="AH123" s="1">
        <v>200.19</v>
      </c>
      <c r="AI123" s="1">
        <v>10.82</v>
      </c>
      <c r="AJ123" s="1">
        <v>0.6</v>
      </c>
      <c r="AK123" s="1">
        <v>2.97</v>
      </c>
      <c r="AL123" s="1">
        <v>2.58</v>
      </c>
      <c r="AM123" s="1">
        <v>0</v>
      </c>
      <c r="AN123" s="1">
        <v>0</v>
      </c>
      <c r="AO123" s="1">
        <v>279.95422539999998</v>
      </c>
      <c r="AP123" s="1">
        <v>3.14</v>
      </c>
      <c r="AQ123" s="1">
        <v>0.36</v>
      </c>
      <c r="AR123" s="1">
        <v>0.04</v>
      </c>
      <c r="AS123" s="1">
        <v>0.05</v>
      </c>
      <c r="AT123" s="1">
        <v>9.58</v>
      </c>
      <c r="AU123" s="1">
        <v>3.56</v>
      </c>
      <c r="AV123" s="1">
        <v>0.04</v>
      </c>
      <c r="AW123" s="1">
        <v>0.21</v>
      </c>
      <c r="AX123" s="1">
        <v>5.37</v>
      </c>
      <c r="AY123" s="1">
        <v>0</v>
      </c>
      <c r="AZ123" s="1">
        <v>106.57899999999999</v>
      </c>
      <c r="BA123" s="1">
        <v>0</v>
      </c>
      <c r="BB123" s="1">
        <v>0</v>
      </c>
      <c r="BC123" s="1">
        <v>0</v>
      </c>
      <c r="BD123" s="1">
        <v>0</v>
      </c>
    </row>
    <row r="124" spans="1:56">
      <c r="A124" s="18">
        <v>46192</v>
      </c>
      <c r="B124" s="1">
        <v>123</v>
      </c>
      <c r="C124" s="1" t="s">
        <v>89</v>
      </c>
      <c r="D124" s="1" t="s">
        <v>90</v>
      </c>
      <c r="E124" s="1">
        <v>2</v>
      </c>
      <c r="F124" s="1">
        <v>200</v>
      </c>
      <c r="H124" s="1" t="s">
        <v>91</v>
      </c>
      <c r="I124" s="1" t="s">
        <v>85</v>
      </c>
      <c r="J124" s="1" t="s">
        <v>80</v>
      </c>
      <c r="K124" s="1" t="s">
        <v>74</v>
      </c>
      <c r="L124" s="1" t="s">
        <v>72</v>
      </c>
      <c r="M124" s="1" t="s">
        <v>75</v>
      </c>
      <c r="N124" s="1" t="s">
        <v>76</v>
      </c>
      <c r="O124" s="1" t="s">
        <v>77</v>
      </c>
      <c r="P124" s="1" t="s">
        <v>27</v>
      </c>
      <c r="Q124" s="1" t="s">
        <v>86</v>
      </c>
      <c r="R124" s="1" t="s">
        <v>94</v>
      </c>
      <c r="S124" s="1" t="s">
        <v>87</v>
      </c>
      <c r="T124" s="1" t="s">
        <v>88</v>
      </c>
      <c r="X124" s="1" t="s">
        <v>73</v>
      </c>
      <c r="Z124" s="1" t="s">
        <v>70</v>
      </c>
      <c r="AA124" s="1" t="s">
        <v>95</v>
      </c>
      <c r="AB124" s="1">
        <v>5</v>
      </c>
      <c r="AC124" s="1">
        <v>748823.43</v>
      </c>
      <c r="AD124" s="1">
        <v>8930553.9399999995</v>
      </c>
      <c r="AE124" s="1">
        <v>211.08</v>
      </c>
      <c r="AF124" s="1">
        <v>748823.43</v>
      </c>
      <c r="AG124" s="1">
        <v>8930553.9399999995</v>
      </c>
      <c r="AH124" s="1">
        <v>200.19</v>
      </c>
      <c r="AI124" s="1">
        <v>10.9</v>
      </c>
      <c r="AJ124" s="1">
        <v>0.6</v>
      </c>
      <c r="AK124" s="1">
        <v>2.97</v>
      </c>
      <c r="AL124" s="1">
        <v>2.58</v>
      </c>
      <c r="AM124" s="1">
        <v>0</v>
      </c>
      <c r="AN124" s="1">
        <v>0</v>
      </c>
      <c r="AO124" s="1">
        <v>279.95422539999998</v>
      </c>
      <c r="AP124" s="1">
        <v>3.16</v>
      </c>
      <c r="AQ124" s="1">
        <v>0.4</v>
      </c>
      <c r="AR124" s="1">
        <v>0.04</v>
      </c>
      <c r="AS124" s="1">
        <v>0.05</v>
      </c>
      <c r="AT124" s="1">
        <v>10.28</v>
      </c>
      <c r="AU124" s="1">
        <v>3.78</v>
      </c>
      <c r="AV124" s="1">
        <v>0.03</v>
      </c>
      <c r="AW124" s="1">
        <v>0.13</v>
      </c>
      <c r="AX124" s="1">
        <v>5.73</v>
      </c>
      <c r="AY124" s="1">
        <v>0</v>
      </c>
      <c r="AZ124" s="1">
        <v>107.744</v>
      </c>
      <c r="BA124" s="1">
        <v>0</v>
      </c>
      <c r="BB124" s="1">
        <v>0</v>
      </c>
      <c r="BC124" s="1">
        <v>0</v>
      </c>
      <c r="BD124" s="1">
        <v>0</v>
      </c>
    </row>
    <row r="125" spans="1:56">
      <c r="A125" s="18">
        <v>46192</v>
      </c>
      <c r="B125" s="1">
        <v>124</v>
      </c>
      <c r="C125" s="1" t="s">
        <v>89</v>
      </c>
      <c r="D125" s="1" t="s">
        <v>90</v>
      </c>
      <c r="E125" s="1">
        <v>2</v>
      </c>
      <c r="F125" s="1">
        <v>200</v>
      </c>
      <c r="H125" s="1" t="s">
        <v>91</v>
      </c>
      <c r="I125" s="1" t="s">
        <v>85</v>
      </c>
      <c r="J125" s="1" t="s">
        <v>80</v>
      </c>
      <c r="K125" s="1" t="s">
        <v>74</v>
      </c>
      <c r="L125" s="1" t="s">
        <v>72</v>
      </c>
      <c r="M125" s="1" t="s">
        <v>75</v>
      </c>
      <c r="N125" s="1" t="s">
        <v>76</v>
      </c>
      <c r="O125" s="1" t="s">
        <v>77</v>
      </c>
      <c r="P125" s="1" t="s">
        <v>27</v>
      </c>
      <c r="Q125" s="1" t="s">
        <v>86</v>
      </c>
      <c r="R125" s="1" t="s">
        <v>94</v>
      </c>
      <c r="S125" s="1" t="s">
        <v>87</v>
      </c>
      <c r="T125" s="1" t="s">
        <v>88</v>
      </c>
      <c r="X125" s="1" t="s">
        <v>73</v>
      </c>
      <c r="Z125" s="1" t="s">
        <v>70</v>
      </c>
      <c r="AA125" s="1" t="s">
        <v>95</v>
      </c>
      <c r="AB125" s="1">
        <v>5</v>
      </c>
      <c r="AC125" s="1">
        <v>748825.04</v>
      </c>
      <c r="AD125" s="1">
        <v>8930551.4399999995</v>
      </c>
      <c r="AE125" s="1">
        <v>211.06</v>
      </c>
      <c r="AF125" s="1">
        <v>748825.04</v>
      </c>
      <c r="AG125" s="1">
        <v>8930551.4399999995</v>
      </c>
      <c r="AH125" s="1">
        <v>200.19</v>
      </c>
      <c r="AI125" s="1">
        <v>10.87</v>
      </c>
      <c r="AJ125" s="1">
        <v>0.6</v>
      </c>
      <c r="AK125" s="1">
        <v>2.97</v>
      </c>
      <c r="AL125" s="1">
        <v>2.58</v>
      </c>
      <c r="AM125" s="1">
        <v>0</v>
      </c>
      <c r="AN125" s="1">
        <v>0</v>
      </c>
      <c r="AO125" s="1">
        <v>279.95422539999998</v>
      </c>
      <c r="AP125" s="1">
        <v>3.18</v>
      </c>
      <c r="AQ125" s="1">
        <v>0.48</v>
      </c>
      <c r="AR125" s="1">
        <v>0.05</v>
      </c>
      <c r="AS125" s="1">
        <v>0.06</v>
      </c>
      <c r="AT125" s="1">
        <v>11.53</v>
      </c>
      <c r="AU125" s="1">
        <v>4.05</v>
      </c>
      <c r="AV125" s="1">
        <v>0</v>
      </c>
      <c r="AW125" s="1">
        <v>0</v>
      </c>
      <c r="AX125" s="1">
        <v>6.05</v>
      </c>
      <c r="AY125" s="1">
        <v>0</v>
      </c>
      <c r="AZ125" s="1">
        <v>107.307</v>
      </c>
      <c r="BA125" s="1">
        <v>0</v>
      </c>
      <c r="BB125" s="1">
        <v>0</v>
      </c>
      <c r="BC125" s="1">
        <v>0</v>
      </c>
      <c r="BD125" s="1">
        <v>0</v>
      </c>
    </row>
    <row r="126" spans="1:56">
      <c r="A126" s="18">
        <v>46192</v>
      </c>
      <c r="B126" s="1">
        <v>125</v>
      </c>
      <c r="C126" s="1" t="s">
        <v>89</v>
      </c>
      <c r="D126" s="1" t="s">
        <v>90</v>
      </c>
      <c r="E126" s="1">
        <v>2</v>
      </c>
      <c r="F126" s="1">
        <v>200</v>
      </c>
      <c r="G126" s="1">
        <v>1</v>
      </c>
      <c r="H126" s="1" t="s">
        <v>91</v>
      </c>
      <c r="I126" s="1" t="s">
        <v>85</v>
      </c>
      <c r="J126" s="1" t="s">
        <v>83</v>
      </c>
      <c r="K126" s="1" t="s">
        <v>74</v>
      </c>
      <c r="L126" s="1" t="s">
        <v>72</v>
      </c>
      <c r="M126" s="1" t="s">
        <v>75</v>
      </c>
      <c r="N126" s="1" t="s">
        <v>76</v>
      </c>
      <c r="O126" s="1" t="s">
        <v>77</v>
      </c>
      <c r="P126" s="1" t="s">
        <v>27</v>
      </c>
      <c r="Q126" s="1" t="s">
        <v>86</v>
      </c>
      <c r="R126" s="1" t="s">
        <v>94</v>
      </c>
      <c r="S126" s="1" t="s">
        <v>87</v>
      </c>
      <c r="T126" s="1" t="s">
        <v>88</v>
      </c>
      <c r="X126" s="1" t="s">
        <v>73</v>
      </c>
      <c r="Z126" s="1" t="s">
        <v>70</v>
      </c>
      <c r="AA126" s="1" t="s">
        <v>95</v>
      </c>
      <c r="AB126" s="1">
        <v>5</v>
      </c>
      <c r="AC126" s="1">
        <v>748826.64</v>
      </c>
      <c r="AD126" s="1">
        <v>8930548.9399999995</v>
      </c>
      <c r="AE126" s="1">
        <v>211.21</v>
      </c>
      <c r="AF126" s="1">
        <v>748826.64</v>
      </c>
      <c r="AG126" s="1">
        <v>8930548.9399999995</v>
      </c>
      <c r="AH126" s="1">
        <v>200.19</v>
      </c>
      <c r="AI126" s="1">
        <v>11.02</v>
      </c>
      <c r="AJ126" s="1">
        <v>0.6</v>
      </c>
      <c r="AK126" s="1">
        <v>2.97</v>
      </c>
      <c r="AL126" s="1">
        <v>2.58</v>
      </c>
      <c r="AM126" s="1">
        <v>0</v>
      </c>
      <c r="AN126" s="1">
        <v>0</v>
      </c>
      <c r="AO126" s="1">
        <v>279.95422539999998</v>
      </c>
      <c r="AP126" s="1">
        <v>3.21</v>
      </c>
      <c r="AQ126" s="1">
        <v>0.81</v>
      </c>
      <c r="AR126" s="1">
        <v>0.05</v>
      </c>
      <c r="AS126" s="1">
        <v>0.09</v>
      </c>
      <c r="AT126" s="1">
        <v>17.03</v>
      </c>
      <c r="AU126" s="1">
        <v>4.92</v>
      </c>
      <c r="AV126" s="1">
        <v>0</v>
      </c>
      <c r="AW126" s="1">
        <v>0</v>
      </c>
      <c r="AX126" s="1">
        <v>6.1</v>
      </c>
      <c r="AY126" s="1">
        <v>0</v>
      </c>
      <c r="AZ126" s="1">
        <v>109.491</v>
      </c>
      <c r="BA126" s="1">
        <v>0</v>
      </c>
      <c r="BB126" s="1">
        <v>0</v>
      </c>
      <c r="BC126" s="1">
        <v>0</v>
      </c>
      <c r="BD126" s="1">
        <v>0</v>
      </c>
    </row>
    <row r="127" spans="1:56">
      <c r="A127" s="18">
        <v>46192</v>
      </c>
      <c r="B127" s="1">
        <v>126</v>
      </c>
      <c r="C127" s="1" t="s">
        <v>89</v>
      </c>
      <c r="D127" s="1" t="s">
        <v>90</v>
      </c>
      <c r="E127" s="1">
        <v>2</v>
      </c>
      <c r="F127" s="1">
        <v>200</v>
      </c>
      <c r="G127" s="1">
        <v>1</v>
      </c>
      <c r="H127" s="1" t="s">
        <v>91</v>
      </c>
      <c r="I127" s="1" t="s">
        <v>79</v>
      </c>
      <c r="J127" s="1" t="s">
        <v>83</v>
      </c>
      <c r="K127" s="1" t="s">
        <v>74</v>
      </c>
      <c r="L127" s="1" t="s">
        <v>72</v>
      </c>
      <c r="M127" s="1" t="s">
        <v>75</v>
      </c>
      <c r="N127" s="1" t="s">
        <v>76</v>
      </c>
      <c r="O127" s="1" t="s">
        <v>77</v>
      </c>
      <c r="P127" s="1" t="s">
        <v>27</v>
      </c>
      <c r="Q127" s="1" t="s">
        <v>86</v>
      </c>
      <c r="R127" s="1" t="s">
        <v>94</v>
      </c>
      <c r="S127" s="1" t="s">
        <v>87</v>
      </c>
      <c r="T127" s="1" t="s">
        <v>88</v>
      </c>
      <c r="X127" s="1" t="s">
        <v>73</v>
      </c>
      <c r="Z127" s="1" t="s">
        <v>70</v>
      </c>
      <c r="AA127" s="1" t="s">
        <v>95</v>
      </c>
      <c r="AB127" s="1">
        <v>5</v>
      </c>
      <c r="AC127" s="1">
        <v>748828.24</v>
      </c>
      <c r="AD127" s="1">
        <v>8930546.4399999995</v>
      </c>
      <c r="AE127" s="1">
        <v>211.16</v>
      </c>
      <c r="AF127" s="1">
        <v>748828.24</v>
      </c>
      <c r="AG127" s="1">
        <v>8930546.4399999995</v>
      </c>
      <c r="AH127" s="1">
        <v>200.19</v>
      </c>
      <c r="AI127" s="1">
        <v>10.97</v>
      </c>
      <c r="AJ127" s="1">
        <v>0.6</v>
      </c>
      <c r="AK127" s="1">
        <v>2.97</v>
      </c>
      <c r="AL127" s="1">
        <v>2.58</v>
      </c>
      <c r="AM127" s="1">
        <v>0</v>
      </c>
      <c r="AN127" s="1">
        <v>0</v>
      </c>
      <c r="AO127" s="1">
        <v>279.95422539999998</v>
      </c>
      <c r="AP127" s="1">
        <v>3.22</v>
      </c>
      <c r="AQ127" s="1">
        <v>0.95</v>
      </c>
      <c r="AR127" s="1">
        <v>0.05</v>
      </c>
      <c r="AS127" s="1">
        <v>0.1</v>
      </c>
      <c r="AT127" s="1">
        <v>19.46</v>
      </c>
      <c r="AU127" s="1">
        <v>5.43</v>
      </c>
      <c r="AV127" s="1">
        <v>0</v>
      </c>
      <c r="AW127" s="1">
        <v>0</v>
      </c>
      <c r="AX127" s="1">
        <v>6.43</v>
      </c>
      <c r="AY127" s="1">
        <v>0</v>
      </c>
      <c r="AZ127" s="1">
        <v>108.76300000000001</v>
      </c>
      <c r="BA127" s="1">
        <v>0</v>
      </c>
      <c r="BB127" s="1">
        <v>0</v>
      </c>
      <c r="BC127" s="1">
        <v>0</v>
      </c>
      <c r="BD127" s="1">
        <v>0</v>
      </c>
    </row>
    <row r="128" spans="1:56">
      <c r="A128" s="18">
        <v>46192</v>
      </c>
      <c r="B128" s="1">
        <v>127</v>
      </c>
      <c r="C128" s="1" t="s">
        <v>89</v>
      </c>
      <c r="D128" s="1" t="s">
        <v>90</v>
      </c>
      <c r="E128" s="1">
        <v>2</v>
      </c>
      <c r="F128" s="1">
        <v>200</v>
      </c>
      <c r="G128" s="1">
        <v>1</v>
      </c>
      <c r="H128" s="1" t="s">
        <v>91</v>
      </c>
      <c r="I128" s="1" t="s">
        <v>79</v>
      </c>
      <c r="J128" s="1" t="s">
        <v>81</v>
      </c>
      <c r="K128" s="1" t="s">
        <v>74</v>
      </c>
      <c r="L128" s="1" t="s">
        <v>72</v>
      </c>
      <c r="M128" s="1" t="s">
        <v>75</v>
      </c>
      <c r="N128" s="1" t="s">
        <v>76</v>
      </c>
      <c r="O128" s="1" t="s">
        <v>77</v>
      </c>
      <c r="P128" s="1" t="s">
        <v>27</v>
      </c>
      <c r="Q128" s="1" t="s">
        <v>86</v>
      </c>
      <c r="R128" s="1" t="s">
        <v>94</v>
      </c>
      <c r="S128" s="1" t="s">
        <v>87</v>
      </c>
      <c r="T128" s="1" t="s">
        <v>88</v>
      </c>
      <c r="X128" s="1" t="s">
        <v>73</v>
      </c>
      <c r="Z128" s="1" t="s">
        <v>70</v>
      </c>
      <c r="AA128" s="1" t="s">
        <v>95</v>
      </c>
      <c r="AB128" s="1">
        <v>5</v>
      </c>
      <c r="AC128" s="1">
        <v>748829.85</v>
      </c>
      <c r="AD128" s="1">
        <v>8930543.9399999995</v>
      </c>
      <c r="AE128" s="1">
        <v>211.27</v>
      </c>
      <c r="AF128" s="1">
        <v>748829.85</v>
      </c>
      <c r="AG128" s="1">
        <v>8930543.9399999995</v>
      </c>
      <c r="AH128" s="1">
        <v>200.19</v>
      </c>
      <c r="AI128" s="1">
        <v>11.08</v>
      </c>
      <c r="AJ128" s="1">
        <v>0.6</v>
      </c>
      <c r="AK128" s="1">
        <v>2.97</v>
      </c>
      <c r="AL128" s="1">
        <v>2.58</v>
      </c>
      <c r="AM128" s="1">
        <v>0</v>
      </c>
      <c r="AN128" s="1">
        <v>0</v>
      </c>
      <c r="AO128" s="1">
        <v>279.95422539999998</v>
      </c>
      <c r="AP128" s="1">
        <v>3.23</v>
      </c>
      <c r="AQ128" s="1">
        <v>0.95</v>
      </c>
      <c r="AR128" s="1">
        <v>0.05</v>
      </c>
      <c r="AS128" s="1">
        <v>0.1</v>
      </c>
      <c r="AT128" s="1">
        <v>19.71</v>
      </c>
      <c r="AU128" s="1">
        <v>5.86</v>
      </c>
      <c r="AV128" s="1">
        <v>0</v>
      </c>
      <c r="AW128" s="1">
        <v>0</v>
      </c>
      <c r="AX128" s="1">
        <v>6.94</v>
      </c>
      <c r="AY128" s="1">
        <v>0</v>
      </c>
      <c r="AZ128" s="1">
        <v>110.36499999999999</v>
      </c>
      <c r="BA128" s="1">
        <v>0</v>
      </c>
      <c r="BB128" s="1">
        <v>0</v>
      </c>
      <c r="BC128" s="1">
        <v>0</v>
      </c>
      <c r="BD128" s="1">
        <v>0</v>
      </c>
    </row>
    <row r="129" spans="1:56">
      <c r="A129" s="18">
        <v>46192</v>
      </c>
      <c r="B129" s="1">
        <v>128</v>
      </c>
      <c r="C129" s="1" t="s">
        <v>89</v>
      </c>
      <c r="D129" s="1" t="s">
        <v>90</v>
      </c>
      <c r="E129" s="1">
        <v>2</v>
      </c>
      <c r="F129" s="1">
        <v>200</v>
      </c>
      <c r="G129" s="1">
        <v>1</v>
      </c>
      <c r="H129" s="1" t="s">
        <v>91</v>
      </c>
      <c r="I129" s="1" t="s">
        <v>79</v>
      </c>
      <c r="J129" s="1" t="s">
        <v>81</v>
      </c>
      <c r="K129" s="1" t="s">
        <v>74</v>
      </c>
      <c r="L129" s="1" t="s">
        <v>72</v>
      </c>
      <c r="M129" s="1" t="s">
        <v>75</v>
      </c>
      <c r="N129" s="1" t="s">
        <v>76</v>
      </c>
      <c r="O129" s="1" t="s">
        <v>77</v>
      </c>
      <c r="P129" s="1" t="s">
        <v>27</v>
      </c>
      <c r="Q129" s="1" t="s">
        <v>86</v>
      </c>
      <c r="R129" s="1" t="s">
        <v>94</v>
      </c>
      <c r="S129" s="1" t="s">
        <v>87</v>
      </c>
      <c r="T129" s="1" t="s">
        <v>88</v>
      </c>
      <c r="X129" s="1" t="s">
        <v>73</v>
      </c>
      <c r="Z129" s="1" t="s">
        <v>70</v>
      </c>
      <c r="AA129" s="1" t="s">
        <v>95</v>
      </c>
      <c r="AB129" s="1">
        <v>5</v>
      </c>
      <c r="AC129" s="1">
        <v>748831.45</v>
      </c>
      <c r="AD129" s="1">
        <v>8930541.4299999997</v>
      </c>
      <c r="AE129" s="1">
        <v>211.62</v>
      </c>
      <c r="AF129" s="1">
        <v>748831.45</v>
      </c>
      <c r="AG129" s="1">
        <v>8930541.4299999997</v>
      </c>
      <c r="AH129" s="1">
        <v>200.19</v>
      </c>
      <c r="AI129" s="1">
        <v>11.43</v>
      </c>
      <c r="AJ129" s="1">
        <v>0.6</v>
      </c>
      <c r="AK129" s="1">
        <v>2.97</v>
      </c>
      <c r="AL129" s="1">
        <v>2.58</v>
      </c>
      <c r="AM129" s="1">
        <v>0</v>
      </c>
      <c r="AN129" s="1">
        <v>0</v>
      </c>
      <c r="AO129" s="1">
        <v>279.95422539999998</v>
      </c>
      <c r="AP129" s="1">
        <v>3.22</v>
      </c>
      <c r="AQ129" s="1">
        <v>0.9</v>
      </c>
      <c r="AR129" s="1">
        <v>0.05</v>
      </c>
      <c r="AS129" s="1">
        <v>0.1</v>
      </c>
      <c r="AT129" s="1">
        <v>19.41</v>
      </c>
      <c r="AU129" s="1">
        <v>6.09</v>
      </c>
      <c r="AV129" s="1">
        <v>0</v>
      </c>
      <c r="AW129" s="1">
        <v>0</v>
      </c>
      <c r="AX129" s="1">
        <v>7.27</v>
      </c>
      <c r="AY129" s="1">
        <v>0</v>
      </c>
      <c r="AZ129" s="1">
        <v>115.461</v>
      </c>
      <c r="BA129" s="1">
        <v>0</v>
      </c>
      <c r="BB129" s="1">
        <v>0</v>
      </c>
      <c r="BC129" s="1">
        <v>0</v>
      </c>
      <c r="BD129" s="1">
        <v>0</v>
      </c>
    </row>
    <row r="130" spans="1:56">
      <c r="A130" s="18">
        <v>46192</v>
      </c>
      <c r="B130" s="1">
        <v>129</v>
      </c>
      <c r="C130" s="1" t="s">
        <v>89</v>
      </c>
      <c r="D130" s="1" t="s">
        <v>90</v>
      </c>
      <c r="E130" s="1">
        <v>2</v>
      </c>
      <c r="F130" s="1">
        <v>200</v>
      </c>
      <c r="H130" s="1" t="s">
        <v>91</v>
      </c>
      <c r="I130" s="1" t="s">
        <v>85</v>
      </c>
      <c r="J130" s="1" t="s">
        <v>81</v>
      </c>
      <c r="K130" s="1" t="s">
        <v>74</v>
      </c>
      <c r="L130" s="1" t="s">
        <v>72</v>
      </c>
      <c r="M130" s="1" t="s">
        <v>75</v>
      </c>
      <c r="N130" s="1" t="s">
        <v>76</v>
      </c>
      <c r="O130" s="1" t="s">
        <v>77</v>
      </c>
      <c r="P130" s="1" t="s">
        <v>27</v>
      </c>
      <c r="Q130" s="1" t="s">
        <v>86</v>
      </c>
      <c r="R130" s="1" t="s">
        <v>94</v>
      </c>
      <c r="S130" s="1" t="s">
        <v>87</v>
      </c>
      <c r="T130" s="1" t="s">
        <v>88</v>
      </c>
      <c r="X130" s="1" t="s">
        <v>73</v>
      </c>
      <c r="Z130" s="1" t="s">
        <v>70</v>
      </c>
      <c r="AA130" s="1" t="s">
        <v>95</v>
      </c>
      <c r="AB130" s="1">
        <v>5</v>
      </c>
      <c r="AC130" s="1">
        <v>748833.05</v>
      </c>
      <c r="AD130" s="1">
        <v>8930538.9299999997</v>
      </c>
      <c r="AE130" s="1">
        <v>211.52</v>
      </c>
      <c r="AF130" s="1">
        <v>748833.05</v>
      </c>
      <c r="AG130" s="1">
        <v>8930538.9299999997</v>
      </c>
      <c r="AH130" s="1">
        <v>200.19</v>
      </c>
      <c r="AI130" s="1">
        <v>11.33</v>
      </c>
      <c r="AJ130" s="1">
        <v>0.6</v>
      </c>
      <c r="AK130" s="1">
        <v>2.97</v>
      </c>
      <c r="AL130" s="1">
        <v>2.58</v>
      </c>
      <c r="AM130" s="1">
        <v>0</v>
      </c>
      <c r="AN130" s="1">
        <v>0</v>
      </c>
      <c r="AO130" s="1">
        <v>279.95422539999998</v>
      </c>
      <c r="AP130" s="1">
        <v>3.23</v>
      </c>
      <c r="AQ130" s="1">
        <v>0.79</v>
      </c>
      <c r="AR130" s="1">
        <v>0.05</v>
      </c>
      <c r="AS130" s="1">
        <v>0.09</v>
      </c>
      <c r="AT130" s="1">
        <v>19.68</v>
      </c>
      <c r="AU130" s="1">
        <v>5.77</v>
      </c>
      <c r="AV130" s="1">
        <v>0</v>
      </c>
      <c r="AW130" s="1">
        <v>0</v>
      </c>
      <c r="AX130" s="1">
        <v>7.14</v>
      </c>
      <c r="AY130" s="1">
        <v>0</v>
      </c>
      <c r="AZ130" s="1">
        <v>114.005</v>
      </c>
      <c r="BA130" s="1">
        <v>0</v>
      </c>
      <c r="BB130" s="1">
        <v>0</v>
      </c>
      <c r="BC130" s="1">
        <v>0</v>
      </c>
      <c r="BD130" s="1">
        <v>0</v>
      </c>
    </row>
    <row r="131" spans="1:56">
      <c r="A131" s="18">
        <v>46192</v>
      </c>
      <c r="B131" s="1">
        <v>130</v>
      </c>
      <c r="C131" s="1" t="s">
        <v>89</v>
      </c>
      <c r="D131" s="1" t="s">
        <v>90</v>
      </c>
      <c r="E131" s="1">
        <v>2</v>
      </c>
      <c r="F131" s="1">
        <v>200</v>
      </c>
      <c r="H131" s="1" t="s">
        <v>91</v>
      </c>
      <c r="I131" s="1" t="s">
        <v>79</v>
      </c>
      <c r="J131" s="1" t="s">
        <v>81</v>
      </c>
      <c r="K131" s="1" t="s">
        <v>74</v>
      </c>
      <c r="L131" s="1" t="s">
        <v>72</v>
      </c>
      <c r="M131" s="1" t="s">
        <v>75</v>
      </c>
      <c r="N131" s="1" t="s">
        <v>76</v>
      </c>
      <c r="O131" s="1" t="s">
        <v>77</v>
      </c>
      <c r="P131" s="1" t="s">
        <v>27</v>
      </c>
      <c r="Q131" s="1" t="s">
        <v>86</v>
      </c>
      <c r="R131" s="1" t="s">
        <v>94</v>
      </c>
      <c r="S131" s="1" t="s">
        <v>87</v>
      </c>
      <c r="T131" s="1" t="s">
        <v>88</v>
      </c>
      <c r="X131" s="1" t="s">
        <v>73</v>
      </c>
      <c r="Z131" s="1" t="s">
        <v>70</v>
      </c>
      <c r="AA131" s="1" t="s">
        <v>95</v>
      </c>
      <c r="AB131" s="1">
        <v>5</v>
      </c>
      <c r="AC131" s="1">
        <v>748834.66</v>
      </c>
      <c r="AD131" s="1">
        <v>8930536.4299999997</v>
      </c>
      <c r="AE131" s="1">
        <v>211.5</v>
      </c>
      <c r="AF131" s="1">
        <v>748834.66</v>
      </c>
      <c r="AG131" s="1">
        <v>8930536.4299999997</v>
      </c>
      <c r="AH131" s="1">
        <v>200.18</v>
      </c>
      <c r="AI131" s="1">
        <v>11.31</v>
      </c>
      <c r="AJ131" s="1">
        <v>0.6</v>
      </c>
      <c r="AK131" s="1">
        <v>2.97</v>
      </c>
      <c r="AL131" s="1">
        <v>2.58</v>
      </c>
      <c r="AM131" s="1">
        <v>0</v>
      </c>
      <c r="AN131" s="1">
        <v>0</v>
      </c>
      <c r="AO131" s="1">
        <v>279.95422539999998</v>
      </c>
      <c r="AP131" s="1">
        <v>3.23</v>
      </c>
      <c r="AQ131" s="1">
        <v>0.76</v>
      </c>
      <c r="AR131" s="1">
        <v>0.05</v>
      </c>
      <c r="AS131" s="1">
        <v>0.09</v>
      </c>
      <c r="AT131" s="1">
        <v>19.79</v>
      </c>
      <c r="AU131" s="1">
        <v>5.67</v>
      </c>
      <c r="AV131" s="1">
        <v>0</v>
      </c>
      <c r="AW131" s="1">
        <v>0</v>
      </c>
      <c r="AX131" s="1">
        <v>7.09</v>
      </c>
      <c r="AY131" s="1">
        <v>0</v>
      </c>
      <c r="AZ131" s="1">
        <v>113.714</v>
      </c>
      <c r="BA131" s="1">
        <v>0</v>
      </c>
      <c r="BB131" s="1">
        <v>0</v>
      </c>
      <c r="BC131" s="1">
        <v>0</v>
      </c>
      <c r="BD131" s="1">
        <v>0</v>
      </c>
    </row>
    <row r="132" spans="1:56">
      <c r="A132" s="18">
        <v>46192</v>
      </c>
      <c r="B132" s="1">
        <v>131</v>
      </c>
      <c r="C132" s="1" t="s">
        <v>89</v>
      </c>
      <c r="D132" s="1" t="s">
        <v>90</v>
      </c>
      <c r="E132" s="1">
        <v>2</v>
      </c>
      <c r="F132" s="1">
        <v>200</v>
      </c>
      <c r="H132" s="1" t="s">
        <v>91</v>
      </c>
      <c r="I132" s="1" t="s">
        <v>79</v>
      </c>
      <c r="J132" s="1" t="s">
        <v>81</v>
      </c>
      <c r="K132" s="1" t="s">
        <v>74</v>
      </c>
      <c r="L132" s="1" t="s">
        <v>72</v>
      </c>
      <c r="M132" s="1" t="s">
        <v>75</v>
      </c>
      <c r="N132" s="1" t="s">
        <v>76</v>
      </c>
      <c r="O132" s="1" t="s">
        <v>77</v>
      </c>
      <c r="P132" s="1" t="s">
        <v>27</v>
      </c>
      <c r="Q132" s="1" t="s">
        <v>86</v>
      </c>
      <c r="R132" s="1" t="s">
        <v>94</v>
      </c>
      <c r="S132" s="1" t="s">
        <v>87</v>
      </c>
      <c r="T132" s="1" t="s">
        <v>88</v>
      </c>
      <c r="X132" s="1" t="s">
        <v>73</v>
      </c>
      <c r="Z132" s="1" t="s">
        <v>70</v>
      </c>
      <c r="AA132" s="1" t="s">
        <v>95</v>
      </c>
      <c r="AB132" s="1">
        <v>5</v>
      </c>
      <c r="AC132" s="1">
        <v>748836.26</v>
      </c>
      <c r="AD132" s="1">
        <v>8930533.9299999997</v>
      </c>
      <c r="AE132" s="1">
        <v>211.47</v>
      </c>
      <c r="AF132" s="1">
        <v>748836.26</v>
      </c>
      <c r="AG132" s="1">
        <v>8930533.9299999997</v>
      </c>
      <c r="AH132" s="1">
        <v>200.18</v>
      </c>
      <c r="AI132" s="1">
        <v>11.29</v>
      </c>
      <c r="AJ132" s="1">
        <v>0.6</v>
      </c>
      <c r="AK132" s="1">
        <v>2.97</v>
      </c>
      <c r="AL132" s="1">
        <v>2.58</v>
      </c>
      <c r="AM132" s="1">
        <v>0</v>
      </c>
      <c r="AN132" s="1">
        <v>0</v>
      </c>
      <c r="AO132" s="1">
        <v>279.95422539999998</v>
      </c>
      <c r="AP132" s="1">
        <v>3.23</v>
      </c>
      <c r="AQ132" s="1">
        <v>0.76</v>
      </c>
      <c r="AR132" s="1">
        <v>0.05</v>
      </c>
      <c r="AS132" s="1">
        <v>0.09</v>
      </c>
      <c r="AT132" s="1">
        <v>19.79</v>
      </c>
      <c r="AU132" s="1">
        <v>5.67</v>
      </c>
      <c r="AV132" s="1">
        <v>0</v>
      </c>
      <c r="AW132" s="1">
        <v>0</v>
      </c>
      <c r="AX132" s="1">
        <v>7.09</v>
      </c>
      <c r="AY132" s="1">
        <v>0</v>
      </c>
      <c r="AZ132" s="1">
        <v>113.422</v>
      </c>
      <c r="BA132" s="1">
        <v>0</v>
      </c>
      <c r="BB132" s="1">
        <v>0</v>
      </c>
      <c r="BC132" s="1">
        <v>0</v>
      </c>
      <c r="BD132" s="1">
        <v>0</v>
      </c>
    </row>
    <row r="133" spans="1:56">
      <c r="A133" s="18">
        <v>46192</v>
      </c>
      <c r="B133" s="1">
        <v>132</v>
      </c>
      <c r="C133" s="1" t="s">
        <v>89</v>
      </c>
      <c r="D133" s="1" t="s">
        <v>90</v>
      </c>
      <c r="E133" s="1">
        <v>2</v>
      </c>
      <c r="F133" s="1">
        <v>200</v>
      </c>
      <c r="G133" s="1">
        <v>1</v>
      </c>
      <c r="H133" s="1" t="s">
        <v>91</v>
      </c>
      <c r="I133" s="1" t="s">
        <v>79</v>
      </c>
      <c r="J133" s="1" t="s">
        <v>81</v>
      </c>
      <c r="K133" s="1" t="s">
        <v>74</v>
      </c>
      <c r="L133" s="1" t="s">
        <v>72</v>
      </c>
      <c r="M133" s="1" t="s">
        <v>75</v>
      </c>
      <c r="N133" s="1" t="s">
        <v>76</v>
      </c>
      <c r="O133" s="1" t="s">
        <v>77</v>
      </c>
      <c r="P133" s="1" t="s">
        <v>27</v>
      </c>
      <c r="Q133" s="1" t="s">
        <v>86</v>
      </c>
      <c r="R133" s="1" t="s">
        <v>94</v>
      </c>
      <c r="S133" s="1" t="s">
        <v>87</v>
      </c>
      <c r="T133" s="1" t="s">
        <v>88</v>
      </c>
      <c r="X133" s="1" t="s">
        <v>73</v>
      </c>
      <c r="Z133" s="1" t="s">
        <v>70</v>
      </c>
      <c r="AA133" s="1" t="s">
        <v>95</v>
      </c>
      <c r="AB133" s="1">
        <v>5</v>
      </c>
      <c r="AC133" s="1">
        <v>748835.04</v>
      </c>
      <c r="AD133" s="1">
        <v>8930531.0500000007</v>
      </c>
      <c r="AE133" s="1">
        <v>211.24</v>
      </c>
      <c r="AF133" s="1">
        <v>748835.04</v>
      </c>
      <c r="AG133" s="1">
        <v>8930531.0500000007</v>
      </c>
      <c r="AH133" s="1">
        <v>199.4</v>
      </c>
      <c r="AI133" s="1">
        <v>11.84</v>
      </c>
      <c r="AJ133" s="1">
        <v>0.6</v>
      </c>
      <c r="AK133" s="1">
        <v>2.97</v>
      </c>
      <c r="AL133" s="1">
        <v>2.58</v>
      </c>
      <c r="AM133" s="1">
        <v>0</v>
      </c>
      <c r="AN133" s="1">
        <v>0</v>
      </c>
      <c r="AO133" s="1">
        <v>279.95422539999998</v>
      </c>
      <c r="AP133" s="1">
        <v>3.23</v>
      </c>
      <c r="AQ133" s="1">
        <v>0.67</v>
      </c>
      <c r="AR133" s="1">
        <v>0.05</v>
      </c>
      <c r="AS133" s="1">
        <v>0.08</v>
      </c>
      <c r="AT133" s="1">
        <v>17.829999999999998</v>
      </c>
      <c r="AU133" s="1">
        <v>5.59</v>
      </c>
      <c r="AV133" s="1">
        <v>0</v>
      </c>
      <c r="AW133" s="1">
        <v>0.03</v>
      </c>
      <c r="AX133" s="1">
        <v>5.41</v>
      </c>
      <c r="AY133" s="1">
        <v>0</v>
      </c>
      <c r="AZ133" s="1">
        <v>121.43</v>
      </c>
      <c r="BA133" s="1">
        <v>0</v>
      </c>
      <c r="BB133" s="1">
        <v>0</v>
      </c>
      <c r="BC133" s="1">
        <v>0</v>
      </c>
      <c r="BD133" s="1">
        <v>0</v>
      </c>
    </row>
    <row r="134" spans="1:56">
      <c r="A134" s="18">
        <v>46192</v>
      </c>
      <c r="B134" s="1">
        <v>133</v>
      </c>
      <c r="C134" s="1" t="s">
        <v>89</v>
      </c>
      <c r="D134" s="1" t="s">
        <v>90</v>
      </c>
      <c r="E134" s="1">
        <v>2</v>
      </c>
      <c r="F134" s="1">
        <v>200</v>
      </c>
      <c r="G134" s="1">
        <v>1</v>
      </c>
      <c r="H134" s="1" t="s">
        <v>91</v>
      </c>
      <c r="I134" s="1" t="s">
        <v>79</v>
      </c>
      <c r="J134" s="1" t="s">
        <v>81</v>
      </c>
      <c r="K134" s="1" t="s">
        <v>74</v>
      </c>
      <c r="L134" s="1" t="s">
        <v>72</v>
      </c>
      <c r="M134" s="1" t="s">
        <v>75</v>
      </c>
      <c r="N134" s="1" t="s">
        <v>76</v>
      </c>
      <c r="O134" s="1" t="s">
        <v>77</v>
      </c>
      <c r="P134" s="1" t="s">
        <v>27</v>
      </c>
      <c r="Q134" s="1" t="s">
        <v>86</v>
      </c>
      <c r="R134" s="1" t="s">
        <v>94</v>
      </c>
      <c r="S134" s="1" t="s">
        <v>87</v>
      </c>
      <c r="T134" s="1" t="s">
        <v>88</v>
      </c>
      <c r="X134" s="1" t="s">
        <v>73</v>
      </c>
      <c r="Z134" s="1" t="s">
        <v>70</v>
      </c>
      <c r="AA134" s="1" t="s">
        <v>95</v>
      </c>
      <c r="AB134" s="1">
        <v>5</v>
      </c>
      <c r="AC134" s="1">
        <v>748833.44</v>
      </c>
      <c r="AD134" s="1">
        <v>8930533.5500000007</v>
      </c>
      <c r="AE134" s="1">
        <v>211.24</v>
      </c>
      <c r="AF134" s="1">
        <v>748833.44</v>
      </c>
      <c r="AG134" s="1">
        <v>8930533.5500000007</v>
      </c>
      <c r="AH134" s="1">
        <v>199.4</v>
      </c>
      <c r="AI134" s="1">
        <v>11.84</v>
      </c>
      <c r="AJ134" s="1">
        <v>0.6</v>
      </c>
      <c r="AK134" s="1">
        <v>2.97</v>
      </c>
      <c r="AL134" s="1">
        <v>2.58</v>
      </c>
      <c r="AM134" s="1">
        <v>0</v>
      </c>
      <c r="AN134" s="1">
        <v>0</v>
      </c>
      <c r="AO134" s="1">
        <v>279.95422539999998</v>
      </c>
      <c r="AP134" s="1">
        <v>3.23</v>
      </c>
      <c r="AQ134" s="1">
        <v>0.74</v>
      </c>
      <c r="AR134" s="1">
        <v>0.05</v>
      </c>
      <c r="AS134" s="1">
        <v>0.09</v>
      </c>
      <c r="AT134" s="1">
        <v>19.37</v>
      </c>
      <c r="AU134" s="1">
        <v>5.65</v>
      </c>
      <c r="AV134" s="1">
        <v>0</v>
      </c>
      <c r="AW134" s="1">
        <v>0</v>
      </c>
      <c r="AX134" s="1">
        <v>6.73</v>
      </c>
      <c r="AY134" s="1">
        <v>0</v>
      </c>
      <c r="AZ134" s="1">
        <v>121.43</v>
      </c>
      <c r="BA134" s="1">
        <v>0</v>
      </c>
      <c r="BB134" s="1">
        <v>0</v>
      </c>
      <c r="BC134" s="1">
        <v>0</v>
      </c>
      <c r="BD134" s="1">
        <v>0</v>
      </c>
    </row>
    <row r="135" spans="1:56">
      <c r="A135" s="18">
        <v>46192</v>
      </c>
      <c r="B135" s="1">
        <v>134</v>
      </c>
      <c r="C135" s="1" t="s">
        <v>89</v>
      </c>
      <c r="D135" s="1" t="s">
        <v>90</v>
      </c>
      <c r="E135" s="1">
        <v>2</v>
      </c>
      <c r="F135" s="1">
        <v>200</v>
      </c>
      <c r="G135" s="1">
        <v>1</v>
      </c>
      <c r="H135" s="1" t="s">
        <v>91</v>
      </c>
      <c r="I135" s="1" t="s">
        <v>79</v>
      </c>
      <c r="J135" s="1" t="s">
        <v>81</v>
      </c>
      <c r="K135" s="1" t="s">
        <v>74</v>
      </c>
      <c r="L135" s="1" t="s">
        <v>72</v>
      </c>
      <c r="M135" s="1" t="s">
        <v>75</v>
      </c>
      <c r="N135" s="1" t="s">
        <v>76</v>
      </c>
      <c r="O135" s="1" t="s">
        <v>77</v>
      </c>
      <c r="P135" s="1" t="s">
        <v>27</v>
      </c>
      <c r="Q135" s="1" t="s">
        <v>86</v>
      </c>
      <c r="R135" s="1" t="s">
        <v>94</v>
      </c>
      <c r="S135" s="1" t="s">
        <v>87</v>
      </c>
      <c r="T135" s="1" t="s">
        <v>88</v>
      </c>
      <c r="X135" s="1" t="s">
        <v>73</v>
      </c>
      <c r="Z135" s="1" t="s">
        <v>70</v>
      </c>
      <c r="AA135" s="1" t="s">
        <v>95</v>
      </c>
      <c r="AB135" s="1">
        <v>5</v>
      </c>
      <c r="AC135" s="1">
        <v>748831.84</v>
      </c>
      <c r="AD135" s="1">
        <v>8930536.0500000007</v>
      </c>
      <c r="AE135" s="1">
        <v>211.26</v>
      </c>
      <c r="AF135" s="1">
        <v>748831.84</v>
      </c>
      <c r="AG135" s="1">
        <v>8930536.0500000007</v>
      </c>
      <c r="AH135" s="1">
        <v>199.4</v>
      </c>
      <c r="AI135" s="1">
        <v>11.86</v>
      </c>
      <c r="AJ135" s="1">
        <v>0.6</v>
      </c>
      <c r="AK135" s="1">
        <v>2.97</v>
      </c>
      <c r="AL135" s="1">
        <v>2.58</v>
      </c>
      <c r="AM135" s="1">
        <v>0</v>
      </c>
      <c r="AN135" s="1">
        <v>0</v>
      </c>
      <c r="AO135" s="1">
        <v>279.95422539999998</v>
      </c>
      <c r="AP135" s="1">
        <v>3.23</v>
      </c>
      <c r="AQ135" s="1">
        <v>0.74</v>
      </c>
      <c r="AR135" s="1">
        <v>0.05</v>
      </c>
      <c r="AS135" s="1">
        <v>0.09</v>
      </c>
      <c r="AT135" s="1">
        <v>19.399999999999999</v>
      </c>
      <c r="AU135" s="1">
        <v>5.64</v>
      </c>
      <c r="AV135" s="1">
        <v>0</v>
      </c>
      <c r="AW135" s="1">
        <v>0</v>
      </c>
      <c r="AX135" s="1">
        <v>6.72</v>
      </c>
      <c r="AY135" s="1">
        <v>0</v>
      </c>
      <c r="AZ135" s="1">
        <v>121.72199999999999</v>
      </c>
      <c r="BA135" s="1">
        <v>0</v>
      </c>
      <c r="BB135" s="1">
        <v>0</v>
      </c>
      <c r="BC135" s="1">
        <v>0</v>
      </c>
      <c r="BD135" s="1">
        <v>0</v>
      </c>
    </row>
    <row r="136" spans="1:56">
      <c r="A136" s="18">
        <v>46192</v>
      </c>
      <c r="B136" s="1">
        <v>135</v>
      </c>
      <c r="C136" s="1" t="s">
        <v>89</v>
      </c>
      <c r="D136" s="1" t="s">
        <v>90</v>
      </c>
      <c r="E136" s="1">
        <v>2</v>
      </c>
      <c r="F136" s="1">
        <v>200</v>
      </c>
      <c r="G136" s="1">
        <v>1</v>
      </c>
      <c r="H136" s="1" t="s">
        <v>91</v>
      </c>
      <c r="I136" s="1" t="s">
        <v>79</v>
      </c>
      <c r="J136" s="1" t="s">
        <v>81</v>
      </c>
      <c r="K136" s="1" t="s">
        <v>74</v>
      </c>
      <c r="L136" s="1" t="s">
        <v>72</v>
      </c>
      <c r="M136" s="1" t="s">
        <v>75</v>
      </c>
      <c r="N136" s="1" t="s">
        <v>76</v>
      </c>
      <c r="O136" s="1" t="s">
        <v>77</v>
      </c>
      <c r="P136" s="1" t="s">
        <v>27</v>
      </c>
      <c r="Q136" s="1" t="s">
        <v>86</v>
      </c>
      <c r="R136" s="1" t="s">
        <v>94</v>
      </c>
      <c r="S136" s="1" t="s">
        <v>87</v>
      </c>
      <c r="T136" s="1" t="s">
        <v>88</v>
      </c>
      <c r="X136" s="1" t="s">
        <v>73</v>
      </c>
      <c r="Z136" s="1" t="s">
        <v>70</v>
      </c>
      <c r="AA136" s="1" t="s">
        <v>95</v>
      </c>
      <c r="AB136" s="1">
        <v>5</v>
      </c>
      <c r="AC136" s="1">
        <v>748830.23</v>
      </c>
      <c r="AD136" s="1">
        <v>8930538.5500000007</v>
      </c>
      <c r="AE136" s="1">
        <v>211.69</v>
      </c>
      <c r="AF136" s="1">
        <v>748830.23</v>
      </c>
      <c r="AG136" s="1">
        <v>8930538.5500000007</v>
      </c>
      <c r="AH136" s="1">
        <v>199.4</v>
      </c>
      <c r="AI136" s="1">
        <v>12.29</v>
      </c>
      <c r="AJ136" s="1">
        <v>0.6</v>
      </c>
      <c r="AK136" s="1">
        <v>2.97</v>
      </c>
      <c r="AL136" s="1">
        <v>2.58</v>
      </c>
      <c r="AM136" s="1">
        <v>0</v>
      </c>
      <c r="AN136" s="1">
        <v>0</v>
      </c>
      <c r="AO136" s="1">
        <v>279.95422539999998</v>
      </c>
      <c r="AP136" s="1">
        <v>3.22</v>
      </c>
      <c r="AQ136" s="1">
        <v>0.79</v>
      </c>
      <c r="AR136" s="1">
        <v>0.05</v>
      </c>
      <c r="AS136" s="1">
        <v>0.09</v>
      </c>
      <c r="AT136" s="1">
        <v>19.63</v>
      </c>
      <c r="AU136" s="1">
        <v>5.6</v>
      </c>
      <c r="AV136" s="1">
        <v>0</v>
      </c>
      <c r="AW136" s="1">
        <v>0</v>
      </c>
      <c r="AX136" s="1">
        <v>6.53</v>
      </c>
      <c r="AY136" s="1">
        <v>0</v>
      </c>
      <c r="AZ136" s="1">
        <v>127.982</v>
      </c>
      <c r="BA136" s="1">
        <v>0</v>
      </c>
      <c r="BB136" s="1">
        <v>0</v>
      </c>
      <c r="BC136" s="1">
        <v>0</v>
      </c>
      <c r="BD136" s="1">
        <v>0</v>
      </c>
    </row>
    <row r="137" spans="1:56">
      <c r="A137" s="18">
        <v>46192</v>
      </c>
      <c r="B137" s="1">
        <v>136</v>
      </c>
      <c r="C137" s="1" t="s">
        <v>89</v>
      </c>
      <c r="D137" s="1" t="s">
        <v>90</v>
      </c>
      <c r="E137" s="1">
        <v>2</v>
      </c>
      <c r="F137" s="1">
        <v>200</v>
      </c>
      <c r="G137" s="1">
        <v>1</v>
      </c>
      <c r="H137" s="1" t="s">
        <v>91</v>
      </c>
      <c r="I137" s="1" t="s">
        <v>79</v>
      </c>
      <c r="J137" s="1" t="s">
        <v>83</v>
      </c>
      <c r="K137" s="1" t="s">
        <v>74</v>
      </c>
      <c r="L137" s="1" t="s">
        <v>72</v>
      </c>
      <c r="M137" s="1" t="s">
        <v>75</v>
      </c>
      <c r="N137" s="1" t="s">
        <v>76</v>
      </c>
      <c r="O137" s="1" t="s">
        <v>77</v>
      </c>
      <c r="P137" s="1" t="s">
        <v>27</v>
      </c>
      <c r="Q137" s="1" t="s">
        <v>86</v>
      </c>
      <c r="R137" s="1" t="s">
        <v>94</v>
      </c>
      <c r="S137" s="1" t="s">
        <v>87</v>
      </c>
      <c r="T137" s="1" t="s">
        <v>88</v>
      </c>
      <c r="X137" s="1" t="s">
        <v>73</v>
      </c>
      <c r="Z137" s="1" t="s">
        <v>70</v>
      </c>
      <c r="AA137" s="1" t="s">
        <v>95</v>
      </c>
      <c r="AB137" s="1">
        <v>5</v>
      </c>
      <c r="AC137" s="1">
        <v>748828.63</v>
      </c>
      <c r="AD137" s="1">
        <v>8930541.0500000007</v>
      </c>
      <c r="AE137" s="1">
        <v>211.42</v>
      </c>
      <c r="AF137" s="1">
        <v>748828.63</v>
      </c>
      <c r="AG137" s="1">
        <v>8930541.0500000007</v>
      </c>
      <c r="AH137" s="1">
        <v>199.4</v>
      </c>
      <c r="AI137" s="1">
        <v>12.02</v>
      </c>
      <c r="AJ137" s="1">
        <v>0.6</v>
      </c>
      <c r="AK137" s="1">
        <v>2.97</v>
      </c>
      <c r="AL137" s="1">
        <v>2.58</v>
      </c>
      <c r="AM137" s="1">
        <v>0</v>
      </c>
      <c r="AN137" s="1">
        <v>0</v>
      </c>
      <c r="AO137" s="1">
        <v>279.95422539999998</v>
      </c>
      <c r="AP137" s="1">
        <v>3.22</v>
      </c>
      <c r="AQ137" s="1">
        <v>0.9</v>
      </c>
      <c r="AR137" s="1">
        <v>0.05</v>
      </c>
      <c r="AS137" s="1">
        <v>0.1</v>
      </c>
      <c r="AT137" s="1">
        <v>19.23</v>
      </c>
      <c r="AU137" s="1">
        <v>5.41</v>
      </c>
      <c r="AV137" s="1">
        <v>0</v>
      </c>
      <c r="AW137" s="1">
        <v>0</v>
      </c>
      <c r="AX137" s="1">
        <v>6.36</v>
      </c>
      <c r="AY137" s="1">
        <v>0</v>
      </c>
      <c r="AZ137" s="1">
        <v>124.051</v>
      </c>
      <c r="BA137" s="1">
        <v>0</v>
      </c>
      <c r="BB137" s="1">
        <v>0</v>
      </c>
      <c r="BC137" s="1">
        <v>0</v>
      </c>
      <c r="BD137" s="1">
        <v>0</v>
      </c>
    </row>
    <row r="138" spans="1:56">
      <c r="A138" s="18">
        <v>46192</v>
      </c>
      <c r="B138" s="1">
        <v>137</v>
      </c>
      <c r="C138" s="1" t="s">
        <v>89</v>
      </c>
      <c r="D138" s="1" t="s">
        <v>90</v>
      </c>
      <c r="E138" s="1">
        <v>2</v>
      </c>
      <c r="F138" s="1">
        <v>200</v>
      </c>
      <c r="G138" s="1">
        <v>1</v>
      </c>
      <c r="H138" s="1" t="s">
        <v>91</v>
      </c>
      <c r="I138" s="1" t="s">
        <v>79</v>
      </c>
      <c r="J138" s="1" t="s">
        <v>83</v>
      </c>
      <c r="K138" s="1" t="s">
        <v>74</v>
      </c>
      <c r="L138" s="1" t="s">
        <v>72</v>
      </c>
      <c r="M138" s="1" t="s">
        <v>75</v>
      </c>
      <c r="N138" s="1" t="s">
        <v>76</v>
      </c>
      <c r="O138" s="1" t="s">
        <v>77</v>
      </c>
      <c r="P138" s="1" t="s">
        <v>27</v>
      </c>
      <c r="Q138" s="1" t="s">
        <v>86</v>
      </c>
      <c r="R138" s="1" t="s">
        <v>94</v>
      </c>
      <c r="S138" s="1" t="s">
        <v>87</v>
      </c>
      <c r="T138" s="1" t="s">
        <v>88</v>
      </c>
      <c r="X138" s="1" t="s">
        <v>73</v>
      </c>
      <c r="Z138" s="1" t="s">
        <v>70</v>
      </c>
      <c r="AA138" s="1" t="s">
        <v>95</v>
      </c>
      <c r="AB138" s="1">
        <v>5</v>
      </c>
      <c r="AC138" s="1">
        <v>748827.03</v>
      </c>
      <c r="AD138" s="1">
        <v>8930543.5500000007</v>
      </c>
      <c r="AE138" s="1">
        <v>211.31</v>
      </c>
      <c r="AF138" s="1">
        <v>748827.03</v>
      </c>
      <c r="AG138" s="1">
        <v>8930543.5500000007</v>
      </c>
      <c r="AH138" s="1">
        <v>199.4</v>
      </c>
      <c r="AI138" s="1">
        <v>11.91</v>
      </c>
      <c r="AJ138" s="1">
        <v>0.6</v>
      </c>
      <c r="AK138" s="1">
        <v>2.97</v>
      </c>
      <c r="AL138" s="1">
        <v>2.58</v>
      </c>
      <c r="AM138" s="1">
        <v>0</v>
      </c>
      <c r="AN138" s="1">
        <v>0</v>
      </c>
      <c r="AO138" s="1">
        <v>279.95422539999998</v>
      </c>
      <c r="AP138" s="1">
        <v>3.21</v>
      </c>
      <c r="AQ138" s="1">
        <v>0.89</v>
      </c>
      <c r="AR138" s="1">
        <v>0.04</v>
      </c>
      <c r="AS138" s="1">
        <v>0.09</v>
      </c>
      <c r="AT138" s="1">
        <v>18.23</v>
      </c>
      <c r="AU138" s="1">
        <v>5.0599999999999996</v>
      </c>
      <c r="AV138" s="1">
        <v>0</v>
      </c>
      <c r="AW138" s="1">
        <v>0</v>
      </c>
      <c r="AX138" s="1">
        <v>5.99</v>
      </c>
      <c r="AY138" s="1">
        <v>0</v>
      </c>
      <c r="AZ138" s="1">
        <v>122.45</v>
      </c>
      <c r="BA138" s="1">
        <v>0</v>
      </c>
      <c r="BB138" s="1">
        <v>0</v>
      </c>
      <c r="BC138" s="1">
        <v>0</v>
      </c>
      <c r="BD138" s="1">
        <v>0</v>
      </c>
    </row>
    <row r="139" spans="1:56">
      <c r="A139" s="18">
        <v>46192</v>
      </c>
      <c r="B139" s="1">
        <v>138</v>
      </c>
      <c r="C139" s="1" t="s">
        <v>89</v>
      </c>
      <c r="D139" s="1" t="s">
        <v>90</v>
      </c>
      <c r="E139" s="1">
        <v>2</v>
      </c>
      <c r="F139" s="1">
        <v>200</v>
      </c>
      <c r="G139" s="1">
        <v>1</v>
      </c>
      <c r="H139" s="1" t="s">
        <v>91</v>
      </c>
      <c r="I139" s="1" t="s">
        <v>79</v>
      </c>
      <c r="J139" s="1" t="s">
        <v>83</v>
      </c>
      <c r="K139" s="1" t="s">
        <v>74</v>
      </c>
      <c r="L139" s="1" t="s">
        <v>72</v>
      </c>
      <c r="M139" s="1" t="s">
        <v>75</v>
      </c>
      <c r="N139" s="1" t="s">
        <v>76</v>
      </c>
      <c r="O139" s="1" t="s">
        <v>77</v>
      </c>
      <c r="P139" s="1" t="s">
        <v>27</v>
      </c>
      <c r="Q139" s="1" t="s">
        <v>86</v>
      </c>
      <c r="R139" s="1" t="s">
        <v>94</v>
      </c>
      <c r="S139" s="1" t="s">
        <v>87</v>
      </c>
      <c r="T139" s="1" t="s">
        <v>88</v>
      </c>
      <c r="X139" s="1" t="s">
        <v>73</v>
      </c>
      <c r="Z139" s="1" t="s">
        <v>70</v>
      </c>
      <c r="AA139" s="1" t="s">
        <v>95</v>
      </c>
      <c r="AB139" s="1">
        <v>5</v>
      </c>
      <c r="AC139" s="1">
        <v>748825.42</v>
      </c>
      <c r="AD139" s="1">
        <v>8930546.0500000007</v>
      </c>
      <c r="AE139" s="1">
        <v>211.32</v>
      </c>
      <c r="AF139" s="1">
        <v>748825.42</v>
      </c>
      <c r="AG139" s="1">
        <v>8930546.0500000007</v>
      </c>
      <c r="AH139" s="1">
        <v>199.4</v>
      </c>
      <c r="AI139" s="1">
        <v>11.92</v>
      </c>
      <c r="AJ139" s="1">
        <v>0.6</v>
      </c>
      <c r="AK139" s="1">
        <v>2.97</v>
      </c>
      <c r="AL139" s="1">
        <v>2.58</v>
      </c>
      <c r="AM139" s="1">
        <v>0</v>
      </c>
      <c r="AN139" s="1">
        <v>0</v>
      </c>
      <c r="AO139" s="1">
        <v>279.95422539999998</v>
      </c>
      <c r="AP139" s="1">
        <v>3.19</v>
      </c>
      <c r="AQ139" s="1">
        <v>0.82</v>
      </c>
      <c r="AR139" s="1">
        <v>0.04</v>
      </c>
      <c r="AS139" s="1">
        <v>0.09</v>
      </c>
      <c r="AT139" s="1">
        <v>16.899999999999999</v>
      </c>
      <c r="AU139" s="1">
        <v>4.6900000000000004</v>
      </c>
      <c r="AV139" s="1">
        <v>0</v>
      </c>
      <c r="AW139" s="1">
        <v>0</v>
      </c>
      <c r="AX139" s="1">
        <v>5.55</v>
      </c>
      <c r="AY139" s="1">
        <v>0</v>
      </c>
      <c r="AZ139" s="1">
        <v>122.595</v>
      </c>
      <c r="BA139" s="1">
        <v>0</v>
      </c>
      <c r="BB139" s="1">
        <v>0</v>
      </c>
      <c r="BC139" s="1">
        <v>0</v>
      </c>
      <c r="BD139" s="1">
        <v>0</v>
      </c>
    </row>
    <row r="140" spans="1:56">
      <c r="A140" s="18">
        <v>46192</v>
      </c>
      <c r="B140" s="1">
        <v>139</v>
      </c>
      <c r="C140" s="1" t="s">
        <v>89</v>
      </c>
      <c r="D140" s="1" t="s">
        <v>90</v>
      </c>
      <c r="E140" s="1">
        <v>2</v>
      </c>
      <c r="F140" s="1">
        <v>200</v>
      </c>
      <c r="G140" s="1">
        <v>1</v>
      </c>
      <c r="H140" s="1" t="s">
        <v>91</v>
      </c>
      <c r="I140" s="1" t="s">
        <v>85</v>
      </c>
      <c r="J140" s="1" t="s">
        <v>83</v>
      </c>
      <c r="K140" s="1" t="s">
        <v>74</v>
      </c>
      <c r="L140" s="1" t="s">
        <v>72</v>
      </c>
      <c r="M140" s="1" t="s">
        <v>75</v>
      </c>
      <c r="N140" s="1" t="s">
        <v>76</v>
      </c>
      <c r="O140" s="1" t="s">
        <v>77</v>
      </c>
      <c r="P140" s="1" t="s">
        <v>27</v>
      </c>
      <c r="Q140" s="1" t="s">
        <v>86</v>
      </c>
      <c r="R140" s="1" t="s">
        <v>94</v>
      </c>
      <c r="S140" s="1" t="s">
        <v>87</v>
      </c>
      <c r="T140" s="1" t="s">
        <v>88</v>
      </c>
      <c r="X140" s="1" t="s">
        <v>73</v>
      </c>
      <c r="Z140" s="1" t="s">
        <v>70</v>
      </c>
      <c r="AA140" s="1" t="s">
        <v>95</v>
      </c>
      <c r="AB140" s="1">
        <v>5</v>
      </c>
      <c r="AC140" s="1">
        <v>748823.82</v>
      </c>
      <c r="AD140" s="1">
        <v>8930548.5500000007</v>
      </c>
      <c r="AE140" s="1">
        <v>211.31</v>
      </c>
      <c r="AF140" s="1">
        <v>748823.82</v>
      </c>
      <c r="AG140" s="1">
        <v>8930548.5500000007</v>
      </c>
      <c r="AH140" s="1">
        <v>199.4</v>
      </c>
      <c r="AI140" s="1">
        <v>11.91</v>
      </c>
      <c r="AJ140" s="1">
        <v>0.6</v>
      </c>
      <c r="AK140" s="1">
        <v>2.97</v>
      </c>
      <c r="AL140" s="1">
        <v>2.58</v>
      </c>
      <c r="AM140" s="1">
        <v>0</v>
      </c>
      <c r="AN140" s="1">
        <v>0</v>
      </c>
      <c r="AO140" s="1">
        <v>279.95422539999998</v>
      </c>
      <c r="AP140" s="1">
        <v>3.16</v>
      </c>
      <c r="AQ140" s="1">
        <v>0.7</v>
      </c>
      <c r="AR140" s="1">
        <v>0.04</v>
      </c>
      <c r="AS140" s="1">
        <v>7.0000000000000007E-2</v>
      </c>
      <c r="AT140" s="1">
        <v>14.77</v>
      </c>
      <c r="AU140" s="1">
        <v>4.25</v>
      </c>
      <c r="AV140" s="1">
        <v>0.02</v>
      </c>
      <c r="AW140" s="1">
        <v>0.08</v>
      </c>
      <c r="AX140" s="1">
        <v>5.24</v>
      </c>
      <c r="AY140" s="1">
        <v>0</v>
      </c>
      <c r="AZ140" s="1">
        <v>122.45</v>
      </c>
      <c r="BA140" s="1">
        <v>0</v>
      </c>
      <c r="BB140" s="1">
        <v>0</v>
      </c>
      <c r="BC140" s="1">
        <v>0</v>
      </c>
      <c r="BD140" s="1">
        <v>0</v>
      </c>
    </row>
    <row r="141" spans="1:56">
      <c r="A141" s="18">
        <v>46192</v>
      </c>
      <c r="B141" s="1">
        <v>140</v>
      </c>
      <c r="C141" s="1" t="s">
        <v>89</v>
      </c>
      <c r="D141" s="1" t="s">
        <v>90</v>
      </c>
      <c r="E141" s="1">
        <v>2</v>
      </c>
      <c r="F141" s="1">
        <v>200</v>
      </c>
      <c r="H141" s="1" t="s">
        <v>91</v>
      </c>
      <c r="I141" s="1" t="s">
        <v>85</v>
      </c>
      <c r="J141" s="1" t="s">
        <v>80</v>
      </c>
      <c r="K141" s="1" t="s">
        <v>74</v>
      </c>
      <c r="L141" s="1" t="s">
        <v>72</v>
      </c>
      <c r="M141" s="1" t="s">
        <v>75</v>
      </c>
      <c r="N141" s="1" t="s">
        <v>76</v>
      </c>
      <c r="O141" s="1" t="s">
        <v>77</v>
      </c>
      <c r="P141" s="1" t="s">
        <v>27</v>
      </c>
      <c r="Q141" s="1" t="s">
        <v>86</v>
      </c>
      <c r="R141" s="1" t="s">
        <v>94</v>
      </c>
      <c r="S141" s="1" t="s">
        <v>87</v>
      </c>
      <c r="T141" s="1" t="s">
        <v>88</v>
      </c>
      <c r="X141" s="1" t="s">
        <v>73</v>
      </c>
      <c r="Z141" s="1" t="s">
        <v>70</v>
      </c>
      <c r="AA141" s="1" t="s">
        <v>95</v>
      </c>
      <c r="AB141" s="1">
        <v>5</v>
      </c>
      <c r="AC141" s="1">
        <v>748822.22</v>
      </c>
      <c r="AD141" s="1">
        <v>8930551.0500000007</v>
      </c>
      <c r="AE141" s="1">
        <v>211.14</v>
      </c>
      <c r="AF141" s="1">
        <v>748822.22</v>
      </c>
      <c r="AG141" s="1">
        <v>8930551.0500000007</v>
      </c>
      <c r="AH141" s="1">
        <v>199.4</v>
      </c>
      <c r="AI141" s="1">
        <v>11.74</v>
      </c>
      <c r="AJ141" s="1">
        <v>0.6</v>
      </c>
      <c r="AK141" s="1">
        <v>2.97</v>
      </c>
      <c r="AL141" s="1">
        <v>2.58</v>
      </c>
      <c r="AM141" s="1">
        <v>0</v>
      </c>
      <c r="AN141" s="1">
        <v>0</v>
      </c>
      <c r="AO141" s="1">
        <v>279.95422539999998</v>
      </c>
      <c r="AP141" s="1">
        <v>3.12</v>
      </c>
      <c r="AQ141" s="1">
        <v>0.38</v>
      </c>
      <c r="AR141" s="1">
        <v>0.04</v>
      </c>
      <c r="AS141" s="1">
        <v>0.05</v>
      </c>
      <c r="AT141" s="1">
        <v>10.09</v>
      </c>
      <c r="AU141" s="1">
        <v>3.57</v>
      </c>
      <c r="AV141" s="1">
        <v>7.0000000000000007E-2</v>
      </c>
      <c r="AW141" s="1">
        <v>0.28000000000000003</v>
      </c>
      <c r="AX141" s="1">
        <v>5.14</v>
      </c>
      <c r="AY141" s="1">
        <v>0</v>
      </c>
      <c r="AZ141" s="1">
        <v>119.974</v>
      </c>
      <c r="BA141" s="1">
        <v>0</v>
      </c>
      <c r="BB141" s="1">
        <v>0</v>
      </c>
      <c r="BC141" s="1">
        <v>0</v>
      </c>
      <c r="BD141" s="1">
        <v>0</v>
      </c>
    </row>
    <row r="142" spans="1:56">
      <c r="A142" s="18">
        <v>46192</v>
      </c>
      <c r="B142" s="1">
        <v>141</v>
      </c>
      <c r="C142" s="1" t="s">
        <v>89</v>
      </c>
      <c r="D142" s="1" t="s">
        <v>90</v>
      </c>
      <c r="E142" s="1">
        <v>2</v>
      </c>
      <c r="F142" s="1">
        <v>200</v>
      </c>
      <c r="H142" s="1" t="s">
        <v>91</v>
      </c>
      <c r="I142" s="1" t="s">
        <v>85</v>
      </c>
      <c r="J142" s="1" t="s">
        <v>80</v>
      </c>
      <c r="K142" s="1" t="s">
        <v>74</v>
      </c>
      <c r="L142" s="1" t="s">
        <v>72</v>
      </c>
      <c r="M142" s="1" t="s">
        <v>75</v>
      </c>
      <c r="N142" s="1" t="s">
        <v>76</v>
      </c>
      <c r="O142" s="1" t="s">
        <v>77</v>
      </c>
      <c r="P142" s="1" t="s">
        <v>27</v>
      </c>
      <c r="Q142" s="1" t="s">
        <v>86</v>
      </c>
      <c r="R142" s="1" t="s">
        <v>94</v>
      </c>
      <c r="S142" s="1" t="s">
        <v>87</v>
      </c>
      <c r="T142" s="1" t="s">
        <v>88</v>
      </c>
      <c r="X142" s="1" t="s">
        <v>73</v>
      </c>
      <c r="Z142" s="1" t="s">
        <v>70</v>
      </c>
      <c r="AA142" s="1" t="s">
        <v>95</v>
      </c>
      <c r="AB142" s="1">
        <v>5</v>
      </c>
      <c r="AC142" s="1">
        <v>748820.62</v>
      </c>
      <c r="AD142" s="1">
        <v>8930553.5500000007</v>
      </c>
      <c r="AE142" s="1">
        <v>210.92</v>
      </c>
      <c r="AF142" s="1">
        <v>748820.62</v>
      </c>
      <c r="AG142" s="1">
        <v>8930553.5500000007</v>
      </c>
      <c r="AH142" s="1">
        <v>199.4</v>
      </c>
      <c r="AI142" s="1">
        <v>11.52</v>
      </c>
      <c r="AJ142" s="1">
        <v>0.6</v>
      </c>
      <c r="AK142" s="1">
        <v>2.97</v>
      </c>
      <c r="AL142" s="1">
        <v>2.58</v>
      </c>
      <c r="AM142" s="1">
        <v>0</v>
      </c>
      <c r="AN142" s="1">
        <v>0</v>
      </c>
      <c r="AO142" s="1">
        <v>279.95422539999998</v>
      </c>
      <c r="AP142" s="1">
        <v>3.14</v>
      </c>
      <c r="AQ142" s="1">
        <v>0.27</v>
      </c>
      <c r="AR142" s="1">
        <v>0.03</v>
      </c>
      <c r="AS142" s="1">
        <v>0.03</v>
      </c>
      <c r="AT142" s="1">
        <v>8.5299999999999994</v>
      </c>
      <c r="AU142" s="1">
        <v>3.27</v>
      </c>
      <c r="AV142" s="1">
        <v>7.0000000000000007E-2</v>
      </c>
      <c r="AW142" s="1">
        <v>0.37</v>
      </c>
      <c r="AX142" s="1">
        <v>4.1100000000000003</v>
      </c>
      <c r="AY142" s="1">
        <v>0</v>
      </c>
      <c r="AZ142" s="1">
        <v>116.771</v>
      </c>
      <c r="BA142" s="1">
        <v>0</v>
      </c>
      <c r="BB142" s="1">
        <v>0</v>
      </c>
      <c r="BC142" s="1">
        <v>0</v>
      </c>
      <c r="BD142" s="1">
        <v>0</v>
      </c>
    </row>
    <row r="143" spans="1:56">
      <c r="A143" s="18">
        <v>46192</v>
      </c>
      <c r="B143" s="1">
        <v>142</v>
      </c>
      <c r="C143" s="1" t="s">
        <v>89</v>
      </c>
      <c r="D143" s="1" t="s">
        <v>90</v>
      </c>
      <c r="E143" s="1">
        <v>2</v>
      </c>
      <c r="F143" s="1">
        <v>200</v>
      </c>
      <c r="H143" s="1" t="s">
        <v>91</v>
      </c>
      <c r="I143" s="1" t="s">
        <v>85</v>
      </c>
      <c r="J143" s="1" t="s">
        <v>80</v>
      </c>
      <c r="K143" s="1" t="s">
        <v>74</v>
      </c>
      <c r="L143" s="1" t="s">
        <v>72</v>
      </c>
      <c r="M143" s="1" t="s">
        <v>75</v>
      </c>
      <c r="N143" s="1" t="s">
        <v>76</v>
      </c>
      <c r="O143" s="1" t="s">
        <v>77</v>
      </c>
      <c r="P143" s="1" t="s">
        <v>27</v>
      </c>
      <c r="Q143" s="1" t="s">
        <v>86</v>
      </c>
      <c r="R143" s="1" t="s">
        <v>94</v>
      </c>
      <c r="S143" s="1" t="s">
        <v>87</v>
      </c>
      <c r="T143" s="1" t="s">
        <v>88</v>
      </c>
      <c r="X143" s="1" t="s">
        <v>73</v>
      </c>
      <c r="Z143" s="1" t="s">
        <v>70</v>
      </c>
      <c r="AA143" s="1" t="s">
        <v>95</v>
      </c>
      <c r="AB143" s="1">
        <v>5</v>
      </c>
      <c r="AC143" s="1">
        <v>748819.01</v>
      </c>
      <c r="AD143" s="1">
        <v>8930556.0500000007</v>
      </c>
      <c r="AE143" s="1">
        <v>210.87</v>
      </c>
      <c r="AF143" s="1">
        <v>748819.01</v>
      </c>
      <c r="AG143" s="1">
        <v>8930556.0500000007</v>
      </c>
      <c r="AH143" s="1">
        <v>199.4</v>
      </c>
      <c r="AI143" s="1">
        <v>11.47</v>
      </c>
      <c r="AJ143" s="1">
        <v>0.6</v>
      </c>
      <c r="AK143" s="1">
        <v>2.97</v>
      </c>
      <c r="AL143" s="1">
        <v>2.58</v>
      </c>
      <c r="AM143" s="1">
        <v>0</v>
      </c>
      <c r="AN143" s="1">
        <v>0</v>
      </c>
      <c r="AO143" s="1">
        <v>279.95422539999998</v>
      </c>
      <c r="AP143" s="1">
        <v>3.19</v>
      </c>
      <c r="AQ143" s="1">
        <v>0.24</v>
      </c>
      <c r="AR143" s="1">
        <v>0.03</v>
      </c>
      <c r="AS143" s="1">
        <v>0.03</v>
      </c>
      <c r="AT143" s="1">
        <v>8.11</v>
      </c>
      <c r="AU143" s="1">
        <v>3.31</v>
      </c>
      <c r="AV143" s="1">
        <v>0.03</v>
      </c>
      <c r="AW143" s="1">
        <v>0.25</v>
      </c>
      <c r="AX143" s="1">
        <v>2.1800000000000002</v>
      </c>
      <c r="AY143" s="1">
        <v>0</v>
      </c>
      <c r="AZ143" s="1">
        <v>116.04300000000001</v>
      </c>
      <c r="BA143" s="1">
        <v>0</v>
      </c>
      <c r="BB143" s="1">
        <v>0</v>
      </c>
      <c r="BC143" s="1">
        <v>0</v>
      </c>
      <c r="BD143" s="1">
        <v>0</v>
      </c>
    </row>
    <row r="144" spans="1:56">
      <c r="A144" s="18">
        <v>46192</v>
      </c>
      <c r="B144" s="1">
        <v>143</v>
      </c>
      <c r="C144" s="1" t="s">
        <v>89</v>
      </c>
      <c r="D144" s="1" t="s">
        <v>90</v>
      </c>
      <c r="E144" s="1">
        <v>2</v>
      </c>
      <c r="F144" s="1">
        <v>200</v>
      </c>
      <c r="H144" s="1" t="s">
        <v>91</v>
      </c>
      <c r="I144" s="1" t="s">
        <v>85</v>
      </c>
      <c r="J144" s="1" t="s">
        <v>80</v>
      </c>
      <c r="K144" s="1" t="s">
        <v>74</v>
      </c>
      <c r="L144" s="1" t="s">
        <v>72</v>
      </c>
      <c r="M144" s="1" t="s">
        <v>75</v>
      </c>
      <c r="N144" s="1" t="s">
        <v>76</v>
      </c>
      <c r="O144" s="1" t="s">
        <v>77</v>
      </c>
      <c r="P144" s="1" t="s">
        <v>27</v>
      </c>
      <c r="Q144" s="1" t="s">
        <v>86</v>
      </c>
      <c r="R144" s="1" t="s">
        <v>94</v>
      </c>
      <c r="S144" s="1" t="s">
        <v>87</v>
      </c>
      <c r="T144" s="1" t="s">
        <v>88</v>
      </c>
      <c r="X144" s="1" t="s">
        <v>73</v>
      </c>
      <c r="Z144" s="1" t="s">
        <v>70</v>
      </c>
      <c r="AA144" s="1" t="s">
        <v>95</v>
      </c>
      <c r="AB144" s="1">
        <v>5</v>
      </c>
      <c r="AC144" s="1">
        <v>748817.41</v>
      </c>
      <c r="AD144" s="1">
        <v>8930558.5500000007</v>
      </c>
      <c r="AE144" s="1">
        <v>210.85</v>
      </c>
      <c r="AF144" s="1">
        <v>748817.41</v>
      </c>
      <c r="AG144" s="1">
        <v>8930558.5500000007</v>
      </c>
      <c r="AH144" s="1">
        <v>199.4</v>
      </c>
      <c r="AI144" s="1">
        <v>11.45</v>
      </c>
      <c r="AJ144" s="1">
        <v>0.6</v>
      </c>
      <c r="AK144" s="1">
        <v>2.97</v>
      </c>
      <c r="AL144" s="1">
        <v>2.58</v>
      </c>
      <c r="AM144" s="1">
        <v>0</v>
      </c>
      <c r="AN144" s="1">
        <v>0</v>
      </c>
      <c r="AO144" s="1">
        <v>279.95422539999998</v>
      </c>
      <c r="AP144" s="1">
        <v>3.22</v>
      </c>
      <c r="AQ144" s="1">
        <v>0.28000000000000003</v>
      </c>
      <c r="AR144" s="1">
        <v>0.04</v>
      </c>
      <c r="AS144" s="1">
        <v>0.03</v>
      </c>
      <c r="AT144" s="1">
        <v>8.92</v>
      </c>
      <c r="AU144" s="1">
        <v>3.67</v>
      </c>
      <c r="AV144" s="1">
        <v>0.03</v>
      </c>
      <c r="AW144" s="1">
        <v>0.27</v>
      </c>
      <c r="AX144" s="1">
        <v>1.33</v>
      </c>
      <c r="AY144" s="1">
        <v>0</v>
      </c>
      <c r="AZ144" s="1">
        <v>115.752</v>
      </c>
      <c r="BA144" s="1">
        <v>0</v>
      </c>
      <c r="BB144" s="1">
        <v>0</v>
      </c>
      <c r="BC144" s="1">
        <v>0</v>
      </c>
      <c r="BD144" s="1">
        <v>0</v>
      </c>
    </row>
    <row r="145" spans="1:56">
      <c r="A145" s="18">
        <v>46192</v>
      </c>
      <c r="B145" s="1">
        <v>144</v>
      </c>
      <c r="C145" s="1" t="s">
        <v>89</v>
      </c>
      <c r="D145" s="1" t="s">
        <v>90</v>
      </c>
      <c r="E145" s="1">
        <v>2</v>
      </c>
      <c r="F145" s="1">
        <v>200</v>
      </c>
      <c r="H145" s="1" t="s">
        <v>91</v>
      </c>
      <c r="I145" s="1" t="s">
        <v>85</v>
      </c>
      <c r="J145" s="1" t="s">
        <v>80</v>
      </c>
      <c r="K145" s="1" t="s">
        <v>74</v>
      </c>
      <c r="L145" s="1" t="s">
        <v>72</v>
      </c>
      <c r="M145" s="1" t="s">
        <v>75</v>
      </c>
      <c r="N145" s="1" t="s">
        <v>76</v>
      </c>
      <c r="O145" s="1" t="s">
        <v>77</v>
      </c>
      <c r="P145" s="1" t="s">
        <v>27</v>
      </c>
      <c r="Q145" s="1" t="s">
        <v>86</v>
      </c>
      <c r="R145" s="1" t="s">
        <v>94</v>
      </c>
      <c r="S145" s="1" t="s">
        <v>87</v>
      </c>
      <c r="T145" s="1" t="s">
        <v>88</v>
      </c>
      <c r="X145" s="1" t="s">
        <v>73</v>
      </c>
      <c r="Z145" s="1" t="s">
        <v>70</v>
      </c>
      <c r="AA145" s="1" t="s">
        <v>95</v>
      </c>
      <c r="AB145" s="1">
        <v>5</v>
      </c>
      <c r="AC145" s="1">
        <v>748815.81</v>
      </c>
      <c r="AD145" s="1">
        <v>8930561.0500000007</v>
      </c>
      <c r="AE145" s="1">
        <v>210.73</v>
      </c>
      <c r="AF145" s="1">
        <v>748815.81</v>
      </c>
      <c r="AG145" s="1">
        <v>8930561.0500000007</v>
      </c>
      <c r="AH145" s="1">
        <v>199.4</v>
      </c>
      <c r="AI145" s="1">
        <v>11.33</v>
      </c>
      <c r="AJ145" s="1">
        <v>0.6</v>
      </c>
      <c r="AK145" s="1">
        <v>2.97</v>
      </c>
      <c r="AL145" s="1">
        <v>2.58</v>
      </c>
      <c r="AM145" s="1">
        <v>0</v>
      </c>
      <c r="AN145" s="1">
        <v>0</v>
      </c>
      <c r="AO145" s="1">
        <v>279.95422539999998</v>
      </c>
      <c r="AP145" s="1">
        <v>3.29</v>
      </c>
      <c r="AQ145" s="1">
        <v>0.4</v>
      </c>
      <c r="AR145" s="1">
        <v>0.05</v>
      </c>
      <c r="AS145" s="1">
        <v>0.05</v>
      </c>
      <c r="AT145" s="1">
        <v>12.84</v>
      </c>
      <c r="AU145" s="1">
        <v>3.96</v>
      </c>
      <c r="AV145" s="1">
        <v>0.16</v>
      </c>
      <c r="AW145" s="1">
        <v>1.47</v>
      </c>
      <c r="AX145" s="1">
        <v>6.46</v>
      </c>
      <c r="AY145" s="1">
        <v>0</v>
      </c>
      <c r="AZ145" s="1">
        <v>114.005</v>
      </c>
      <c r="BA145" s="1">
        <v>0</v>
      </c>
      <c r="BB145" s="1">
        <v>0</v>
      </c>
      <c r="BC145" s="1">
        <v>0</v>
      </c>
      <c r="BD145" s="1">
        <v>0</v>
      </c>
    </row>
    <row r="146" spans="1:56">
      <c r="A146" s="18">
        <v>46192</v>
      </c>
      <c r="B146" s="1">
        <v>145</v>
      </c>
      <c r="C146" s="1" t="s">
        <v>89</v>
      </c>
      <c r="D146" s="1" t="s">
        <v>90</v>
      </c>
      <c r="E146" s="1">
        <v>2</v>
      </c>
      <c r="F146" s="1">
        <v>200</v>
      </c>
      <c r="H146" s="1" t="s">
        <v>91</v>
      </c>
      <c r="I146" s="1" t="s">
        <v>79</v>
      </c>
      <c r="J146" s="1" t="s">
        <v>80</v>
      </c>
      <c r="K146" s="1" t="s">
        <v>74</v>
      </c>
      <c r="L146" s="1" t="s">
        <v>72</v>
      </c>
      <c r="M146" s="1" t="s">
        <v>75</v>
      </c>
      <c r="N146" s="1" t="s">
        <v>76</v>
      </c>
      <c r="O146" s="1" t="s">
        <v>77</v>
      </c>
      <c r="P146" s="1" t="s">
        <v>27</v>
      </c>
      <c r="Q146" s="1" t="s">
        <v>86</v>
      </c>
      <c r="R146" s="1" t="s">
        <v>94</v>
      </c>
      <c r="S146" s="1" t="s">
        <v>87</v>
      </c>
      <c r="T146" s="1" t="s">
        <v>88</v>
      </c>
      <c r="X146" s="1" t="s">
        <v>73</v>
      </c>
      <c r="Z146" s="1" t="s">
        <v>70</v>
      </c>
      <c r="AA146" s="1" t="s">
        <v>95</v>
      </c>
      <c r="AB146" s="1">
        <v>5</v>
      </c>
      <c r="AC146" s="1">
        <v>748814.07</v>
      </c>
      <c r="AD146" s="1">
        <v>8930563.4600000009</v>
      </c>
      <c r="AE146" s="1">
        <v>210.36</v>
      </c>
      <c r="AF146" s="1">
        <v>748814.07</v>
      </c>
      <c r="AG146" s="1">
        <v>8930563.4600000009</v>
      </c>
      <c r="AH146" s="1">
        <v>199.4</v>
      </c>
      <c r="AI146" s="1">
        <v>10.96</v>
      </c>
      <c r="AJ146" s="1">
        <v>0.6</v>
      </c>
      <c r="AK146" s="1">
        <v>2.97</v>
      </c>
      <c r="AL146" s="1">
        <v>2.58</v>
      </c>
      <c r="AM146" s="1">
        <v>0</v>
      </c>
      <c r="AN146" s="1">
        <v>0</v>
      </c>
      <c r="AO146" s="1">
        <v>279.95422539999998</v>
      </c>
      <c r="AP146" s="1">
        <v>3.32</v>
      </c>
      <c r="AQ146" s="1">
        <v>0.42</v>
      </c>
      <c r="AR146" s="1">
        <v>0.06</v>
      </c>
      <c r="AS146" s="1">
        <v>0.05</v>
      </c>
      <c r="AT146" s="1">
        <v>14.02</v>
      </c>
      <c r="AU146" s="1">
        <v>4.0199999999999996</v>
      </c>
      <c r="AV146" s="1">
        <v>0.21</v>
      </c>
      <c r="AW146" s="1">
        <v>1.88</v>
      </c>
      <c r="AX146" s="1">
        <v>8.15</v>
      </c>
      <c r="AY146" s="1">
        <v>0</v>
      </c>
      <c r="AZ146" s="1">
        <v>108.61799999999999</v>
      </c>
      <c r="BA146" s="1">
        <v>0</v>
      </c>
      <c r="BB146" s="1">
        <v>0</v>
      </c>
      <c r="BC146" s="1">
        <v>0</v>
      </c>
      <c r="BD146" s="1">
        <v>0</v>
      </c>
    </row>
    <row r="147" spans="1:56">
      <c r="A147" s="18">
        <v>46192</v>
      </c>
      <c r="B147" s="1">
        <v>146</v>
      </c>
      <c r="C147" s="1" t="s">
        <v>89</v>
      </c>
      <c r="D147" s="1" t="s">
        <v>90</v>
      </c>
      <c r="E147" s="1">
        <v>2</v>
      </c>
      <c r="F147" s="1">
        <v>200</v>
      </c>
      <c r="H147" s="1" t="s">
        <v>91</v>
      </c>
      <c r="I147" s="1" t="s">
        <v>79</v>
      </c>
      <c r="J147" s="1" t="s">
        <v>80</v>
      </c>
      <c r="K147" s="1" t="s">
        <v>74</v>
      </c>
      <c r="L147" s="1" t="s">
        <v>72</v>
      </c>
      <c r="M147" s="1" t="s">
        <v>75</v>
      </c>
      <c r="N147" s="1" t="s">
        <v>76</v>
      </c>
      <c r="O147" s="1" t="s">
        <v>77</v>
      </c>
      <c r="P147" s="1" t="s">
        <v>27</v>
      </c>
      <c r="Q147" s="1" t="s">
        <v>86</v>
      </c>
      <c r="R147" s="1" t="s">
        <v>94</v>
      </c>
      <c r="S147" s="1" t="s">
        <v>87</v>
      </c>
      <c r="T147" s="1" t="s">
        <v>88</v>
      </c>
      <c r="X147" s="1" t="s">
        <v>73</v>
      </c>
      <c r="Z147" s="1" t="s">
        <v>70</v>
      </c>
      <c r="AA147" s="1" t="s">
        <v>95</v>
      </c>
      <c r="AB147" s="1">
        <v>5</v>
      </c>
      <c r="AC147" s="1">
        <v>748812.14</v>
      </c>
      <c r="AD147" s="1">
        <v>8930565.7100000009</v>
      </c>
      <c r="AE147" s="1">
        <v>210.17</v>
      </c>
      <c r="AF147" s="1">
        <v>748812.14</v>
      </c>
      <c r="AG147" s="1">
        <v>8930565.7100000009</v>
      </c>
      <c r="AH147" s="1">
        <v>199.4</v>
      </c>
      <c r="AI147" s="1">
        <v>10.77</v>
      </c>
      <c r="AJ147" s="1">
        <v>0.6</v>
      </c>
      <c r="AK147" s="1">
        <v>2.97</v>
      </c>
      <c r="AL147" s="1">
        <v>2.58</v>
      </c>
      <c r="AM147" s="1">
        <v>0</v>
      </c>
      <c r="AN147" s="1">
        <v>0</v>
      </c>
      <c r="AO147" s="1">
        <v>279.95422539999998</v>
      </c>
      <c r="AP147" s="1">
        <v>3.31</v>
      </c>
      <c r="AQ147" s="1">
        <v>0.39</v>
      </c>
      <c r="AR147" s="1">
        <v>0.05</v>
      </c>
      <c r="AS147" s="1">
        <v>0.05</v>
      </c>
      <c r="AT147" s="1">
        <v>13.74</v>
      </c>
      <c r="AU147" s="1">
        <v>4.05</v>
      </c>
      <c r="AV147" s="1">
        <v>0.2</v>
      </c>
      <c r="AW147" s="1">
        <v>1.89</v>
      </c>
      <c r="AX147" s="1">
        <v>8.27</v>
      </c>
      <c r="AY147" s="1">
        <v>0</v>
      </c>
      <c r="AZ147" s="1">
        <v>105.851</v>
      </c>
      <c r="BA147" s="1">
        <v>0</v>
      </c>
      <c r="BB147" s="1">
        <v>0</v>
      </c>
      <c r="BC147" s="1">
        <v>0</v>
      </c>
      <c r="BD147" s="1">
        <v>0</v>
      </c>
    </row>
    <row r="148" spans="1:56">
      <c r="A148" s="18">
        <v>46192</v>
      </c>
      <c r="B148" s="1">
        <v>147</v>
      </c>
      <c r="C148" s="1" t="s">
        <v>89</v>
      </c>
      <c r="D148" s="1" t="s">
        <v>90</v>
      </c>
      <c r="E148" s="1">
        <v>2</v>
      </c>
      <c r="F148" s="1">
        <v>200</v>
      </c>
      <c r="G148" s="1">
        <v>1</v>
      </c>
      <c r="H148" s="1" t="s">
        <v>91</v>
      </c>
      <c r="I148" s="1" t="s">
        <v>79</v>
      </c>
      <c r="J148" s="1" t="s">
        <v>80</v>
      </c>
      <c r="K148" s="1" t="s">
        <v>74</v>
      </c>
      <c r="L148" s="1" t="s">
        <v>72</v>
      </c>
      <c r="M148" s="1" t="s">
        <v>75</v>
      </c>
      <c r="N148" s="1" t="s">
        <v>76</v>
      </c>
      <c r="O148" s="1" t="s">
        <v>77</v>
      </c>
      <c r="P148" s="1" t="s">
        <v>27</v>
      </c>
      <c r="Q148" s="1" t="s">
        <v>86</v>
      </c>
      <c r="R148" s="1" t="s">
        <v>94</v>
      </c>
      <c r="S148" s="1" t="s">
        <v>87</v>
      </c>
      <c r="T148" s="1" t="s">
        <v>88</v>
      </c>
      <c r="X148" s="1" t="s">
        <v>73</v>
      </c>
      <c r="Z148" s="1" t="s">
        <v>70</v>
      </c>
      <c r="AA148" s="1" t="s">
        <v>95</v>
      </c>
      <c r="AB148" s="1">
        <v>5</v>
      </c>
      <c r="AC148" s="1">
        <v>748810.08</v>
      </c>
      <c r="AD148" s="1">
        <v>8930567.8399999999</v>
      </c>
      <c r="AE148" s="1">
        <v>210.2</v>
      </c>
      <c r="AF148" s="1">
        <v>748810.08</v>
      </c>
      <c r="AG148" s="1">
        <v>8930567.8399999999</v>
      </c>
      <c r="AH148" s="1">
        <v>199.4</v>
      </c>
      <c r="AI148" s="1">
        <v>10.8</v>
      </c>
      <c r="AJ148" s="1">
        <v>0.6</v>
      </c>
      <c r="AK148" s="1">
        <v>2.97</v>
      </c>
      <c r="AL148" s="1">
        <v>2.58</v>
      </c>
      <c r="AM148" s="1">
        <v>0</v>
      </c>
      <c r="AN148" s="1">
        <v>0</v>
      </c>
      <c r="AO148" s="1">
        <v>279.95422539999998</v>
      </c>
      <c r="AP148" s="1">
        <v>3.34</v>
      </c>
      <c r="AQ148" s="1">
        <v>0.39</v>
      </c>
      <c r="AR148" s="1">
        <v>0.06</v>
      </c>
      <c r="AS148" s="1">
        <v>0.05</v>
      </c>
      <c r="AT148" s="1">
        <v>14.65</v>
      </c>
      <c r="AU148" s="1">
        <v>4.38</v>
      </c>
      <c r="AV148" s="1">
        <v>0.21</v>
      </c>
      <c r="AW148" s="1">
        <v>1.86</v>
      </c>
      <c r="AX148" s="1">
        <v>8.1</v>
      </c>
      <c r="AY148" s="1">
        <v>0</v>
      </c>
      <c r="AZ148" s="1">
        <v>106.288</v>
      </c>
      <c r="BA148" s="1">
        <v>0</v>
      </c>
      <c r="BB148" s="1">
        <v>0</v>
      </c>
      <c r="BC148" s="1">
        <v>0</v>
      </c>
      <c r="BD148" s="1">
        <v>0</v>
      </c>
    </row>
    <row r="149" spans="1:56">
      <c r="A149" s="18">
        <v>46192</v>
      </c>
      <c r="B149" s="1">
        <v>148</v>
      </c>
      <c r="C149" s="1" t="s">
        <v>89</v>
      </c>
      <c r="D149" s="1" t="s">
        <v>90</v>
      </c>
      <c r="E149" s="1">
        <v>2</v>
      </c>
      <c r="F149" s="1">
        <v>200</v>
      </c>
      <c r="G149" s="1">
        <v>1</v>
      </c>
      <c r="H149" s="1" t="s">
        <v>91</v>
      </c>
      <c r="I149" s="1" t="s">
        <v>79</v>
      </c>
      <c r="J149" s="1" t="s">
        <v>80</v>
      </c>
      <c r="K149" s="1" t="s">
        <v>74</v>
      </c>
      <c r="L149" s="1" t="s">
        <v>72</v>
      </c>
      <c r="M149" s="1" t="s">
        <v>75</v>
      </c>
      <c r="N149" s="1" t="s">
        <v>76</v>
      </c>
      <c r="O149" s="1" t="s">
        <v>77</v>
      </c>
      <c r="P149" s="1" t="s">
        <v>27</v>
      </c>
      <c r="Q149" s="1" t="s">
        <v>86</v>
      </c>
      <c r="R149" s="1" t="s">
        <v>94</v>
      </c>
      <c r="S149" s="1" t="s">
        <v>87</v>
      </c>
      <c r="T149" s="1" t="s">
        <v>88</v>
      </c>
      <c r="X149" s="1" t="s">
        <v>73</v>
      </c>
      <c r="Z149" s="1" t="s">
        <v>70</v>
      </c>
      <c r="AA149" s="1" t="s">
        <v>95</v>
      </c>
      <c r="AB149" s="1">
        <v>5</v>
      </c>
      <c r="AC149" s="1">
        <v>748807.83</v>
      </c>
      <c r="AD149" s="1">
        <v>8930569.7799999993</v>
      </c>
      <c r="AE149" s="1">
        <v>210</v>
      </c>
      <c r="AF149" s="1">
        <v>748807.83</v>
      </c>
      <c r="AG149" s="1">
        <v>8930569.7799999993</v>
      </c>
      <c r="AH149" s="1">
        <v>199.4</v>
      </c>
      <c r="AI149" s="1">
        <v>10.6</v>
      </c>
      <c r="AJ149" s="1">
        <v>0.6</v>
      </c>
      <c r="AK149" s="1">
        <v>2.97</v>
      </c>
      <c r="AL149" s="1">
        <v>2.58</v>
      </c>
      <c r="AM149" s="1">
        <v>0</v>
      </c>
      <c r="AN149" s="1">
        <v>0</v>
      </c>
      <c r="AO149" s="1">
        <v>279.95422539999998</v>
      </c>
      <c r="AP149" s="1">
        <v>3.36</v>
      </c>
      <c r="AQ149" s="1">
        <v>0.44</v>
      </c>
      <c r="AR149" s="1">
        <v>0.08</v>
      </c>
      <c r="AS149" s="1">
        <v>0.06</v>
      </c>
      <c r="AT149" s="1">
        <v>16.61</v>
      </c>
      <c r="AU149" s="1">
        <v>5.05</v>
      </c>
      <c r="AV149" s="1">
        <v>0.22</v>
      </c>
      <c r="AW149" s="1">
        <v>1.94</v>
      </c>
      <c r="AX149" s="1">
        <v>7.84</v>
      </c>
      <c r="AY149" s="1">
        <v>0</v>
      </c>
      <c r="AZ149" s="1">
        <v>103.376</v>
      </c>
      <c r="BA149" s="1">
        <v>0</v>
      </c>
      <c r="BB149" s="1">
        <v>0</v>
      </c>
      <c r="BC149" s="1">
        <v>0</v>
      </c>
      <c r="BD149" s="1">
        <v>0</v>
      </c>
    </row>
    <row r="150" spans="1:56">
      <c r="A150" s="18">
        <v>46192</v>
      </c>
      <c r="B150" s="1">
        <v>149</v>
      </c>
      <c r="C150" s="1" t="s">
        <v>89</v>
      </c>
      <c r="D150" s="1" t="s">
        <v>90</v>
      </c>
      <c r="E150" s="1">
        <v>2</v>
      </c>
      <c r="F150" s="1">
        <v>200</v>
      </c>
      <c r="G150" s="1">
        <v>1</v>
      </c>
      <c r="H150" s="1" t="s">
        <v>91</v>
      </c>
      <c r="I150" s="1" t="s">
        <v>79</v>
      </c>
      <c r="J150" s="1" t="s">
        <v>80</v>
      </c>
      <c r="K150" s="1" t="s">
        <v>74</v>
      </c>
      <c r="L150" s="1" t="s">
        <v>72</v>
      </c>
      <c r="M150" s="1" t="s">
        <v>75</v>
      </c>
      <c r="N150" s="1" t="s">
        <v>76</v>
      </c>
      <c r="O150" s="1" t="s">
        <v>77</v>
      </c>
      <c r="P150" s="1" t="s">
        <v>27</v>
      </c>
      <c r="Q150" s="1" t="s">
        <v>86</v>
      </c>
      <c r="R150" s="1" t="s">
        <v>94</v>
      </c>
      <c r="S150" s="1" t="s">
        <v>87</v>
      </c>
      <c r="T150" s="1" t="s">
        <v>88</v>
      </c>
      <c r="X150" s="1" t="s">
        <v>73</v>
      </c>
      <c r="Z150" s="1" t="s">
        <v>70</v>
      </c>
      <c r="AA150" s="1" t="s">
        <v>95</v>
      </c>
      <c r="AB150" s="1">
        <v>5</v>
      </c>
      <c r="AC150" s="1">
        <v>748805.58</v>
      </c>
      <c r="AD150" s="1">
        <v>8930571.7200000007</v>
      </c>
      <c r="AE150" s="1">
        <v>210.01</v>
      </c>
      <c r="AF150" s="1">
        <v>748805.58</v>
      </c>
      <c r="AG150" s="1">
        <v>8930571.7200000007</v>
      </c>
      <c r="AH150" s="1">
        <v>199.4</v>
      </c>
      <c r="AI150" s="1">
        <v>10.61</v>
      </c>
      <c r="AJ150" s="1">
        <v>0.6</v>
      </c>
      <c r="AK150" s="1">
        <v>2.97</v>
      </c>
      <c r="AL150" s="1">
        <v>2.58</v>
      </c>
      <c r="AM150" s="1">
        <v>0</v>
      </c>
      <c r="AN150" s="1">
        <v>0</v>
      </c>
      <c r="AO150" s="1">
        <v>279.95422539999998</v>
      </c>
      <c r="AP150" s="1">
        <v>3.33</v>
      </c>
      <c r="AQ150" s="1">
        <v>0.53</v>
      </c>
      <c r="AR150" s="1">
        <v>0.09</v>
      </c>
      <c r="AS150" s="1">
        <v>0.08</v>
      </c>
      <c r="AT150" s="1">
        <v>18.7</v>
      </c>
      <c r="AU150" s="1">
        <v>5.45</v>
      </c>
      <c r="AV150" s="1">
        <v>0.25</v>
      </c>
      <c r="AW150" s="1">
        <v>2.1</v>
      </c>
      <c r="AX150" s="1">
        <v>7.36</v>
      </c>
      <c r="AY150" s="1">
        <v>0</v>
      </c>
      <c r="AZ150" s="1">
        <v>103.52200000000001</v>
      </c>
      <c r="BA150" s="1">
        <v>0</v>
      </c>
      <c r="BB150" s="1">
        <v>0</v>
      </c>
      <c r="BC150" s="1">
        <v>0</v>
      </c>
      <c r="BD150" s="1">
        <v>0</v>
      </c>
    </row>
    <row r="151" spans="1:56">
      <c r="A151" s="18">
        <v>46192</v>
      </c>
      <c r="B151" s="1">
        <v>150</v>
      </c>
      <c r="C151" s="1" t="s">
        <v>89</v>
      </c>
      <c r="D151" s="1" t="s">
        <v>90</v>
      </c>
      <c r="E151" s="1">
        <v>2</v>
      </c>
      <c r="F151" s="1">
        <v>200</v>
      </c>
      <c r="G151" s="1">
        <v>1</v>
      </c>
      <c r="H151" s="1" t="s">
        <v>91</v>
      </c>
      <c r="I151" s="1" t="s">
        <v>79</v>
      </c>
      <c r="J151" s="1" t="s">
        <v>80</v>
      </c>
      <c r="K151" s="1" t="s">
        <v>74</v>
      </c>
      <c r="L151" s="1" t="s">
        <v>72</v>
      </c>
      <c r="M151" s="1" t="s">
        <v>75</v>
      </c>
      <c r="N151" s="1" t="s">
        <v>76</v>
      </c>
      <c r="O151" s="1" t="s">
        <v>77</v>
      </c>
      <c r="P151" s="1" t="s">
        <v>27</v>
      </c>
      <c r="Q151" s="1" t="s">
        <v>86</v>
      </c>
      <c r="R151" s="1" t="s">
        <v>94</v>
      </c>
      <c r="S151" s="1" t="s">
        <v>87</v>
      </c>
      <c r="T151" s="1" t="s">
        <v>88</v>
      </c>
      <c r="X151" s="1" t="s">
        <v>73</v>
      </c>
      <c r="Z151" s="1" t="s">
        <v>70</v>
      </c>
      <c r="AA151" s="1" t="s">
        <v>95</v>
      </c>
      <c r="AB151" s="1">
        <v>5</v>
      </c>
      <c r="AC151" s="1">
        <v>748803.33</v>
      </c>
      <c r="AD151" s="1">
        <v>8930573.6600000001</v>
      </c>
      <c r="AE151" s="1">
        <v>210</v>
      </c>
      <c r="AF151" s="1">
        <v>748803.33</v>
      </c>
      <c r="AG151" s="1">
        <v>8930573.6600000001</v>
      </c>
      <c r="AH151" s="1">
        <v>199.4</v>
      </c>
      <c r="AI151" s="1">
        <v>10.6</v>
      </c>
      <c r="AJ151" s="1">
        <v>0.6</v>
      </c>
      <c r="AK151" s="1">
        <v>2.97</v>
      </c>
      <c r="AL151" s="1">
        <v>2.58</v>
      </c>
      <c r="AM151" s="1">
        <v>0</v>
      </c>
      <c r="AN151" s="1">
        <v>0</v>
      </c>
      <c r="AO151" s="1">
        <v>279.95422539999998</v>
      </c>
      <c r="AP151" s="1">
        <v>3.33</v>
      </c>
      <c r="AQ151" s="1">
        <v>0.52</v>
      </c>
      <c r="AR151" s="1">
        <v>0.09</v>
      </c>
      <c r="AS151" s="1">
        <v>0.08</v>
      </c>
      <c r="AT151" s="1">
        <v>18.600000000000001</v>
      </c>
      <c r="AU151" s="1">
        <v>5.43</v>
      </c>
      <c r="AV151" s="1">
        <v>0.25</v>
      </c>
      <c r="AW151" s="1">
        <v>2.1</v>
      </c>
      <c r="AX151" s="1">
        <v>7.69</v>
      </c>
      <c r="AY151" s="1">
        <v>0</v>
      </c>
      <c r="AZ151" s="1">
        <v>103.376</v>
      </c>
      <c r="BA151" s="1">
        <v>0</v>
      </c>
      <c r="BB151" s="1">
        <v>0</v>
      </c>
      <c r="BC151" s="1">
        <v>0</v>
      </c>
      <c r="BD151" s="1">
        <v>0</v>
      </c>
    </row>
    <row r="152" spans="1:56">
      <c r="A152" s="18">
        <v>46192</v>
      </c>
      <c r="B152" s="1">
        <v>151</v>
      </c>
      <c r="C152" s="1" t="s">
        <v>89</v>
      </c>
      <c r="D152" s="1" t="s">
        <v>90</v>
      </c>
      <c r="E152" s="1">
        <v>2</v>
      </c>
      <c r="F152" s="1">
        <v>200</v>
      </c>
      <c r="G152" s="1">
        <v>1</v>
      </c>
      <c r="H152" s="1" t="s">
        <v>91</v>
      </c>
      <c r="I152" s="1" t="s">
        <v>79</v>
      </c>
      <c r="J152" s="1" t="s">
        <v>80</v>
      </c>
      <c r="K152" s="1" t="s">
        <v>74</v>
      </c>
      <c r="L152" s="1" t="s">
        <v>72</v>
      </c>
      <c r="M152" s="1" t="s">
        <v>75</v>
      </c>
      <c r="N152" s="1" t="s">
        <v>76</v>
      </c>
      <c r="O152" s="1" t="s">
        <v>77</v>
      </c>
      <c r="P152" s="1" t="s">
        <v>27</v>
      </c>
      <c r="Q152" s="1" t="s">
        <v>86</v>
      </c>
      <c r="R152" s="1" t="s">
        <v>94</v>
      </c>
      <c r="S152" s="1" t="s">
        <v>87</v>
      </c>
      <c r="T152" s="1" t="s">
        <v>88</v>
      </c>
      <c r="X152" s="1" t="s">
        <v>73</v>
      </c>
      <c r="Z152" s="1" t="s">
        <v>70</v>
      </c>
      <c r="AA152" s="1" t="s">
        <v>95</v>
      </c>
      <c r="AB152" s="1">
        <v>5</v>
      </c>
      <c r="AC152" s="1">
        <v>748801.08</v>
      </c>
      <c r="AD152" s="1">
        <v>8930575.5899999999</v>
      </c>
      <c r="AE152" s="1">
        <v>210.1</v>
      </c>
      <c r="AF152" s="1">
        <v>748801.08</v>
      </c>
      <c r="AG152" s="1">
        <v>8930575.5899999999</v>
      </c>
      <c r="AH152" s="1">
        <v>199.4</v>
      </c>
      <c r="AI152" s="1">
        <v>10.7</v>
      </c>
      <c r="AJ152" s="1">
        <v>0.6</v>
      </c>
      <c r="AK152" s="1">
        <v>2.97</v>
      </c>
      <c r="AL152" s="1">
        <v>2.58</v>
      </c>
      <c r="AM152" s="1">
        <v>0</v>
      </c>
      <c r="AN152" s="1">
        <v>0</v>
      </c>
      <c r="AO152" s="1">
        <v>279.95422539999998</v>
      </c>
      <c r="AP152" s="1">
        <v>3.33</v>
      </c>
      <c r="AQ152" s="1">
        <v>0.53</v>
      </c>
      <c r="AR152" s="1">
        <v>0.09</v>
      </c>
      <c r="AS152" s="1">
        <v>0.08</v>
      </c>
      <c r="AT152" s="1">
        <v>19.059999999999999</v>
      </c>
      <c r="AU152" s="1">
        <v>5.33</v>
      </c>
      <c r="AV152" s="1">
        <v>0.26</v>
      </c>
      <c r="AW152" s="1">
        <v>2.0499999999999998</v>
      </c>
      <c r="AX152" s="1">
        <v>7.81</v>
      </c>
      <c r="AY152" s="1">
        <v>0</v>
      </c>
      <c r="AZ152" s="1">
        <v>104.83199999999999</v>
      </c>
      <c r="BA152" s="1">
        <v>0</v>
      </c>
      <c r="BB152" s="1">
        <v>0</v>
      </c>
      <c r="BC152" s="1">
        <v>0</v>
      </c>
      <c r="BD152" s="1">
        <v>0</v>
      </c>
    </row>
    <row r="153" spans="1:56">
      <c r="A153" s="18">
        <v>46192</v>
      </c>
      <c r="B153" s="1">
        <v>152</v>
      </c>
      <c r="C153" s="1" t="s">
        <v>89</v>
      </c>
      <c r="D153" s="1" t="s">
        <v>90</v>
      </c>
      <c r="E153" s="1">
        <v>2</v>
      </c>
      <c r="F153" s="1">
        <v>200</v>
      </c>
      <c r="G153" s="1">
        <v>1</v>
      </c>
      <c r="H153" s="1" t="s">
        <v>91</v>
      </c>
      <c r="I153" s="1" t="s">
        <v>79</v>
      </c>
      <c r="J153" s="1" t="s">
        <v>80</v>
      </c>
      <c r="K153" s="1" t="s">
        <v>74</v>
      </c>
      <c r="L153" s="1" t="s">
        <v>72</v>
      </c>
      <c r="M153" s="1" t="s">
        <v>75</v>
      </c>
      <c r="N153" s="1" t="s">
        <v>76</v>
      </c>
      <c r="O153" s="1" t="s">
        <v>77</v>
      </c>
      <c r="P153" s="1" t="s">
        <v>27</v>
      </c>
      <c r="Q153" s="1" t="s">
        <v>86</v>
      </c>
      <c r="R153" s="1" t="s">
        <v>94</v>
      </c>
      <c r="S153" s="1" t="s">
        <v>87</v>
      </c>
      <c r="T153" s="1" t="s">
        <v>88</v>
      </c>
      <c r="X153" s="1" t="s">
        <v>73</v>
      </c>
      <c r="Z153" s="1" t="s">
        <v>70</v>
      </c>
      <c r="AA153" s="1" t="s">
        <v>95</v>
      </c>
      <c r="AB153" s="1">
        <v>5</v>
      </c>
      <c r="AC153" s="1">
        <v>748798.83</v>
      </c>
      <c r="AD153" s="1">
        <v>8930577.5299999993</v>
      </c>
      <c r="AE153" s="1">
        <v>210.58</v>
      </c>
      <c r="AF153" s="1">
        <v>748798.83</v>
      </c>
      <c r="AG153" s="1">
        <v>8930577.5299999993</v>
      </c>
      <c r="AH153" s="1">
        <v>199.4</v>
      </c>
      <c r="AI153" s="1">
        <v>11.18</v>
      </c>
      <c r="AJ153" s="1">
        <v>0.6</v>
      </c>
      <c r="AK153" s="1">
        <v>2.97</v>
      </c>
      <c r="AL153" s="1">
        <v>2.58</v>
      </c>
      <c r="AM153" s="1">
        <v>0</v>
      </c>
      <c r="AN153" s="1">
        <v>0</v>
      </c>
      <c r="AO153" s="1">
        <v>279.95422539999998</v>
      </c>
      <c r="AP153" s="1">
        <v>3.33</v>
      </c>
      <c r="AQ153" s="1">
        <v>0.57999999999999996</v>
      </c>
      <c r="AR153" s="1">
        <v>0.1</v>
      </c>
      <c r="AS153" s="1">
        <v>0.09</v>
      </c>
      <c r="AT153" s="1">
        <v>21.39</v>
      </c>
      <c r="AU153" s="1">
        <v>5.12</v>
      </c>
      <c r="AV153" s="1">
        <v>0.3</v>
      </c>
      <c r="AW153" s="1">
        <v>1.87</v>
      </c>
      <c r="AX153" s="1">
        <v>7.64</v>
      </c>
      <c r="AY153" s="1">
        <v>0</v>
      </c>
      <c r="AZ153" s="1">
        <v>111.821</v>
      </c>
      <c r="BA153" s="1">
        <v>0</v>
      </c>
      <c r="BB153" s="1">
        <v>0</v>
      </c>
      <c r="BC153" s="1">
        <v>0</v>
      </c>
      <c r="BD153" s="1">
        <v>0</v>
      </c>
    </row>
    <row r="154" spans="1:56">
      <c r="A154" s="18">
        <v>46192</v>
      </c>
      <c r="B154" s="1">
        <v>153</v>
      </c>
      <c r="C154" s="1" t="s">
        <v>89</v>
      </c>
      <c r="D154" s="1" t="s">
        <v>90</v>
      </c>
      <c r="E154" s="1">
        <v>2</v>
      </c>
      <c r="F154" s="1">
        <v>200</v>
      </c>
      <c r="G154" s="1">
        <v>1</v>
      </c>
      <c r="H154" s="1" t="s">
        <v>91</v>
      </c>
      <c r="I154" s="1" t="s">
        <v>79</v>
      </c>
      <c r="J154" s="1" t="s">
        <v>81</v>
      </c>
      <c r="K154" s="1" t="s">
        <v>74</v>
      </c>
      <c r="L154" s="1" t="s">
        <v>72</v>
      </c>
      <c r="M154" s="1" t="s">
        <v>75</v>
      </c>
      <c r="N154" s="1" t="s">
        <v>76</v>
      </c>
      <c r="O154" s="1" t="s">
        <v>77</v>
      </c>
      <c r="P154" s="1" t="s">
        <v>27</v>
      </c>
      <c r="Q154" s="1" t="s">
        <v>86</v>
      </c>
      <c r="R154" s="1" t="s">
        <v>94</v>
      </c>
      <c r="S154" s="1" t="s">
        <v>87</v>
      </c>
      <c r="T154" s="1" t="s">
        <v>88</v>
      </c>
      <c r="X154" s="1" t="s">
        <v>73</v>
      </c>
      <c r="Z154" s="1" t="s">
        <v>70</v>
      </c>
      <c r="AA154" s="1" t="s">
        <v>95</v>
      </c>
      <c r="AB154" s="1">
        <v>5</v>
      </c>
      <c r="AC154" s="1">
        <v>748796.58</v>
      </c>
      <c r="AD154" s="1">
        <v>8930579.4700000007</v>
      </c>
      <c r="AE154" s="1">
        <v>210.8</v>
      </c>
      <c r="AF154" s="1">
        <v>748796.58</v>
      </c>
      <c r="AG154" s="1">
        <v>8930579.4700000007</v>
      </c>
      <c r="AH154" s="1">
        <v>199.4</v>
      </c>
      <c r="AI154" s="1">
        <v>11.4</v>
      </c>
      <c r="AJ154" s="1">
        <v>0.6</v>
      </c>
      <c r="AK154" s="1">
        <v>2.97</v>
      </c>
      <c r="AL154" s="1">
        <v>2.58</v>
      </c>
      <c r="AM154" s="1">
        <v>0</v>
      </c>
      <c r="AN154" s="1">
        <v>0</v>
      </c>
      <c r="AO154" s="1">
        <v>279.95422539999998</v>
      </c>
      <c r="AP154" s="1">
        <v>3.29</v>
      </c>
      <c r="AQ154" s="1">
        <v>0.62</v>
      </c>
      <c r="AR154" s="1">
        <v>0.1</v>
      </c>
      <c r="AS154" s="1">
        <v>0.09</v>
      </c>
      <c r="AT154" s="1">
        <v>21.54</v>
      </c>
      <c r="AU154" s="1">
        <v>5.01</v>
      </c>
      <c r="AV154" s="1">
        <v>0.31</v>
      </c>
      <c r="AW154" s="1">
        <v>1.83</v>
      </c>
      <c r="AX154" s="1">
        <v>7.36</v>
      </c>
      <c r="AY154" s="1">
        <v>0</v>
      </c>
      <c r="AZ154" s="1">
        <v>115.024</v>
      </c>
      <c r="BA154" s="1">
        <v>0</v>
      </c>
      <c r="BB154" s="1">
        <v>0</v>
      </c>
      <c r="BC154" s="1">
        <v>0</v>
      </c>
      <c r="BD154" s="1">
        <v>0</v>
      </c>
    </row>
    <row r="155" spans="1:56">
      <c r="A155" s="18">
        <v>46192</v>
      </c>
      <c r="B155" s="1">
        <v>154</v>
      </c>
      <c r="C155" s="1" t="s">
        <v>89</v>
      </c>
      <c r="D155" s="1" t="s">
        <v>90</v>
      </c>
      <c r="E155" s="1">
        <v>2</v>
      </c>
      <c r="F155" s="1">
        <v>200</v>
      </c>
      <c r="G155" s="1">
        <v>1</v>
      </c>
      <c r="H155" s="1" t="s">
        <v>91</v>
      </c>
      <c r="I155" s="1" t="s">
        <v>79</v>
      </c>
      <c r="J155" s="1" t="s">
        <v>81</v>
      </c>
      <c r="K155" s="1" t="s">
        <v>74</v>
      </c>
      <c r="L155" s="1" t="s">
        <v>72</v>
      </c>
      <c r="M155" s="1" t="s">
        <v>75</v>
      </c>
      <c r="N155" s="1" t="s">
        <v>76</v>
      </c>
      <c r="O155" s="1" t="s">
        <v>77</v>
      </c>
      <c r="P155" s="1" t="s">
        <v>27</v>
      </c>
      <c r="Q155" s="1" t="s">
        <v>86</v>
      </c>
      <c r="R155" s="1" t="s">
        <v>94</v>
      </c>
      <c r="S155" s="1" t="s">
        <v>87</v>
      </c>
      <c r="T155" s="1" t="s">
        <v>88</v>
      </c>
      <c r="X155" s="1" t="s">
        <v>73</v>
      </c>
      <c r="Z155" s="1" t="s">
        <v>70</v>
      </c>
      <c r="AA155" s="1" t="s">
        <v>95</v>
      </c>
      <c r="AB155" s="1">
        <v>5</v>
      </c>
      <c r="AC155" s="1">
        <v>748794.33</v>
      </c>
      <c r="AD155" s="1">
        <v>8930581.4100000001</v>
      </c>
      <c r="AE155" s="1">
        <v>210.79</v>
      </c>
      <c r="AF155" s="1">
        <v>748794.33</v>
      </c>
      <c r="AG155" s="1">
        <v>8930581.4100000001</v>
      </c>
      <c r="AH155" s="1">
        <v>199.4</v>
      </c>
      <c r="AI155" s="1">
        <v>11.39</v>
      </c>
      <c r="AJ155" s="1">
        <v>0.6</v>
      </c>
      <c r="AK155" s="1">
        <v>2.97</v>
      </c>
      <c r="AL155" s="1">
        <v>2.58</v>
      </c>
      <c r="AM155" s="1">
        <v>0</v>
      </c>
      <c r="AN155" s="1">
        <v>0</v>
      </c>
      <c r="AO155" s="1">
        <v>279.95422539999998</v>
      </c>
      <c r="AP155" s="1">
        <v>3.25</v>
      </c>
      <c r="AQ155" s="1">
        <v>0.69</v>
      </c>
      <c r="AR155" s="1">
        <v>0.12</v>
      </c>
      <c r="AS155" s="1">
        <v>0.1</v>
      </c>
      <c r="AT155" s="1">
        <v>21.54</v>
      </c>
      <c r="AU155" s="1">
        <v>4.9000000000000004</v>
      </c>
      <c r="AV155" s="1">
        <v>0.32</v>
      </c>
      <c r="AW155" s="1">
        <v>1.92</v>
      </c>
      <c r="AX155" s="1">
        <v>7.12</v>
      </c>
      <c r="AY155" s="1">
        <v>0</v>
      </c>
      <c r="AZ155" s="1">
        <v>114.878</v>
      </c>
      <c r="BA155" s="1">
        <v>0</v>
      </c>
      <c r="BB155" s="1">
        <v>0</v>
      </c>
      <c r="BC155" s="1">
        <v>0</v>
      </c>
      <c r="BD155" s="1">
        <v>0</v>
      </c>
    </row>
    <row r="156" spans="1:56">
      <c r="A156" s="18">
        <v>46192</v>
      </c>
      <c r="B156" s="1">
        <v>155</v>
      </c>
      <c r="C156" s="1" t="s">
        <v>89</v>
      </c>
      <c r="D156" s="1" t="s">
        <v>90</v>
      </c>
      <c r="E156" s="1">
        <v>2</v>
      </c>
      <c r="F156" s="1">
        <v>200</v>
      </c>
      <c r="G156" s="1">
        <v>1</v>
      </c>
      <c r="H156" s="1" t="s">
        <v>91</v>
      </c>
      <c r="I156" s="1" t="s">
        <v>79</v>
      </c>
      <c r="J156" s="1" t="s">
        <v>81</v>
      </c>
      <c r="K156" s="1" t="s">
        <v>74</v>
      </c>
      <c r="L156" s="1" t="s">
        <v>72</v>
      </c>
      <c r="M156" s="1" t="s">
        <v>75</v>
      </c>
      <c r="N156" s="1" t="s">
        <v>76</v>
      </c>
      <c r="O156" s="1" t="s">
        <v>77</v>
      </c>
      <c r="P156" s="1" t="s">
        <v>27</v>
      </c>
      <c r="Q156" s="1" t="s">
        <v>86</v>
      </c>
      <c r="R156" s="1" t="s">
        <v>94</v>
      </c>
      <c r="S156" s="1" t="s">
        <v>87</v>
      </c>
      <c r="T156" s="1" t="s">
        <v>88</v>
      </c>
      <c r="X156" s="1" t="s">
        <v>73</v>
      </c>
      <c r="Z156" s="1" t="s">
        <v>70</v>
      </c>
      <c r="AA156" s="1" t="s">
        <v>95</v>
      </c>
      <c r="AB156" s="1">
        <v>5</v>
      </c>
      <c r="AC156" s="1">
        <v>748792.08</v>
      </c>
      <c r="AD156" s="1">
        <v>8930583.3499999996</v>
      </c>
      <c r="AE156" s="1">
        <v>210.62</v>
      </c>
      <c r="AF156" s="1">
        <v>748792.08</v>
      </c>
      <c r="AG156" s="1">
        <v>8930583.3499999996</v>
      </c>
      <c r="AH156" s="1">
        <v>199.4</v>
      </c>
      <c r="AI156" s="1">
        <v>11.22</v>
      </c>
      <c r="AJ156" s="1">
        <v>0.6</v>
      </c>
      <c r="AK156" s="1">
        <v>2.97</v>
      </c>
      <c r="AL156" s="1">
        <v>2.58</v>
      </c>
      <c r="AM156" s="1">
        <v>0</v>
      </c>
      <c r="AN156" s="1">
        <v>0</v>
      </c>
      <c r="AO156" s="1">
        <v>279.95422539999998</v>
      </c>
      <c r="AP156" s="1">
        <v>3.26</v>
      </c>
      <c r="AQ156" s="1">
        <v>0.68</v>
      </c>
      <c r="AR156" s="1">
        <v>0.12</v>
      </c>
      <c r="AS156" s="1">
        <v>0.1</v>
      </c>
      <c r="AT156" s="1">
        <v>20.7</v>
      </c>
      <c r="AU156" s="1">
        <v>4.7699999999999996</v>
      </c>
      <c r="AV156" s="1">
        <v>0.31</v>
      </c>
      <c r="AW156" s="1">
        <v>1.9</v>
      </c>
      <c r="AX156" s="1">
        <v>7.05</v>
      </c>
      <c r="AY156" s="1">
        <v>0</v>
      </c>
      <c r="AZ156" s="1">
        <v>112.40300000000001</v>
      </c>
      <c r="BA156" s="1">
        <v>0</v>
      </c>
      <c r="BB156" s="1">
        <v>0</v>
      </c>
      <c r="BC156" s="1">
        <v>0</v>
      </c>
      <c r="BD156" s="1">
        <v>0</v>
      </c>
    </row>
    <row r="157" spans="1:56">
      <c r="A157" s="18">
        <v>46192</v>
      </c>
      <c r="B157" s="1">
        <v>156</v>
      </c>
      <c r="C157" s="1" t="s">
        <v>89</v>
      </c>
      <c r="D157" s="1" t="s">
        <v>90</v>
      </c>
      <c r="E157" s="1">
        <v>2</v>
      </c>
      <c r="F157" s="1">
        <v>200</v>
      </c>
      <c r="G157" s="1">
        <v>1</v>
      </c>
      <c r="H157" s="1" t="s">
        <v>91</v>
      </c>
      <c r="I157" s="1" t="s">
        <v>79</v>
      </c>
      <c r="J157" s="1" t="s">
        <v>81</v>
      </c>
      <c r="K157" s="1" t="s">
        <v>74</v>
      </c>
      <c r="L157" s="1" t="s">
        <v>72</v>
      </c>
      <c r="M157" s="1" t="s">
        <v>75</v>
      </c>
      <c r="N157" s="1" t="s">
        <v>76</v>
      </c>
      <c r="O157" s="1" t="s">
        <v>77</v>
      </c>
      <c r="P157" s="1" t="s">
        <v>27</v>
      </c>
      <c r="Q157" s="1" t="s">
        <v>86</v>
      </c>
      <c r="R157" s="1" t="s">
        <v>94</v>
      </c>
      <c r="S157" s="1" t="s">
        <v>87</v>
      </c>
      <c r="T157" s="1" t="s">
        <v>88</v>
      </c>
      <c r="X157" s="1" t="s">
        <v>73</v>
      </c>
      <c r="Z157" s="1" t="s">
        <v>70</v>
      </c>
      <c r="AA157" s="1" t="s">
        <v>95</v>
      </c>
      <c r="AB157" s="1">
        <v>5</v>
      </c>
      <c r="AC157" s="1">
        <v>748789.83</v>
      </c>
      <c r="AD157" s="1">
        <v>8930585.2899999991</v>
      </c>
      <c r="AE157" s="1">
        <v>210.78</v>
      </c>
      <c r="AF157" s="1">
        <v>748789.83</v>
      </c>
      <c r="AG157" s="1">
        <v>8930585.2899999991</v>
      </c>
      <c r="AH157" s="1">
        <v>199.4</v>
      </c>
      <c r="AI157" s="1">
        <v>11.38</v>
      </c>
      <c r="AJ157" s="1">
        <v>0.6</v>
      </c>
      <c r="AK157" s="1">
        <v>2.97</v>
      </c>
      <c r="AL157" s="1">
        <v>2.58</v>
      </c>
      <c r="AM157" s="1">
        <v>0</v>
      </c>
      <c r="AN157" s="1">
        <v>0</v>
      </c>
      <c r="AO157" s="1">
        <v>279.95422539999998</v>
      </c>
      <c r="AP157" s="1">
        <v>3.27</v>
      </c>
      <c r="AQ157" s="1">
        <v>0.7</v>
      </c>
      <c r="AR157" s="1">
        <v>0.11</v>
      </c>
      <c r="AS157" s="1">
        <v>0.1</v>
      </c>
      <c r="AT157" s="1">
        <v>21.17</v>
      </c>
      <c r="AU157" s="1">
        <v>5.49</v>
      </c>
      <c r="AV157" s="1">
        <v>0.33</v>
      </c>
      <c r="AW157" s="1">
        <v>1.86</v>
      </c>
      <c r="AX157" s="1">
        <v>6.57</v>
      </c>
      <c r="AY157" s="1">
        <v>0</v>
      </c>
      <c r="AZ157" s="1">
        <v>114.733</v>
      </c>
      <c r="BA157" s="1">
        <v>0</v>
      </c>
      <c r="BB157" s="1">
        <v>0</v>
      </c>
      <c r="BC157" s="1">
        <v>0</v>
      </c>
      <c r="BD157" s="1">
        <v>0</v>
      </c>
    </row>
    <row r="158" spans="1:56">
      <c r="A158" s="18">
        <v>46192</v>
      </c>
      <c r="B158" s="1">
        <v>157</v>
      </c>
      <c r="C158" s="1" t="s">
        <v>89</v>
      </c>
      <c r="D158" s="1" t="s">
        <v>90</v>
      </c>
      <c r="E158" s="1">
        <v>2</v>
      </c>
      <c r="F158" s="1">
        <v>200</v>
      </c>
      <c r="G158" s="1">
        <v>1</v>
      </c>
      <c r="H158" s="1" t="s">
        <v>91</v>
      </c>
      <c r="I158" s="1" t="s">
        <v>79</v>
      </c>
      <c r="J158" s="1" t="s">
        <v>81</v>
      </c>
      <c r="K158" s="1" t="s">
        <v>74</v>
      </c>
      <c r="L158" s="1" t="s">
        <v>72</v>
      </c>
      <c r="M158" s="1" t="s">
        <v>75</v>
      </c>
      <c r="N158" s="1" t="s">
        <v>76</v>
      </c>
      <c r="O158" s="1" t="s">
        <v>77</v>
      </c>
      <c r="P158" s="1" t="s">
        <v>27</v>
      </c>
      <c r="Q158" s="1" t="s">
        <v>86</v>
      </c>
      <c r="R158" s="1" t="s">
        <v>94</v>
      </c>
      <c r="S158" s="1" t="s">
        <v>87</v>
      </c>
      <c r="T158" s="1" t="s">
        <v>88</v>
      </c>
      <c r="X158" s="1" t="s">
        <v>73</v>
      </c>
      <c r="Z158" s="1" t="s">
        <v>70</v>
      </c>
      <c r="AA158" s="1" t="s">
        <v>95</v>
      </c>
      <c r="AB158" s="1">
        <v>5</v>
      </c>
      <c r="AC158" s="1">
        <v>748787.58</v>
      </c>
      <c r="AD158" s="1">
        <v>8930587.2200000007</v>
      </c>
      <c r="AE158" s="1">
        <v>210.78</v>
      </c>
      <c r="AF158" s="1">
        <v>748787.58</v>
      </c>
      <c r="AG158" s="1">
        <v>8930587.2200000007</v>
      </c>
      <c r="AH158" s="1">
        <v>199.4</v>
      </c>
      <c r="AI158" s="1">
        <v>11.38</v>
      </c>
      <c r="AJ158" s="1">
        <v>0.6</v>
      </c>
      <c r="AK158" s="1">
        <v>2.97</v>
      </c>
      <c r="AL158" s="1">
        <v>2.58</v>
      </c>
      <c r="AM158" s="1">
        <v>0</v>
      </c>
      <c r="AN158" s="1">
        <v>0</v>
      </c>
      <c r="AO158" s="1">
        <v>279.95422539999998</v>
      </c>
      <c r="AP158" s="1">
        <v>3.29</v>
      </c>
      <c r="AQ158" s="1">
        <v>0.71</v>
      </c>
      <c r="AR158" s="1">
        <v>0.11</v>
      </c>
      <c r="AS158" s="1">
        <v>0.11</v>
      </c>
      <c r="AT158" s="1">
        <v>21.08</v>
      </c>
      <c r="AU158" s="1">
        <v>6.15</v>
      </c>
      <c r="AV158" s="1">
        <v>0.35</v>
      </c>
      <c r="AW158" s="1">
        <v>1.81</v>
      </c>
      <c r="AX158" s="1">
        <v>6.1</v>
      </c>
      <c r="AY158" s="1">
        <v>0</v>
      </c>
      <c r="AZ158" s="1">
        <v>114.733</v>
      </c>
      <c r="BA158" s="1">
        <v>0</v>
      </c>
      <c r="BB158" s="1">
        <v>0</v>
      </c>
      <c r="BC158" s="1">
        <v>0</v>
      </c>
      <c r="BD158" s="1">
        <v>0</v>
      </c>
    </row>
    <row r="159" spans="1:56">
      <c r="A159" s="18">
        <v>46192</v>
      </c>
      <c r="B159" s="1">
        <v>158</v>
      </c>
      <c r="C159" s="1" t="s">
        <v>89</v>
      </c>
      <c r="D159" s="1" t="s">
        <v>90</v>
      </c>
      <c r="E159" s="1">
        <v>2</v>
      </c>
      <c r="F159" s="1">
        <v>200</v>
      </c>
      <c r="G159" s="1">
        <v>1</v>
      </c>
      <c r="H159" s="1" t="s">
        <v>91</v>
      </c>
      <c r="I159" s="1" t="s">
        <v>79</v>
      </c>
      <c r="J159" s="1" t="s">
        <v>81</v>
      </c>
      <c r="K159" s="1" t="s">
        <v>74</v>
      </c>
      <c r="L159" s="1" t="s">
        <v>72</v>
      </c>
      <c r="M159" s="1" t="s">
        <v>75</v>
      </c>
      <c r="N159" s="1" t="s">
        <v>76</v>
      </c>
      <c r="O159" s="1" t="s">
        <v>77</v>
      </c>
      <c r="P159" s="1" t="s">
        <v>27</v>
      </c>
      <c r="Q159" s="1" t="s">
        <v>86</v>
      </c>
      <c r="R159" s="1" t="s">
        <v>94</v>
      </c>
      <c r="S159" s="1" t="s">
        <v>87</v>
      </c>
      <c r="T159" s="1" t="s">
        <v>88</v>
      </c>
      <c r="X159" s="1" t="s">
        <v>73</v>
      </c>
      <c r="Z159" s="1" t="s">
        <v>70</v>
      </c>
      <c r="AA159" s="1" t="s">
        <v>95</v>
      </c>
      <c r="AB159" s="1">
        <v>5</v>
      </c>
      <c r="AC159" s="1">
        <v>748785.25</v>
      </c>
      <c r="AD159" s="1">
        <v>8930589.0700000003</v>
      </c>
      <c r="AE159" s="1">
        <v>210.31</v>
      </c>
      <c r="AF159" s="1">
        <v>748785.25</v>
      </c>
      <c r="AG159" s="1">
        <v>8930589.0700000003</v>
      </c>
      <c r="AH159" s="1">
        <v>199.4</v>
      </c>
      <c r="AI159" s="1">
        <v>10.91</v>
      </c>
      <c r="AJ159" s="1">
        <v>0.6</v>
      </c>
      <c r="AK159" s="1">
        <v>2.97</v>
      </c>
      <c r="AL159" s="1">
        <v>2.58</v>
      </c>
      <c r="AM159" s="1">
        <v>0</v>
      </c>
      <c r="AN159" s="1">
        <v>0</v>
      </c>
      <c r="AO159" s="1">
        <v>279.95422539999998</v>
      </c>
      <c r="AP159" s="1">
        <v>3.29</v>
      </c>
      <c r="AQ159" s="1">
        <v>0.7</v>
      </c>
      <c r="AR159" s="1">
        <v>0.12</v>
      </c>
      <c r="AS159" s="1">
        <v>0.11</v>
      </c>
      <c r="AT159" s="1">
        <v>20.89</v>
      </c>
      <c r="AU159" s="1">
        <v>6.36</v>
      </c>
      <c r="AV159" s="1">
        <v>0.34</v>
      </c>
      <c r="AW159" s="1">
        <v>1.83</v>
      </c>
      <c r="AX159" s="1">
        <v>6.33</v>
      </c>
      <c r="AY159" s="1">
        <v>0</v>
      </c>
      <c r="AZ159" s="1">
        <v>107.89</v>
      </c>
      <c r="BA159" s="1">
        <v>0</v>
      </c>
      <c r="BB159" s="1">
        <v>0</v>
      </c>
      <c r="BC159" s="1">
        <v>0</v>
      </c>
      <c r="BD159" s="1">
        <v>0</v>
      </c>
    </row>
    <row r="160" spans="1:56">
      <c r="A160" s="18">
        <v>46192</v>
      </c>
      <c r="B160" s="1">
        <v>159</v>
      </c>
      <c r="C160" s="1" t="s">
        <v>89</v>
      </c>
      <c r="D160" s="1" t="s">
        <v>90</v>
      </c>
      <c r="E160" s="1">
        <v>2</v>
      </c>
      <c r="F160" s="1">
        <v>200</v>
      </c>
      <c r="G160" s="1">
        <v>1</v>
      </c>
      <c r="H160" s="1" t="s">
        <v>91</v>
      </c>
      <c r="I160" s="1" t="s">
        <v>79</v>
      </c>
      <c r="J160" s="1" t="s">
        <v>81</v>
      </c>
      <c r="K160" s="1" t="s">
        <v>74</v>
      </c>
      <c r="L160" s="1" t="s">
        <v>72</v>
      </c>
      <c r="M160" s="1" t="s">
        <v>75</v>
      </c>
      <c r="N160" s="1" t="s">
        <v>76</v>
      </c>
      <c r="O160" s="1" t="s">
        <v>77</v>
      </c>
      <c r="P160" s="1" t="s">
        <v>27</v>
      </c>
      <c r="Q160" s="1" t="s">
        <v>86</v>
      </c>
      <c r="R160" s="1" t="s">
        <v>94</v>
      </c>
      <c r="S160" s="1" t="s">
        <v>87</v>
      </c>
      <c r="T160" s="1" t="s">
        <v>88</v>
      </c>
      <c r="X160" s="1" t="s">
        <v>73</v>
      </c>
      <c r="Z160" s="1" t="s">
        <v>70</v>
      </c>
      <c r="AA160" s="1" t="s">
        <v>95</v>
      </c>
      <c r="AB160" s="1">
        <v>5</v>
      </c>
      <c r="AC160" s="1">
        <v>748782.92</v>
      </c>
      <c r="AD160" s="1">
        <v>8930590.9199999999</v>
      </c>
      <c r="AE160" s="1">
        <v>209.98</v>
      </c>
      <c r="AF160" s="1">
        <v>748782.92</v>
      </c>
      <c r="AG160" s="1">
        <v>8930590.9199999999</v>
      </c>
      <c r="AH160" s="1">
        <v>199.4</v>
      </c>
      <c r="AI160" s="1">
        <v>10.58</v>
      </c>
      <c r="AJ160" s="1">
        <v>0.6</v>
      </c>
      <c r="AK160" s="1">
        <v>2.97</v>
      </c>
      <c r="AL160" s="1">
        <v>2.58</v>
      </c>
      <c r="AM160" s="1">
        <v>0</v>
      </c>
      <c r="AN160" s="1">
        <v>0</v>
      </c>
      <c r="AO160" s="1">
        <v>279.95422539999998</v>
      </c>
      <c r="AP160" s="1">
        <v>3.26</v>
      </c>
      <c r="AQ160" s="1">
        <v>0.7</v>
      </c>
      <c r="AR160" s="1">
        <v>0.13</v>
      </c>
      <c r="AS160" s="1">
        <v>0.11</v>
      </c>
      <c r="AT160" s="1">
        <v>21.78</v>
      </c>
      <c r="AU160" s="1">
        <v>6.63</v>
      </c>
      <c r="AV160" s="1">
        <v>0.33</v>
      </c>
      <c r="AW160" s="1">
        <v>1.96</v>
      </c>
      <c r="AX160" s="1">
        <v>7.37</v>
      </c>
      <c r="AY160" s="1">
        <v>0</v>
      </c>
      <c r="AZ160" s="1">
        <v>103.08499999999999</v>
      </c>
      <c r="BA160" s="1">
        <v>0</v>
      </c>
      <c r="BB160" s="1">
        <v>0</v>
      </c>
      <c r="BC160" s="1">
        <v>0</v>
      </c>
      <c r="BD160" s="1">
        <v>0</v>
      </c>
    </row>
    <row r="161" spans="1:56">
      <c r="A161" s="18">
        <v>46192</v>
      </c>
      <c r="B161" s="1">
        <v>160</v>
      </c>
      <c r="C161" s="1" t="s">
        <v>89</v>
      </c>
      <c r="D161" s="1" t="s">
        <v>90</v>
      </c>
      <c r="E161" s="1">
        <v>2</v>
      </c>
      <c r="F161" s="1">
        <v>200</v>
      </c>
      <c r="G161" s="1">
        <v>1</v>
      </c>
      <c r="H161" s="1" t="s">
        <v>91</v>
      </c>
      <c r="I161" s="1" t="s">
        <v>79</v>
      </c>
      <c r="J161" s="1" t="s">
        <v>81</v>
      </c>
      <c r="K161" s="1" t="s">
        <v>74</v>
      </c>
      <c r="L161" s="1" t="s">
        <v>72</v>
      </c>
      <c r="M161" s="1" t="s">
        <v>75</v>
      </c>
      <c r="N161" s="1" t="s">
        <v>76</v>
      </c>
      <c r="O161" s="1" t="s">
        <v>77</v>
      </c>
      <c r="P161" s="1" t="s">
        <v>27</v>
      </c>
      <c r="Q161" s="1" t="s">
        <v>86</v>
      </c>
      <c r="R161" s="1" t="s">
        <v>94</v>
      </c>
      <c r="S161" s="1" t="s">
        <v>87</v>
      </c>
      <c r="T161" s="1" t="s">
        <v>88</v>
      </c>
      <c r="X161" s="1" t="s">
        <v>73</v>
      </c>
      <c r="Z161" s="1" t="s">
        <v>70</v>
      </c>
      <c r="AA161" s="1" t="s">
        <v>95</v>
      </c>
      <c r="AB161" s="1">
        <v>5</v>
      </c>
      <c r="AC161" s="1">
        <v>748780.6</v>
      </c>
      <c r="AD161" s="1">
        <v>8930592.7599999998</v>
      </c>
      <c r="AE161" s="1">
        <v>209.79</v>
      </c>
      <c r="AF161" s="1">
        <v>748780.6</v>
      </c>
      <c r="AG161" s="1">
        <v>8930592.7599999998</v>
      </c>
      <c r="AH161" s="1">
        <v>199.4</v>
      </c>
      <c r="AI161" s="1">
        <v>10.39</v>
      </c>
      <c r="AJ161" s="1">
        <v>0.6</v>
      </c>
      <c r="AK161" s="1">
        <v>2.97</v>
      </c>
      <c r="AL161" s="1">
        <v>2.58</v>
      </c>
      <c r="AM161" s="1">
        <v>0</v>
      </c>
      <c r="AN161" s="1">
        <v>0</v>
      </c>
      <c r="AO161" s="1">
        <v>279.95422539999998</v>
      </c>
      <c r="AP161" s="1">
        <v>3.28</v>
      </c>
      <c r="AQ161" s="1">
        <v>0.73</v>
      </c>
      <c r="AR161" s="1">
        <v>0.15</v>
      </c>
      <c r="AS161" s="1">
        <v>0.12</v>
      </c>
      <c r="AT161" s="1">
        <v>23.14</v>
      </c>
      <c r="AU161" s="1">
        <v>6.81</v>
      </c>
      <c r="AV161" s="1">
        <v>0.34</v>
      </c>
      <c r="AW161" s="1">
        <v>2.06</v>
      </c>
      <c r="AX161" s="1">
        <v>7.98</v>
      </c>
      <c r="AY161" s="1">
        <v>0</v>
      </c>
      <c r="AZ161" s="1">
        <v>100.318</v>
      </c>
      <c r="BA161" s="1">
        <v>0</v>
      </c>
      <c r="BB161" s="1">
        <v>0</v>
      </c>
      <c r="BC161" s="1">
        <v>0</v>
      </c>
      <c r="BD161" s="1">
        <v>0</v>
      </c>
    </row>
    <row r="162" spans="1:56">
      <c r="A162" s="18">
        <v>46192</v>
      </c>
      <c r="B162" s="1">
        <v>161</v>
      </c>
      <c r="C162" s="1" t="s">
        <v>89</v>
      </c>
      <c r="D162" s="1" t="s">
        <v>90</v>
      </c>
      <c r="E162" s="1">
        <v>2</v>
      </c>
      <c r="F162" s="1">
        <v>200</v>
      </c>
      <c r="G162" s="1">
        <v>1</v>
      </c>
      <c r="H162" s="1" t="s">
        <v>91</v>
      </c>
      <c r="I162" s="1" t="s">
        <v>79</v>
      </c>
      <c r="J162" s="1" t="s">
        <v>81</v>
      </c>
      <c r="K162" s="1" t="s">
        <v>74</v>
      </c>
      <c r="L162" s="1" t="s">
        <v>72</v>
      </c>
      <c r="M162" s="1" t="s">
        <v>75</v>
      </c>
      <c r="N162" s="1" t="s">
        <v>76</v>
      </c>
      <c r="O162" s="1" t="s">
        <v>77</v>
      </c>
      <c r="P162" s="1" t="s">
        <v>27</v>
      </c>
      <c r="Q162" s="1" t="s">
        <v>86</v>
      </c>
      <c r="R162" s="1" t="s">
        <v>94</v>
      </c>
      <c r="S162" s="1" t="s">
        <v>87</v>
      </c>
      <c r="T162" s="1" t="s">
        <v>88</v>
      </c>
      <c r="X162" s="1" t="s">
        <v>73</v>
      </c>
      <c r="Z162" s="1" t="s">
        <v>70</v>
      </c>
      <c r="AA162" s="1" t="s">
        <v>95</v>
      </c>
      <c r="AB162" s="1">
        <v>5</v>
      </c>
      <c r="AC162" s="1">
        <v>748778.27</v>
      </c>
      <c r="AD162" s="1">
        <v>8930594.6099999994</v>
      </c>
      <c r="AE162" s="1">
        <v>209.76</v>
      </c>
      <c r="AF162" s="1">
        <v>748778.27</v>
      </c>
      <c r="AG162" s="1">
        <v>8930594.6099999994</v>
      </c>
      <c r="AH162" s="1">
        <v>199.4</v>
      </c>
      <c r="AI162" s="1">
        <v>10.36</v>
      </c>
      <c r="AJ162" s="1">
        <v>0.6</v>
      </c>
      <c r="AK162" s="1">
        <v>2.97</v>
      </c>
      <c r="AL162" s="1">
        <v>2.58</v>
      </c>
      <c r="AM162" s="1">
        <v>0</v>
      </c>
      <c r="AN162" s="1">
        <v>0</v>
      </c>
      <c r="AO162" s="1">
        <v>279.95422539999998</v>
      </c>
      <c r="AP162" s="1">
        <v>3.31</v>
      </c>
      <c r="AQ162" s="1">
        <v>0.78</v>
      </c>
      <c r="AR162" s="1">
        <v>0.18</v>
      </c>
      <c r="AS162" s="1">
        <v>0.12</v>
      </c>
      <c r="AT162" s="1">
        <v>24.19</v>
      </c>
      <c r="AU162" s="1">
        <v>6.72</v>
      </c>
      <c r="AV162" s="1">
        <v>0.37</v>
      </c>
      <c r="AW162" s="1">
        <v>2.0499999999999998</v>
      </c>
      <c r="AX162" s="1">
        <v>7.9</v>
      </c>
      <c r="AY162" s="1">
        <v>0</v>
      </c>
      <c r="AZ162" s="1">
        <v>99.882000000000005</v>
      </c>
      <c r="BA162" s="1">
        <v>0</v>
      </c>
      <c r="BB162" s="1">
        <v>0</v>
      </c>
      <c r="BC162" s="1">
        <v>0</v>
      </c>
      <c r="BD162" s="1">
        <v>0</v>
      </c>
    </row>
    <row r="163" spans="1:56">
      <c r="A163" s="18">
        <v>46192</v>
      </c>
      <c r="B163" s="1">
        <v>162</v>
      </c>
      <c r="C163" s="1" t="s">
        <v>89</v>
      </c>
      <c r="D163" s="1" t="s">
        <v>90</v>
      </c>
      <c r="E163" s="1">
        <v>2</v>
      </c>
      <c r="F163" s="1">
        <v>200</v>
      </c>
      <c r="G163" s="1">
        <v>1</v>
      </c>
      <c r="H163" s="1" t="s">
        <v>91</v>
      </c>
      <c r="I163" s="1" t="s">
        <v>79</v>
      </c>
      <c r="J163" s="1" t="s">
        <v>81</v>
      </c>
      <c r="K163" s="1" t="s">
        <v>74</v>
      </c>
      <c r="L163" s="1" t="s">
        <v>72</v>
      </c>
      <c r="M163" s="1" t="s">
        <v>75</v>
      </c>
      <c r="N163" s="1" t="s">
        <v>76</v>
      </c>
      <c r="O163" s="1" t="s">
        <v>77</v>
      </c>
      <c r="P163" s="1" t="s">
        <v>27</v>
      </c>
      <c r="Q163" s="1" t="s">
        <v>86</v>
      </c>
      <c r="R163" s="1" t="s">
        <v>94</v>
      </c>
      <c r="S163" s="1" t="s">
        <v>87</v>
      </c>
      <c r="T163" s="1" t="s">
        <v>88</v>
      </c>
      <c r="X163" s="1" t="s">
        <v>73</v>
      </c>
      <c r="Z163" s="1" t="s">
        <v>70</v>
      </c>
      <c r="AA163" s="1" t="s">
        <v>95</v>
      </c>
      <c r="AB163" s="1">
        <v>5</v>
      </c>
      <c r="AC163" s="1">
        <v>748775.94</v>
      </c>
      <c r="AD163" s="1">
        <v>8930596.4499999993</v>
      </c>
      <c r="AE163" s="1">
        <v>209.83</v>
      </c>
      <c r="AF163" s="1">
        <v>748775.94</v>
      </c>
      <c r="AG163" s="1">
        <v>8930596.4499999993</v>
      </c>
      <c r="AH163" s="1">
        <v>199.4</v>
      </c>
      <c r="AI163" s="1">
        <v>10.43</v>
      </c>
      <c r="AJ163" s="1">
        <v>0.6</v>
      </c>
      <c r="AK163" s="1">
        <v>2.97</v>
      </c>
      <c r="AL163" s="1">
        <v>2.58</v>
      </c>
      <c r="AM163" s="1">
        <v>0</v>
      </c>
      <c r="AN163" s="1">
        <v>0</v>
      </c>
      <c r="AO163" s="1">
        <v>279.95422539999998</v>
      </c>
      <c r="AP163" s="1">
        <v>3.31</v>
      </c>
      <c r="AQ163" s="1">
        <v>0.78</v>
      </c>
      <c r="AR163" s="1">
        <v>0.19</v>
      </c>
      <c r="AS163" s="1">
        <v>0.12</v>
      </c>
      <c r="AT163" s="1">
        <v>24.38</v>
      </c>
      <c r="AU163" s="1">
        <v>6.75</v>
      </c>
      <c r="AV163" s="1">
        <v>0.38</v>
      </c>
      <c r="AW163" s="1">
        <v>2.06</v>
      </c>
      <c r="AX163" s="1">
        <v>7.91</v>
      </c>
      <c r="AY163" s="1">
        <v>0</v>
      </c>
      <c r="AZ163" s="1">
        <v>100.901</v>
      </c>
      <c r="BA163" s="1">
        <v>0</v>
      </c>
      <c r="BB163" s="1">
        <v>0</v>
      </c>
      <c r="BC163" s="1">
        <v>0</v>
      </c>
      <c r="BD163" s="1">
        <v>0</v>
      </c>
    </row>
    <row r="164" spans="1:56">
      <c r="A164" s="18">
        <v>46192</v>
      </c>
      <c r="B164" s="1">
        <v>163</v>
      </c>
      <c r="C164" s="1" t="s">
        <v>89</v>
      </c>
      <c r="D164" s="1" t="s">
        <v>90</v>
      </c>
      <c r="E164" s="1">
        <v>2</v>
      </c>
      <c r="F164" s="1">
        <v>200</v>
      </c>
      <c r="G164" s="1">
        <v>1</v>
      </c>
      <c r="H164" s="1" t="s">
        <v>91</v>
      </c>
      <c r="I164" s="1" t="s">
        <v>79</v>
      </c>
      <c r="J164" s="1" t="s">
        <v>81</v>
      </c>
      <c r="K164" s="1" t="s">
        <v>74</v>
      </c>
      <c r="L164" s="1" t="s">
        <v>72</v>
      </c>
      <c r="M164" s="1" t="s">
        <v>75</v>
      </c>
      <c r="N164" s="1" t="s">
        <v>76</v>
      </c>
      <c r="O164" s="1" t="s">
        <v>77</v>
      </c>
      <c r="P164" s="1" t="s">
        <v>27</v>
      </c>
      <c r="Q164" s="1" t="s">
        <v>86</v>
      </c>
      <c r="R164" s="1" t="s">
        <v>94</v>
      </c>
      <c r="S164" s="1" t="s">
        <v>87</v>
      </c>
      <c r="T164" s="1" t="s">
        <v>88</v>
      </c>
      <c r="X164" s="1" t="s">
        <v>73</v>
      </c>
      <c r="Z164" s="1" t="s">
        <v>70</v>
      </c>
      <c r="AA164" s="1" t="s">
        <v>95</v>
      </c>
      <c r="AB164" s="1">
        <v>5</v>
      </c>
      <c r="AC164" s="1">
        <v>748773.62</v>
      </c>
      <c r="AD164" s="1">
        <v>8930598.3000000007</v>
      </c>
      <c r="AE164" s="1">
        <v>210.03</v>
      </c>
      <c r="AF164" s="1">
        <v>748773.62</v>
      </c>
      <c r="AG164" s="1">
        <v>8930598.3000000007</v>
      </c>
      <c r="AH164" s="1">
        <v>199.4</v>
      </c>
      <c r="AI164" s="1">
        <v>10.63</v>
      </c>
      <c r="AJ164" s="1">
        <v>0.6</v>
      </c>
      <c r="AK164" s="1">
        <v>2.97</v>
      </c>
      <c r="AL164" s="1">
        <v>2.58</v>
      </c>
      <c r="AM164" s="1">
        <v>0</v>
      </c>
      <c r="AN164" s="1">
        <v>0</v>
      </c>
      <c r="AO164" s="1">
        <v>279.95422539999998</v>
      </c>
      <c r="AP164" s="1">
        <v>3.32</v>
      </c>
      <c r="AQ164" s="1">
        <v>0.79</v>
      </c>
      <c r="AR164" s="1">
        <v>0.18</v>
      </c>
      <c r="AS164" s="1">
        <v>0.12</v>
      </c>
      <c r="AT164" s="1">
        <v>24.48</v>
      </c>
      <c r="AU164" s="1">
        <v>6.79</v>
      </c>
      <c r="AV164" s="1">
        <v>0.38</v>
      </c>
      <c r="AW164" s="1">
        <v>2.0499999999999998</v>
      </c>
      <c r="AX164" s="1">
        <v>7.9</v>
      </c>
      <c r="AY164" s="1">
        <v>0</v>
      </c>
      <c r="AZ164" s="1">
        <v>103.813</v>
      </c>
      <c r="BA164" s="1">
        <v>0</v>
      </c>
      <c r="BB164" s="1">
        <v>0</v>
      </c>
      <c r="BC164" s="1">
        <v>0</v>
      </c>
      <c r="BD164" s="1">
        <v>0</v>
      </c>
    </row>
    <row r="165" spans="1:56">
      <c r="A165" s="18">
        <v>46192</v>
      </c>
      <c r="B165" s="1">
        <v>164</v>
      </c>
      <c r="C165" s="1" t="s">
        <v>89</v>
      </c>
      <c r="D165" s="1" t="s">
        <v>90</v>
      </c>
      <c r="E165" s="1">
        <v>2</v>
      </c>
      <c r="F165" s="1">
        <v>200</v>
      </c>
      <c r="G165" s="1">
        <v>1</v>
      </c>
      <c r="H165" s="1" t="s">
        <v>91</v>
      </c>
      <c r="I165" s="1" t="s">
        <v>79</v>
      </c>
      <c r="J165" s="1" t="s">
        <v>81</v>
      </c>
      <c r="K165" s="1" t="s">
        <v>74</v>
      </c>
      <c r="L165" s="1" t="s">
        <v>72</v>
      </c>
      <c r="M165" s="1" t="s">
        <v>75</v>
      </c>
      <c r="N165" s="1" t="s">
        <v>76</v>
      </c>
      <c r="O165" s="1" t="s">
        <v>77</v>
      </c>
      <c r="P165" s="1" t="s">
        <v>27</v>
      </c>
      <c r="Q165" s="1" t="s">
        <v>86</v>
      </c>
      <c r="R165" s="1" t="s">
        <v>94</v>
      </c>
      <c r="S165" s="1" t="s">
        <v>87</v>
      </c>
      <c r="T165" s="1" t="s">
        <v>88</v>
      </c>
      <c r="X165" s="1" t="s">
        <v>73</v>
      </c>
      <c r="Z165" s="1" t="s">
        <v>70</v>
      </c>
      <c r="AA165" s="1" t="s">
        <v>95</v>
      </c>
      <c r="AB165" s="1">
        <v>5</v>
      </c>
      <c r="AC165" s="1">
        <v>748771.76</v>
      </c>
      <c r="AD165" s="1">
        <v>8930599.8599999994</v>
      </c>
      <c r="AE165" s="1">
        <v>210.12</v>
      </c>
      <c r="AF165" s="1">
        <v>748771.76</v>
      </c>
      <c r="AG165" s="1">
        <v>8930599.8599999994</v>
      </c>
      <c r="AH165" s="1">
        <v>199.4</v>
      </c>
      <c r="AI165" s="1">
        <v>10.72</v>
      </c>
      <c r="AJ165" s="1">
        <v>0.6</v>
      </c>
      <c r="AK165" s="1">
        <v>2.97</v>
      </c>
      <c r="AL165" s="1">
        <v>2.58</v>
      </c>
      <c r="AM165" s="1">
        <v>0</v>
      </c>
      <c r="AN165" s="1">
        <v>0</v>
      </c>
      <c r="AO165" s="1">
        <v>279.95422539999998</v>
      </c>
      <c r="AP165" s="1">
        <v>3.32</v>
      </c>
      <c r="AQ165" s="1">
        <v>0.8</v>
      </c>
      <c r="AR165" s="1">
        <v>0.17</v>
      </c>
      <c r="AS165" s="1">
        <v>0.12</v>
      </c>
      <c r="AT165" s="1">
        <v>24.7</v>
      </c>
      <c r="AU165" s="1">
        <v>6.95</v>
      </c>
      <c r="AV165" s="1">
        <v>0.42</v>
      </c>
      <c r="AW165" s="1">
        <v>1.93</v>
      </c>
      <c r="AX165" s="1">
        <v>7.82</v>
      </c>
      <c r="AY165" s="1">
        <v>0</v>
      </c>
      <c r="AZ165" s="1">
        <v>105.123</v>
      </c>
      <c r="BA165" s="1">
        <v>0</v>
      </c>
      <c r="BB165" s="1">
        <v>0</v>
      </c>
      <c r="BC165" s="1">
        <v>0</v>
      </c>
      <c r="BD165" s="1">
        <v>0</v>
      </c>
    </row>
    <row r="166" spans="1:56">
      <c r="A166" s="18">
        <v>46192</v>
      </c>
      <c r="B166" s="1">
        <v>165</v>
      </c>
      <c r="C166" s="1" t="s">
        <v>89</v>
      </c>
      <c r="D166" s="1" t="s">
        <v>90</v>
      </c>
      <c r="E166" s="1">
        <v>2</v>
      </c>
      <c r="F166" s="1">
        <v>200</v>
      </c>
      <c r="G166" s="1">
        <v>1</v>
      </c>
      <c r="H166" s="1" t="s">
        <v>91</v>
      </c>
      <c r="I166" s="1" t="s">
        <v>79</v>
      </c>
      <c r="J166" s="1" t="s">
        <v>81</v>
      </c>
      <c r="K166" s="1" t="s">
        <v>74</v>
      </c>
      <c r="L166" s="1" t="s">
        <v>72</v>
      </c>
      <c r="M166" s="1" t="s">
        <v>75</v>
      </c>
      <c r="N166" s="1" t="s">
        <v>76</v>
      </c>
      <c r="O166" s="1" t="s">
        <v>77</v>
      </c>
      <c r="P166" s="1" t="s">
        <v>27</v>
      </c>
      <c r="Q166" s="1" t="s">
        <v>86</v>
      </c>
      <c r="R166" s="1" t="s">
        <v>94</v>
      </c>
      <c r="S166" s="1" t="s">
        <v>87</v>
      </c>
      <c r="T166" s="1" t="s">
        <v>88</v>
      </c>
      <c r="X166" s="1" t="s">
        <v>73</v>
      </c>
      <c r="Z166" s="1" t="s">
        <v>70</v>
      </c>
      <c r="AA166" s="1" t="s">
        <v>95</v>
      </c>
      <c r="AB166" s="1">
        <v>5</v>
      </c>
      <c r="AC166" s="1">
        <v>748770.12</v>
      </c>
      <c r="AD166" s="1">
        <v>8930597.0600000005</v>
      </c>
      <c r="AE166" s="1">
        <v>210.01</v>
      </c>
      <c r="AF166" s="1">
        <v>748770.12</v>
      </c>
      <c r="AG166" s="1">
        <v>8930597.0600000005</v>
      </c>
      <c r="AH166" s="1">
        <v>199.4</v>
      </c>
      <c r="AI166" s="1">
        <v>10.61</v>
      </c>
      <c r="AJ166" s="1">
        <v>0.6</v>
      </c>
      <c r="AK166" s="1">
        <v>2.97</v>
      </c>
      <c r="AL166" s="1">
        <v>2.58</v>
      </c>
      <c r="AM166" s="1">
        <v>0</v>
      </c>
      <c r="AN166" s="1">
        <v>0</v>
      </c>
      <c r="AO166" s="1">
        <v>279.95422539999998</v>
      </c>
      <c r="AP166" s="1">
        <v>3.39</v>
      </c>
      <c r="AQ166" s="1">
        <v>0.84</v>
      </c>
      <c r="AR166" s="1">
        <v>0.18</v>
      </c>
      <c r="AS166" s="1">
        <v>0.12</v>
      </c>
      <c r="AT166" s="1">
        <v>24.92</v>
      </c>
      <c r="AU166" s="1">
        <v>6.24</v>
      </c>
      <c r="AV166" s="1">
        <v>0.39</v>
      </c>
      <c r="AW166" s="1">
        <v>2.14</v>
      </c>
      <c r="AX166" s="1">
        <v>7.44</v>
      </c>
      <c r="AY166" s="1">
        <v>0</v>
      </c>
      <c r="AZ166" s="1">
        <v>103.52200000000001</v>
      </c>
      <c r="BA166" s="1">
        <v>0</v>
      </c>
      <c r="BB166" s="1">
        <v>0</v>
      </c>
      <c r="BC166" s="1">
        <v>0</v>
      </c>
      <c r="BD166" s="1">
        <v>0</v>
      </c>
    </row>
    <row r="167" spans="1:56">
      <c r="A167" s="18">
        <v>46192</v>
      </c>
      <c r="B167" s="1">
        <v>166</v>
      </c>
      <c r="C167" s="1" t="s">
        <v>89</v>
      </c>
      <c r="D167" s="1" t="s">
        <v>90</v>
      </c>
      <c r="E167" s="1">
        <v>2</v>
      </c>
      <c r="F167" s="1">
        <v>200</v>
      </c>
      <c r="G167" s="1">
        <v>1</v>
      </c>
      <c r="H167" s="1" t="s">
        <v>91</v>
      </c>
      <c r="I167" s="1" t="s">
        <v>79</v>
      </c>
      <c r="J167" s="1" t="s">
        <v>81</v>
      </c>
      <c r="K167" s="1" t="s">
        <v>74</v>
      </c>
      <c r="L167" s="1" t="s">
        <v>72</v>
      </c>
      <c r="M167" s="1" t="s">
        <v>75</v>
      </c>
      <c r="N167" s="1" t="s">
        <v>76</v>
      </c>
      <c r="O167" s="1" t="s">
        <v>77</v>
      </c>
      <c r="P167" s="1" t="s">
        <v>27</v>
      </c>
      <c r="Q167" s="1" t="s">
        <v>86</v>
      </c>
      <c r="R167" s="1" t="s">
        <v>94</v>
      </c>
      <c r="S167" s="1" t="s">
        <v>87</v>
      </c>
      <c r="T167" s="1" t="s">
        <v>88</v>
      </c>
      <c r="X167" s="1" t="s">
        <v>73</v>
      </c>
      <c r="Z167" s="1" t="s">
        <v>70</v>
      </c>
      <c r="AA167" s="1" t="s">
        <v>95</v>
      </c>
      <c r="AB167" s="1">
        <v>5</v>
      </c>
      <c r="AC167" s="1">
        <v>748772.72</v>
      </c>
      <c r="AD167" s="1">
        <v>8930595.7200000007</v>
      </c>
      <c r="AE167" s="1">
        <v>209.97</v>
      </c>
      <c r="AF167" s="1">
        <v>748772.72</v>
      </c>
      <c r="AG167" s="1">
        <v>8930595.7200000007</v>
      </c>
      <c r="AH167" s="1">
        <v>199.4</v>
      </c>
      <c r="AI167" s="1">
        <v>10.57</v>
      </c>
      <c r="AJ167" s="1">
        <v>0.6</v>
      </c>
      <c r="AK167" s="1">
        <v>2.97</v>
      </c>
      <c r="AL167" s="1">
        <v>2.58</v>
      </c>
      <c r="AM167" s="1">
        <v>0</v>
      </c>
      <c r="AN167" s="1">
        <v>0</v>
      </c>
      <c r="AO167" s="1">
        <v>279.95422539999998</v>
      </c>
      <c r="AP167" s="1">
        <v>3.32</v>
      </c>
      <c r="AQ167" s="1">
        <v>0.79</v>
      </c>
      <c r="AR167" s="1">
        <v>0.19</v>
      </c>
      <c r="AS167" s="1">
        <v>0.12</v>
      </c>
      <c r="AT167" s="1">
        <v>24.51</v>
      </c>
      <c r="AU167" s="1">
        <v>6.78</v>
      </c>
      <c r="AV167" s="1">
        <v>0.38</v>
      </c>
      <c r="AW167" s="1">
        <v>2.08</v>
      </c>
      <c r="AX167" s="1">
        <v>7.91</v>
      </c>
      <c r="AY167" s="1">
        <v>0</v>
      </c>
      <c r="AZ167" s="1">
        <v>102.93899999999999</v>
      </c>
      <c r="BA167" s="1">
        <v>0</v>
      </c>
      <c r="BB167" s="1">
        <v>0</v>
      </c>
      <c r="BC167" s="1">
        <v>0</v>
      </c>
      <c r="BD167" s="1">
        <v>0</v>
      </c>
    </row>
    <row r="168" spans="1:56">
      <c r="A168" s="18">
        <v>46192</v>
      </c>
      <c r="B168" s="1">
        <v>167</v>
      </c>
      <c r="C168" s="1" t="s">
        <v>89</v>
      </c>
      <c r="D168" s="1" t="s">
        <v>90</v>
      </c>
      <c r="E168" s="1">
        <v>2</v>
      </c>
      <c r="F168" s="1">
        <v>200</v>
      </c>
      <c r="G168" s="1">
        <v>1</v>
      </c>
      <c r="H168" s="1" t="s">
        <v>91</v>
      </c>
      <c r="I168" s="1" t="s">
        <v>79</v>
      </c>
      <c r="J168" s="1" t="s">
        <v>81</v>
      </c>
      <c r="K168" s="1" t="s">
        <v>74</v>
      </c>
      <c r="L168" s="1" t="s">
        <v>72</v>
      </c>
      <c r="M168" s="1" t="s">
        <v>75</v>
      </c>
      <c r="N168" s="1" t="s">
        <v>76</v>
      </c>
      <c r="O168" s="1" t="s">
        <v>77</v>
      </c>
      <c r="P168" s="1" t="s">
        <v>27</v>
      </c>
      <c r="Q168" s="1" t="s">
        <v>86</v>
      </c>
      <c r="R168" s="1" t="s">
        <v>94</v>
      </c>
      <c r="S168" s="1" t="s">
        <v>87</v>
      </c>
      <c r="T168" s="1" t="s">
        <v>88</v>
      </c>
      <c r="X168" s="1" t="s">
        <v>73</v>
      </c>
      <c r="Z168" s="1" t="s">
        <v>70</v>
      </c>
      <c r="AA168" s="1" t="s">
        <v>95</v>
      </c>
      <c r="AB168" s="1">
        <v>5</v>
      </c>
      <c r="AC168" s="1">
        <v>748775.05</v>
      </c>
      <c r="AD168" s="1">
        <v>8930593.8699999992</v>
      </c>
      <c r="AE168" s="1">
        <v>209.81</v>
      </c>
      <c r="AF168" s="1">
        <v>748775.05</v>
      </c>
      <c r="AG168" s="1">
        <v>8930593.8699999992</v>
      </c>
      <c r="AH168" s="1">
        <v>199.4</v>
      </c>
      <c r="AI168" s="1">
        <v>10.41</v>
      </c>
      <c r="AJ168" s="1">
        <v>0.6</v>
      </c>
      <c r="AK168" s="1">
        <v>2.97</v>
      </c>
      <c r="AL168" s="1">
        <v>2.58</v>
      </c>
      <c r="AM168" s="1">
        <v>0</v>
      </c>
      <c r="AN168" s="1">
        <v>0</v>
      </c>
      <c r="AO168" s="1">
        <v>279.95422539999998</v>
      </c>
      <c r="AP168" s="1">
        <v>3.32</v>
      </c>
      <c r="AQ168" s="1">
        <v>0.79</v>
      </c>
      <c r="AR168" s="1">
        <v>0.19</v>
      </c>
      <c r="AS168" s="1">
        <v>0.12</v>
      </c>
      <c r="AT168" s="1">
        <v>24.51</v>
      </c>
      <c r="AU168" s="1">
        <v>6.78</v>
      </c>
      <c r="AV168" s="1">
        <v>0.38</v>
      </c>
      <c r="AW168" s="1">
        <v>2.08</v>
      </c>
      <c r="AX168" s="1">
        <v>7.9</v>
      </c>
      <c r="AY168" s="1">
        <v>0</v>
      </c>
      <c r="AZ168" s="1">
        <v>100.61</v>
      </c>
      <c r="BA168" s="1">
        <v>0</v>
      </c>
      <c r="BB168" s="1">
        <v>0</v>
      </c>
      <c r="BC168" s="1">
        <v>0</v>
      </c>
      <c r="BD168" s="1">
        <v>0</v>
      </c>
    </row>
    <row r="169" spans="1:56">
      <c r="A169" s="18">
        <v>46192</v>
      </c>
      <c r="B169" s="1">
        <v>168</v>
      </c>
      <c r="C169" s="1" t="s">
        <v>89</v>
      </c>
      <c r="D169" s="1" t="s">
        <v>90</v>
      </c>
      <c r="E169" s="1">
        <v>2</v>
      </c>
      <c r="F169" s="1">
        <v>200</v>
      </c>
      <c r="G169" s="1">
        <v>1</v>
      </c>
      <c r="H169" s="1" t="s">
        <v>91</v>
      </c>
      <c r="I169" s="1" t="s">
        <v>79</v>
      </c>
      <c r="J169" s="1" t="s">
        <v>81</v>
      </c>
      <c r="K169" s="1" t="s">
        <v>74</v>
      </c>
      <c r="L169" s="1" t="s">
        <v>72</v>
      </c>
      <c r="M169" s="1" t="s">
        <v>75</v>
      </c>
      <c r="N169" s="1" t="s">
        <v>76</v>
      </c>
      <c r="O169" s="1" t="s">
        <v>77</v>
      </c>
      <c r="P169" s="1" t="s">
        <v>27</v>
      </c>
      <c r="Q169" s="1" t="s">
        <v>86</v>
      </c>
      <c r="R169" s="1" t="s">
        <v>94</v>
      </c>
      <c r="S169" s="1" t="s">
        <v>87</v>
      </c>
      <c r="T169" s="1" t="s">
        <v>88</v>
      </c>
      <c r="X169" s="1" t="s">
        <v>73</v>
      </c>
      <c r="Z169" s="1" t="s">
        <v>70</v>
      </c>
      <c r="AA169" s="1" t="s">
        <v>95</v>
      </c>
      <c r="AB169" s="1">
        <v>5</v>
      </c>
      <c r="AC169" s="1">
        <v>748777.37</v>
      </c>
      <c r="AD169" s="1">
        <v>8930592.0299999993</v>
      </c>
      <c r="AE169" s="1">
        <v>209.74</v>
      </c>
      <c r="AF169" s="1">
        <v>748777.37</v>
      </c>
      <c r="AG169" s="1">
        <v>8930592.0299999993</v>
      </c>
      <c r="AH169" s="1">
        <v>199.4</v>
      </c>
      <c r="AI169" s="1">
        <v>10.34</v>
      </c>
      <c r="AJ169" s="1">
        <v>0.6</v>
      </c>
      <c r="AK169" s="1">
        <v>2.97</v>
      </c>
      <c r="AL169" s="1">
        <v>2.58</v>
      </c>
      <c r="AM169" s="1">
        <v>0</v>
      </c>
      <c r="AN169" s="1">
        <v>0</v>
      </c>
      <c r="AO169" s="1">
        <v>279.95422539999998</v>
      </c>
      <c r="AP169" s="1">
        <v>3.32</v>
      </c>
      <c r="AQ169" s="1">
        <v>0.79</v>
      </c>
      <c r="AR169" s="1">
        <v>0.19</v>
      </c>
      <c r="AS169" s="1">
        <v>0.12</v>
      </c>
      <c r="AT169" s="1">
        <v>24.5</v>
      </c>
      <c r="AU169" s="1">
        <v>6.77</v>
      </c>
      <c r="AV169" s="1">
        <v>0.38</v>
      </c>
      <c r="AW169" s="1">
        <v>2.08</v>
      </c>
      <c r="AX169" s="1">
        <v>7.9</v>
      </c>
      <c r="AY169" s="1">
        <v>0</v>
      </c>
      <c r="AZ169" s="1">
        <v>99.59</v>
      </c>
      <c r="BA169" s="1">
        <v>0</v>
      </c>
      <c r="BB169" s="1">
        <v>0</v>
      </c>
      <c r="BC169" s="1">
        <v>0</v>
      </c>
      <c r="BD169" s="1">
        <v>0</v>
      </c>
    </row>
    <row r="170" spans="1:56">
      <c r="A170" s="18">
        <v>46192</v>
      </c>
      <c r="B170" s="1">
        <v>169</v>
      </c>
      <c r="C170" s="1" t="s">
        <v>89</v>
      </c>
      <c r="D170" s="1" t="s">
        <v>90</v>
      </c>
      <c r="E170" s="1">
        <v>2</v>
      </c>
      <c r="F170" s="1">
        <v>200</v>
      </c>
      <c r="G170" s="1">
        <v>1</v>
      </c>
      <c r="H170" s="1" t="s">
        <v>91</v>
      </c>
      <c r="I170" s="1" t="s">
        <v>79</v>
      </c>
      <c r="J170" s="1" t="s">
        <v>81</v>
      </c>
      <c r="K170" s="1" t="s">
        <v>74</v>
      </c>
      <c r="L170" s="1" t="s">
        <v>72</v>
      </c>
      <c r="M170" s="1" t="s">
        <v>75</v>
      </c>
      <c r="N170" s="1" t="s">
        <v>76</v>
      </c>
      <c r="O170" s="1" t="s">
        <v>77</v>
      </c>
      <c r="P170" s="1" t="s">
        <v>27</v>
      </c>
      <c r="Q170" s="1" t="s">
        <v>86</v>
      </c>
      <c r="R170" s="1" t="s">
        <v>94</v>
      </c>
      <c r="S170" s="1" t="s">
        <v>87</v>
      </c>
      <c r="T170" s="1" t="s">
        <v>88</v>
      </c>
      <c r="X170" s="1" t="s">
        <v>73</v>
      </c>
      <c r="Z170" s="1" t="s">
        <v>70</v>
      </c>
      <c r="AA170" s="1" t="s">
        <v>95</v>
      </c>
      <c r="AB170" s="1">
        <v>5</v>
      </c>
      <c r="AC170" s="1">
        <v>748779.7</v>
      </c>
      <c r="AD170" s="1">
        <v>8930590.1799999997</v>
      </c>
      <c r="AE170" s="1">
        <v>209.96</v>
      </c>
      <c r="AF170" s="1">
        <v>748779.7</v>
      </c>
      <c r="AG170" s="1">
        <v>8930590.1799999997</v>
      </c>
      <c r="AH170" s="1">
        <v>199.4</v>
      </c>
      <c r="AI170" s="1">
        <v>10.56</v>
      </c>
      <c r="AJ170" s="1">
        <v>0.6</v>
      </c>
      <c r="AK170" s="1">
        <v>2.97</v>
      </c>
      <c r="AL170" s="1">
        <v>2.58</v>
      </c>
      <c r="AM170" s="1">
        <v>0</v>
      </c>
      <c r="AN170" s="1">
        <v>0</v>
      </c>
      <c r="AO170" s="1">
        <v>279.95422539999998</v>
      </c>
      <c r="AP170" s="1">
        <v>3.36</v>
      </c>
      <c r="AQ170" s="1">
        <v>0.78</v>
      </c>
      <c r="AR170" s="1">
        <v>0.17</v>
      </c>
      <c r="AS170" s="1">
        <v>0.12</v>
      </c>
      <c r="AT170" s="1">
        <v>23.89</v>
      </c>
      <c r="AU170" s="1">
        <v>6.91</v>
      </c>
      <c r="AV170" s="1">
        <v>0.37</v>
      </c>
      <c r="AW170" s="1">
        <v>2.12</v>
      </c>
      <c r="AX170" s="1">
        <v>7.86</v>
      </c>
      <c r="AY170" s="1">
        <v>0</v>
      </c>
      <c r="AZ170" s="1">
        <v>102.794</v>
      </c>
      <c r="BA170" s="1">
        <v>0</v>
      </c>
      <c r="BB170" s="1">
        <v>0</v>
      </c>
      <c r="BC170" s="1">
        <v>0</v>
      </c>
      <c r="BD170" s="1">
        <v>0</v>
      </c>
    </row>
    <row r="171" spans="1:56">
      <c r="A171" s="18">
        <v>46192</v>
      </c>
      <c r="B171" s="1">
        <v>170</v>
      </c>
      <c r="C171" s="1" t="s">
        <v>89</v>
      </c>
      <c r="D171" s="1" t="s">
        <v>90</v>
      </c>
      <c r="E171" s="1">
        <v>2</v>
      </c>
      <c r="F171" s="1">
        <v>200</v>
      </c>
      <c r="G171" s="1">
        <v>1</v>
      </c>
      <c r="H171" s="1" t="s">
        <v>91</v>
      </c>
      <c r="I171" s="1" t="s">
        <v>79</v>
      </c>
      <c r="J171" s="1" t="s">
        <v>81</v>
      </c>
      <c r="K171" s="1" t="s">
        <v>74</v>
      </c>
      <c r="L171" s="1" t="s">
        <v>72</v>
      </c>
      <c r="M171" s="1" t="s">
        <v>75</v>
      </c>
      <c r="N171" s="1" t="s">
        <v>76</v>
      </c>
      <c r="O171" s="1" t="s">
        <v>77</v>
      </c>
      <c r="P171" s="1" t="s">
        <v>27</v>
      </c>
      <c r="Q171" s="1" t="s">
        <v>86</v>
      </c>
      <c r="R171" s="1" t="s">
        <v>94</v>
      </c>
      <c r="S171" s="1" t="s">
        <v>87</v>
      </c>
      <c r="T171" s="1" t="s">
        <v>88</v>
      </c>
      <c r="X171" s="1" t="s">
        <v>73</v>
      </c>
      <c r="Z171" s="1" t="s">
        <v>70</v>
      </c>
      <c r="AA171" s="1" t="s">
        <v>95</v>
      </c>
      <c r="AB171" s="1">
        <v>5</v>
      </c>
      <c r="AC171" s="1">
        <v>748782.03</v>
      </c>
      <c r="AD171" s="1">
        <v>8930588.3300000001</v>
      </c>
      <c r="AE171" s="1">
        <v>210.1</v>
      </c>
      <c r="AF171" s="1">
        <v>748782.03</v>
      </c>
      <c r="AG171" s="1">
        <v>8930588.3300000001</v>
      </c>
      <c r="AH171" s="1">
        <v>199.4</v>
      </c>
      <c r="AI171" s="1">
        <v>10.7</v>
      </c>
      <c r="AJ171" s="1">
        <v>0.6</v>
      </c>
      <c r="AK171" s="1">
        <v>2.97</v>
      </c>
      <c r="AL171" s="1">
        <v>2.58</v>
      </c>
      <c r="AM171" s="1">
        <v>0</v>
      </c>
      <c r="AN171" s="1">
        <v>0</v>
      </c>
      <c r="AO171" s="1">
        <v>279.95422539999998</v>
      </c>
      <c r="AP171" s="1">
        <v>3.37</v>
      </c>
      <c r="AQ171" s="1">
        <v>0.79</v>
      </c>
      <c r="AR171" s="1">
        <v>0.14000000000000001</v>
      </c>
      <c r="AS171" s="1">
        <v>0.12</v>
      </c>
      <c r="AT171" s="1">
        <v>23.13</v>
      </c>
      <c r="AU171" s="1">
        <v>7.05</v>
      </c>
      <c r="AV171" s="1">
        <v>0.39</v>
      </c>
      <c r="AW171" s="1">
        <v>2.0299999999999998</v>
      </c>
      <c r="AX171" s="1">
        <v>6.52</v>
      </c>
      <c r="AY171" s="1">
        <v>0</v>
      </c>
      <c r="AZ171" s="1">
        <v>104.83199999999999</v>
      </c>
      <c r="BA171" s="1">
        <v>0</v>
      </c>
      <c r="BB171" s="1">
        <v>0</v>
      </c>
      <c r="BC171" s="1">
        <v>0</v>
      </c>
      <c r="BD171" s="1">
        <v>0</v>
      </c>
    </row>
    <row r="172" spans="1:56">
      <c r="A172" s="18">
        <v>46192</v>
      </c>
      <c r="B172" s="1">
        <v>171</v>
      </c>
      <c r="C172" s="1" t="s">
        <v>89</v>
      </c>
      <c r="D172" s="1" t="s">
        <v>90</v>
      </c>
      <c r="E172" s="1">
        <v>2</v>
      </c>
      <c r="F172" s="1">
        <v>200</v>
      </c>
      <c r="G172" s="1">
        <v>1</v>
      </c>
      <c r="H172" s="1" t="s">
        <v>91</v>
      </c>
      <c r="I172" s="1" t="s">
        <v>79</v>
      </c>
      <c r="J172" s="1" t="s">
        <v>81</v>
      </c>
      <c r="K172" s="1" t="s">
        <v>74</v>
      </c>
      <c r="L172" s="1" t="s">
        <v>72</v>
      </c>
      <c r="M172" s="1" t="s">
        <v>75</v>
      </c>
      <c r="N172" s="1" t="s">
        <v>76</v>
      </c>
      <c r="O172" s="1" t="s">
        <v>77</v>
      </c>
      <c r="P172" s="1" t="s">
        <v>27</v>
      </c>
      <c r="Q172" s="1" t="s">
        <v>86</v>
      </c>
      <c r="R172" s="1" t="s">
        <v>94</v>
      </c>
      <c r="S172" s="1" t="s">
        <v>87</v>
      </c>
      <c r="T172" s="1" t="s">
        <v>88</v>
      </c>
      <c r="X172" s="1" t="s">
        <v>73</v>
      </c>
      <c r="Z172" s="1" t="s">
        <v>70</v>
      </c>
      <c r="AA172" s="1" t="s">
        <v>95</v>
      </c>
      <c r="AB172" s="1">
        <v>5</v>
      </c>
      <c r="AC172" s="1">
        <v>748784.35</v>
      </c>
      <c r="AD172" s="1">
        <v>8930586.4900000002</v>
      </c>
      <c r="AE172" s="1">
        <v>210.26</v>
      </c>
      <c r="AF172" s="1">
        <v>748784.35</v>
      </c>
      <c r="AG172" s="1">
        <v>8930586.4900000002</v>
      </c>
      <c r="AH172" s="1">
        <v>199.4</v>
      </c>
      <c r="AI172" s="1">
        <v>10.86</v>
      </c>
      <c r="AJ172" s="1">
        <v>0.6</v>
      </c>
      <c r="AK172" s="1">
        <v>2.97</v>
      </c>
      <c r="AL172" s="1">
        <v>2.58</v>
      </c>
      <c r="AM172" s="1">
        <v>0</v>
      </c>
      <c r="AN172" s="1">
        <v>0</v>
      </c>
      <c r="AO172" s="1">
        <v>279.95422539999998</v>
      </c>
      <c r="AP172" s="1">
        <v>3.37</v>
      </c>
      <c r="AQ172" s="1">
        <v>0.79</v>
      </c>
      <c r="AR172" s="1">
        <v>0.13</v>
      </c>
      <c r="AS172" s="1">
        <v>0.12</v>
      </c>
      <c r="AT172" s="1">
        <v>23.03</v>
      </c>
      <c r="AU172" s="1">
        <v>7.01</v>
      </c>
      <c r="AV172" s="1">
        <v>0.39</v>
      </c>
      <c r="AW172" s="1">
        <v>2.0099999999999998</v>
      </c>
      <c r="AX172" s="1">
        <v>6.45</v>
      </c>
      <c r="AY172" s="1">
        <v>0</v>
      </c>
      <c r="AZ172" s="1">
        <v>107.16200000000001</v>
      </c>
      <c r="BA172" s="1">
        <v>0</v>
      </c>
      <c r="BB172" s="1">
        <v>0</v>
      </c>
      <c r="BC172" s="1">
        <v>0</v>
      </c>
      <c r="BD172" s="1">
        <v>0</v>
      </c>
    </row>
    <row r="173" spans="1:56">
      <c r="A173" s="18">
        <v>46192</v>
      </c>
      <c r="B173" s="1">
        <v>172</v>
      </c>
      <c r="C173" s="1" t="s">
        <v>89</v>
      </c>
      <c r="D173" s="1" t="s">
        <v>90</v>
      </c>
      <c r="E173" s="1">
        <v>2</v>
      </c>
      <c r="F173" s="1">
        <v>200</v>
      </c>
      <c r="G173" s="1">
        <v>1</v>
      </c>
      <c r="H173" s="1" t="s">
        <v>91</v>
      </c>
      <c r="I173" s="1" t="s">
        <v>79</v>
      </c>
      <c r="J173" s="1" t="s">
        <v>81</v>
      </c>
      <c r="K173" s="1" t="s">
        <v>74</v>
      </c>
      <c r="L173" s="1" t="s">
        <v>72</v>
      </c>
      <c r="M173" s="1" t="s">
        <v>75</v>
      </c>
      <c r="N173" s="1" t="s">
        <v>76</v>
      </c>
      <c r="O173" s="1" t="s">
        <v>77</v>
      </c>
      <c r="P173" s="1" t="s">
        <v>27</v>
      </c>
      <c r="Q173" s="1" t="s">
        <v>86</v>
      </c>
      <c r="R173" s="1" t="s">
        <v>94</v>
      </c>
      <c r="S173" s="1" t="s">
        <v>87</v>
      </c>
      <c r="T173" s="1" t="s">
        <v>88</v>
      </c>
      <c r="X173" s="1" t="s">
        <v>73</v>
      </c>
      <c r="Z173" s="1" t="s">
        <v>70</v>
      </c>
      <c r="AA173" s="1" t="s">
        <v>95</v>
      </c>
      <c r="AB173" s="1">
        <v>5</v>
      </c>
      <c r="AC173" s="1">
        <v>748786.66</v>
      </c>
      <c r="AD173" s="1">
        <v>8930584.6099999994</v>
      </c>
      <c r="AE173" s="1">
        <v>210.44</v>
      </c>
      <c r="AF173" s="1">
        <v>748786.66</v>
      </c>
      <c r="AG173" s="1">
        <v>8930584.6099999994</v>
      </c>
      <c r="AH173" s="1">
        <v>199.4</v>
      </c>
      <c r="AI173" s="1">
        <v>11.04</v>
      </c>
      <c r="AJ173" s="1">
        <v>0.6</v>
      </c>
      <c r="AK173" s="1">
        <v>2.97</v>
      </c>
      <c r="AL173" s="1">
        <v>2.58</v>
      </c>
      <c r="AM173" s="1">
        <v>0</v>
      </c>
      <c r="AN173" s="1">
        <v>0</v>
      </c>
      <c r="AO173" s="1">
        <v>279.95422539999998</v>
      </c>
      <c r="AP173" s="1">
        <v>3.36</v>
      </c>
      <c r="AQ173" s="1">
        <v>0.79</v>
      </c>
      <c r="AR173" s="1">
        <v>0.13</v>
      </c>
      <c r="AS173" s="1">
        <v>0.12</v>
      </c>
      <c r="AT173" s="1">
        <v>23.16</v>
      </c>
      <c r="AU173" s="1">
        <v>6.97</v>
      </c>
      <c r="AV173" s="1">
        <v>0.39</v>
      </c>
      <c r="AW173" s="1">
        <v>2.0099999999999998</v>
      </c>
      <c r="AX173" s="1">
        <v>6.5</v>
      </c>
      <c r="AY173" s="1">
        <v>0</v>
      </c>
      <c r="AZ173" s="1">
        <v>109.782</v>
      </c>
      <c r="BA173" s="1">
        <v>0</v>
      </c>
      <c r="BB173" s="1">
        <v>0</v>
      </c>
      <c r="BC173" s="1">
        <v>0</v>
      </c>
      <c r="BD173" s="1">
        <v>0</v>
      </c>
    </row>
    <row r="174" spans="1:56">
      <c r="A174" s="18">
        <v>46192</v>
      </c>
      <c r="B174" s="1">
        <v>173</v>
      </c>
      <c r="C174" s="1" t="s">
        <v>89</v>
      </c>
      <c r="D174" s="1" t="s">
        <v>90</v>
      </c>
      <c r="E174" s="1">
        <v>2</v>
      </c>
      <c r="F174" s="1">
        <v>200</v>
      </c>
      <c r="G174" s="1">
        <v>1</v>
      </c>
      <c r="H174" s="1" t="s">
        <v>91</v>
      </c>
      <c r="I174" s="1" t="s">
        <v>79</v>
      </c>
      <c r="J174" s="1" t="s">
        <v>81</v>
      </c>
      <c r="K174" s="1" t="s">
        <v>74</v>
      </c>
      <c r="L174" s="1" t="s">
        <v>72</v>
      </c>
      <c r="M174" s="1" t="s">
        <v>75</v>
      </c>
      <c r="N174" s="1" t="s">
        <v>76</v>
      </c>
      <c r="O174" s="1" t="s">
        <v>77</v>
      </c>
      <c r="P174" s="1" t="s">
        <v>27</v>
      </c>
      <c r="Q174" s="1" t="s">
        <v>86</v>
      </c>
      <c r="R174" s="1" t="s">
        <v>94</v>
      </c>
      <c r="S174" s="1" t="s">
        <v>87</v>
      </c>
      <c r="T174" s="1" t="s">
        <v>88</v>
      </c>
      <c r="X174" s="1" t="s">
        <v>73</v>
      </c>
      <c r="Z174" s="1" t="s">
        <v>70</v>
      </c>
      <c r="AA174" s="1" t="s">
        <v>95</v>
      </c>
      <c r="AB174" s="1">
        <v>5</v>
      </c>
      <c r="AC174" s="1">
        <v>748788.91</v>
      </c>
      <c r="AD174" s="1">
        <v>8930582.6799999997</v>
      </c>
      <c r="AE174" s="1">
        <v>210.38</v>
      </c>
      <c r="AF174" s="1">
        <v>748788.91</v>
      </c>
      <c r="AG174" s="1">
        <v>8930582.6799999997</v>
      </c>
      <c r="AH174" s="1">
        <v>199.4</v>
      </c>
      <c r="AI174" s="1">
        <v>10.98</v>
      </c>
      <c r="AJ174" s="1">
        <v>0.6</v>
      </c>
      <c r="AK174" s="1">
        <v>2.97</v>
      </c>
      <c r="AL174" s="1">
        <v>2.58</v>
      </c>
      <c r="AM174" s="1">
        <v>0</v>
      </c>
      <c r="AN174" s="1">
        <v>0</v>
      </c>
      <c r="AO174" s="1">
        <v>279.95422539999998</v>
      </c>
      <c r="AP174" s="1">
        <v>3.34</v>
      </c>
      <c r="AQ174" s="1">
        <v>0.78</v>
      </c>
      <c r="AR174" s="1">
        <v>0.13</v>
      </c>
      <c r="AS174" s="1">
        <v>0.12</v>
      </c>
      <c r="AT174" s="1">
        <v>23.09</v>
      </c>
      <c r="AU174" s="1">
        <v>6.59</v>
      </c>
      <c r="AV174" s="1">
        <v>0.38</v>
      </c>
      <c r="AW174" s="1">
        <v>2.02</v>
      </c>
      <c r="AX174" s="1">
        <v>6.73</v>
      </c>
      <c r="AY174" s="1">
        <v>0</v>
      </c>
      <c r="AZ174" s="1">
        <v>108.90900000000001</v>
      </c>
      <c r="BA174" s="1">
        <v>0</v>
      </c>
      <c r="BB174" s="1">
        <v>0</v>
      </c>
      <c r="BC174" s="1">
        <v>0</v>
      </c>
      <c r="BD174" s="1">
        <v>0</v>
      </c>
    </row>
    <row r="175" spans="1:56">
      <c r="A175" s="18">
        <v>46192</v>
      </c>
      <c r="B175" s="1">
        <v>174</v>
      </c>
      <c r="C175" s="1" t="s">
        <v>89</v>
      </c>
      <c r="D175" s="1" t="s">
        <v>90</v>
      </c>
      <c r="E175" s="1">
        <v>2</v>
      </c>
      <c r="F175" s="1">
        <v>200</v>
      </c>
      <c r="G175" s="1">
        <v>1</v>
      </c>
      <c r="H175" s="1" t="s">
        <v>91</v>
      </c>
      <c r="I175" s="1" t="s">
        <v>79</v>
      </c>
      <c r="J175" s="1" t="s">
        <v>80</v>
      </c>
      <c r="K175" s="1" t="s">
        <v>74</v>
      </c>
      <c r="L175" s="1" t="s">
        <v>72</v>
      </c>
      <c r="M175" s="1" t="s">
        <v>75</v>
      </c>
      <c r="N175" s="1" t="s">
        <v>76</v>
      </c>
      <c r="O175" s="1" t="s">
        <v>77</v>
      </c>
      <c r="P175" s="1" t="s">
        <v>27</v>
      </c>
      <c r="Q175" s="1" t="s">
        <v>86</v>
      </c>
      <c r="R175" s="1" t="s">
        <v>94</v>
      </c>
      <c r="S175" s="1" t="s">
        <v>87</v>
      </c>
      <c r="T175" s="1" t="s">
        <v>88</v>
      </c>
      <c r="X175" s="1" t="s">
        <v>73</v>
      </c>
      <c r="Z175" s="1" t="s">
        <v>70</v>
      </c>
      <c r="AA175" s="1" t="s">
        <v>95</v>
      </c>
      <c r="AB175" s="1">
        <v>5</v>
      </c>
      <c r="AC175" s="1">
        <v>748791.16</v>
      </c>
      <c r="AD175" s="1">
        <v>8930580.7400000002</v>
      </c>
      <c r="AE175" s="1">
        <v>210.43</v>
      </c>
      <c r="AF175" s="1">
        <v>748791.16</v>
      </c>
      <c r="AG175" s="1">
        <v>8930580.7400000002</v>
      </c>
      <c r="AH175" s="1">
        <v>199.4</v>
      </c>
      <c r="AI175" s="1">
        <v>11.03</v>
      </c>
      <c r="AJ175" s="1">
        <v>0.6</v>
      </c>
      <c r="AK175" s="1">
        <v>2.97</v>
      </c>
      <c r="AL175" s="1">
        <v>2.58</v>
      </c>
      <c r="AM175" s="1">
        <v>0</v>
      </c>
      <c r="AN175" s="1">
        <v>0</v>
      </c>
      <c r="AO175" s="1">
        <v>279.95422539999998</v>
      </c>
      <c r="AP175" s="1">
        <v>3.36</v>
      </c>
      <c r="AQ175" s="1">
        <v>0.68</v>
      </c>
      <c r="AR175" s="1">
        <v>0.12</v>
      </c>
      <c r="AS175" s="1">
        <v>0.1</v>
      </c>
      <c r="AT175" s="1">
        <v>21.65</v>
      </c>
      <c r="AU175" s="1">
        <v>5.56</v>
      </c>
      <c r="AV175" s="1">
        <v>0.32</v>
      </c>
      <c r="AW175" s="1">
        <v>1.95</v>
      </c>
      <c r="AX175" s="1">
        <v>7.53</v>
      </c>
      <c r="AY175" s="1">
        <v>0</v>
      </c>
      <c r="AZ175" s="1">
        <v>109.637</v>
      </c>
      <c r="BA175" s="1">
        <v>0</v>
      </c>
      <c r="BB175" s="1">
        <v>0</v>
      </c>
      <c r="BC175" s="1">
        <v>0</v>
      </c>
      <c r="BD175" s="1">
        <v>0</v>
      </c>
    </row>
    <row r="176" spans="1:56">
      <c r="A176" s="18">
        <v>46192</v>
      </c>
      <c r="B176" s="1">
        <v>175</v>
      </c>
      <c r="C176" s="1" t="s">
        <v>89</v>
      </c>
      <c r="D176" s="1" t="s">
        <v>90</v>
      </c>
      <c r="E176" s="1">
        <v>2</v>
      </c>
      <c r="F176" s="1">
        <v>200</v>
      </c>
      <c r="G176" s="1">
        <v>1</v>
      </c>
      <c r="H176" s="1" t="s">
        <v>91</v>
      </c>
      <c r="I176" s="1" t="s">
        <v>79</v>
      </c>
      <c r="J176" s="1" t="s">
        <v>80</v>
      </c>
      <c r="K176" s="1" t="s">
        <v>74</v>
      </c>
      <c r="L176" s="1" t="s">
        <v>72</v>
      </c>
      <c r="M176" s="1" t="s">
        <v>75</v>
      </c>
      <c r="N176" s="1" t="s">
        <v>76</v>
      </c>
      <c r="O176" s="1" t="s">
        <v>77</v>
      </c>
      <c r="P176" s="1" t="s">
        <v>27</v>
      </c>
      <c r="Q176" s="1" t="s">
        <v>86</v>
      </c>
      <c r="R176" s="1" t="s">
        <v>94</v>
      </c>
      <c r="S176" s="1" t="s">
        <v>87</v>
      </c>
      <c r="T176" s="1" t="s">
        <v>88</v>
      </c>
      <c r="X176" s="1" t="s">
        <v>73</v>
      </c>
      <c r="Z176" s="1" t="s">
        <v>70</v>
      </c>
      <c r="AA176" s="1" t="s">
        <v>95</v>
      </c>
      <c r="AB176" s="1">
        <v>5</v>
      </c>
      <c r="AC176" s="1">
        <v>748793.41</v>
      </c>
      <c r="AD176" s="1">
        <v>8930578.8000000007</v>
      </c>
      <c r="AE176" s="1">
        <v>210.56</v>
      </c>
      <c r="AF176" s="1">
        <v>748793.41</v>
      </c>
      <c r="AG176" s="1">
        <v>8930578.8000000007</v>
      </c>
      <c r="AH176" s="1">
        <v>199.4</v>
      </c>
      <c r="AI176" s="1">
        <v>11.16</v>
      </c>
      <c r="AJ176" s="1">
        <v>0.6</v>
      </c>
      <c r="AK176" s="1">
        <v>2.97</v>
      </c>
      <c r="AL176" s="1">
        <v>2.58</v>
      </c>
      <c r="AM176" s="1">
        <v>0</v>
      </c>
      <c r="AN176" s="1">
        <v>0</v>
      </c>
      <c r="AO176" s="1">
        <v>279.95422539999998</v>
      </c>
      <c r="AP176" s="1">
        <v>3.37</v>
      </c>
      <c r="AQ176" s="1">
        <v>0.57999999999999996</v>
      </c>
      <c r="AR176" s="1">
        <v>0.1</v>
      </c>
      <c r="AS176" s="1">
        <v>0.09</v>
      </c>
      <c r="AT176" s="1">
        <v>20.88</v>
      </c>
      <c r="AU176" s="1">
        <v>5.32</v>
      </c>
      <c r="AV176" s="1">
        <v>0.3</v>
      </c>
      <c r="AW176" s="1">
        <v>1.84</v>
      </c>
      <c r="AX176" s="1">
        <v>7.71</v>
      </c>
      <c r="AY176" s="1">
        <v>0</v>
      </c>
      <c r="AZ176" s="1">
        <v>111.53</v>
      </c>
      <c r="BA176" s="1">
        <v>0</v>
      </c>
      <c r="BB176" s="1">
        <v>0</v>
      </c>
      <c r="BC176" s="1">
        <v>0</v>
      </c>
      <c r="BD176" s="1">
        <v>0</v>
      </c>
    </row>
    <row r="177" spans="1:56">
      <c r="A177" s="18">
        <v>46192</v>
      </c>
      <c r="B177" s="1">
        <v>176</v>
      </c>
      <c r="C177" s="1" t="s">
        <v>89</v>
      </c>
      <c r="D177" s="1" t="s">
        <v>90</v>
      </c>
      <c r="E177" s="1">
        <v>2</v>
      </c>
      <c r="F177" s="1">
        <v>200</v>
      </c>
      <c r="G177" s="1">
        <v>1</v>
      </c>
      <c r="H177" s="1" t="s">
        <v>91</v>
      </c>
      <c r="I177" s="1" t="s">
        <v>79</v>
      </c>
      <c r="J177" s="1" t="s">
        <v>80</v>
      </c>
      <c r="K177" s="1" t="s">
        <v>74</v>
      </c>
      <c r="L177" s="1" t="s">
        <v>72</v>
      </c>
      <c r="M177" s="1" t="s">
        <v>75</v>
      </c>
      <c r="N177" s="1" t="s">
        <v>76</v>
      </c>
      <c r="O177" s="1" t="s">
        <v>77</v>
      </c>
      <c r="P177" s="1" t="s">
        <v>27</v>
      </c>
      <c r="Q177" s="1" t="s">
        <v>86</v>
      </c>
      <c r="R177" s="1" t="s">
        <v>94</v>
      </c>
      <c r="S177" s="1" t="s">
        <v>87</v>
      </c>
      <c r="T177" s="1" t="s">
        <v>88</v>
      </c>
      <c r="X177" s="1" t="s">
        <v>73</v>
      </c>
      <c r="Z177" s="1" t="s">
        <v>70</v>
      </c>
      <c r="AA177" s="1" t="s">
        <v>95</v>
      </c>
      <c r="AB177" s="1">
        <v>5</v>
      </c>
      <c r="AC177" s="1">
        <v>748795.66</v>
      </c>
      <c r="AD177" s="1">
        <v>8930576.8599999994</v>
      </c>
      <c r="AE177" s="1">
        <v>210.79</v>
      </c>
      <c r="AF177" s="1">
        <v>748795.66</v>
      </c>
      <c r="AG177" s="1">
        <v>8930576.8599999994</v>
      </c>
      <c r="AH177" s="1">
        <v>199.4</v>
      </c>
      <c r="AI177" s="1">
        <v>11.39</v>
      </c>
      <c r="AJ177" s="1">
        <v>0.6</v>
      </c>
      <c r="AK177" s="1">
        <v>2.97</v>
      </c>
      <c r="AL177" s="1">
        <v>2.58</v>
      </c>
      <c r="AM177" s="1">
        <v>0</v>
      </c>
      <c r="AN177" s="1">
        <v>0</v>
      </c>
      <c r="AO177" s="1">
        <v>279.95422539999998</v>
      </c>
      <c r="AP177" s="1">
        <v>3.37</v>
      </c>
      <c r="AQ177" s="1">
        <v>0.56999999999999995</v>
      </c>
      <c r="AR177" s="1">
        <v>0.1</v>
      </c>
      <c r="AS177" s="1">
        <v>0.08</v>
      </c>
      <c r="AT177" s="1">
        <v>21.1</v>
      </c>
      <c r="AU177" s="1">
        <v>5.29</v>
      </c>
      <c r="AV177" s="1">
        <v>0.3</v>
      </c>
      <c r="AW177" s="1">
        <v>1.84</v>
      </c>
      <c r="AX177" s="1">
        <v>7.71</v>
      </c>
      <c r="AY177" s="1">
        <v>0</v>
      </c>
      <c r="AZ177" s="1">
        <v>114.878</v>
      </c>
      <c r="BA177" s="1">
        <v>0</v>
      </c>
      <c r="BB177" s="1">
        <v>0</v>
      </c>
      <c r="BC177" s="1">
        <v>0</v>
      </c>
      <c r="BD177" s="1">
        <v>0</v>
      </c>
    </row>
    <row r="178" spans="1:56">
      <c r="A178" s="18">
        <v>46192</v>
      </c>
      <c r="B178" s="1">
        <v>177</v>
      </c>
      <c r="C178" s="1" t="s">
        <v>89</v>
      </c>
      <c r="D178" s="1" t="s">
        <v>90</v>
      </c>
      <c r="E178" s="1">
        <v>2</v>
      </c>
      <c r="F178" s="1">
        <v>200</v>
      </c>
      <c r="G178" s="1">
        <v>1</v>
      </c>
      <c r="H178" s="1" t="s">
        <v>91</v>
      </c>
      <c r="I178" s="1" t="s">
        <v>79</v>
      </c>
      <c r="J178" s="1" t="s">
        <v>80</v>
      </c>
      <c r="K178" s="1" t="s">
        <v>74</v>
      </c>
      <c r="L178" s="1" t="s">
        <v>72</v>
      </c>
      <c r="M178" s="1" t="s">
        <v>75</v>
      </c>
      <c r="N178" s="1" t="s">
        <v>76</v>
      </c>
      <c r="O178" s="1" t="s">
        <v>77</v>
      </c>
      <c r="P178" s="1" t="s">
        <v>27</v>
      </c>
      <c r="Q178" s="1" t="s">
        <v>86</v>
      </c>
      <c r="R178" s="1" t="s">
        <v>94</v>
      </c>
      <c r="S178" s="1" t="s">
        <v>87</v>
      </c>
      <c r="T178" s="1" t="s">
        <v>88</v>
      </c>
      <c r="X178" s="1" t="s">
        <v>73</v>
      </c>
      <c r="Z178" s="1" t="s">
        <v>70</v>
      </c>
      <c r="AA178" s="1" t="s">
        <v>95</v>
      </c>
      <c r="AB178" s="1">
        <v>5</v>
      </c>
      <c r="AC178" s="1">
        <v>748797.91</v>
      </c>
      <c r="AD178" s="1">
        <v>8930574.9199999999</v>
      </c>
      <c r="AE178" s="1">
        <v>210.42</v>
      </c>
      <c r="AF178" s="1">
        <v>748797.91</v>
      </c>
      <c r="AG178" s="1">
        <v>8930574.9199999999</v>
      </c>
      <c r="AH178" s="1">
        <v>199.4</v>
      </c>
      <c r="AI178" s="1">
        <v>11.02</v>
      </c>
      <c r="AJ178" s="1">
        <v>0.6</v>
      </c>
      <c r="AK178" s="1">
        <v>2.97</v>
      </c>
      <c r="AL178" s="1">
        <v>2.58</v>
      </c>
      <c r="AM178" s="1">
        <v>0</v>
      </c>
      <c r="AN178" s="1">
        <v>0</v>
      </c>
      <c r="AO178" s="1">
        <v>279.95422539999998</v>
      </c>
      <c r="AP178" s="1">
        <v>3.37</v>
      </c>
      <c r="AQ178" s="1">
        <v>0.57999999999999996</v>
      </c>
      <c r="AR178" s="1">
        <v>0.1</v>
      </c>
      <c r="AS178" s="1">
        <v>0.09</v>
      </c>
      <c r="AT178" s="1">
        <v>21.29</v>
      </c>
      <c r="AU178" s="1">
        <v>5.29</v>
      </c>
      <c r="AV178" s="1">
        <v>0.31</v>
      </c>
      <c r="AW178" s="1">
        <v>1.87</v>
      </c>
      <c r="AX178" s="1">
        <v>7.67</v>
      </c>
      <c r="AY178" s="1">
        <v>0</v>
      </c>
      <c r="AZ178" s="1">
        <v>109.491</v>
      </c>
      <c r="BA178" s="1">
        <v>0</v>
      </c>
      <c r="BB178" s="1">
        <v>0</v>
      </c>
      <c r="BC178" s="1">
        <v>0</v>
      </c>
      <c r="BD178" s="1">
        <v>0</v>
      </c>
    </row>
    <row r="179" spans="1:56">
      <c r="A179" s="18">
        <v>46192</v>
      </c>
      <c r="B179" s="1">
        <v>178</v>
      </c>
      <c r="C179" s="1" t="s">
        <v>89</v>
      </c>
      <c r="D179" s="1" t="s">
        <v>90</v>
      </c>
      <c r="E179" s="1">
        <v>2</v>
      </c>
      <c r="F179" s="1">
        <v>200</v>
      </c>
      <c r="G179" s="1">
        <v>1</v>
      </c>
      <c r="H179" s="1" t="s">
        <v>91</v>
      </c>
      <c r="I179" s="1" t="s">
        <v>79</v>
      </c>
      <c r="J179" s="1" t="s">
        <v>80</v>
      </c>
      <c r="K179" s="1" t="s">
        <v>74</v>
      </c>
      <c r="L179" s="1" t="s">
        <v>72</v>
      </c>
      <c r="M179" s="1" t="s">
        <v>75</v>
      </c>
      <c r="N179" s="1" t="s">
        <v>76</v>
      </c>
      <c r="O179" s="1" t="s">
        <v>77</v>
      </c>
      <c r="P179" s="1" t="s">
        <v>27</v>
      </c>
      <c r="Q179" s="1" t="s">
        <v>86</v>
      </c>
      <c r="R179" s="1" t="s">
        <v>94</v>
      </c>
      <c r="S179" s="1" t="s">
        <v>87</v>
      </c>
      <c r="T179" s="1" t="s">
        <v>88</v>
      </c>
      <c r="X179" s="1" t="s">
        <v>73</v>
      </c>
      <c r="Z179" s="1" t="s">
        <v>70</v>
      </c>
      <c r="AA179" s="1" t="s">
        <v>95</v>
      </c>
      <c r="AB179" s="1">
        <v>5</v>
      </c>
      <c r="AC179" s="1">
        <v>748800.16</v>
      </c>
      <c r="AD179" s="1">
        <v>8930572.9800000004</v>
      </c>
      <c r="AE179" s="1">
        <v>210.27</v>
      </c>
      <c r="AF179" s="1">
        <v>748800.16</v>
      </c>
      <c r="AG179" s="1">
        <v>8930572.9800000004</v>
      </c>
      <c r="AH179" s="1">
        <v>199.4</v>
      </c>
      <c r="AI179" s="1">
        <v>10.87</v>
      </c>
      <c r="AJ179" s="1">
        <v>0.6</v>
      </c>
      <c r="AK179" s="1">
        <v>2.97</v>
      </c>
      <c r="AL179" s="1">
        <v>2.58</v>
      </c>
      <c r="AM179" s="1">
        <v>0</v>
      </c>
      <c r="AN179" s="1">
        <v>0</v>
      </c>
      <c r="AO179" s="1">
        <v>279.95422539999998</v>
      </c>
      <c r="AP179" s="1">
        <v>3.36</v>
      </c>
      <c r="AQ179" s="1">
        <v>0.54</v>
      </c>
      <c r="AR179" s="1">
        <v>0.1</v>
      </c>
      <c r="AS179" s="1">
        <v>0.08</v>
      </c>
      <c r="AT179" s="1">
        <v>19.37</v>
      </c>
      <c r="AU179" s="1">
        <v>5.44</v>
      </c>
      <c r="AV179" s="1">
        <v>0.27</v>
      </c>
      <c r="AW179" s="1">
        <v>1.99</v>
      </c>
      <c r="AX179" s="1">
        <v>7.36</v>
      </c>
      <c r="AY179" s="1">
        <v>0</v>
      </c>
      <c r="AZ179" s="1">
        <v>107.307</v>
      </c>
      <c r="BA179" s="1">
        <v>0</v>
      </c>
      <c r="BB179" s="1">
        <v>0</v>
      </c>
      <c r="BC179" s="1">
        <v>0</v>
      </c>
      <c r="BD179" s="1">
        <v>0</v>
      </c>
    </row>
    <row r="180" spans="1:56">
      <c r="A180" s="18">
        <v>46192</v>
      </c>
      <c r="B180" s="1">
        <v>179</v>
      </c>
      <c r="C180" s="1" t="s">
        <v>89</v>
      </c>
      <c r="D180" s="1" t="s">
        <v>90</v>
      </c>
      <c r="E180" s="1">
        <v>2</v>
      </c>
      <c r="F180" s="1">
        <v>200</v>
      </c>
      <c r="G180" s="1">
        <v>1</v>
      </c>
      <c r="H180" s="1" t="s">
        <v>91</v>
      </c>
      <c r="I180" s="1" t="s">
        <v>79</v>
      </c>
      <c r="J180" s="1" t="s">
        <v>80</v>
      </c>
      <c r="K180" s="1" t="s">
        <v>74</v>
      </c>
      <c r="L180" s="1" t="s">
        <v>72</v>
      </c>
      <c r="M180" s="1" t="s">
        <v>75</v>
      </c>
      <c r="N180" s="1" t="s">
        <v>76</v>
      </c>
      <c r="O180" s="1" t="s">
        <v>77</v>
      </c>
      <c r="P180" s="1" t="s">
        <v>27</v>
      </c>
      <c r="Q180" s="1" t="s">
        <v>86</v>
      </c>
      <c r="R180" s="1" t="s">
        <v>94</v>
      </c>
      <c r="S180" s="1" t="s">
        <v>87</v>
      </c>
      <c r="T180" s="1" t="s">
        <v>88</v>
      </c>
      <c r="X180" s="1" t="s">
        <v>73</v>
      </c>
      <c r="Z180" s="1" t="s">
        <v>70</v>
      </c>
      <c r="AA180" s="1" t="s">
        <v>95</v>
      </c>
      <c r="AB180" s="1">
        <v>5</v>
      </c>
      <c r="AC180" s="1">
        <v>748802.41</v>
      </c>
      <c r="AD180" s="1">
        <v>8930571.0500000007</v>
      </c>
      <c r="AE180" s="1">
        <v>210.18</v>
      </c>
      <c r="AF180" s="1">
        <v>748802.41</v>
      </c>
      <c r="AG180" s="1">
        <v>8930571.0500000007</v>
      </c>
      <c r="AH180" s="1">
        <v>199.4</v>
      </c>
      <c r="AI180" s="1">
        <v>10.78</v>
      </c>
      <c r="AJ180" s="1">
        <v>0.6</v>
      </c>
      <c r="AK180" s="1">
        <v>2.97</v>
      </c>
      <c r="AL180" s="1">
        <v>2.58</v>
      </c>
      <c r="AM180" s="1">
        <v>0</v>
      </c>
      <c r="AN180" s="1">
        <v>0</v>
      </c>
      <c r="AO180" s="1">
        <v>279.95422539999998</v>
      </c>
      <c r="AP180" s="1">
        <v>3.33</v>
      </c>
      <c r="AQ180" s="1">
        <v>0.52</v>
      </c>
      <c r="AR180" s="1">
        <v>0.09</v>
      </c>
      <c r="AS180" s="1">
        <v>7.0000000000000007E-2</v>
      </c>
      <c r="AT180" s="1">
        <v>18.41</v>
      </c>
      <c r="AU180" s="1">
        <v>5.43</v>
      </c>
      <c r="AV180" s="1">
        <v>0.25</v>
      </c>
      <c r="AW180" s="1">
        <v>2.0699999999999998</v>
      </c>
      <c r="AX180" s="1">
        <v>6.86</v>
      </c>
      <c r="AY180" s="1">
        <v>0</v>
      </c>
      <c r="AZ180" s="1">
        <v>105.997</v>
      </c>
      <c r="BA180" s="1">
        <v>0</v>
      </c>
      <c r="BB180" s="1">
        <v>0</v>
      </c>
      <c r="BC180" s="1">
        <v>0</v>
      </c>
      <c r="BD180" s="1">
        <v>0</v>
      </c>
    </row>
    <row r="181" spans="1:56">
      <c r="A181" s="18">
        <v>46192</v>
      </c>
      <c r="B181" s="1">
        <v>180</v>
      </c>
      <c r="C181" s="1" t="s">
        <v>89</v>
      </c>
      <c r="D181" s="1" t="s">
        <v>90</v>
      </c>
      <c r="E181" s="1">
        <v>2</v>
      </c>
      <c r="F181" s="1">
        <v>200</v>
      </c>
      <c r="G181" s="1">
        <v>1</v>
      </c>
      <c r="H181" s="1" t="s">
        <v>91</v>
      </c>
      <c r="I181" s="1" t="s">
        <v>79</v>
      </c>
      <c r="J181" s="1" t="s">
        <v>84</v>
      </c>
      <c r="K181" s="1" t="s">
        <v>74</v>
      </c>
      <c r="L181" s="1" t="s">
        <v>72</v>
      </c>
      <c r="M181" s="1" t="s">
        <v>75</v>
      </c>
      <c r="N181" s="1" t="s">
        <v>76</v>
      </c>
      <c r="O181" s="1" t="s">
        <v>77</v>
      </c>
      <c r="P181" s="1" t="s">
        <v>27</v>
      </c>
      <c r="Q181" s="1" t="s">
        <v>86</v>
      </c>
      <c r="R181" s="1" t="s">
        <v>94</v>
      </c>
      <c r="S181" s="1" t="s">
        <v>87</v>
      </c>
      <c r="T181" s="1" t="s">
        <v>88</v>
      </c>
      <c r="X181" s="1" t="s">
        <v>73</v>
      </c>
      <c r="Z181" s="1" t="s">
        <v>70</v>
      </c>
      <c r="AA181" s="1" t="s">
        <v>95</v>
      </c>
      <c r="AB181" s="1">
        <v>5</v>
      </c>
      <c r="AC181" s="1">
        <v>748804.66</v>
      </c>
      <c r="AD181" s="1">
        <v>8930569.1099999994</v>
      </c>
      <c r="AE181" s="1">
        <v>210.03</v>
      </c>
      <c r="AF181" s="1">
        <v>748804.66</v>
      </c>
      <c r="AG181" s="1">
        <v>8930569.1099999994</v>
      </c>
      <c r="AH181" s="1">
        <v>199.4</v>
      </c>
      <c r="AI181" s="1">
        <v>10.63</v>
      </c>
      <c r="AJ181" s="1">
        <v>0.6</v>
      </c>
      <c r="AK181" s="1">
        <v>2.97</v>
      </c>
      <c r="AL181" s="1">
        <v>2.58</v>
      </c>
      <c r="AM181" s="1">
        <v>0</v>
      </c>
      <c r="AN181" s="1">
        <v>0</v>
      </c>
      <c r="AO181" s="1">
        <v>279.95422539999998</v>
      </c>
      <c r="AP181" s="1">
        <v>3.36</v>
      </c>
      <c r="AQ181" s="1">
        <v>0.39</v>
      </c>
      <c r="AR181" s="1">
        <v>7.0000000000000007E-2</v>
      </c>
      <c r="AS181" s="1">
        <v>0.06</v>
      </c>
      <c r="AT181" s="1">
        <v>15.44</v>
      </c>
      <c r="AU181" s="1">
        <v>5.01</v>
      </c>
      <c r="AV181" s="1">
        <v>0.21</v>
      </c>
      <c r="AW181" s="1">
        <v>1.87</v>
      </c>
      <c r="AX181" s="1">
        <v>7.51</v>
      </c>
      <c r="AY181" s="1">
        <v>0</v>
      </c>
      <c r="AZ181" s="1">
        <v>103.813</v>
      </c>
      <c r="BA181" s="1">
        <v>0</v>
      </c>
      <c r="BB181" s="1">
        <v>0</v>
      </c>
      <c r="BC181" s="1">
        <v>0</v>
      </c>
      <c r="BD181" s="1">
        <v>0</v>
      </c>
    </row>
    <row r="182" spans="1:56">
      <c r="A182" s="18">
        <v>46192</v>
      </c>
      <c r="B182" s="1">
        <v>181</v>
      </c>
      <c r="C182" s="1" t="s">
        <v>89</v>
      </c>
      <c r="D182" s="1" t="s">
        <v>90</v>
      </c>
      <c r="E182" s="1">
        <v>2</v>
      </c>
      <c r="F182" s="1">
        <v>200</v>
      </c>
      <c r="G182" s="1">
        <v>1</v>
      </c>
      <c r="H182" s="1" t="s">
        <v>91</v>
      </c>
      <c r="I182" s="1" t="s">
        <v>79</v>
      </c>
      <c r="J182" s="1" t="s">
        <v>84</v>
      </c>
      <c r="K182" s="1" t="s">
        <v>74</v>
      </c>
      <c r="L182" s="1" t="s">
        <v>72</v>
      </c>
      <c r="M182" s="1" t="s">
        <v>75</v>
      </c>
      <c r="N182" s="1" t="s">
        <v>76</v>
      </c>
      <c r="O182" s="1" t="s">
        <v>77</v>
      </c>
      <c r="P182" s="1" t="s">
        <v>27</v>
      </c>
      <c r="Q182" s="1" t="s">
        <v>86</v>
      </c>
      <c r="R182" s="1" t="s">
        <v>94</v>
      </c>
      <c r="S182" s="1" t="s">
        <v>87</v>
      </c>
      <c r="T182" s="1" t="s">
        <v>88</v>
      </c>
      <c r="X182" s="1" t="s">
        <v>73</v>
      </c>
      <c r="Z182" s="1" t="s">
        <v>70</v>
      </c>
      <c r="AA182" s="1" t="s">
        <v>95</v>
      </c>
      <c r="AB182" s="1">
        <v>5</v>
      </c>
      <c r="AC182" s="1">
        <v>748806.91</v>
      </c>
      <c r="AD182" s="1">
        <v>8930567.1699999999</v>
      </c>
      <c r="AE182" s="1">
        <v>209.97</v>
      </c>
      <c r="AF182" s="1">
        <v>748806.91</v>
      </c>
      <c r="AG182" s="1">
        <v>8930567.1699999999</v>
      </c>
      <c r="AH182" s="1">
        <v>199.4</v>
      </c>
      <c r="AI182" s="1">
        <v>10.57</v>
      </c>
      <c r="AJ182" s="1">
        <v>0.6</v>
      </c>
      <c r="AK182" s="1">
        <v>2.97</v>
      </c>
      <c r="AL182" s="1">
        <v>2.58</v>
      </c>
      <c r="AM182" s="1">
        <v>0</v>
      </c>
      <c r="AN182" s="1">
        <v>0</v>
      </c>
      <c r="AO182" s="1">
        <v>279.95422539999998</v>
      </c>
      <c r="AP182" s="1">
        <v>3.38</v>
      </c>
      <c r="AQ182" s="1">
        <v>0.36</v>
      </c>
      <c r="AR182" s="1">
        <v>7.0000000000000007E-2</v>
      </c>
      <c r="AS182" s="1">
        <v>0.05</v>
      </c>
      <c r="AT182" s="1">
        <v>14.64</v>
      </c>
      <c r="AU182" s="1">
        <v>4.8</v>
      </c>
      <c r="AV182" s="1">
        <v>0.2</v>
      </c>
      <c r="AW182" s="1">
        <v>1.8</v>
      </c>
      <c r="AX182" s="1">
        <v>7.89</v>
      </c>
      <c r="AY182" s="1">
        <v>0</v>
      </c>
      <c r="AZ182" s="1">
        <v>102.93899999999999</v>
      </c>
      <c r="BA182" s="1">
        <v>0</v>
      </c>
      <c r="BB182" s="1">
        <v>0</v>
      </c>
      <c r="BC182" s="1">
        <v>0</v>
      </c>
      <c r="BD182" s="1">
        <v>0</v>
      </c>
    </row>
    <row r="183" spans="1:56">
      <c r="A183" s="18">
        <v>46192</v>
      </c>
      <c r="B183" s="1">
        <v>182</v>
      </c>
      <c r="C183" s="1" t="s">
        <v>89</v>
      </c>
      <c r="D183" s="1" t="s">
        <v>90</v>
      </c>
      <c r="E183" s="1">
        <v>2</v>
      </c>
      <c r="F183" s="1">
        <v>200</v>
      </c>
      <c r="G183" s="1">
        <v>1</v>
      </c>
      <c r="H183" s="1" t="s">
        <v>91</v>
      </c>
      <c r="I183" s="1" t="s">
        <v>79</v>
      </c>
      <c r="J183" s="1" t="s">
        <v>84</v>
      </c>
      <c r="K183" s="1" t="s">
        <v>74</v>
      </c>
      <c r="L183" s="1" t="s">
        <v>72</v>
      </c>
      <c r="M183" s="1" t="s">
        <v>75</v>
      </c>
      <c r="N183" s="1" t="s">
        <v>76</v>
      </c>
      <c r="O183" s="1" t="s">
        <v>77</v>
      </c>
      <c r="P183" s="1" t="s">
        <v>27</v>
      </c>
      <c r="Q183" s="1" t="s">
        <v>86</v>
      </c>
      <c r="R183" s="1" t="s">
        <v>94</v>
      </c>
      <c r="S183" s="1" t="s">
        <v>87</v>
      </c>
      <c r="T183" s="1" t="s">
        <v>88</v>
      </c>
      <c r="X183" s="1" t="s">
        <v>73</v>
      </c>
      <c r="Z183" s="1" t="s">
        <v>70</v>
      </c>
      <c r="AA183" s="1" t="s">
        <v>95</v>
      </c>
      <c r="AB183" s="1">
        <v>5</v>
      </c>
      <c r="AC183" s="1">
        <v>748809.16</v>
      </c>
      <c r="AD183" s="1">
        <v>8930565.2300000004</v>
      </c>
      <c r="AE183" s="1">
        <v>210.07</v>
      </c>
      <c r="AF183" s="1">
        <v>748809.16</v>
      </c>
      <c r="AG183" s="1">
        <v>8930565.2300000004</v>
      </c>
      <c r="AH183" s="1">
        <v>199.4</v>
      </c>
      <c r="AI183" s="1">
        <v>10.67</v>
      </c>
      <c r="AJ183" s="1">
        <v>0.6</v>
      </c>
      <c r="AK183" s="1">
        <v>2.97</v>
      </c>
      <c r="AL183" s="1">
        <v>2.58</v>
      </c>
      <c r="AM183" s="1">
        <v>0</v>
      </c>
      <c r="AN183" s="1">
        <v>0</v>
      </c>
      <c r="AO183" s="1">
        <v>279.95422539999998</v>
      </c>
      <c r="AP183" s="1">
        <v>3.36</v>
      </c>
      <c r="AQ183" s="1">
        <v>0.37</v>
      </c>
      <c r="AR183" s="1">
        <v>0.06</v>
      </c>
      <c r="AS183" s="1">
        <v>0.05</v>
      </c>
      <c r="AT183" s="1">
        <v>14.79</v>
      </c>
      <c r="AU183" s="1">
        <v>4.6100000000000003</v>
      </c>
      <c r="AV183" s="1">
        <v>0.2</v>
      </c>
      <c r="AW183" s="1">
        <v>1.83</v>
      </c>
      <c r="AX183" s="1">
        <v>8.0500000000000007</v>
      </c>
      <c r="AY183" s="1">
        <v>0</v>
      </c>
      <c r="AZ183" s="1">
        <v>104.395</v>
      </c>
      <c r="BA183" s="1">
        <v>0</v>
      </c>
      <c r="BB183" s="1">
        <v>0</v>
      </c>
      <c r="BC183" s="1">
        <v>0</v>
      </c>
      <c r="BD183" s="1">
        <v>0</v>
      </c>
    </row>
    <row r="184" spans="1:56">
      <c r="A184" s="18">
        <v>46192</v>
      </c>
      <c r="B184" s="1">
        <v>183</v>
      </c>
      <c r="C184" s="1" t="s">
        <v>89</v>
      </c>
      <c r="D184" s="1" t="s">
        <v>90</v>
      </c>
      <c r="E184" s="1">
        <v>2</v>
      </c>
      <c r="F184" s="1">
        <v>200</v>
      </c>
      <c r="H184" s="1" t="s">
        <v>91</v>
      </c>
      <c r="I184" s="1" t="s">
        <v>79</v>
      </c>
      <c r="J184" s="1" t="s">
        <v>80</v>
      </c>
      <c r="K184" s="1" t="s">
        <v>74</v>
      </c>
      <c r="L184" s="1" t="s">
        <v>72</v>
      </c>
      <c r="M184" s="1" t="s">
        <v>75</v>
      </c>
      <c r="N184" s="1" t="s">
        <v>76</v>
      </c>
      <c r="O184" s="1" t="s">
        <v>77</v>
      </c>
      <c r="P184" s="1" t="s">
        <v>27</v>
      </c>
      <c r="Q184" s="1" t="s">
        <v>86</v>
      </c>
      <c r="R184" s="1" t="s">
        <v>94</v>
      </c>
      <c r="S184" s="1" t="s">
        <v>87</v>
      </c>
      <c r="T184" s="1" t="s">
        <v>88</v>
      </c>
      <c r="X184" s="1" t="s">
        <v>73</v>
      </c>
      <c r="Z184" s="1" t="s">
        <v>70</v>
      </c>
      <c r="AA184" s="1" t="s">
        <v>95</v>
      </c>
      <c r="AB184" s="1">
        <v>5</v>
      </c>
      <c r="AC184" s="1">
        <v>748811.1</v>
      </c>
      <c r="AD184" s="1">
        <v>8930562.9900000002</v>
      </c>
      <c r="AE184" s="1">
        <v>210.18</v>
      </c>
      <c r="AF184" s="1">
        <v>748811.1</v>
      </c>
      <c r="AG184" s="1">
        <v>8930562.9900000002</v>
      </c>
      <c r="AH184" s="1">
        <v>199.4</v>
      </c>
      <c r="AI184" s="1">
        <v>10.78</v>
      </c>
      <c r="AJ184" s="1">
        <v>0.6</v>
      </c>
      <c r="AK184" s="1">
        <v>2.97</v>
      </c>
      <c r="AL184" s="1">
        <v>2.58</v>
      </c>
      <c r="AM184" s="1">
        <v>0</v>
      </c>
      <c r="AN184" s="1">
        <v>0</v>
      </c>
      <c r="AO184" s="1">
        <v>279.95422539999998</v>
      </c>
      <c r="AP184" s="1">
        <v>3.32</v>
      </c>
      <c r="AQ184" s="1">
        <v>0.37</v>
      </c>
      <c r="AR184" s="1">
        <v>0.05</v>
      </c>
      <c r="AS184" s="1">
        <v>0.05</v>
      </c>
      <c r="AT184" s="1">
        <v>13.86</v>
      </c>
      <c r="AU184" s="1">
        <v>4.21</v>
      </c>
      <c r="AV184" s="1">
        <v>0.2</v>
      </c>
      <c r="AW184" s="1">
        <v>1.87</v>
      </c>
      <c r="AX184" s="1">
        <v>8.3000000000000007</v>
      </c>
      <c r="AY184" s="1">
        <v>0</v>
      </c>
      <c r="AZ184" s="1">
        <v>105.997</v>
      </c>
      <c r="BA184" s="1">
        <v>0</v>
      </c>
      <c r="BB184" s="1">
        <v>0</v>
      </c>
      <c r="BC184" s="1">
        <v>0</v>
      </c>
      <c r="BD184" s="1">
        <v>0</v>
      </c>
    </row>
    <row r="185" spans="1:56">
      <c r="A185" s="18">
        <v>46192</v>
      </c>
      <c r="B185" s="1">
        <v>184</v>
      </c>
      <c r="C185" s="1" t="s">
        <v>89</v>
      </c>
      <c r="D185" s="1" t="s">
        <v>90</v>
      </c>
      <c r="E185" s="1">
        <v>2</v>
      </c>
      <c r="F185" s="1">
        <v>200</v>
      </c>
      <c r="H185" s="1" t="s">
        <v>91</v>
      </c>
      <c r="I185" s="1" t="s">
        <v>85</v>
      </c>
      <c r="J185" s="1" t="s">
        <v>80</v>
      </c>
      <c r="K185" s="1" t="s">
        <v>74</v>
      </c>
      <c r="L185" s="1" t="s">
        <v>72</v>
      </c>
      <c r="M185" s="1" t="s">
        <v>75</v>
      </c>
      <c r="N185" s="1" t="s">
        <v>76</v>
      </c>
      <c r="O185" s="1" t="s">
        <v>77</v>
      </c>
      <c r="P185" s="1" t="s">
        <v>27</v>
      </c>
      <c r="Q185" s="1" t="s">
        <v>86</v>
      </c>
      <c r="R185" s="1" t="s">
        <v>94</v>
      </c>
      <c r="S185" s="1" t="s">
        <v>87</v>
      </c>
      <c r="T185" s="1" t="s">
        <v>88</v>
      </c>
      <c r="X185" s="1" t="s">
        <v>73</v>
      </c>
      <c r="Z185" s="1" t="s">
        <v>70</v>
      </c>
      <c r="AA185" s="1" t="s">
        <v>95</v>
      </c>
      <c r="AB185" s="1">
        <v>5</v>
      </c>
      <c r="AC185" s="1">
        <v>748812.98</v>
      </c>
      <c r="AD185" s="1">
        <v>8930560.6899999995</v>
      </c>
      <c r="AE185" s="1">
        <v>210.48</v>
      </c>
      <c r="AF185" s="1">
        <v>748812.98</v>
      </c>
      <c r="AG185" s="1">
        <v>8930560.6899999995</v>
      </c>
      <c r="AH185" s="1">
        <v>199.4</v>
      </c>
      <c r="AI185" s="1">
        <v>11.08</v>
      </c>
      <c r="AJ185" s="1">
        <v>0.6</v>
      </c>
      <c r="AK185" s="1">
        <v>2.97</v>
      </c>
      <c r="AL185" s="1">
        <v>2.58</v>
      </c>
      <c r="AM185" s="1">
        <v>0</v>
      </c>
      <c r="AN185" s="1">
        <v>0</v>
      </c>
      <c r="AO185" s="1">
        <v>279.95422539999998</v>
      </c>
      <c r="AP185" s="1">
        <v>3.32</v>
      </c>
      <c r="AQ185" s="1">
        <v>0.4</v>
      </c>
      <c r="AR185" s="1">
        <v>0.05</v>
      </c>
      <c r="AS185" s="1">
        <v>0.05</v>
      </c>
      <c r="AT185" s="1">
        <v>13.74</v>
      </c>
      <c r="AU185" s="1">
        <v>4.53</v>
      </c>
      <c r="AV185" s="1">
        <v>0.16</v>
      </c>
      <c r="AW185" s="1">
        <v>1.41</v>
      </c>
      <c r="AX185" s="1">
        <v>6.1</v>
      </c>
      <c r="AY185" s="1">
        <v>0</v>
      </c>
      <c r="AZ185" s="1">
        <v>110.36499999999999</v>
      </c>
      <c r="BA185" s="1">
        <v>0</v>
      </c>
      <c r="BB185" s="1">
        <v>0</v>
      </c>
      <c r="BC185" s="1">
        <v>0</v>
      </c>
      <c r="BD185" s="1">
        <v>0</v>
      </c>
    </row>
    <row r="186" spans="1:56">
      <c r="A186" s="18">
        <v>46192</v>
      </c>
      <c r="B186" s="1">
        <v>185</v>
      </c>
      <c r="C186" s="1" t="s">
        <v>89</v>
      </c>
      <c r="D186" s="1" t="s">
        <v>90</v>
      </c>
      <c r="E186" s="1">
        <v>2</v>
      </c>
      <c r="F186" s="1">
        <v>200</v>
      </c>
      <c r="H186" s="1" t="s">
        <v>91</v>
      </c>
      <c r="I186" s="1" t="s">
        <v>85</v>
      </c>
      <c r="J186" s="1" t="s">
        <v>80</v>
      </c>
      <c r="K186" s="1" t="s">
        <v>74</v>
      </c>
      <c r="L186" s="1" t="s">
        <v>72</v>
      </c>
      <c r="M186" s="1" t="s">
        <v>75</v>
      </c>
      <c r="N186" s="1" t="s">
        <v>76</v>
      </c>
      <c r="O186" s="1" t="s">
        <v>77</v>
      </c>
      <c r="P186" s="1" t="s">
        <v>27</v>
      </c>
      <c r="Q186" s="1" t="s">
        <v>86</v>
      </c>
      <c r="R186" s="1" t="s">
        <v>94</v>
      </c>
      <c r="S186" s="1" t="s">
        <v>87</v>
      </c>
      <c r="T186" s="1" t="s">
        <v>88</v>
      </c>
      <c r="X186" s="1" t="s">
        <v>73</v>
      </c>
      <c r="Z186" s="1" t="s">
        <v>70</v>
      </c>
      <c r="AA186" s="1" t="s">
        <v>95</v>
      </c>
      <c r="AB186" s="1">
        <v>5</v>
      </c>
      <c r="AC186" s="1">
        <v>748814.58</v>
      </c>
      <c r="AD186" s="1">
        <v>8930558.1899999995</v>
      </c>
      <c r="AE186" s="1">
        <v>210.75</v>
      </c>
      <c r="AF186" s="1">
        <v>748814.58</v>
      </c>
      <c r="AG186" s="1">
        <v>8930558.1899999995</v>
      </c>
      <c r="AH186" s="1">
        <v>199.4</v>
      </c>
      <c r="AI186" s="1">
        <v>11.35</v>
      </c>
      <c r="AJ186" s="1">
        <v>0.6</v>
      </c>
      <c r="AK186" s="1">
        <v>2.97</v>
      </c>
      <c r="AL186" s="1">
        <v>2.58</v>
      </c>
      <c r="AM186" s="1">
        <v>0</v>
      </c>
      <c r="AN186" s="1">
        <v>0</v>
      </c>
      <c r="AO186" s="1">
        <v>279.95422539999998</v>
      </c>
      <c r="AP186" s="1">
        <v>3.25</v>
      </c>
      <c r="AQ186" s="1">
        <v>0.32</v>
      </c>
      <c r="AR186" s="1">
        <v>0.04</v>
      </c>
      <c r="AS186" s="1">
        <v>0.03</v>
      </c>
      <c r="AT186" s="1">
        <v>10.36</v>
      </c>
      <c r="AU186" s="1">
        <v>4.38</v>
      </c>
      <c r="AV186" s="1">
        <v>0.03</v>
      </c>
      <c r="AW186" s="1">
        <v>0.2</v>
      </c>
      <c r="AX186" s="1">
        <v>0.92</v>
      </c>
      <c r="AY186" s="1">
        <v>0</v>
      </c>
      <c r="AZ186" s="1">
        <v>114.29600000000001</v>
      </c>
      <c r="BA186" s="1">
        <v>0</v>
      </c>
      <c r="BB186" s="1">
        <v>0</v>
      </c>
      <c r="BC186" s="1">
        <v>0</v>
      </c>
      <c r="BD186" s="1">
        <v>0</v>
      </c>
    </row>
    <row r="187" spans="1:56">
      <c r="A187" s="18">
        <v>46192</v>
      </c>
      <c r="B187" s="1">
        <v>186</v>
      </c>
      <c r="C187" s="1" t="s">
        <v>89</v>
      </c>
      <c r="D187" s="1" t="s">
        <v>90</v>
      </c>
      <c r="E187" s="1">
        <v>2</v>
      </c>
      <c r="F187" s="1">
        <v>200</v>
      </c>
      <c r="H187" s="1" t="s">
        <v>91</v>
      </c>
      <c r="I187" s="1" t="s">
        <v>28</v>
      </c>
      <c r="J187" s="1" t="s">
        <v>71</v>
      </c>
      <c r="K187" s="1" t="s">
        <v>74</v>
      </c>
      <c r="L187" s="1" t="s">
        <v>72</v>
      </c>
      <c r="M187" s="1" t="s">
        <v>75</v>
      </c>
      <c r="N187" s="1" t="s">
        <v>76</v>
      </c>
      <c r="O187" s="1" t="s">
        <v>77</v>
      </c>
      <c r="P187" s="1" t="s">
        <v>27</v>
      </c>
      <c r="Q187" s="1" t="s">
        <v>86</v>
      </c>
      <c r="R187" s="1" t="s">
        <v>94</v>
      </c>
      <c r="S187" s="1" t="s">
        <v>87</v>
      </c>
      <c r="T187" s="1" t="s">
        <v>88</v>
      </c>
      <c r="X187" s="1" t="s">
        <v>73</v>
      </c>
      <c r="Z187" s="1" t="s">
        <v>70</v>
      </c>
      <c r="AA187" s="1" t="s">
        <v>95</v>
      </c>
      <c r="AB187" s="1">
        <v>5</v>
      </c>
      <c r="AC187" s="1">
        <v>748816.18</v>
      </c>
      <c r="AD187" s="1">
        <v>8930555.6899999995</v>
      </c>
      <c r="AE187" s="1">
        <v>210.87</v>
      </c>
      <c r="AF187" s="1">
        <v>748816.18</v>
      </c>
      <c r="AG187" s="1">
        <v>8930555.6899999995</v>
      </c>
      <c r="AH187" s="1">
        <v>199.4</v>
      </c>
      <c r="AI187" s="1">
        <v>11.47</v>
      </c>
      <c r="AJ187" s="1">
        <v>0.6</v>
      </c>
      <c r="AK187" s="1">
        <v>2.97</v>
      </c>
      <c r="AL187" s="1">
        <v>2.58</v>
      </c>
      <c r="AM187" s="1">
        <v>0</v>
      </c>
      <c r="AN187" s="1">
        <v>0</v>
      </c>
      <c r="AO187" s="1">
        <v>279.95422539999998</v>
      </c>
      <c r="AP187" s="1">
        <v>3.2</v>
      </c>
      <c r="AQ187" s="1">
        <v>0.21</v>
      </c>
      <c r="AR187" s="1">
        <v>0.03</v>
      </c>
      <c r="AS187" s="1">
        <v>0.02</v>
      </c>
      <c r="AT187" s="1">
        <v>7.32</v>
      </c>
      <c r="AU187" s="1">
        <v>3.06</v>
      </c>
      <c r="AV187" s="1">
        <v>0.03</v>
      </c>
      <c r="AW187" s="1">
        <v>0.23</v>
      </c>
      <c r="AX187" s="1">
        <v>1.39</v>
      </c>
      <c r="AY187" s="1">
        <v>0</v>
      </c>
      <c r="AZ187" s="1">
        <v>116.04300000000001</v>
      </c>
      <c r="BA187" s="1">
        <v>0</v>
      </c>
      <c r="BB187" s="1">
        <v>0</v>
      </c>
      <c r="BC187" s="1">
        <v>0</v>
      </c>
      <c r="BD187" s="1">
        <v>0</v>
      </c>
    </row>
    <row r="188" spans="1:56">
      <c r="A188" s="18">
        <v>46192</v>
      </c>
      <c r="B188" s="1">
        <v>187</v>
      </c>
      <c r="C188" s="1" t="s">
        <v>89</v>
      </c>
      <c r="D188" s="1" t="s">
        <v>90</v>
      </c>
      <c r="E188" s="1">
        <v>2</v>
      </c>
      <c r="F188" s="1">
        <v>200</v>
      </c>
      <c r="H188" s="1" t="s">
        <v>91</v>
      </c>
      <c r="I188" s="1" t="s">
        <v>28</v>
      </c>
      <c r="J188" s="1" t="s">
        <v>71</v>
      </c>
      <c r="K188" s="1" t="s">
        <v>74</v>
      </c>
      <c r="L188" s="1" t="s">
        <v>72</v>
      </c>
      <c r="M188" s="1" t="s">
        <v>75</v>
      </c>
      <c r="N188" s="1" t="s">
        <v>76</v>
      </c>
      <c r="O188" s="1" t="s">
        <v>77</v>
      </c>
      <c r="P188" s="1" t="s">
        <v>27</v>
      </c>
      <c r="Q188" s="1" t="s">
        <v>86</v>
      </c>
      <c r="R188" s="1" t="s">
        <v>94</v>
      </c>
      <c r="S188" s="1" t="s">
        <v>87</v>
      </c>
      <c r="T188" s="1" t="s">
        <v>88</v>
      </c>
      <c r="X188" s="1" t="s">
        <v>73</v>
      </c>
      <c r="Z188" s="1" t="s">
        <v>70</v>
      </c>
      <c r="AA188" s="1" t="s">
        <v>95</v>
      </c>
      <c r="AB188" s="1">
        <v>5</v>
      </c>
      <c r="AC188" s="1">
        <v>748817.79</v>
      </c>
      <c r="AD188" s="1">
        <v>8930553.1899999995</v>
      </c>
      <c r="AE188" s="1">
        <v>210.87</v>
      </c>
      <c r="AF188" s="1">
        <v>748817.79</v>
      </c>
      <c r="AG188" s="1">
        <v>8930553.1899999995</v>
      </c>
      <c r="AH188" s="1">
        <v>199.4</v>
      </c>
      <c r="AI188" s="1">
        <v>11.47</v>
      </c>
      <c r="AJ188" s="1">
        <v>0.6</v>
      </c>
      <c r="AK188" s="1">
        <v>2.97</v>
      </c>
      <c r="AL188" s="1">
        <v>2.58</v>
      </c>
      <c r="AM188" s="1">
        <v>0</v>
      </c>
      <c r="AN188" s="1">
        <v>0</v>
      </c>
      <c r="AO188" s="1">
        <v>279.95422539999998</v>
      </c>
      <c r="AP188" s="1">
        <v>3.2</v>
      </c>
      <c r="AQ188" s="1">
        <v>0.18</v>
      </c>
      <c r="AR188" s="1">
        <v>0.03</v>
      </c>
      <c r="AS188" s="1">
        <v>0.02</v>
      </c>
      <c r="AT188" s="1">
        <v>7.16</v>
      </c>
      <c r="AU188" s="1">
        <v>2.85</v>
      </c>
      <c r="AV188" s="1">
        <v>0.04</v>
      </c>
      <c r="AW188" s="1">
        <v>0.4</v>
      </c>
      <c r="AX188" s="1">
        <v>2.3199999999999998</v>
      </c>
      <c r="AY188" s="1">
        <v>0</v>
      </c>
      <c r="AZ188" s="1">
        <v>116.04300000000001</v>
      </c>
      <c r="BA188" s="1">
        <v>0</v>
      </c>
      <c r="BB188" s="1">
        <v>0</v>
      </c>
      <c r="BC188" s="1">
        <v>0</v>
      </c>
      <c r="BD188" s="1">
        <v>0</v>
      </c>
    </row>
    <row r="189" spans="1:56">
      <c r="A189" s="18">
        <v>46192</v>
      </c>
      <c r="B189" s="1">
        <v>188</v>
      </c>
      <c r="C189" s="1" t="s">
        <v>89</v>
      </c>
      <c r="D189" s="1" t="s">
        <v>90</v>
      </c>
      <c r="E189" s="1">
        <v>2</v>
      </c>
      <c r="F189" s="1">
        <v>200</v>
      </c>
      <c r="H189" s="1" t="s">
        <v>91</v>
      </c>
      <c r="I189" s="1" t="s">
        <v>28</v>
      </c>
      <c r="J189" s="1" t="s">
        <v>71</v>
      </c>
      <c r="K189" s="1" t="s">
        <v>74</v>
      </c>
      <c r="L189" s="1" t="s">
        <v>72</v>
      </c>
      <c r="M189" s="1" t="s">
        <v>75</v>
      </c>
      <c r="N189" s="1" t="s">
        <v>76</v>
      </c>
      <c r="O189" s="1" t="s">
        <v>77</v>
      </c>
      <c r="P189" s="1" t="s">
        <v>27</v>
      </c>
      <c r="Q189" s="1" t="s">
        <v>86</v>
      </c>
      <c r="R189" s="1" t="s">
        <v>94</v>
      </c>
      <c r="S189" s="1" t="s">
        <v>87</v>
      </c>
      <c r="T189" s="1" t="s">
        <v>88</v>
      </c>
      <c r="X189" s="1" t="s">
        <v>73</v>
      </c>
      <c r="Z189" s="1" t="s">
        <v>70</v>
      </c>
      <c r="AA189" s="1" t="s">
        <v>95</v>
      </c>
      <c r="AB189" s="1">
        <v>5</v>
      </c>
      <c r="AC189" s="1">
        <v>748819.39</v>
      </c>
      <c r="AD189" s="1">
        <v>8930550.6899999995</v>
      </c>
      <c r="AE189" s="1">
        <v>210.95</v>
      </c>
      <c r="AF189" s="1">
        <v>748819.39</v>
      </c>
      <c r="AG189" s="1">
        <v>8930550.6899999995</v>
      </c>
      <c r="AH189" s="1">
        <v>199.4</v>
      </c>
      <c r="AI189" s="1">
        <v>11.55</v>
      </c>
      <c r="AJ189" s="1">
        <v>0.6</v>
      </c>
      <c r="AK189" s="1">
        <v>2.97</v>
      </c>
      <c r="AL189" s="1">
        <v>2.58</v>
      </c>
      <c r="AM189" s="1">
        <v>0</v>
      </c>
      <c r="AN189" s="1">
        <v>0</v>
      </c>
      <c r="AO189" s="1">
        <v>279.95422539999998</v>
      </c>
      <c r="AP189" s="1">
        <v>3.15</v>
      </c>
      <c r="AQ189" s="1">
        <v>0.23</v>
      </c>
      <c r="AR189" s="1">
        <v>0.03</v>
      </c>
      <c r="AS189" s="1">
        <v>0.03</v>
      </c>
      <c r="AT189" s="1">
        <v>7.94</v>
      </c>
      <c r="AU189" s="1">
        <v>2.99</v>
      </c>
      <c r="AV189" s="1">
        <v>0.09</v>
      </c>
      <c r="AW189" s="1">
        <v>0.49</v>
      </c>
      <c r="AX189" s="1">
        <v>3.53</v>
      </c>
      <c r="AY189" s="1">
        <v>0</v>
      </c>
      <c r="AZ189" s="1">
        <v>117.208</v>
      </c>
      <c r="BA189" s="1">
        <v>0</v>
      </c>
      <c r="BB189" s="1">
        <v>0</v>
      </c>
      <c r="BC189" s="1">
        <v>0</v>
      </c>
      <c r="BD189" s="1">
        <v>0</v>
      </c>
    </row>
    <row r="190" spans="1:56">
      <c r="A190" s="18">
        <v>46192</v>
      </c>
      <c r="B190" s="1">
        <v>189</v>
      </c>
      <c r="C190" s="1" t="s">
        <v>89</v>
      </c>
      <c r="D190" s="1" t="s">
        <v>90</v>
      </c>
      <c r="E190" s="1">
        <v>2</v>
      </c>
      <c r="F190" s="1">
        <v>200</v>
      </c>
      <c r="G190" s="1">
        <v>1</v>
      </c>
      <c r="H190" s="1" t="s">
        <v>91</v>
      </c>
      <c r="I190" s="1" t="s">
        <v>28</v>
      </c>
      <c r="J190" s="1" t="s">
        <v>71</v>
      </c>
      <c r="K190" s="1" t="s">
        <v>74</v>
      </c>
      <c r="L190" s="1" t="s">
        <v>72</v>
      </c>
      <c r="M190" s="1" t="s">
        <v>75</v>
      </c>
      <c r="N190" s="1" t="s">
        <v>76</v>
      </c>
      <c r="O190" s="1" t="s">
        <v>77</v>
      </c>
      <c r="P190" s="1" t="s">
        <v>27</v>
      </c>
      <c r="Q190" s="1" t="s">
        <v>86</v>
      </c>
      <c r="R190" s="1" t="s">
        <v>94</v>
      </c>
      <c r="S190" s="1" t="s">
        <v>87</v>
      </c>
      <c r="T190" s="1" t="s">
        <v>88</v>
      </c>
      <c r="X190" s="1" t="s">
        <v>73</v>
      </c>
      <c r="Z190" s="1" t="s">
        <v>70</v>
      </c>
      <c r="AA190" s="1" t="s">
        <v>95</v>
      </c>
      <c r="AB190" s="1">
        <v>5</v>
      </c>
      <c r="AC190" s="1">
        <v>748820.99</v>
      </c>
      <c r="AD190" s="1">
        <v>8930548.1899999995</v>
      </c>
      <c r="AE190" s="1">
        <v>211.22</v>
      </c>
      <c r="AF190" s="1">
        <v>748820.99</v>
      </c>
      <c r="AG190" s="1">
        <v>8930548.1899999995</v>
      </c>
      <c r="AH190" s="1">
        <v>199.4</v>
      </c>
      <c r="AI190" s="1">
        <v>11.82</v>
      </c>
      <c r="AJ190" s="1">
        <v>0.6</v>
      </c>
      <c r="AK190" s="1">
        <v>2.97</v>
      </c>
      <c r="AL190" s="1">
        <v>2.58</v>
      </c>
      <c r="AM190" s="1">
        <v>0</v>
      </c>
      <c r="AN190" s="1">
        <v>0</v>
      </c>
      <c r="AO190" s="1">
        <v>279.95422539999998</v>
      </c>
      <c r="AP190" s="1">
        <v>3.09</v>
      </c>
      <c r="AQ190" s="1">
        <v>0.45</v>
      </c>
      <c r="AR190" s="1">
        <v>0.04</v>
      </c>
      <c r="AS190" s="1">
        <v>0.05</v>
      </c>
      <c r="AT190" s="1">
        <v>10.84</v>
      </c>
      <c r="AU190" s="1">
        <v>3.5</v>
      </c>
      <c r="AV190" s="1">
        <v>0.12</v>
      </c>
      <c r="AW190" s="1">
        <v>0.48</v>
      </c>
      <c r="AX190" s="1">
        <v>4.57</v>
      </c>
      <c r="AY190" s="1">
        <v>0</v>
      </c>
      <c r="AZ190" s="1">
        <v>121.139</v>
      </c>
      <c r="BA190" s="1">
        <v>0</v>
      </c>
      <c r="BB190" s="1">
        <v>0</v>
      </c>
      <c r="BC190" s="1">
        <v>0</v>
      </c>
      <c r="BD190" s="1">
        <v>0</v>
      </c>
    </row>
    <row r="191" spans="1:56">
      <c r="A191" s="18">
        <v>46192</v>
      </c>
      <c r="B191" s="1">
        <v>190</v>
      </c>
      <c r="C191" s="1" t="s">
        <v>89</v>
      </c>
      <c r="D191" s="1" t="s">
        <v>90</v>
      </c>
      <c r="E191" s="1">
        <v>2</v>
      </c>
      <c r="F191" s="1">
        <v>200</v>
      </c>
      <c r="G191" s="1">
        <v>1</v>
      </c>
      <c r="H191" s="1" t="s">
        <v>91</v>
      </c>
      <c r="I191" s="1" t="s">
        <v>79</v>
      </c>
      <c r="J191" s="1" t="s">
        <v>83</v>
      </c>
      <c r="K191" s="1" t="s">
        <v>74</v>
      </c>
      <c r="L191" s="1" t="s">
        <v>72</v>
      </c>
      <c r="M191" s="1" t="s">
        <v>75</v>
      </c>
      <c r="N191" s="1" t="s">
        <v>76</v>
      </c>
      <c r="O191" s="1" t="s">
        <v>77</v>
      </c>
      <c r="P191" s="1" t="s">
        <v>27</v>
      </c>
      <c r="Q191" s="1" t="s">
        <v>86</v>
      </c>
      <c r="R191" s="1" t="s">
        <v>94</v>
      </c>
      <c r="S191" s="1" t="s">
        <v>87</v>
      </c>
      <c r="T191" s="1" t="s">
        <v>88</v>
      </c>
      <c r="X191" s="1" t="s">
        <v>73</v>
      </c>
      <c r="Z191" s="1" t="s">
        <v>70</v>
      </c>
      <c r="AA191" s="1" t="s">
        <v>95</v>
      </c>
      <c r="AB191" s="1">
        <v>5</v>
      </c>
      <c r="AC191" s="1">
        <v>748822.59</v>
      </c>
      <c r="AD191" s="1">
        <v>8930545.6899999995</v>
      </c>
      <c r="AE191" s="1">
        <v>211.31</v>
      </c>
      <c r="AF191" s="1">
        <v>748822.59</v>
      </c>
      <c r="AG191" s="1">
        <v>8930545.6899999995</v>
      </c>
      <c r="AH191" s="1">
        <v>199.4</v>
      </c>
      <c r="AI191" s="1">
        <v>11.91</v>
      </c>
      <c r="AJ191" s="1">
        <v>0.6</v>
      </c>
      <c r="AK191" s="1">
        <v>2.97</v>
      </c>
      <c r="AL191" s="1">
        <v>2.58</v>
      </c>
      <c r="AM191" s="1">
        <v>0</v>
      </c>
      <c r="AN191" s="1">
        <v>0</v>
      </c>
      <c r="AO191" s="1">
        <v>279.95422539999998</v>
      </c>
      <c r="AP191" s="1">
        <v>3.16</v>
      </c>
      <c r="AQ191" s="1">
        <v>0.7</v>
      </c>
      <c r="AR191" s="1">
        <v>0.04</v>
      </c>
      <c r="AS191" s="1">
        <v>7.0000000000000007E-2</v>
      </c>
      <c r="AT191" s="1">
        <v>14.7</v>
      </c>
      <c r="AU191" s="1">
        <v>4.1500000000000004</v>
      </c>
      <c r="AV191" s="1">
        <v>0.02</v>
      </c>
      <c r="AW191" s="1">
        <v>0.09</v>
      </c>
      <c r="AX191" s="1">
        <v>5.0199999999999996</v>
      </c>
      <c r="AY191" s="1">
        <v>0</v>
      </c>
      <c r="AZ191" s="1">
        <v>122.45</v>
      </c>
      <c r="BA191" s="1">
        <v>0</v>
      </c>
      <c r="BB191" s="1">
        <v>0</v>
      </c>
      <c r="BC191" s="1">
        <v>0</v>
      </c>
      <c r="BD191" s="1">
        <v>0</v>
      </c>
    </row>
    <row r="192" spans="1:56">
      <c r="A192" s="18">
        <v>46192</v>
      </c>
      <c r="B192" s="1">
        <v>191</v>
      </c>
      <c r="C192" s="1" t="s">
        <v>89</v>
      </c>
      <c r="D192" s="1" t="s">
        <v>90</v>
      </c>
      <c r="E192" s="1">
        <v>2</v>
      </c>
      <c r="F192" s="1">
        <v>200</v>
      </c>
      <c r="G192" s="1">
        <v>1</v>
      </c>
      <c r="H192" s="1" t="s">
        <v>91</v>
      </c>
      <c r="I192" s="1" t="s">
        <v>79</v>
      </c>
      <c r="J192" s="1" t="s">
        <v>83</v>
      </c>
      <c r="K192" s="1" t="s">
        <v>74</v>
      </c>
      <c r="L192" s="1" t="s">
        <v>72</v>
      </c>
      <c r="M192" s="1" t="s">
        <v>75</v>
      </c>
      <c r="N192" s="1" t="s">
        <v>76</v>
      </c>
      <c r="O192" s="1" t="s">
        <v>77</v>
      </c>
      <c r="P192" s="1" t="s">
        <v>27</v>
      </c>
      <c r="Q192" s="1" t="s">
        <v>86</v>
      </c>
      <c r="R192" s="1" t="s">
        <v>94</v>
      </c>
      <c r="S192" s="1" t="s">
        <v>87</v>
      </c>
      <c r="T192" s="1" t="s">
        <v>88</v>
      </c>
      <c r="X192" s="1" t="s">
        <v>73</v>
      </c>
      <c r="Z192" s="1" t="s">
        <v>70</v>
      </c>
      <c r="AA192" s="1" t="s">
        <v>95</v>
      </c>
      <c r="AB192" s="1">
        <v>5</v>
      </c>
      <c r="AC192" s="1">
        <v>748824.2</v>
      </c>
      <c r="AD192" s="1">
        <v>8930543.1899999995</v>
      </c>
      <c r="AE192" s="1">
        <v>211.31</v>
      </c>
      <c r="AF192" s="1">
        <v>748824.2</v>
      </c>
      <c r="AG192" s="1">
        <v>8930543.1899999995</v>
      </c>
      <c r="AH192" s="1">
        <v>199.4</v>
      </c>
      <c r="AI192" s="1">
        <v>11.91</v>
      </c>
      <c r="AJ192" s="1">
        <v>0.6</v>
      </c>
      <c r="AK192" s="1">
        <v>2.97</v>
      </c>
      <c r="AL192" s="1">
        <v>2.58</v>
      </c>
      <c r="AM192" s="1">
        <v>0</v>
      </c>
      <c r="AN192" s="1">
        <v>0</v>
      </c>
      <c r="AO192" s="1">
        <v>279.95422539999998</v>
      </c>
      <c r="AP192" s="1">
        <v>3.19</v>
      </c>
      <c r="AQ192" s="1">
        <v>0.81</v>
      </c>
      <c r="AR192" s="1">
        <v>0.04</v>
      </c>
      <c r="AS192" s="1">
        <v>0.09</v>
      </c>
      <c r="AT192" s="1">
        <v>16.62</v>
      </c>
      <c r="AU192" s="1">
        <v>4.6100000000000003</v>
      </c>
      <c r="AV192" s="1">
        <v>0</v>
      </c>
      <c r="AW192" s="1">
        <v>0</v>
      </c>
      <c r="AX192" s="1">
        <v>5.46</v>
      </c>
      <c r="AY192" s="1">
        <v>0</v>
      </c>
      <c r="AZ192" s="1">
        <v>122.45</v>
      </c>
      <c r="BA192" s="1">
        <v>0</v>
      </c>
      <c r="BB192" s="1">
        <v>0</v>
      </c>
      <c r="BC192" s="1">
        <v>0</v>
      </c>
      <c r="BD192" s="1">
        <v>0</v>
      </c>
    </row>
    <row r="193" spans="1:56">
      <c r="A193" s="18">
        <v>46192</v>
      </c>
      <c r="B193" s="1">
        <v>192</v>
      </c>
      <c r="C193" s="1" t="s">
        <v>89</v>
      </c>
      <c r="D193" s="1" t="s">
        <v>90</v>
      </c>
      <c r="E193" s="1">
        <v>2</v>
      </c>
      <c r="F193" s="1">
        <v>200</v>
      </c>
      <c r="G193" s="1">
        <v>1</v>
      </c>
      <c r="H193" s="1" t="s">
        <v>91</v>
      </c>
      <c r="I193" s="1" t="s">
        <v>79</v>
      </c>
      <c r="J193" s="1" t="s">
        <v>83</v>
      </c>
      <c r="K193" s="1" t="s">
        <v>74</v>
      </c>
      <c r="L193" s="1" t="s">
        <v>72</v>
      </c>
      <c r="M193" s="1" t="s">
        <v>75</v>
      </c>
      <c r="N193" s="1" t="s">
        <v>76</v>
      </c>
      <c r="O193" s="1" t="s">
        <v>77</v>
      </c>
      <c r="P193" s="1" t="s">
        <v>27</v>
      </c>
      <c r="Q193" s="1" t="s">
        <v>86</v>
      </c>
      <c r="R193" s="1" t="s">
        <v>94</v>
      </c>
      <c r="S193" s="1" t="s">
        <v>87</v>
      </c>
      <c r="T193" s="1" t="s">
        <v>88</v>
      </c>
      <c r="X193" s="1" t="s">
        <v>73</v>
      </c>
      <c r="Z193" s="1" t="s">
        <v>70</v>
      </c>
      <c r="AA193" s="1" t="s">
        <v>95</v>
      </c>
      <c r="AB193" s="1">
        <v>5</v>
      </c>
      <c r="AC193" s="1">
        <v>748825.8</v>
      </c>
      <c r="AD193" s="1">
        <v>8930540.6899999995</v>
      </c>
      <c r="AE193" s="1">
        <v>211.23</v>
      </c>
      <c r="AF193" s="1">
        <v>748825.8</v>
      </c>
      <c r="AG193" s="1">
        <v>8930540.6899999995</v>
      </c>
      <c r="AH193" s="1">
        <v>199.4</v>
      </c>
      <c r="AI193" s="1">
        <v>11.83</v>
      </c>
      <c r="AJ193" s="1">
        <v>0.6</v>
      </c>
      <c r="AK193" s="1">
        <v>2.97</v>
      </c>
      <c r="AL193" s="1">
        <v>2.58</v>
      </c>
      <c r="AM193" s="1">
        <v>0</v>
      </c>
      <c r="AN193" s="1">
        <v>0</v>
      </c>
      <c r="AO193" s="1">
        <v>279.95422539999998</v>
      </c>
      <c r="AP193" s="1">
        <v>3.21</v>
      </c>
      <c r="AQ193" s="1">
        <v>0.84</v>
      </c>
      <c r="AR193" s="1">
        <v>0.04</v>
      </c>
      <c r="AS193" s="1">
        <v>0.09</v>
      </c>
      <c r="AT193" s="1">
        <v>18.09</v>
      </c>
      <c r="AU193" s="1">
        <v>4.9800000000000004</v>
      </c>
      <c r="AV193" s="1">
        <v>0</v>
      </c>
      <c r="AW193" s="1">
        <v>0</v>
      </c>
      <c r="AX193" s="1">
        <v>5.86</v>
      </c>
      <c r="AY193" s="1">
        <v>0</v>
      </c>
      <c r="AZ193" s="1">
        <v>121.285</v>
      </c>
      <c r="BA193" s="1">
        <v>0</v>
      </c>
      <c r="BB193" s="1">
        <v>0</v>
      </c>
      <c r="BC193" s="1">
        <v>0</v>
      </c>
      <c r="BD193" s="1">
        <v>0</v>
      </c>
    </row>
    <row r="194" spans="1:56">
      <c r="A194" s="18">
        <v>46192</v>
      </c>
      <c r="B194" s="1">
        <v>193</v>
      </c>
      <c r="C194" s="1" t="s">
        <v>89</v>
      </c>
      <c r="D194" s="1" t="s">
        <v>90</v>
      </c>
      <c r="E194" s="1">
        <v>2</v>
      </c>
      <c r="F194" s="1">
        <v>200</v>
      </c>
      <c r="G194" s="1">
        <v>1</v>
      </c>
      <c r="H194" s="1" t="s">
        <v>91</v>
      </c>
      <c r="I194" s="1" t="s">
        <v>79</v>
      </c>
      <c r="J194" s="1" t="s">
        <v>81</v>
      </c>
      <c r="K194" s="1" t="s">
        <v>74</v>
      </c>
      <c r="L194" s="1" t="s">
        <v>72</v>
      </c>
      <c r="M194" s="1" t="s">
        <v>75</v>
      </c>
      <c r="N194" s="1" t="s">
        <v>76</v>
      </c>
      <c r="O194" s="1" t="s">
        <v>77</v>
      </c>
      <c r="P194" s="1" t="s">
        <v>27</v>
      </c>
      <c r="Q194" s="1" t="s">
        <v>86</v>
      </c>
      <c r="R194" s="1" t="s">
        <v>94</v>
      </c>
      <c r="S194" s="1" t="s">
        <v>87</v>
      </c>
      <c r="T194" s="1" t="s">
        <v>88</v>
      </c>
      <c r="X194" s="1" t="s">
        <v>73</v>
      </c>
      <c r="Z194" s="1" t="s">
        <v>70</v>
      </c>
      <c r="AA194" s="1" t="s">
        <v>95</v>
      </c>
      <c r="AB194" s="1">
        <v>5</v>
      </c>
      <c r="AC194" s="1">
        <v>748827.4</v>
      </c>
      <c r="AD194" s="1">
        <v>8930538.1899999995</v>
      </c>
      <c r="AE194" s="1">
        <v>211.12</v>
      </c>
      <c r="AF194" s="1">
        <v>748827.4</v>
      </c>
      <c r="AG194" s="1">
        <v>8930538.1899999995</v>
      </c>
      <c r="AH194" s="1">
        <v>199.4</v>
      </c>
      <c r="AI194" s="1">
        <v>11.72</v>
      </c>
      <c r="AJ194" s="1">
        <v>0.6</v>
      </c>
      <c r="AK194" s="1">
        <v>2.97</v>
      </c>
      <c r="AL194" s="1">
        <v>2.58</v>
      </c>
      <c r="AM194" s="1">
        <v>0</v>
      </c>
      <c r="AN194" s="1">
        <v>0</v>
      </c>
      <c r="AO194" s="1">
        <v>279.95422539999998</v>
      </c>
      <c r="AP194" s="1">
        <v>3.21</v>
      </c>
      <c r="AQ194" s="1">
        <v>0.82</v>
      </c>
      <c r="AR194" s="1">
        <v>0.05</v>
      </c>
      <c r="AS194" s="1">
        <v>0.09</v>
      </c>
      <c r="AT194" s="1">
        <v>19.47</v>
      </c>
      <c r="AU194" s="1">
        <v>5.29</v>
      </c>
      <c r="AV194" s="1">
        <v>0</v>
      </c>
      <c r="AW194" s="1">
        <v>0</v>
      </c>
      <c r="AX194" s="1">
        <v>6.07</v>
      </c>
      <c r="AY194" s="1">
        <v>0</v>
      </c>
      <c r="AZ194" s="1">
        <v>119.68300000000001</v>
      </c>
      <c r="BA194" s="1">
        <v>0</v>
      </c>
      <c r="BB194" s="1">
        <v>0</v>
      </c>
      <c r="BC194" s="1">
        <v>0</v>
      </c>
      <c r="BD194" s="1">
        <v>0</v>
      </c>
    </row>
    <row r="195" spans="1:56">
      <c r="A195" s="18">
        <v>46192</v>
      </c>
      <c r="B195" s="1">
        <v>194</v>
      </c>
      <c r="C195" s="1" t="s">
        <v>89</v>
      </c>
      <c r="D195" s="1" t="s">
        <v>90</v>
      </c>
      <c r="E195" s="1">
        <v>2</v>
      </c>
      <c r="F195" s="1">
        <v>200</v>
      </c>
      <c r="G195" s="1">
        <v>1</v>
      </c>
      <c r="H195" s="1" t="s">
        <v>91</v>
      </c>
      <c r="I195" s="1" t="s">
        <v>79</v>
      </c>
      <c r="J195" s="1" t="s">
        <v>81</v>
      </c>
      <c r="K195" s="1" t="s">
        <v>74</v>
      </c>
      <c r="L195" s="1" t="s">
        <v>72</v>
      </c>
      <c r="M195" s="1" t="s">
        <v>75</v>
      </c>
      <c r="N195" s="1" t="s">
        <v>76</v>
      </c>
      <c r="O195" s="1" t="s">
        <v>77</v>
      </c>
      <c r="P195" s="1" t="s">
        <v>27</v>
      </c>
      <c r="Q195" s="1" t="s">
        <v>86</v>
      </c>
      <c r="R195" s="1" t="s">
        <v>94</v>
      </c>
      <c r="S195" s="1" t="s">
        <v>87</v>
      </c>
      <c r="T195" s="1" t="s">
        <v>88</v>
      </c>
      <c r="X195" s="1" t="s">
        <v>73</v>
      </c>
      <c r="Z195" s="1" t="s">
        <v>70</v>
      </c>
      <c r="AA195" s="1" t="s">
        <v>95</v>
      </c>
      <c r="AB195" s="1">
        <v>5</v>
      </c>
      <c r="AC195" s="1">
        <v>748829.01</v>
      </c>
      <c r="AD195" s="1">
        <v>8930535.6899999995</v>
      </c>
      <c r="AE195" s="1">
        <v>211.02</v>
      </c>
      <c r="AF195" s="1">
        <v>748829.01</v>
      </c>
      <c r="AG195" s="1">
        <v>8930535.6899999995</v>
      </c>
      <c r="AH195" s="1">
        <v>199.4</v>
      </c>
      <c r="AI195" s="1">
        <v>11.62</v>
      </c>
      <c r="AJ195" s="1">
        <v>0.6</v>
      </c>
      <c r="AK195" s="1">
        <v>2.97</v>
      </c>
      <c r="AL195" s="1">
        <v>2.58</v>
      </c>
      <c r="AM195" s="1">
        <v>0</v>
      </c>
      <c r="AN195" s="1">
        <v>0</v>
      </c>
      <c r="AO195" s="1">
        <v>279.95422539999998</v>
      </c>
      <c r="AP195" s="1">
        <v>3.22</v>
      </c>
      <c r="AQ195" s="1">
        <v>0.82</v>
      </c>
      <c r="AR195" s="1">
        <v>0.05</v>
      </c>
      <c r="AS195" s="1">
        <v>0.09</v>
      </c>
      <c r="AT195" s="1">
        <v>20</v>
      </c>
      <c r="AU195" s="1">
        <v>5.57</v>
      </c>
      <c r="AV195" s="1">
        <v>0</v>
      </c>
      <c r="AW195" s="1">
        <v>0</v>
      </c>
      <c r="AX195" s="1">
        <v>6.27</v>
      </c>
      <c r="AY195" s="1">
        <v>0</v>
      </c>
      <c r="AZ195" s="1">
        <v>118.227</v>
      </c>
      <c r="BA195" s="1">
        <v>0</v>
      </c>
      <c r="BB195" s="1">
        <v>0</v>
      </c>
      <c r="BC195" s="1">
        <v>0</v>
      </c>
      <c r="BD195" s="1">
        <v>0</v>
      </c>
    </row>
    <row r="196" spans="1:56">
      <c r="A196" s="18">
        <v>46192</v>
      </c>
      <c r="B196" s="1">
        <v>195</v>
      </c>
      <c r="C196" s="1" t="s">
        <v>89</v>
      </c>
      <c r="D196" s="1" t="s">
        <v>90</v>
      </c>
      <c r="E196" s="1">
        <v>2</v>
      </c>
      <c r="F196" s="1">
        <v>200</v>
      </c>
      <c r="G196" s="1">
        <v>1</v>
      </c>
      <c r="H196" s="1" t="s">
        <v>91</v>
      </c>
      <c r="I196" s="1" t="s">
        <v>79</v>
      </c>
      <c r="J196" s="1" t="s">
        <v>81</v>
      </c>
      <c r="K196" s="1" t="s">
        <v>74</v>
      </c>
      <c r="L196" s="1" t="s">
        <v>72</v>
      </c>
      <c r="M196" s="1" t="s">
        <v>75</v>
      </c>
      <c r="N196" s="1" t="s">
        <v>76</v>
      </c>
      <c r="O196" s="1" t="s">
        <v>77</v>
      </c>
      <c r="P196" s="1" t="s">
        <v>27</v>
      </c>
      <c r="Q196" s="1" t="s">
        <v>86</v>
      </c>
      <c r="R196" s="1" t="s">
        <v>94</v>
      </c>
      <c r="S196" s="1" t="s">
        <v>87</v>
      </c>
      <c r="T196" s="1" t="s">
        <v>88</v>
      </c>
      <c r="X196" s="1" t="s">
        <v>73</v>
      </c>
      <c r="Z196" s="1" t="s">
        <v>70</v>
      </c>
      <c r="AA196" s="1" t="s">
        <v>95</v>
      </c>
      <c r="AB196" s="1">
        <v>5</v>
      </c>
      <c r="AC196" s="1">
        <v>748830.61</v>
      </c>
      <c r="AD196" s="1">
        <v>8930533.1899999995</v>
      </c>
      <c r="AE196" s="1">
        <v>210.9</v>
      </c>
      <c r="AF196" s="1">
        <v>748830.61</v>
      </c>
      <c r="AG196" s="1">
        <v>8930533.1899999995</v>
      </c>
      <c r="AH196" s="1">
        <v>199.4</v>
      </c>
      <c r="AI196" s="1">
        <v>11.5</v>
      </c>
      <c r="AJ196" s="1">
        <v>0.6</v>
      </c>
      <c r="AK196" s="1">
        <v>2.97</v>
      </c>
      <c r="AL196" s="1">
        <v>2.58</v>
      </c>
      <c r="AM196" s="1">
        <v>0</v>
      </c>
      <c r="AN196" s="1">
        <v>0</v>
      </c>
      <c r="AO196" s="1">
        <v>279.95422539999998</v>
      </c>
      <c r="AP196" s="1">
        <v>3.23</v>
      </c>
      <c r="AQ196" s="1">
        <v>0.77</v>
      </c>
      <c r="AR196" s="1">
        <v>0.05</v>
      </c>
      <c r="AS196" s="1">
        <v>0.09</v>
      </c>
      <c r="AT196" s="1">
        <v>19.62</v>
      </c>
      <c r="AU196" s="1">
        <v>5.62</v>
      </c>
      <c r="AV196" s="1">
        <v>0</v>
      </c>
      <c r="AW196" s="1">
        <v>0</v>
      </c>
      <c r="AX196" s="1">
        <v>6.54</v>
      </c>
      <c r="AY196" s="1">
        <v>0</v>
      </c>
      <c r="AZ196" s="1">
        <v>116.48</v>
      </c>
      <c r="BA196" s="1">
        <v>0</v>
      </c>
      <c r="BB196" s="1">
        <v>0</v>
      </c>
      <c r="BC196" s="1">
        <v>0</v>
      </c>
      <c r="BD196" s="1">
        <v>0</v>
      </c>
    </row>
    <row r="197" spans="1:56">
      <c r="A197" s="18">
        <v>46192</v>
      </c>
      <c r="B197" s="1">
        <v>196</v>
      </c>
      <c r="C197" s="1" t="s">
        <v>89</v>
      </c>
      <c r="D197" s="1" t="s">
        <v>90</v>
      </c>
      <c r="E197" s="1">
        <v>2</v>
      </c>
      <c r="F197" s="1">
        <v>200</v>
      </c>
      <c r="G197" s="1">
        <v>1</v>
      </c>
      <c r="H197" s="1" t="s">
        <v>91</v>
      </c>
      <c r="I197" s="1" t="s">
        <v>79</v>
      </c>
      <c r="J197" s="1" t="s">
        <v>81</v>
      </c>
      <c r="K197" s="1" t="s">
        <v>74</v>
      </c>
      <c r="L197" s="1" t="s">
        <v>72</v>
      </c>
      <c r="M197" s="1" t="s">
        <v>75</v>
      </c>
      <c r="N197" s="1" t="s">
        <v>76</v>
      </c>
      <c r="O197" s="1" t="s">
        <v>77</v>
      </c>
      <c r="P197" s="1" t="s">
        <v>27</v>
      </c>
      <c r="Q197" s="1" t="s">
        <v>86</v>
      </c>
      <c r="R197" s="1" t="s">
        <v>94</v>
      </c>
      <c r="S197" s="1" t="s">
        <v>87</v>
      </c>
      <c r="T197" s="1" t="s">
        <v>88</v>
      </c>
      <c r="X197" s="1" t="s">
        <v>73</v>
      </c>
      <c r="Z197" s="1" t="s">
        <v>70</v>
      </c>
      <c r="AA197" s="1" t="s">
        <v>95</v>
      </c>
      <c r="AB197" s="1">
        <v>5</v>
      </c>
      <c r="AC197" s="1">
        <v>748832.21</v>
      </c>
      <c r="AD197" s="1">
        <v>8930530.6799999997</v>
      </c>
      <c r="AE197" s="1">
        <v>211.02</v>
      </c>
      <c r="AF197" s="1">
        <v>748832.21</v>
      </c>
      <c r="AG197" s="1">
        <v>8930530.6799999997</v>
      </c>
      <c r="AH197" s="1">
        <v>199.4</v>
      </c>
      <c r="AI197" s="1">
        <v>11.62</v>
      </c>
      <c r="AJ197" s="1">
        <v>0.6</v>
      </c>
      <c r="AK197" s="1">
        <v>2.97</v>
      </c>
      <c r="AL197" s="1">
        <v>2.58</v>
      </c>
      <c r="AM197" s="1">
        <v>0</v>
      </c>
      <c r="AN197" s="1">
        <v>0</v>
      </c>
      <c r="AO197" s="1">
        <v>279.95422539999998</v>
      </c>
      <c r="AP197" s="1">
        <v>3.23</v>
      </c>
      <c r="AQ197" s="1">
        <v>0.63</v>
      </c>
      <c r="AR197" s="1">
        <v>0.05</v>
      </c>
      <c r="AS197" s="1">
        <v>7.0000000000000007E-2</v>
      </c>
      <c r="AT197" s="1">
        <v>17.02</v>
      </c>
      <c r="AU197" s="1">
        <v>5.55</v>
      </c>
      <c r="AV197" s="1">
        <v>0</v>
      </c>
      <c r="AW197" s="1">
        <v>0.04</v>
      </c>
      <c r="AX197" s="1">
        <v>4.7300000000000004</v>
      </c>
      <c r="AY197" s="1">
        <v>0</v>
      </c>
      <c r="AZ197" s="1">
        <v>118.227</v>
      </c>
      <c r="BA197" s="1">
        <v>0</v>
      </c>
      <c r="BB197" s="1">
        <v>0</v>
      </c>
      <c r="BC197" s="1">
        <v>0</v>
      </c>
      <c r="BD197" s="1">
        <v>0</v>
      </c>
    </row>
    <row r="198" spans="1:56">
      <c r="A198" s="18">
        <v>46192</v>
      </c>
      <c r="B198" s="1">
        <v>197</v>
      </c>
      <c r="C198" s="1" t="s">
        <v>92</v>
      </c>
      <c r="D198" s="1" t="s">
        <v>90</v>
      </c>
      <c r="E198" s="1">
        <v>2</v>
      </c>
      <c r="F198" s="1">
        <v>200</v>
      </c>
      <c r="H198" s="1" t="s">
        <v>93</v>
      </c>
      <c r="I198" s="1" t="s">
        <v>28</v>
      </c>
      <c r="J198" s="1" t="s">
        <v>71</v>
      </c>
      <c r="K198" s="1" t="s">
        <v>74</v>
      </c>
      <c r="L198" s="1" t="s">
        <v>72</v>
      </c>
      <c r="M198" s="1" t="s">
        <v>75</v>
      </c>
      <c r="N198" s="1" t="s">
        <v>76</v>
      </c>
      <c r="O198" s="1" t="s">
        <v>77</v>
      </c>
      <c r="P198" s="1" t="s">
        <v>27</v>
      </c>
      <c r="Q198" s="1" t="s">
        <v>86</v>
      </c>
      <c r="R198" s="1" t="s">
        <v>94</v>
      </c>
      <c r="S198" s="1" t="s">
        <v>87</v>
      </c>
      <c r="T198" s="1" t="s">
        <v>88</v>
      </c>
      <c r="X198" s="1" t="s">
        <v>73</v>
      </c>
      <c r="Z198" s="1" t="s">
        <v>70</v>
      </c>
      <c r="AA198" s="1" t="s">
        <v>95</v>
      </c>
      <c r="AB198" s="1">
        <v>5</v>
      </c>
      <c r="AC198" s="1">
        <v>748839.83</v>
      </c>
      <c r="AD198" s="1">
        <v>8930511.0899999999</v>
      </c>
      <c r="AE198" s="1">
        <v>209.94</v>
      </c>
      <c r="AF198" s="1">
        <v>748839.83</v>
      </c>
      <c r="AG198" s="1">
        <v>8930511.0899999999</v>
      </c>
      <c r="AH198" s="1">
        <v>199.4</v>
      </c>
      <c r="AI198" s="1">
        <v>10.54</v>
      </c>
      <c r="AJ198" s="1">
        <v>0.6</v>
      </c>
      <c r="AK198" s="1">
        <v>2.97</v>
      </c>
      <c r="AL198" s="1">
        <v>2.58</v>
      </c>
      <c r="AM198" s="1">
        <v>0</v>
      </c>
      <c r="AN198" s="1">
        <v>0</v>
      </c>
      <c r="AO198" s="1">
        <v>279.95422539999998</v>
      </c>
      <c r="AP198" s="1">
        <v>2.95</v>
      </c>
      <c r="AQ198" s="1">
        <v>0.01</v>
      </c>
      <c r="AR198" s="1">
        <v>0</v>
      </c>
      <c r="AS198" s="1">
        <v>0</v>
      </c>
      <c r="AT198" s="1">
        <v>0.3</v>
      </c>
      <c r="AU198" s="1">
        <v>0.14000000000000001</v>
      </c>
      <c r="AV198" s="1">
        <v>0</v>
      </c>
      <c r="AW198" s="1">
        <v>0.01</v>
      </c>
      <c r="AX198" s="1">
        <v>0</v>
      </c>
      <c r="AY198" s="1">
        <v>0</v>
      </c>
      <c r="AZ198" s="1">
        <v>102.502</v>
      </c>
      <c r="BA198" s="1">
        <v>0</v>
      </c>
      <c r="BB198" s="1">
        <v>0</v>
      </c>
      <c r="BC198" s="1">
        <v>0</v>
      </c>
      <c r="BD198" s="1">
        <v>0</v>
      </c>
    </row>
    <row r="199" spans="1:56">
      <c r="A199" s="18">
        <v>46192</v>
      </c>
      <c r="B199" s="1">
        <v>198</v>
      </c>
      <c r="C199" s="1" t="s">
        <v>89</v>
      </c>
      <c r="D199" s="1" t="s">
        <v>90</v>
      </c>
      <c r="E199" s="1">
        <v>2</v>
      </c>
      <c r="F199" s="1">
        <v>200</v>
      </c>
      <c r="H199" s="1" t="s">
        <v>91</v>
      </c>
      <c r="I199" s="1" t="s">
        <v>85</v>
      </c>
      <c r="J199" s="1" t="s">
        <v>84</v>
      </c>
      <c r="K199" s="1" t="s">
        <v>74</v>
      </c>
      <c r="L199" s="1" t="s">
        <v>72</v>
      </c>
      <c r="M199" s="1" t="s">
        <v>75</v>
      </c>
      <c r="N199" s="1" t="s">
        <v>76</v>
      </c>
      <c r="O199" s="1" t="s">
        <v>77</v>
      </c>
      <c r="P199" s="1" t="s">
        <v>27</v>
      </c>
      <c r="Q199" s="1" t="s">
        <v>86</v>
      </c>
      <c r="R199" s="1" t="s">
        <v>94</v>
      </c>
      <c r="S199" s="1" t="s">
        <v>87</v>
      </c>
      <c r="T199" s="1" t="s">
        <v>88</v>
      </c>
      <c r="X199" s="1" t="s">
        <v>73</v>
      </c>
      <c r="Z199" s="1" t="s">
        <v>70</v>
      </c>
      <c r="AA199" s="1" t="s">
        <v>95</v>
      </c>
      <c r="AB199" s="1">
        <v>5</v>
      </c>
      <c r="AC199" s="1">
        <v>748838.32</v>
      </c>
      <c r="AD199" s="1">
        <v>8930513.7400000002</v>
      </c>
      <c r="AE199" s="1">
        <v>209.92</v>
      </c>
      <c r="AF199" s="1">
        <v>748838.32</v>
      </c>
      <c r="AG199" s="1">
        <v>8930513.7400000002</v>
      </c>
      <c r="AH199" s="1">
        <v>199.4</v>
      </c>
      <c r="AI199" s="1">
        <v>10.52</v>
      </c>
      <c r="AJ199" s="1">
        <v>0.6</v>
      </c>
      <c r="AK199" s="1">
        <v>2.97</v>
      </c>
      <c r="AL199" s="1">
        <v>2.58</v>
      </c>
      <c r="AM199" s="1">
        <v>0</v>
      </c>
      <c r="AN199" s="1">
        <v>0</v>
      </c>
      <c r="AO199" s="1">
        <v>279.95422539999998</v>
      </c>
      <c r="AP199" s="1">
        <v>3.09</v>
      </c>
      <c r="AQ199" s="1">
        <v>0.19</v>
      </c>
      <c r="AR199" s="1">
        <v>0.02</v>
      </c>
      <c r="AS199" s="1">
        <v>0.02</v>
      </c>
      <c r="AT199" s="1">
        <v>6.53</v>
      </c>
      <c r="AU199" s="1">
        <v>2.97</v>
      </c>
      <c r="AV199" s="1">
        <v>0</v>
      </c>
      <c r="AW199" s="1">
        <v>0.09</v>
      </c>
      <c r="AX199" s="1">
        <v>0</v>
      </c>
      <c r="AY199" s="1">
        <v>0</v>
      </c>
      <c r="AZ199" s="1">
        <v>102.211</v>
      </c>
      <c r="BA199" s="1">
        <v>0</v>
      </c>
      <c r="BB199" s="1">
        <v>0</v>
      </c>
      <c r="BC199" s="1">
        <v>0</v>
      </c>
      <c r="BD199" s="1">
        <v>0</v>
      </c>
    </row>
    <row r="200" spans="1:56">
      <c r="A200" s="18">
        <v>46192</v>
      </c>
      <c r="B200" s="1">
        <v>199</v>
      </c>
      <c r="C200" s="1" t="s">
        <v>89</v>
      </c>
      <c r="D200" s="1" t="s">
        <v>90</v>
      </c>
      <c r="E200" s="1">
        <v>2</v>
      </c>
      <c r="F200" s="1">
        <v>200</v>
      </c>
      <c r="H200" s="1" t="s">
        <v>91</v>
      </c>
      <c r="I200" s="1" t="s">
        <v>79</v>
      </c>
      <c r="J200" s="1" t="s">
        <v>84</v>
      </c>
      <c r="K200" s="1" t="s">
        <v>74</v>
      </c>
      <c r="L200" s="1" t="s">
        <v>72</v>
      </c>
      <c r="M200" s="1" t="s">
        <v>75</v>
      </c>
      <c r="N200" s="1" t="s">
        <v>76</v>
      </c>
      <c r="O200" s="1" t="s">
        <v>77</v>
      </c>
      <c r="P200" s="1" t="s">
        <v>27</v>
      </c>
      <c r="Q200" s="1" t="s">
        <v>86</v>
      </c>
      <c r="R200" s="1" t="s">
        <v>94</v>
      </c>
      <c r="S200" s="1" t="s">
        <v>87</v>
      </c>
      <c r="T200" s="1" t="s">
        <v>88</v>
      </c>
      <c r="X200" s="1" t="s">
        <v>73</v>
      </c>
      <c r="Z200" s="1" t="s">
        <v>70</v>
      </c>
      <c r="AA200" s="1" t="s">
        <v>95</v>
      </c>
      <c r="AB200" s="1">
        <v>5</v>
      </c>
      <c r="AC200" s="1">
        <v>748836.72</v>
      </c>
      <c r="AD200" s="1">
        <v>8930516.2400000002</v>
      </c>
      <c r="AE200" s="1">
        <v>210.45</v>
      </c>
      <c r="AF200" s="1">
        <v>748836.72</v>
      </c>
      <c r="AG200" s="1">
        <v>8930516.2400000002</v>
      </c>
      <c r="AH200" s="1">
        <v>199.4</v>
      </c>
      <c r="AI200" s="1">
        <v>11.05</v>
      </c>
      <c r="AJ200" s="1">
        <v>0.6</v>
      </c>
      <c r="AK200" s="1">
        <v>2.97</v>
      </c>
      <c r="AL200" s="1">
        <v>2.58</v>
      </c>
      <c r="AM200" s="1">
        <v>0</v>
      </c>
      <c r="AN200" s="1">
        <v>0</v>
      </c>
      <c r="AO200" s="1">
        <v>279.95422539999998</v>
      </c>
      <c r="AP200" s="1">
        <v>3.2</v>
      </c>
      <c r="AQ200" s="1">
        <v>0.33</v>
      </c>
      <c r="AR200" s="1">
        <v>0.04</v>
      </c>
      <c r="AS200" s="1">
        <v>0.03</v>
      </c>
      <c r="AT200" s="1">
        <v>11.33</v>
      </c>
      <c r="AU200" s="1">
        <v>5.14</v>
      </c>
      <c r="AV200" s="1">
        <v>0.01</v>
      </c>
      <c r="AW200" s="1">
        <v>0.14000000000000001</v>
      </c>
      <c r="AX200" s="1">
        <v>0</v>
      </c>
      <c r="AY200" s="1">
        <v>0</v>
      </c>
      <c r="AZ200" s="1">
        <v>109.928</v>
      </c>
      <c r="BA200" s="1">
        <v>0</v>
      </c>
      <c r="BB200" s="1">
        <v>0</v>
      </c>
      <c r="BC200" s="1">
        <v>0</v>
      </c>
      <c r="BD200" s="1">
        <v>0</v>
      </c>
    </row>
    <row r="201" spans="1:56">
      <c r="A201" s="18">
        <v>46192</v>
      </c>
      <c r="B201" s="1">
        <v>200</v>
      </c>
      <c r="C201" s="1" t="s">
        <v>89</v>
      </c>
      <c r="D201" s="1" t="s">
        <v>90</v>
      </c>
      <c r="E201" s="1">
        <v>2</v>
      </c>
      <c r="F201" s="1">
        <v>200</v>
      </c>
      <c r="G201" s="1">
        <v>1</v>
      </c>
      <c r="H201" s="1" t="s">
        <v>91</v>
      </c>
      <c r="I201" s="1" t="s">
        <v>79</v>
      </c>
      <c r="J201" s="1" t="s">
        <v>84</v>
      </c>
      <c r="K201" s="1" t="s">
        <v>74</v>
      </c>
      <c r="L201" s="1" t="s">
        <v>72</v>
      </c>
      <c r="M201" s="1" t="s">
        <v>75</v>
      </c>
      <c r="N201" s="1" t="s">
        <v>76</v>
      </c>
      <c r="O201" s="1" t="s">
        <v>77</v>
      </c>
      <c r="P201" s="1" t="s">
        <v>27</v>
      </c>
      <c r="Q201" s="1" t="s">
        <v>86</v>
      </c>
      <c r="R201" s="1" t="s">
        <v>94</v>
      </c>
      <c r="S201" s="1" t="s">
        <v>87</v>
      </c>
      <c r="T201" s="1" t="s">
        <v>88</v>
      </c>
      <c r="X201" s="1" t="s">
        <v>73</v>
      </c>
      <c r="Z201" s="1" t="s">
        <v>70</v>
      </c>
      <c r="AA201" s="1" t="s">
        <v>95</v>
      </c>
      <c r="AB201" s="1">
        <v>5</v>
      </c>
      <c r="AC201" s="1">
        <v>748835.12</v>
      </c>
      <c r="AD201" s="1">
        <v>8930518.7400000002</v>
      </c>
      <c r="AE201" s="1">
        <v>210.74</v>
      </c>
      <c r="AF201" s="1">
        <v>748835.12</v>
      </c>
      <c r="AG201" s="1">
        <v>8930518.7400000002</v>
      </c>
      <c r="AH201" s="1">
        <v>199.4</v>
      </c>
      <c r="AI201" s="1">
        <v>11.34</v>
      </c>
      <c r="AJ201" s="1">
        <v>0.6</v>
      </c>
      <c r="AK201" s="1">
        <v>2.97</v>
      </c>
      <c r="AL201" s="1">
        <v>2.58</v>
      </c>
      <c r="AM201" s="1">
        <v>0</v>
      </c>
      <c r="AN201" s="1">
        <v>0</v>
      </c>
      <c r="AO201" s="1">
        <v>279.95422539999998</v>
      </c>
      <c r="AP201" s="1">
        <v>3.21</v>
      </c>
      <c r="AQ201" s="1">
        <v>0.33</v>
      </c>
      <c r="AR201" s="1">
        <v>0.04</v>
      </c>
      <c r="AS201" s="1">
        <v>0.03</v>
      </c>
      <c r="AT201" s="1">
        <v>11.4</v>
      </c>
      <c r="AU201" s="1">
        <v>5.19</v>
      </c>
      <c r="AV201" s="1">
        <v>0.01</v>
      </c>
      <c r="AW201" s="1">
        <v>0.14000000000000001</v>
      </c>
      <c r="AX201" s="1">
        <v>0</v>
      </c>
      <c r="AY201" s="1">
        <v>0</v>
      </c>
      <c r="AZ201" s="1">
        <v>114.15</v>
      </c>
      <c r="BA201" s="1">
        <v>0</v>
      </c>
      <c r="BB201" s="1">
        <v>0</v>
      </c>
      <c r="BC201" s="1">
        <v>0</v>
      </c>
      <c r="BD201" s="1">
        <v>0</v>
      </c>
    </row>
    <row r="202" spans="1:56">
      <c r="A202" s="18">
        <v>46192</v>
      </c>
      <c r="B202" s="1">
        <v>201</v>
      </c>
      <c r="C202" s="1" t="s">
        <v>89</v>
      </c>
      <c r="D202" s="1" t="s">
        <v>90</v>
      </c>
      <c r="E202" s="1">
        <v>2</v>
      </c>
      <c r="F202" s="1">
        <v>200</v>
      </c>
      <c r="G202" s="1">
        <v>1</v>
      </c>
      <c r="H202" s="1" t="s">
        <v>91</v>
      </c>
      <c r="I202" s="1" t="s">
        <v>79</v>
      </c>
      <c r="J202" s="1" t="s">
        <v>84</v>
      </c>
      <c r="K202" s="1" t="s">
        <v>74</v>
      </c>
      <c r="L202" s="1" t="s">
        <v>72</v>
      </c>
      <c r="M202" s="1" t="s">
        <v>75</v>
      </c>
      <c r="N202" s="1" t="s">
        <v>76</v>
      </c>
      <c r="O202" s="1" t="s">
        <v>77</v>
      </c>
      <c r="P202" s="1" t="s">
        <v>27</v>
      </c>
      <c r="Q202" s="1" t="s">
        <v>86</v>
      </c>
      <c r="R202" s="1" t="s">
        <v>94</v>
      </c>
      <c r="S202" s="1" t="s">
        <v>87</v>
      </c>
      <c r="T202" s="1" t="s">
        <v>88</v>
      </c>
      <c r="X202" s="1" t="s">
        <v>73</v>
      </c>
      <c r="Z202" s="1" t="s">
        <v>70</v>
      </c>
      <c r="AA202" s="1" t="s">
        <v>95</v>
      </c>
      <c r="AB202" s="1">
        <v>5</v>
      </c>
      <c r="AC202" s="1">
        <v>748833.52</v>
      </c>
      <c r="AD202" s="1">
        <v>8930521.2400000002</v>
      </c>
      <c r="AE202" s="1">
        <v>210.74</v>
      </c>
      <c r="AF202" s="1">
        <v>748833.52</v>
      </c>
      <c r="AG202" s="1">
        <v>8930521.2400000002</v>
      </c>
      <c r="AH202" s="1">
        <v>199.4</v>
      </c>
      <c r="AI202" s="1">
        <v>11.34</v>
      </c>
      <c r="AJ202" s="1">
        <v>0.6</v>
      </c>
      <c r="AK202" s="1">
        <v>2.97</v>
      </c>
      <c r="AL202" s="1">
        <v>2.58</v>
      </c>
      <c r="AM202" s="1">
        <v>0</v>
      </c>
      <c r="AN202" s="1">
        <v>0</v>
      </c>
      <c r="AO202" s="1">
        <v>279.95422539999998</v>
      </c>
      <c r="AP202" s="1">
        <v>3.24</v>
      </c>
      <c r="AQ202" s="1">
        <v>0.35</v>
      </c>
      <c r="AR202" s="1">
        <v>0.05</v>
      </c>
      <c r="AS202" s="1">
        <v>0.03</v>
      </c>
      <c r="AT202" s="1">
        <v>11.49</v>
      </c>
      <c r="AU202" s="1">
        <v>5.31</v>
      </c>
      <c r="AV202" s="1">
        <v>0.01</v>
      </c>
      <c r="AW202" s="1">
        <v>0.14000000000000001</v>
      </c>
      <c r="AX202" s="1">
        <v>0</v>
      </c>
      <c r="AY202" s="1">
        <v>0</v>
      </c>
      <c r="AZ202" s="1">
        <v>114.15</v>
      </c>
      <c r="BA202" s="1">
        <v>0</v>
      </c>
      <c r="BB202" s="1">
        <v>0</v>
      </c>
      <c r="BC202" s="1">
        <v>0</v>
      </c>
      <c r="BD202" s="1">
        <v>0</v>
      </c>
    </row>
    <row r="203" spans="1:56">
      <c r="A203" s="18">
        <v>46192</v>
      </c>
      <c r="B203" s="1">
        <v>202</v>
      </c>
      <c r="C203" s="1" t="s">
        <v>89</v>
      </c>
      <c r="D203" s="1" t="s">
        <v>90</v>
      </c>
      <c r="E203" s="1">
        <v>2</v>
      </c>
      <c r="F203" s="1">
        <v>200</v>
      </c>
      <c r="G203" s="1">
        <v>1</v>
      </c>
      <c r="H203" s="1" t="s">
        <v>91</v>
      </c>
      <c r="I203" s="1" t="s">
        <v>79</v>
      </c>
      <c r="J203" s="1" t="s">
        <v>84</v>
      </c>
      <c r="K203" s="1" t="s">
        <v>74</v>
      </c>
      <c r="L203" s="1" t="s">
        <v>72</v>
      </c>
      <c r="M203" s="1" t="s">
        <v>75</v>
      </c>
      <c r="N203" s="1" t="s">
        <v>76</v>
      </c>
      <c r="O203" s="1" t="s">
        <v>77</v>
      </c>
      <c r="P203" s="1" t="s">
        <v>27</v>
      </c>
      <c r="Q203" s="1" t="s">
        <v>86</v>
      </c>
      <c r="R203" s="1" t="s">
        <v>94</v>
      </c>
      <c r="S203" s="1" t="s">
        <v>87</v>
      </c>
      <c r="T203" s="1" t="s">
        <v>88</v>
      </c>
      <c r="X203" s="1" t="s">
        <v>73</v>
      </c>
      <c r="Z203" s="1" t="s">
        <v>70</v>
      </c>
      <c r="AA203" s="1" t="s">
        <v>95</v>
      </c>
      <c r="AB203" s="1">
        <v>5</v>
      </c>
      <c r="AC203" s="1">
        <v>748831.91</v>
      </c>
      <c r="AD203" s="1">
        <v>8930523.7400000002</v>
      </c>
      <c r="AE203" s="1">
        <v>210.74</v>
      </c>
      <c r="AF203" s="1">
        <v>748831.91</v>
      </c>
      <c r="AG203" s="1">
        <v>8930523.7400000002</v>
      </c>
      <c r="AH203" s="1">
        <v>199.4</v>
      </c>
      <c r="AI203" s="1">
        <v>11.34</v>
      </c>
      <c r="AJ203" s="1">
        <v>0.6</v>
      </c>
      <c r="AK203" s="1">
        <v>2.97</v>
      </c>
      <c r="AL203" s="1">
        <v>2.58</v>
      </c>
      <c r="AM203" s="1">
        <v>0</v>
      </c>
      <c r="AN203" s="1">
        <v>0</v>
      </c>
      <c r="AO203" s="1">
        <v>279.95422539999998</v>
      </c>
      <c r="AP203" s="1">
        <v>3.24</v>
      </c>
      <c r="AQ203" s="1">
        <v>0.35</v>
      </c>
      <c r="AR203" s="1">
        <v>0.05</v>
      </c>
      <c r="AS203" s="1">
        <v>0.03</v>
      </c>
      <c r="AT203" s="1">
        <v>11.51</v>
      </c>
      <c r="AU203" s="1">
        <v>5.34</v>
      </c>
      <c r="AV203" s="1">
        <v>0.01</v>
      </c>
      <c r="AW203" s="1">
        <v>0.13</v>
      </c>
      <c r="AX203" s="1">
        <v>0</v>
      </c>
      <c r="AY203" s="1">
        <v>0</v>
      </c>
      <c r="AZ203" s="1">
        <v>114.15</v>
      </c>
      <c r="BA203" s="1">
        <v>0</v>
      </c>
      <c r="BB203" s="1">
        <v>0</v>
      </c>
      <c r="BC203" s="1">
        <v>0</v>
      </c>
      <c r="BD203" s="1">
        <v>0</v>
      </c>
    </row>
    <row r="204" spans="1:56">
      <c r="A204" s="18">
        <v>46192</v>
      </c>
      <c r="B204" s="1">
        <v>203</v>
      </c>
      <c r="C204" s="1" t="s">
        <v>89</v>
      </c>
      <c r="D204" s="1" t="s">
        <v>90</v>
      </c>
      <c r="E204" s="1">
        <v>2</v>
      </c>
      <c r="F204" s="1">
        <v>200</v>
      </c>
      <c r="G204" s="1">
        <v>1</v>
      </c>
      <c r="H204" s="1" t="s">
        <v>91</v>
      </c>
      <c r="I204" s="1" t="s">
        <v>79</v>
      </c>
      <c r="J204" s="1" t="s">
        <v>84</v>
      </c>
      <c r="K204" s="1" t="s">
        <v>74</v>
      </c>
      <c r="L204" s="1" t="s">
        <v>72</v>
      </c>
      <c r="M204" s="1" t="s">
        <v>75</v>
      </c>
      <c r="N204" s="1" t="s">
        <v>76</v>
      </c>
      <c r="O204" s="1" t="s">
        <v>77</v>
      </c>
      <c r="P204" s="1" t="s">
        <v>27</v>
      </c>
      <c r="Q204" s="1" t="s">
        <v>86</v>
      </c>
      <c r="R204" s="1" t="s">
        <v>94</v>
      </c>
      <c r="S204" s="1" t="s">
        <v>87</v>
      </c>
      <c r="T204" s="1" t="s">
        <v>88</v>
      </c>
      <c r="X204" s="1" t="s">
        <v>73</v>
      </c>
      <c r="Z204" s="1" t="s">
        <v>70</v>
      </c>
      <c r="AA204" s="1" t="s">
        <v>95</v>
      </c>
      <c r="AB204" s="1">
        <v>5</v>
      </c>
      <c r="AC204" s="1">
        <v>748830.31</v>
      </c>
      <c r="AD204" s="1">
        <v>8930526.2400000002</v>
      </c>
      <c r="AE204" s="1">
        <v>210.73</v>
      </c>
      <c r="AF204" s="1">
        <v>748830.31</v>
      </c>
      <c r="AG204" s="1">
        <v>8930526.2400000002</v>
      </c>
      <c r="AH204" s="1">
        <v>199.4</v>
      </c>
      <c r="AI204" s="1">
        <v>11.33</v>
      </c>
      <c r="AJ204" s="1">
        <v>0.6</v>
      </c>
      <c r="AK204" s="1">
        <v>2.97</v>
      </c>
      <c r="AL204" s="1">
        <v>2.58</v>
      </c>
      <c r="AM204" s="1">
        <v>0</v>
      </c>
      <c r="AN204" s="1">
        <v>0</v>
      </c>
      <c r="AO204" s="1">
        <v>279.95422539999998</v>
      </c>
      <c r="AP204" s="1">
        <v>3.23</v>
      </c>
      <c r="AQ204" s="1">
        <v>0.35</v>
      </c>
      <c r="AR204" s="1">
        <v>0.05</v>
      </c>
      <c r="AS204" s="1">
        <v>0.03</v>
      </c>
      <c r="AT204" s="1">
        <v>11.57</v>
      </c>
      <c r="AU204" s="1">
        <v>5.31</v>
      </c>
      <c r="AV204" s="1">
        <v>0</v>
      </c>
      <c r="AW204" s="1">
        <v>0.08</v>
      </c>
      <c r="AX204" s="1">
        <v>0</v>
      </c>
      <c r="AY204" s="1">
        <v>0</v>
      </c>
      <c r="AZ204" s="1">
        <v>114.005</v>
      </c>
      <c r="BA204" s="1">
        <v>0</v>
      </c>
      <c r="BB204" s="1">
        <v>0</v>
      </c>
      <c r="BC204" s="1">
        <v>0</v>
      </c>
      <c r="BD204" s="1">
        <v>0</v>
      </c>
    </row>
    <row r="205" spans="1:56">
      <c r="A205" s="18">
        <v>46192</v>
      </c>
      <c r="B205" s="1">
        <v>204</v>
      </c>
      <c r="C205" s="1" t="s">
        <v>89</v>
      </c>
      <c r="D205" s="1" t="s">
        <v>90</v>
      </c>
      <c r="E205" s="1">
        <v>2</v>
      </c>
      <c r="F205" s="1">
        <v>200</v>
      </c>
      <c r="G205" s="1">
        <v>1</v>
      </c>
      <c r="H205" s="1" t="s">
        <v>91</v>
      </c>
      <c r="I205" s="1" t="s">
        <v>79</v>
      </c>
      <c r="J205" s="1" t="s">
        <v>84</v>
      </c>
      <c r="K205" s="1" t="s">
        <v>74</v>
      </c>
      <c r="L205" s="1" t="s">
        <v>72</v>
      </c>
      <c r="M205" s="1" t="s">
        <v>75</v>
      </c>
      <c r="N205" s="1" t="s">
        <v>76</v>
      </c>
      <c r="O205" s="1" t="s">
        <v>77</v>
      </c>
      <c r="P205" s="1" t="s">
        <v>27</v>
      </c>
      <c r="Q205" s="1" t="s">
        <v>86</v>
      </c>
      <c r="R205" s="1" t="s">
        <v>94</v>
      </c>
      <c r="S205" s="1" t="s">
        <v>87</v>
      </c>
      <c r="T205" s="1" t="s">
        <v>88</v>
      </c>
      <c r="X205" s="1" t="s">
        <v>73</v>
      </c>
      <c r="Z205" s="1" t="s">
        <v>70</v>
      </c>
      <c r="AA205" s="1" t="s">
        <v>95</v>
      </c>
      <c r="AB205" s="1">
        <v>5</v>
      </c>
      <c r="AC205" s="1">
        <v>748828.71</v>
      </c>
      <c r="AD205" s="1">
        <v>8930528.7400000002</v>
      </c>
      <c r="AE205" s="1">
        <v>210.54</v>
      </c>
      <c r="AF205" s="1">
        <v>748828.71</v>
      </c>
      <c r="AG205" s="1">
        <v>8930528.7400000002</v>
      </c>
      <c r="AH205" s="1">
        <v>199.4</v>
      </c>
      <c r="AI205" s="1">
        <v>11.14</v>
      </c>
      <c r="AJ205" s="1">
        <v>0.6</v>
      </c>
      <c r="AK205" s="1">
        <v>2.97</v>
      </c>
      <c r="AL205" s="1">
        <v>2.58</v>
      </c>
      <c r="AM205" s="1">
        <v>0</v>
      </c>
      <c r="AN205" s="1">
        <v>0</v>
      </c>
      <c r="AO205" s="1">
        <v>279.95422539999998</v>
      </c>
      <c r="AP205" s="1">
        <v>3.22</v>
      </c>
      <c r="AQ205" s="1">
        <v>0.42</v>
      </c>
      <c r="AR205" s="1">
        <v>0.05</v>
      </c>
      <c r="AS205" s="1">
        <v>0.04</v>
      </c>
      <c r="AT205" s="1">
        <v>12.84</v>
      </c>
      <c r="AU205" s="1">
        <v>5.31</v>
      </c>
      <c r="AV205" s="1">
        <v>0</v>
      </c>
      <c r="AW205" s="1">
        <v>0.02</v>
      </c>
      <c r="AX205" s="1">
        <v>0.87</v>
      </c>
      <c r="AY205" s="1">
        <v>0</v>
      </c>
      <c r="AZ205" s="1">
        <v>111.238</v>
      </c>
      <c r="BA205" s="1">
        <v>0</v>
      </c>
      <c r="BB205" s="1">
        <v>0</v>
      </c>
      <c r="BC205" s="1">
        <v>0</v>
      </c>
      <c r="BD205" s="1">
        <v>0</v>
      </c>
    </row>
    <row r="206" spans="1:56">
      <c r="A206" s="18">
        <v>46192</v>
      </c>
      <c r="B206" s="1">
        <v>205</v>
      </c>
      <c r="C206" s="1" t="s">
        <v>89</v>
      </c>
      <c r="D206" s="1" t="s">
        <v>90</v>
      </c>
      <c r="E206" s="1">
        <v>2</v>
      </c>
      <c r="F206" s="1">
        <v>200</v>
      </c>
      <c r="G206" s="1">
        <v>1</v>
      </c>
      <c r="H206" s="1" t="s">
        <v>91</v>
      </c>
      <c r="I206" s="1" t="s">
        <v>79</v>
      </c>
      <c r="J206" s="1" t="s">
        <v>81</v>
      </c>
      <c r="K206" s="1" t="s">
        <v>74</v>
      </c>
      <c r="L206" s="1" t="s">
        <v>72</v>
      </c>
      <c r="M206" s="1" t="s">
        <v>75</v>
      </c>
      <c r="N206" s="1" t="s">
        <v>76</v>
      </c>
      <c r="O206" s="1" t="s">
        <v>77</v>
      </c>
      <c r="P206" s="1" t="s">
        <v>27</v>
      </c>
      <c r="Q206" s="1" t="s">
        <v>86</v>
      </c>
      <c r="R206" s="1" t="s">
        <v>94</v>
      </c>
      <c r="S206" s="1" t="s">
        <v>87</v>
      </c>
      <c r="T206" s="1" t="s">
        <v>88</v>
      </c>
      <c r="X206" s="1" t="s">
        <v>73</v>
      </c>
      <c r="Z206" s="1" t="s">
        <v>70</v>
      </c>
      <c r="AA206" s="1" t="s">
        <v>95</v>
      </c>
      <c r="AB206" s="1">
        <v>5</v>
      </c>
      <c r="AC206" s="1">
        <v>748827.1</v>
      </c>
      <c r="AD206" s="1">
        <v>8930531.2400000002</v>
      </c>
      <c r="AE206" s="1">
        <v>210.67</v>
      </c>
      <c r="AF206" s="1">
        <v>748827.1</v>
      </c>
      <c r="AG206" s="1">
        <v>8930531.2400000002</v>
      </c>
      <c r="AH206" s="1">
        <v>199.4</v>
      </c>
      <c r="AI206" s="1">
        <v>11.27</v>
      </c>
      <c r="AJ206" s="1">
        <v>0.6</v>
      </c>
      <c r="AK206" s="1">
        <v>2.97</v>
      </c>
      <c r="AL206" s="1">
        <v>2.58</v>
      </c>
      <c r="AM206" s="1">
        <v>0</v>
      </c>
      <c r="AN206" s="1">
        <v>0</v>
      </c>
      <c r="AO206" s="1">
        <v>279.95422539999998</v>
      </c>
      <c r="AP206" s="1">
        <v>3.22</v>
      </c>
      <c r="AQ206" s="1">
        <v>0.77</v>
      </c>
      <c r="AR206" s="1">
        <v>0.05</v>
      </c>
      <c r="AS206" s="1">
        <v>0.09</v>
      </c>
      <c r="AT206" s="1">
        <v>18.95</v>
      </c>
      <c r="AU206" s="1">
        <v>5.52</v>
      </c>
      <c r="AV206" s="1">
        <v>0</v>
      </c>
      <c r="AW206" s="1">
        <v>0</v>
      </c>
      <c r="AX206" s="1">
        <v>5.23</v>
      </c>
      <c r="AY206" s="1">
        <v>0</v>
      </c>
      <c r="AZ206" s="1">
        <v>113.131</v>
      </c>
      <c r="BA206" s="1">
        <v>0</v>
      </c>
      <c r="BB206" s="1">
        <v>0</v>
      </c>
      <c r="BC206" s="1">
        <v>0</v>
      </c>
      <c r="BD206" s="1">
        <v>0</v>
      </c>
    </row>
    <row r="207" spans="1:56">
      <c r="A207" s="18">
        <v>46192</v>
      </c>
      <c r="B207" s="1">
        <v>206</v>
      </c>
      <c r="C207" s="1" t="s">
        <v>89</v>
      </c>
      <c r="D207" s="1" t="s">
        <v>90</v>
      </c>
      <c r="E207" s="1">
        <v>2</v>
      </c>
      <c r="F207" s="1">
        <v>200</v>
      </c>
      <c r="G207" s="1">
        <v>1</v>
      </c>
      <c r="H207" s="1" t="s">
        <v>91</v>
      </c>
      <c r="I207" s="1" t="s">
        <v>79</v>
      </c>
      <c r="J207" s="1" t="s">
        <v>81</v>
      </c>
      <c r="K207" s="1" t="s">
        <v>74</v>
      </c>
      <c r="L207" s="1" t="s">
        <v>72</v>
      </c>
      <c r="M207" s="1" t="s">
        <v>75</v>
      </c>
      <c r="N207" s="1" t="s">
        <v>76</v>
      </c>
      <c r="O207" s="1" t="s">
        <v>77</v>
      </c>
      <c r="P207" s="1" t="s">
        <v>27</v>
      </c>
      <c r="Q207" s="1" t="s">
        <v>86</v>
      </c>
      <c r="R207" s="1" t="s">
        <v>94</v>
      </c>
      <c r="S207" s="1" t="s">
        <v>87</v>
      </c>
      <c r="T207" s="1" t="s">
        <v>88</v>
      </c>
      <c r="X207" s="1" t="s">
        <v>73</v>
      </c>
      <c r="Z207" s="1" t="s">
        <v>70</v>
      </c>
      <c r="AA207" s="1" t="s">
        <v>95</v>
      </c>
      <c r="AB207" s="1">
        <v>5</v>
      </c>
      <c r="AC207" s="1">
        <v>748825.5</v>
      </c>
      <c r="AD207" s="1">
        <v>8930533.7400000002</v>
      </c>
      <c r="AE207" s="1">
        <v>210.95</v>
      </c>
      <c r="AF207" s="1">
        <v>748825.5</v>
      </c>
      <c r="AG207" s="1">
        <v>8930533.7400000002</v>
      </c>
      <c r="AH207" s="1">
        <v>199.4</v>
      </c>
      <c r="AI207" s="1">
        <v>11.55</v>
      </c>
      <c r="AJ207" s="1">
        <v>0.6</v>
      </c>
      <c r="AK207" s="1">
        <v>2.97</v>
      </c>
      <c r="AL207" s="1">
        <v>2.58</v>
      </c>
      <c r="AM207" s="1">
        <v>0</v>
      </c>
      <c r="AN207" s="1">
        <v>0</v>
      </c>
      <c r="AO207" s="1">
        <v>279.95422539999998</v>
      </c>
      <c r="AP207" s="1">
        <v>3.21</v>
      </c>
      <c r="AQ207" s="1">
        <v>0.83</v>
      </c>
      <c r="AR207" s="1">
        <v>0.05</v>
      </c>
      <c r="AS207" s="1">
        <v>0.09</v>
      </c>
      <c r="AT207" s="1">
        <v>19.829999999999998</v>
      </c>
      <c r="AU207" s="1">
        <v>5.41</v>
      </c>
      <c r="AV207" s="1">
        <v>0</v>
      </c>
      <c r="AW207" s="1">
        <v>0</v>
      </c>
      <c r="AX207" s="1">
        <v>6.12</v>
      </c>
      <c r="AY207" s="1">
        <v>0</v>
      </c>
      <c r="AZ207" s="1">
        <v>117.208</v>
      </c>
      <c r="BA207" s="1">
        <v>0</v>
      </c>
      <c r="BB207" s="1">
        <v>0</v>
      </c>
      <c r="BC207" s="1">
        <v>0</v>
      </c>
      <c r="BD207" s="1">
        <v>0</v>
      </c>
    </row>
    <row r="208" spans="1:56">
      <c r="A208" s="18">
        <v>46192</v>
      </c>
      <c r="B208" s="1">
        <v>207</v>
      </c>
      <c r="C208" s="1" t="s">
        <v>89</v>
      </c>
      <c r="D208" s="1" t="s">
        <v>90</v>
      </c>
      <c r="E208" s="1">
        <v>2</v>
      </c>
      <c r="F208" s="1">
        <v>200</v>
      </c>
      <c r="G208" s="1">
        <v>1</v>
      </c>
      <c r="H208" s="1" t="s">
        <v>91</v>
      </c>
      <c r="I208" s="1" t="s">
        <v>79</v>
      </c>
      <c r="J208" s="1" t="s">
        <v>81</v>
      </c>
      <c r="K208" s="1" t="s">
        <v>74</v>
      </c>
      <c r="L208" s="1" t="s">
        <v>72</v>
      </c>
      <c r="M208" s="1" t="s">
        <v>75</v>
      </c>
      <c r="N208" s="1" t="s">
        <v>76</v>
      </c>
      <c r="O208" s="1" t="s">
        <v>77</v>
      </c>
      <c r="P208" s="1" t="s">
        <v>27</v>
      </c>
      <c r="Q208" s="1" t="s">
        <v>86</v>
      </c>
      <c r="R208" s="1" t="s">
        <v>94</v>
      </c>
      <c r="S208" s="1" t="s">
        <v>87</v>
      </c>
      <c r="T208" s="1" t="s">
        <v>88</v>
      </c>
      <c r="X208" s="1" t="s">
        <v>73</v>
      </c>
      <c r="Z208" s="1" t="s">
        <v>70</v>
      </c>
      <c r="AA208" s="1" t="s">
        <v>95</v>
      </c>
      <c r="AB208" s="1">
        <v>5</v>
      </c>
      <c r="AC208" s="1">
        <v>748823.9</v>
      </c>
      <c r="AD208" s="1">
        <v>8930536.2400000002</v>
      </c>
      <c r="AE208" s="1">
        <v>211.03</v>
      </c>
      <c r="AF208" s="1">
        <v>748823.9</v>
      </c>
      <c r="AG208" s="1">
        <v>8930536.2400000002</v>
      </c>
      <c r="AH208" s="1">
        <v>199.4</v>
      </c>
      <c r="AI208" s="1">
        <v>11.63</v>
      </c>
      <c r="AJ208" s="1">
        <v>0.6</v>
      </c>
      <c r="AK208" s="1">
        <v>2.97</v>
      </c>
      <c r="AL208" s="1">
        <v>2.58</v>
      </c>
      <c r="AM208" s="1">
        <v>0</v>
      </c>
      <c r="AN208" s="1">
        <v>0</v>
      </c>
      <c r="AO208" s="1">
        <v>279.95422539999998</v>
      </c>
      <c r="AP208" s="1">
        <v>3.2</v>
      </c>
      <c r="AQ208" s="1">
        <v>0.77</v>
      </c>
      <c r="AR208" s="1">
        <v>0.04</v>
      </c>
      <c r="AS208" s="1">
        <v>0.09</v>
      </c>
      <c r="AT208" s="1">
        <v>18.420000000000002</v>
      </c>
      <c r="AU208" s="1">
        <v>4.9800000000000004</v>
      </c>
      <c r="AV208" s="1">
        <v>0</v>
      </c>
      <c r="AW208" s="1">
        <v>0</v>
      </c>
      <c r="AX208" s="1">
        <v>5.78</v>
      </c>
      <c r="AY208" s="1">
        <v>0</v>
      </c>
      <c r="AZ208" s="1">
        <v>118.373</v>
      </c>
      <c r="BA208" s="1">
        <v>0</v>
      </c>
      <c r="BB208" s="1">
        <v>0</v>
      </c>
      <c r="BC208" s="1">
        <v>0</v>
      </c>
      <c r="BD208" s="1">
        <v>0</v>
      </c>
    </row>
    <row r="209" spans="1:56">
      <c r="A209" s="18">
        <v>46192</v>
      </c>
      <c r="B209" s="1">
        <v>208</v>
      </c>
      <c r="C209" s="1" t="s">
        <v>89</v>
      </c>
      <c r="D209" s="1" t="s">
        <v>90</v>
      </c>
      <c r="E209" s="1">
        <v>2</v>
      </c>
      <c r="F209" s="1">
        <v>200</v>
      </c>
      <c r="G209" s="1">
        <v>1</v>
      </c>
      <c r="H209" s="1" t="s">
        <v>91</v>
      </c>
      <c r="I209" s="1" t="s">
        <v>79</v>
      </c>
      <c r="J209" s="1" t="s">
        <v>81</v>
      </c>
      <c r="K209" s="1" t="s">
        <v>74</v>
      </c>
      <c r="L209" s="1" t="s">
        <v>72</v>
      </c>
      <c r="M209" s="1" t="s">
        <v>75</v>
      </c>
      <c r="N209" s="1" t="s">
        <v>76</v>
      </c>
      <c r="O209" s="1" t="s">
        <v>77</v>
      </c>
      <c r="P209" s="1" t="s">
        <v>27</v>
      </c>
      <c r="Q209" s="1" t="s">
        <v>86</v>
      </c>
      <c r="R209" s="1" t="s">
        <v>94</v>
      </c>
      <c r="S209" s="1" t="s">
        <v>87</v>
      </c>
      <c r="T209" s="1" t="s">
        <v>88</v>
      </c>
      <c r="X209" s="1" t="s">
        <v>73</v>
      </c>
      <c r="Z209" s="1" t="s">
        <v>70</v>
      </c>
      <c r="AA209" s="1" t="s">
        <v>95</v>
      </c>
      <c r="AB209" s="1">
        <v>5</v>
      </c>
      <c r="AC209" s="1">
        <v>748822.29</v>
      </c>
      <c r="AD209" s="1">
        <v>8930538.7400000002</v>
      </c>
      <c r="AE209" s="1">
        <v>211.06</v>
      </c>
      <c r="AF209" s="1">
        <v>748822.29</v>
      </c>
      <c r="AG209" s="1">
        <v>8930538.7400000002</v>
      </c>
      <c r="AH209" s="1">
        <v>199.4</v>
      </c>
      <c r="AI209" s="1">
        <v>11.66</v>
      </c>
      <c r="AJ209" s="1">
        <v>0.6</v>
      </c>
      <c r="AK209" s="1">
        <v>2.97</v>
      </c>
      <c r="AL209" s="1">
        <v>2.58</v>
      </c>
      <c r="AM209" s="1">
        <v>0</v>
      </c>
      <c r="AN209" s="1">
        <v>0</v>
      </c>
      <c r="AO209" s="1">
        <v>279.95422539999998</v>
      </c>
      <c r="AP209" s="1">
        <v>3.18</v>
      </c>
      <c r="AQ209" s="1">
        <v>0.7</v>
      </c>
      <c r="AR209" s="1">
        <v>0.04</v>
      </c>
      <c r="AS209" s="1">
        <v>0.08</v>
      </c>
      <c r="AT209" s="1">
        <v>16.440000000000001</v>
      </c>
      <c r="AU209" s="1">
        <v>4.46</v>
      </c>
      <c r="AV209" s="1">
        <v>0</v>
      </c>
      <c r="AW209" s="1">
        <v>0</v>
      </c>
      <c r="AX209" s="1">
        <v>5.19</v>
      </c>
      <c r="AY209" s="1">
        <v>0</v>
      </c>
      <c r="AZ209" s="1">
        <v>118.81</v>
      </c>
      <c r="BA209" s="1">
        <v>0</v>
      </c>
      <c r="BB209" s="1">
        <v>0</v>
      </c>
      <c r="BC209" s="1">
        <v>0</v>
      </c>
      <c r="BD209" s="1">
        <v>0</v>
      </c>
    </row>
    <row r="210" spans="1:56">
      <c r="A210" s="18">
        <v>46192</v>
      </c>
      <c r="B210" s="1">
        <v>209</v>
      </c>
      <c r="C210" s="1" t="s">
        <v>89</v>
      </c>
      <c r="D210" s="1" t="s">
        <v>90</v>
      </c>
      <c r="E210" s="1">
        <v>2</v>
      </c>
      <c r="F210" s="1">
        <v>200</v>
      </c>
      <c r="G210" s="1">
        <v>1</v>
      </c>
      <c r="H210" s="1" t="s">
        <v>91</v>
      </c>
      <c r="I210" s="1" t="s">
        <v>79</v>
      </c>
      <c r="J210" s="1" t="s">
        <v>83</v>
      </c>
      <c r="K210" s="1" t="s">
        <v>74</v>
      </c>
      <c r="L210" s="1" t="s">
        <v>72</v>
      </c>
      <c r="M210" s="1" t="s">
        <v>75</v>
      </c>
      <c r="N210" s="1" t="s">
        <v>76</v>
      </c>
      <c r="O210" s="1" t="s">
        <v>77</v>
      </c>
      <c r="P210" s="1" t="s">
        <v>27</v>
      </c>
      <c r="Q210" s="1" t="s">
        <v>86</v>
      </c>
      <c r="R210" s="1" t="s">
        <v>94</v>
      </c>
      <c r="S210" s="1" t="s">
        <v>87</v>
      </c>
      <c r="T210" s="1" t="s">
        <v>88</v>
      </c>
      <c r="X210" s="1" t="s">
        <v>73</v>
      </c>
      <c r="Z210" s="1" t="s">
        <v>70</v>
      </c>
      <c r="AA210" s="1" t="s">
        <v>95</v>
      </c>
      <c r="AB210" s="1">
        <v>5</v>
      </c>
      <c r="AC210" s="1">
        <v>748820.69</v>
      </c>
      <c r="AD210" s="1">
        <v>8930541.2400000002</v>
      </c>
      <c r="AE210" s="1">
        <v>211.04</v>
      </c>
      <c r="AF210" s="1">
        <v>748820.69</v>
      </c>
      <c r="AG210" s="1">
        <v>8930541.2400000002</v>
      </c>
      <c r="AH210" s="1">
        <v>199.4</v>
      </c>
      <c r="AI210" s="1">
        <v>11.64</v>
      </c>
      <c r="AJ210" s="1">
        <v>0.6</v>
      </c>
      <c r="AK210" s="1">
        <v>2.97</v>
      </c>
      <c r="AL210" s="1">
        <v>2.58</v>
      </c>
      <c r="AM210" s="1">
        <v>0</v>
      </c>
      <c r="AN210" s="1">
        <v>0</v>
      </c>
      <c r="AO210" s="1">
        <v>279.95422539999998</v>
      </c>
      <c r="AP210" s="1">
        <v>3.17</v>
      </c>
      <c r="AQ210" s="1">
        <v>0.59</v>
      </c>
      <c r="AR210" s="1">
        <v>0.04</v>
      </c>
      <c r="AS210" s="1">
        <v>0.06</v>
      </c>
      <c r="AT210" s="1">
        <v>13.27</v>
      </c>
      <c r="AU210" s="1">
        <v>3.99</v>
      </c>
      <c r="AV210" s="1">
        <v>0.01</v>
      </c>
      <c r="AW210" s="1">
        <v>0.06</v>
      </c>
      <c r="AX210" s="1">
        <v>3.93</v>
      </c>
      <c r="AY210" s="1">
        <v>0</v>
      </c>
      <c r="AZ210" s="1">
        <v>118.518</v>
      </c>
      <c r="BA210" s="1">
        <v>0</v>
      </c>
      <c r="BB210" s="1">
        <v>0</v>
      </c>
      <c r="BC210" s="1">
        <v>0</v>
      </c>
      <c r="BD210" s="1">
        <v>0</v>
      </c>
    </row>
    <row r="211" spans="1:56">
      <c r="A211" s="18">
        <v>46192</v>
      </c>
      <c r="B211" s="1">
        <v>210</v>
      </c>
      <c r="C211" s="1" t="s">
        <v>89</v>
      </c>
      <c r="D211" s="1" t="s">
        <v>90</v>
      </c>
      <c r="E211" s="1">
        <v>2</v>
      </c>
      <c r="F211" s="1">
        <v>200</v>
      </c>
      <c r="G211" s="1">
        <v>1</v>
      </c>
      <c r="H211" s="1" t="s">
        <v>91</v>
      </c>
      <c r="I211" s="1" t="s">
        <v>79</v>
      </c>
      <c r="J211" s="1" t="s">
        <v>84</v>
      </c>
      <c r="K211" s="1" t="s">
        <v>74</v>
      </c>
      <c r="L211" s="1" t="s">
        <v>72</v>
      </c>
      <c r="M211" s="1" t="s">
        <v>75</v>
      </c>
      <c r="N211" s="1" t="s">
        <v>76</v>
      </c>
      <c r="O211" s="1" t="s">
        <v>77</v>
      </c>
      <c r="P211" s="1" t="s">
        <v>27</v>
      </c>
      <c r="Q211" s="1" t="s">
        <v>86</v>
      </c>
      <c r="R211" s="1" t="s">
        <v>94</v>
      </c>
      <c r="S211" s="1" t="s">
        <v>87</v>
      </c>
      <c r="T211" s="1" t="s">
        <v>88</v>
      </c>
      <c r="X211" s="1" t="s">
        <v>73</v>
      </c>
      <c r="Z211" s="1" t="s">
        <v>70</v>
      </c>
      <c r="AA211" s="1" t="s">
        <v>95</v>
      </c>
      <c r="AB211" s="1">
        <v>5</v>
      </c>
      <c r="AC211" s="1">
        <v>748819.09</v>
      </c>
      <c r="AD211" s="1">
        <v>8930543.7400000002</v>
      </c>
      <c r="AE211" s="1">
        <v>211.01</v>
      </c>
      <c r="AF211" s="1">
        <v>748819.09</v>
      </c>
      <c r="AG211" s="1">
        <v>8930543.7400000002</v>
      </c>
      <c r="AH211" s="1">
        <v>199.4</v>
      </c>
      <c r="AI211" s="1">
        <v>11.61</v>
      </c>
      <c r="AJ211" s="1">
        <v>0.6</v>
      </c>
      <c r="AK211" s="1">
        <v>2.97</v>
      </c>
      <c r="AL211" s="1">
        <v>2.58</v>
      </c>
      <c r="AM211" s="1">
        <v>0</v>
      </c>
      <c r="AN211" s="1">
        <v>0</v>
      </c>
      <c r="AO211" s="1">
        <v>279.95422539999998</v>
      </c>
      <c r="AP211" s="1">
        <v>3.12</v>
      </c>
      <c r="AQ211" s="1">
        <v>0.32</v>
      </c>
      <c r="AR211" s="1">
        <v>0.03</v>
      </c>
      <c r="AS211" s="1">
        <v>0.04</v>
      </c>
      <c r="AT211" s="1">
        <v>9.2100000000000009</v>
      </c>
      <c r="AU211" s="1">
        <v>3.27</v>
      </c>
      <c r="AV211" s="1">
        <v>0.1</v>
      </c>
      <c r="AW211" s="1">
        <v>0.4</v>
      </c>
      <c r="AX211" s="1">
        <v>3.38</v>
      </c>
      <c r="AY211" s="1">
        <v>0</v>
      </c>
      <c r="AZ211" s="1">
        <v>118.08199999999999</v>
      </c>
      <c r="BA211" s="1">
        <v>0</v>
      </c>
      <c r="BB211" s="1">
        <v>0</v>
      </c>
      <c r="BC211" s="1">
        <v>0</v>
      </c>
      <c r="BD211" s="1">
        <v>0</v>
      </c>
    </row>
    <row r="212" spans="1:56">
      <c r="A212" s="18">
        <v>46192</v>
      </c>
      <c r="B212" s="1">
        <v>211</v>
      </c>
      <c r="C212" s="1" t="s">
        <v>89</v>
      </c>
      <c r="D212" s="1" t="s">
        <v>90</v>
      </c>
      <c r="E212" s="1">
        <v>2</v>
      </c>
      <c r="F212" s="1">
        <v>200</v>
      </c>
      <c r="G212" s="1">
        <v>1</v>
      </c>
      <c r="H212" s="1" t="s">
        <v>91</v>
      </c>
      <c r="I212" s="1" t="s">
        <v>28</v>
      </c>
      <c r="J212" s="1" t="s">
        <v>71</v>
      </c>
      <c r="K212" s="1" t="s">
        <v>74</v>
      </c>
      <c r="L212" s="1" t="s">
        <v>72</v>
      </c>
      <c r="M212" s="1" t="s">
        <v>75</v>
      </c>
      <c r="N212" s="1" t="s">
        <v>76</v>
      </c>
      <c r="O212" s="1" t="s">
        <v>77</v>
      </c>
      <c r="P212" s="1" t="s">
        <v>27</v>
      </c>
      <c r="Q212" s="1" t="s">
        <v>86</v>
      </c>
      <c r="R212" s="1" t="s">
        <v>94</v>
      </c>
      <c r="S212" s="1" t="s">
        <v>87</v>
      </c>
      <c r="T212" s="1" t="s">
        <v>88</v>
      </c>
      <c r="X212" s="1" t="s">
        <v>73</v>
      </c>
      <c r="Z212" s="1" t="s">
        <v>70</v>
      </c>
      <c r="AA212" s="1" t="s">
        <v>95</v>
      </c>
      <c r="AB212" s="1">
        <v>5</v>
      </c>
      <c r="AC212" s="1">
        <v>748817.49</v>
      </c>
      <c r="AD212" s="1">
        <v>8930546.2400000002</v>
      </c>
      <c r="AE212" s="1">
        <v>210.97</v>
      </c>
      <c r="AF212" s="1">
        <v>748817.49</v>
      </c>
      <c r="AG212" s="1">
        <v>8930546.2400000002</v>
      </c>
      <c r="AH212" s="1">
        <v>199.4</v>
      </c>
      <c r="AI212" s="1">
        <v>11.57</v>
      </c>
      <c r="AJ212" s="1">
        <v>0.6</v>
      </c>
      <c r="AK212" s="1">
        <v>2.97</v>
      </c>
      <c r="AL212" s="1">
        <v>2.58</v>
      </c>
      <c r="AM212" s="1">
        <v>0</v>
      </c>
      <c r="AN212" s="1">
        <v>0</v>
      </c>
      <c r="AO212" s="1">
        <v>279.95422539999998</v>
      </c>
      <c r="AP212" s="1">
        <v>3.09</v>
      </c>
      <c r="AQ212" s="1">
        <v>0.2</v>
      </c>
      <c r="AR212" s="1">
        <v>0.03</v>
      </c>
      <c r="AS212" s="1">
        <v>0.03</v>
      </c>
      <c r="AT212" s="1">
        <v>7.15</v>
      </c>
      <c r="AU212" s="1">
        <v>2.66</v>
      </c>
      <c r="AV212" s="1">
        <v>0.13</v>
      </c>
      <c r="AW212" s="1">
        <v>0.49</v>
      </c>
      <c r="AX212" s="1">
        <v>3.3</v>
      </c>
      <c r="AY212" s="1">
        <v>0</v>
      </c>
      <c r="AZ212" s="1">
        <v>117.499</v>
      </c>
      <c r="BA212" s="1">
        <v>0</v>
      </c>
      <c r="BB212" s="1">
        <v>0</v>
      </c>
      <c r="BC212" s="1">
        <v>0</v>
      </c>
      <c r="BD212" s="1">
        <v>0</v>
      </c>
    </row>
    <row r="213" spans="1:56">
      <c r="A213" s="18">
        <v>46192</v>
      </c>
      <c r="B213" s="1">
        <v>212</v>
      </c>
      <c r="C213" s="1" t="s">
        <v>89</v>
      </c>
      <c r="D213" s="1" t="s">
        <v>90</v>
      </c>
      <c r="E213" s="1">
        <v>2</v>
      </c>
      <c r="F213" s="1">
        <v>200</v>
      </c>
      <c r="H213" s="1" t="s">
        <v>91</v>
      </c>
      <c r="I213" s="1" t="s">
        <v>28</v>
      </c>
      <c r="J213" s="1" t="s">
        <v>71</v>
      </c>
      <c r="K213" s="1" t="s">
        <v>74</v>
      </c>
      <c r="L213" s="1" t="s">
        <v>72</v>
      </c>
      <c r="M213" s="1" t="s">
        <v>75</v>
      </c>
      <c r="N213" s="1" t="s">
        <v>76</v>
      </c>
      <c r="O213" s="1" t="s">
        <v>77</v>
      </c>
      <c r="P213" s="1" t="s">
        <v>27</v>
      </c>
      <c r="Q213" s="1" t="s">
        <v>86</v>
      </c>
      <c r="R213" s="1" t="s">
        <v>94</v>
      </c>
      <c r="S213" s="1" t="s">
        <v>87</v>
      </c>
      <c r="T213" s="1" t="s">
        <v>88</v>
      </c>
      <c r="X213" s="1" t="s">
        <v>73</v>
      </c>
      <c r="Z213" s="1" t="s">
        <v>70</v>
      </c>
      <c r="AA213" s="1" t="s">
        <v>95</v>
      </c>
      <c r="AB213" s="1">
        <v>5</v>
      </c>
      <c r="AC213" s="1">
        <v>748815.88</v>
      </c>
      <c r="AD213" s="1">
        <v>8930548.7400000002</v>
      </c>
      <c r="AE213" s="1">
        <v>210.88</v>
      </c>
      <c r="AF213" s="1">
        <v>748815.88</v>
      </c>
      <c r="AG213" s="1">
        <v>8930548.7400000002</v>
      </c>
      <c r="AH213" s="1">
        <v>199.4</v>
      </c>
      <c r="AI213" s="1">
        <v>11.48</v>
      </c>
      <c r="AJ213" s="1">
        <v>0.6</v>
      </c>
      <c r="AK213" s="1">
        <v>2.97</v>
      </c>
      <c r="AL213" s="1">
        <v>2.58</v>
      </c>
      <c r="AM213" s="1">
        <v>0</v>
      </c>
      <c r="AN213" s="1">
        <v>0</v>
      </c>
      <c r="AO213" s="1">
        <v>279.95422539999998</v>
      </c>
      <c r="AP213" s="1">
        <v>3.09</v>
      </c>
      <c r="AQ213" s="1">
        <v>0.16</v>
      </c>
      <c r="AR213" s="1">
        <v>0.02</v>
      </c>
      <c r="AS213" s="1">
        <v>0.02</v>
      </c>
      <c r="AT213" s="1">
        <v>5.92</v>
      </c>
      <c r="AU213" s="1">
        <v>2.2000000000000002</v>
      </c>
      <c r="AV213" s="1">
        <v>0.1</v>
      </c>
      <c r="AW213" s="1">
        <v>0.43</v>
      </c>
      <c r="AX213" s="1">
        <v>2.77</v>
      </c>
      <c r="AY213" s="1">
        <v>0</v>
      </c>
      <c r="AZ213" s="1">
        <v>116.18899999999999</v>
      </c>
      <c r="BA213" s="1">
        <v>0</v>
      </c>
      <c r="BB213" s="1">
        <v>0</v>
      </c>
      <c r="BC213" s="1">
        <v>0</v>
      </c>
      <c r="BD213" s="1">
        <v>0</v>
      </c>
    </row>
    <row r="214" spans="1:56">
      <c r="A214" s="18">
        <v>46192</v>
      </c>
      <c r="B214" s="1">
        <v>213</v>
      </c>
      <c r="C214" s="1" t="s">
        <v>89</v>
      </c>
      <c r="D214" s="1" t="s">
        <v>90</v>
      </c>
      <c r="E214" s="1">
        <v>2</v>
      </c>
      <c r="F214" s="1">
        <v>200</v>
      </c>
      <c r="H214" s="1" t="s">
        <v>91</v>
      </c>
      <c r="I214" s="1" t="s">
        <v>28</v>
      </c>
      <c r="J214" s="1" t="s">
        <v>71</v>
      </c>
      <c r="K214" s="1" t="s">
        <v>74</v>
      </c>
      <c r="L214" s="1" t="s">
        <v>72</v>
      </c>
      <c r="M214" s="1" t="s">
        <v>75</v>
      </c>
      <c r="N214" s="1" t="s">
        <v>76</v>
      </c>
      <c r="O214" s="1" t="s">
        <v>77</v>
      </c>
      <c r="P214" s="1" t="s">
        <v>27</v>
      </c>
      <c r="Q214" s="1" t="s">
        <v>86</v>
      </c>
      <c r="R214" s="1" t="s">
        <v>94</v>
      </c>
      <c r="S214" s="1" t="s">
        <v>87</v>
      </c>
      <c r="T214" s="1" t="s">
        <v>88</v>
      </c>
      <c r="X214" s="1" t="s">
        <v>73</v>
      </c>
      <c r="Z214" s="1" t="s">
        <v>70</v>
      </c>
      <c r="AA214" s="1" t="s">
        <v>95</v>
      </c>
      <c r="AB214" s="1">
        <v>5</v>
      </c>
      <c r="AC214" s="1">
        <v>748814.28</v>
      </c>
      <c r="AD214" s="1">
        <v>8930551.2400000002</v>
      </c>
      <c r="AE214" s="1">
        <v>210.77</v>
      </c>
      <c r="AF214" s="1">
        <v>748814.28</v>
      </c>
      <c r="AG214" s="1">
        <v>8930551.2400000002</v>
      </c>
      <c r="AH214" s="1">
        <v>199.4</v>
      </c>
      <c r="AI214" s="1">
        <v>11.37</v>
      </c>
      <c r="AJ214" s="1">
        <v>0.6</v>
      </c>
      <c r="AK214" s="1">
        <v>2.97</v>
      </c>
      <c r="AL214" s="1">
        <v>2.58</v>
      </c>
      <c r="AM214" s="1">
        <v>0</v>
      </c>
      <c r="AN214" s="1">
        <v>0</v>
      </c>
      <c r="AO214" s="1">
        <v>279.95422539999998</v>
      </c>
      <c r="AP214" s="1">
        <v>3.15</v>
      </c>
      <c r="AQ214" s="1">
        <v>0.14000000000000001</v>
      </c>
      <c r="AR214" s="1">
        <v>0.02</v>
      </c>
      <c r="AS214" s="1">
        <v>0.02</v>
      </c>
      <c r="AT214" s="1">
        <v>5.36</v>
      </c>
      <c r="AU214" s="1">
        <v>2.08</v>
      </c>
      <c r="AV214" s="1">
        <v>0.05</v>
      </c>
      <c r="AW214" s="1">
        <v>0.35</v>
      </c>
      <c r="AX214" s="1">
        <v>2.0699999999999998</v>
      </c>
      <c r="AY214" s="1">
        <v>0</v>
      </c>
      <c r="AZ214" s="1">
        <v>114.587</v>
      </c>
      <c r="BA214" s="1">
        <v>0</v>
      </c>
      <c r="BB214" s="1">
        <v>0</v>
      </c>
      <c r="BC214" s="1">
        <v>0</v>
      </c>
      <c r="BD214" s="1">
        <v>0</v>
      </c>
    </row>
    <row r="215" spans="1:56">
      <c r="A215" s="18">
        <v>46192</v>
      </c>
      <c r="B215" s="1">
        <v>214</v>
      </c>
      <c r="C215" s="1" t="s">
        <v>89</v>
      </c>
      <c r="D215" s="1" t="s">
        <v>90</v>
      </c>
      <c r="E215" s="1">
        <v>2</v>
      </c>
      <c r="F215" s="1">
        <v>200</v>
      </c>
      <c r="H215" s="1" t="s">
        <v>91</v>
      </c>
      <c r="I215" s="1" t="s">
        <v>28</v>
      </c>
      <c r="J215" s="1" t="s">
        <v>71</v>
      </c>
      <c r="K215" s="1" t="s">
        <v>74</v>
      </c>
      <c r="L215" s="1" t="s">
        <v>72</v>
      </c>
      <c r="M215" s="1" t="s">
        <v>75</v>
      </c>
      <c r="N215" s="1" t="s">
        <v>76</v>
      </c>
      <c r="O215" s="1" t="s">
        <v>77</v>
      </c>
      <c r="P215" s="1" t="s">
        <v>27</v>
      </c>
      <c r="Q215" s="1" t="s">
        <v>86</v>
      </c>
      <c r="R215" s="1" t="s">
        <v>94</v>
      </c>
      <c r="S215" s="1" t="s">
        <v>87</v>
      </c>
      <c r="T215" s="1" t="s">
        <v>88</v>
      </c>
      <c r="X215" s="1" t="s">
        <v>73</v>
      </c>
      <c r="Z215" s="1" t="s">
        <v>70</v>
      </c>
      <c r="AA215" s="1" t="s">
        <v>95</v>
      </c>
      <c r="AB215" s="1">
        <v>5</v>
      </c>
      <c r="AC215" s="1">
        <v>748812.68</v>
      </c>
      <c r="AD215" s="1">
        <v>8930553.7400000002</v>
      </c>
      <c r="AE215" s="1">
        <v>210.78</v>
      </c>
      <c r="AF215" s="1">
        <v>748812.68</v>
      </c>
      <c r="AG215" s="1">
        <v>8930553.7400000002</v>
      </c>
      <c r="AH215" s="1">
        <v>199.4</v>
      </c>
      <c r="AI215" s="1">
        <v>11.38</v>
      </c>
      <c r="AJ215" s="1">
        <v>0.6</v>
      </c>
      <c r="AK215" s="1">
        <v>2.97</v>
      </c>
      <c r="AL215" s="1">
        <v>2.58</v>
      </c>
      <c r="AM215" s="1">
        <v>0</v>
      </c>
      <c r="AN215" s="1">
        <v>0</v>
      </c>
      <c r="AO215" s="1">
        <v>279.95422539999998</v>
      </c>
      <c r="AP215" s="1">
        <v>3.18</v>
      </c>
      <c r="AQ215" s="1">
        <v>0.17</v>
      </c>
      <c r="AR215" s="1">
        <v>0.03</v>
      </c>
      <c r="AS215" s="1">
        <v>0.02</v>
      </c>
      <c r="AT215" s="1">
        <v>6.25</v>
      </c>
      <c r="AU215" s="1">
        <v>2.5499999999999998</v>
      </c>
      <c r="AV215" s="1">
        <v>0.03</v>
      </c>
      <c r="AW215" s="1">
        <v>0.25</v>
      </c>
      <c r="AX215" s="1">
        <v>1.39</v>
      </c>
      <c r="AY215" s="1">
        <v>0</v>
      </c>
      <c r="AZ215" s="1">
        <v>114.733</v>
      </c>
      <c r="BA215" s="1">
        <v>0</v>
      </c>
      <c r="BB215" s="1">
        <v>0</v>
      </c>
      <c r="BC215" s="1">
        <v>0</v>
      </c>
      <c r="BD215" s="1">
        <v>0</v>
      </c>
    </row>
    <row r="216" spans="1:56">
      <c r="A216" s="18">
        <v>46192</v>
      </c>
      <c r="B216" s="1">
        <v>215</v>
      </c>
      <c r="C216" s="1" t="s">
        <v>89</v>
      </c>
      <c r="D216" s="1" t="s">
        <v>90</v>
      </c>
      <c r="E216" s="1">
        <v>2</v>
      </c>
      <c r="F216" s="1">
        <v>200</v>
      </c>
      <c r="H216" s="1" t="s">
        <v>91</v>
      </c>
      <c r="I216" s="1" t="s">
        <v>79</v>
      </c>
      <c r="J216" s="1" t="s">
        <v>80</v>
      </c>
      <c r="K216" s="1" t="s">
        <v>74</v>
      </c>
      <c r="L216" s="1" t="s">
        <v>72</v>
      </c>
      <c r="M216" s="1" t="s">
        <v>75</v>
      </c>
      <c r="N216" s="1" t="s">
        <v>76</v>
      </c>
      <c r="O216" s="1" t="s">
        <v>77</v>
      </c>
      <c r="P216" s="1" t="s">
        <v>27</v>
      </c>
      <c r="Q216" s="1" t="s">
        <v>86</v>
      </c>
      <c r="R216" s="1" t="s">
        <v>94</v>
      </c>
      <c r="S216" s="1" t="s">
        <v>87</v>
      </c>
      <c r="T216" s="1" t="s">
        <v>88</v>
      </c>
      <c r="X216" s="1" t="s">
        <v>73</v>
      </c>
      <c r="Z216" s="1" t="s">
        <v>70</v>
      </c>
      <c r="AA216" s="1" t="s">
        <v>95</v>
      </c>
      <c r="AB216" s="1">
        <v>5</v>
      </c>
      <c r="AC216" s="1">
        <v>748811.07</v>
      </c>
      <c r="AD216" s="1">
        <v>8930556.2400000002</v>
      </c>
      <c r="AE216" s="1">
        <v>210.59</v>
      </c>
      <c r="AF216" s="1">
        <v>748811.07</v>
      </c>
      <c r="AG216" s="1">
        <v>8930556.2400000002</v>
      </c>
      <c r="AH216" s="1">
        <v>199.4</v>
      </c>
      <c r="AI216" s="1">
        <v>11.19</v>
      </c>
      <c r="AJ216" s="1">
        <v>0.6</v>
      </c>
      <c r="AK216" s="1">
        <v>2.97</v>
      </c>
      <c r="AL216" s="1">
        <v>2.58</v>
      </c>
      <c r="AM216" s="1">
        <v>0</v>
      </c>
      <c r="AN216" s="1">
        <v>0</v>
      </c>
      <c r="AO216" s="1">
        <v>279.95422539999998</v>
      </c>
      <c r="AP216" s="1">
        <v>3.28</v>
      </c>
      <c r="AQ216" s="1">
        <v>0.32</v>
      </c>
      <c r="AR216" s="1">
        <v>0.05</v>
      </c>
      <c r="AS216" s="1">
        <v>0.04</v>
      </c>
      <c r="AT216" s="1">
        <v>11.57</v>
      </c>
      <c r="AU216" s="1">
        <v>4.76</v>
      </c>
      <c r="AV216" s="1">
        <v>0.05</v>
      </c>
      <c r="AW216" s="1">
        <v>0.4</v>
      </c>
      <c r="AX216" s="1">
        <v>1.82</v>
      </c>
      <c r="AY216" s="1">
        <v>0</v>
      </c>
      <c r="AZ216" s="1">
        <v>111.96599999999999</v>
      </c>
      <c r="BA216" s="1">
        <v>0</v>
      </c>
      <c r="BB216" s="1">
        <v>0</v>
      </c>
      <c r="BC216" s="1">
        <v>0</v>
      </c>
      <c r="BD216" s="1">
        <v>0</v>
      </c>
    </row>
    <row r="217" spans="1:56">
      <c r="A217" s="18">
        <v>46192</v>
      </c>
      <c r="B217" s="1">
        <v>216</v>
      </c>
      <c r="C217" s="1" t="s">
        <v>89</v>
      </c>
      <c r="D217" s="1" t="s">
        <v>90</v>
      </c>
      <c r="E217" s="1">
        <v>2</v>
      </c>
      <c r="F217" s="1">
        <v>200</v>
      </c>
      <c r="G217" s="1">
        <v>1</v>
      </c>
      <c r="H217" s="1" t="s">
        <v>91</v>
      </c>
      <c r="I217" s="1" t="s">
        <v>79</v>
      </c>
      <c r="J217" s="1" t="s">
        <v>80</v>
      </c>
      <c r="K217" s="1" t="s">
        <v>74</v>
      </c>
      <c r="L217" s="1" t="s">
        <v>72</v>
      </c>
      <c r="M217" s="1" t="s">
        <v>75</v>
      </c>
      <c r="N217" s="1" t="s">
        <v>76</v>
      </c>
      <c r="O217" s="1" t="s">
        <v>77</v>
      </c>
      <c r="P217" s="1" t="s">
        <v>27</v>
      </c>
      <c r="Q217" s="1" t="s">
        <v>86</v>
      </c>
      <c r="R217" s="1" t="s">
        <v>94</v>
      </c>
      <c r="S217" s="1" t="s">
        <v>87</v>
      </c>
      <c r="T217" s="1" t="s">
        <v>88</v>
      </c>
      <c r="X217" s="1" t="s">
        <v>73</v>
      </c>
      <c r="Z217" s="1" t="s">
        <v>70</v>
      </c>
      <c r="AA217" s="1" t="s">
        <v>95</v>
      </c>
      <c r="AB217" s="1">
        <v>5</v>
      </c>
      <c r="AC217" s="1">
        <v>748809.47</v>
      </c>
      <c r="AD217" s="1">
        <v>8930558.75</v>
      </c>
      <c r="AE217" s="1">
        <v>210.33</v>
      </c>
      <c r="AF217" s="1">
        <v>748809.47</v>
      </c>
      <c r="AG217" s="1">
        <v>8930558.75</v>
      </c>
      <c r="AH217" s="1">
        <v>199.4</v>
      </c>
      <c r="AI217" s="1">
        <v>10.93</v>
      </c>
      <c r="AJ217" s="1">
        <v>0.6</v>
      </c>
      <c r="AK217" s="1">
        <v>2.97</v>
      </c>
      <c r="AL217" s="1">
        <v>2.58</v>
      </c>
      <c r="AM217" s="1">
        <v>0</v>
      </c>
      <c r="AN217" s="1">
        <v>0</v>
      </c>
      <c r="AO217" s="1">
        <v>279.95422539999998</v>
      </c>
      <c r="AP217" s="1">
        <v>3.34</v>
      </c>
      <c r="AQ217" s="1">
        <v>0.35</v>
      </c>
      <c r="AR217" s="1">
        <v>0.05</v>
      </c>
      <c r="AS217" s="1">
        <v>0.05</v>
      </c>
      <c r="AT217" s="1">
        <v>13.78</v>
      </c>
      <c r="AU217" s="1">
        <v>5.33</v>
      </c>
      <c r="AV217" s="1">
        <v>0.09</v>
      </c>
      <c r="AW217" s="1">
        <v>0.86</v>
      </c>
      <c r="AX217" s="1">
        <v>4.08</v>
      </c>
      <c r="AY217" s="1">
        <v>0</v>
      </c>
      <c r="AZ217" s="1">
        <v>108.181</v>
      </c>
      <c r="BA217" s="1">
        <v>0</v>
      </c>
      <c r="BB217" s="1">
        <v>0</v>
      </c>
      <c r="BC217" s="1">
        <v>0</v>
      </c>
      <c r="BD217" s="1">
        <v>0</v>
      </c>
    </row>
    <row r="218" spans="1:56">
      <c r="A218" s="18">
        <v>46192</v>
      </c>
      <c r="B218" s="1">
        <v>217</v>
      </c>
      <c r="C218" s="1" t="s">
        <v>89</v>
      </c>
      <c r="D218" s="1" t="s">
        <v>90</v>
      </c>
      <c r="E218" s="1">
        <v>2</v>
      </c>
      <c r="F218" s="1">
        <v>200</v>
      </c>
      <c r="G218" s="1">
        <v>1</v>
      </c>
      <c r="H218" s="1" t="s">
        <v>91</v>
      </c>
      <c r="I218" s="1" t="s">
        <v>79</v>
      </c>
      <c r="J218" s="1" t="s">
        <v>84</v>
      </c>
      <c r="K218" s="1" t="s">
        <v>74</v>
      </c>
      <c r="L218" s="1" t="s">
        <v>72</v>
      </c>
      <c r="M218" s="1" t="s">
        <v>75</v>
      </c>
      <c r="N218" s="1" t="s">
        <v>76</v>
      </c>
      <c r="O218" s="1" t="s">
        <v>77</v>
      </c>
      <c r="P218" s="1" t="s">
        <v>27</v>
      </c>
      <c r="Q218" s="1" t="s">
        <v>86</v>
      </c>
      <c r="R218" s="1" t="s">
        <v>94</v>
      </c>
      <c r="S218" s="1" t="s">
        <v>87</v>
      </c>
      <c r="T218" s="1" t="s">
        <v>88</v>
      </c>
      <c r="X218" s="1" t="s">
        <v>73</v>
      </c>
      <c r="Z218" s="1" t="s">
        <v>70</v>
      </c>
      <c r="AA218" s="1" t="s">
        <v>95</v>
      </c>
      <c r="AB218" s="1">
        <v>5</v>
      </c>
      <c r="AC218" s="1">
        <v>748807.56</v>
      </c>
      <c r="AD218" s="1">
        <v>8930561.0199999996</v>
      </c>
      <c r="AE218" s="1">
        <v>210.12</v>
      </c>
      <c r="AF218" s="1">
        <v>748807.56</v>
      </c>
      <c r="AG218" s="1">
        <v>8930561.0199999996</v>
      </c>
      <c r="AH218" s="1">
        <v>199.4</v>
      </c>
      <c r="AI218" s="1">
        <v>10.72</v>
      </c>
      <c r="AJ218" s="1">
        <v>0.6</v>
      </c>
      <c r="AK218" s="1">
        <v>2.97</v>
      </c>
      <c r="AL218" s="1">
        <v>2.58</v>
      </c>
      <c r="AM218" s="1">
        <v>0</v>
      </c>
      <c r="AN218" s="1">
        <v>0</v>
      </c>
      <c r="AO218" s="1">
        <v>279.95422539999998</v>
      </c>
      <c r="AP218" s="1">
        <v>3.37</v>
      </c>
      <c r="AQ218" s="1">
        <v>0.37</v>
      </c>
      <c r="AR218" s="1">
        <v>0.06</v>
      </c>
      <c r="AS218" s="1">
        <v>0.05</v>
      </c>
      <c r="AT218" s="1">
        <v>15.02</v>
      </c>
      <c r="AU218" s="1">
        <v>4.88</v>
      </c>
      <c r="AV218" s="1">
        <v>0.19</v>
      </c>
      <c r="AW218" s="1">
        <v>1.64</v>
      </c>
      <c r="AX218" s="1">
        <v>7.33</v>
      </c>
      <c r="AY218" s="1">
        <v>0</v>
      </c>
      <c r="AZ218" s="1">
        <v>105.123</v>
      </c>
      <c r="BA218" s="1">
        <v>0</v>
      </c>
      <c r="BB218" s="1">
        <v>0</v>
      </c>
      <c r="BC218" s="1">
        <v>0</v>
      </c>
      <c r="BD218" s="1">
        <v>0</v>
      </c>
    </row>
    <row r="219" spans="1:56">
      <c r="A219" s="18">
        <v>46192</v>
      </c>
      <c r="B219" s="1">
        <v>218</v>
      </c>
      <c r="C219" s="1" t="s">
        <v>89</v>
      </c>
      <c r="D219" s="1" t="s">
        <v>90</v>
      </c>
      <c r="E219" s="1">
        <v>2</v>
      </c>
      <c r="F219" s="1">
        <v>200</v>
      </c>
      <c r="G219" s="1">
        <v>1</v>
      </c>
      <c r="H219" s="1" t="s">
        <v>91</v>
      </c>
      <c r="I219" s="1" t="s">
        <v>79</v>
      </c>
      <c r="J219" s="1" t="s">
        <v>84</v>
      </c>
      <c r="K219" s="1" t="s">
        <v>74</v>
      </c>
      <c r="L219" s="1" t="s">
        <v>72</v>
      </c>
      <c r="M219" s="1" t="s">
        <v>75</v>
      </c>
      <c r="N219" s="1" t="s">
        <v>76</v>
      </c>
      <c r="O219" s="1" t="s">
        <v>77</v>
      </c>
      <c r="P219" s="1" t="s">
        <v>27</v>
      </c>
      <c r="Q219" s="1" t="s">
        <v>86</v>
      </c>
      <c r="R219" s="1" t="s">
        <v>94</v>
      </c>
      <c r="S219" s="1" t="s">
        <v>87</v>
      </c>
      <c r="T219" s="1" t="s">
        <v>88</v>
      </c>
      <c r="X219" s="1" t="s">
        <v>73</v>
      </c>
      <c r="Z219" s="1" t="s">
        <v>70</v>
      </c>
      <c r="AA219" s="1" t="s">
        <v>95</v>
      </c>
      <c r="AB219" s="1">
        <v>5</v>
      </c>
      <c r="AC219" s="1">
        <v>748805.48</v>
      </c>
      <c r="AD219" s="1">
        <v>8930563.1199999992</v>
      </c>
      <c r="AE219" s="1">
        <v>210</v>
      </c>
      <c r="AF219" s="1">
        <v>748805.48</v>
      </c>
      <c r="AG219" s="1">
        <v>8930563.1199999992</v>
      </c>
      <c r="AH219" s="1">
        <v>199.4</v>
      </c>
      <c r="AI219" s="1">
        <v>10.6</v>
      </c>
      <c r="AJ219" s="1">
        <v>0.6</v>
      </c>
      <c r="AK219" s="1">
        <v>2.97</v>
      </c>
      <c r="AL219" s="1">
        <v>2.58</v>
      </c>
      <c r="AM219" s="1">
        <v>0</v>
      </c>
      <c r="AN219" s="1">
        <v>0</v>
      </c>
      <c r="AO219" s="1">
        <v>279.95422539999998</v>
      </c>
      <c r="AP219" s="1">
        <v>3.38</v>
      </c>
      <c r="AQ219" s="1">
        <v>0.35</v>
      </c>
      <c r="AR219" s="1">
        <v>7.0000000000000007E-2</v>
      </c>
      <c r="AS219" s="1">
        <v>0.05</v>
      </c>
      <c r="AT219" s="1">
        <v>14.53</v>
      </c>
      <c r="AU219" s="1">
        <v>4.8099999999999996</v>
      </c>
      <c r="AV219" s="1">
        <v>0.2</v>
      </c>
      <c r="AW219" s="1">
        <v>1.8</v>
      </c>
      <c r="AX219" s="1">
        <v>7.88</v>
      </c>
      <c r="AY219" s="1">
        <v>0</v>
      </c>
      <c r="AZ219" s="1">
        <v>103.376</v>
      </c>
      <c r="BA219" s="1">
        <v>0</v>
      </c>
      <c r="BB219" s="1">
        <v>0</v>
      </c>
      <c r="BC219" s="1">
        <v>0</v>
      </c>
      <c r="BD219" s="1">
        <v>0</v>
      </c>
    </row>
    <row r="220" spans="1:56">
      <c r="A220" s="18">
        <v>46192</v>
      </c>
      <c r="B220" s="1">
        <v>219</v>
      </c>
      <c r="C220" s="1" t="s">
        <v>89</v>
      </c>
      <c r="D220" s="1" t="s">
        <v>90</v>
      </c>
      <c r="E220" s="1">
        <v>2</v>
      </c>
      <c r="F220" s="1">
        <v>200</v>
      </c>
      <c r="G220" s="1">
        <v>1</v>
      </c>
      <c r="H220" s="1" t="s">
        <v>91</v>
      </c>
      <c r="I220" s="1" t="s">
        <v>79</v>
      </c>
      <c r="J220" s="1" t="s">
        <v>84</v>
      </c>
      <c r="K220" s="1" t="s">
        <v>74</v>
      </c>
      <c r="L220" s="1" t="s">
        <v>72</v>
      </c>
      <c r="M220" s="1" t="s">
        <v>75</v>
      </c>
      <c r="N220" s="1" t="s">
        <v>76</v>
      </c>
      <c r="O220" s="1" t="s">
        <v>77</v>
      </c>
      <c r="P220" s="1" t="s">
        <v>27</v>
      </c>
      <c r="Q220" s="1" t="s">
        <v>86</v>
      </c>
      <c r="R220" s="1" t="s">
        <v>94</v>
      </c>
      <c r="S220" s="1" t="s">
        <v>87</v>
      </c>
      <c r="T220" s="1" t="s">
        <v>88</v>
      </c>
      <c r="X220" s="1" t="s">
        <v>73</v>
      </c>
      <c r="Z220" s="1" t="s">
        <v>70</v>
      </c>
      <c r="AA220" s="1" t="s">
        <v>95</v>
      </c>
      <c r="AB220" s="1">
        <v>5</v>
      </c>
      <c r="AC220" s="1">
        <v>748803.23</v>
      </c>
      <c r="AD220" s="1">
        <v>8930565.0600000005</v>
      </c>
      <c r="AE220" s="1">
        <v>210.01</v>
      </c>
      <c r="AF220" s="1">
        <v>748803.23</v>
      </c>
      <c r="AG220" s="1">
        <v>8930565.0600000005</v>
      </c>
      <c r="AH220" s="1">
        <v>199.4</v>
      </c>
      <c r="AI220" s="1">
        <v>10.61</v>
      </c>
      <c r="AJ220" s="1">
        <v>0.6</v>
      </c>
      <c r="AK220" s="1">
        <v>2.97</v>
      </c>
      <c r="AL220" s="1">
        <v>2.58</v>
      </c>
      <c r="AM220" s="1">
        <v>0</v>
      </c>
      <c r="AN220" s="1">
        <v>0</v>
      </c>
      <c r="AO220" s="1">
        <v>279.95422539999998</v>
      </c>
      <c r="AP220" s="1">
        <v>3.38</v>
      </c>
      <c r="AQ220" s="1">
        <v>0.34</v>
      </c>
      <c r="AR220" s="1">
        <v>7.0000000000000007E-2</v>
      </c>
      <c r="AS220" s="1">
        <v>0.05</v>
      </c>
      <c r="AT220" s="1">
        <v>14.07</v>
      </c>
      <c r="AU220" s="1">
        <v>4.83</v>
      </c>
      <c r="AV220" s="1">
        <v>0.19</v>
      </c>
      <c r="AW220" s="1">
        <v>1.79</v>
      </c>
      <c r="AX220" s="1">
        <v>7.88</v>
      </c>
      <c r="AY220" s="1">
        <v>0</v>
      </c>
      <c r="AZ220" s="1">
        <v>103.52200000000001</v>
      </c>
      <c r="BA220" s="1">
        <v>0</v>
      </c>
      <c r="BB220" s="1">
        <v>0</v>
      </c>
      <c r="BC220" s="1">
        <v>0</v>
      </c>
      <c r="BD220" s="1">
        <v>0</v>
      </c>
    </row>
    <row r="221" spans="1:56">
      <c r="A221" s="18">
        <v>46192</v>
      </c>
      <c r="B221" s="1">
        <v>220</v>
      </c>
      <c r="C221" s="1" t="s">
        <v>89</v>
      </c>
      <c r="D221" s="1" t="s">
        <v>90</v>
      </c>
      <c r="E221" s="1">
        <v>2</v>
      </c>
      <c r="F221" s="1">
        <v>200</v>
      </c>
      <c r="G221" s="1">
        <v>1</v>
      </c>
      <c r="H221" s="1" t="s">
        <v>91</v>
      </c>
      <c r="I221" s="1" t="s">
        <v>79</v>
      </c>
      <c r="J221" s="1" t="s">
        <v>84</v>
      </c>
      <c r="K221" s="1" t="s">
        <v>74</v>
      </c>
      <c r="L221" s="1" t="s">
        <v>72</v>
      </c>
      <c r="M221" s="1" t="s">
        <v>75</v>
      </c>
      <c r="N221" s="1" t="s">
        <v>76</v>
      </c>
      <c r="O221" s="1" t="s">
        <v>77</v>
      </c>
      <c r="P221" s="1" t="s">
        <v>27</v>
      </c>
      <c r="Q221" s="1" t="s">
        <v>86</v>
      </c>
      <c r="R221" s="1" t="s">
        <v>94</v>
      </c>
      <c r="S221" s="1" t="s">
        <v>87</v>
      </c>
      <c r="T221" s="1" t="s">
        <v>88</v>
      </c>
      <c r="X221" s="1" t="s">
        <v>73</v>
      </c>
      <c r="Z221" s="1" t="s">
        <v>70</v>
      </c>
      <c r="AA221" s="1" t="s">
        <v>95</v>
      </c>
      <c r="AB221" s="1">
        <v>5</v>
      </c>
      <c r="AC221" s="1">
        <v>748800.98</v>
      </c>
      <c r="AD221" s="1">
        <v>8930567</v>
      </c>
      <c r="AE221" s="1">
        <v>210.02</v>
      </c>
      <c r="AF221" s="1">
        <v>748800.98</v>
      </c>
      <c r="AG221" s="1">
        <v>8930567</v>
      </c>
      <c r="AH221" s="1">
        <v>199.4</v>
      </c>
      <c r="AI221" s="1">
        <v>10.62</v>
      </c>
      <c r="AJ221" s="1">
        <v>0.6</v>
      </c>
      <c r="AK221" s="1">
        <v>2.97</v>
      </c>
      <c r="AL221" s="1">
        <v>2.58</v>
      </c>
      <c r="AM221" s="1">
        <v>0</v>
      </c>
      <c r="AN221" s="1">
        <v>0</v>
      </c>
      <c r="AO221" s="1">
        <v>279.95422539999998</v>
      </c>
      <c r="AP221" s="1">
        <v>3.38</v>
      </c>
      <c r="AQ221" s="1">
        <v>0.34</v>
      </c>
      <c r="AR221" s="1">
        <v>7.0000000000000007E-2</v>
      </c>
      <c r="AS221" s="1">
        <v>0.05</v>
      </c>
      <c r="AT221" s="1">
        <v>14.25</v>
      </c>
      <c r="AU221" s="1">
        <v>4.84</v>
      </c>
      <c r="AV221" s="1">
        <v>0.19</v>
      </c>
      <c r="AW221" s="1">
        <v>1.83</v>
      </c>
      <c r="AX221" s="1">
        <v>8.14</v>
      </c>
      <c r="AY221" s="1">
        <v>0</v>
      </c>
      <c r="AZ221" s="1">
        <v>103.667</v>
      </c>
      <c r="BA221" s="1">
        <v>0</v>
      </c>
      <c r="BB221" s="1">
        <v>0</v>
      </c>
      <c r="BC221" s="1">
        <v>0</v>
      </c>
      <c r="BD221" s="1">
        <v>0</v>
      </c>
    </row>
    <row r="222" spans="1:56">
      <c r="A222" s="18">
        <v>46192</v>
      </c>
      <c r="B222" s="1">
        <v>221</v>
      </c>
      <c r="C222" s="1" t="s">
        <v>89</v>
      </c>
      <c r="D222" s="1" t="s">
        <v>90</v>
      </c>
      <c r="E222" s="1">
        <v>2</v>
      </c>
      <c r="F222" s="1">
        <v>200</v>
      </c>
      <c r="G222" s="1">
        <v>1</v>
      </c>
      <c r="H222" s="1" t="s">
        <v>91</v>
      </c>
      <c r="I222" s="1" t="s">
        <v>79</v>
      </c>
      <c r="J222" s="1" t="s">
        <v>84</v>
      </c>
      <c r="K222" s="1" t="s">
        <v>74</v>
      </c>
      <c r="L222" s="1" t="s">
        <v>72</v>
      </c>
      <c r="M222" s="1" t="s">
        <v>75</v>
      </c>
      <c r="N222" s="1" t="s">
        <v>76</v>
      </c>
      <c r="O222" s="1" t="s">
        <v>77</v>
      </c>
      <c r="P222" s="1" t="s">
        <v>27</v>
      </c>
      <c r="Q222" s="1" t="s">
        <v>86</v>
      </c>
      <c r="R222" s="1" t="s">
        <v>94</v>
      </c>
      <c r="S222" s="1" t="s">
        <v>87</v>
      </c>
      <c r="T222" s="1" t="s">
        <v>88</v>
      </c>
      <c r="X222" s="1" t="s">
        <v>73</v>
      </c>
      <c r="Z222" s="1" t="s">
        <v>70</v>
      </c>
      <c r="AA222" s="1" t="s">
        <v>95</v>
      </c>
      <c r="AB222" s="1">
        <v>5</v>
      </c>
      <c r="AC222" s="1">
        <v>748798.73</v>
      </c>
      <c r="AD222" s="1">
        <v>8930568.9399999995</v>
      </c>
      <c r="AE222" s="1">
        <v>210.07</v>
      </c>
      <c r="AF222" s="1">
        <v>748798.73</v>
      </c>
      <c r="AG222" s="1">
        <v>8930568.9399999995</v>
      </c>
      <c r="AH222" s="1">
        <v>199.4</v>
      </c>
      <c r="AI222" s="1">
        <v>10.67</v>
      </c>
      <c r="AJ222" s="1">
        <v>0.6</v>
      </c>
      <c r="AK222" s="1">
        <v>2.97</v>
      </c>
      <c r="AL222" s="1">
        <v>2.58</v>
      </c>
      <c r="AM222" s="1">
        <v>0</v>
      </c>
      <c r="AN222" s="1">
        <v>0</v>
      </c>
      <c r="AO222" s="1">
        <v>279.95422539999998</v>
      </c>
      <c r="AP222" s="1">
        <v>3.39</v>
      </c>
      <c r="AQ222" s="1">
        <v>0.39</v>
      </c>
      <c r="AR222" s="1">
        <v>0.08</v>
      </c>
      <c r="AS222" s="1">
        <v>0.06</v>
      </c>
      <c r="AT222" s="1">
        <v>15.46</v>
      </c>
      <c r="AU222" s="1">
        <v>5</v>
      </c>
      <c r="AV222" s="1">
        <v>0.2</v>
      </c>
      <c r="AW222" s="1">
        <v>1.94</v>
      </c>
      <c r="AX222" s="1">
        <v>8.68</v>
      </c>
      <c r="AY222" s="1">
        <v>0</v>
      </c>
      <c r="AZ222" s="1">
        <v>104.395</v>
      </c>
      <c r="BA222" s="1">
        <v>0</v>
      </c>
      <c r="BB222" s="1">
        <v>0</v>
      </c>
      <c r="BC222" s="1">
        <v>0</v>
      </c>
      <c r="BD222" s="1">
        <v>0</v>
      </c>
    </row>
    <row r="223" spans="1:56">
      <c r="A223" s="18">
        <v>46192</v>
      </c>
      <c r="B223" s="1">
        <v>222</v>
      </c>
      <c r="C223" s="1" t="s">
        <v>89</v>
      </c>
      <c r="D223" s="1" t="s">
        <v>90</v>
      </c>
      <c r="E223" s="1">
        <v>2</v>
      </c>
      <c r="F223" s="1">
        <v>200</v>
      </c>
      <c r="G223" s="1">
        <v>1</v>
      </c>
      <c r="H223" s="1" t="s">
        <v>91</v>
      </c>
      <c r="I223" s="1" t="s">
        <v>79</v>
      </c>
      <c r="J223" s="1" t="s">
        <v>80</v>
      </c>
      <c r="K223" s="1" t="s">
        <v>74</v>
      </c>
      <c r="L223" s="1" t="s">
        <v>72</v>
      </c>
      <c r="M223" s="1" t="s">
        <v>75</v>
      </c>
      <c r="N223" s="1" t="s">
        <v>76</v>
      </c>
      <c r="O223" s="1" t="s">
        <v>77</v>
      </c>
      <c r="P223" s="1" t="s">
        <v>27</v>
      </c>
      <c r="Q223" s="1" t="s">
        <v>86</v>
      </c>
      <c r="R223" s="1" t="s">
        <v>94</v>
      </c>
      <c r="S223" s="1" t="s">
        <v>87</v>
      </c>
      <c r="T223" s="1" t="s">
        <v>88</v>
      </c>
      <c r="X223" s="1" t="s">
        <v>73</v>
      </c>
      <c r="Z223" s="1" t="s">
        <v>70</v>
      </c>
      <c r="AA223" s="1" t="s">
        <v>95</v>
      </c>
      <c r="AB223" s="1">
        <v>5</v>
      </c>
      <c r="AC223" s="1">
        <v>748796.48</v>
      </c>
      <c r="AD223" s="1">
        <v>8930570.8800000008</v>
      </c>
      <c r="AE223" s="1">
        <v>210.29</v>
      </c>
      <c r="AF223" s="1">
        <v>748796.48</v>
      </c>
      <c r="AG223" s="1">
        <v>8930570.8800000008</v>
      </c>
      <c r="AH223" s="1">
        <v>199.4</v>
      </c>
      <c r="AI223" s="1">
        <v>10.89</v>
      </c>
      <c r="AJ223" s="1">
        <v>0.6</v>
      </c>
      <c r="AK223" s="1">
        <v>2.97</v>
      </c>
      <c r="AL223" s="1">
        <v>2.58</v>
      </c>
      <c r="AM223" s="1">
        <v>0</v>
      </c>
      <c r="AN223" s="1">
        <v>0</v>
      </c>
      <c r="AO223" s="1">
        <v>279.95422539999998</v>
      </c>
      <c r="AP223" s="1">
        <v>3.44</v>
      </c>
      <c r="AQ223" s="1">
        <v>0.46</v>
      </c>
      <c r="AR223" s="1">
        <v>0.09</v>
      </c>
      <c r="AS223" s="1">
        <v>7.0000000000000007E-2</v>
      </c>
      <c r="AT223" s="1">
        <v>17.27</v>
      </c>
      <c r="AU223" s="1">
        <v>5.29</v>
      </c>
      <c r="AV223" s="1">
        <v>0.25</v>
      </c>
      <c r="AW223" s="1">
        <v>1.84</v>
      </c>
      <c r="AX223" s="1">
        <v>8.18</v>
      </c>
      <c r="AY223" s="1">
        <v>0</v>
      </c>
      <c r="AZ223" s="1">
        <v>107.598</v>
      </c>
      <c r="BA223" s="1">
        <v>0</v>
      </c>
      <c r="BB223" s="1">
        <v>0</v>
      </c>
      <c r="BC223" s="1">
        <v>0</v>
      </c>
      <c r="BD223" s="1">
        <v>0</v>
      </c>
    </row>
    <row r="224" spans="1:56">
      <c r="A224" s="18">
        <v>46192</v>
      </c>
      <c r="B224" s="1">
        <v>223</v>
      </c>
      <c r="C224" s="1" t="s">
        <v>89</v>
      </c>
      <c r="D224" s="1" t="s">
        <v>90</v>
      </c>
      <c r="E224" s="1">
        <v>2</v>
      </c>
      <c r="F224" s="1">
        <v>200</v>
      </c>
      <c r="G224" s="1">
        <v>1</v>
      </c>
      <c r="H224" s="1" t="s">
        <v>91</v>
      </c>
      <c r="I224" s="1" t="s">
        <v>79</v>
      </c>
      <c r="J224" s="1" t="s">
        <v>80</v>
      </c>
      <c r="K224" s="1" t="s">
        <v>74</v>
      </c>
      <c r="L224" s="1" t="s">
        <v>72</v>
      </c>
      <c r="M224" s="1" t="s">
        <v>75</v>
      </c>
      <c r="N224" s="1" t="s">
        <v>76</v>
      </c>
      <c r="O224" s="1" t="s">
        <v>77</v>
      </c>
      <c r="P224" s="1" t="s">
        <v>27</v>
      </c>
      <c r="Q224" s="1" t="s">
        <v>86</v>
      </c>
      <c r="R224" s="1" t="s">
        <v>94</v>
      </c>
      <c r="S224" s="1" t="s">
        <v>87</v>
      </c>
      <c r="T224" s="1" t="s">
        <v>88</v>
      </c>
      <c r="X224" s="1" t="s">
        <v>73</v>
      </c>
      <c r="Z224" s="1" t="s">
        <v>70</v>
      </c>
      <c r="AA224" s="1" t="s">
        <v>95</v>
      </c>
      <c r="AB224" s="1">
        <v>5</v>
      </c>
      <c r="AC224" s="1">
        <v>748794.23</v>
      </c>
      <c r="AD224" s="1">
        <v>8930572.8100000005</v>
      </c>
      <c r="AE224" s="1">
        <v>210.71</v>
      </c>
      <c r="AF224" s="1">
        <v>748794.23</v>
      </c>
      <c r="AG224" s="1">
        <v>8930572.8100000005</v>
      </c>
      <c r="AH224" s="1">
        <v>199.4</v>
      </c>
      <c r="AI224" s="1">
        <v>11.31</v>
      </c>
      <c r="AJ224" s="1">
        <v>0.6</v>
      </c>
      <c r="AK224" s="1">
        <v>2.97</v>
      </c>
      <c r="AL224" s="1">
        <v>2.58</v>
      </c>
      <c r="AM224" s="1">
        <v>0</v>
      </c>
      <c r="AN224" s="1">
        <v>0</v>
      </c>
      <c r="AO224" s="1">
        <v>279.95422539999998</v>
      </c>
      <c r="AP224" s="1">
        <v>3.45</v>
      </c>
      <c r="AQ224" s="1">
        <v>0.49</v>
      </c>
      <c r="AR224" s="1">
        <v>0.1</v>
      </c>
      <c r="AS224" s="1">
        <v>0.08</v>
      </c>
      <c r="AT224" s="1">
        <v>18.39</v>
      </c>
      <c r="AU224" s="1">
        <v>5.41</v>
      </c>
      <c r="AV224" s="1">
        <v>0.28000000000000003</v>
      </c>
      <c r="AW224" s="1">
        <v>1.79</v>
      </c>
      <c r="AX224" s="1">
        <v>7.89</v>
      </c>
      <c r="AY224" s="1">
        <v>0</v>
      </c>
      <c r="AZ224" s="1">
        <v>113.714</v>
      </c>
      <c r="BA224" s="1">
        <v>0</v>
      </c>
      <c r="BB224" s="1">
        <v>0</v>
      </c>
      <c r="BC224" s="1">
        <v>0</v>
      </c>
      <c r="BD224" s="1">
        <v>0</v>
      </c>
    </row>
    <row r="225" spans="1:56">
      <c r="A225" s="18">
        <v>46192</v>
      </c>
      <c r="B225" s="1">
        <v>224</v>
      </c>
      <c r="C225" s="1" t="s">
        <v>89</v>
      </c>
      <c r="D225" s="1" t="s">
        <v>90</v>
      </c>
      <c r="E225" s="1">
        <v>2</v>
      </c>
      <c r="F225" s="1">
        <v>200</v>
      </c>
      <c r="G225" s="1">
        <v>1</v>
      </c>
      <c r="H225" s="1" t="s">
        <v>91</v>
      </c>
      <c r="I225" s="1" t="s">
        <v>79</v>
      </c>
      <c r="J225" s="1" t="s">
        <v>80</v>
      </c>
      <c r="K225" s="1" t="s">
        <v>74</v>
      </c>
      <c r="L225" s="1" t="s">
        <v>72</v>
      </c>
      <c r="M225" s="1" t="s">
        <v>75</v>
      </c>
      <c r="N225" s="1" t="s">
        <v>76</v>
      </c>
      <c r="O225" s="1" t="s">
        <v>77</v>
      </c>
      <c r="P225" s="1" t="s">
        <v>27</v>
      </c>
      <c r="Q225" s="1" t="s">
        <v>86</v>
      </c>
      <c r="R225" s="1" t="s">
        <v>94</v>
      </c>
      <c r="S225" s="1" t="s">
        <v>87</v>
      </c>
      <c r="T225" s="1" t="s">
        <v>88</v>
      </c>
      <c r="X225" s="1" t="s">
        <v>73</v>
      </c>
      <c r="Z225" s="1" t="s">
        <v>70</v>
      </c>
      <c r="AA225" s="1" t="s">
        <v>95</v>
      </c>
      <c r="AB225" s="1">
        <v>5</v>
      </c>
      <c r="AC225" s="1">
        <v>748791.98</v>
      </c>
      <c r="AD225" s="1">
        <v>8930574.75</v>
      </c>
      <c r="AE225" s="1">
        <v>210.74</v>
      </c>
      <c r="AF225" s="1">
        <v>748791.98</v>
      </c>
      <c r="AG225" s="1">
        <v>8930574.75</v>
      </c>
      <c r="AH225" s="1">
        <v>199.4</v>
      </c>
      <c r="AI225" s="1">
        <v>11.34</v>
      </c>
      <c r="AJ225" s="1">
        <v>0.6</v>
      </c>
      <c r="AK225" s="1">
        <v>2.97</v>
      </c>
      <c r="AL225" s="1">
        <v>2.58</v>
      </c>
      <c r="AM225" s="1">
        <v>0</v>
      </c>
      <c r="AN225" s="1">
        <v>0</v>
      </c>
      <c r="AO225" s="1">
        <v>279.95422539999998</v>
      </c>
      <c r="AP225" s="1">
        <v>3.43</v>
      </c>
      <c r="AQ225" s="1">
        <v>0.51</v>
      </c>
      <c r="AR225" s="1">
        <v>0.1</v>
      </c>
      <c r="AS225" s="1">
        <v>0.08</v>
      </c>
      <c r="AT225" s="1">
        <v>19.04</v>
      </c>
      <c r="AU225" s="1">
        <v>5.38</v>
      </c>
      <c r="AV225" s="1">
        <v>0.28000000000000003</v>
      </c>
      <c r="AW225" s="1">
        <v>1.81</v>
      </c>
      <c r="AX225" s="1">
        <v>7.85</v>
      </c>
      <c r="AY225" s="1">
        <v>0</v>
      </c>
      <c r="AZ225" s="1">
        <v>114.15</v>
      </c>
      <c r="BA225" s="1">
        <v>0</v>
      </c>
      <c r="BB225" s="1">
        <v>0</v>
      </c>
      <c r="BC225" s="1">
        <v>0</v>
      </c>
      <c r="BD225" s="1">
        <v>0</v>
      </c>
    </row>
    <row r="226" spans="1:56">
      <c r="A226" s="18">
        <v>46192</v>
      </c>
      <c r="B226" s="1">
        <v>225</v>
      </c>
      <c r="C226" s="1" t="s">
        <v>89</v>
      </c>
      <c r="D226" s="1" t="s">
        <v>90</v>
      </c>
      <c r="E226" s="1">
        <v>2</v>
      </c>
      <c r="F226" s="1">
        <v>200</v>
      </c>
      <c r="G226" s="1">
        <v>1</v>
      </c>
      <c r="H226" s="1" t="s">
        <v>91</v>
      </c>
      <c r="I226" s="1" t="s">
        <v>79</v>
      </c>
      <c r="J226" s="1" t="s">
        <v>80</v>
      </c>
      <c r="K226" s="1" t="s">
        <v>74</v>
      </c>
      <c r="L226" s="1" t="s">
        <v>72</v>
      </c>
      <c r="M226" s="1" t="s">
        <v>75</v>
      </c>
      <c r="N226" s="1" t="s">
        <v>76</v>
      </c>
      <c r="O226" s="1" t="s">
        <v>77</v>
      </c>
      <c r="P226" s="1" t="s">
        <v>27</v>
      </c>
      <c r="Q226" s="1" t="s">
        <v>86</v>
      </c>
      <c r="R226" s="1" t="s">
        <v>94</v>
      </c>
      <c r="S226" s="1" t="s">
        <v>87</v>
      </c>
      <c r="T226" s="1" t="s">
        <v>88</v>
      </c>
      <c r="X226" s="1" t="s">
        <v>73</v>
      </c>
      <c r="Z226" s="1" t="s">
        <v>70</v>
      </c>
      <c r="AA226" s="1" t="s">
        <v>95</v>
      </c>
      <c r="AB226" s="1">
        <v>5</v>
      </c>
      <c r="AC226" s="1">
        <v>748789.73</v>
      </c>
      <c r="AD226" s="1">
        <v>8930576.6899999995</v>
      </c>
      <c r="AE226" s="1">
        <v>210.38</v>
      </c>
      <c r="AF226" s="1">
        <v>748789.73</v>
      </c>
      <c r="AG226" s="1">
        <v>8930576.6899999995</v>
      </c>
      <c r="AH226" s="1">
        <v>199.4</v>
      </c>
      <c r="AI226" s="1">
        <v>10.98</v>
      </c>
      <c r="AJ226" s="1">
        <v>0.6</v>
      </c>
      <c r="AK226" s="1">
        <v>2.97</v>
      </c>
      <c r="AL226" s="1">
        <v>2.58</v>
      </c>
      <c r="AM226" s="1">
        <v>0</v>
      </c>
      <c r="AN226" s="1">
        <v>0</v>
      </c>
      <c r="AO226" s="1">
        <v>279.95422539999998</v>
      </c>
      <c r="AP226" s="1">
        <v>3.44</v>
      </c>
      <c r="AQ226" s="1">
        <v>0.56000000000000005</v>
      </c>
      <c r="AR226" s="1">
        <v>0.11</v>
      </c>
      <c r="AS226" s="1">
        <v>0.09</v>
      </c>
      <c r="AT226" s="1">
        <v>19.98</v>
      </c>
      <c r="AU226" s="1">
        <v>5.59</v>
      </c>
      <c r="AV226" s="1">
        <v>0.28999999999999998</v>
      </c>
      <c r="AW226" s="1">
        <v>1.76</v>
      </c>
      <c r="AX226" s="1">
        <v>7.79</v>
      </c>
      <c r="AY226" s="1">
        <v>0</v>
      </c>
      <c r="AZ226" s="1">
        <v>108.90900000000001</v>
      </c>
      <c r="BA226" s="1">
        <v>0</v>
      </c>
      <c r="BB226" s="1">
        <v>0</v>
      </c>
      <c r="BC226" s="1">
        <v>0</v>
      </c>
      <c r="BD226" s="1">
        <v>0</v>
      </c>
    </row>
    <row r="227" spans="1:56">
      <c r="A227" s="18">
        <v>46192</v>
      </c>
      <c r="B227" s="1">
        <v>226</v>
      </c>
      <c r="C227" s="1" t="s">
        <v>89</v>
      </c>
      <c r="D227" s="1" t="s">
        <v>90</v>
      </c>
      <c r="E227" s="1">
        <v>2</v>
      </c>
      <c r="F227" s="1">
        <v>200</v>
      </c>
      <c r="G227" s="1">
        <v>1</v>
      </c>
      <c r="H227" s="1" t="s">
        <v>91</v>
      </c>
      <c r="I227" s="1" t="s">
        <v>79</v>
      </c>
      <c r="J227" s="1" t="s">
        <v>80</v>
      </c>
      <c r="K227" s="1" t="s">
        <v>74</v>
      </c>
      <c r="L227" s="1" t="s">
        <v>72</v>
      </c>
      <c r="M227" s="1" t="s">
        <v>75</v>
      </c>
      <c r="N227" s="1" t="s">
        <v>76</v>
      </c>
      <c r="O227" s="1" t="s">
        <v>77</v>
      </c>
      <c r="P227" s="1" t="s">
        <v>27</v>
      </c>
      <c r="Q227" s="1" t="s">
        <v>86</v>
      </c>
      <c r="R227" s="1" t="s">
        <v>94</v>
      </c>
      <c r="S227" s="1" t="s">
        <v>87</v>
      </c>
      <c r="T227" s="1" t="s">
        <v>88</v>
      </c>
      <c r="X227" s="1" t="s">
        <v>73</v>
      </c>
      <c r="Z227" s="1" t="s">
        <v>70</v>
      </c>
      <c r="AA227" s="1" t="s">
        <v>95</v>
      </c>
      <c r="AB227" s="1">
        <v>5</v>
      </c>
      <c r="AC227" s="1">
        <v>748787.48</v>
      </c>
      <c r="AD227" s="1">
        <v>8930578.6300000008</v>
      </c>
      <c r="AE227" s="1">
        <v>210.09</v>
      </c>
      <c r="AF227" s="1">
        <v>748787.48</v>
      </c>
      <c r="AG227" s="1">
        <v>8930578.6300000008</v>
      </c>
      <c r="AH227" s="1">
        <v>199.4</v>
      </c>
      <c r="AI227" s="1">
        <v>10.69</v>
      </c>
      <c r="AJ227" s="1">
        <v>0.6</v>
      </c>
      <c r="AK227" s="1">
        <v>2.97</v>
      </c>
      <c r="AL227" s="1">
        <v>2.58</v>
      </c>
      <c r="AM227" s="1">
        <v>0</v>
      </c>
      <c r="AN227" s="1">
        <v>0</v>
      </c>
      <c r="AO227" s="1">
        <v>279.95422539999998</v>
      </c>
      <c r="AP227" s="1">
        <v>3.46</v>
      </c>
      <c r="AQ227" s="1">
        <v>0.6</v>
      </c>
      <c r="AR227" s="1">
        <v>0.12</v>
      </c>
      <c r="AS227" s="1">
        <v>0.09</v>
      </c>
      <c r="AT227" s="1">
        <v>20.46</v>
      </c>
      <c r="AU227" s="1">
        <v>5.91</v>
      </c>
      <c r="AV227" s="1">
        <v>0.31</v>
      </c>
      <c r="AW227" s="1">
        <v>1.78</v>
      </c>
      <c r="AX227" s="1">
        <v>7.64</v>
      </c>
      <c r="AY227" s="1">
        <v>0</v>
      </c>
      <c r="AZ227" s="1">
        <v>104.68600000000001</v>
      </c>
      <c r="BA227" s="1">
        <v>0</v>
      </c>
      <c r="BB227" s="1">
        <v>0</v>
      </c>
      <c r="BC227" s="1">
        <v>0</v>
      </c>
      <c r="BD227" s="1">
        <v>0</v>
      </c>
    </row>
    <row r="228" spans="1:56">
      <c r="A228" s="18">
        <v>46192</v>
      </c>
      <c r="B228" s="1">
        <v>227</v>
      </c>
      <c r="C228" s="1" t="s">
        <v>89</v>
      </c>
      <c r="D228" s="1" t="s">
        <v>90</v>
      </c>
      <c r="E228" s="1">
        <v>2</v>
      </c>
      <c r="F228" s="1">
        <v>200</v>
      </c>
      <c r="G228" s="1">
        <v>1</v>
      </c>
      <c r="H228" s="1" t="s">
        <v>91</v>
      </c>
      <c r="I228" s="1" t="s">
        <v>79</v>
      </c>
      <c r="J228" s="1" t="s">
        <v>81</v>
      </c>
      <c r="K228" s="1" t="s">
        <v>74</v>
      </c>
      <c r="L228" s="1" t="s">
        <v>72</v>
      </c>
      <c r="M228" s="1" t="s">
        <v>75</v>
      </c>
      <c r="N228" s="1" t="s">
        <v>76</v>
      </c>
      <c r="O228" s="1" t="s">
        <v>77</v>
      </c>
      <c r="P228" s="1" t="s">
        <v>27</v>
      </c>
      <c r="Q228" s="1" t="s">
        <v>86</v>
      </c>
      <c r="R228" s="1" t="s">
        <v>94</v>
      </c>
      <c r="S228" s="1" t="s">
        <v>87</v>
      </c>
      <c r="T228" s="1" t="s">
        <v>88</v>
      </c>
      <c r="X228" s="1" t="s">
        <v>73</v>
      </c>
      <c r="Z228" s="1" t="s">
        <v>70</v>
      </c>
      <c r="AA228" s="1" t="s">
        <v>95</v>
      </c>
      <c r="AB228" s="1">
        <v>5</v>
      </c>
      <c r="AC228" s="1">
        <v>748785.23</v>
      </c>
      <c r="AD228" s="1">
        <v>8930580.5700000003</v>
      </c>
      <c r="AE228" s="1">
        <v>210.09</v>
      </c>
      <c r="AF228" s="1">
        <v>748785.23</v>
      </c>
      <c r="AG228" s="1">
        <v>8930580.5700000003</v>
      </c>
      <c r="AH228" s="1">
        <v>199.4</v>
      </c>
      <c r="AI228" s="1">
        <v>10.69</v>
      </c>
      <c r="AJ228" s="1">
        <v>0.6</v>
      </c>
      <c r="AK228" s="1">
        <v>2.97</v>
      </c>
      <c r="AL228" s="1">
        <v>2.58</v>
      </c>
      <c r="AM228" s="1">
        <v>0</v>
      </c>
      <c r="AN228" s="1">
        <v>0</v>
      </c>
      <c r="AO228" s="1">
        <v>279.95422539999998</v>
      </c>
      <c r="AP228" s="1">
        <v>3.41</v>
      </c>
      <c r="AQ228" s="1">
        <v>0.71</v>
      </c>
      <c r="AR228" s="1">
        <v>0.13</v>
      </c>
      <c r="AS228" s="1">
        <v>0.11</v>
      </c>
      <c r="AT228" s="1">
        <v>22.01</v>
      </c>
      <c r="AU228" s="1">
        <v>6.63</v>
      </c>
      <c r="AV228" s="1">
        <v>0.36</v>
      </c>
      <c r="AW228" s="1">
        <v>1.95</v>
      </c>
      <c r="AX228" s="1">
        <v>6.9</v>
      </c>
      <c r="AY228" s="1">
        <v>0</v>
      </c>
      <c r="AZ228" s="1">
        <v>104.68600000000001</v>
      </c>
      <c r="BA228" s="1">
        <v>0</v>
      </c>
      <c r="BB228" s="1">
        <v>0</v>
      </c>
      <c r="BC228" s="1">
        <v>0</v>
      </c>
      <c r="BD228" s="1">
        <v>0</v>
      </c>
    </row>
    <row r="229" spans="1:56">
      <c r="A229" s="18">
        <v>46192</v>
      </c>
      <c r="B229" s="1">
        <v>228</v>
      </c>
      <c r="C229" s="1" t="s">
        <v>89</v>
      </c>
      <c r="D229" s="1" t="s">
        <v>90</v>
      </c>
      <c r="E229" s="1">
        <v>2</v>
      </c>
      <c r="F229" s="1">
        <v>200</v>
      </c>
      <c r="G229" s="1">
        <v>1</v>
      </c>
      <c r="H229" s="1" t="s">
        <v>91</v>
      </c>
      <c r="I229" s="1" t="s">
        <v>79</v>
      </c>
      <c r="J229" s="1" t="s">
        <v>81</v>
      </c>
      <c r="K229" s="1" t="s">
        <v>74</v>
      </c>
      <c r="L229" s="1" t="s">
        <v>72</v>
      </c>
      <c r="M229" s="1" t="s">
        <v>75</v>
      </c>
      <c r="N229" s="1" t="s">
        <v>76</v>
      </c>
      <c r="O229" s="1" t="s">
        <v>77</v>
      </c>
      <c r="P229" s="1" t="s">
        <v>27</v>
      </c>
      <c r="Q229" s="1" t="s">
        <v>86</v>
      </c>
      <c r="R229" s="1" t="s">
        <v>94</v>
      </c>
      <c r="S229" s="1" t="s">
        <v>87</v>
      </c>
      <c r="T229" s="1" t="s">
        <v>88</v>
      </c>
      <c r="X229" s="1" t="s">
        <v>73</v>
      </c>
      <c r="Z229" s="1" t="s">
        <v>70</v>
      </c>
      <c r="AA229" s="1" t="s">
        <v>95</v>
      </c>
      <c r="AB229" s="1">
        <v>5</v>
      </c>
      <c r="AC229" s="1">
        <v>748782.96</v>
      </c>
      <c r="AD229" s="1">
        <v>8930582.4900000002</v>
      </c>
      <c r="AE229" s="1">
        <v>210.03</v>
      </c>
      <c r="AF229" s="1">
        <v>748782.96</v>
      </c>
      <c r="AG229" s="1">
        <v>8930582.4900000002</v>
      </c>
      <c r="AH229" s="1">
        <v>199.4</v>
      </c>
      <c r="AI229" s="1">
        <v>10.63</v>
      </c>
      <c r="AJ229" s="1">
        <v>0.6</v>
      </c>
      <c r="AK229" s="1">
        <v>2.97</v>
      </c>
      <c r="AL229" s="1">
        <v>2.58</v>
      </c>
      <c r="AM229" s="1">
        <v>0</v>
      </c>
      <c r="AN229" s="1">
        <v>0</v>
      </c>
      <c r="AO229" s="1">
        <v>279.95422539999998</v>
      </c>
      <c r="AP229" s="1">
        <v>3.37</v>
      </c>
      <c r="AQ229" s="1">
        <v>0.79</v>
      </c>
      <c r="AR229" s="1">
        <v>0.13</v>
      </c>
      <c r="AS229" s="1">
        <v>0.12</v>
      </c>
      <c r="AT229" s="1">
        <v>23.13</v>
      </c>
      <c r="AU229" s="1">
        <v>7.06</v>
      </c>
      <c r="AV229" s="1">
        <v>0.39</v>
      </c>
      <c r="AW229" s="1">
        <v>2.02</v>
      </c>
      <c r="AX229" s="1">
        <v>6.42</v>
      </c>
      <c r="AY229" s="1">
        <v>0</v>
      </c>
      <c r="AZ229" s="1">
        <v>103.813</v>
      </c>
      <c r="BA229" s="1">
        <v>0</v>
      </c>
      <c r="BB229" s="1">
        <v>0</v>
      </c>
      <c r="BC229" s="1">
        <v>0</v>
      </c>
      <c r="BD229" s="1">
        <v>0</v>
      </c>
    </row>
    <row r="230" spans="1:56">
      <c r="A230" s="18">
        <v>46192</v>
      </c>
      <c r="B230" s="1">
        <v>229</v>
      </c>
      <c r="C230" s="1" t="s">
        <v>89</v>
      </c>
      <c r="D230" s="1" t="s">
        <v>90</v>
      </c>
      <c r="E230" s="1">
        <v>2</v>
      </c>
      <c r="F230" s="1">
        <v>200</v>
      </c>
      <c r="G230" s="1">
        <v>1</v>
      </c>
      <c r="H230" s="1" t="s">
        <v>91</v>
      </c>
      <c r="I230" s="1" t="s">
        <v>79</v>
      </c>
      <c r="J230" s="1" t="s">
        <v>81</v>
      </c>
      <c r="K230" s="1" t="s">
        <v>74</v>
      </c>
      <c r="L230" s="1" t="s">
        <v>72</v>
      </c>
      <c r="M230" s="1" t="s">
        <v>75</v>
      </c>
      <c r="N230" s="1" t="s">
        <v>76</v>
      </c>
      <c r="O230" s="1" t="s">
        <v>77</v>
      </c>
      <c r="P230" s="1" t="s">
        <v>27</v>
      </c>
      <c r="Q230" s="1" t="s">
        <v>86</v>
      </c>
      <c r="R230" s="1" t="s">
        <v>94</v>
      </c>
      <c r="S230" s="1" t="s">
        <v>87</v>
      </c>
      <c r="T230" s="1" t="s">
        <v>88</v>
      </c>
      <c r="X230" s="1" t="s">
        <v>73</v>
      </c>
      <c r="Z230" s="1" t="s">
        <v>70</v>
      </c>
      <c r="AA230" s="1" t="s">
        <v>95</v>
      </c>
      <c r="AB230" s="1">
        <v>5</v>
      </c>
      <c r="AC230" s="1">
        <v>748780.63</v>
      </c>
      <c r="AD230" s="1">
        <v>8930584.3300000001</v>
      </c>
      <c r="AE230" s="1">
        <v>209.83</v>
      </c>
      <c r="AF230" s="1">
        <v>748780.63</v>
      </c>
      <c r="AG230" s="1">
        <v>8930584.3300000001</v>
      </c>
      <c r="AH230" s="1">
        <v>199.4</v>
      </c>
      <c r="AI230" s="1">
        <v>10.43</v>
      </c>
      <c r="AJ230" s="1">
        <v>0.6</v>
      </c>
      <c r="AK230" s="1">
        <v>2.97</v>
      </c>
      <c r="AL230" s="1">
        <v>2.58</v>
      </c>
      <c r="AM230" s="1">
        <v>0</v>
      </c>
      <c r="AN230" s="1">
        <v>0</v>
      </c>
      <c r="AO230" s="1">
        <v>279.95422539999998</v>
      </c>
      <c r="AP230" s="1">
        <v>3.39</v>
      </c>
      <c r="AQ230" s="1">
        <v>0.79</v>
      </c>
      <c r="AR230" s="1">
        <v>0.15</v>
      </c>
      <c r="AS230" s="1">
        <v>0.12</v>
      </c>
      <c r="AT230" s="1">
        <v>23.3</v>
      </c>
      <c r="AU230" s="1">
        <v>6.95</v>
      </c>
      <c r="AV230" s="1">
        <v>0.38</v>
      </c>
      <c r="AW230" s="1">
        <v>2.0699999999999998</v>
      </c>
      <c r="AX230" s="1">
        <v>7.06</v>
      </c>
      <c r="AY230" s="1">
        <v>0</v>
      </c>
      <c r="AZ230" s="1">
        <v>100.901</v>
      </c>
      <c r="BA230" s="1">
        <v>0</v>
      </c>
      <c r="BB230" s="1">
        <v>0</v>
      </c>
      <c r="BC230" s="1">
        <v>0</v>
      </c>
      <c r="BD230" s="1">
        <v>0</v>
      </c>
    </row>
    <row r="231" spans="1:56">
      <c r="A231" s="18">
        <v>46192</v>
      </c>
      <c r="B231" s="1">
        <v>230</v>
      </c>
      <c r="C231" s="1" t="s">
        <v>89</v>
      </c>
      <c r="D231" s="1" t="s">
        <v>90</v>
      </c>
      <c r="E231" s="1">
        <v>2</v>
      </c>
      <c r="F231" s="1">
        <v>200</v>
      </c>
      <c r="G231" s="1">
        <v>1</v>
      </c>
      <c r="H231" s="1" t="s">
        <v>91</v>
      </c>
      <c r="I231" s="1" t="s">
        <v>79</v>
      </c>
      <c r="J231" s="1" t="s">
        <v>81</v>
      </c>
      <c r="K231" s="1" t="s">
        <v>74</v>
      </c>
      <c r="L231" s="1" t="s">
        <v>72</v>
      </c>
      <c r="M231" s="1" t="s">
        <v>75</v>
      </c>
      <c r="N231" s="1" t="s">
        <v>76</v>
      </c>
      <c r="O231" s="1" t="s">
        <v>77</v>
      </c>
      <c r="P231" s="1" t="s">
        <v>27</v>
      </c>
      <c r="Q231" s="1" t="s">
        <v>86</v>
      </c>
      <c r="R231" s="1" t="s">
        <v>94</v>
      </c>
      <c r="S231" s="1" t="s">
        <v>87</v>
      </c>
      <c r="T231" s="1" t="s">
        <v>88</v>
      </c>
      <c r="X231" s="1" t="s">
        <v>73</v>
      </c>
      <c r="Z231" s="1" t="s">
        <v>70</v>
      </c>
      <c r="AA231" s="1" t="s">
        <v>95</v>
      </c>
      <c r="AB231" s="1">
        <v>5</v>
      </c>
      <c r="AC231" s="1">
        <v>748778.31</v>
      </c>
      <c r="AD231" s="1">
        <v>8930586.1799999997</v>
      </c>
      <c r="AE231" s="1">
        <v>209.86</v>
      </c>
      <c r="AF231" s="1">
        <v>748778.31</v>
      </c>
      <c r="AG231" s="1">
        <v>8930586.1799999997</v>
      </c>
      <c r="AH231" s="1">
        <v>199.4</v>
      </c>
      <c r="AI231" s="1">
        <v>10.46</v>
      </c>
      <c r="AJ231" s="1">
        <v>0.6</v>
      </c>
      <c r="AK231" s="1">
        <v>2.97</v>
      </c>
      <c r="AL231" s="1">
        <v>2.58</v>
      </c>
      <c r="AM231" s="1">
        <v>0</v>
      </c>
      <c r="AN231" s="1">
        <v>0</v>
      </c>
      <c r="AO231" s="1">
        <v>279.95422539999998</v>
      </c>
      <c r="AP231" s="1">
        <v>3.44</v>
      </c>
      <c r="AQ231" s="1">
        <v>0.78</v>
      </c>
      <c r="AR231" s="1">
        <v>0.18</v>
      </c>
      <c r="AS231" s="1">
        <v>0.12</v>
      </c>
      <c r="AT231" s="1">
        <v>23.64</v>
      </c>
      <c r="AU231" s="1">
        <v>6.74</v>
      </c>
      <c r="AV231" s="1">
        <v>0.36</v>
      </c>
      <c r="AW231" s="1">
        <v>2.1800000000000002</v>
      </c>
      <c r="AX231" s="1">
        <v>8.4</v>
      </c>
      <c r="AY231" s="1">
        <v>0</v>
      </c>
      <c r="AZ231" s="1">
        <v>101.33799999999999</v>
      </c>
      <c r="BA231" s="1">
        <v>0</v>
      </c>
      <c r="BB231" s="1">
        <v>0</v>
      </c>
      <c r="BC231" s="1">
        <v>0</v>
      </c>
      <c r="BD231" s="1">
        <v>0</v>
      </c>
    </row>
    <row r="232" spans="1:56">
      <c r="A232" s="18">
        <v>46192</v>
      </c>
      <c r="B232" s="1">
        <v>231</v>
      </c>
      <c r="C232" s="1" t="s">
        <v>89</v>
      </c>
      <c r="D232" s="1" t="s">
        <v>90</v>
      </c>
      <c r="E232" s="1">
        <v>2</v>
      </c>
      <c r="F232" s="1">
        <v>200</v>
      </c>
      <c r="G232" s="1">
        <v>1</v>
      </c>
      <c r="H232" s="1" t="s">
        <v>91</v>
      </c>
      <c r="I232" s="1" t="s">
        <v>79</v>
      </c>
      <c r="J232" s="1" t="s">
        <v>81</v>
      </c>
      <c r="K232" s="1" t="s">
        <v>74</v>
      </c>
      <c r="L232" s="1" t="s">
        <v>72</v>
      </c>
      <c r="M232" s="1" t="s">
        <v>75</v>
      </c>
      <c r="N232" s="1" t="s">
        <v>76</v>
      </c>
      <c r="O232" s="1" t="s">
        <v>77</v>
      </c>
      <c r="P232" s="1" t="s">
        <v>27</v>
      </c>
      <c r="Q232" s="1" t="s">
        <v>86</v>
      </c>
      <c r="R232" s="1" t="s">
        <v>94</v>
      </c>
      <c r="S232" s="1" t="s">
        <v>87</v>
      </c>
      <c r="T232" s="1" t="s">
        <v>88</v>
      </c>
      <c r="X232" s="1" t="s">
        <v>73</v>
      </c>
      <c r="Z232" s="1" t="s">
        <v>70</v>
      </c>
      <c r="AA232" s="1" t="s">
        <v>95</v>
      </c>
      <c r="AB232" s="1">
        <v>5</v>
      </c>
      <c r="AC232" s="1">
        <v>748775.98</v>
      </c>
      <c r="AD232" s="1">
        <v>8930588.0299999993</v>
      </c>
      <c r="AE232" s="1">
        <v>209.92</v>
      </c>
      <c r="AF232" s="1">
        <v>748775.98</v>
      </c>
      <c r="AG232" s="1">
        <v>8930588.0299999993</v>
      </c>
      <c r="AH232" s="1">
        <v>199.4</v>
      </c>
      <c r="AI232" s="1">
        <v>10.52</v>
      </c>
      <c r="AJ232" s="1">
        <v>0.6</v>
      </c>
      <c r="AK232" s="1">
        <v>2.97</v>
      </c>
      <c r="AL232" s="1">
        <v>2.58</v>
      </c>
      <c r="AM232" s="1">
        <v>0</v>
      </c>
      <c r="AN232" s="1">
        <v>0</v>
      </c>
      <c r="AO232" s="1">
        <v>279.95422539999998</v>
      </c>
      <c r="AP232" s="1">
        <v>3.44</v>
      </c>
      <c r="AQ232" s="1">
        <v>0.78</v>
      </c>
      <c r="AR232" s="1">
        <v>0.18</v>
      </c>
      <c r="AS232" s="1">
        <v>0.12</v>
      </c>
      <c r="AT232" s="1">
        <v>23.68</v>
      </c>
      <c r="AU232" s="1">
        <v>6.73</v>
      </c>
      <c r="AV232" s="1">
        <v>0.36</v>
      </c>
      <c r="AW232" s="1">
        <v>2.19</v>
      </c>
      <c r="AX232" s="1">
        <v>8.5</v>
      </c>
      <c r="AY232" s="1">
        <v>0</v>
      </c>
      <c r="AZ232" s="1">
        <v>102.211</v>
      </c>
      <c r="BA232" s="1">
        <v>0</v>
      </c>
      <c r="BB232" s="1">
        <v>0</v>
      </c>
      <c r="BC232" s="1">
        <v>0</v>
      </c>
      <c r="BD232" s="1">
        <v>0</v>
      </c>
    </row>
    <row r="233" spans="1:56">
      <c r="A233" s="18">
        <v>46192</v>
      </c>
      <c r="B233" s="1">
        <v>232</v>
      </c>
      <c r="C233" s="1" t="s">
        <v>89</v>
      </c>
      <c r="D233" s="1" t="s">
        <v>90</v>
      </c>
      <c r="E233" s="1">
        <v>2</v>
      </c>
      <c r="F233" s="1">
        <v>200</v>
      </c>
      <c r="G233" s="1">
        <v>1</v>
      </c>
      <c r="H233" s="1" t="s">
        <v>91</v>
      </c>
      <c r="I233" s="1" t="s">
        <v>79</v>
      </c>
      <c r="J233" s="1" t="s">
        <v>81</v>
      </c>
      <c r="K233" s="1" t="s">
        <v>74</v>
      </c>
      <c r="L233" s="1" t="s">
        <v>72</v>
      </c>
      <c r="M233" s="1" t="s">
        <v>75</v>
      </c>
      <c r="N233" s="1" t="s">
        <v>76</v>
      </c>
      <c r="O233" s="1" t="s">
        <v>77</v>
      </c>
      <c r="P233" s="1" t="s">
        <v>27</v>
      </c>
      <c r="Q233" s="1" t="s">
        <v>86</v>
      </c>
      <c r="R233" s="1" t="s">
        <v>94</v>
      </c>
      <c r="S233" s="1" t="s">
        <v>87</v>
      </c>
      <c r="T233" s="1" t="s">
        <v>88</v>
      </c>
      <c r="X233" s="1" t="s">
        <v>73</v>
      </c>
      <c r="Z233" s="1" t="s">
        <v>70</v>
      </c>
      <c r="AA233" s="1" t="s">
        <v>95</v>
      </c>
      <c r="AB233" s="1">
        <v>5</v>
      </c>
      <c r="AC233" s="1">
        <v>748773.65</v>
      </c>
      <c r="AD233" s="1">
        <v>8930589.8699999992</v>
      </c>
      <c r="AE233" s="1">
        <v>209.9</v>
      </c>
      <c r="AF233" s="1">
        <v>748773.65</v>
      </c>
      <c r="AG233" s="1">
        <v>8930589.8699999992</v>
      </c>
      <c r="AH233" s="1">
        <v>199.4</v>
      </c>
      <c r="AI233" s="1">
        <v>10.5</v>
      </c>
      <c r="AJ233" s="1">
        <v>0.6</v>
      </c>
      <c r="AK233" s="1">
        <v>2.97</v>
      </c>
      <c r="AL233" s="1">
        <v>2.58</v>
      </c>
      <c r="AM233" s="1">
        <v>0</v>
      </c>
      <c r="AN233" s="1">
        <v>0</v>
      </c>
      <c r="AO233" s="1">
        <v>279.95422539999998</v>
      </c>
      <c r="AP233" s="1">
        <v>3.38</v>
      </c>
      <c r="AQ233" s="1">
        <v>0.78</v>
      </c>
      <c r="AR233" s="1">
        <v>0.18</v>
      </c>
      <c r="AS233" s="1">
        <v>0.12</v>
      </c>
      <c r="AT233" s="1">
        <v>24.05</v>
      </c>
      <c r="AU233" s="1">
        <v>6.75</v>
      </c>
      <c r="AV233" s="1">
        <v>0.37</v>
      </c>
      <c r="AW233" s="1">
        <v>2.14</v>
      </c>
      <c r="AX233" s="1">
        <v>8.23</v>
      </c>
      <c r="AY233" s="1">
        <v>0</v>
      </c>
      <c r="AZ233" s="1">
        <v>101.92</v>
      </c>
      <c r="BA233" s="1">
        <v>0</v>
      </c>
      <c r="BB233" s="1">
        <v>0</v>
      </c>
      <c r="BC233" s="1">
        <v>0</v>
      </c>
      <c r="BD233" s="1">
        <v>0</v>
      </c>
    </row>
    <row r="234" spans="1:56">
      <c r="A234" s="18">
        <v>46192</v>
      </c>
      <c r="B234" s="1">
        <v>233</v>
      </c>
      <c r="C234" s="1" t="s">
        <v>89</v>
      </c>
      <c r="D234" s="1" t="s">
        <v>90</v>
      </c>
      <c r="E234" s="1">
        <v>2</v>
      </c>
      <c r="F234" s="1">
        <v>200</v>
      </c>
      <c r="G234" s="1">
        <v>1</v>
      </c>
      <c r="H234" s="1" t="s">
        <v>91</v>
      </c>
      <c r="I234" s="1" t="s">
        <v>79</v>
      </c>
      <c r="J234" s="1" t="s">
        <v>81</v>
      </c>
      <c r="K234" s="1" t="s">
        <v>74</v>
      </c>
      <c r="L234" s="1" t="s">
        <v>72</v>
      </c>
      <c r="M234" s="1" t="s">
        <v>75</v>
      </c>
      <c r="N234" s="1" t="s">
        <v>76</v>
      </c>
      <c r="O234" s="1" t="s">
        <v>77</v>
      </c>
      <c r="P234" s="1" t="s">
        <v>27</v>
      </c>
      <c r="Q234" s="1" t="s">
        <v>86</v>
      </c>
      <c r="R234" s="1" t="s">
        <v>94</v>
      </c>
      <c r="S234" s="1" t="s">
        <v>87</v>
      </c>
      <c r="T234" s="1" t="s">
        <v>88</v>
      </c>
      <c r="X234" s="1" t="s">
        <v>73</v>
      </c>
      <c r="Z234" s="1" t="s">
        <v>70</v>
      </c>
      <c r="AA234" s="1" t="s">
        <v>95</v>
      </c>
      <c r="AB234" s="1">
        <v>5</v>
      </c>
      <c r="AC234" s="1">
        <v>748771.33</v>
      </c>
      <c r="AD234" s="1">
        <v>8930591.7200000007</v>
      </c>
      <c r="AE234" s="1">
        <v>209.96</v>
      </c>
      <c r="AF234" s="1">
        <v>748771.33</v>
      </c>
      <c r="AG234" s="1">
        <v>8930591.7200000007</v>
      </c>
      <c r="AH234" s="1">
        <v>199.4</v>
      </c>
      <c r="AI234" s="1">
        <v>10.56</v>
      </c>
      <c r="AJ234" s="1">
        <v>0.6</v>
      </c>
      <c r="AK234" s="1">
        <v>2.97</v>
      </c>
      <c r="AL234" s="1">
        <v>2.58</v>
      </c>
      <c r="AM234" s="1">
        <v>0</v>
      </c>
      <c r="AN234" s="1">
        <v>0</v>
      </c>
      <c r="AO234" s="1">
        <v>279.95422539999998</v>
      </c>
      <c r="AP234" s="1">
        <v>3.34</v>
      </c>
      <c r="AQ234" s="1">
        <v>0.8</v>
      </c>
      <c r="AR234" s="1">
        <v>0.19</v>
      </c>
      <c r="AS234" s="1">
        <v>0.12</v>
      </c>
      <c r="AT234" s="1">
        <v>24.58</v>
      </c>
      <c r="AU234" s="1">
        <v>6.63</v>
      </c>
      <c r="AV234" s="1">
        <v>0.38</v>
      </c>
      <c r="AW234" s="1">
        <v>2.1</v>
      </c>
      <c r="AX234" s="1">
        <v>7.81</v>
      </c>
      <c r="AY234" s="1">
        <v>0</v>
      </c>
      <c r="AZ234" s="1">
        <v>102.794</v>
      </c>
      <c r="BA234" s="1">
        <v>0</v>
      </c>
      <c r="BB234" s="1">
        <v>0</v>
      </c>
      <c r="BC234" s="1">
        <v>0</v>
      </c>
      <c r="BD234" s="1">
        <v>0</v>
      </c>
    </row>
    <row r="235" spans="1:56">
      <c r="A235" s="18">
        <v>46192</v>
      </c>
      <c r="B235" s="1">
        <v>234</v>
      </c>
      <c r="C235" s="1" t="s">
        <v>89</v>
      </c>
      <c r="D235" s="1" t="s">
        <v>90</v>
      </c>
      <c r="E235" s="1">
        <v>2</v>
      </c>
      <c r="F235" s="1">
        <v>200</v>
      </c>
      <c r="G235" s="1">
        <v>1</v>
      </c>
      <c r="H235" s="1" t="s">
        <v>91</v>
      </c>
      <c r="I235" s="1" t="s">
        <v>79</v>
      </c>
      <c r="J235" s="1" t="s">
        <v>81</v>
      </c>
      <c r="K235" s="1" t="s">
        <v>74</v>
      </c>
      <c r="L235" s="1" t="s">
        <v>72</v>
      </c>
      <c r="M235" s="1" t="s">
        <v>75</v>
      </c>
      <c r="N235" s="1" t="s">
        <v>76</v>
      </c>
      <c r="O235" s="1" t="s">
        <v>77</v>
      </c>
      <c r="P235" s="1" t="s">
        <v>27</v>
      </c>
      <c r="Q235" s="1" t="s">
        <v>86</v>
      </c>
      <c r="R235" s="1" t="s">
        <v>94</v>
      </c>
      <c r="S235" s="1" t="s">
        <v>87</v>
      </c>
      <c r="T235" s="1" t="s">
        <v>88</v>
      </c>
      <c r="X235" s="1" t="s">
        <v>73</v>
      </c>
      <c r="Z235" s="1" t="s">
        <v>70</v>
      </c>
      <c r="AA235" s="1" t="s">
        <v>95</v>
      </c>
      <c r="AB235" s="1">
        <v>5</v>
      </c>
      <c r="AC235" s="1">
        <v>748768.84</v>
      </c>
      <c r="AD235" s="1">
        <v>8930593.2699999996</v>
      </c>
      <c r="AE235" s="1">
        <v>210.08</v>
      </c>
      <c r="AF235" s="1">
        <v>748768.84</v>
      </c>
      <c r="AG235" s="1">
        <v>8930593.2699999996</v>
      </c>
      <c r="AH235" s="1">
        <v>199.4</v>
      </c>
      <c r="AI235" s="1">
        <v>10.68</v>
      </c>
      <c r="AJ235" s="1">
        <v>0.6</v>
      </c>
      <c r="AK235" s="1">
        <v>2.97</v>
      </c>
      <c r="AL235" s="1">
        <v>2.58</v>
      </c>
      <c r="AM235" s="1">
        <v>0</v>
      </c>
      <c r="AN235" s="1">
        <v>0</v>
      </c>
      <c r="AO235" s="1">
        <v>279.95422539999998</v>
      </c>
      <c r="AP235" s="1">
        <v>3.45</v>
      </c>
      <c r="AQ235" s="1">
        <v>0.87</v>
      </c>
      <c r="AR235" s="1">
        <v>0.18</v>
      </c>
      <c r="AS235" s="1">
        <v>0.13</v>
      </c>
      <c r="AT235" s="1">
        <v>25.24</v>
      </c>
      <c r="AU235" s="1">
        <v>5.83</v>
      </c>
      <c r="AV235" s="1">
        <v>0.4</v>
      </c>
      <c r="AW235" s="1">
        <v>2.1800000000000002</v>
      </c>
      <c r="AX235" s="1">
        <v>7.08</v>
      </c>
      <c r="AY235" s="1">
        <v>0</v>
      </c>
      <c r="AZ235" s="1">
        <v>104.541</v>
      </c>
      <c r="BA235" s="1">
        <v>0</v>
      </c>
      <c r="BB235" s="1">
        <v>0</v>
      </c>
      <c r="BC235" s="1">
        <v>0</v>
      </c>
      <c r="BD235" s="1">
        <v>0</v>
      </c>
    </row>
    <row r="236" spans="1:56">
      <c r="A236" s="18">
        <v>46192</v>
      </c>
      <c r="B236" s="1">
        <v>235</v>
      </c>
      <c r="C236" s="1" t="s">
        <v>89</v>
      </c>
      <c r="D236" s="1" t="s">
        <v>90</v>
      </c>
      <c r="E236" s="1">
        <v>2</v>
      </c>
      <c r="F236" s="1">
        <v>200</v>
      </c>
      <c r="G236" s="1">
        <v>1</v>
      </c>
      <c r="H236" s="1" t="s">
        <v>91</v>
      </c>
      <c r="I236" s="1" t="s">
        <v>79</v>
      </c>
      <c r="J236" s="1" t="s">
        <v>81</v>
      </c>
      <c r="K236" s="1" t="s">
        <v>74</v>
      </c>
      <c r="L236" s="1" t="s">
        <v>72</v>
      </c>
      <c r="M236" s="1" t="s">
        <v>75</v>
      </c>
      <c r="N236" s="1" t="s">
        <v>76</v>
      </c>
      <c r="O236" s="1" t="s">
        <v>77</v>
      </c>
      <c r="P236" s="1" t="s">
        <v>27</v>
      </c>
      <c r="Q236" s="1" t="s">
        <v>86</v>
      </c>
      <c r="R236" s="1" t="s">
        <v>94</v>
      </c>
      <c r="S236" s="1" t="s">
        <v>87</v>
      </c>
      <c r="T236" s="1" t="s">
        <v>88</v>
      </c>
      <c r="X236" s="1" t="s">
        <v>73</v>
      </c>
      <c r="Z236" s="1" t="s">
        <v>70</v>
      </c>
      <c r="AA236" s="1" t="s">
        <v>95</v>
      </c>
      <c r="AB236" s="1">
        <v>5</v>
      </c>
      <c r="AC236" s="1">
        <v>748766.73</v>
      </c>
      <c r="AD236" s="1">
        <v>8930594.6899999995</v>
      </c>
      <c r="AE236" s="1">
        <v>210.12</v>
      </c>
      <c r="AF236" s="1">
        <v>748766.73</v>
      </c>
      <c r="AG236" s="1">
        <v>8930594.6899999995</v>
      </c>
      <c r="AH236" s="1">
        <v>199.4</v>
      </c>
      <c r="AI236" s="1">
        <v>10.72</v>
      </c>
      <c r="AJ236" s="1">
        <v>0.6</v>
      </c>
      <c r="AK236" s="1">
        <v>2.97</v>
      </c>
      <c r="AL236" s="1">
        <v>2.58</v>
      </c>
      <c r="AM236" s="1">
        <v>0</v>
      </c>
      <c r="AN236" s="1">
        <v>0</v>
      </c>
      <c r="AO236" s="1">
        <v>279.95422539999998</v>
      </c>
      <c r="AP236" s="1">
        <v>3.48</v>
      </c>
      <c r="AQ236" s="1">
        <v>0.89</v>
      </c>
      <c r="AR236" s="1">
        <v>0.18</v>
      </c>
      <c r="AS236" s="1">
        <v>0.13</v>
      </c>
      <c r="AT236" s="1">
        <v>25.37</v>
      </c>
      <c r="AU236" s="1">
        <v>5.65</v>
      </c>
      <c r="AV236" s="1">
        <v>0.41</v>
      </c>
      <c r="AW236" s="1">
        <v>2.2000000000000002</v>
      </c>
      <c r="AX236" s="1">
        <v>6.92</v>
      </c>
      <c r="AY236" s="1">
        <v>0</v>
      </c>
      <c r="AZ236" s="1">
        <v>105.123</v>
      </c>
      <c r="BA236" s="1">
        <v>0</v>
      </c>
      <c r="BB236" s="1">
        <v>0</v>
      </c>
      <c r="BC236" s="1">
        <v>0</v>
      </c>
      <c r="BD236" s="1">
        <v>0</v>
      </c>
    </row>
    <row r="237" spans="1:56">
      <c r="A237" s="18">
        <v>46192</v>
      </c>
      <c r="B237" s="1">
        <v>236</v>
      </c>
      <c r="C237" s="1" t="s">
        <v>89</v>
      </c>
      <c r="D237" s="1" t="s">
        <v>90</v>
      </c>
      <c r="E237" s="1">
        <v>2</v>
      </c>
      <c r="F237" s="1">
        <v>200</v>
      </c>
      <c r="G237" s="1">
        <v>1</v>
      </c>
      <c r="H237" s="1" t="s">
        <v>91</v>
      </c>
      <c r="I237" s="1" t="s">
        <v>79</v>
      </c>
      <c r="J237" s="1" t="s">
        <v>81</v>
      </c>
      <c r="K237" s="1" t="s">
        <v>74</v>
      </c>
      <c r="L237" s="1" t="s">
        <v>72</v>
      </c>
      <c r="M237" s="1" t="s">
        <v>75</v>
      </c>
      <c r="N237" s="1" t="s">
        <v>76</v>
      </c>
      <c r="O237" s="1" t="s">
        <v>77</v>
      </c>
      <c r="P237" s="1" t="s">
        <v>27</v>
      </c>
      <c r="Q237" s="1" t="s">
        <v>86</v>
      </c>
      <c r="R237" s="1" t="s">
        <v>94</v>
      </c>
      <c r="S237" s="1" t="s">
        <v>87</v>
      </c>
      <c r="T237" s="1" t="s">
        <v>88</v>
      </c>
      <c r="X237" s="1" t="s">
        <v>73</v>
      </c>
      <c r="Z237" s="1" t="s">
        <v>70</v>
      </c>
      <c r="AA237" s="1" t="s">
        <v>95</v>
      </c>
      <c r="AB237" s="1">
        <v>5</v>
      </c>
      <c r="AC237" s="1">
        <v>748765.2</v>
      </c>
      <c r="AD237" s="1">
        <v>8930591.7799999993</v>
      </c>
      <c r="AE237" s="1">
        <v>210.17</v>
      </c>
      <c r="AF237" s="1">
        <v>748765.2</v>
      </c>
      <c r="AG237" s="1">
        <v>8930591.7799999993</v>
      </c>
      <c r="AH237" s="1">
        <v>199.4</v>
      </c>
      <c r="AI237" s="1">
        <v>10.77</v>
      </c>
      <c r="AJ237" s="1">
        <v>0.6</v>
      </c>
      <c r="AK237" s="1">
        <v>2.97</v>
      </c>
      <c r="AL237" s="1">
        <v>2.58</v>
      </c>
      <c r="AM237" s="1">
        <v>0</v>
      </c>
      <c r="AN237" s="1">
        <v>0</v>
      </c>
      <c r="AO237" s="1">
        <v>279.95422539999998</v>
      </c>
      <c r="AP237" s="1">
        <v>3.48</v>
      </c>
      <c r="AQ237" s="1">
        <v>0.89</v>
      </c>
      <c r="AR237" s="1">
        <v>0.18</v>
      </c>
      <c r="AS237" s="1">
        <v>0.13</v>
      </c>
      <c r="AT237" s="1">
        <v>25.36</v>
      </c>
      <c r="AU237" s="1">
        <v>5.66</v>
      </c>
      <c r="AV237" s="1">
        <v>0.4</v>
      </c>
      <c r="AW237" s="1">
        <v>2.21</v>
      </c>
      <c r="AX237" s="1">
        <v>6.93</v>
      </c>
      <c r="AY237" s="1">
        <v>0</v>
      </c>
      <c r="AZ237" s="1">
        <v>105.851</v>
      </c>
      <c r="BA237" s="1">
        <v>0</v>
      </c>
      <c r="BB237" s="1">
        <v>0</v>
      </c>
      <c r="BC237" s="1">
        <v>0</v>
      </c>
      <c r="BD237" s="1">
        <v>0</v>
      </c>
    </row>
    <row r="238" spans="1:56">
      <c r="A238" s="18">
        <v>46192</v>
      </c>
      <c r="B238" s="1">
        <v>237</v>
      </c>
      <c r="C238" s="1" t="s">
        <v>89</v>
      </c>
      <c r="D238" s="1" t="s">
        <v>90</v>
      </c>
      <c r="E238" s="1">
        <v>2</v>
      </c>
      <c r="F238" s="1">
        <v>200</v>
      </c>
      <c r="G238" s="1">
        <v>1</v>
      </c>
      <c r="H238" s="1" t="s">
        <v>91</v>
      </c>
      <c r="I238" s="1" t="s">
        <v>79</v>
      </c>
      <c r="J238" s="1" t="s">
        <v>81</v>
      </c>
      <c r="K238" s="1" t="s">
        <v>74</v>
      </c>
      <c r="L238" s="1" t="s">
        <v>72</v>
      </c>
      <c r="M238" s="1" t="s">
        <v>75</v>
      </c>
      <c r="N238" s="1" t="s">
        <v>76</v>
      </c>
      <c r="O238" s="1" t="s">
        <v>77</v>
      </c>
      <c r="P238" s="1" t="s">
        <v>27</v>
      </c>
      <c r="Q238" s="1" t="s">
        <v>86</v>
      </c>
      <c r="R238" s="1" t="s">
        <v>94</v>
      </c>
      <c r="S238" s="1" t="s">
        <v>87</v>
      </c>
      <c r="T238" s="1" t="s">
        <v>88</v>
      </c>
      <c r="X238" s="1" t="s">
        <v>73</v>
      </c>
      <c r="Z238" s="1" t="s">
        <v>70</v>
      </c>
      <c r="AA238" s="1" t="s">
        <v>95</v>
      </c>
      <c r="AB238" s="1">
        <v>5</v>
      </c>
      <c r="AC238" s="1">
        <v>748768.02</v>
      </c>
      <c r="AD238" s="1">
        <v>8930590.8300000001</v>
      </c>
      <c r="AE238" s="1">
        <v>210.11</v>
      </c>
      <c r="AF238" s="1">
        <v>748768.02</v>
      </c>
      <c r="AG238" s="1">
        <v>8930590.8300000001</v>
      </c>
      <c r="AH238" s="1">
        <v>199.4</v>
      </c>
      <c r="AI238" s="1">
        <v>10.71</v>
      </c>
      <c r="AJ238" s="1">
        <v>0.6</v>
      </c>
      <c r="AK238" s="1">
        <v>2.97</v>
      </c>
      <c r="AL238" s="1">
        <v>2.58</v>
      </c>
      <c r="AM238" s="1">
        <v>0</v>
      </c>
      <c r="AN238" s="1">
        <v>0</v>
      </c>
      <c r="AO238" s="1">
        <v>279.95422539999998</v>
      </c>
      <c r="AP238" s="1">
        <v>3.47</v>
      </c>
      <c r="AQ238" s="1">
        <v>0.88</v>
      </c>
      <c r="AR238" s="1">
        <v>0.17</v>
      </c>
      <c r="AS238" s="1">
        <v>0.13</v>
      </c>
      <c r="AT238" s="1">
        <v>25.24</v>
      </c>
      <c r="AU238" s="1">
        <v>5.73</v>
      </c>
      <c r="AV238" s="1">
        <v>0.39</v>
      </c>
      <c r="AW238" s="1">
        <v>2.2799999999999998</v>
      </c>
      <c r="AX238" s="1">
        <v>6.98</v>
      </c>
      <c r="AY238" s="1">
        <v>0</v>
      </c>
      <c r="AZ238" s="1">
        <v>104.97799999999999</v>
      </c>
      <c r="BA238" s="1">
        <v>0</v>
      </c>
      <c r="BB238" s="1">
        <v>0</v>
      </c>
      <c r="BC238" s="1">
        <v>0</v>
      </c>
      <c r="BD238" s="1">
        <v>0</v>
      </c>
    </row>
    <row r="239" spans="1:56">
      <c r="A239" s="18">
        <v>46192</v>
      </c>
      <c r="B239" s="1">
        <v>238</v>
      </c>
      <c r="C239" s="1" t="s">
        <v>89</v>
      </c>
      <c r="D239" s="1" t="s">
        <v>90</v>
      </c>
      <c r="E239" s="1">
        <v>2</v>
      </c>
      <c r="F239" s="1">
        <v>200</v>
      </c>
      <c r="G239" s="1">
        <v>1</v>
      </c>
      <c r="H239" s="1" t="s">
        <v>91</v>
      </c>
      <c r="I239" s="1" t="s">
        <v>79</v>
      </c>
      <c r="J239" s="1" t="s">
        <v>81</v>
      </c>
      <c r="K239" s="1" t="s">
        <v>74</v>
      </c>
      <c r="L239" s="1" t="s">
        <v>72</v>
      </c>
      <c r="M239" s="1" t="s">
        <v>75</v>
      </c>
      <c r="N239" s="1" t="s">
        <v>76</v>
      </c>
      <c r="O239" s="1" t="s">
        <v>77</v>
      </c>
      <c r="P239" s="1" t="s">
        <v>27</v>
      </c>
      <c r="Q239" s="1" t="s">
        <v>86</v>
      </c>
      <c r="R239" s="1" t="s">
        <v>94</v>
      </c>
      <c r="S239" s="1" t="s">
        <v>87</v>
      </c>
      <c r="T239" s="1" t="s">
        <v>88</v>
      </c>
      <c r="X239" s="1" t="s">
        <v>73</v>
      </c>
      <c r="Z239" s="1" t="s">
        <v>70</v>
      </c>
      <c r="AA239" s="1" t="s">
        <v>95</v>
      </c>
      <c r="AB239" s="1">
        <v>5</v>
      </c>
      <c r="AC239" s="1">
        <v>748770.43</v>
      </c>
      <c r="AD239" s="1">
        <v>8930589.1400000006</v>
      </c>
      <c r="AE239" s="1">
        <v>210.03</v>
      </c>
      <c r="AF239" s="1">
        <v>748770.43</v>
      </c>
      <c r="AG239" s="1">
        <v>8930589.1400000006</v>
      </c>
      <c r="AH239" s="1">
        <v>199.4</v>
      </c>
      <c r="AI239" s="1">
        <v>10.63</v>
      </c>
      <c r="AJ239" s="1">
        <v>0.6</v>
      </c>
      <c r="AK239" s="1">
        <v>2.97</v>
      </c>
      <c r="AL239" s="1">
        <v>2.58</v>
      </c>
      <c r="AM239" s="1">
        <v>0</v>
      </c>
      <c r="AN239" s="1">
        <v>0</v>
      </c>
      <c r="AO239" s="1">
        <v>279.95422539999998</v>
      </c>
      <c r="AP239" s="1">
        <v>3.43</v>
      </c>
      <c r="AQ239" s="1">
        <v>0.81</v>
      </c>
      <c r="AR239" s="1">
        <v>0.18</v>
      </c>
      <c r="AS239" s="1">
        <v>0.12</v>
      </c>
      <c r="AT239" s="1">
        <v>24.3</v>
      </c>
      <c r="AU239" s="1">
        <v>6.41</v>
      </c>
      <c r="AV239" s="1">
        <v>0.36</v>
      </c>
      <c r="AW239" s="1">
        <v>2.27</v>
      </c>
      <c r="AX239" s="1">
        <v>7.88</v>
      </c>
      <c r="AY239" s="1">
        <v>0</v>
      </c>
      <c r="AZ239" s="1">
        <v>103.813</v>
      </c>
      <c r="BA239" s="1">
        <v>0</v>
      </c>
      <c r="BB239" s="1">
        <v>0</v>
      </c>
      <c r="BC239" s="1">
        <v>0</v>
      </c>
      <c r="BD239" s="1">
        <v>0</v>
      </c>
    </row>
    <row r="240" spans="1:56">
      <c r="A240" s="18">
        <v>46192</v>
      </c>
      <c r="B240" s="1">
        <v>239</v>
      </c>
      <c r="C240" s="1" t="s">
        <v>89</v>
      </c>
      <c r="D240" s="1" t="s">
        <v>90</v>
      </c>
      <c r="E240" s="1">
        <v>2</v>
      </c>
      <c r="F240" s="1">
        <v>200</v>
      </c>
      <c r="G240" s="1">
        <v>1</v>
      </c>
      <c r="H240" s="1" t="s">
        <v>91</v>
      </c>
      <c r="I240" s="1" t="s">
        <v>79</v>
      </c>
      <c r="J240" s="1" t="s">
        <v>81</v>
      </c>
      <c r="K240" s="1" t="s">
        <v>74</v>
      </c>
      <c r="L240" s="1" t="s">
        <v>72</v>
      </c>
      <c r="M240" s="1" t="s">
        <v>75</v>
      </c>
      <c r="N240" s="1" t="s">
        <v>76</v>
      </c>
      <c r="O240" s="1" t="s">
        <v>77</v>
      </c>
      <c r="P240" s="1" t="s">
        <v>27</v>
      </c>
      <c r="Q240" s="1" t="s">
        <v>86</v>
      </c>
      <c r="R240" s="1" t="s">
        <v>94</v>
      </c>
      <c r="S240" s="1" t="s">
        <v>87</v>
      </c>
      <c r="T240" s="1" t="s">
        <v>88</v>
      </c>
      <c r="X240" s="1" t="s">
        <v>73</v>
      </c>
      <c r="Z240" s="1" t="s">
        <v>70</v>
      </c>
      <c r="AA240" s="1" t="s">
        <v>95</v>
      </c>
      <c r="AB240" s="1">
        <v>5</v>
      </c>
      <c r="AC240" s="1">
        <v>748772.76</v>
      </c>
      <c r="AD240" s="1">
        <v>8930587.2899999991</v>
      </c>
      <c r="AE240" s="1">
        <v>209.96</v>
      </c>
      <c r="AF240" s="1">
        <v>748772.76</v>
      </c>
      <c r="AG240" s="1">
        <v>8930587.2899999991</v>
      </c>
      <c r="AH240" s="1">
        <v>199.4</v>
      </c>
      <c r="AI240" s="1">
        <v>10.56</v>
      </c>
      <c r="AJ240" s="1">
        <v>0.6</v>
      </c>
      <c r="AK240" s="1">
        <v>2.97</v>
      </c>
      <c r="AL240" s="1">
        <v>2.58</v>
      </c>
      <c r="AM240" s="1">
        <v>0</v>
      </c>
      <c r="AN240" s="1">
        <v>0</v>
      </c>
      <c r="AO240" s="1">
        <v>279.95422539999998</v>
      </c>
      <c r="AP240" s="1">
        <v>3.44</v>
      </c>
      <c r="AQ240" s="1">
        <v>0.78</v>
      </c>
      <c r="AR240" s="1">
        <v>0.18</v>
      </c>
      <c r="AS240" s="1">
        <v>0.12</v>
      </c>
      <c r="AT240" s="1">
        <v>23.67</v>
      </c>
      <c r="AU240" s="1">
        <v>6.73</v>
      </c>
      <c r="AV240" s="1">
        <v>0.36</v>
      </c>
      <c r="AW240" s="1">
        <v>2.19</v>
      </c>
      <c r="AX240" s="1">
        <v>8.51</v>
      </c>
      <c r="AY240" s="1">
        <v>0</v>
      </c>
      <c r="AZ240" s="1">
        <v>102.794</v>
      </c>
      <c r="BA240" s="1">
        <v>0</v>
      </c>
      <c r="BB240" s="1">
        <v>0</v>
      </c>
      <c r="BC240" s="1">
        <v>0</v>
      </c>
      <c r="BD240" s="1">
        <v>0</v>
      </c>
    </row>
    <row r="241" spans="1:56">
      <c r="A241" s="18">
        <v>46192</v>
      </c>
      <c r="B241" s="1">
        <v>240</v>
      </c>
      <c r="C241" s="1" t="s">
        <v>89</v>
      </c>
      <c r="D241" s="1" t="s">
        <v>90</v>
      </c>
      <c r="E241" s="1">
        <v>2</v>
      </c>
      <c r="F241" s="1">
        <v>200</v>
      </c>
      <c r="G241" s="1">
        <v>1</v>
      </c>
      <c r="H241" s="1" t="s">
        <v>91</v>
      </c>
      <c r="I241" s="1" t="s">
        <v>79</v>
      </c>
      <c r="J241" s="1" t="s">
        <v>81</v>
      </c>
      <c r="K241" s="1" t="s">
        <v>74</v>
      </c>
      <c r="L241" s="1" t="s">
        <v>72</v>
      </c>
      <c r="M241" s="1" t="s">
        <v>75</v>
      </c>
      <c r="N241" s="1" t="s">
        <v>76</v>
      </c>
      <c r="O241" s="1" t="s">
        <v>77</v>
      </c>
      <c r="P241" s="1" t="s">
        <v>27</v>
      </c>
      <c r="Q241" s="1" t="s">
        <v>86</v>
      </c>
      <c r="R241" s="1" t="s">
        <v>94</v>
      </c>
      <c r="S241" s="1" t="s">
        <v>87</v>
      </c>
      <c r="T241" s="1" t="s">
        <v>88</v>
      </c>
      <c r="X241" s="1" t="s">
        <v>73</v>
      </c>
      <c r="Z241" s="1" t="s">
        <v>70</v>
      </c>
      <c r="AA241" s="1" t="s">
        <v>95</v>
      </c>
      <c r="AB241" s="1">
        <v>5</v>
      </c>
      <c r="AC241" s="1">
        <v>748775.08</v>
      </c>
      <c r="AD241" s="1">
        <v>8930585.4399999995</v>
      </c>
      <c r="AE241" s="1">
        <v>209.9</v>
      </c>
      <c r="AF241" s="1">
        <v>748775.08</v>
      </c>
      <c r="AG241" s="1">
        <v>8930585.4399999995</v>
      </c>
      <c r="AH241" s="1">
        <v>199.4</v>
      </c>
      <c r="AI241" s="1">
        <v>10.5</v>
      </c>
      <c r="AJ241" s="1">
        <v>0.6</v>
      </c>
      <c r="AK241" s="1">
        <v>2.97</v>
      </c>
      <c r="AL241" s="1">
        <v>2.58</v>
      </c>
      <c r="AM241" s="1">
        <v>0</v>
      </c>
      <c r="AN241" s="1">
        <v>0</v>
      </c>
      <c r="AO241" s="1">
        <v>279.95422539999998</v>
      </c>
      <c r="AP241" s="1">
        <v>3.44</v>
      </c>
      <c r="AQ241" s="1">
        <v>0.78</v>
      </c>
      <c r="AR241" s="1">
        <v>0.18</v>
      </c>
      <c r="AS241" s="1">
        <v>0.12</v>
      </c>
      <c r="AT241" s="1">
        <v>23.67</v>
      </c>
      <c r="AU241" s="1">
        <v>6.73</v>
      </c>
      <c r="AV241" s="1">
        <v>0.36</v>
      </c>
      <c r="AW241" s="1">
        <v>2.19</v>
      </c>
      <c r="AX241" s="1">
        <v>8.5</v>
      </c>
      <c r="AY241" s="1">
        <v>0</v>
      </c>
      <c r="AZ241" s="1">
        <v>101.92</v>
      </c>
      <c r="BA241" s="1">
        <v>0</v>
      </c>
      <c r="BB241" s="1">
        <v>0</v>
      </c>
      <c r="BC241" s="1">
        <v>0</v>
      </c>
      <c r="BD241" s="1">
        <v>0</v>
      </c>
    </row>
    <row r="242" spans="1:56">
      <c r="A242" s="18">
        <v>46192</v>
      </c>
      <c r="B242" s="1">
        <v>241</v>
      </c>
      <c r="C242" s="1" t="s">
        <v>89</v>
      </c>
      <c r="D242" s="1" t="s">
        <v>90</v>
      </c>
      <c r="E242" s="1">
        <v>2</v>
      </c>
      <c r="F242" s="1">
        <v>200</v>
      </c>
      <c r="G242" s="1">
        <v>1</v>
      </c>
      <c r="H242" s="1" t="s">
        <v>91</v>
      </c>
      <c r="I242" s="1" t="s">
        <v>79</v>
      </c>
      <c r="J242" s="1" t="s">
        <v>81</v>
      </c>
      <c r="K242" s="1" t="s">
        <v>74</v>
      </c>
      <c r="L242" s="1" t="s">
        <v>72</v>
      </c>
      <c r="M242" s="1" t="s">
        <v>75</v>
      </c>
      <c r="N242" s="1" t="s">
        <v>76</v>
      </c>
      <c r="O242" s="1" t="s">
        <v>77</v>
      </c>
      <c r="P242" s="1" t="s">
        <v>27</v>
      </c>
      <c r="Q242" s="1" t="s">
        <v>86</v>
      </c>
      <c r="R242" s="1" t="s">
        <v>94</v>
      </c>
      <c r="S242" s="1" t="s">
        <v>87</v>
      </c>
      <c r="T242" s="1" t="s">
        <v>88</v>
      </c>
      <c r="X242" s="1" t="s">
        <v>73</v>
      </c>
      <c r="Z242" s="1" t="s">
        <v>70</v>
      </c>
      <c r="AA242" s="1" t="s">
        <v>95</v>
      </c>
      <c r="AB242" s="1">
        <v>5</v>
      </c>
      <c r="AC242" s="1">
        <v>748777.41</v>
      </c>
      <c r="AD242" s="1">
        <v>8930583.5999999996</v>
      </c>
      <c r="AE242" s="1">
        <v>209.8</v>
      </c>
      <c r="AF242" s="1">
        <v>748777.41</v>
      </c>
      <c r="AG242" s="1">
        <v>8930583.5999999996</v>
      </c>
      <c r="AH242" s="1">
        <v>199.4</v>
      </c>
      <c r="AI242" s="1">
        <v>10.4</v>
      </c>
      <c r="AJ242" s="1">
        <v>0.6</v>
      </c>
      <c r="AK242" s="1">
        <v>2.97</v>
      </c>
      <c r="AL242" s="1">
        <v>2.58</v>
      </c>
      <c r="AM242" s="1">
        <v>0</v>
      </c>
      <c r="AN242" s="1">
        <v>0</v>
      </c>
      <c r="AO242" s="1">
        <v>279.95422539999998</v>
      </c>
      <c r="AP242" s="1">
        <v>3.44</v>
      </c>
      <c r="AQ242" s="1">
        <v>0.78</v>
      </c>
      <c r="AR242" s="1">
        <v>0.18</v>
      </c>
      <c r="AS242" s="1">
        <v>0.12</v>
      </c>
      <c r="AT242" s="1">
        <v>23.67</v>
      </c>
      <c r="AU242" s="1">
        <v>6.73</v>
      </c>
      <c r="AV242" s="1">
        <v>0.36</v>
      </c>
      <c r="AW242" s="1">
        <v>2.19</v>
      </c>
      <c r="AX242" s="1">
        <v>8.5</v>
      </c>
      <c r="AY242" s="1">
        <v>0</v>
      </c>
      <c r="AZ242" s="1">
        <v>100.464</v>
      </c>
      <c r="BA242" s="1">
        <v>0</v>
      </c>
      <c r="BB242" s="1">
        <v>0</v>
      </c>
      <c r="BC242" s="1">
        <v>0</v>
      </c>
      <c r="BD242" s="1">
        <v>0</v>
      </c>
    </row>
    <row r="243" spans="1:56">
      <c r="A243" s="18">
        <v>46192</v>
      </c>
      <c r="B243" s="1">
        <v>242</v>
      </c>
      <c r="C243" s="1" t="s">
        <v>89</v>
      </c>
      <c r="D243" s="1" t="s">
        <v>90</v>
      </c>
      <c r="E243" s="1">
        <v>2</v>
      </c>
      <c r="F243" s="1">
        <v>200</v>
      </c>
      <c r="G243" s="1">
        <v>1</v>
      </c>
      <c r="H243" s="1" t="s">
        <v>91</v>
      </c>
      <c r="I243" s="1" t="s">
        <v>79</v>
      </c>
      <c r="J243" s="1" t="s">
        <v>81</v>
      </c>
      <c r="K243" s="1" t="s">
        <v>74</v>
      </c>
      <c r="L243" s="1" t="s">
        <v>72</v>
      </c>
      <c r="M243" s="1" t="s">
        <v>75</v>
      </c>
      <c r="N243" s="1" t="s">
        <v>76</v>
      </c>
      <c r="O243" s="1" t="s">
        <v>77</v>
      </c>
      <c r="P243" s="1" t="s">
        <v>27</v>
      </c>
      <c r="Q243" s="1" t="s">
        <v>86</v>
      </c>
      <c r="R243" s="1" t="s">
        <v>94</v>
      </c>
      <c r="S243" s="1" t="s">
        <v>87</v>
      </c>
      <c r="T243" s="1" t="s">
        <v>88</v>
      </c>
      <c r="X243" s="1" t="s">
        <v>73</v>
      </c>
      <c r="Z243" s="1" t="s">
        <v>70</v>
      </c>
      <c r="AA243" s="1" t="s">
        <v>95</v>
      </c>
      <c r="AB243" s="1">
        <v>5</v>
      </c>
      <c r="AC243" s="1">
        <v>748779.73</v>
      </c>
      <c r="AD243" s="1">
        <v>8930581.75</v>
      </c>
      <c r="AE243" s="1">
        <v>209.8</v>
      </c>
      <c r="AF243" s="1">
        <v>748779.73</v>
      </c>
      <c r="AG243" s="1">
        <v>8930581.75</v>
      </c>
      <c r="AH243" s="1">
        <v>199.4</v>
      </c>
      <c r="AI243" s="1">
        <v>10.4</v>
      </c>
      <c r="AJ243" s="1">
        <v>0.6</v>
      </c>
      <c r="AK243" s="1">
        <v>2.97</v>
      </c>
      <c r="AL243" s="1">
        <v>2.58</v>
      </c>
      <c r="AM243" s="1">
        <v>0</v>
      </c>
      <c r="AN243" s="1">
        <v>0</v>
      </c>
      <c r="AO243" s="1">
        <v>279.95422539999998</v>
      </c>
      <c r="AP243" s="1">
        <v>3.41</v>
      </c>
      <c r="AQ243" s="1">
        <v>0.78</v>
      </c>
      <c r="AR243" s="1">
        <v>0.16</v>
      </c>
      <c r="AS243" s="1">
        <v>0.12</v>
      </c>
      <c r="AT243" s="1">
        <v>23.38</v>
      </c>
      <c r="AU243" s="1">
        <v>6.83</v>
      </c>
      <c r="AV243" s="1">
        <v>0.37</v>
      </c>
      <c r="AW243" s="1">
        <v>2.12</v>
      </c>
      <c r="AX243" s="1">
        <v>7.64</v>
      </c>
      <c r="AY243" s="1">
        <v>0</v>
      </c>
      <c r="AZ243" s="1">
        <v>100.464</v>
      </c>
      <c r="BA243" s="1">
        <v>0</v>
      </c>
      <c r="BB243" s="1">
        <v>0</v>
      </c>
      <c r="BC243" s="1">
        <v>0</v>
      </c>
      <c r="BD243" s="1">
        <v>0</v>
      </c>
    </row>
    <row r="244" spans="1:56">
      <c r="A244" s="18">
        <v>46192</v>
      </c>
      <c r="B244" s="1">
        <v>243</v>
      </c>
      <c r="C244" s="1" t="s">
        <v>89</v>
      </c>
      <c r="D244" s="1" t="s">
        <v>90</v>
      </c>
      <c r="E244" s="1">
        <v>2</v>
      </c>
      <c r="F244" s="1">
        <v>200</v>
      </c>
      <c r="G244" s="1">
        <v>1</v>
      </c>
      <c r="H244" s="1" t="s">
        <v>91</v>
      </c>
      <c r="I244" s="1" t="s">
        <v>79</v>
      </c>
      <c r="J244" s="1" t="s">
        <v>80</v>
      </c>
      <c r="K244" s="1" t="s">
        <v>74</v>
      </c>
      <c r="L244" s="1" t="s">
        <v>72</v>
      </c>
      <c r="M244" s="1" t="s">
        <v>75</v>
      </c>
      <c r="N244" s="1" t="s">
        <v>76</v>
      </c>
      <c r="O244" s="1" t="s">
        <v>77</v>
      </c>
      <c r="P244" s="1" t="s">
        <v>27</v>
      </c>
      <c r="Q244" s="1" t="s">
        <v>86</v>
      </c>
      <c r="R244" s="1" t="s">
        <v>94</v>
      </c>
      <c r="S244" s="1" t="s">
        <v>87</v>
      </c>
      <c r="T244" s="1" t="s">
        <v>88</v>
      </c>
      <c r="X244" s="1" t="s">
        <v>73</v>
      </c>
      <c r="Z244" s="1" t="s">
        <v>70</v>
      </c>
      <c r="AA244" s="1" t="s">
        <v>95</v>
      </c>
      <c r="AB244" s="1">
        <v>5</v>
      </c>
      <c r="AC244" s="1">
        <v>748782.05</v>
      </c>
      <c r="AD244" s="1">
        <v>8930579.8900000006</v>
      </c>
      <c r="AE244" s="1">
        <v>209.93</v>
      </c>
      <c r="AF244" s="1">
        <v>748782.05</v>
      </c>
      <c r="AG244" s="1">
        <v>8930579.8900000006</v>
      </c>
      <c r="AH244" s="1">
        <v>199.4</v>
      </c>
      <c r="AI244" s="1">
        <v>10.53</v>
      </c>
      <c r="AJ244" s="1">
        <v>0.6</v>
      </c>
      <c r="AK244" s="1">
        <v>2.97</v>
      </c>
      <c r="AL244" s="1">
        <v>2.58</v>
      </c>
      <c r="AM244" s="1">
        <v>0</v>
      </c>
      <c r="AN244" s="1">
        <v>0</v>
      </c>
      <c r="AO244" s="1">
        <v>279.95422539999998</v>
      </c>
      <c r="AP244" s="1">
        <v>3.43</v>
      </c>
      <c r="AQ244" s="1">
        <v>0.67</v>
      </c>
      <c r="AR244" s="1">
        <v>0.13</v>
      </c>
      <c r="AS244" s="1">
        <v>0.1</v>
      </c>
      <c r="AT244" s="1">
        <v>21.31</v>
      </c>
      <c r="AU244" s="1">
        <v>6.38</v>
      </c>
      <c r="AV244" s="1">
        <v>0.35</v>
      </c>
      <c r="AW244" s="1">
        <v>1.91</v>
      </c>
      <c r="AX244" s="1">
        <v>7.18</v>
      </c>
      <c r="AY244" s="1">
        <v>0</v>
      </c>
      <c r="AZ244" s="1">
        <v>102.357</v>
      </c>
      <c r="BA244" s="1">
        <v>0</v>
      </c>
      <c r="BB244" s="1">
        <v>0</v>
      </c>
      <c r="BC244" s="1">
        <v>0</v>
      </c>
      <c r="BD244" s="1">
        <v>0</v>
      </c>
    </row>
    <row r="245" spans="1:56">
      <c r="A245" s="18">
        <v>46192</v>
      </c>
      <c r="B245" s="1">
        <v>244</v>
      </c>
      <c r="C245" s="1" t="s">
        <v>89</v>
      </c>
      <c r="D245" s="1" t="s">
        <v>90</v>
      </c>
      <c r="E245" s="1">
        <v>2</v>
      </c>
      <c r="F245" s="1">
        <v>200</v>
      </c>
      <c r="G245" s="1">
        <v>1</v>
      </c>
      <c r="H245" s="1" t="s">
        <v>91</v>
      </c>
      <c r="I245" s="1" t="s">
        <v>79</v>
      </c>
      <c r="J245" s="1" t="s">
        <v>80</v>
      </c>
      <c r="K245" s="1" t="s">
        <v>74</v>
      </c>
      <c r="L245" s="1" t="s">
        <v>72</v>
      </c>
      <c r="M245" s="1" t="s">
        <v>75</v>
      </c>
      <c r="N245" s="1" t="s">
        <v>76</v>
      </c>
      <c r="O245" s="1" t="s">
        <v>77</v>
      </c>
      <c r="P245" s="1" t="s">
        <v>27</v>
      </c>
      <c r="Q245" s="1" t="s">
        <v>86</v>
      </c>
      <c r="R245" s="1" t="s">
        <v>94</v>
      </c>
      <c r="S245" s="1" t="s">
        <v>87</v>
      </c>
      <c r="T245" s="1" t="s">
        <v>88</v>
      </c>
      <c r="X245" s="1" t="s">
        <v>73</v>
      </c>
      <c r="Z245" s="1" t="s">
        <v>70</v>
      </c>
      <c r="AA245" s="1" t="s">
        <v>95</v>
      </c>
      <c r="AB245" s="1">
        <v>5</v>
      </c>
      <c r="AC245" s="1">
        <v>748784.3</v>
      </c>
      <c r="AD245" s="1">
        <v>8930577.9600000009</v>
      </c>
      <c r="AE245" s="1">
        <v>209.92</v>
      </c>
      <c r="AF245" s="1">
        <v>748784.3</v>
      </c>
      <c r="AG245" s="1">
        <v>8930577.9600000009</v>
      </c>
      <c r="AH245" s="1">
        <v>199.4</v>
      </c>
      <c r="AI245" s="1">
        <v>10.52</v>
      </c>
      <c r="AJ245" s="1">
        <v>0.6</v>
      </c>
      <c r="AK245" s="1">
        <v>2.97</v>
      </c>
      <c r="AL245" s="1">
        <v>2.58</v>
      </c>
      <c r="AM245" s="1">
        <v>0</v>
      </c>
      <c r="AN245" s="1">
        <v>0</v>
      </c>
      <c r="AO245" s="1">
        <v>279.95422539999998</v>
      </c>
      <c r="AP245" s="1">
        <v>3.48</v>
      </c>
      <c r="AQ245" s="1">
        <v>0.56000000000000005</v>
      </c>
      <c r="AR245" s="1">
        <v>0.12</v>
      </c>
      <c r="AS245" s="1">
        <v>0.09</v>
      </c>
      <c r="AT245" s="1">
        <v>19.77</v>
      </c>
      <c r="AU245" s="1">
        <v>5.8</v>
      </c>
      <c r="AV245" s="1">
        <v>0.31</v>
      </c>
      <c r="AW245" s="1">
        <v>1.81</v>
      </c>
      <c r="AX245" s="1">
        <v>7.83</v>
      </c>
      <c r="AY245" s="1">
        <v>0</v>
      </c>
      <c r="AZ245" s="1">
        <v>102.211</v>
      </c>
      <c r="BA245" s="1">
        <v>0</v>
      </c>
      <c r="BB245" s="1">
        <v>0</v>
      </c>
      <c r="BC245" s="1">
        <v>0</v>
      </c>
      <c r="BD245" s="1">
        <v>0</v>
      </c>
    </row>
    <row r="246" spans="1:56">
      <c r="A246" s="18">
        <v>46192</v>
      </c>
      <c r="B246" s="1">
        <v>245</v>
      </c>
      <c r="C246" s="1" t="s">
        <v>89</v>
      </c>
      <c r="D246" s="1" t="s">
        <v>90</v>
      </c>
      <c r="E246" s="1">
        <v>2</v>
      </c>
      <c r="F246" s="1">
        <v>200</v>
      </c>
      <c r="G246" s="1">
        <v>1</v>
      </c>
      <c r="H246" s="1" t="s">
        <v>91</v>
      </c>
      <c r="I246" s="1" t="s">
        <v>79</v>
      </c>
      <c r="J246" s="1" t="s">
        <v>80</v>
      </c>
      <c r="K246" s="1" t="s">
        <v>74</v>
      </c>
      <c r="L246" s="1" t="s">
        <v>72</v>
      </c>
      <c r="M246" s="1" t="s">
        <v>75</v>
      </c>
      <c r="N246" s="1" t="s">
        <v>76</v>
      </c>
      <c r="O246" s="1" t="s">
        <v>77</v>
      </c>
      <c r="P246" s="1" t="s">
        <v>27</v>
      </c>
      <c r="Q246" s="1" t="s">
        <v>86</v>
      </c>
      <c r="R246" s="1" t="s">
        <v>94</v>
      </c>
      <c r="S246" s="1" t="s">
        <v>87</v>
      </c>
      <c r="T246" s="1" t="s">
        <v>88</v>
      </c>
      <c r="X246" s="1" t="s">
        <v>73</v>
      </c>
      <c r="Z246" s="1" t="s">
        <v>70</v>
      </c>
      <c r="AA246" s="1" t="s">
        <v>95</v>
      </c>
      <c r="AB246" s="1">
        <v>5</v>
      </c>
      <c r="AC246" s="1">
        <v>748786.55</v>
      </c>
      <c r="AD246" s="1">
        <v>8930576.0199999996</v>
      </c>
      <c r="AE246" s="1">
        <v>210.1</v>
      </c>
      <c r="AF246" s="1">
        <v>748786.55</v>
      </c>
      <c r="AG246" s="1">
        <v>8930576.0199999996</v>
      </c>
      <c r="AH246" s="1">
        <v>199.4</v>
      </c>
      <c r="AI246" s="1">
        <v>10.7</v>
      </c>
      <c r="AJ246" s="1">
        <v>0.6</v>
      </c>
      <c r="AK246" s="1">
        <v>2.97</v>
      </c>
      <c r="AL246" s="1">
        <v>2.58</v>
      </c>
      <c r="AM246" s="1">
        <v>0</v>
      </c>
      <c r="AN246" s="1">
        <v>0</v>
      </c>
      <c r="AO246" s="1">
        <v>279.95422539999998</v>
      </c>
      <c r="AP246" s="1">
        <v>3.48</v>
      </c>
      <c r="AQ246" s="1">
        <v>0.56000000000000005</v>
      </c>
      <c r="AR246" s="1">
        <v>0.12</v>
      </c>
      <c r="AS246" s="1">
        <v>0.09</v>
      </c>
      <c r="AT246" s="1">
        <v>19.829999999999998</v>
      </c>
      <c r="AU246" s="1">
        <v>5.79</v>
      </c>
      <c r="AV246" s="1">
        <v>0.31</v>
      </c>
      <c r="AW246" s="1">
        <v>1.8</v>
      </c>
      <c r="AX246" s="1">
        <v>7.84</v>
      </c>
      <c r="AY246" s="1">
        <v>0</v>
      </c>
      <c r="AZ246" s="1">
        <v>104.83199999999999</v>
      </c>
      <c r="BA246" s="1">
        <v>0</v>
      </c>
      <c r="BB246" s="1">
        <v>0</v>
      </c>
      <c r="BC246" s="1">
        <v>0</v>
      </c>
      <c r="BD246" s="1">
        <v>0</v>
      </c>
    </row>
    <row r="247" spans="1:56">
      <c r="A247" s="18">
        <v>46192</v>
      </c>
      <c r="B247" s="1">
        <v>246</v>
      </c>
      <c r="C247" s="1" t="s">
        <v>89</v>
      </c>
      <c r="D247" s="1" t="s">
        <v>90</v>
      </c>
      <c r="E247" s="1">
        <v>2</v>
      </c>
      <c r="F247" s="1">
        <v>200</v>
      </c>
      <c r="G247" s="1">
        <v>1</v>
      </c>
      <c r="H247" s="1" t="s">
        <v>91</v>
      </c>
      <c r="I247" s="1" t="s">
        <v>79</v>
      </c>
      <c r="J247" s="1" t="s">
        <v>80</v>
      </c>
      <c r="K247" s="1" t="s">
        <v>74</v>
      </c>
      <c r="L247" s="1" t="s">
        <v>72</v>
      </c>
      <c r="M247" s="1" t="s">
        <v>75</v>
      </c>
      <c r="N247" s="1" t="s">
        <v>76</v>
      </c>
      <c r="O247" s="1" t="s">
        <v>77</v>
      </c>
      <c r="P247" s="1" t="s">
        <v>27</v>
      </c>
      <c r="Q247" s="1" t="s">
        <v>86</v>
      </c>
      <c r="R247" s="1" t="s">
        <v>94</v>
      </c>
      <c r="S247" s="1" t="s">
        <v>87</v>
      </c>
      <c r="T247" s="1" t="s">
        <v>88</v>
      </c>
      <c r="X247" s="1" t="s">
        <v>73</v>
      </c>
      <c r="Z247" s="1" t="s">
        <v>70</v>
      </c>
      <c r="AA247" s="1" t="s">
        <v>95</v>
      </c>
      <c r="AB247" s="1">
        <v>5</v>
      </c>
      <c r="AC247" s="1">
        <v>748788.8</v>
      </c>
      <c r="AD247" s="1">
        <v>8930574.0800000001</v>
      </c>
      <c r="AE247" s="1">
        <v>210.38</v>
      </c>
      <c r="AF247" s="1">
        <v>748788.8</v>
      </c>
      <c r="AG247" s="1">
        <v>8930574.0800000001</v>
      </c>
      <c r="AH247" s="1">
        <v>199.4</v>
      </c>
      <c r="AI247" s="1">
        <v>10.98</v>
      </c>
      <c r="AJ247" s="1">
        <v>0.6</v>
      </c>
      <c r="AK247" s="1">
        <v>2.97</v>
      </c>
      <c r="AL247" s="1">
        <v>2.58</v>
      </c>
      <c r="AM247" s="1">
        <v>0</v>
      </c>
      <c r="AN247" s="1">
        <v>0</v>
      </c>
      <c r="AO247" s="1">
        <v>279.95422539999998</v>
      </c>
      <c r="AP247" s="1">
        <v>3.47</v>
      </c>
      <c r="AQ247" s="1">
        <v>0.55000000000000004</v>
      </c>
      <c r="AR247" s="1">
        <v>0.12</v>
      </c>
      <c r="AS247" s="1">
        <v>0.09</v>
      </c>
      <c r="AT247" s="1">
        <v>19.559999999999999</v>
      </c>
      <c r="AU247" s="1">
        <v>5.74</v>
      </c>
      <c r="AV247" s="1">
        <v>0.31</v>
      </c>
      <c r="AW247" s="1">
        <v>1.81</v>
      </c>
      <c r="AX247" s="1">
        <v>7.87</v>
      </c>
      <c r="AY247" s="1">
        <v>0</v>
      </c>
      <c r="AZ247" s="1">
        <v>108.90900000000001</v>
      </c>
      <c r="BA247" s="1">
        <v>0</v>
      </c>
      <c r="BB247" s="1">
        <v>0</v>
      </c>
      <c r="BC247" s="1">
        <v>0</v>
      </c>
      <c r="BD247" s="1">
        <v>0</v>
      </c>
    </row>
    <row r="248" spans="1:56">
      <c r="A248" s="18">
        <v>46192</v>
      </c>
      <c r="B248" s="1">
        <v>247</v>
      </c>
      <c r="C248" s="1" t="s">
        <v>89</v>
      </c>
      <c r="D248" s="1" t="s">
        <v>90</v>
      </c>
      <c r="E248" s="1">
        <v>2</v>
      </c>
      <c r="F248" s="1">
        <v>200</v>
      </c>
      <c r="G248" s="1">
        <v>1</v>
      </c>
      <c r="H248" s="1" t="s">
        <v>91</v>
      </c>
      <c r="I248" s="1" t="s">
        <v>79</v>
      </c>
      <c r="J248" s="1" t="s">
        <v>80</v>
      </c>
      <c r="K248" s="1" t="s">
        <v>74</v>
      </c>
      <c r="L248" s="1" t="s">
        <v>72</v>
      </c>
      <c r="M248" s="1" t="s">
        <v>75</v>
      </c>
      <c r="N248" s="1" t="s">
        <v>76</v>
      </c>
      <c r="O248" s="1" t="s">
        <v>77</v>
      </c>
      <c r="P248" s="1" t="s">
        <v>27</v>
      </c>
      <c r="Q248" s="1" t="s">
        <v>86</v>
      </c>
      <c r="R248" s="1" t="s">
        <v>94</v>
      </c>
      <c r="S248" s="1" t="s">
        <v>87</v>
      </c>
      <c r="T248" s="1" t="s">
        <v>88</v>
      </c>
      <c r="X248" s="1" t="s">
        <v>73</v>
      </c>
      <c r="Z248" s="1" t="s">
        <v>70</v>
      </c>
      <c r="AA248" s="1" t="s">
        <v>95</v>
      </c>
      <c r="AB248" s="1">
        <v>5</v>
      </c>
      <c r="AC248" s="1">
        <v>748791.05</v>
      </c>
      <c r="AD248" s="1">
        <v>8930572.1400000006</v>
      </c>
      <c r="AE248" s="1">
        <v>210.56</v>
      </c>
      <c r="AF248" s="1">
        <v>748791.05</v>
      </c>
      <c r="AG248" s="1">
        <v>8930572.1400000006</v>
      </c>
      <c r="AH248" s="1">
        <v>199.4</v>
      </c>
      <c r="AI248" s="1">
        <v>11.16</v>
      </c>
      <c r="AJ248" s="1">
        <v>0.6</v>
      </c>
      <c r="AK248" s="1">
        <v>2.97</v>
      </c>
      <c r="AL248" s="1">
        <v>2.58</v>
      </c>
      <c r="AM248" s="1">
        <v>0</v>
      </c>
      <c r="AN248" s="1">
        <v>0</v>
      </c>
      <c r="AO248" s="1">
        <v>279.95422539999998</v>
      </c>
      <c r="AP248" s="1">
        <v>3.46</v>
      </c>
      <c r="AQ248" s="1">
        <v>0.5</v>
      </c>
      <c r="AR248" s="1">
        <v>0.1</v>
      </c>
      <c r="AS248" s="1">
        <v>0.08</v>
      </c>
      <c r="AT248" s="1">
        <v>18.32</v>
      </c>
      <c r="AU248" s="1">
        <v>5.5</v>
      </c>
      <c r="AV248" s="1">
        <v>0.28000000000000003</v>
      </c>
      <c r="AW248" s="1">
        <v>1.79</v>
      </c>
      <c r="AX248" s="1">
        <v>7.91</v>
      </c>
      <c r="AY248" s="1">
        <v>0</v>
      </c>
      <c r="AZ248" s="1">
        <v>111.53</v>
      </c>
      <c r="BA248" s="1">
        <v>0</v>
      </c>
      <c r="BB248" s="1">
        <v>0</v>
      </c>
      <c r="BC248" s="1">
        <v>0</v>
      </c>
      <c r="BD248" s="1">
        <v>0</v>
      </c>
    </row>
    <row r="249" spans="1:56">
      <c r="A249" s="18">
        <v>46192</v>
      </c>
      <c r="B249" s="1">
        <v>248</v>
      </c>
      <c r="C249" s="1" t="s">
        <v>89</v>
      </c>
      <c r="D249" s="1" t="s">
        <v>90</v>
      </c>
      <c r="E249" s="1">
        <v>2</v>
      </c>
      <c r="F249" s="1">
        <v>200</v>
      </c>
      <c r="G249" s="1">
        <v>1</v>
      </c>
      <c r="H249" s="1" t="s">
        <v>91</v>
      </c>
      <c r="I249" s="1" t="s">
        <v>79</v>
      </c>
      <c r="J249" s="1" t="s">
        <v>80</v>
      </c>
      <c r="K249" s="1" t="s">
        <v>74</v>
      </c>
      <c r="L249" s="1" t="s">
        <v>72</v>
      </c>
      <c r="M249" s="1" t="s">
        <v>75</v>
      </c>
      <c r="N249" s="1" t="s">
        <v>76</v>
      </c>
      <c r="O249" s="1" t="s">
        <v>77</v>
      </c>
      <c r="P249" s="1" t="s">
        <v>27</v>
      </c>
      <c r="Q249" s="1" t="s">
        <v>86</v>
      </c>
      <c r="R249" s="1" t="s">
        <v>94</v>
      </c>
      <c r="S249" s="1" t="s">
        <v>87</v>
      </c>
      <c r="T249" s="1" t="s">
        <v>88</v>
      </c>
      <c r="X249" s="1" t="s">
        <v>73</v>
      </c>
      <c r="Z249" s="1" t="s">
        <v>70</v>
      </c>
      <c r="AA249" s="1" t="s">
        <v>95</v>
      </c>
      <c r="AB249" s="1">
        <v>5</v>
      </c>
      <c r="AC249" s="1">
        <v>748793.3</v>
      </c>
      <c r="AD249" s="1">
        <v>8930570.1999999993</v>
      </c>
      <c r="AE249" s="1">
        <v>210.51</v>
      </c>
      <c r="AF249" s="1">
        <v>748793.3</v>
      </c>
      <c r="AG249" s="1">
        <v>8930570.1999999993</v>
      </c>
      <c r="AH249" s="1">
        <v>199.4</v>
      </c>
      <c r="AI249" s="1">
        <v>11.11</v>
      </c>
      <c r="AJ249" s="1">
        <v>0.6</v>
      </c>
      <c r="AK249" s="1">
        <v>2.97</v>
      </c>
      <c r="AL249" s="1">
        <v>2.58</v>
      </c>
      <c r="AM249" s="1">
        <v>0</v>
      </c>
      <c r="AN249" s="1">
        <v>0</v>
      </c>
      <c r="AO249" s="1">
        <v>279.95422539999998</v>
      </c>
      <c r="AP249" s="1">
        <v>3.42</v>
      </c>
      <c r="AQ249" s="1">
        <v>0.43</v>
      </c>
      <c r="AR249" s="1">
        <v>0.09</v>
      </c>
      <c r="AS249" s="1">
        <v>0.06</v>
      </c>
      <c r="AT249" s="1">
        <v>16.64</v>
      </c>
      <c r="AU249" s="1">
        <v>5.19</v>
      </c>
      <c r="AV249" s="1">
        <v>0.23</v>
      </c>
      <c r="AW249" s="1">
        <v>1.88</v>
      </c>
      <c r="AX249" s="1">
        <v>8.43</v>
      </c>
      <c r="AY249" s="1">
        <v>0</v>
      </c>
      <c r="AZ249" s="1">
        <v>110.80200000000001</v>
      </c>
      <c r="BA249" s="1">
        <v>0</v>
      </c>
      <c r="BB249" s="1">
        <v>0</v>
      </c>
      <c r="BC249" s="1">
        <v>0</v>
      </c>
      <c r="BD249" s="1">
        <v>0</v>
      </c>
    </row>
    <row r="250" spans="1:56">
      <c r="A250" s="18">
        <v>46192</v>
      </c>
      <c r="B250" s="1">
        <v>249</v>
      </c>
      <c r="C250" s="1" t="s">
        <v>89</v>
      </c>
      <c r="D250" s="1" t="s">
        <v>90</v>
      </c>
      <c r="E250" s="1">
        <v>2</v>
      </c>
      <c r="F250" s="1">
        <v>200</v>
      </c>
      <c r="G250" s="1">
        <v>1</v>
      </c>
      <c r="H250" s="1" t="s">
        <v>91</v>
      </c>
      <c r="I250" s="1" t="s">
        <v>79</v>
      </c>
      <c r="J250" s="1" t="s">
        <v>84</v>
      </c>
      <c r="K250" s="1" t="s">
        <v>74</v>
      </c>
      <c r="L250" s="1" t="s">
        <v>72</v>
      </c>
      <c r="M250" s="1" t="s">
        <v>75</v>
      </c>
      <c r="N250" s="1" t="s">
        <v>76</v>
      </c>
      <c r="O250" s="1" t="s">
        <v>77</v>
      </c>
      <c r="P250" s="1" t="s">
        <v>27</v>
      </c>
      <c r="Q250" s="1" t="s">
        <v>86</v>
      </c>
      <c r="R250" s="1" t="s">
        <v>94</v>
      </c>
      <c r="S250" s="1" t="s">
        <v>87</v>
      </c>
      <c r="T250" s="1" t="s">
        <v>88</v>
      </c>
      <c r="X250" s="1" t="s">
        <v>73</v>
      </c>
      <c r="Z250" s="1" t="s">
        <v>70</v>
      </c>
      <c r="AA250" s="1" t="s">
        <v>95</v>
      </c>
      <c r="AB250" s="1">
        <v>5</v>
      </c>
      <c r="AC250" s="1">
        <v>748795.55</v>
      </c>
      <c r="AD250" s="1">
        <v>8930568.2599999998</v>
      </c>
      <c r="AE250" s="1">
        <v>210.14</v>
      </c>
      <c r="AF250" s="1">
        <v>748795.55</v>
      </c>
      <c r="AG250" s="1">
        <v>8930568.2599999998</v>
      </c>
      <c r="AH250" s="1">
        <v>199.4</v>
      </c>
      <c r="AI250" s="1">
        <v>10.74</v>
      </c>
      <c r="AJ250" s="1">
        <v>0.6</v>
      </c>
      <c r="AK250" s="1">
        <v>2.97</v>
      </c>
      <c r="AL250" s="1">
        <v>2.58</v>
      </c>
      <c r="AM250" s="1">
        <v>0</v>
      </c>
      <c r="AN250" s="1">
        <v>0</v>
      </c>
      <c r="AO250" s="1">
        <v>279.95422539999998</v>
      </c>
      <c r="AP250" s="1">
        <v>3.37</v>
      </c>
      <c r="AQ250" s="1">
        <v>0.38</v>
      </c>
      <c r="AR250" s="1">
        <v>0.08</v>
      </c>
      <c r="AS250" s="1">
        <v>0.05</v>
      </c>
      <c r="AT250" s="1">
        <v>15.1</v>
      </c>
      <c r="AU250" s="1">
        <v>4.93</v>
      </c>
      <c r="AV250" s="1">
        <v>0.19</v>
      </c>
      <c r="AW250" s="1">
        <v>2</v>
      </c>
      <c r="AX250" s="1">
        <v>9.0399999999999991</v>
      </c>
      <c r="AY250" s="1">
        <v>0</v>
      </c>
      <c r="AZ250" s="1">
        <v>105.414</v>
      </c>
      <c r="BA250" s="1">
        <v>0</v>
      </c>
      <c r="BB250" s="1">
        <v>0</v>
      </c>
      <c r="BC250" s="1">
        <v>0</v>
      </c>
      <c r="BD250" s="1">
        <v>0</v>
      </c>
    </row>
    <row r="251" spans="1:56">
      <c r="A251" s="18">
        <v>46192</v>
      </c>
      <c r="B251" s="1">
        <v>250</v>
      </c>
      <c r="C251" s="1" t="s">
        <v>89</v>
      </c>
      <c r="D251" s="1" t="s">
        <v>90</v>
      </c>
      <c r="E251" s="1">
        <v>2</v>
      </c>
      <c r="F251" s="1">
        <v>200</v>
      </c>
      <c r="G251" s="1">
        <v>1</v>
      </c>
      <c r="H251" s="1" t="s">
        <v>91</v>
      </c>
      <c r="I251" s="1" t="s">
        <v>79</v>
      </c>
      <c r="J251" s="1" t="s">
        <v>84</v>
      </c>
      <c r="K251" s="1" t="s">
        <v>74</v>
      </c>
      <c r="L251" s="1" t="s">
        <v>72</v>
      </c>
      <c r="M251" s="1" t="s">
        <v>75</v>
      </c>
      <c r="N251" s="1" t="s">
        <v>76</v>
      </c>
      <c r="O251" s="1" t="s">
        <v>77</v>
      </c>
      <c r="P251" s="1" t="s">
        <v>27</v>
      </c>
      <c r="Q251" s="1" t="s">
        <v>86</v>
      </c>
      <c r="R251" s="1" t="s">
        <v>94</v>
      </c>
      <c r="S251" s="1" t="s">
        <v>87</v>
      </c>
      <c r="T251" s="1" t="s">
        <v>88</v>
      </c>
      <c r="X251" s="1" t="s">
        <v>73</v>
      </c>
      <c r="Z251" s="1" t="s">
        <v>70</v>
      </c>
      <c r="AA251" s="1" t="s">
        <v>95</v>
      </c>
      <c r="AB251" s="1">
        <v>5</v>
      </c>
      <c r="AC251" s="1">
        <v>748797.8</v>
      </c>
      <c r="AD251" s="1">
        <v>8930566.3300000001</v>
      </c>
      <c r="AE251" s="1">
        <v>210.08</v>
      </c>
      <c r="AF251" s="1">
        <v>748797.8</v>
      </c>
      <c r="AG251" s="1">
        <v>8930566.3300000001</v>
      </c>
      <c r="AH251" s="1">
        <v>199.4</v>
      </c>
      <c r="AI251" s="1">
        <v>10.68</v>
      </c>
      <c r="AJ251" s="1">
        <v>0.6</v>
      </c>
      <c r="AK251" s="1">
        <v>2.97</v>
      </c>
      <c r="AL251" s="1">
        <v>2.58</v>
      </c>
      <c r="AM251" s="1">
        <v>0</v>
      </c>
      <c r="AN251" s="1">
        <v>0</v>
      </c>
      <c r="AO251" s="1">
        <v>279.95422539999998</v>
      </c>
      <c r="AP251" s="1">
        <v>3.37</v>
      </c>
      <c r="AQ251" s="1">
        <v>0.37</v>
      </c>
      <c r="AR251" s="1">
        <v>0.08</v>
      </c>
      <c r="AS251" s="1">
        <v>0.05</v>
      </c>
      <c r="AT251" s="1">
        <v>14.98</v>
      </c>
      <c r="AU251" s="1">
        <v>4.91</v>
      </c>
      <c r="AV251" s="1">
        <v>0.18</v>
      </c>
      <c r="AW251" s="1">
        <v>2.0099999999999998</v>
      </c>
      <c r="AX251" s="1">
        <v>9.09</v>
      </c>
      <c r="AY251" s="1">
        <v>0</v>
      </c>
      <c r="AZ251" s="1">
        <v>104.541</v>
      </c>
      <c r="BA251" s="1">
        <v>0</v>
      </c>
      <c r="BB251" s="1">
        <v>0</v>
      </c>
      <c r="BC251" s="1">
        <v>0</v>
      </c>
      <c r="BD251" s="1">
        <v>0</v>
      </c>
    </row>
    <row r="252" spans="1:56">
      <c r="A252" s="18">
        <v>46192</v>
      </c>
      <c r="B252" s="1">
        <v>251</v>
      </c>
      <c r="C252" s="1" t="s">
        <v>89</v>
      </c>
      <c r="D252" s="1" t="s">
        <v>90</v>
      </c>
      <c r="E252" s="1">
        <v>2</v>
      </c>
      <c r="F252" s="1">
        <v>200</v>
      </c>
      <c r="G252" s="1">
        <v>1</v>
      </c>
      <c r="H252" s="1" t="s">
        <v>91</v>
      </c>
      <c r="I252" s="1" t="s">
        <v>79</v>
      </c>
      <c r="J252" s="1" t="s">
        <v>84</v>
      </c>
      <c r="K252" s="1" t="s">
        <v>74</v>
      </c>
      <c r="L252" s="1" t="s">
        <v>72</v>
      </c>
      <c r="M252" s="1" t="s">
        <v>75</v>
      </c>
      <c r="N252" s="1" t="s">
        <v>76</v>
      </c>
      <c r="O252" s="1" t="s">
        <v>77</v>
      </c>
      <c r="P252" s="1" t="s">
        <v>27</v>
      </c>
      <c r="Q252" s="1" t="s">
        <v>86</v>
      </c>
      <c r="R252" s="1" t="s">
        <v>94</v>
      </c>
      <c r="S252" s="1" t="s">
        <v>87</v>
      </c>
      <c r="T252" s="1" t="s">
        <v>88</v>
      </c>
      <c r="X252" s="1" t="s">
        <v>73</v>
      </c>
      <c r="Z252" s="1" t="s">
        <v>70</v>
      </c>
      <c r="AA252" s="1" t="s">
        <v>95</v>
      </c>
      <c r="AB252" s="1">
        <v>5</v>
      </c>
      <c r="AC252" s="1">
        <v>748800.05</v>
      </c>
      <c r="AD252" s="1">
        <v>8930564.3900000006</v>
      </c>
      <c r="AE252" s="1">
        <v>210.01</v>
      </c>
      <c r="AF252" s="1">
        <v>748800.05</v>
      </c>
      <c r="AG252" s="1">
        <v>8930564.3900000006</v>
      </c>
      <c r="AH252" s="1">
        <v>199.4</v>
      </c>
      <c r="AI252" s="1">
        <v>10.61</v>
      </c>
      <c r="AJ252" s="1">
        <v>0.6</v>
      </c>
      <c r="AK252" s="1">
        <v>2.97</v>
      </c>
      <c r="AL252" s="1">
        <v>2.58</v>
      </c>
      <c r="AM252" s="1">
        <v>0</v>
      </c>
      <c r="AN252" s="1">
        <v>0</v>
      </c>
      <c r="AO252" s="1">
        <v>279.95422539999998</v>
      </c>
      <c r="AP252" s="1">
        <v>3.38</v>
      </c>
      <c r="AQ252" s="1">
        <v>0.35</v>
      </c>
      <c r="AR252" s="1">
        <v>7.0000000000000007E-2</v>
      </c>
      <c r="AS252" s="1">
        <v>0.05</v>
      </c>
      <c r="AT252" s="1">
        <v>14.5</v>
      </c>
      <c r="AU252" s="1">
        <v>4.87</v>
      </c>
      <c r="AV252" s="1">
        <v>0.19</v>
      </c>
      <c r="AW252" s="1">
        <v>1.89</v>
      </c>
      <c r="AX252" s="1">
        <v>8.4600000000000009</v>
      </c>
      <c r="AY252" s="1">
        <v>0</v>
      </c>
      <c r="AZ252" s="1">
        <v>103.52200000000001</v>
      </c>
      <c r="BA252" s="1">
        <v>0</v>
      </c>
      <c r="BB252" s="1">
        <v>0</v>
      </c>
      <c r="BC252" s="1">
        <v>0</v>
      </c>
      <c r="BD252" s="1">
        <v>0</v>
      </c>
    </row>
    <row r="253" spans="1:56">
      <c r="A253" s="18">
        <v>46192</v>
      </c>
      <c r="B253" s="1">
        <v>252</v>
      </c>
      <c r="C253" s="1" t="s">
        <v>89</v>
      </c>
      <c r="D253" s="1" t="s">
        <v>90</v>
      </c>
      <c r="E253" s="1">
        <v>2</v>
      </c>
      <c r="F253" s="1">
        <v>200</v>
      </c>
      <c r="G253" s="1">
        <v>1</v>
      </c>
      <c r="H253" s="1" t="s">
        <v>91</v>
      </c>
      <c r="I253" s="1" t="s">
        <v>79</v>
      </c>
      <c r="J253" s="1" t="s">
        <v>84</v>
      </c>
      <c r="K253" s="1" t="s">
        <v>74</v>
      </c>
      <c r="L253" s="1" t="s">
        <v>72</v>
      </c>
      <c r="M253" s="1" t="s">
        <v>75</v>
      </c>
      <c r="N253" s="1" t="s">
        <v>76</v>
      </c>
      <c r="O253" s="1" t="s">
        <v>77</v>
      </c>
      <c r="P253" s="1" t="s">
        <v>27</v>
      </c>
      <c r="Q253" s="1" t="s">
        <v>86</v>
      </c>
      <c r="R253" s="1" t="s">
        <v>94</v>
      </c>
      <c r="S253" s="1" t="s">
        <v>87</v>
      </c>
      <c r="T253" s="1" t="s">
        <v>88</v>
      </c>
      <c r="X253" s="1" t="s">
        <v>73</v>
      </c>
      <c r="Z253" s="1" t="s">
        <v>70</v>
      </c>
      <c r="AA253" s="1" t="s">
        <v>95</v>
      </c>
      <c r="AB253" s="1">
        <v>5</v>
      </c>
      <c r="AC253" s="1">
        <v>748802.3</v>
      </c>
      <c r="AD253" s="1">
        <v>8930562.4499999993</v>
      </c>
      <c r="AE253" s="1">
        <v>210.15</v>
      </c>
      <c r="AF253" s="1">
        <v>748802.3</v>
      </c>
      <c r="AG253" s="1">
        <v>8930562.4499999993</v>
      </c>
      <c r="AH253" s="1">
        <v>199.4</v>
      </c>
      <c r="AI253" s="1">
        <v>10.75</v>
      </c>
      <c r="AJ253" s="1">
        <v>0.6</v>
      </c>
      <c r="AK253" s="1">
        <v>2.97</v>
      </c>
      <c r="AL253" s="1">
        <v>2.58</v>
      </c>
      <c r="AM253" s="1">
        <v>0</v>
      </c>
      <c r="AN253" s="1">
        <v>0</v>
      </c>
      <c r="AO253" s="1">
        <v>279.95422539999998</v>
      </c>
      <c r="AP253" s="1">
        <v>3.38</v>
      </c>
      <c r="AQ253" s="1">
        <v>0.33</v>
      </c>
      <c r="AR253" s="1">
        <v>7.0000000000000007E-2</v>
      </c>
      <c r="AS253" s="1">
        <v>0.05</v>
      </c>
      <c r="AT253" s="1">
        <v>14.03</v>
      </c>
      <c r="AU253" s="1">
        <v>4.82</v>
      </c>
      <c r="AV253" s="1">
        <v>0.19</v>
      </c>
      <c r="AW253" s="1">
        <v>1.78</v>
      </c>
      <c r="AX253" s="1">
        <v>7.91</v>
      </c>
      <c r="AY253" s="1">
        <v>0</v>
      </c>
      <c r="AZ253" s="1">
        <v>105.56</v>
      </c>
      <c r="BA253" s="1">
        <v>0</v>
      </c>
      <c r="BB253" s="1">
        <v>0</v>
      </c>
      <c r="BC253" s="1">
        <v>0</v>
      </c>
      <c r="BD253" s="1">
        <v>0</v>
      </c>
    </row>
    <row r="254" spans="1:56">
      <c r="A254" s="18">
        <v>46192</v>
      </c>
      <c r="B254" s="1">
        <v>253</v>
      </c>
      <c r="C254" s="1" t="s">
        <v>89</v>
      </c>
      <c r="D254" s="1" t="s">
        <v>90</v>
      </c>
      <c r="E254" s="1">
        <v>2</v>
      </c>
      <c r="F254" s="1">
        <v>200</v>
      </c>
      <c r="G254" s="1">
        <v>1</v>
      </c>
      <c r="H254" s="1" t="s">
        <v>91</v>
      </c>
      <c r="I254" s="1" t="s">
        <v>79</v>
      </c>
      <c r="J254" s="1" t="s">
        <v>84</v>
      </c>
      <c r="K254" s="1" t="s">
        <v>74</v>
      </c>
      <c r="L254" s="1" t="s">
        <v>72</v>
      </c>
      <c r="M254" s="1" t="s">
        <v>75</v>
      </c>
      <c r="N254" s="1" t="s">
        <v>76</v>
      </c>
      <c r="O254" s="1" t="s">
        <v>77</v>
      </c>
      <c r="P254" s="1" t="s">
        <v>27</v>
      </c>
      <c r="Q254" s="1" t="s">
        <v>86</v>
      </c>
      <c r="R254" s="1" t="s">
        <v>94</v>
      </c>
      <c r="S254" s="1" t="s">
        <v>87</v>
      </c>
      <c r="T254" s="1" t="s">
        <v>88</v>
      </c>
      <c r="X254" s="1" t="s">
        <v>73</v>
      </c>
      <c r="Z254" s="1" t="s">
        <v>70</v>
      </c>
      <c r="AA254" s="1" t="s">
        <v>95</v>
      </c>
      <c r="AB254" s="1">
        <v>5</v>
      </c>
      <c r="AC254" s="1">
        <v>748804.55</v>
      </c>
      <c r="AD254" s="1">
        <v>8930560.5099999998</v>
      </c>
      <c r="AE254" s="1">
        <v>210.19</v>
      </c>
      <c r="AF254" s="1">
        <v>748804.55</v>
      </c>
      <c r="AG254" s="1">
        <v>8930560.5099999998</v>
      </c>
      <c r="AH254" s="1">
        <v>199.4</v>
      </c>
      <c r="AI254" s="1">
        <v>10.79</v>
      </c>
      <c r="AJ254" s="1">
        <v>0.6</v>
      </c>
      <c r="AK254" s="1">
        <v>2.97</v>
      </c>
      <c r="AL254" s="1">
        <v>2.58</v>
      </c>
      <c r="AM254" s="1">
        <v>0</v>
      </c>
      <c r="AN254" s="1">
        <v>0</v>
      </c>
      <c r="AO254" s="1">
        <v>279.95422539999998</v>
      </c>
      <c r="AP254" s="1">
        <v>3.37</v>
      </c>
      <c r="AQ254" s="1">
        <v>0.31</v>
      </c>
      <c r="AR254" s="1">
        <v>0.06</v>
      </c>
      <c r="AS254" s="1">
        <v>0.05</v>
      </c>
      <c r="AT254" s="1">
        <v>14.19</v>
      </c>
      <c r="AU254" s="1">
        <v>4.8600000000000003</v>
      </c>
      <c r="AV254" s="1">
        <v>0.17</v>
      </c>
      <c r="AW254" s="1">
        <v>1.68</v>
      </c>
      <c r="AX254" s="1">
        <v>7.88</v>
      </c>
      <c r="AY254" s="1">
        <v>0</v>
      </c>
      <c r="AZ254" s="1">
        <v>106.142</v>
      </c>
      <c r="BA254" s="1">
        <v>0</v>
      </c>
      <c r="BB254" s="1">
        <v>0</v>
      </c>
      <c r="BC254" s="1">
        <v>0</v>
      </c>
      <c r="BD254" s="1">
        <v>0</v>
      </c>
    </row>
    <row r="255" spans="1:56">
      <c r="A255" s="18">
        <v>46192</v>
      </c>
      <c r="B255" s="1">
        <v>254</v>
      </c>
      <c r="C255" s="1" t="s">
        <v>89</v>
      </c>
      <c r="D255" s="1" t="s">
        <v>90</v>
      </c>
      <c r="E255" s="1">
        <v>2</v>
      </c>
      <c r="F255" s="1">
        <v>200</v>
      </c>
      <c r="G255" s="1">
        <v>1</v>
      </c>
      <c r="H255" s="1" t="s">
        <v>91</v>
      </c>
      <c r="I255" s="1" t="s">
        <v>79</v>
      </c>
      <c r="J255" s="1" t="s">
        <v>84</v>
      </c>
      <c r="K255" s="1" t="s">
        <v>74</v>
      </c>
      <c r="L255" s="1" t="s">
        <v>72</v>
      </c>
      <c r="M255" s="1" t="s">
        <v>75</v>
      </c>
      <c r="N255" s="1" t="s">
        <v>76</v>
      </c>
      <c r="O255" s="1" t="s">
        <v>77</v>
      </c>
      <c r="P255" s="1" t="s">
        <v>27</v>
      </c>
      <c r="Q255" s="1" t="s">
        <v>86</v>
      </c>
      <c r="R255" s="1" t="s">
        <v>94</v>
      </c>
      <c r="S255" s="1" t="s">
        <v>87</v>
      </c>
      <c r="T255" s="1" t="s">
        <v>88</v>
      </c>
      <c r="X255" s="1" t="s">
        <v>73</v>
      </c>
      <c r="Z255" s="1" t="s">
        <v>70</v>
      </c>
      <c r="AA255" s="1" t="s">
        <v>95</v>
      </c>
      <c r="AB255" s="1">
        <v>5</v>
      </c>
      <c r="AC255" s="1">
        <v>748806.52</v>
      </c>
      <c r="AD255" s="1">
        <v>8930558.2899999991</v>
      </c>
      <c r="AE255" s="1">
        <v>210.25</v>
      </c>
      <c r="AF255" s="1">
        <v>748806.52</v>
      </c>
      <c r="AG255" s="1">
        <v>8930558.2899999991</v>
      </c>
      <c r="AH255" s="1">
        <v>199.4</v>
      </c>
      <c r="AI255" s="1">
        <v>10.85</v>
      </c>
      <c r="AJ255" s="1">
        <v>0.6</v>
      </c>
      <c r="AK255" s="1">
        <v>2.97</v>
      </c>
      <c r="AL255" s="1">
        <v>2.58</v>
      </c>
      <c r="AM255" s="1">
        <v>0</v>
      </c>
      <c r="AN255" s="1">
        <v>0</v>
      </c>
      <c r="AO255" s="1">
        <v>279.95422539999998</v>
      </c>
      <c r="AP255" s="1">
        <v>3.35</v>
      </c>
      <c r="AQ255" s="1">
        <v>0.28999999999999998</v>
      </c>
      <c r="AR255" s="1">
        <v>0.04</v>
      </c>
      <c r="AS255" s="1">
        <v>0.04</v>
      </c>
      <c r="AT255" s="1">
        <v>13.79</v>
      </c>
      <c r="AU255" s="1">
        <v>5.19</v>
      </c>
      <c r="AV255" s="1">
        <v>0.1</v>
      </c>
      <c r="AW255" s="1">
        <v>1.1399999999999999</v>
      </c>
      <c r="AX255" s="1">
        <v>5.93</v>
      </c>
      <c r="AY255" s="1">
        <v>0</v>
      </c>
      <c r="AZ255" s="1">
        <v>107.01600000000001</v>
      </c>
      <c r="BA255" s="1">
        <v>0</v>
      </c>
      <c r="BB255" s="1">
        <v>0</v>
      </c>
      <c r="BC255" s="1">
        <v>0</v>
      </c>
      <c r="BD255" s="1">
        <v>0</v>
      </c>
    </row>
    <row r="256" spans="1:56">
      <c r="A256" s="18">
        <v>46192</v>
      </c>
      <c r="B256" s="1">
        <v>255</v>
      </c>
      <c r="C256" s="1" t="s">
        <v>89</v>
      </c>
      <c r="D256" s="1" t="s">
        <v>90</v>
      </c>
      <c r="E256" s="1">
        <v>2</v>
      </c>
      <c r="F256" s="1">
        <v>200</v>
      </c>
      <c r="G256" s="1">
        <v>1</v>
      </c>
      <c r="H256" s="1" t="s">
        <v>91</v>
      </c>
      <c r="I256" s="1" t="s">
        <v>79</v>
      </c>
      <c r="J256" s="1" t="s">
        <v>80</v>
      </c>
      <c r="K256" s="1" t="s">
        <v>74</v>
      </c>
      <c r="L256" s="1" t="s">
        <v>72</v>
      </c>
      <c r="M256" s="1" t="s">
        <v>75</v>
      </c>
      <c r="N256" s="1" t="s">
        <v>76</v>
      </c>
      <c r="O256" s="1" t="s">
        <v>77</v>
      </c>
      <c r="P256" s="1" t="s">
        <v>27</v>
      </c>
      <c r="Q256" s="1" t="s">
        <v>86</v>
      </c>
      <c r="R256" s="1" t="s">
        <v>94</v>
      </c>
      <c r="S256" s="1" t="s">
        <v>87</v>
      </c>
      <c r="T256" s="1" t="s">
        <v>88</v>
      </c>
      <c r="X256" s="1" t="s">
        <v>73</v>
      </c>
      <c r="Z256" s="1" t="s">
        <v>70</v>
      </c>
      <c r="AA256" s="1" t="s">
        <v>95</v>
      </c>
      <c r="AB256" s="1">
        <v>5</v>
      </c>
      <c r="AC256" s="1">
        <v>748808.24</v>
      </c>
      <c r="AD256" s="1">
        <v>8930555.8800000008</v>
      </c>
      <c r="AE256" s="1">
        <v>210.45</v>
      </c>
      <c r="AF256" s="1">
        <v>748808.24</v>
      </c>
      <c r="AG256" s="1">
        <v>8930555.8800000008</v>
      </c>
      <c r="AH256" s="1">
        <v>199.4</v>
      </c>
      <c r="AI256" s="1">
        <v>11.05</v>
      </c>
      <c r="AJ256" s="1">
        <v>0.6</v>
      </c>
      <c r="AK256" s="1">
        <v>2.97</v>
      </c>
      <c r="AL256" s="1">
        <v>2.58</v>
      </c>
      <c r="AM256" s="1">
        <v>0</v>
      </c>
      <c r="AN256" s="1">
        <v>0</v>
      </c>
      <c r="AO256" s="1">
        <v>279.95422539999998</v>
      </c>
      <c r="AP256" s="1">
        <v>3.33</v>
      </c>
      <c r="AQ256" s="1">
        <v>0.33</v>
      </c>
      <c r="AR256" s="1">
        <v>0.05</v>
      </c>
      <c r="AS256" s="1">
        <v>0.04</v>
      </c>
      <c r="AT256" s="1">
        <v>13.42</v>
      </c>
      <c r="AU256" s="1">
        <v>5.39</v>
      </c>
      <c r="AV256" s="1">
        <v>7.0000000000000007E-2</v>
      </c>
      <c r="AW256" s="1">
        <v>0.75</v>
      </c>
      <c r="AX256" s="1">
        <v>3.76</v>
      </c>
      <c r="AY256" s="1">
        <v>0</v>
      </c>
      <c r="AZ256" s="1">
        <v>109.928</v>
      </c>
      <c r="BA256" s="1">
        <v>0</v>
      </c>
      <c r="BB256" s="1">
        <v>0</v>
      </c>
      <c r="BC256" s="1">
        <v>0</v>
      </c>
      <c r="BD256" s="1">
        <v>0</v>
      </c>
    </row>
    <row r="257" spans="1:56">
      <c r="A257" s="18">
        <v>46192</v>
      </c>
      <c r="B257" s="1">
        <v>256</v>
      </c>
      <c r="C257" s="1" t="s">
        <v>89</v>
      </c>
      <c r="D257" s="1" t="s">
        <v>90</v>
      </c>
      <c r="E257" s="1">
        <v>2</v>
      </c>
      <c r="F257" s="1">
        <v>200</v>
      </c>
      <c r="H257" s="1" t="s">
        <v>91</v>
      </c>
      <c r="I257" s="1" t="s">
        <v>79</v>
      </c>
      <c r="J257" s="1" t="s">
        <v>80</v>
      </c>
      <c r="K257" s="1" t="s">
        <v>74</v>
      </c>
      <c r="L257" s="1" t="s">
        <v>72</v>
      </c>
      <c r="M257" s="1" t="s">
        <v>75</v>
      </c>
      <c r="N257" s="1" t="s">
        <v>76</v>
      </c>
      <c r="O257" s="1" t="s">
        <v>77</v>
      </c>
      <c r="P257" s="1" t="s">
        <v>27</v>
      </c>
      <c r="Q257" s="1" t="s">
        <v>86</v>
      </c>
      <c r="R257" s="1" t="s">
        <v>94</v>
      </c>
      <c r="S257" s="1" t="s">
        <v>87</v>
      </c>
      <c r="T257" s="1" t="s">
        <v>88</v>
      </c>
      <c r="X257" s="1" t="s">
        <v>73</v>
      </c>
      <c r="Z257" s="1" t="s">
        <v>70</v>
      </c>
      <c r="AA257" s="1" t="s">
        <v>95</v>
      </c>
      <c r="AB257" s="1">
        <v>5</v>
      </c>
      <c r="AC257" s="1">
        <v>748809.85</v>
      </c>
      <c r="AD257" s="1">
        <v>8930553.3800000008</v>
      </c>
      <c r="AE257" s="1">
        <v>210.72</v>
      </c>
      <c r="AF257" s="1">
        <v>748809.85</v>
      </c>
      <c r="AG257" s="1">
        <v>8930553.3800000008</v>
      </c>
      <c r="AH257" s="1">
        <v>199.4</v>
      </c>
      <c r="AI257" s="1">
        <v>11.32</v>
      </c>
      <c r="AJ257" s="1">
        <v>0.6</v>
      </c>
      <c r="AK257" s="1">
        <v>2.97</v>
      </c>
      <c r="AL257" s="1">
        <v>2.58</v>
      </c>
      <c r="AM257" s="1">
        <v>0</v>
      </c>
      <c r="AN257" s="1">
        <v>0</v>
      </c>
      <c r="AO257" s="1">
        <v>279.95422539999998</v>
      </c>
      <c r="AP257" s="1">
        <v>3.24</v>
      </c>
      <c r="AQ257" s="1">
        <v>0.22</v>
      </c>
      <c r="AR257" s="1">
        <v>0.03</v>
      </c>
      <c r="AS257" s="1">
        <v>0.03</v>
      </c>
      <c r="AT257" s="1">
        <v>8.69</v>
      </c>
      <c r="AU257" s="1">
        <v>3.5</v>
      </c>
      <c r="AV257" s="1">
        <v>0.05</v>
      </c>
      <c r="AW257" s="1">
        <v>0.44</v>
      </c>
      <c r="AX257" s="1">
        <v>2.12</v>
      </c>
      <c r="AY257" s="1">
        <v>0</v>
      </c>
      <c r="AZ257" s="1">
        <v>113.85899999999999</v>
      </c>
      <c r="BA257" s="1">
        <v>0</v>
      </c>
      <c r="BB257" s="1">
        <v>0</v>
      </c>
      <c r="BC257" s="1">
        <v>0</v>
      </c>
      <c r="BD257" s="1">
        <v>0</v>
      </c>
    </row>
    <row r="258" spans="1:56">
      <c r="A258" s="18">
        <v>46192</v>
      </c>
      <c r="B258" s="1">
        <v>257</v>
      </c>
      <c r="C258" s="1" t="s">
        <v>89</v>
      </c>
      <c r="D258" s="1" t="s">
        <v>90</v>
      </c>
      <c r="E258" s="1">
        <v>2</v>
      </c>
      <c r="F258" s="1">
        <v>200</v>
      </c>
      <c r="H258" s="1" t="s">
        <v>91</v>
      </c>
      <c r="I258" s="1" t="s">
        <v>28</v>
      </c>
      <c r="J258" s="1" t="s">
        <v>71</v>
      </c>
      <c r="K258" s="1" t="s">
        <v>74</v>
      </c>
      <c r="L258" s="1" t="s">
        <v>72</v>
      </c>
      <c r="M258" s="1" t="s">
        <v>75</v>
      </c>
      <c r="N258" s="1" t="s">
        <v>76</v>
      </c>
      <c r="O258" s="1" t="s">
        <v>77</v>
      </c>
      <c r="P258" s="1" t="s">
        <v>27</v>
      </c>
      <c r="Q258" s="1" t="s">
        <v>86</v>
      </c>
      <c r="R258" s="1" t="s">
        <v>94</v>
      </c>
      <c r="S258" s="1" t="s">
        <v>87</v>
      </c>
      <c r="T258" s="1" t="s">
        <v>88</v>
      </c>
      <c r="X258" s="1" t="s">
        <v>73</v>
      </c>
      <c r="Z258" s="1" t="s">
        <v>70</v>
      </c>
      <c r="AA258" s="1" t="s">
        <v>95</v>
      </c>
      <c r="AB258" s="1">
        <v>5</v>
      </c>
      <c r="AC258" s="1">
        <v>748811.45</v>
      </c>
      <c r="AD258" s="1">
        <v>8930550.8800000008</v>
      </c>
      <c r="AE258" s="1">
        <v>210.81</v>
      </c>
      <c r="AF258" s="1">
        <v>748811.45</v>
      </c>
      <c r="AG258" s="1">
        <v>8930550.8800000008</v>
      </c>
      <c r="AH258" s="1">
        <v>199.4</v>
      </c>
      <c r="AI258" s="1">
        <v>11.41</v>
      </c>
      <c r="AJ258" s="1">
        <v>0.6</v>
      </c>
      <c r="AK258" s="1">
        <v>2.97</v>
      </c>
      <c r="AL258" s="1">
        <v>2.58</v>
      </c>
      <c r="AM258" s="1">
        <v>0</v>
      </c>
      <c r="AN258" s="1">
        <v>0</v>
      </c>
      <c r="AO258" s="1">
        <v>279.95422539999998</v>
      </c>
      <c r="AP258" s="1">
        <v>3.14</v>
      </c>
      <c r="AQ258" s="1">
        <v>0.12</v>
      </c>
      <c r="AR258" s="1">
        <v>0.02</v>
      </c>
      <c r="AS258" s="1">
        <v>0.02</v>
      </c>
      <c r="AT258" s="1">
        <v>4.76</v>
      </c>
      <c r="AU258" s="1">
        <v>1.84</v>
      </c>
      <c r="AV258" s="1">
        <v>0.04</v>
      </c>
      <c r="AW258" s="1">
        <v>0.3</v>
      </c>
      <c r="AX258" s="1">
        <v>1.64</v>
      </c>
      <c r="AY258" s="1">
        <v>0</v>
      </c>
      <c r="AZ258" s="1">
        <v>115.17</v>
      </c>
      <c r="BA258" s="1">
        <v>0</v>
      </c>
      <c r="BB258" s="1">
        <v>0</v>
      </c>
      <c r="BC258" s="1">
        <v>0</v>
      </c>
      <c r="BD258" s="1">
        <v>0</v>
      </c>
    </row>
    <row r="259" spans="1:56">
      <c r="A259" s="18">
        <v>46192</v>
      </c>
      <c r="B259" s="1">
        <v>258</v>
      </c>
      <c r="C259" s="1" t="s">
        <v>89</v>
      </c>
      <c r="D259" s="1" t="s">
        <v>90</v>
      </c>
      <c r="E259" s="1">
        <v>2</v>
      </c>
      <c r="F259" s="1">
        <v>200</v>
      </c>
      <c r="H259" s="1" t="s">
        <v>91</v>
      </c>
      <c r="I259" s="1" t="s">
        <v>28</v>
      </c>
      <c r="J259" s="1" t="s">
        <v>71</v>
      </c>
      <c r="K259" s="1" t="s">
        <v>74</v>
      </c>
      <c r="L259" s="1" t="s">
        <v>72</v>
      </c>
      <c r="M259" s="1" t="s">
        <v>75</v>
      </c>
      <c r="N259" s="1" t="s">
        <v>76</v>
      </c>
      <c r="O259" s="1" t="s">
        <v>77</v>
      </c>
      <c r="P259" s="1" t="s">
        <v>27</v>
      </c>
      <c r="Q259" s="1" t="s">
        <v>86</v>
      </c>
      <c r="R259" s="1" t="s">
        <v>94</v>
      </c>
      <c r="S259" s="1" t="s">
        <v>87</v>
      </c>
      <c r="T259" s="1" t="s">
        <v>88</v>
      </c>
      <c r="X259" s="1" t="s">
        <v>73</v>
      </c>
      <c r="Z259" s="1" t="s">
        <v>70</v>
      </c>
      <c r="AA259" s="1" t="s">
        <v>95</v>
      </c>
      <c r="AB259" s="1">
        <v>5</v>
      </c>
      <c r="AC259" s="1">
        <v>748813.05</v>
      </c>
      <c r="AD259" s="1">
        <v>8930548.3800000008</v>
      </c>
      <c r="AE259" s="1">
        <v>210.85</v>
      </c>
      <c r="AF259" s="1">
        <v>748813.05</v>
      </c>
      <c r="AG259" s="1">
        <v>8930548.3800000008</v>
      </c>
      <c r="AH259" s="1">
        <v>199.4</v>
      </c>
      <c r="AI259" s="1">
        <v>11.45</v>
      </c>
      <c r="AJ259" s="1">
        <v>0.6</v>
      </c>
      <c r="AK259" s="1">
        <v>2.97</v>
      </c>
      <c r="AL259" s="1">
        <v>2.58</v>
      </c>
      <c r="AM259" s="1">
        <v>0</v>
      </c>
      <c r="AN259" s="1">
        <v>0</v>
      </c>
      <c r="AO259" s="1">
        <v>279.95422539999998</v>
      </c>
      <c r="AP259" s="1">
        <v>3.06</v>
      </c>
      <c r="AQ259" s="1">
        <v>0.12</v>
      </c>
      <c r="AR259" s="1">
        <v>0.02</v>
      </c>
      <c r="AS259" s="1">
        <v>0.02</v>
      </c>
      <c r="AT259" s="1">
        <v>4.38</v>
      </c>
      <c r="AU259" s="1">
        <v>1.6</v>
      </c>
      <c r="AV259" s="1">
        <v>0.08</v>
      </c>
      <c r="AW259" s="1">
        <v>0.34</v>
      </c>
      <c r="AX259" s="1">
        <v>2.14</v>
      </c>
      <c r="AY259" s="1">
        <v>0</v>
      </c>
      <c r="AZ259" s="1">
        <v>115.752</v>
      </c>
      <c r="BA259" s="1">
        <v>0</v>
      </c>
      <c r="BB259" s="1">
        <v>0</v>
      </c>
      <c r="BC259" s="1">
        <v>0</v>
      </c>
      <c r="BD259" s="1">
        <v>0</v>
      </c>
    </row>
    <row r="260" spans="1:56">
      <c r="A260" s="18">
        <v>46192</v>
      </c>
      <c r="B260" s="1">
        <v>259</v>
      </c>
      <c r="C260" s="1" t="s">
        <v>89</v>
      </c>
      <c r="D260" s="1" t="s">
        <v>90</v>
      </c>
      <c r="E260" s="1">
        <v>2</v>
      </c>
      <c r="F260" s="1">
        <v>200</v>
      </c>
      <c r="G260" s="1">
        <v>1</v>
      </c>
      <c r="H260" s="1" t="s">
        <v>91</v>
      </c>
      <c r="I260" s="1" t="s">
        <v>28</v>
      </c>
      <c r="J260" s="1" t="s">
        <v>71</v>
      </c>
      <c r="K260" s="1" t="s">
        <v>74</v>
      </c>
      <c r="L260" s="1" t="s">
        <v>72</v>
      </c>
      <c r="M260" s="1" t="s">
        <v>75</v>
      </c>
      <c r="N260" s="1" t="s">
        <v>76</v>
      </c>
      <c r="O260" s="1" t="s">
        <v>77</v>
      </c>
      <c r="P260" s="1" t="s">
        <v>27</v>
      </c>
      <c r="Q260" s="1" t="s">
        <v>86</v>
      </c>
      <c r="R260" s="1" t="s">
        <v>94</v>
      </c>
      <c r="S260" s="1" t="s">
        <v>87</v>
      </c>
      <c r="T260" s="1" t="s">
        <v>88</v>
      </c>
      <c r="X260" s="1" t="s">
        <v>73</v>
      </c>
      <c r="Z260" s="1" t="s">
        <v>70</v>
      </c>
      <c r="AA260" s="1" t="s">
        <v>95</v>
      </c>
      <c r="AB260" s="1">
        <v>5</v>
      </c>
      <c r="AC260" s="1">
        <v>748814.66</v>
      </c>
      <c r="AD260" s="1">
        <v>8930545.8800000008</v>
      </c>
      <c r="AE260" s="1">
        <v>210.91</v>
      </c>
      <c r="AF260" s="1">
        <v>748814.66</v>
      </c>
      <c r="AG260" s="1">
        <v>8930545.8800000008</v>
      </c>
      <c r="AH260" s="1">
        <v>199.4</v>
      </c>
      <c r="AI260" s="1">
        <v>11.51</v>
      </c>
      <c r="AJ260" s="1">
        <v>0.6</v>
      </c>
      <c r="AK260" s="1">
        <v>2.97</v>
      </c>
      <c r="AL260" s="1">
        <v>2.58</v>
      </c>
      <c r="AM260" s="1">
        <v>0</v>
      </c>
      <c r="AN260" s="1">
        <v>0</v>
      </c>
      <c r="AO260" s="1">
        <v>279.95422539999998</v>
      </c>
      <c r="AP260" s="1">
        <v>3.06</v>
      </c>
      <c r="AQ260" s="1">
        <v>0.16</v>
      </c>
      <c r="AR260" s="1">
        <v>0.02</v>
      </c>
      <c r="AS260" s="1">
        <v>0.02</v>
      </c>
      <c r="AT260" s="1">
        <v>5.58</v>
      </c>
      <c r="AU260" s="1">
        <v>2.0299999999999998</v>
      </c>
      <c r="AV260" s="1">
        <v>0.11</v>
      </c>
      <c r="AW260" s="1">
        <v>0.43</v>
      </c>
      <c r="AX260" s="1">
        <v>2.82</v>
      </c>
      <c r="AY260" s="1">
        <v>0</v>
      </c>
      <c r="AZ260" s="1">
        <v>116.626</v>
      </c>
      <c r="BA260" s="1">
        <v>0</v>
      </c>
      <c r="BB260" s="1">
        <v>0</v>
      </c>
      <c r="BC260" s="1">
        <v>0</v>
      </c>
      <c r="BD260" s="1">
        <v>0</v>
      </c>
    </row>
    <row r="261" spans="1:56">
      <c r="A261" s="18">
        <v>46192</v>
      </c>
      <c r="B261" s="1">
        <v>260</v>
      </c>
      <c r="C261" s="1" t="s">
        <v>89</v>
      </c>
      <c r="D261" s="1" t="s">
        <v>90</v>
      </c>
      <c r="E261" s="1">
        <v>2</v>
      </c>
      <c r="F261" s="1">
        <v>200</v>
      </c>
      <c r="G261" s="1">
        <v>1</v>
      </c>
      <c r="H261" s="1" t="s">
        <v>91</v>
      </c>
      <c r="I261" s="1" t="s">
        <v>28</v>
      </c>
      <c r="J261" s="1" t="s">
        <v>71</v>
      </c>
      <c r="K261" s="1" t="s">
        <v>74</v>
      </c>
      <c r="L261" s="1" t="s">
        <v>72</v>
      </c>
      <c r="M261" s="1" t="s">
        <v>75</v>
      </c>
      <c r="N261" s="1" t="s">
        <v>76</v>
      </c>
      <c r="O261" s="1" t="s">
        <v>77</v>
      </c>
      <c r="P261" s="1" t="s">
        <v>27</v>
      </c>
      <c r="Q261" s="1" t="s">
        <v>86</v>
      </c>
      <c r="R261" s="1" t="s">
        <v>94</v>
      </c>
      <c r="S261" s="1" t="s">
        <v>87</v>
      </c>
      <c r="T261" s="1" t="s">
        <v>88</v>
      </c>
      <c r="X261" s="1" t="s">
        <v>73</v>
      </c>
      <c r="Z261" s="1" t="s">
        <v>70</v>
      </c>
      <c r="AA261" s="1" t="s">
        <v>95</v>
      </c>
      <c r="AB261" s="1">
        <v>5</v>
      </c>
      <c r="AC261" s="1">
        <v>748816.26</v>
      </c>
      <c r="AD261" s="1">
        <v>8930543.3800000008</v>
      </c>
      <c r="AE261" s="1">
        <v>210.85</v>
      </c>
      <c r="AF261" s="1">
        <v>748816.26</v>
      </c>
      <c r="AG261" s="1">
        <v>8930543.3800000008</v>
      </c>
      <c r="AH261" s="1">
        <v>199.4</v>
      </c>
      <c r="AI261" s="1">
        <v>11.45</v>
      </c>
      <c r="AJ261" s="1">
        <v>0.6</v>
      </c>
      <c r="AK261" s="1">
        <v>2.97</v>
      </c>
      <c r="AL261" s="1">
        <v>2.58</v>
      </c>
      <c r="AM261" s="1">
        <v>0</v>
      </c>
      <c r="AN261" s="1">
        <v>0</v>
      </c>
      <c r="AO261" s="1">
        <v>279.95422539999998</v>
      </c>
      <c r="AP261" s="1">
        <v>3.09</v>
      </c>
      <c r="AQ261" s="1">
        <v>0.19</v>
      </c>
      <c r="AR261" s="1">
        <v>0.03</v>
      </c>
      <c r="AS261" s="1">
        <v>0.02</v>
      </c>
      <c r="AT261" s="1">
        <v>6.83</v>
      </c>
      <c r="AU261" s="1">
        <v>2.56</v>
      </c>
      <c r="AV261" s="1">
        <v>0.11</v>
      </c>
      <c r="AW261" s="1">
        <v>0.44</v>
      </c>
      <c r="AX261" s="1">
        <v>3</v>
      </c>
      <c r="AY261" s="1">
        <v>0</v>
      </c>
      <c r="AZ261" s="1">
        <v>115.752</v>
      </c>
      <c r="BA261" s="1">
        <v>0</v>
      </c>
      <c r="BB261" s="1">
        <v>0</v>
      </c>
      <c r="BC261" s="1">
        <v>0</v>
      </c>
      <c r="BD261" s="1">
        <v>0</v>
      </c>
    </row>
    <row r="262" spans="1:56">
      <c r="A262" s="18">
        <v>46192</v>
      </c>
      <c r="B262" s="1">
        <v>261</v>
      </c>
      <c r="C262" s="1" t="s">
        <v>89</v>
      </c>
      <c r="D262" s="1" t="s">
        <v>90</v>
      </c>
      <c r="E262" s="1">
        <v>2</v>
      </c>
      <c r="F262" s="1">
        <v>200</v>
      </c>
      <c r="G262" s="1">
        <v>1</v>
      </c>
      <c r="H262" s="1" t="s">
        <v>91</v>
      </c>
      <c r="I262" s="1" t="s">
        <v>79</v>
      </c>
      <c r="J262" s="1" t="s">
        <v>84</v>
      </c>
      <c r="K262" s="1" t="s">
        <v>74</v>
      </c>
      <c r="L262" s="1" t="s">
        <v>72</v>
      </c>
      <c r="M262" s="1" t="s">
        <v>75</v>
      </c>
      <c r="N262" s="1" t="s">
        <v>76</v>
      </c>
      <c r="O262" s="1" t="s">
        <v>77</v>
      </c>
      <c r="P262" s="1" t="s">
        <v>27</v>
      </c>
      <c r="Q262" s="1" t="s">
        <v>86</v>
      </c>
      <c r="R262" s="1" t="s">
        <v>94</v>
      </c>
      <c r="S262" s="1" t="s">
        <v>87</v>
      </c>
      <c r="T262" s="1" t="s">
        <v>88</v>
      </c>
      <c r="X262" s="1" t="s">
        <v>73</v>
      </c>
      <c r="Z262" s="1" t="s">
        <v>70</v>
      </c>
      <c r="AA262" s="1" t="s">
        <v>95</v>
      </c>
      <c r="AB262" s="1">
        <v>5</v>
      </c>
      <c r="AC262" s="1">
        <v>748817.86</v>
      </c>
      <c r="AD262" s="1">
        <v>8930540.8800000008</v>
      </c>
      <c r="AE262" s="1">
        <v>210.81</v>
      </c>
      <c r="AF262" s="1">
        <v>748817.86</v>
      </c>
      <c r="AG262" s="1">
        <v>8930540.8800000008</v>
      </c>
      <c r="AH262" s="1">
        <v>199.4</v>
      </c>
      <c r="AI262" s="1">
        <v>11.41</v>
      </c>
      <c r="AJ262" s="1">
        <v>0.6</v>
      </c>
      <c r="AK262" s="1">
        <v>2.97</v>
      </c>
      <c r="AL262" s="1">
        <v>2.58</v>
      </c>
      <c r="AM262" s="1">
        <v>0</v>
      </c>
      <c r="AN262" s="1">
        <v>0</v>
      </c>
      <c r="AO262" s="1">
        <v>279.95422539999998</v>
      </c>
      <c r="AP262" s="1">
        <v>3.14</v>
      </c>
      <c r="AQ262" s="1">
        <v>0.24</v>
      </c>
      <c r="AR262" s="1">
        <v>0.03</v>
      </c>
      <c r="AS262" s="1">
        <v>0.03</v>
      </c>
      <c r="AT262" s="1">
        <v>8.0500000000000007</v>
      </c>
      <c r="AU262" s="1">
        <v>3.2</v>
      </c>
      <c r="AV262" s="1">
        <v>0.08</v>
      </c>
      <c r="AW262" s="1">
        <v>0.34</v>
      </c>
      <c r="AX262" s="1">
        <v>2.15</v>
      </c>
      <c r="AY262" s="1">
        <v>0</v>
      </c>
      <c r="AZ262" s="1">
        <v>115.17</v>
      </c>
      <c r="BA262" s="1">
        <v>0</v>
      </c>
      <c r="BB262" s="1">
        <v>0</v>
      </c>
      <c r="BC262" s="1">
        <v>0</v>
      </c>
      <c r="BD262" s="1">
        <v>0</v>
      </c>
    </row>
    <row r="263" spans="1:56">
      <c r="A263" s="18">
        <v>46192</v>
      </c>
      <c r="B263" s="1">
        <v>262</v>
      </c>
      <c r="C263" s="1" t="s">
        <v>89</v>
      </c>
      <c r="D263" s="1" t="s">
        <v>90</v>
      </c>
      <c r="E263" s="1">
        <v>2</v>
      </c>
      <c r="F263" s="1">
        <v>200</v>
      </c>
      <c r="G263" s="1">
        <v>1</v>
      </c>
      <c r="H263" s="1" t="s">
        <v>91</v>
      </c>
      <c r="I263" s="1" t="s">
        <v>79</v>
      </c>
      <c r="J263" s="1" t="s">
        <v>84</v>
      </c>
      <c r="K263" s="1" t="s">
        <v>74</v>
      </c>
      <c r="L263" s="1" t="s">
        <v>72</v>
      </c>
      <c r="M263" s="1" t="s">
        <v>75</v>
      </c>
      <c r="N263" s="1" t="s">
        <v>76</v>
      </c>
      <c r="O263" s="1" t="s">
        <v>77</v>
      </c>
      <c r="P263" s="1" t="s">
        <v>27</v>
      </c>
      <c r="Q263" s="1" t="s">
        <v>86</v>
      </c>
      <c r="R263" s="1" t="s">
        <v>94</v>
      </c>
      <c r="S263" s="1" t="s">
        <v>87</v>
      </c>
      <c r="T263" s="1" t="s">
        <v>88</v>
      </c>
      <c r="X263" s="1" t="s">
        <v>73</v>
      </c>
      <c r="Z263" s="1" t="s">
        <v>70</v>
      </c>
      <c r="AA263" s="1" t="s">
        <v>95</v>
      </c>
      <c r="AB263" s="1">
        <v>5</v>
      </c>
      <c r="AC263" s="1">
        <v>748819.46</v>
      </c>
      <c r="AD263" s="1">
        <v>8930538.3800000008</v>
      </c>
      <c r="AE263" s="1">
        <v>210.86</v>
      </c>
      <c r="AF263" s="1">
        <v>748819.46</v>
      </c>
      <c r="AG263" s="1">
        <v>8930538.3800000008</v>
      </c>
      <c r="AH263" s="1">
        <v>199.4</v>
      </c>
      <c r="AI263" s="1">
        <v>11.46</v>
      </c>
      <c r="AJ263" s="1">
        <v>0.6</v>
      </c>
      <c r="AK263" s="1">
        <v>2.97</v>
      </c>
      <c r="AL263" s="1">
        <v>2.58</v>
      </c>
      <c r="AM263" s="1">
        <v>0</v>
      </c>
      <c r="AN263" s="1">
        <v>0</v>
      </c>
      <c r="AO263" s="1">
        <v>279.95422539999998</v>
      </c>
      <c r="AP263" s="1">
        <v>3.19</v>
      </c>
      <c r="AQ263" s="1">
        <v>0.4</v>
      </c>
      <c r="AR263" s="1">
        <v>0.03</v>
      </c>
      <c r="AS263" s="1">
        <v>0.04</v>
      </c>
      <c r="AT263" s="1">
        <v>11.06</v>
      </c>
      <c r="AU263" s="1">
        <v>3.84</v>
      </c>
      <c r="AV263" s="1">
        <v>0.01</v>
      </c>
      <c r="AW263" s="1">
        <v>0.05</v>
      </c>
      <c r="AX263" s="1">
        <v>2.1</v>
      </c>
      <c r="AY263" s="1">
        <v>0</v>
      </c>
      <c r="AZ263" s="1">
        <v>115.898</v>
      </c>
      <c r="BA263" s="1">
        <v>0</v>
      </c>
      <c r="BB263" s="1">
        <v>0</v>
      </c>
      <c r="BC263" s="1">
        <v>0</v>
      </c>
      <c r="BD263" s="1">
        <v>0</v>
      </c>
    </row>
    <row r="264" spans="1:56">
      <c r="A264" s="18">
        <v>46192</v>
      </c>
      <c r="B264" s="1">
        <v>263</v>
      </c>
      <c r="C264" s="1" t="s">
        <v>89</v>
      </c>
      <c r="D264" s="1" t="s">
        <v>90</v>
      </c>
      <c r="E264" s="1">
        <v>2</v>
      </c>
      <c r="F264" s="1">
        <v>200</v>
      </c>
      <c r="G264" s="1">
        <v>1</v>
      </c>
      <c r="H264" s="1" t="s">
        <v>91</v>
      </c>
      <c r="I264" s="1" t="s">
        <v>79</v>
      </c>
      <c r="J264" s="1" t="s">
        <v>81</v>
      </c>
      <c r="K264" s="1" t="s">
        <v>74</v>
      </c>
      <c r="L264" s="1" t="s">
        <v>72</v>
      </c>
      <c r="M264" s="1" t="s">
        <v>75</v>
      </c>
      <c r="N264" s="1" t="s">
        <v>76</v>
      </c>
      <c r="O264" s="1" t="s">
        <v>77</v>
      </c>
      <c r="P264" s="1" t="s">
        <v>27</v>
      </c>
      <c r="Q264" s="1" t="s">
        <v>86</v>
      </c>
      <c r="R264" s="1" t="s">
        <v>94</v>
      </c>
      <c r="S264" s="1" t="s">
        <v>87</v>
      </c>
      <c r="T264" s="1" t="s">
        <v>88</v>
      </c>
      <c r="X264" s="1" t="s">
        <v>73</v>
      </c>
      <c r="Z264" s="1" t="s">
        <v>70</v>
      </c>
      <c r="AA264" s="1" t="s">
        <v>95</v>
      </c>
      <c r="AB264" s="1">
        <v>5</v>
      </c>
      <c r="AC264" s="1">
        <v>748821.07</v>
      </c>
      <c r="AD264" s="1">
        <v>8930535.8800000008</v>
      </c>
      <c r="AE264" s="1">
        <v>211.04</v>
      </c>
      <c r="AF264" s="1">
        <v>748821.07</v>
      </c>
      <c r="AG264" s="1">
        <v>8930535.8800000008</v>
      </c>
      <c r="AH264" s="1">
        <v>199.4</v>
      </c>
      <c r="AI264" s="1">
        <v>11.64</v>
      </c>
      <c r="AJ264" s="1">
        <v>0.6</v>
      </c>
      <c r="AK264" s="1">
        <v>2.97</v>
      </c>
      <c r="AL264" s="1">
        <v>2.58</v>
      </c>
      <c r="AM264" s="1">
        <v>0</v>
      </c>
      <c r="AN264" s="1">
        <v>0</v>
      </c>
      <c r="AO264" s="1">
        <v>279.95422539999998</v>
      </c>
      <c r="AP264" s="1">
        <v>3.19</v>
      </c>
      <c r="AQ264" s="1">
        <v>0.63</v>
      </c>
      <c r="AR264" s="1">
        <v>0.04</v>
      </c>
      <c r="AS264" s="1">
        <v>7.0000000000000007E-2</v>
      </c>
      <c r="AT264" s="1">
        <v>15.48</v>
      </c>
      <c r="AU264" s="1">
        <v>4.45</v>
      </c>
      <c r="AV264" s="1">
        <v>0</v>
      </c>
      <c r="AW264" s="1">
        <v>0</v>
      </c>
      <c r="AX264" s="1">
        <v>4.3600000000000003</v>
      </c>
      <c r="AY264" s="1">
        <v>0</v>
      </c>
      <c r="AZ264" s="1">
        <v>118.518</v>
      </c>
      <c r="BA264" s="1">
        <v>0</v>
      </c>
      <c r="BB264" s="1">
        <v>0</v>
      </c>
      <c r="BC264" s="1">
        <v>0</v>
      </c>
      <c r="BD264" s="1">
        <v>0</v>
      </c>
    </row>
    <row r="265" spans="1:56">
      <c r="A265" s="18">
        <v>46192</v>
      </c>
      <c r="B265" s="1">
        <v>264</v>
      </c>
      <c r="C265" s="1" t="s">
        <v>89</v>
      </c>
      <c r="D265" s="1" t="s">
        <v>90</v>
      </c>
      <c r="E265" s="1">
        <v>2</v>
      </c>
      <c r="F265" s="1">
        <v>200</v>
      </c>
      <c r="G265" s="1">
        <v>1</v>
      </c>
      <c r="H265" s="1" t="s">
        <v>91</v>
      </c>
      <c r="I265" s="1" t="s">
        <v>79</v>
      </c>
      <c r="J265" s="1" t="s">
        <v>81</v>
      </c>
      <c r="K265" s="1" t="s">
        <v>74</v>
      </c>
      <c r="L265" s="1" t="s">
        <v>72</v>
      </c>
      <c r="M265" s="1" t="s">
        <v>75</v>
      </c>
      <c r="N265" s="1" t="s">
        <v>76</v>
      </c>
      <c r="O265" s="1" t="s">
        <v>77</v>
      </c>
      <c r="P265" s="1" t="s">
        <v>27</v>
      </c>
      <c r="Q265" s="1" t="s">
        <v>86</v>
      </c>
      <c r="R265" s="1" t="s">
        <v>94</v>
      </c>
      <c r="S265" s="1" t="s">
        <v>87</v>
      </c>
      <c r="T265" s="1" t="s">
        <v>88</v>
      </c>
      <c r="X265" s="1" t="s">
        <v>73</v>
      </c>
      <c r="Z265" s="1" t="s">
        <v>70</v>
      </c>
      <c r="AA265" s="1" t="s">
        <v>95</v>
      </c>
      <c r="AB265" s="1">
        <v>5</v>
      </c>
      <c r="AC265" s="1">
        <v>748822.67</v>
      </c>
      <c r="AD265" s="1">
        <v>8930533.3800000008</v>
      </c>
      <c r="AE265" s="1">
        <v>211.41</v>
      </c>
      <c r="AF265" s="1">
        <v>748822.67</v>
      </c>
      <c r="AG265" s="1">
        <v>8930533.3800000008</v>
      </c>
      <c r="AH265" s="1">
        <v>199.4</v>
      </c>
      <c r="AI265" s="1">
        <v>12.01</v>
      </c>
      <c r="AJ265" s="1">
        <v>0.6</v>
      </c>
      <c r="AK265" s="1">
        <v>2.97</v>
      </c>
      <c r="AL265" s="1">
        <v>2.58</v>
      </c>
      <c r="AM265" s="1">
        <v>0</v>
      </c>
      <c r="AN265" s="1">
        <v>0</v>
      </c>
      <c r="AO265" s="1">
        <v>279.95422539999998</v>
      </c>
      <c r="AP265" s="1">
        <v>3.2</v>
      </c>
      <c r="AQ265" s="1">
        <v>0.78</v>
      </c>
      <c r="AR265" s="1">
        <v>0.04</v>
      </c>
      <c r="AS265" s="1">
        <v>0.09</v>
      </c>
      <c r="AT265" s="1">
        <v>18.739999999999998</v>
      </c>
      <c r="AU265" s="1">
        <v>5.0599999999999996</v>
      </c>
      <c r="AV265" s="1">
        <v>0</v>
      </c>
      <c r="AW265" s="1">
        <v>0</v>
      </c>
      <c r="AX265" s="1">
        <v>5.87</v>
      </c>
      <c r="AY265" s="1">
        <v>0</v>
      </c>
      <c r="AZ265" s="1">
        <v>123.90600000000001</v>
      </c>
      <c r="BA265" s="1">
        <v>0</v>
      </c>
      <c r="BB265" s="1">
        <v>0</v>
      </c>
      <c r="BC265" s="1">
        <v>0</v>
      </c>
      <c r="BD265" s="1">
        <v>0</v>
      </c>
    </row>
    <row r="266" spans="1:56">
      <c r="A266" s="18">
        <v>46192</v>
      </c>
      <c r="B266" s="1">
        <v>265</v>
      </c>
      <c r="C266" s="1" t="s">
        <v>89</v>
      </c>
      <c r="D266" s="1" t="s">
        <v>90</v>
      </c>
      <c r="E266" s="1">
        <v>2</v>
      </c>
      <c r="F266" s="1">
        <v>200</v>
      </c>
      <c r="G266" s="1">
        <v>1</v>
      </c>
      <c r="H266" s="1" t="s">
        <v>91</v>
      </c>
      <c r="I266" s="1" t="s">
        <v>79</v>
      </c>
      <c r="J266" s="1" t="s">
        <v>81</v>
      </c>
      <c r="K266" s="1" t="s">
        <v>74</v>
      </c>
      <c r="L266" s="1" t="s">
        <v>72</v>
      </c>
      <c r="M266" s="1" t="s">
        <v>75</v>
      </c>
      <c r="N266" s="1" t="s">
        <v>76</v>
      </c>
      <c r="O266" s="1" t="s">
        <v>77</v>
      </c>
      <c r="P266" s="1" t="s">
        <v>27</v>
      </c>
      <c r="Q266" s="1" t="s">
        <v>86</v>
      </c>
      <c r="R266" s="1" t="s">
        <v>94</v>
      </c>
      <c r="S266" s="1" t="s">
        <v>87</v>
      </c>
      <c r="T266" s="1" t="s">
        <v>88</v>
      </c>
      <c r="X266" s="1" t="s">
        <v>73</v>
      </c>
      <c r="Z266" s="1" t="s">
        <v>70</v>
      </c>
      <c r="AA266" s="1" t="s">
        <v>95</v>
      </c>
      <c r="AB266" s="1">
        <v>5</v>
      </c>
      <c r="AC266" s="1">
        <v>748824.27</v>
      </c>
      <c r="AD266" s="1">
        <v>8930530.8800000008</v>
      </c>
      <c r="AE266" s="1">
        <v>211.14</v>
      </c>
      <c r="AF266" s="1">
        <v>748824.27</v>
      </c>
      <c r="AG266" s="1">
        <v>8930530.8800000008</v>
      </c>
      <c r="AH266" s="1">
        <v>199.4</v>
      </c>
      <c r="AI266" s="1">
        <v>11.74</v>
      </c>
      <c r="AJ266" s="1">
        <v>0.6</v>
      </c>
      <c r="AK266" s="1">
        <v>2.97</v>
      </c>
      <c r="AL266" s="1">
        <v>2.58</v>
      </c>
      <c r="AM266" s="1">
        <v>0</v>
      </c>
      <c r="AN266" s="1">
        <v>0</v>
      </c>
      <c r="AO266" s="1">
        <v>279.95422539999998</v>
      </c>
      <c r="AP266" s="1">
        <v>3.22</v>
      </c>
      <c r="AQ266" s="1">
        <v>0.72</v>
      </c>
      <c r="AR266" s="1">
        <v>0.05</v>
      </c>
      <c r="AS266" s="1">
        <v>0.08</v>
      </c>
      <c r="AT266" s="1">
        <v>18.03</v>
      </c>
      <c r="AU266" s="1">
        <v>5.44</v>
      </c>
      <c r="AV266" s="1">
        <v>0</v>
      </c>
      <c r="AW266" s="1">
        <v>0</v>
      </c>
      <c r="AX266" s="1">
        <v>4.66</v>
      </c>
      <c r="AY266" s="1">
        <v>0</v>
      </c>
      <c r="AZ266" s="1">
        <v>119.974</v>
      </c>
      <c r="BA266" s="1">
        <v>0</v>
      </c>
      <c r="BB266" s="1">
        <v>0</v>
      </c>
      <c r="BC266" s="1">
        <v>0</v>
      </c>
      <c r="BD266" s="1">
        <v>0</v>
      </c>
    </row>
    <row r="267" spans="1:56">
      <c r="A267" s="18">
        <v>46192</v>
      </c>
      <c r="B267" s="1">
        <v>266</v>
      </c>
      <c r="C267" s="1" t="s">
        <v>89</v>
      </c>
      <c r="D267" s="1" t="s">
        <v>90</v>
      </c>
      <c r="E267" s="1">
        <v>2</v>
      </c>
      <c r="F267" s="1">
        <v>200</v>
      </c>
      <c r="G267" s="1">
        <v>1</v>
      </c>
      <c r="H267" s="1" t="s">
        <v>91</v>
      </c>
      <c r="I267" s="1" t="s">
        <v>79</v>
      </c>
      <c r="J267" s="1" t="s">
        <v>84</v>
      </c>
      <c r="K267" s="1" t="s">
        <v>74</v>
      </c>
      <c r="L267" s="1" t="s">
        <v>72</v>
      </c>
      <c r="M267" s="1" t="s">
        <v>75</v>
      </c>
      <c r="N267" s="1" t="s">
        <v>76</v>
      </c>
      <c r="O267" s="1" t="s">
        <v>77</v>
      </c>
      <c r="P267" s="1" t="s">
        <v>27</v>
      </c>
      <c r="Q267" s="1" t="s">
        <v>86</v>
      </c>
      <c r="R267" s="1" t="s">
        <v>94</v>
      </c>
      <c r="S267" s="1" t="s">
        <v>87</v>
      </c>
      <c r="T267" s="1" t="s">
        <v>88</v>
      </c>
      <c r="X267" s="1" t="s">
        <v>73</v>
      </c>
      <c r="Z267" s="1" t="s">
        <v>70</v>
      </c>
      <c r="AA267" s="1" t="s">
        <v>95</v>
      </c>
      <c r="AB267" s="1">
        <v>5</v>
      </c>
      <c r="AC267" s="1">
        <v>748825.88</v>
      </c>
      <c r="AD267" s="1">
        <v>8930528.3800000008</v>
      </c>
      <c r="AE267" s="1">
        <v>210.55</v>
      </c>
      <c r="AF267" s="1">
        <v>748825.88</v>
      </c>
      <c r="AG267" s="1">
        <v>8930528.3800000008</v>
      </c>
      <c r="AH267" s="1">
        <v>199.4</v>
      </c>
      <c r="AI267" s="1">
        <v>11.15</v>
      </c>
      <c r="AJ267" s="1">
        <v>0.6</v>
      </c>
      <c r="AK267" s="1">
        <v>2.97</v>
      </c>
      <c r="AL267" s="1">
        <v>2.58</v>
      </c>
      <c r="AM267" s="1">
        <v>0</v>
      </c>
      <c r="AN267" s="1">
        <v>0</v>
      </c>
      <c r="AO267" s="1">
        <v>279.95422539999998</v>
      </c>
      <c r="AP267" s="1">
        <v>3.22</v>
      </c>
      <c r="AQ267" s="1">
        <v>0.38</v>
      </c>
      <c r="AR267" s="1">
        <v>0.05</v>
      </c>
      <c r="AS267" s="1">
        <v>0.04</v>
      </c>
      <c r="AT267" s="1">
        <v>12.18</v>
      </c>
      <c r="AU267" s="1">
        <v>5.28</v>
      </c>
      <c r="AV267" s="1">
        <v>0</v>
      </c>
      <c r="AW267" s="1">
        <v>0</v>
      </c>
      <c r="AX267" s="1">
        <v>0.38</v>
      </c>
      <c r="AY267" s="1">
        <v>0</v>
      </c>
      <c r="AZ267" s="1">
        <v>111.384</v>
      </c>
      <c r="BA267" s="1">
        <v>0</v>
      </c>
      <c r="BB267" s="1">
        <v>0</v>
      </c>
      <c r="BC267" s="1">
        <v>0</v>
      </c>
      <c r="BD267" s="1">
        <v>0</v>
      </c>
    </row>
    <row r="268" spans="1:56">
      <c r="A268" s="18">
        <v>46192</v>
      </c>
      <c r="B268" s="1">
        <v>267</v>
      </c>
      <c r="C268" s="1" t="s">
        <v>89</v>
      </c>
      <c r="D268" s="1" t="s">
        <v>90</v>
      </c>
      <c r="E268" s="1">
        <v>2</v>
      </c>
      <c r="F268" s="1">
        <v>200</v>
      </c>
      <c r="G268" s="1">
        <v>1</v>
      </c>
      <c r="H268" s="1" t="s">
        <v>91</v>
      </c>
      <c r="I268" s="1" t="s">
        <v>79</v>
      </c>
      <c r="J268" s="1" t="s">
        <v>84</v>
      </c>
      <c r="K268" s="1" t="s">
        <v>74</v>
      </c>
      <c r="L268" s="1" t="s">
        <v>72</v>
      </c>
      <c r="M268" s="1" t="s">
        <v>75</v>
      </c>
      <c r="N268" s="1" t="s">
        <v>76</v>
      </c>
      <c r="O268" s="1" t="s">
        <v>77</v>
      </c>
      <c r="P268" s="1" t="s">
        <v>27</v>
      </c>
      <c r="Q268" s="1" t="s">
        <v>86</v>
      </c>
      <c r="R268" s="1" t="s">
        <v>94</v>
      </c>
      <c r="S268" s="1" t="s">
        <v>87</v>
      </c>
      <c r="T268" s="1" t="s">
        <v>88</v>
      </c>
      <c r="X268" s="1" t="s">
        <v>73</v>
      </c>
      <c r="Z268" s="1" t="s">
        <v>70</v>
      </c>
      <c r="AA268" s="1" t="s">
        <v>95</v>
      </c>
      <c r="AB268" s="1">
        <v>5</v>
      </c>
      <c r="AC268" s="1">
        <v>748827.48</v>
      </c>
      <c r="AD268" s="1">
        <v>8930525.8800000008</v>
      </c>
      <c r="AE268" s="1">
        <v>210.52</v>
      </c>
      <c r="AF268" s="1">
        <v>748827.48</v>
      </c>
      <c r="AG268" s="1">
        <v>8930525.8800000008</v>
      </c>
      <c r="AH268" s="1">
        <v>199.4</v>
      </c>
      <c r="AI268" s="1">
        <v>11.12</v>
      </c>
      <c r="AJ268" s="1">
        <v>0.6</v>
      </c>
      <c r="AK268" s="1">
        <v>2.97</v>
      </c>
      <c r="AL268" s="1">
        <v>2.58</v>
      </c>
      <c r="AM268" s="1">
        <v>0</v>
      </c>
      <c r="AN268" s="1">
        <v>0</v>
      </c>
      <c r="AO268" s="1">
        <v>279.95422539999998</v>
      </c>
      <c r="AP268" s="1">
        <v>3.22</v>
      </c>
      <c r="AQ268" s="1">
        <v>0.35</v>
      </c>
      <c r="AR268" s="1">
        <v>0.05</v>
      </c>
      <c r="AS268" s="1">
        <v>0.03</v>
      </c>
      <c r="AT268" s="1">
        <v>11.65</v>
      </c>
      <c r="AU268" s="1">
        <v>5.26</v>
      </c>
      <c r="AV268" s="1">
        <v>0</v>
      </c>
      <c r="AW268" s="1">
        <v>0</v>
      </c>
      <c r="AX268" s="1">
        <v>0</v>
      </c>
      <c r="AY268" s="1">
        <v>0</v>
      </c>
      <c r="AZ268" s="1">
        <v>110.947</v>
      </c>
      <c r="BA268" s="1">
        <v>0</v>
      </c>
      <c r="BB268" s="1">
        <v>0</v>
      </c>
      <c r="BC268" s="1">
        <v>0</v>
      </c>
      <c r="BD268" s="1">
        <v>0</v>
      </c>
    </row>
    <row r="269" spans="1:56">
      <c r="A269" s="18">
        <v>46192</v>
      </c>
      <c r="B269" s="1">
        <v>268</v>
      </c>
      <c r="C269" s="1" t="s">
        <v>89</v>
      </c>
      <c r="D269" s="1" t="s">
        <v>90</v>
      </c>
      <c r="E269" s="1">
        <v>2</v>
      </c>
      <c r="F269" s="1">
        <v>200</v>
      </c>
      <c r="G269" s="1">
        <v>1</v>
      </c>
      <c r="H269" s="1" t="s">
        <v>91</v>
      </c>
      <c r="I269" s="1" t="s">
        <v>79</v>
      </c>
      <c r="J269" s="1" t="s">
        <v>84</v>
      </c>
      <c r="K269" s="1" t="s">
        <v>74</v>
      </c>
      <c r="L269" s="1" t="s">
        <v>72</v>
      </c>
      <c r="M269" s="1" t="s">
        <v>75</v>
      </c>
      <c r="N269" s="1" t="s">
        <v>76</v>
      </c>
      <c r="O269" s="1" t="s">
        <v>77</v>
      </c>
      <c r="P269" s="1" t="s">
        <v>27</v>
      </c>
      <c r="Q269" s="1" t="s">
        <v>86</v>
      </c>
      <c r="R269" s="1" t="s">
        <v>94</v>
      </c>
      <c r="S269" s="1" t="s">
        <v>87</v>
      </c>
      <c r="T269" s="1" t="s">
        <v>88</v>
      </c>
      <c r="X269" s="1" t="s">
        <v>73</v>
      </c>
      <c r="Z269" s="1" t="s">
        <v>70</v>
      </c>
      <c r="AA269" s="1" t="s">
        <v>95</v>
      </c>
      <c r="AB269" s="1">
        <v>5</v>
      </c>
      <c r="AC269" s="1">
        <v>748829.08</v>
      </c>
      <c r="AD269" s="1">
        <v>8930523.3800000008</v>
      </c>
      <c r="AE269" s="1">
        <v>210.53</v>
      </c>
      <c r="AF269" s="1">
        <v>748829.08</v>
      </c>
      <c r="AG269" s="1">
        <v>8930523.3800000008</v>
      </c>
      <c r="AH269" s="1">
        <v>199.4</v>
      </c>
      <c r="AI269" s="1">
        <v>11.13</v>
      </c>
      <c r="AJ269" s="1">
        <v>0.6</v>
      </c>
      <c r="AK269" s="1">
        <v>2.97</v>
      </c>
      <c r="AL269" s="1">
        <v>2.58</v>
      </c>
      <c r="AM269" s="1">
        <v>0</v>
      </c>
      <c r="AN269" s="1">
        <v>0</v>
      </c>
      <c r="AO269" s="1">
        <v>279.95422539999998</v>
      </c>
      <c r="AP269" s="1">
        <v>3.23</v>
      </c>
      <c r="AQ269" s="1">
        <v>0.35</v>
      </c>
      <c r="AR269" s="1">
        <v>0.05</v>
      </c>
      <c r="AS269" s="1">
        <v>0.03</v>
      </c>
      <c r="AT269" s="1">
        <v>11.62</v>
      </c>
      <c r="AU269" s="1">
        <v>5.28</v>
      </c>
      <c r="AV269" s="1">
        <v>0</v>
      </c>
      <c r="AW269" s="1">
        <v>0.03</v>
      </c>
      <c r="AX269" s="1">
        <v>0</v>
      </c>
      <c r="AY269" s="1">
        <v>0</v>
      </c>
      <c r="AZ269" s="1">
        <v>111.093</v>
      </c>
      <c r="BA269" s="1">
        <v>0</v>
      </c>
      <c r="BB269" s="1">
        <v>0</v>
      </c>
      <c r="BC269" s="1">
        <v>0</v>
      </c>
      <c r="BD269" s="1">
        <v>0</v>
      </c>
    </row>
    <row r="270" spans="1:56">
      <c r="A270" s="18">
        <v>46192</v>
      </c>
      <c r="B270" s="1">
        <v>269</v>
      </c>
      <c r="C270" s="1" t="s">
        <v>89</v>
      </c>
      <c r="D270" s="1" t="s">
        <v>90</v>
      </c>
      <c r="E270" s="1">
        <v>2</v>
      </c>
      <c r="F270" s="1">
        <v>200</v>
      </c>
      <c r="G270" s="1">
        <v>1</v>
      </c>
      <c r="H270" s="1" t="s">
        <v>91</v>
      </c>
      <c r="I270" s="1" t="s">
        <v>79</v>
      </c>
      <c r="J270" s="1" t="s">
        <v>84</v>
      </c>
      <c r="K270" s="1" t="s">
        <v>74</v>
      </c>
      <c r="L270" s="1" t="s">
        <v>72</v>
      </c>
      <c r="M270" s="1" t="s">
        <v>75</v>
      </c>
      <c r="N270" s="1" t="s">
        <v>76</v>
      </c>
      <c r="O270" s="1" t="s">
        <v>77</v>
      </c>
      <c r="P270" s="1" t="s">
        <v>27</v>
      </c>
      <c r="Q270" s="1" t="s">
        <v>86</v>
      </c>
      <c r="R270" s="1" t="s">
        <v>94</v>
      </c>
      <c r="S270" s="1" t="s">
        <v>87</v>
      </c>
      <c r="T270" s="1" t="s">
        <v>88</v>
      </c>
      <c r="X270" s="1" t="s">
        <v>73</v>
      </c>
      <c r="Z270" s="1" t="s">
        <v>70</v>
      </c>
      <c r="AA270" s="1" t="s">
        <v>95</v>
      </c>
      <c r="AB270" s="1">
        <v>5</v>
      </c>
      <c r="AC270" s="1">
        <v>748830.69</v>
      </c>
      <c r="AD270" s="1">
        <v>8930520.8800000008</v>
      </c>
      <c r="AE270" s="1">
        <v>210.52</v>
      </c>
      <c r="AF270" s="1">
        <v>748830.69</v>
      </c>
      <c r="AG270" s="1">
        <v>8930520.8800000008</v>
      </c>
      <c r="AH270" s="1">
        <v>199.4</v>
      </c>
      <c r="AI270" s="1">
        <v>11.12</v>
      </c>
      <c r="AJ270" s="1">
        <v>0.6</v>
      </c>
      <c r="AK270" s="1">
        <v>2.97</v>
      </c>
      <c r="AL270" s="1">
        <v>2.58</v>
      </c>
      <c r="AM270" s="1">
        <v>0</v>
      </c>
      <c r="AN270" s="1">
        <v>0</v>
      </c>
      <c r="AO270" s="1">
        <v>279.95422539999998</v>
      </c>
      <c r="AP270" s="1">
        <v>3.23</v>
      </c>
      <c r="AQ270" s="1">
        <v>0.35</v>
      </c>
      <c r="AR270" s="1">
        <v>0.05</v>
      </c>
      <c r="AS270" s="1">
        <v>0.03</v>
      </c>
      <c r="AT270" s="1">
        <v>11.54</v>
      </c>
      <c r="AU270" s="1">
        <v>5.29</v>
      </c>
      <c r="AV270" s="1">
        <v>0</v>
      </c>
      <c r="AW270" s="1">
        <v>0.1</v>
      </c>
      <c r="AX270" s="1">
        <v>0</v>
      </c>
      <c r="AY270" s="1">
        <v>0</v>
      </c>
      <c r="AZ270" s="1">
        <v>110.947</v>
      </c>
      <c r="BA270" s="1">
        <v>0</v>
      </c>
      <c r="BB270" s="1">
        <v>0</v>
      </c>
      <c r="BC270" s="1">
        <v>0</v>
      </c>
      <c r="BD270" s="1">
        <v>0</v>
      </c>
    </row>
    <row r="271" spans="1:56">
      <c r="A271" s="18">
        <v>46192</v>
      </c>
      <c r="B271" s="1">
        <v>270</v>
      </c>
      <c r="C271" s="1" t="s">
        <v>89</v>
      </c>
      <c r="D271" s="1" t="s">
        <v>90</v>
      </c>
      <c r="E271" s="1">
        <v>2</v>
      </c>
      <c r="F271" s="1">
        <v>200</v>
      </c>
      <c r="G271" s="1">
        <v>1</v>
      </c>
      <c r="H271" s="1" t="s">
        <v>91</v>
      </c>
      <c r="I271" s="1" t="s">
        <v>79</v>
      </c>
      <c r="J271" s="1" t="s">
        <v>84</v>
      </c>
      <c r="K271" s="1" t="s">
        <v>74</v>
      </c>
      <c r="L271" s="1" t="s">
        <v>72</v>
      </c>
      <c r="M271" s="1" t="s">
        <v>75</v>
      </c>
      <c r="N271" s="1" t="s">
        <v>76</v>
      </c>
      <c r="O271" s="1" t="s">
        <v>77</v>
      </c>
      <c r="P271" s="1" t="s">
        <v>27</v>
      </c>
      <c r="Q271" s="1" t="s">
        <v>86</v>
      </c>
      <c r="R271" s="1" t="s">
        <v>94</v>
      </c>
      <c r="S271" s="1" t="s">
        <v>87</v>
      </c>
      <c r="T271" s="1" t="s">
        <v>88</v>
      </c>
      <c r="X271" s="1" t="s">
        <v>73</v>
      </c>
      <c r="Z271" s="1" t="s">
        <v>70</v>
      </c>
      <c r="AA271" s="1" t="s">
        <v>95</v>
      </c>
      <c r="AB271" s="1">
        <v>5</v>
      </c>
      <c r="AC271" s="1">
        <v>748832.29</v>
      </c>
      <c r="AD271" s="1">
        <v>8930518.3800000008</v>
      </c>
      <c r="AE271" s="1">
        <v>210.52</v>
      </c>
      <c r="AF271" s="1">
        <v>748832.29</v>
      </c>
      <c r="AG271" s="1">
        <v>8930518.3800000008</v>
      </c>
      <c r="AH271" s="1">
        <v>199.4</v>
      </c>
      <c r="AI271" s="1">
        <v>11.12</v>
      </c>
      <c r="AJ271" s="1">
        <v>0.6</v>
      </c>
      <c r="AK271" s="1">
        <v>2.97</v>
      </c>
      <c r="AL271" s="1">
        <v>2.58</v>
      </c>
      <c r="AM271" s="1">
        <v>0</v>
      </c>
      <c r="AN271" s="1">
        <v>0</v>
      </c>
      <c r="AO271" s="1">
        <v>279.95422539999998</v>
      </c>
      <c r="AP271" s="1">
        <v>3.21</v>
      </c>
      <c r="AQ271" s="1">
        <v>0.33</v>
      </c>
      <c r="AR271" s="1">
        <v>0.04</v>
      </c>
      <c r="AS271" s="1">
        <v>0.03</v>
      </c>
      <c r="AT271" s="1">
        <v>11.39</v>
      </c>
      <c r="AU271" s="1">
        <v>5.17</v>
      </c>
      <c r="AV271" s="1">
        <v>0.01</v>
      </c>
      <c r="AW271" s="1">
        <v>0.14000000000000001</v>
      </c>
      <c r="AX271" s="1">
        <v>0</v>
      </c>
      <c r="AY271" s="1">
        <v>0</v>
      </c>
      <c r="AZ271" s="1">
        <v>110.947</v>
      </c>
      <c r="BA271" s="1">
        <v>0</v>
      </c>
      <c r="BB271" s="1">
        <v>0</v>
      </c>
      <c r="BC271" s="1">
        <v>0</v>
      </c>
      <c r="BD271" s="1">
        <v>0</v>
      </c>
    </row>
    <row r="272" spans="1:56">
      <c r="A272" s="18">
        <v>46192</v>
      </c>
      <c r="B272" s="1">
        <v>271</v>
      </c>
      <c r="C272" s="1" t="s">
        <v>89</v>
      </c>
      <c r="D272" s="1" t="s">
        <v>90</v>
      </c>
      <c r="E272" s="1">
        <v>2</v>
      </c>
      <c r="F272" s="1">
        <v>200</v>
      </c>
      <c r="G272" s="1">
        <v>1</v>
      </c>
      <c r="H272" s="1" t="s">
        <v>91</v>
      </c>
      <c r="I272" s="1" t="s">
        <v>79</v>
      </c>
      <c r="J272" s="1" t="s">
        <v>84</v>
      </c>
      <c r="K272" s="1" t="s">
        <v>74</v>
      </c>
      <c r="L272" s="1" t="s">
        <v>72</v>
      </c>
      <c r="M272" s="1" t="s">
        <v>75</v>
      </c>
      <c r="N272" s="1" t="s">
        <v>76</v>
      </c>
      <c r="O272" s="1" t="s">
        <v>77</v>
      </c>
      <c r="P272" s="1" t="s">
        <v>27</v>
      </c>
      <c r="Q272" s="1" t="s">
        <v>86</v>
      </c>
      <c r="R272" s="1" t="s">
        <v>94</v>
      </c>
      <c r="S272" s="1" t="s">
        <v>87</v>
      </c>
      <c r="T272" s="1" t="s">
        <v>88</v>
      </c>
      <c r="X272" s="1" t="s">
        <v>73</v>
      </c>
      <c r="Z272" s="1" t="s">
        <v>70</v>
      </c>
      <c r="AA272" s="1" t="s">
        <v>95</v>
      </c>
      <c r="AB272" s="1">
        <v>5</v>
      </c>
      <c r="AC272" s="1">
        <v>748833.89</v>
      </c>
      <c r="AD272" s="1">
        <v>8930515.8800000008</v>
      </c>
      <c r="AE272" s="1">
        <v>210.35</v>
      </c>
      <c r="AF272" s="1">
        <v>748833.89</v>
      </c>
      <c r="AG272" s="1">
        <v>8930515.8800000008</v>
      </c>
      <c r="AH272" s="1">
        <v>199.4</v>
      </c>
      <c r="AI272" s="1">
        <v>10.95</v>
      </c>
      <c r="AJ272" s="1">
        <v>0.6</v>
      </c>
      <c r="AK272" s="1">
        <v>2.97</v>
      </c>
      <c r="AL272" s="1">
        <v>2.58</v>
      </c>
      <c r="AM272" s="1">
        <v>0</v>
      </c>
      <c r="AN272" s="1">
        <v>0</v>
      </c>
      <c r="AO272" s="1">
        <v>279.95422539999998</v>
      </c>
      <c r="AP272" s="1">
        <v>3.2</v>
      </c>
      <c r="AQ272" s="1">
        <v>0.33</v>
      </c>
      <c r="AR272" s="1">
        <v>0.04</v>
      </c>
      <c r="AS272" s="1">
        <v>0.03</v>
      </c>
      <c r="AT272" s="1">
        <v>11.38</v>
      </c>
      <c r="AU272" s="1">
        <v>5.17</v>
      </c>
      <c r="AV272" s="1">
        <v>0.01</v>
      </c>
      <c r="AW272" s="1">
        <v>0.14000000000000001</v>
      </c>
      <c r="AX272" s="1">
        <v>0</v>
      </c>
      <c r="AY272" s="1">
        <v>0</v>
      </c>
      <c r="AZ272" s="1">
        <v>108.47199999999999</v>
      </c>
      <c r="BA272" s="1">
        <v>0</v>
      </c>
      <c r="BB272" s="1">
        <v>0</v>
      </c>
      <c r="BC272" s="1">
        <v>0</v>
      </c>
      <c r="BD272" s="1">
        <v>0</v>
      </c>
    </row>
    <row r="273" spans="1:56">
      <c r="A273" s="18">
        <v>46192</v>
      </c>
      <c r="B273" s="1">
        <v>272</v>
      </c>
      <c r="C273" s="1" t="s">
        <v>89</v>
      </c>
      <c r="D273" s="1" t="s">
        <v>90</v>
      </c>
      <c r="E273" s="1">
        <v>2</v>
      </c>
      <c r="F273" s="1">
        <v>200</v>
      </c>
      <c r="G273" s="1">
        <v>1</v>
      </c>
      <c r="H273" s="1" t="s">
        <v>91</v>
      </c>
      <c r="I273" s="1" t="s">
        <v>79</v>
      </c>
      <c r="J273" s="1" t="s">
        <v>84</v>
      </c>
      <c r="K273" s="1" t="s">
        <v>74</v>
      </c>
      <c r="L273" s="1" t="s">
        <v>72</v>
      </c>
      <c r="M273" s="1" t="s">
        <v>75</v>
      </c>
      <c r="N273" s="1" t="s">
        <v>76</v>
      </c>
      <c r="O273" s="1" t="s">
        <v>77</v>
      </c>
      <c r="P273" s="1" t="s">
        <v>27</v>
      </c>
      <c r="Q273" s="1" t="s">
        <v>86</v>
      </c>
      <c r="R273" s="1" t="s">
        <v>94</v>
      </c>
      <c r="S273" s="1" t="s">
        <v>87</v>
      </c>
      <c r="T273" s="1" t="s">
        <v>88</v>
      </c>
      <c r="X273" s="1" t="s">
        <v>73</v>
      </c>
      <c r="Z273" s="1" t="s">
        <v>70</v>
      </c>
      <c r="AA273" s="1" t="s">
        <v>95</v>
      </c>
      <c r="AB273" s="1">
        <v>5</v>
      </c>
      <c r="AC273" s="1">
        <v>748835.49</v>
      </c>
      <c r="AD273" s="1">
        <v>8930513.3699999992</v>
      </c>
      <c r="AE273" s="1">
        <v>210.31</v>
      </c>
      <c r="AF273" s="1">
        <v>748835.49</v>
      </c>
      <c r="AG273" s="1">
        <v>8930513.3699999992</v>
      </c>
      <c r="AH273" s="1">
        <v>199.4</v>
      </c>
      <c r="AI273" s="1">
        <v>10.91</v>
      </c>
      <c r="AJ273" s="1">
        <v>0.6</v>
      </c>
      <c r="AK273" s="1">
        <v>2.97</v>
      </c>
      <c r="AL273" s="1">
        <v>2.58</v>
      </c>
      <c r="AM273" s="1">
        <v>0</v>
      </c>
      <c r="AN273" s="1">
        <v>0</v>
      </c>
      <c r="AO273" s="1">
        <v>279.95422539999998</v>
      </c>
      <c r="AP273" s="1">
        <v>3.2</v>
      </c>
      <c r="AQ273" s="1">
        <v>0.33</v>
      </c>
      <c r="AR273" s="1">
        <v>0.04</v>
      </c>
      <c r="AS273" s="1">
        <v>0.03</v>
      </c>
      <c r="AT273" s="1">
        <v>11.37</v>
      </c>
      <c r="AU273" s="1">
        <v>5.16</v>
      </c>
      <c r="AV273" s="1">
        <v>0.01</v>
      </c>
      <c r="AW273" s="1">
        <v>0.14000000000000001</v>
      </c>
      <c r="AX273" s="1">
        <v>0</v>
      </c>
      <c r="AY273" s="1">
        <v>0</v>
      </c>
      <c r="AZ273" s="1">
        <v>107.89</v>
      </c>
      <c r="BA273" s="1">
        <v>0</v>
      </c>
      <c r="BB273" s="1">
        <v>0</v>
      </c>
      <c r="BC273" s="1">
        <v>0</v>
      </c>
      <c r="BD273" s="1">
        <v>0</v>
      </c>
    </row>
    <row r="274" spans="1:56">
      <c r="A274" s="18">
        <v>46192</v>
      </c>
      <c r="B274" s="1">
        <v>273</v>
      </c>
      <c r="C274" s="1" t="s">
        <v>89</v>
      </c>
      <c r="D274" s="1" t="s">
        <v>90</v>
      </c>
      <c r="E274" s="1">
        <v>2</v>
      </c>
      <c r="F274" s="1">
        <v>200</v>
      </c>
      <c r="H274" s="1" t="s">
        <v>91</v>
      </c>
      <c r="I274" s="1" t="s">
        <v>79</v>
      </c>
      <c r="J274" s="1" t="s">
        <v>84</v>
      </c>
      <c r="K274" s="1" t="s">
        <v>74</v>
      </c>
      <c r="L274" s="1" t="s">
        <v>72</v>
      </c>
      <c r="M274" s="1" t="s">
        <v>75</v>
      </c>
      <c r="N274" s="1" t="s">
        <v>76</v>
      </c>
      <c r="O274" s="1" t="s">
        <v>77</v>
      </c>
      <c r="P274" s="1" t="s">
        <v>27</v>
      </c>
      <c r="Q274" s="1" t="s">
        <v>86</v>
      </c>
      <c r="R274" s="1" t="s">
        <v>94</v>
      </c>
      <c r="S274" s="1" t="s">
        <v>87</v>
      </c>
      <c r="T274" s="1" t="s">
        <v>88</v>
      </c>
      <c r="X274" s="1" t="s">
        <v>73</v>
      </c>
      <c r="Z274" s="1" t="s">
        <v>70</v>
      </c>
      <c r="AA274" s="1" t="s">
        <v>95</v>
      </c>
      <c r="AB274" s="1">
        <v>5</v>
      </c>
      <c r="AC274" s="1">
        <v>748837.1</v>
      </c>
      <c r="AD274" s="1">
        <v>8930510.8699999992</v>
      </c>
      <c r="AE274" s="1">
        <v>210.11</v>
      </c>
      <c r="AF274" s="1">
        <v>748837.1</v>
      </c>
      <c r="AG274" s="1">
        <v>8930510.8699999992</v>
      </c>
      <c r="AH274" s="1">
        <v>199.4</v>
      </c>
      <c r="AI274" s="1">
        <v>10.71</v>
      </c>
      <c r="AJ274" s="1">
        <v>0.6</v>
      </c>
      <c r="AK274" s="1">
        <v>2.97</v>
      </c>
      <c r="AL274" s="1">
        <v>2.58</v>
      </c>
      <c r="AM274" s="1">
        <v>0</v>
      </c>
      <c r="AN274" s="1">
        <v>0</v>
      </c>
      <c r="AO274" s="1">
        <v>279.95422539999998</v>
      </c>
      <c r="AP274" s="1">
        <v>3.1</v>
      </c>
      <c r="AQ274" s="1">
        <v>0.22</v>
      </c>
      <c r="AR274" s="1">
        <v>0.02</v>
      </c>
      <c r="AS274" s="1">
        <v>0.02</v>
      </c>
      <c r="AT274" s="1">
        <v>7.56</v>
      </c>
      <c r="AU274" s="1">
        <v>3.46</v>
      </c>
      <c r="AV274" s="1">
        <v>0.02</v>
      </c>
      <c r="AW274" s="1">
        <v>0.44</v>
      </c>
      <c r="AX274" s="1">
        <v>0</v>
      </c>
      <c r="AY274" s="1">
        <v>0</v>
      </c>
      <c r="AZ274" s="1">
        <v>104.97799999999999</v>
      </c>
      <c r="BA274" s="1">
        <v>0</v>
      </c>
      <c r="BB274" s="1">
        <v>0</v>
      </c>
      <c r="BC274" s="1">
        <v>0</v>
      </c>
      <c r="BD274" s="1">
        <v>0</v>
      </c>
    </row>
    <row r="275" spans="1:56">
      <c r="A275" s="18">
        <v>46192</v>
      </c>
      <c r="B275" s="1">
        <v>274</v>
      </c>
      <c r="C275" s="1" t="s">
        <v>89</v>
      </c>
      <c r="D275" s="1" t="s">
        <v>90</v>
      </c>
      <c r="E275" s="1">
        <v>2</v>
      </c>
      <c r="F275" s="1">
        <v>200</v>
      </c>
      <c r="H275" s="1" t="s">
        <v>91</v>
      </c>
      <c r="I275" s="1" t="s">
        <v>28</v>
      </c>
      <c r="J275" s="1" t="s">
        <v>71</v>
      </c>
      <c r="K275" s="1" t="s">
        <v>74</v>
      </c>
      <c r="L275" s="1" t="s">
        <v>72</v>
      </c>
      <c r="M275" s="1" t="s">
        <v>75</v>
      </c>
      <c r="N275" s="1" t="s">
        <v>76</v>
      </c>
      <c r="O275" s="1" t="s">
        <v>77</v>
      </c>
      <c r="P275" s="1" t="s">
        <v>27</v>
      </c>
      <c r="Q275" s="1" t="s">
        <v>86</v>
      </c>
      <c r="R275" s="1" t="s">
        <v>94</v>
      </c>
      <c r="S275" s="1" t="s">
        <v>87</v>
      </c>
      <c r="T275" s="1" t="s">
        <v>88</v>
      </c>
      <c r="X275" s="1" t="s">
        <v>73</v>
      </c>
      <c r="Z275" s="1" t="s">
        <v>70</v>
      </c>
      <c r="AA275" s="1" t="s">
        <v>95</v>
      </c>
      <c r="AB275" s="1">
        <v>5</v>
      </c>
      <c r="AC275" s="1">
        <v>748838.7</v>
      </c>
      <c r="AD275" s="1">
        <v>8930508.3699999992</v>
      </c>
      <c r="AE275" s="1">
        <v>210.13</v>
      </c>
      <c r="AF275" s="1">
        <v>748838.7</v>
      </c>
      <c r="AG275" s="1">
        <v>8930508.3699999992</v>
      </c>
      <c r="AH275" s="1">
        <v>199.4</v>
      </c>
      <c r="AI275" s="1">
        <v>10.73</v>
      </c>
      <c r="AJ275" s="1">
        <v>0.6</v>
      </c>
      <c r="AK275" s="1">
        <v>2.97</v>
      </c>
      <c r="AL275" s="1">
        <v>2.58</v>
      </c>
      <c r="AM275" s="1">
        <v>0</v>
      </c>
      <c r="AN275" s="1">
        <v>0</v>
      </c>
      <c r="AO275" s="1">
        <v>279.95422539999998</v>
      </c>
      <c r="AP275" s="1">
        <v>2.94</v>
      </c>
      <c r="AQ275" s="1">
        <v>0.03</v>
      </c>
      <c r="AR275" s="1">
        <v>0</v>
      </c>
      <c r="AS275" s="1">
        <v>0</v>
      </c>
      <c r="AT275" s="1">
        <v>1.21</v>
      </c>
      <c r="AU275" s="1">
        <v>0.56999999999999995</v>
      </c>
      <c r="AV275" s="1">
        <v>0.01</v>
      </c>
      <c r="AW275" s="1">
        <v>0.26</v>
      </c>
      <c r="AX275" s="1">
        <v>0</v>
      </c>
      <c r="AY275" s="1">
        <v>0</v>
      </c>
      <c r="AZ275" s="1">
        <v>105.26900000000001</v>
      </c>
      <c r="BA275" s="1">
        <v>0</v>
      </c>
      <c r="BB275" s="1">
        <v>0</v>
      </c>
      <c r="BC275" s="1">
        <v>0</v>
      </c>
      <c r="BD275" s="1">
        <v>0</v>
      </c>
    </row>
    <row r="276" spans="1:56">
      <c r="A276" s="18">
        <v>46192</v>
      </c>
      <c r="B276" s="1">
        <v>275</v>
      </c>
      <c r="C276" s="1" t="s">
        <v>89</v>
      </c>
      <c r="D276" s="1" t="s">
        <v>90</v>
      </c>
      <c r="E276" s="1">
        <v>2</v>
      </c>
      <c r="F276" s="1">
        <v>200</v>
      </c>
      <c r="H276" s="1" t="s">
        <v>91</v>
      </c>
      <c r="I276" s="1" t="s">
        <v>28</v>
      </c>
      <c r="J276" s="1" t="s">
        <v>71</v>
      </c>
      <c r="K276" s="1" t="s">
        <v>74</v>
      </c>
      <c r="L276" s="1" t="s">
        <v>72</v>
      </c>
      <c r="M276" s="1" t="s">
        <v>75</v>
      </c>
      <c r="N276" s="1" t="s">
        <v>76</v>
      </c>
      <c r="O276" s="1" t="s">
        <v>77</v>
      </c>
      <c r="P276" s="1" t="s">
        <v>27</v>
      </c>
      <c r="Q276" s="1" t="s">
        <v>86</v>
      </c>
      <c r="R276" s="1" t="s">
        <v>94</v>
      </c>
      <c r="S276" s="1" t="s">
        <v>87</v>
      </c>
      <c r="T276" s="1" t="s">
        <v>88</v>
      </c>
      <c r="X276" s="1" t="s">
        <v>73</v>
      </c>
      <c r="Z276" s="1" t="s">
        <v>70</v>
      </c>
      <c r="AA276" s="1" t="s">
        <v>95</v>
      </c>
      <c r="AB276" s="1">
        <v>5</v>
      </c>
      <c r="AC276" s="1">
        <v>748837.47</v>
      </c>
      <c r="AD276" s="1">
        <v>8930505.5099999998</v>
      </c>
      <c r="AE276" s="1">
        <v>210.36</v>
      </c>
      <c r="AF276" s="1">
        <v>748837.47</v>
      </c>
      <c r="AG276" s="1">
        <v>8930505.5099999998</v>
      </c>
      <c r="AH276" s="1">
        <v>199.4</v>
      </c>
      <c r="AI276" s="1">
        <v>10.96</v>
      </c>
      <c r="AJ276" s="1">
        <v>0.6</v>
      </c>
      <c r="AK276" s="1">
        <v>2.97</v>
      </c>
      <c r="AL276" s="1">
        <v>2.58</v>
      </c>
      <c r="AM276" s="1">
        <v>0</v>
      </c>
      <c r="AN276" s="1">
        <v>0</v>
      </c>
      <c r="AO276" s="1">
        <v>279.95422539999998</v>
      </c>
      <c r="AP276" s="1">
        <v>2.96</v>
      </c>
      <c r="AQ276" s="1">
        <v>0.06</v>
      </c>
      <c r="AR276" s="1">
        <v>0.01</v>
      </c>
      <c r="AS276" s="1">
        <v>0.01</v>
      </c>
      <c r="AT276" s="1">
        <v>2.2000000000000002</v>
      </c>
      <c r="AU276" s="1">
        <v>1.04</v>
      </c>
      <c r="AV276" s="1">
        <v>0.02</v>
      </c>
      <c r="AW276" s="1">
        <v>0.48</v>
      </c>
      <c r="AX276" s="1">
        <v>0</v>
      </c>
      <c r="AY276" s="1">
        <v>0</v>
      </c>
      <c r="AZ276" s="1">
        <v>108.61799999999999</v>
      </c>
      <c r="BA276" s="1">
        <v>0</v>
      </c>
      <c r="BB276" s="1">
        <v>0</v>
      </c>
      <c r="BC276" s="1">
        <v>0</v>
      </c>
      <c r="BD276" s="1">
        <v>0</v>
      </c>
    </row>
    <row r="277" spans="1:56">
      <c r="A277" s="18">
        <v>46192</v>
      </c>
      <c r="B277" s="1">
        <v>276</v>
      </c>
      <c r="C277" s="1" t="s">
        <v>89</v>
      </c>
      <c r="D277" s="1" t="s">
        <v>90</v>
      </c>
      <c r="E277" s="1">
        <v>2</v>
      </c>
      <c r="F277" s="1">
        <v>200</v>
      </c>
      <c r="H277" s="1" t="s">
        <v>91</v>
      </c>
      <c r="I277" s="1" t="s">
        <v>79</v>
      </c>
      <c r="J277" s="1" t="s">
        <v>84</v>
      </c>
      <c r="K277" s="1" t="s">
        <v>74</v>
      </c>
      <c r="L277" s="1" t="s">
        <v>72</v>
      </c>
      <c r="M277" s="1" t="s">
        <v>75</v>
      </c>
      <c r="N277" s="1" t="s">
        <v>76</v>
      </c>
      <c r="O277" s="1" t="s">
        <v>77</v>
      </c>
      <c r="P277" s="1" t="s">
        <v>27</v>
      </c>
      <c r="Q277" s="1" t="s">
        <v>86</v>
      </c>
      <c r="R277" s="1" t="s">
        <v>94</v>
      </c>
      <c r="S277" s="1" t="s">
        <v>87</v>
      </c>
      <c r="T277" s="1" t="s">
        <v>88</v>
      </c>
      <c r="X277" s="1" t="s">
        <v>73</v>
      </c>
      <c r="Z277" s="1" t="s">
        <v>70</v>
      </c>
      <c r="AA277" s="1" t="s">
        <v>95</v>
      </c>
      <c r="AB277" s="1">
        <v>5</v>
      </c>
      <c r="AC277" s="1">
        <v>748835.87</v>
      </c>
      <c r="AD277" s="1">
        <v>8930508.0099999998</v>
      </c>
      <c r="AE277" s="1">
        <v>210.35</v>
      </c>
      <c r="AF277" s="1">
        <v>748835.87</v>
      </c>
      <c r="AG277" s="1">
        <v>8930508.0099999998</v>
      </c>
      <c r="AH277" s="1">
        <v>199.4</v>
      </c>
      <c r="AI277" s="1">
        <v>10.95</v>
      </c>
      <c r="AJ277" s="1">
        <v>0.6</v>
      </c>
      <c r="AK277" s="1">
        <v>2.97</v>
      </c>
      <c r="AL277" s="1">
        <v>2.58</v>
      </c>
      <c r="AM277" s="1">
        <v>0</v>
      </c>
      <c r="AN277" s="1">
        <v>0</v>
      </c>
      <c r="AO277" s="1">
        <v>279.95422539999998</v>
      </c>
      <c r="AP277" s="1">
        <v>3.11</v>
      </c>
      <c r="AQ277" s="1">
        <v>0.25</v>
      </c>
      <c r="AR277" s="1">
        <v>0.03</v>
      </c>
      <c r="AS277" s="1">
        <v>0.03</v>
      </c>
      <c r="AT277" s="1">
        <v>9.26</v>
      </c>
      <c r="AU277" s="1">
        <v>4.34</v>
      </c>
      <c r="AV277" s="1">
        <v>0.1</v>
      </c>
      <c r="AW277" s="1">
        <v>1.95</v>
      </c>
      <c r="AX277" s="1">
        <v>0</v>
      </c>
      <c r="AY277" s="1">
        <v>0</v>
      </c>
      <c r="AZ277" s="1">
        <v>108.47199999999999</v>
      </c>
      <c r="BA277" s="1">
        <v>0</v>
      </c>
      <c r="BB277" s="1">
        <v>0</v>
      </c>
      <c r="BC277" s="1">
        <v>0</v>
      </c>
      <c r="BD277" s="1">
        <v>0</v>
      </c>
    </row>
    <row r="278" spans="1:56">
      <c r="A278" s="18">
        <v>46192</v>
      </c>
      <c r="B278" s="1">
        <v>277</v>
      </c>
      <c r="C278" s="1" t="s">
        <v>89</v>
      </c>
      <c r="D278" s="1" t="s">
        <v>90</v>
      </c>
      <c r="E278" s="1">
        <v>2</v>
      </c>
      <c r="F278" s="1">
        <v>200</v>
      </c>
      <c r="G278" s="1">
        <v>1</v>
      </c>
      <c r="H278" s="1" t="s">
        <v>91</v>
      </c>
      <c r="I278" s="1" t="s">
        <v>79</v>
      </c>
      <c r="J278" s="1" t="s">
        <v>84</v>
      </c>
      <c r="K278" s="1" t="s">
        <v>74</v>
      </c>
      <c r="L278" s="1" t="s">
        <v>72</v>
      </c>
      <c r="M278" s="1" t="s">
        <v>75</v>
      </c>
      <c r="N278" s="1" t="s">
        <v>76</v>
      </c>
      <c r="O278" s="1" t="s">
        <v>77</v>
      </c>
      <c r="P278" s="1" t="s">
        <v>27</v>
      </c>
      <c r="Q278" s="1" t="s">
        <v>86</v>
      </c>
      <c r="R278" s="1" t="s">
        <v>94</v>
      </c>
      <c r="S278" s="1" t="s">
        <v>87</v>
      </c>
      <c r="T278" s="1" t="s">
        <v>88</v>
      </c>
      <c r="X278" s="1" t="s">
        <v>73</v>
      </c>
      <c r="Z278" s="1" t="s">
        <v>70</v>
      </c>
      <c r="AA278" s="1" t="s">
        <v>95</v>
      </c>
      <c r="AB278" s="1">
        <v>5</v>
      </c>
      <c r="AC278" s="1">
        <v>748834.27</v>
      </c>
      <c r="AD278" s="1">
        <v>8930510.5099999998</v>
      </c>
      <c r="AE278" s="1">
        <v>210.18</v>
      </c>
      <c r="AF278" s="1">
        <v>748834.27</v>
      </c>
      <c r="AG278" s="1">
        <v>8930510.5099999998</v>
      </c>
      <c r="AH278" s="1">
        <v>199.4</v>
      </c>
      <c r="AI278" s="1">
        <v>10.78</v>
      </c>
      <c r="AJ278" s="1">
        <v>0.6</v>
      </c>
      <c r="AK278" s="1">
        <v>2.97</v>
      </c>
      <c r="AL278" s="1">
        <v>2.58</v>
      </c>
      <c r="AM278" s="1">
        <v>0</v>
      </c>
      <c r="AN278" s="1">
        <v>0</v>
      </c>
      <c r="AO278" s="1">
        <v>279.95422539999998</v>
      </c>
      <c r="AP278" s="1">
        <v>3.19</v>
      </c>
      <c r="AQ278" s="1">
        <v>0.32</v>
      </c>
      <c r="AR278" s="1">
        <v>0.04</v>
      </c>
      <c r="AS278" s="1">
        <v>0.03</v>
      </c>
      <c r="AT278" s="1">
        <v>11.49</v>
      </c>
      <c r="AU278" s="1">
        <v>5.28</v>
      </c>
      <c r="AV278" s="1">
        <v>0.05</v>
      </c>
      <c r="AW278" s="1">
        <v>0.95</v>
      </c>
      <c r="AX278" s="1">
        <v>0</v>
      </c>
      <c r="AY278" s="1">
        <v>0</v>
      </c>
      <c r="AZ278" s="1">
        <v>105.997</v>
      </c>
      <c r="BA278" s="1">
        <v>0</v>
      </c>
      <c r="BB278" s="1">
        <v>0</v>
      </c>
      <c r="BC278" s="1">
        <v>0</v>
      </c>
      <c r="BD278" s="1">
        <v>0</v>
      </c>
    </row>
    <row r="279" spans="1:56">
      <c r="A279" s="18">
        <v>46192</v>
      </c>
      <c r="B279" s="1">
        <v>278</v>
      </c>
      <c r="C279" s="1" t="s">
        <v>89</v>
      </c>
      <c r="D279" s="1" t="s">
        <v>90</v>
      </c>
      <c r="E279" s="1">
        <v>2</v>
      </c>
      <c r="F279" s="1">
        <v>200</v>
      </c>
      <c r="G279" s="1">
        <v>1</v>
      </c>
      <c r="H279" s="1" t="s">
        <v>91</v>
      </c>
      <c r="I279" s="1" t="s">
        <v>79</v>
      </c>
      <c r="J279" s="1" t="s">
        <v>84</v>
      </c>
      <c r="K279" s="1" t="s">
        <v>74</v>
      </c>
      <c r="L279" s="1" t="s">
        <v>72</v>
      </c>
      <c r="M279" s="1" t="s">
        <v>75</v>
      </c>
      <c r="N279" s="1" t="s">
        <v>76</v>
      </c>
      <c r="O279" s="1" t="s">
        <v>77</v>
      </c>
      <c r="P279" s="1" t="s">
        <v>27</v>
      </c>
      <c r="Q279" s="1" t="s">
        <v>86</v>
      </c>
      <c r="R279" s="1" t="s">
        <v>94</v>
      </c>
      <c r="S279" s="1" t="s">
        <v>87</v>
      </c>
      <c r="T279" s="1" t="s">
        <v>88</v>
      </c>
      <c r="X279" s="1" t="s">
        <v>73</v>
      </c>
      <c r="Z279" s="1" t="s">
        <v>70</v>
      </c>
      <c r="AA279" s="1" t="s">
        <v>95</v>
      </c>
      <c r="AB279" s="1">
        <v>5</v>
      </c>
      <c r="AC279" s="1">
        <v>748832.66</v>
      </c>
      <c r="AD279" s="1">
        <v>8930513.0099999998</v>
      </c>
      <c r="AE279" s="1">
        <v>210.25</v>
      </c>
      <c r="AF279" s="1">
        <v>748832.66</v>
      </c>
      <c r="AG279" s="1">
        <v>8930513.0099999998</v>
      </c>
      <c r="AH279" s="1">
        <v>199.4</v>
      </c>
      <c r="AI279" s="1">
        <v>10.85</v>
      </c>
      <c r="AJ279" s="1">
        <v>0.6</v>
      </c>
      <c r="AK279" s="1">
        <v>2.97</v>
      </c>
      <c r="AL279" s="1">
        <v>2.58</v>
      </c>
      <c r="AM279" s="1">
        <v>0</v>
      </c>
      <c r="AN279" s="1">
        <v>0</v>
      </c>
      <c r="AO279" s="1">
        <v>279.95422539999998</v>
      </c>
      <c r="AP279" s="1">
        <v>3.2</v>
      </c>
      <c r="AQ279" s="1">
        <v>0.33</v>
      </c>
      <c r="AR279" s="1">
        <v>0.04</v>
      </c>
      <c r="AS279" s="1">
        <v>0.03</v>
      </c>
      <c r="AT279" s="1">
        <v>11.38</v>
      </c>
      <c r="AU279" s="1">
        <v>5.17</v>
      </c>
      <c r="AV279" s="1">
        <v>0.01</v>
      </c>
      <c r="AW279" s="1">
        <v>0.14000000000000001</v>
      </c>
      <c r="AX279" s="1">
        <v>0</v>
      </c>
      <c r="AY279" s="1">
        <v>0</v>
      </c>
      <c r="AZ279" s="1">
        <v>107.01600000000001</v>
      </c>
      <c r="BA279" s="1">
        <v>0</v>
      </c>
      <c r="BB279" s="1">
        <v>0</v>
      </c>
      <c r="BC279" s="1">
        <v>0</v>
      </c>
      <c r="BD279" s="1">
        <v>0</v>
      </c>
    </row>
    <row r="280" spans="1:56">
      <c r="A280" s="18">
        <v>46192</v>
      </c>
      <c r="B280" s="1">
        <v>279</v>
      </c>
      <c r="C280" s="1" t="s">
        <v>89</v>
      </c>
      <c r="D280" s="1" t="s">
        <v>90</v>
      </c>
      <c r="E280" s="1">
        <v>2</v>
      </c>
      <c r="F280" s="1">
        <v>200</v>
      </c>
      <c r="G280" s="1">
        <v>1</v>
      </c>
      <c r="H280" s="1" t="s">
        <v>91</v>
      </c>
      <c r="I280" s="1" t="s">
        <v>79</v>
      </c>
      <c r="J280" s="1" t="s">
        <v>84</v>
      </c>
      <c r="K280" s="1" t="s">
        <v>74</v>
      </c>
      <c r="L280" s="1" t="s">
        <v>72</v>
      </c>
      <c r="M280" s="1" t="s">
        <v>75</v>
      </c>
      <c r="N280" s="1" t="s">
        <v>76</v>
      </c>
      <c r="O280" s="1" t="s">
        <v>77</v>
      </c>
      <c r="P280" s="1" t="s">
        <v>27</v>
      </c>
      <c r="Q280" s="1" t="s">
        <v>86</v>
      </c>
      <c r="R280" s="1" t="s">
        <v>94</v>
      </c>
      <c r="S280" s="1" t="s">
        <v>87</v>
      </c>
      <c r="T280" s="1" t="s">
        <v>88</v>
      </c>
      <c r="X280" s="1" t="s">
        <v>73</v>
      </c>
      <c r="Z280" s="1" t="s">
        <v>70</v>
      </c>
      <c r="AA280" s="1" t="s">
        <v>95</v>
      </c>
      <c r="AB280" s="1">
        <v>5</v>
      </c>
      <c r="AC280" s="1">
        <v>748831.06</v>
      </c>
      <c r="AD280" s="1">
        <v>8930515.5099999998</v>
      </c>
      <c r="AE280" s="1">
        <v>210.34</v>
      </c>
      <c r="AF280" s="1">
        <v>748831.06</v>
      </c>
      <c r="AG280" s="1">
        <v>8930515.5099999998</v>
      </c>
      <c r="AH280" s="1">
        <v>199.4</v>
      </c>
      <c r="AI280" s="1">
        <v>10.94</v>
      </c>
      <c r="AJ280" s="1">
        <v>0.6</v>
      </c>
      <c r="AK280" s="1">
        <v>2.97</v>
      </c>
      <c r="AL280" s="1">
        <v>2.58</v>
      </c>
      <c r="AM280" s="1">
        <v>0</v>
      </c>
      <c r="AN280" s="1">
        <v>0</v>
      </c>
      <c r="AO280" s="1">
        <v>279.95422539999998</v>
      </c>
      <c r="AP280" s="1">
        <v>3.2</v>
      </c>
      <c r="AQ280" s="1">
        <v>0.33</v>
      </c>
      <c r="AR280" s="1">
        <v>0.04</v>
      </c>
      <c r="AS280" s="1">
        <v>0.03</v>
      </c>
      <c r="AT280" s="1">
        <v>11.47</v>
      </c>
      <c r="AU280" s="1">
        <v>5.2</v>
      </c>
      <c r="AV280" s="1">
        <v>0.01</v>
      </c>
      <c r="AW280" s="1">
        <v>0.11</v>
      </c>
      <c r="AX280" s="1">
        <v>0</v>
      </c>
      <c r="AY280" s="1">
        <v>0</v>
      </c>
      <c r="AZ280" s="1">
        <v>108.32599999999999</v>
      </c>
      <c r="BA280" s="1">
        <v>0</v>
      </c>
      <c r="BB280" s="1">
        <v>0</v>
      </c>
      <c r="BC280" s="1">
        <v>0</v>
      </c>
      <c r="BD280" s="1">
        <v>0</v>
      </c>
    </row>
    <row r="281" spans="1:56">
      <c r="A281" s="18">
        <v>46192</v>
      </c>
      <c r="B281" s="1">
        <v>280</v>
      </c>
      <c r="C281" s="1" t="s">
        <v>89</v>
      </c>
      <c r="D281" s="1" t="s">
        <v>90</v>
      </c>
      <c r="E281" s="1">
        <v>2</v>
      </c>
      <c r="F281" s="1">
        <v>200</v>
      </c>
      <c r="G281" s="1">
        <v>1</v>
      </c>
      <c r="H281" s="1" t="s">
        <v>91</v>
      </c>
      <c r="I281" s="1" t="s">
        <v>79</v>
      </c>
      <c r="J281" s="1" t="s">
        <v>84</v>
      </c>
      <c r="K281" s="1" t="s">
        <v>74</v>
      </c>
      <c r="L281" s="1" t="s">
        <v>72</v>
      </c>
      <c r="M281" s="1" t="s">
        <v>75</v>
      </c>
      <c r="N281" s="1" t="s">
        <v>76</v>
      </c>
      <c r="O281" s="1" t="s">
        <v>77</v>
      </c>
      <c r="P281" s="1" t="s">
        <v>27</v>
      </c>
      <c r="Q281" s="1" t="s">
        <v>86</v>
      </c>
      <c r="R281" s="1" t="s">
        <v>94</v>
      </c>
      <c r="S281" s="1" t="s">
        <v>87</v>
      </c>
      <c r="T281" s="1" t="s">
        <v>88</v>
      </c>
      <c r="X281" s="1" t="s">
        <v>73</v>
      </c>
      <c r="Z281" s="1" t="s">
        <v>70</v>
      </c>
      <c r="AA281" s="1" t="s">
        <v>95</v>
      </c>
      <c r="AB281" s="1">
        <v>5</v>
      </c>
      <c r="AC281" s="1">
        <v>748829.46</v>
      </c>
      <c r="AD281" s="1">
        <v>8930518.0099999998</v>
      </c>
      <c r="AE281" s="1">
        <v>210.31</v>
      </c>
      <c r="AF281" s="1">
        <v>748829.46</v>
      </c>
      <c r="AG281" s="1">
        <v>8930518.0099999998</v>
      </c>
      <c r="AH281" s="1">
        <v>199.4</v>
      </c>
      <c r="AI281" s="1">
        <v>10.91</v>
      </c>
      <c r="AJ281" s="1">
        <v>0.6</v>
      </c>
      <c r="AK281" s="1">
        <v>2.97</v>
      </c>
      <c r="AL281" s="1">
        <v>2.58</v>
      </c>
      <c r="AM281" s="1">
        <v>0</v>
      </c>
      <c r="AN281" s="1">
        <v>0</v>
      </c>
      <c r="AO281" s="1">
        <v>279.95422539999998</v>
      </c>
      <c r="AP281" s="1">
        <v>3.21</v>
      </c>
      <c r="AQ281" s="1">
        <v>0.35</v>
      </c>
      <c r="AR281" s="1">
        <v>0.04</v>
      </c>
      <c r="AS281" s="1">
        <v>0.03</v>
      </c>
      <c r="AT281" s="1">
        <v>11.7</v>
      </c>
      <c r="AU281" s="1">
        <v>5.26</v>
      </c>
      <c r="AV281" s="1">
        <v>0</v>
      </c>
      <c r="AW281" s="1">
        <v>0.05</v>
      </c>
      <c r="AX281" s="1">
        <v>0</v>
      </c>
      <c r="AY281" s="1">
        <v>0</v>
      </c>
      <c r="AZ281" s="1">
        <v>107.89</v>
      </c>
      <c r="BA281" s="1">
        <v>0</v>
      </c>
      <c r="BB281" s="1">
        <v>0</v>
      </c>
      <c r="BC281" s="1">
        <v>0</v>
      </c>
      <c r="BD281" s="1">
        <v>0</v>
      </c>
    </row>
    <row r="282" spans="1:56">
      <c r="A282" s="18">
        <v>46192</v>
      </c>
      <c r="B282" s="1">
        <v>281</v>
      </c>
      <c r="C282" s="1" t="s">
        <v>89</v>
      </c>
      <c r="D282" s="1" t="s">
        <v>90</v>
      </c>
      <c r="E282" s="1">
        <v>2</v>
      </c>
      <c r="F282" s="1">
        <v>200</v>
      </c>
      <c r="G282" s="1">
        <v>1</v>
      </c>
      <c r="H282" s="1" t="s">
        <v>91</v>
      </c>
      <c r="I282" s="1" t="s">
        <v>79</v>
      </c>
      <c r="J282" s="1" t="s">
        <v>84</v>
      </c>
      <c r="K282" s="1" t="s">
        <v>74</v>
      </c>
      <c r="L282" s="1" t="s">
        <v>72</v>
      </c>
      <c r="M282" s="1" t="s">
        <v>75</v>
      </c>
      <c r="N282" s="1" t="s">
        <v>76</v>
      </c>
      <c r="O282" s="1" t="s">
        <v>77</v>
      </c>
      <c r="P282" s="1" t="s">
        <v>27</v>
      </c>
      <c r="Q282" s="1" t="s">
        <v>86</v>
      </c>
      <c r="R282" s="1" t="s">
        <v>94</v>
      </c>
      <c r="S282" s="1" t="s">
        <v>87</v>
      </c>
      <c r="T282" s="1" t="s">
        <v>88</v>
      </c>
      <c r="X282" s="1" t="s">
        <v>73</v>
      </c>
      <c r="Z282" s="1" t="s">
        <v>70</v>
      </c>
      <c r="AA282" s="1" t="s">
        <v>95</v>
      </c>
      <c r="AB282" s="1">
        <v>5</v>
      </c>
      <c r="AC282" s="1">
        <v>748827.85</v>
      </c>
      <c r="AD282" s="1">
        <v>8930520.5099999998</v>
      </c>
      <c r="AE282" s="1">
        <v>210.28</v>
      </c>
      <c r="AF282" s="1">
        <v>748827.85</v>
      </c>
      <c r="AG282" s="1">
        <v>8930520.5099999998</v>
      </c>
      <c r="AH282" s="1">
        <v>199.4</v>
      </c>
      <c r="AI282" s="1">
        <v>10.88</v>
      </c>
      <c r="AJ282" s="1">
        <v>0.6</v>
      </c>
      <c r="AK282" s="1">
        <v>2.97</v>
      </c>
      <c r="AL282" s="1">
        <v>2.58</v>
      </c>
      <c r="AM282" s="1">
        <v>0</v>
      </c>
      <c r="AN282" s="1">
        <v>0</v>
      </c>
      <c r="AO282" s="1">
        <v>279.95422539999998</v>
      </c>
      <c r="AP282" s="1">
        <v>3.22</v>
      </c>
      <c r="AQ282" s="1">
        <v>0.35</v>
      </c>
      <c r="AR282" s="1">
        <v>0.05</v>
      </c>
      <c r="AS282" s="1">
        <v>0.03</v>
      </c>
      <c r="AT282" s="1">
        <v>11.73</v>
      </c>
      <c r="AU282" s="1">
        <v>5.28</v>
      </c>
      <c r="AV282" s="1">
        <v>0</v>
      </c>
      <c r="AW282" s="1">
        <v>0</v>
      </c>
      <c r="AX282" s="1">
        <v>0</v>
      </c>
      <c r="AY282" s="1">
        <v>0</v>
      </c>
      <c r="AZ282" s="1">
        <v>107.453</v>
      </c>
      <c r="BA282" s="1">
        <v>0</v>
      </c>
      <c r="BB282" s="1">
        <v>0</v>
      </c>
      <c r="BC282" s="1">
        <v>0</v>
      </c>
      <c r="BD282" s="1">
        <v>0</v>
      </c>
    </row>
    <row r="283" spans="1:56">
      <c r="A283" s="18">
        <v>46192</v>
      </c>
      <c r="B283" s="1">
        <v>282</v>
      </c>
      <c r="C283" s="1" t="s">
        <v>89</v>
      </c>
      <c r="D283" s="1" t="s">
        <v>90</v>
      </c>
      <c r="E283" s="1">
        <v>2</v>
      </c>
      <c r="F283" s="1">
        <v>200</v>
      </c>
      <c r="G283" s="1">
        <v>1</v>
      </c>
      <c r="H283" s="1" t="s">
        <v>91</v>
      </c>
      <c r="I283" s="1" t="s">
        <v>79</v>
      </c>
      <c r="J283" s="1" t="s">
        <v>84</v>
      </c>
      <c r="K283" s="1" t="s">
        <v>74</v>
      </c>
      <c r="L283" s="1" t="s">
        <v>72</v>
      </c>
      <c r="M283" s="1" t="s">
        <v>75</v>
      </c>
      <c r="N283" s="1" t="s">
        <v>76</v>
      </c>
      <c r="O283" s="1" t="s">
        <v>77</v>
      </c>
      <c r="P283" s="1" t="s">
        <v>27</v>
      </c>
      <c r="Q283" s="1" t="s">
        <v>86</v>
      </c>
      <c r="R283" s="1" t="s">
        <v>94</v>
      </c>
      <c r="S283" s="1" t="s">
        <v>87</v>
      </c>
      <c r="T283" s="1" t="s">
        <v>88</v>
      </c>
      <c r="X283" s="1" t="s">
        <v>73</v>
      </c>
      <c r="Z283" s="1" t="s">
        <v>70</v>
      </c>
      <c r="AA283" s="1" t="s">
        <v>95</v>
      </c>
      <c r="AB283" s="1">
        <v>5</v>
      </c>
      <c r="AC283" s="1">
        <v>748826.25</v>
      </c>
      <c r="AD283" s="1">
        <v>8930523.0099999998</v>
      </c>
      <c r="AE283" s="1">
        <v>210.54</v>
      </c>
      <c r="AF283" s="1">
        <v>748826.25</v>
      </c>
      <c r="AG283" s="1">
        <v>8930523.0099999998</v>
      </c>
      <c r="AH283" s="1">
        <v>199.4</v>
      </c>
      <c r="AI283" s="1">
        <v>11.14</v>
      </c>
      <c r="AJ283" s="1">
        <v>0.6</v>
      </c>
      <c r="AK283" s="1">
        <v>2.97</v>
      </c>
      <c r="AL283" s="1">
        <v>2.58</v>
      </c>
      <c r="AM283" s="1">
        <v>0</v>
      </c>
      <c r="AN283" s="1">
        <v>0</v>
      </c>
      <c r="AO283" s="1">
        <v>279.95422539999998</v>
      </c>
      <c r="AP283" s="1">
        <v>3.22</v>
      </c>
      <c r="AQ283" s="1">
        <v>0.35</v>
      </c>
      <c r="AR283" s="1">
        <v>0.05</v>
      </c>
      <c r="AS283" s="1">
        <v>0.03</v>
      </c>
      <c r="AT283" s="1">
        <v>11.65</v>
      </c>
      <c r="AU283" s="1">
        <v>5.26</v>
      </c>
      <c r="AV283" s="1">
        <v>0</v>
      </c>
      <c r="AW283" s="1">
        <v>0</v>
      </c>
      <c r="AX283" s="1">
        <v>0</v>
      </c>
      <c r="AY283" s="1">
        <v>0</v>
      </c>
      <c r="AZ283" s="1">
        <v>111.238</v>
      </c>
      <c r="BA283" s="1">
        <v>0</v>
      </c>
      <c r="BB283" s="1">
        <v>0</v>
      </c>
      <c r="BC283" s="1">
        <v>0</v>
      </c>
      <c r="BD283" s="1">
        <v>0</v>
      </c>
    </row>
    <row r="284" spans="1:56">
      <c r="A284" s="18">
        <v>46192</v>
      </c>
      <c r="B284" s="1">
        <v>283</v>
      </c>
      <c r="C284" s="1" t="s">
        <v>89</v>
      </c>
      <c r="D284" s="1" t="s">
        <v>90</v>
      </c>
      <c r="E284" s="1">
        <v>2</v>
      </c>
      <c r="F284" s="1">
        <v>200</v>
      </c>
      <c r="G284" s="1">
        <v>1</v>
      </c>
      <c r="H284" s="1" t="s">
        <v>91</v>
      </c>
      <c r="I284" s="1" t="s">
        <v>79</v>
      </c>
      <c r="J284" s="1" t="s">
        <v>84</v>
      </c>
      <c r="K284" s="1" t="s">
        <v>74</v>
      </c>
      <c r="L284" s="1" t="s">
        <v>72</v>
      </c>
      <c r="M284" s="1" t="s">
        <v>75</v>
      </c>
      <c r="N284" s="1" t="s">
        <v>76</v>
      </c>
      <c r="O284" s="1" t="s">
        <v>77</v>
      </c>
      <c r="P284" s="1" t="s">
        <v>27</v>
      </c>
      <c r="Q284" s="1" t="s">
        <v>86</v>
      </c>
      <c r="R284" s="1" t="s">
        <v>94</v>
      </c>
      <c r="S284" s="1" t="s">
        <v>87</v>
      </c>
      <c r="T284" s="1" t="s">
        <v>88</v>
      </c>
      <c r="X284" s="1" t="s">
        <v>73</v>
      </c>
      <c r="Z284" s="1" t="s">
        <v>70</v>
      </c>
      <c r="AA284" s="1" t="s">
        <v>95</v>
      </c>
      <c r="AB284" s="1">
        <v>5</v>
      </c>
      <c r="AC284" s="1">
        <v>748824.65</v>
      </c>
      <c r="AD284" s="1">
        <v>8930525.5099999998</v>
      </c>
      <c r="AE284" s="1">
        <v>210.45</v>
      </c>
      <c r="AF284" s="1">
        <v>748824.65</v>
      </c>
      <c r="AG284" s="1">
        <v>8930525.5099999998</v>
      </c>
      <c r="AH284" s="1">
        <v>199.4</v>
      </c>
      <c r="AI284" s="1">
        <v>11.05</v>
      </c>
      <c r="AJ284" s="1">
        <v>0.6</v>
      </c>
      <c r="AK284" s="1">
        <v>2.97</v>
      </c>
      <c r="AL284" s="1">
        <v>2.58</v>
      </c>
      <c r="AM284" s="1">
        <v>0</v>
      </c>
      <c r="AN284" s="1">
        <v>0</v>
      </c>
      <c r="AO284" s="1">
        <v>279.95422539999998</v>
      </c>
      <c r="AP284" s="1">
        <v>3.22</v>
      </c>
      <c r="AQ284" s="1">
        <v>0.35</v>
      </c>
      <c r="AR284" s="1">
        <v>0.05</v>
      </c>
      <c r="AS284" s="1">
        <v>0.03</v>
      </c>
      <c r="AT284" s="1">
        <v>11.65</v>
      </c>
      <c r="AU284" s="1">
        <v>5.26</v>
      </c>
      <c r="AV284" s="1">
        <v>0</v>
      </c>
      <c r="AW284" s="1">
        <v>0</v>
      </c>
      <c r="AX284" s="1">
        <v>0</v>
      </c>
      <c r="AY284" s="1">
        <v>0</v>
      </c>
      <c r="AZ284" s="1">
        <v>109.928</v>
      </c>
      <c r="BA284" s="1">
        <v>0</v>
      </c>
      <c r="BB284" s="1">
        <v>0</v>
      </c>
      <c r="BC284" s="1">
        <v>0</v>
      </c>
      <c r="BD284" s="1">
        <v>0</v>
      </c>
    </row>
    <row r="285" spans="1:56">
      <c r="A285" s="18">
        <v>46192</v>
      </c>
      <c r="B285" s="1">
        <v>284</v>
      </c>
      <c r="C285" s="1" t="s">
        <v>89</v>
      </c>
      <c r="D285" s="1" t="s">
        <v>90</v>
      </c>
      <c r="E285" s="1">
        <v>2</v>
      </c>
      <c r="F285" s="1">
        <v>200</v>
      </c>
      <c r="G285" s="1">
        <v>1</v>
      </c>
      <c r="H285" s="1" t="s">
        <v>91</v>
      </c>
      <c r="I285" s="1" t="s">
        <v>79</v>
      </c>
      <c r="J285" s="1" t="s">
        <v>84</v>
      </c>
      <c r="K285" s="1" t="s">
        <v>74</v>
      </c>
      <c r="L285" s="1" t="s">
        <v>72</v>
      </c>
      <c r="M285" s="1" t="s">
        <v>75</v>
      </c>
      <c r="N285" s="1" t="s">
        <v>76</v>
      </c>
      <c r="O285" s="1" t="s">
        <v>77</v>
      </c>
      <c r="P285" s="1" t="s">
        <v>27</v>
      </c>
      <c r="Q285" s="1" t="s">
        <v>86</v>
      </c>
      <c r="R285" s="1" t="s">
        <v>94</v>
      </c>
      <c r="S285" s="1" t="s">
        <v>87</v>
      </c>
      <c r="T285" s="1" t="s">
        <v>88</v>
      </c>
      <c r="X285" s="1" t="s">
        <v>73</v>
      </c>
      <c r="Z285" s="1" t="s">
        <v>70</v>
      </c>
      <c r="AA285" s="1" t="s">
        <v>95</v>
      </c>
      <c r="AB285" s="1">
        <v>5</v>
      </c>
      <c r="AC285" s="1">
        <v>748823.05</v>
      </c>
      <c r="AD285" s="1">
        <v>8930528.0099999998</v>
      </c>
      <c r="AE285" s="1">
        <v>210.73</v>
      </c>
      <c r="AF285" s="1">
        <v>748823.05</v>
      </c>
      <c r="AG285" s="1">
        <v>8930528.0099999998</v>
      </c>
      <c r="AH285" s="1">
        <v>199.4</v>
      </c>
      <c r="AI285" s="1">
        <v>11.33</v>
      </c>
      <c r="AJ285" s="1">
        <v>0.6</v>
      </c>
      <c r="AK285" s="1">
        <v>2.97</v>
      </c>
      <c r="AL285" s="1">
        <v>2.58</v>
      </c>
      <c r="AM285" s="1">
        <v>0</v>
      </c>
      <c r="AN285" s="1">
        <v>0</v>
      </c>
      <c r="AO285" s="1">
        <v>279.95422539999998</v>
      </c>
      <c r="AP285" s="1">
        <v>3.22</v>
      </c>
      <c r="AQ285" s="1">
        <v>0.36</v>
      </c>
      <c r="AR285" s="1">
        <v>0.05</v>
      </c>
      <c r="AS285" s="1">
        <v>0.03</v>
      </c>
      <c r="AT285" s="1">
        <v>11.71</v>
      </c>
      <c r="AU285" s="1">
        <v>5.26</v>
      </c>
      <c r="AV285" s="1">
        <v>0</v>
      </c>
      <c r="AW285" s="1">
        <v>0</v>
      </c>
      <c r="AX285" s="1">
        <v>0.04</v>
      </c>
      <c r="AY285" s="1">
        <v>0</v>
      </c>
      <c r="AZ285" s="1">
        <v>114.005</v>
      </c>
      <c r="BA285" s="1">
        <v>0</v>
      </c>
      <c r="BB285" s="1">
        <v>0</v>
      </c>
      <c r="BC285" s="1">
        <v>0</v>
      </c>
      <c r="BD285" s="1">
        <v>0</v>
      </c>
    </row>
    <row r="286" spans="1:56">
      <c r="A286" s="18">
        <v>46192</v>
      </c>
      <c r="B286" s="1">
        <v>285</v>
      </c>
      <c r="C286" s="1" t="s">
        <v>89</v>
      </c>
      <c r="D286" s="1" t="s">
        <v>90</v>
      </c>
      <c r="E286" s="1">
        <v>2</v>
      </c>
      <c r="F286" s="1">
        <v>200</v>
      </c>
      <c r="G286" s="1">
        <v>1</v>
      </c>
      <c r="H286" s="1" t="s">
        <v>91</v>
      </c>
      <c r="I286" s="1" t="s">
        <v>79</v>
      </c>
      <c r="J286" s="1" t="s">
        <v>81</v>
      </c>
      <c r="K286" s="1" t="s">
        <v>74</v>
      </c>
      <c r="L286" s="1" t="s">
        <v>72</v>
      </c>
      <c r="M286" s="1" t="s">
        <v>75</v>
      </c>
      <c r="N286" s="1" t="s">
        <v>76</v>
      </c>
      <c r="O286" s="1" t="s">
        <v>77</v>
      </c>
      <c r="P286" s="1" t="s">
        <v>27</v>
      </c>
      <c r="Q286" s="1" t="s">
        <v>86</v>
      </c>
      <c r="R286" s="1" t="s">
        <v>94</v>
      </c>
      <c r="S286" s="1" t="s">
        <v>87</v>
      </c>
      <c r="T286" s="1" t="s">
        <v>88</v>
      </c>
      <c r="X286" s="1" t="s">
        <v>73</v>
      </c>
      <c r="Z286" s="1" t="s">
        <v>70</v>
      </c>
      <c r="AA286" s="1" t="s">
        <v>95</v>
      </c>
      <c r="AB286" s="1">
        <v>5</v>
      </c>
      <c r="AC286" s="1">
        <v>748821.44</v>
      </c>
      <c r="AD286" s="1">
        <v>8930530.5099999998</v>
      </c>
      <c r="AE286" s="1">
        <v>210.96</v>
      </c>
      <c r="AF286" s="1">
        <v>748821.44</v>
      </c>
      <c r="AG286" s="1">
        <v>8930530.5099999998</v>
      </c>
      <c r="AH286" s="1">
        <v>199.4</v>
      </c>
      <c r="AI286" s="1">
        <v>11.56</v>
      </c>
      <c r="AJ286" s="1">
        <v>0.6</v>
      </c>
      <c r="AK286" s="1">
        <v>2.97</v>
      </c>
      <c r="AL286" s="1">
        <v>2.58</v>
      </c>
      <c r="AM286" s="1">
        <v>0</v>
      </c>
      <c r="AN286" s="1">
        <v>0</v>
      </c>
      <c r="AO286" s="1">
        <v>279.95422539999998</v>
      </c>
      <c r="AP286" s="1">
        <v>3.22</v>
      </c>
      <c r="AQ286" s="1">
        <v>0.61</v>
      </c>
      <c r="AR286" s="1">
        <v>0.04</v>
      </c>
      <c r="AS286" s="1">
        <v>7.0000000000000007E-2</v>
      </c>
      <c r="AT286" s="1">
        <v>15.87</v>
      </c>
      <c r="AU286" s="1">
        <v>5.14</v>
      </c>
      <c r="AV286" s="1">
        <v>0</v>
      </c>
      <c r="AW286" s="1">
        <v>0</v>
      </c>
      <c r="AX286" s="1">
        <v>3.49</v>
      </c>
      <c r="AY286" s="1">
        <v>0</v>
      </c>
      <c r="AZ286" s="1">
        <v>117.354</v>
      </c>
      <c r="BA286" s="1">
        <v>0</v>
      </c>
      <c r="BB286" s="1">
        <v>0</v>
      </c>
      <c r="BC286" s="1">
        <v>0</v>
      </c>
      <c r="BD286" s="1">
        <v>0</v>
      </c>
    </row>
    <row r="287" spans="1:56">
      <c r="A287" s="18">
        <v>46192</v>
      </c>
      <c r="B287" s="1">
        <v>286</v>
      </c>
      <c r="C287" s="1" t="s">
        <v>89</v>
      </c>
      <c r="D287" s="1" t="s">
        <v>90</v>
      </c>
      <c r="E287" s="1">
        <v>2</v>
      </c>
      <c r="F287" s="1">
        <v>200</v>
      </c>
      <c r="G287" s="1">
        <v>1</v>
      </c>
      <c r="H287" s="1" t="s">
        <v>91</v>
      </c>
      <c r="I287" s="1" t="s">
        <v>79</v>
      </c>
      <c r="J287" s="1" t="s">
        <v>81</v>
      </c>
      <c r="K287" s="1" t="s">
        <v>74</v>
      </c>
      <c r="L287" s="1" t="s">
        <v>72</v>
      </c>
      <c r="M287" s="1" t="s">
        <v>75</v>
      </c>
      <c r="N287" s="1" t="s">
        <v>76</v>
      </c>
      <c r="O287" s="1" t="s">
        <v>77</v>
      </c>
      <c r="P287" s="1" t="s">
        <v>27</v>
      </c>
      <c r="Q287" s="1" t="s">
        <v>86</v>
      </c>
      <c r="R287" s="1" t="s">
        <v>94</v>
      </c>
      <c r="S287" s="1" t="s">
        <v>87</v>
      </c>
      <c r="T287" s="1" t="s">
        <v>88</v>
      </c>
      <c r="X287" s="1" t="s">
        <v>73</v>
      </c>
      <c r="Z287" s="1" t="s">
        <v>70</v>
      </c>
      <c r="AA287" s="1" t="s">
        <v>95</v>
      </c>
      <c r="AB287" s="1">
        <v>5</v>
      </c>
      <c r="AC287" s="1">
        <v>748819.84</v>
      </c>
      <c r="AD287" s="1">
        <v>8930533.0099999998</v>
      </c>
      <c r="AE287" s="1">
        <v>211.02</v>
      </c>
      <c r="AF287" s="1">
        <v>748819.84</v>
      </c>
      <c r="AG287" s="1">
        <v>8930533.0099999998</v>
      </c>
      <c r="AH287" s="1">
        <v>199.4</v>
      </c>
      <c r="AI287" s="1">
        <v>11.62</v>
      </c>
      <c r="AJ287" s="1">
        <v>0.6</v>
      </c>
      <c r="AK287" s="1">
        <v>2.97</v>
      </c>
      <c r="AL287" s="1">
        <v>2.58</v>
      </c>
      <c r="AM287" s="1">
        <v>0</v>
      </c>
      <c r="AN287" s="1">
        <v>0</v>
      </c>
      <c r="AO287" s="1">
        <v>279.95422539999998</v>
      </c>
      <c r="AP287" s="1">
        <v>3.22</v>
      </c>
      <c r="AQ287" s="1">
        <v>0.51</v>
      </c>
      <c r="AR287" s="1">
        <v>0.04</v>
      </c>
      <c r="AS287" s="1">
        <v>0.06</v>
      </c>
      <c r="AT287" s="1">
        <v>13.83</v>
      </c>
      <c r="AU287" s="1">
        <v>4.58</v>
      </c>
      <c r="AV287" s="1">
        <v>0</v>
      </c>
      <c r="AW287" s="1">
        <v>0</v>
      </c>
      <c r="AX287" s="1">
        <v>2.84</v>
      </c>
      <c r="AY287" s="1">
        <v>0</v>
      </c>
      <c r="AZ287" s="1">
        <v>118.227</v>
      </c>
      <c r="BA287" s="1">
        <v>0</v>
      </c>
      <c r="BB287" s="1">
        <v>0</v>
      </c>
      <c r="BC287" s="1">
        <v>0</v>
      </c>
      <c r="BD287" s="1">
        <v>0</v>
      </c>
    </row>
    <row r="288" spans="1:56">
      <c r="A288" s="18">
        <v>46192</v>
      </c>
      <c r="B288" s="1">
        <v>287</v>
      </c>
      <c r="C288" s="1" t="s">
        <v>89</v>
      </c>
      <c r="D288" s="1" t="s">
        <v>90</v>
      </c>
      <c r="E288" s="1">
        <v>2</v>
      </c>
      <c r="F288" s="1">
        <v>200</v>
      </c>
      <c r="G288" s="1">
        <v>1</v>
      </c>
      <c r="H288" s="1" t="s">
        <v>91</v>
      </c>
      <c r="I288" s="1" t="s">
        <v>79</v>
      </c>
      <c r="J288" s="1" t="s">
        <v>84</v>
      </c>
      <c r="K288" s="1" t="s">
        <v>74</v>
      </c>
      <c r="L288" s="1" t="s">
        <v>72</v>
      </c>
      <c r="M288" s="1" t="s">
        <v>75</v>
      </c>
      <c r="N288" s="1" t="s">
        <v>76</v>
      </c>
      <c r="O288" s="1" t="s">
        <v>77</v>
      </c>
      <c r="P288" s="1" t="s">
        <v>27</v>
      </c>
      <c r="Q288" s="1" t="s">
        <v>86</v>
      </c>
      <c r="R288" s="1" t="s">
        <v>94</v>
      </c>
      <c r="S288" s="1" t="s">
        <v>87</v>
      </c>
      <c r="T288" s="1" t="s">
        <v>88</v>
      </c>
      <c r="X288" s="1" t="s">
        <v>73</v>
      </c>
      <c r="Z288" s="1" t="s">
        <v>70</v>
      </c>
      <c r="AA288" s="1" t="s">
        <v>95</v>
      </c>
      <c r="AB288" s="1">
        <v>5</v>
      </c>
      <c r="AC288" s="1">
        <v>748818.24</v>
      </c>
      <c r="AD288" s="1">
        <v>8930535.5099999998</v>
      </c>
      <c r="AE288" s="1">
        <v>210.73</v>
      </c>
      <c r="AF288" s="1">
        <v>748818.24</v>
      </c>
      <c r="AG288" s="1">
        <v>8930535.5099999998</v>
      </c>
      <c r="AH288" s="1">
        <v>199.4</v>
      </c>
      <c r="AI288" s="1">
        <v>11.33</v>
      </c>
      <c r="AJ288" s="1">
        <v>0.6</v>
      </c>
      <c r="AK288" s="1">
        <v>2.97</v>
      </c>
      <c r="AL288" s="1">
        <v>2.58</v>
      </c>
      <c r="AM288" s="1">
        <v>0</v>
      </c>
      <c r="AN288" s="1">
        <v>0</v>
      </c>
      <c r="AO288" s="1">
        <v>279.95422539999998</v>
      </c>
      <c r="AP288" s="1">
        <v>3.21</v>
      </c>
      <c r="AQ288" s="1">
        <v>0.3</v>
      </c>
      <c r="AR288" s="1">
        <v>0.03</v>
      </c>
      <c r="AS288" s="1">
        <v>0.03</v>
      </c>
      <c r="AT288" s="1">
        <v>9.5299999999999994</v>
      </c>
      <c r="AU288" s="1">
        <v>3.91</v>
      </c>
      <c r="AV288" s="1">
        <v>0.01</v>
      </c>
      <c r="AW288" s="1">
        <v>0.04</v>
      </c>
      <c r="AX288" s="1">
        <v>0.74</v>
      </c>
      <c r="AY288" s="1">
        <v>0</v>
      </c>
      <c r="AZ288" s="1">
        <v>114.005</v>
      </c>
      <c r="BA288" s="1">
        <v>0</v>
      </c>
      <c r="BB288" s="1">
        <v>0</v>
      </c>
      <c r="BC288" s="1">
        <v>0</v>
      </c>
      <c r="BD288" s="1">
        <v>0</v>
      </c>
    </row>
    <row r="289" spans="1:56">
      <c r="A289" s="18">
        <v>46192</v>
      </c>
      <c r="B289" s="1">
        <v>288</v>
      </c>
      <c r="C289" s="1" t="s">
        <v>89</v>
      </c>
      <c r="D289" s="1" t="s">
        <v>90</v>
      </c>
      <c r="E289" s="1">
        <v>2</v>
      </c>
      <c r="F289" s="1">
        <v>200</v>
      </c>
      <c r="G289" s="1">
        <v>1</v>
      </c>
      <c r="H289" s="1" t="s">
        <v>91</v>
      </c>
      <c r="I289" s="1" t="s">
        <v>28</v>
      </c>
      <c r="J289" s="1" t="s">
        <v>71</v>
      </c>
      <c r="K289" s="1" t="s">
        <v>74</v>
      </c>
      <c r="L289" s="1" t="s">
        <v>72</v>
      </c>
      <c r="M289" s="1" t="s">
        <v>75</v>
      </c>
      <c r="N289" s="1" t="s">
        <v>76</v>
      </c>
      <c r="O289" s="1" t="s">
        <v>77</v>
      </c>
      <c r="P289" s="1" t="s">
        <v>27</v>
      </c>
      <c r="Q289" s="1" t="s">
        <v>86</v>
      </c>
      <c r="R289" s="1" t="s">
        <v>94</v>
      </c>
      <c r="S289" s="1" t="s">
        <v>87</v>
      </c>
      <c r="T289" s="1" t="s">
        <v>88</v>
      </c>
      <c r="X289" s="1" t="s">
        <v>73</v>
      </c>
      <c r="Z289" s="1" t="s">
        <v>70</v>
      </c>
      <c r="AA289" s="1" t="s">
        <v>95</v>
      </c>
      <c r="AB289" s="1">
        <v>5</v>
      </c>
      <c r="AC289" s="1">
        <v>748816.63</v>
      </c>
      <c r="AD289" s="1">
        <v>8930538.0099999998</v>
      </c>
      <c r="AE289" s="1">
        <v>210.65</v>
      </c>
      <c r="AF289" s="1">
        <v>748816.63</v>
      </c>
      <c r="AG289" s="1">
        <v>8930538.0099999998</v>
      </c>
      <c r="AH289" s="1">
        <v>199.4</v>
      </c>
      <c r="AI289" s="1">
        <v>11.25</v>
      </c>
      <c r="AJ289" s="1">
        <v>0.6</v>
      </c>
      <c r="AK289" s="1">
        <v>2.97</v>
      </c>
      <c r="AL289" s="1">
        <v>2.58</v>
      </c>
      <c r="AM289" s="1">
        <v>0</v>
      </c>
      <c r="AN289" s="1">
        <v>0</v>
      </c>
      <c r="AO289" s="1">
        <v>279.95422539999998</v>
      </c>
      <c r="AP289" s="1">
        <v>3.16</v>
      </c>
      <c r="AQ289" s="1">
        <v>0.26</v>
      </c>
      <c r="AR289" s="1">
        <v>0.03</v>
      </c>
      <c r="AS289" s="1">
        <v>0.03</v>
      </c>
      <c r="AT289" s="1">
        <v>7.77</v>
      </c>
      <c r="AU289" s="1">
        <v>3.22</v>
      </c>
      <c r="AV289" s="1">
        <v>7.0000000000000007E-2</v>
      </c>
      <c r="AW289" s="1">
        <v>0.33</v>
      </c>
      <c r="AX289" s="1">
        <v>1.54</v>
      </c>
      <c r="AY289" s="1">
        <v>0</v>
      </c>
      <c r="AZ289" s="1">
        <v>112.84</v>
      </c>
      <c r="BA289" s="1">
        <v>0</v>
      </c>
      <c r="BB289" s="1">
        <v>0</v>
      </c>
      <c r="BC289" s="1">
        <v>0</v>
      </c>
      <c r="BD289" s="1">
        <v>0</v>
      </c>
    </row>
    <row r="290" spans="1:56">
      <c r="A290" s="18">
        <v>46192</v>
      </c>
      <c r="B290" s="1">
        <v>289</v>
      </c>
      <c r="C290" s="1" t="s">
        <v>89</v>
      </c>
      <c r="D290" s="1" t="s">
        <v>90</v>
      </c>
      <c r="E290" s="1">
        <v>2</v>
      </c>
      <c r="F290" s="1">
        <v>200</v>
      </c>
      <c r="G290" s="1">
        <v>1</v>
      </c>
      <c r="H290" s="1" t="s">
        <v>91</v>
      </c>
      <c r="I290" s="1" t="s">
        <v>28</v>
      </c>
      <c r="J290" s="1" t="s">
        <v>71</v>
      </c>
      <c r="K290" s="1" t="s">
        <v>74</v>
      </c>
      <c r="L290" s="1" t="s">
        <v>72</v>
      </c>
      <c r="M290" s="1" t="s">
        <v>75</v>
      </c>
      <c r="N290" s="1" t="s">
        <v>76</v>
      </c>
      <c r="O290" s="1" t="s">
        <v>77</v>
      </c>
      <c r="P290" s="1" t="s">
        <v>27</v>
      </c>
      <c r="Q290" s="1" t="s">
        <v>86</v>
      </c>
      <c r="R290" s="1" t="s">
        <v>94</v>
      </c>
      <c r="S290" s="1" t="s">
        <v>87</v>
      </c>
      <c r="T290" s="1" t="s">
        <v>88</v>
      </c>
      <c r="X290" s="1" t="s">
        <v>73</v>
      </c>
      <c r="Z290" s="1" t="s">
        <v>70</v>
      </c>
      <c r="AA290" s="1" t="s">
        <v>95</v>
      </c>
      <c r="AB290" s="1">
        <v>5</v>
      </c>
      <c r="AC290" s="1">
        <v>748815.03</v>
      </c>
      <c r="AD290" s="1">
        <v>8930540.5099999998</v>
      </c>
      <c r="AE290" s="1">
        <v>210.65</v>
      </c>
      <c r="AF290" s="1">
        <v>748815.03</v>
      </c>
      <c r="AG290" s="1">
        <v>8930540.5099999998</v>
      </c>
      <c r="AH290" s="1">
        <v>199.4</v>
      </c>
      <c r="AI290" s="1">
        <v>11.25</v>
      </c>
      <c r="AJ290" s="1">
        <v>0.6</v>
      </c>
      <c r="AK290" s="1">
        <v>2.97</v>
      </c>
      <c r="AL290" s="1">
        <v>2.58</v>
      </c>
      <c r="AM290" s="1">
        <v>0</v>
      </c>
      <c r="AN290" s="1">
        <v>0</v>
      </c>
      <c r="AO290" s="1">
        <v>279.95422539999998</v>
      </c>
      <c r="AP290" s="1">
        <v>3.1</v>
      </c>
      <c r="AQ290" s="1">
        <v>0.2</v>
      </c>
      <c r="AR290" s="1">
        <v>0.03</v>
      </c>
      <c r="AS290" s="1">
        <v>0.02</v>
      </c>
      <c r="AT290" s="1">
        <v>6.49</v>
      </c>
      <c r="AU290" s="1">
        <v>2.5299999999999998</v>
      </c>
      <c r="AV290" s="1">
        <v>0.1</v>
      </c>
      <c r="AW290" s="1">
        <v>0.41</v>
      </c>
      <c r="AX290" s="1">
        <v>2.36</v>
      </c>
      <c r="AY290" s="1">
        <v>0</v>
      </c>
      <c r="AZ290" s="1">
        <v>112.84</v>
      </c>
      <c r="BA290" s="1">
        <v>0</v>
      </c>
      <c r="BB290" s="1">
        <v>0</v>
      </c>
      <c r="BC290" s="1">
        <v>0</v>
      </c>
      <c r="BD290" s="1">
        <v>0</v>
      </c>
    </row>
    <row r="291" spans="1:56">
      <c r="A291" s="18">
        <v>46192</v>
      </c>
      <c r="B291" s="1">
        <v>290</v>
      </c>
      <c r="C291" s="1" t="s">
        <v>89</v>
      </c>
      <c r="D291" s="1" t="s">
        <v>90</v>
      </c>
      <c r="E291" s="1">
        <v>2</v>
      </c>
      <c r="F291" s="1">
        <v>200</v>
      </c>
      <c r="G291" s="1">
        <v>1</v>
      </c>
      <c r="H291" s="1" t="s">
        <v>91</v>
      </c>
      <c r="I291" s="1" t="s">
        <v>28</v>
      </c>
      <c r="J291" s="1" t="s">
        <v>71</v>
      </c>
      <c r="K291" s="1" t="s">
        <v>74</v>
      </c>
      <c r="L291" s="1" t="s">
        <v>72</v>
      </c>
      <c r="M291" s="1" t="s">
        <v>75</v>
      </c>
      <c r="N291" s="1" t="s">
        <v>76</v>
      </c>
      <c r="O291" s="1" t="s">
        <v>77</v>
      </c>
      <c r="P291" s="1" t="s">
        <v>27</v>
      </c>
      <c r="Q291" s="1" t="s">
        <v>86</v>
      </c>
      <c r="R291" s="1" t="s">
        <v>94</v>
      </c>
      <c r="S291" s="1" t="s">
        <v>87</v>
      </c>
      <c r="T291" s="1" t="s">
        <v>88</v>
      </c>
      <c r="X291" s="1" t="s">
        <v>73</v>
      </c>
      <c r="Z291" s="1" t="s">
        <v>70</v>
      </c>
      <c r="AA291" s="1" t="s">
        <v>95</v>
      </c>
      <c r="AB291" s="1">
        <v>5</v>
      </c>
      <c r="AC291" s="1">
        <v>748813.43</v>
      </c>
      <c r="AD291" s="1">
        <v>8930543.0099999998</v>
      </c>
      <c r="AE291" s="1">
        <v>210.84</v>
      </c>
      <c r="AF291" s="1">
        <v>748813.43</v>
      </c>
      <c r="AG291" s="1">
        <v>8930543.0099999998</v>
      </c>
      <c r="AH291" s="1">
        <v>199.4</v>
      </c>
      <c r="AI291" s="1">
        <v>11.44</v>
      </c>
      <c r="AJ291" s="1">
        <v>0.6</v>
      </c>
      <c r="AK291" s="1">
        <v>2.97</v>
      </c>
      <c r="AL291" s="1">
        <v>2.58</v>
      </c>
      <c r="AM291" s="1">
        <v>0</v>
      </c>
      <c r="AN291" s="1">
        <v>0</v>
      </c>
      <c r="AO291" s="1">
        <v>279.95422539999998</v>
      </c>
      <c r="AP291" s="1">
        <v>3.06</v>
      </c>
      <c r="AQ291" s="1">
        <v>0.15</v>
      </c>
      <c r="AR291" s="1">
        <v>0.02</v>
      </c>
      <c r="AS291" s="1">
        <v>0.02</v>
      </c>
      <c r="AT291" s="1">
        <v>5.17</v>
      </c>
      <c r="AU291" s="1">
        <v>1.89</v>
      </c>
      <c r="AV291" s="1">
        <v>0.1</v>
      </c>
      <c r="AW291" s="1">
        <v>0.39</v>
      </c>
      <c r="AX291" s="1">
        <v>2.59</v>
      </c>
      <c r="AY291" s="1">
        <v>0</v>
      </c>
      <c r="AZ291" s="1">
        <v>115.60599999999999</v>
      </c>
      <c r="BA291" s="1">
        <v>0</v>
      </c>
      <c r="BB291" s="1">
        <v>0</v>
      </c>
      <c r="BC291" s="1">
        <v>0</v>
      </c>
      <c r="BD291" s="1">
        <v>0</v>
      </c>
    </row>
    <row r="292" spans="1:56">
      <c r="A292" s="18">
        <v>46192</v>
      </c>
      <c r="B292" s="1">
        <v>291</v>
      </c>
      <c r="C292" s="1" t="s">
        <v>89</v>
      </c>
      <c r="D292" s="1" t="s">
        <v>90</v>
      </c>
      <c r="E292" s="1">
        <v>2</v>
      </c>
      <c r="F292" s="1">
        <v>200</v>
      </c>
      <c r="H292" s="1" t="s">
        <v>91</v>
      </c>
      <c r="I292" s="1" t="s">
        <v>28</v>
      </c>
      <c r="J292" s="1" t="s">
        <v>71</v>
      </c>
      <c r="K292" s="1" t="s">
        <v>74</v>
      </c>
      <c r="L292" s="1" t="s">
        <v>72</v>
      </c>
      <c r="M292" s="1" t="s">
        <v>75</v>
      </c>
      <c r="N292" s="1" t="s">
        <v>76</v>
      </c>
      <c r="O292" s="1" t="s">
        <v>77</v>
      </c>
      <c r="P292" s="1" t="s">
        <v>27</v>
      </c>
      <c r="Q292" s="1" t="s">
        <v>86</v>
      </c>
      <c r="R292" s="1" t="s">
        <v>94</v>
      </c>
      <c r="S292" s="1" t="s">
        <v>87</v>
      </c>
      <c r="T292" s="1" t="s">
        <v>88</v>
      </c>
      <c r="X292" s="1" t="s">
        <v>73</v>
      </c>
      <c r="Z292" s="1" t="s">
        <v>70</v>
      </c>
      <c r="AA292" s="1" t="s">
        <v>95</v>
      </c>
      <c r="AB292" s="1">
        <v>5</v>
      </c>
      <c r="AC292" s="1">
        <v>748811.82</v>
      </c>
      <c r="AD292" s="1">
        <v>8930545.5099999998</v>
      </c>
      <c r="AE292" s="1">
        <v>210.91</v>
      </c>
      <c r="AF292" s="1">
        <v>748811.82</v>
      </c>
      <c r="AG292" s="1">
        <v>8930545.5099999998</v>
      </c>
      <c r="AH292" s="1">
        <v>199.4</v>
      </c>
      <c r="AI292" s="1">
        <v>11.51</v>
      </c>
      <c r="AJ292" s="1">
        <v>0.6</v>
      </c>
      <c r="AK292" s="1">
        <v>2.97</v>
      </c>
      <c r="AL292" s="1">
        <v>2.58</v>
      </c>
      <c r="AM292" s="1">
        <v>0</v>
      </c>
      <c r="AN292" s="1">
        <v>0</v>
      </c>
      <c r="AO292" s="1">
        <v>279.95422539999998</v>
      </c>
      <c r="AP292" s="1">
        <v>3.04</v>
      </c>
      <c r="AQ292" s="1">
        <v>0.11</v>
      </c>
      <c r="AR292" s="1">
        <v>0.02</v>
      </c>
      <c r="AS292" s="1">
        <v>0.01</v>
      </c>
      <c r="AT292" s="1">
        <v>3.8</v>
      </c>
      <c r="AU292" s="1">
        <v>1.35</v>
      </c>
      <c r="AV292" s="1">
        <v>0.08</v>
      </c>
      <c r="AW292" s="1">
        <v>0.34</v>
      </c>
      <c r="AX292" s="1">
        <v>2.12</v>
      </c>
      <c r="AY292" s="1">
        <v>0</v>
      </c>
      <c r="AZ292" s="1">
        <v>116.626</v>
      </c>
      <c r="BA292" s="1">
        <v>0</v>
      </c>
      <c r="BB292" s="1">
        <v>0</v>
      </c>
      <c r="BC292" s="1">
        <v>0</v>
      </c>
      <c r="BD292" s="1">
        <v>0</v>
      </c>
    </row>
    <row r="293" spans="1:56">
      <c r="A293" s="18">
        <v>46192</v>
      </c>
      <c r="B293" s="1">
        <v>292</v>
      </c>
      <c r="C293" s="1" t="s">
        <v>89</v>
      </c>
      <c r="D293" s="1" t="s">
        <v>90</v>
      </c>
      <c r="E293" s="1">
        <v>2</v>
      </c>
      <c r="F293" s="1">
        <v>200</v>
      </c>
      <c r="H293" s="1" t="s">
        <v>91</v>
      </c>
      <c r="I293" s="1" t="s">
        <v>28</v>
      </c>
      <c r="J293" s="1" t="s">
        <v>71</v>
      </c>
      <c r="K293" s="1" t="s">
        <v>74</v>
      </c>
      <c r="L293" s="1" t="s">
        <v>72</v>
      </c>
      <c r="M293" s="1" t="s">
        <v>75</v>
      </c>
      <c r="N293" s="1" t="s">
        <v>76</v>
      </c>
      <c r="O293" s="1" t="s">
        <v>77</v>
      </c>
      <c r="P293" s="1" t="s">
        <v>27</v>
      </c>
      <c r="Q293" s="1" t="s">
        <v>86</v>
      </c>
      <c r="R293" s="1" t="s">
        <v>94</v>
      </c>
      <c r="S293" s="1" t="s">
        <v>87</v>
      </c>
      <c r="T293" s="1" t="s">
        <v>88</v>
      </c>
      <c r="X293" s="1" t="s">
        <v>73</v>
      </c>
      <c r="Z293" s="1" t="s">
        <v>70</v>
      </c>
      <c r="AA293" s="1" t="s">
        <v>95</v>
      </c>
      <c r="AB293" s="1">
        <v>5</v>
      </c>
      <c r="AC293" s="1">
        <v>748810.22</v>
      </c>
      <c r="AD293" s="1">
        <v>8930548.0099999998</v>
      </c>
      <c r="AE293" s="1">
        <v>210.93</v>
      </c>
      <c r="AF293" s="1">
        <v>748810.22</v>
      </c>
      <c r="AG293" s="1">
        <v>8930548.0099999998</v>
      </c>
      <c r="AH293" s="1">
        <v>199.4</v>
      </c>
      <c r="AI293" s="1">
        <v>11.53</v>
      </c>
      <c r="AJ293" s="1">
        <v>0.6</v>
      </c>
      <c r="AK293" s="1">
        <v>2.97</v>
      </c>
      <c r="AL293" s="1">
        <v>2.58</v>
      </c>
      <c r="AM293" s="1">
        <v>0</v>
      </c>
      <c r="AN293" s="1">
        <v>0</v>
      </c>
      <c r="AO293" s="1">
        <v>279.95422539999998</v>
      </c>
      <c r="AP293" s="1">
        <v>3.09</v>
      </c>
      <c r="AQ293" s="1">
        <v>0.11</v>
      </c>
      <c r="AR293" s="1">
        <v>0.02</v>
      </c>
      <c r="AS293" s="1">
        <v>0.02</v>
      </c>
      <c r="AT293" s="1">
        <v>4</v>
      </c>
      <c r="AU293" s="1">
        <v>1.47</v>
      </c>
      <c r="AV293" s="1">
        <v>7.0000000000000007E-2</v>
      </c>
      <c r="AW293" s="1">
        <v>0.31</v>
      </c>
      <c r="AX293" s="1">
        <v>1.77</v>
      </c>
      <c r="AY293" s="1">
        <v>0</v>
      </c>
      <c r="AZ293" s="1">
        <v>116.917</v>
      </c>
      <c r="BA293" s="1">
        <v>0</v>
      </c>
      <c r="BB293" s="1">
        <v>0</v>
      </c>
      <c r="BC293" s="1">
        <v>0</v>
      </c>
      <c r="BD293" s="1">
        <v>0</v>
      </c>
    </row>
    <row r="294" spans="1:56">
      <c r="A294" s="18">
        <v>46192</v>
      </c>
      <c r="B294" s="1">
        <v>293</v>
      </c>
      <c r="C294" s="1" t="s">
        <v>89</v>
      </c>
      <c r="D294" s="1" t="s">
        <v>90</v>
      </c>
      <c r="E294" s="1">
        <v>2</v>
      </c>
      <c r="F294" s="1">
        <v>200</v>
      </c>
      <c r="H294" s="1" t="s">
        <v>91</v>
      </c>
      <c r="I294" s="1" t="s">
        <v>28</v>
      </c>
      <c r="J294" s="1" t="s">
        <v>71</v>
      </c>
      <c r="K294" s="1" t="s">
        <v>74</v>
      </c>
      <c r="L294" s="1" t="s">
        <v>72</v>
      </c>
      <c r="M294" s="1" t="s">
        <v>75</v>
      </c>
      <c r="N294" s="1" t="s">
        <v>76</v>
      </c>
      <c r="O294" s="1" t="s">
        <v>77</v>
      </c>
      <c r="P294" s="1" t="s">
        <v>27</v>
      </c>
      <c r="Q294" s="1" t="s">
        <v>86</v>
      </c>
      <c r="R294" s="1" t="s">
        <v>94</v>
      </c>
      <c r="S294" s="1" t="s">
        <v>87</v>
      </c>
      <c r="T294" s="1" t="s">
        <v>88</v>
      </c>
      <c r="X294" s="1" t="s">
        <v>73</v>
      </c>
      <c r="Z294" s="1" t="s">
        <v>70</v>
      </c>
      <c r="AA294" s="1" t="s">
        <v>95</v>
      </c>
      <c r="AB294" s="1">
        <v>5</v>
      </c>
      <c r="AC294" s="1">
        <v>748808.62</v>
      </c>
      <c r="AD294" s="1">
        <v>8930550.5099999998</v>
      </c>
      <c r="AE294" s="1">
        <v>210.85</v>
      </c>
      <c r="AF294" s="1">
        <v>748808.62</v>
      </c>
      <c r="AG294" s="1">
        <v>8930550.5099999998</v>
      </c>
      <c r="AH294" s="1">
        <v>199.4</v>
      </c>
      <c r="AI294" s="1">
        <v>11.45</v>
      </c>
      <c r="AJ294" s="1">
        <v>0.6</v>
      </c>
      <c r="AK294" s="1">
        <v>2.97</v>
      </c>
      <c r="AL294" s="1">
        <v>2.58</v>
      </c>
      <c r="AM294" s="1">
        <v>0</v>
      </c>
      <c r="AN294" s="1">
        <v>0</v>
      </c>
      <c r="AO294" s="1">
        <v>279.95422539999998</v>
      </c>
      <c r="AP294" s="1">
        <v>3.22</v>
      </c>
      <c r="AQ294" s="1">
        <v>0.17</v>
      </c>
      <c r="AR294" s="1">
        <v>0.03</v>
      </c>
      <c r="AS294" s="1">
        <v>0.03</v>
      </c>
      <c r="AT294" s="1">
        <v>7.5</v>
      </c>
      <c r="AU294" s="1">
        <v>2.84</v>
      </c>
      <c r="AV294" s="1">
        <v>7.0000000000000007E-2</v>
      </c>
      <c r="AW294" s="1">
        <v>0.55000000000000004</v>
      </c>
      <c r="AX294" s="1">
        <v>2.83</v>
      </c>
      <c r="AY294" s="1">
        <v>0</v>
      </c>
      <c r="AZ294" s="1">
        <v>115.752</v>
      </c>
      <c r="BA294" s="1">
        <v>0</v>
      </c>
      <c r="BB294" s="1">
        <v>0</v>
      </c>
      <c r="BC294" s="1">
        <v>0</v>
      </c>
      <c r="BD294" s="1">
        <v>0</v>
      </c>
    </row>
    <row r="295" spans="1:56">
      <c r="A295" s="18">
        <v>46192</v>
      </c>
      <c r="B295" s="1">
        <v>294</v>
      </c>
      <c r="C295" s="1" t="s">
        <v>89</v>
      </c>
      <c r="D295" s="1" t="s">
        <v>90</v>
      </c>
      <c r="E295" s="1">
        <v>2</v>
      </c>
      <c r="F295" s="1">
        <v>200</v>
      </c>
      <c r="G295" s="1">
        <v>1</v>
      </c>
      <c r="H295" s="1" t="s">
        <v>91</v>
      </c>
      <c r="I295" s="1" t="s">
        <v>79</v>
      </c>
      <c r="J295" s="1" t="s">
        <v>84</v>
      </c>
      <c r="K295" s="1" t="s">
        <v>74</v>
      </c>
      <c r="L295" s="1" t="s">
        <v>72</v>
      </c>
      <c r="M295" s="1" t="s">
        <v>75</v>
      </c>
      <c r="N295" s="1" t="s">
        <v>76</v>
      </c>
      <c r="O295" s="1" t="s">
        <v>77</v>
      </c>
      <c r="P295" s="1" t="s">
        <v>27</v>
      </c>
      <c r="Q295" s="1" t="s">
        <v>86</v>
      </c>
      <c r="R295" s="1" t="s">
        <v>94</v>
      </c>
      <c r="S295" s="1" t="s">
        <v>87</v>
      </c>
      <c r="T295" s="1" t="s">
        <v>88</v>
      </c>
      <c r="X295" s="1" t="s">
        <v>73</v>
      </c>
      <c r="Z295" s="1" t="s">
        <v>70</v>
      </c>
      <c r="AA295" s="1" t="s">
        <v>95</v>
      </c>
      <c r="AB295" s="1">
        <v>5</v>
      </c>
      <c r="AC295" s="1">
        <v>748807.02</v>
      </c>
      <c r="AD295" s="1">
        <v>8930553.0099999998</v>
      </c>
      <c r="AE295" s="1">
        <v>210.68</v>
      </c>
      <c r="AF295" s="1">
        <v>748807.02</v>
      </c>
      <c r="AG295" s="1">
        <v>8930553.0099999998</v>
      </c>
      <c r="AH295" s="1">
        <v>199.4</v>
      </c>
      <c r="AI295" s="1">
        <v>11.28</v>
      </c>
      <c r="AJ295" s="1">
        <v>0.6</v>
      </c>
      <c r="AK295" s="1">
        <v>2.97</v>
      </c>
      <c r="AL295" s="1">
        <v>2.58</v>
      </c>
      <c r="AM295" s="1">
        <v>0</v>
      </c>
      <c r="AN295" s="1">
        <v>0</v>
      </c>
      <c r="AO295" s="1">
        <v>279.95422539999998</v>
      </c>
      <c r="AP295" s="1">
        <v>3.33</v>
      </c>
      <c r="AQ295" s="1">
        <v>0.27</v>
      </c>
      <c r="AR295" s="1">
        <v>0.04</v>
      </c>
      <c r="AS295" s="1">
        <v>0.04</v>
      </c>
      <c r="AT295" s="1">
        <v>12.57</v>
      </c>
      <c r="AU295" s="1">
        <v>4.84</v>
      </c>
      <c r="AV295" s="1">
        <v>0.09</v>
      </c>
      <c r="AW295" s="1">
        <v>0.95</v>
      </c>
      <c r="AX295" s="1">
        <v>4.93</v>
      </c>
      <c r="AY295" s="1">
        <v>0</v>
      </c>
      <c r="AZ295" s="1">
        <v>113.277</v>
      </c>
      <c r="BA295" s="1">
        <v>0</v>
      </c>
      <c r="BB295" s="1">
        <v>0</v>
      </c>
      <c r="BC295" s="1">
        <v>0</v>
      </c>
      <c r="BD295" s="1">
        <v>0</v>
      </c>
    </row>
    <row r="296" spans="1:56">
      <c r="A296" s="18">
        <v>46192</v>
      </c>
      <c r="B296" s="1">
        <v>295</v>
      </c>
      <c r="C296" s="1" t="s">
        <v>89</v>
      </c>
      <c r="D296" s="1" t="s">
        <v>90</v>
      </c>
      <c r="E296" s="1">
        <v>2</v>
      </c>
      <c r="F296" s="1">
        <v>200</v>
      </c>
      <c r="G296" s="1">
        <v>1</v>
      </c>
      <c r="H296" s="1" t="s">
        <v>91</v>
      </c>
      <c r="I296" s="1" t="s">
        <v>79</v>
      </c>
      <c r="J296" s="1" t="s">
        <v>84</v>
      </c>
      <c r="K296" s="1" t="s">
        <v>74</v>
      </c>
      <c r="L296" s="1" t="s">
        <v>72</v>
      </c>
      <c r="M296" s="1" t="s">
        <v>75</v>
      </c>
      <c r="N296" s="1" t="s">
        <v>76</v>
      </c>
      <c r="O296" s="1" t="s">
        <v>77</v>
      </c>
      <c r="P296" s="1" t="s">
        <v>27</v>
      </c>
      <c r="Q296" s="1" t="s">
        <v>86</v>
      </c>
      <c r="R296" s="1" t="s">
        <v>94</v>
      </c>
      <c r="S296" s="1" t="s">
        <v>87</v>
      </c>
      <c r="T296" s="1" t="s">
        <v>88</v>
      </c>
      <c r="X296" s="1" t="s">
        <v>73</v>
      </c>
      <c r="Z296" s="1" t="s">
        <v>70</v>
      </c>
      <c r="AA296" s="1" t="s">
        <v>95</v>
      </c>
      <c r="AB296" s="1">
        <v>5</v>
      </c>
      <c r="AC296" s="1">
        <v>748805.41</v>
      </c>
      <c r="AD296" s="1">
        <v>8930555.5099999998</v>
      </c>
      <c r="AE296" s="1">
        <v>210.4</v>
      </c>
      <c r="AF296" s="1">
        <v>748805.41</v>
      </c>
      <c r="AG296" s="1">
        <v>8930555.5099999998</v>
      </c>
      <c r="AH296" s="1">
        <v>199.4</v>
      </c>
      <c r="AI296" s="1">
        <v>11</v>
      </c>
      <c r="AJ296" s="1">
        <v>0.6</v>
      </c>
      <c r="AK296" s="1">
        <v>2.97</v>
      </c>
      <c r="AL296" s="1">
        <v>2.58</v>
      </c>
      <c r="AM296" s="1">
        <v>0</v>
      </c>
      <c r="AN296" s="1">
        <v>0</v>
      </c>
      <c r="AO296" s="1">
        <v>279.95422539999998</v>
      </c>
      <c r="AP296" s="1">
        <v>3.35</v>
      </c>
      <c r="AQ296" s="1">
        <v>0.27</v>
      </c>
      <c r="AR296" s="1">
        <v>0.04</v>
      </c>
      <c r="AS296" s="1">
        <v>0.04</v>
      </c>
      <c r="AT296" s="1">
        <v>13.8</v>
      </c>
      <c r="AU296" s="1">
        <v>5.0999999999999996</v>
      </c>
      <c r="AV296" s="1">
        <v>0.11</v>
      </c>
      <c r="AW296" s="1">
        <v>1.25</v>
      </c>
      <c r="AX296" s="1">
        <v>6.67</v>
      </c>
      <c r="AY296" s="1">
        <v>0</v>
      </c>
      <c r="AZ296" s="1">
        <v>109.2</v>
      </c>
      <c r="BA296" s="1">
        <v>0</v>
      </c>
      <c r="BB296" s="1">
        <v>0</v>
      </c>
      <c r="BC296" s="1">
        <v>0</v>
      </c>
      <c r="BD296" s="1">
        <v>0</v>
      </c>
    </row>
    <row r="297" spans="1:56">
      <c r="A297" s="18">
        <v>46192</v>
      </c>
      <c r="B297" s="1">
        <v>296</v>
      </c>
      <c r="C297" s="1" t="s">
        <v>89</v>
      </c>
      <c r="D297" s="1" t="s">
        <v>90</v>
      </c>
      <c r="E297" s="1">
        <v>2</v>
      </c>
      <c r="F297" s="1">
        <v>200</v>
      </c>
      <c r="G297" s="1">
        <v>1</v>
      </c>
      <c r="H297" s="1" t="s">
        <v>91</v>
      </c>
      <c r="I297" s="1" t="s">
        <v>79</v>
      </c>
      <c r="J297" s="1" t="s">
        <v>84</v>
      </c>
      <c r="K297" s="1" t="s">
        <v>74</v>
      </c>
      <c r="L297" s="1" t="s">
        <v>72</v>
      </c>
      <c r="M297" s="1" t="s">
        <v>75</v>
      </c>
      <c r="N297" s="1" t="s">
        <v>76</v>
      </c>
      <c r="O297" s="1" t="s">
        <v>77</v>
      </c>
      <c r="P297" s="1" t="s">
        <v>27</v>
      </c>
      <c r="Q297" s="1" t="s">
        <v>86</v>
      </c>
      <c r="R297" s="1" t="s">
        <v>94</v>
      </c>
      <c r="S297" s="1" t="s">
        <v>87</v>
      </c>
      <c r="T297" s="1" t="s">
        <v>88</v>
      </c>
      <c r="X297" s="1" t="s">
        <v>73</v>
      </c>
      <c r="Z297" s="1" t="s">
        <v>70</v>
      </c>
      <c r="AA297" s="1" t="s">
        <v>95</v>
      </c>
      <c r="AB297" s="1">
        <v>5</v>
      </c>
      <c r="AC297" s="1">
        <v>748803.57</v>
      </c>
      <c r="AD297" s="1">
        <v>8930557.8399999999</v>
      </c>
      <c r="AE297" s="1">
        <v>210.27</v>
      </c>
      <c r="AF297" s="1">
        <v>748803.57</v>
      </c>
      <c r="AG297" s="1">
        <v>8930557.8399999999</v>
      </c>
      <c r="AH297" s="1">
        <v>199.4</v>
      </c>
      <c r="AI297" s="1">
        <v>10.87</v>
      </c>
      <c r="AJ297" s="1">
        <v>0.6</v>
      </c>
      <c r="AK297" s="1">
        <v>2.97</v>
      </c>
      <c r="AL297" s="1">
        <v>2.58</v>
      </c>
      <c r="AM297" s="1">
        <v>0</v>
      </c>
      <c r="AN297" s="1">
        <v>0</v>
      </c>
      <c r="AO297" s="1">
        <v>279.95422539999998</v>
      </c>
      <c r="AP297" s="1">
        <v>3.36</v>
      </c>
      <c r="AQ297" s="1">
        <v>0.23</v>
      </c>
      <c r="AR297" s="1">
        <v>0.04</v>
      </c>
      <c r="AS297" s="1">
        <v>0.04</v>
      </c>
      <c r="AT297" s="1">
        <v>13.87</v>
      </c>
      <c r="AU297" s="1">
        <v>4.87</v>
      </c>
      <c r="AV297" s="1">
        <v>0.13</v>
      </c>
      <c r="AW297" s="1">
        <v>1.55</v>
      </c>
      <c r="AX297" s="1">
        <v>8.4</v>
      </c>
      <c r="AY297" s="1">
        <v>0</v>
      </c>
      <c r="AZ297" s="1">
        <v>107.307</v>
      </c>
      <c r="BA297" s="1">
        <v>0</v>
      </c>
      <c r="BB297" s="1">
        <v>0</v>
      </c>
      <c r="BC297" s="1">
        <v>0</v>
      </c>
      <c r="BD297" s="1">
        <v>0</v>
      </c>
    </row>
    <row r="298" spans="1:56">
      <c r="A298" s="18">
        <v>46192</v>
      </c>
      <c r="B298" s="1">
        <v>297</v>
      </c>
      <c r="C298" s="1" t="s">
        <v>89</v>
      </c>
      <c r="D298" s="1" t="s">
        <v>90</v>
      </c>
      <c r="E298" s="1">
        <v>2</v>
      </c>
      <c r="F298" s="1">
        <v>200</v>
      </c>
      <c r="G298" s="1">
        <v>1</v>
      </c>
      <c r="H298" s="1" t="s">
        <v>91</v>
      </c>
      <c r="I298" s="1" t="s">
        <v>79</v>
      </c>
      <c r="J298" s="1" t="s">
        <v>84</v>
      </c>
      <c r="K298" s="1" t="s">
        <v>74</v>
      </c>
      <c r="L298" s="1" t="s">
        <v>72</v>
      </c>
      <c r="M298" s="1" t="s">
        <v>75</v>
      </c>
      <c r="N298" s="1" t="s">
        <v>76</v>
      </c>
      <c r="O298" s="1" t="s">
        <v>77</v>
      </c>
      <c r="P298" s="1" t="s">
        <v>27</v>
      </c>
      <c r="Q298" s="1" t="s">
        <v>86</v>
      </c>
      <c r="R298" s="1" t="s">
        <v>94</v>
      </c>
      <c r="S298" s="1" t="s">
        <v>87</v>
      </c>
      <c r="T298" s="1" t="s">
        <v>88</v>
      </c>
      <c r="X298" s="1" t="s">
        <v>73</v>
      </c>
      <c r="Z298" s="1" t="s">
        <v>70</v>
      </c>
      <c r="AA298" s="1" t="s">
        <v>95</v>
      </c>
      <c r="AB298" s="1">
        <v>5</v>
      </c>
      <c r="AC298" s="1">
        <v>748801.38</v>
      </c>
      <c r="AD298" s="1">
        <v>8930559.8399999999</v>
      </c>
      <c r="AE298" s="1">
        <v>210.22</v>
      </c>
      <c r="AF298" s="1">
        <v>748801.38</v>
      </c>
      <c r="AG298" s="1">
        <v>8930559.8399999999</v>
      </c>
      <c r="AH298" s="1">
        <v>199.4</v>
      </c>
      <c r="AI298" s="1">
        <v>10.82</v>
      </c>
      <c r="AJ298" s="1">
        <v>0.6</v>
      </c>
      <c r="AK298" s="1">
        <v>2.97</v>
      </c>
      <c r="AL298" s="1">
        <v>2.58</v>
      </c>
      <c r="AM298" s="1">
        <v>0</v>
      </c>
      <c r="AN298" s="1">
        <v>0</v>
      </c>
      <c r="AO298" s="1">
        <v>279.95422539999998</v>
      </c>
      <c r="AP298" s="1">
        <v>3.37</v>
      </c>
      <c r="AQ298" s="1">
        <v>0.27</v>
      </c>
      <c r="AR298" s="1">
        <v>0.05</v>
      </c>
      <c r="AS298" s="1">
        <v>0.04</v>
      </c>
      <c r="AT298" s="1">
        <v>13.95</v>
      </c>
      <c r="AU298" s="1">
        <v>4.8099999999999996</v>
      </c>
      <c r="AV298" s="1">
        <v>0.16</v>
      </c>
      <c r="AW298" s="1">
        <v>1.73</v>
      </c>
      <c r="AX298" s="1">
        <v>8.48</v>
      </c>
      <c r="AY298" s="1">
        <v>0</v>
      </c>
      <c r="AZ298" s="1">
        <v>106.57899999999999</v>
      </c>
      <c r="BA298" s="1">
        <v>0</v>
      </c>
      <c r="BB298" s="1">
        <v>0</v>
      </c>
      <c r="BC298" s="1">
        <v>0</v>
      </c>
      <c r="BD298" s="1">
        <v>0</v>
      </c>
    </row>
    <row r="299" spans="1:56">
      <c r="A299" s="18">
        <v>46192</v>
      </c>
      <c r="B299" s="1">
        <v>298</v>
      </c>
      <c r="C299" s="1" t="s">
        <v>89</v>
      </c>
      <c r="D299" s="1" t="s">
        <v>90</v>
      </c>
      <c r="E299" s="1">
        <v>2</v>
      </c>
      <c r="F299" s="1">
        <v>200</v>
      </c>
      <c r="G299" s="1">
        <v>1</v>
      </c>
      <c r="H299" s="1" t="s">
        <v>91</v>
      </c>
      <c r="I299" s="1" t="s">
        <v>79</v>
      </c>
      <c r="J299" s="1" t="s">
        <v>84</v>
      </c>
      <c r="K299" s="1" t="s">
        <v>74</v>
      </c>
      <c r="L299" s="1" t="s">
        <v>72</v>
      </c>
      <c r="M299" s="1" t="s">
        <v>75</v>
      </c>
      <c r="N299" s="1" t="s">
        <v>76</v>
      </c>
      <c r="O299" s="1" t="s">
        <v>77</v>
      </c>
      <c r="P299" s="1" t="s">
        <v>27</v>
      </c>
      <c r="Q299" s="1" t="s">
        <v>86</v>
      </c>
      <c r="R299" s="1" t="s">
        <v>94</v>
      </c>
      <c r="S299" s="1" t="s">
        <v>87</v>
      </c>
      <c r="T299" s="1" t="s">
        <v>88</v>
      </c>
      <c r="X299" s="1" t="s">
        <v>73</v>
      </c>
      <c r="Z299" s="1" t="s">
        <v>70</v>
      </c>
      <c r="AA299" s="1" t="s">
        <v>95</v>
      </c>
      <c r="AB299" s="1">
        <v>5</v>
      </c>
      <c r="AC299" s="1">
        <v>748799.13</v>
      </c>
      <c r="AD299" s="1">
        <v>8930561.7799999993</v>
      </c>
      <c r="AE299" s="1">
        <v>210.13</v>
      </c>
      <c r="AF299" s="1">
        <v>748799.13</v>
      </c>
      <c r="AG299" s="1">
        <v>8930561.7799999993</v>
      </c>
      <c r="AH299" s="1">
        <v>199.4</v>
      </c>
      <c r="AI299" s="1">
        <v>10.73</v>
      </c>
      <c r="AJ299" s="1">
        <v>0.6</v>
      </c>
      <c r="AK299" s="1">
        <v>2.97</v>
      </c>
      <c r="AL299" s="1">
        <v>2.58</v>
      </c>
      <c r="AM299" s="1">
        <v>0</v>
      </c>
      <c r="AN299" s="1">
        <v>0</v>
      </c>
      <c r="AO299" s="1">
        <v>279.95422539999998</v>
      </c>
      <c r="AP299" s="1">
        <v>3.37</v>
      </c>
      <c r="AQ299" s="1">
        <v>0.36</v>
      </c>
      <c r="AR299" s="1">
        <v>7.0000000000000007E-2</v>
      </c>
      <c r="AS299" s="1">
        <v>0.05</v>
      </c>
      <c r="AT299" s="1">
        <v>14.69</v>
      </c>
      <c r="AU299" s="1">
        <v>4.88</v>
      </c>
      <c r="AV299" s="1">
        <v>0.18</v>
      </c>
      <c r="AW299" s="1">
        <v>1.95</v>
      </c>
      <c r="AX299" s="1">
        <v>8.7899999999999991</v>
      </c>
      <c r="AY299" s="1">
        <v>0</v>
      </c>
      <c r="AZ299" s="1">
        <v>105.26900000000001</v>
      </c>
      <c r="BA299" s="1">
        <v>0</v>
      </c>
      <c r="BB299" s="1">
        <v>0</v>
      </c>
      <c r="BC299" s="1">
        <v>0</v>
      </c>
      <c r="BD299" s="1">
        <v>0</v>
      </c>
    </row>
    <row r="300" spans="1:56">
      <c r="A300" s="18">
        <v>46192</v>
      </c>
      <c r="B300" s="1">
        <v>299</v>
      </c>
      <c r="C300" s="1" t="s">
        <v>89</v>
      </c>
      <c r="D300" s="1" t="s">
        <v>90</v>
      </c>
      <c r="E300" s="1">
        <v>2</v>
      </c>
      <c r="F300" s="1">
        <v>200</v>
      </c>
      <c r="G300" s="1">
        <v>1</v>
      </c>
      <c r="H300" s="1" t="s">
        <v>91</v>
      </c>
      <c r="I300" s="1" t="s">
        <v>79</v>
      </c>
      <c r="J300" s="1" t="s">
        <v>84</v>
      </c>
      <c r="K300" s="1" t="s">
        <v>74</v>
      </c>
      <c r="L300" s="1" t="s">
        <v>72</v>
      </c>
      <c r="M300" s="1" t="s">
        <v>75</v>
      </c>
      <c r="N300" s="1" t="s">
        <v>76</v>
      </c>
      <c r="O300" s="1" t="s">
        <v>77</v>
      </c>
      <c r="P300" s="1" t="s">
        <v>27</v>
      </c>
      <c r="Q300" s="1" t="s">
        <v>86</v>
      </c>
      <c r="R300" s="1" t="s">
        <v>94</v>
      </c>
      <c r="S300" s="1" t="s">
        <v>87</v>
      </c>
      <c r="T300" s="1" t="s">
        <v>88</v>
      </c>
      <c r="X300" s="1" t="s">
        <v>73</v>
      </c>
      <c r="Z300" s="1" t="s">
        <v>70</v>
      </c>
      <c r="AA300" s="1" t="s">
        <v>95</v>
      </c>
      <c r="AB300" s="1">
        <v>5</v>
      </c>
      <c r="AC300" s="1">
        <v>748796.88</v>
      </c>
      <c r="AD300" s="1">
        <v>8930563.7200000007</v>
      </c>
      <c r="AE300" s="1">
        <v>210.04</v>
      </c>
      <c r="AF300" s="1">
        <v>748796.88</v>
      </c>
      <c r="AG300" s="1">
        <v>8930563.7200000007</v>
      </c>
      <c r="AH300" s="1">
        <v>199.4</v>
      </c>
      <c r="AI300" s="1">
        <v>10.64</v>
      </c>
      <c r="AJ300" s="1">
        <v>0.6</v>
      </c>
      <c r="AK300" s="1">
        <v>2.97</v>
      </c>
      <c r="AL300" s="1">
        <v>2.58</v>
      </c>
      <c r="AM300" s="1">
        <v>0</v>
      </c>
      <c r="AN300" s="1">
        <v>0</v>
      </c>
      <c r="AO300" s="1">
        <v>279.95422539999998</v>
      </c>
      <c r="AP300" s="1">
        <v>3.37</v>
      </c>
      <c r="AQ300" s="1">
        <v>0.37</v>
      </c>
      <c r="AR300" s="1">
        <v>0.08</v>
      </c>
      <c r="AS300" s="1">
        <v>0.05</v>
      </c>
      <c r="AT300" s="1">
        <v>14.98</v>
      </c>
      <c r="AU300" s="1">
        <v>4.91</v>
      </c>
      <c r="AV300" s="1">
        <v>0.18</v>
      </c>
      <c r="AW300" s="1">
        <v>2.0099999999999998</v>
      </c>
      <c r="AX300" s="1">
        <v>9.09</v>
      </c>
      <c r="AY300" s="1">
        <v>0</v>
      </c>
      <c r="AZ300" s="1">
        <v>103.958</v>
      </c>
      <c r="BA300" s="1">
        <v>0</v>
      </c>
      <c r="BB300" s="1">
        <v>0</v>
      </c>
      <c r="BC300" s="1">
        <v>0</v>
      </c>
      <c r="BD300" s="1">
        <v>0</v>
      </c>
    </row>
    <row r="301" spans="1:56">
      <c r="A301" s="18">
        <v>46192</v>
      </c>
      <c r="B301" s="1">
        <v>300</v>
      </c>
      <c r="C301" s="1" t="s">
        <v>89</v>
      </c>
      <c r="D301" s="1" t="s">
        <v>90</v>
      </c>
      <c r="E301" s="1">
        <v>2</v>
      </c>
      <c r="F301" s="1">
        <v>200</v>
      </c>
      <c r="G301" s="1">
        <v>1</v>
      </c>
      <c r="H301" s="1" t="s">
        <v>91</v>
      </c>
      <c r="I301" s="1" t="s">
        <v>79</v>
      </c>
      <c r="J301" s="1" t="s">
        <v>84</v>
      </c>
      <c r="K301" s="1" t="s">
        <v>74</v>
      </c>
      <c r="L301" s="1" t="s">
        <v>72</v>
      </c>
      <c r="M301" s="1" t="s">
        <v>75</v>
      </c>
      <c r="N301" s="1" t="s">
        <v>76</v>
      </c>
      <c r="O301" s="1" t="s">
        <v>77</v>
      </c>
      <c r="P301" s="1" t="s">
        <v>27</v>
      </c>
      <c r="Q301" s="1" t="s">
        <v>86</v>
      </c>
      <c r="R301" s="1" t="s">
        <v>94</v>
      </c>
      <c r="S301" s="1" t="s">
        <v>87</v>
      </c>
      <c r="T301" s="1" t="s">
        <v>88</v>
      </c>
      <c r="X301" s="1" t="s">
        <v>73</v>
      </c>
      <c r="Z301" s="1" t="s">
        <v>70</v>
      </c>
      <c r="AA301" s="1" t="s">
        <v>95</v>
      </c>
      <c r="AB301" s="1">
        <v>5</v>
      </c>
      <c r="AC301" s="1">
        <v>748794.63</v>
      </c>
      <c r="AD301" s="1">
        <v>8930565.6500000004</v>
      </c>
      <c r="AE301" s="1">
        <v>210.19</v>
      </c>
      <c r="AF301" s="1">
        <v>748794.63</v>
      </c>
      <c r="AG301" s="1">
        <v>8930565.6500000004</v>
      </c>
      <c r="AH301" s="1">
        <v>199.4</v>
      </c>
      <c r="AI301" s="1">
        <v>10.79</v>
      </c>
      <c r="AJ301" s="1">
        <v>0.6</v>
      </c>
      <c r="AK301" s="1">
        <v>2.97</v>
      </c>
      <c r="AL301" s="1">
        <v>2.58</v>
      </c>
      <c r="AM301" s="1">
        <v>0</v>
      </c>
      <c r="AN301" s="1">
        <v>0</v>
      </c>
      <c r="AO301" s="1">
        <v>279.95422539999998</v>
      </c>
      <c r="AP301" s="1">
        <v>3.37</v>
      </c>
      <c r="AQ301" s="1">
        <v>0.37</v>
      </c>
      <c r="AR301" s="1">
        <v>0.08</v>
      </c>
      <c r="AS301" s="1">
        <v>0.05</v>
      </c>
      <c r="AT301" s="1">
        <v>14.97</v>
      </c>
      <c r="AU301" s="1">
        <v>4.9000000000000004</v>
      </c>
      <c r="AV301" s="1">
        <v>0.18</v>
      </c>
      <c r="AW301" s="1">
        <v>2.0099999999999998</v>
      </c>
      <c r="AX301" s="1">
        <v>9.1</v>
      </c>
      <c r="AY301" s="1">
        <v>0</v>
      </c>
      <c r="AZ301" s="1">
        <v>106.142</v>
      </c>
      <c r="BA301" s="1">
        <v>0</v>
      </c>
      <c r="BB301" s="1">
        <v>0</v>
      </c>
      <c r="BC301" s="1">
        <v>0</v>
      </c>
      <c r="BD301" s="1">
        <v>0</v>
      </c>
    </row>
    <row r="302" spans="1:56">
      <c r="A302" s="18">
        <v>46192</v>
      </c>
      <c r="B302" s="1">
        <v>301</v>
      </c>
      <c r="C302" s="1" t="s">
        <v>89</v>
      </c>
      <c r="D302" s="1" t="s">
        <v>90</v>
      </c>
      <c r="E302" s="1">
        <v>2</v>
      </c>
      <c r="F302" s="1">
        <v>200</v>
      </c>
      <c r="G302" s="1">
        <v>1</v>
      </c>
      <c r="H302" s="1" t="s">
        <v>91</v>
      </c>
      <c r="I302" s="1" t="s">
        <v>79</v>
      </c>
      <c r="J302" s="1" t="s">
        <v>84</v>
      </c>
      <c r="K302" s="1" t="s">
        <v>74</v>
      </c>
      <c r="L302" s="1" t="s">
        <v>72</v>
      </c>
      <c r="M302" s="1" t="s">
        <v>75</v>
      </c>
      <c r="N302" s="1" t="s">
        <v>76</v>
      </c>
      <c r="O302" s="1" t="s">
        <v>77</v>
      </c>
      <c r="P302" s="1" t="s">
        <v>27</v>
      </c>
      <c r="Q302" s="1" t="s">
        <v>86</v>
      </c>
      <c r="R302" s="1" t="s">
        <v>94</v>
      </c>
      <c r="S302" s="1" t="s">
        <v>87</v>
      </c>
      <c r="T302" s="1" t="s">
        <v>88</v>
      </c>
      <c r="X302" s="1" t="s">
        <v>73</v>
      </c>
      <c r="Z302" s="1" t="s">
        <v>70</v>
      </c>
      <c r="AA302" s="1" t="s">
        <v>95</v>
      </c>
      <c r="AB302" s="1">
        <v>5</v>
      </c>
      <c r="AC302" s="1">
        <v>748792.38</v>
      </c>
      <c r="AD302" s="1">
        <v>8930567.5899999999</v>
      </c>
      <c r="AE302" s="1">
        <v>210.24</v>
      </c>
      <c r="AF302" s="1">
        <v>748792.38</v>
      </c>
      <c r="AG302" s="1">
        <v>8930567.5899999999</v>
      </c>
      <c r="AH302" s="1">
        <v>199.4</v>
      </c>
      <c r="AI302" s="1">
        <v>10.84</v>
      </c>
      <c r="AJ302" s="1">
        <v>0.6</v>
      </c>
      <c r="AK302" s="1">
        <v>2.97</v>
      </c>
      <c r="AL302" s="1">
        <v>2.58</v>
      </c>
      <c r="AM302" s="1">
        <v>0</v>
      </c>
      <c r="AN302" s="1">
        <v>0</v>
      </c>
      <c r="AO302" s="1">
        <v>279.95422539999998</v>
      </c>
      <c r="AP302" s="1">
        <v>3.37</v>
      </c>
      <c r="AQ302" s="1">
        <v>0.37</v>
      </c>
      <c r="AR302" s="1">
        <v>0.08</v>
      </c>
      <c r="AS302" s="1">
        <v>0.05</v>
      </c>
      <c r="AT302" s="1">
        <v>14.96</v>
      </c>
      <c r="AU302" s="1">
        <v>4.9000000000000004</v>
      </c>
      <c r="AV302" s="1">
        <v>0.18</v>
      </c>
      <c r="AW302" s="1">
        <v>2.0099999999999998</v>
      </c>
      <c r="AX302" s="1">
        <v>9.1</v>
      </c>
      <c r="AY302" s="1">
        <v>0</v>
      </c>
      <c r="AZ302" s="1">
        <v>106.87</v>
      </c>
      <c r="BA302" s="1">
        <v>0</v>
      </c>
      <c r="BB302" s="1">
        <v>0</v>
      </c>
      <c r="BC302" s="1">
        <v>0</v>
      </c>
      <c r="BD302" s="1">
        <v>0</v>
      </c>
    </row>
    <row r="303" spans="1:56">
      <c r="A303" s="18">
        <v>46192</v>
      </c>
      <c r="B303" s="1">
        <v>302</v>
      </c>
      <c r="C303" s="1" t="s">
        <v>89</v>
      </c>
      <c r="D303" s="1" t="s">
        <v>90</v>
      </c>
      <c r="E303" s="1">
        <v>2</v>
      </c>
      <c r="F303" s="1">
        <v>200</v>
      </c>
      <c r="G303" s="1">
        <v>1</v>
      </c>
      <c r="H303" s="1" t="s">
        <v>91</v>
      </c>
      <c r="I303" s="1" t="s">
        <v>79</v>
      </c>
      <c r="J303" s="1" t="s">
        <v>80</v>
      </c>
      <c r="K303" s="1" t="s">
        <v>74</v>
      </c>
      <c r="L303" s="1" t="s">
        <v>72</v>
      </c>
      <c r="M303" s="1" t="s">
        <v>75</v>
      </c>
      <c r="N303" s="1" t="s">
        <v>76</v>
      </c>
      <c r="O303" s="1" t="s">
        <v>77</v>
      </c>
      <c r="P303" s="1" t="s">
        <v>27</v>
      </c>
      <c r="Q303" s="1" t="s">
        <v>86</v>
      </c>
      <c r="R303" s="1" t="s">
        <v>94</v>
      </c>
      <c r="S303" s="1" t="s">
        <v>87</v>
      </c>
      <c r="T303" s="1" t="s">
        <v>88</v>
      </c>
      <c r="X303" s="1" t="s">
        <v>73</v>
      </c>
      <c r="Z303" s="1" t="s">
        <v>70</v>
      </c>
      <c r="AA303" s="1" t="s">
        <v>95</v>
      </c>
      <c r="AB303" s="1">
        <v>5</v>
      </c>
      <c r="AC303" s="1">
        <v>748790.13</v>
      </c>
      <c r="AD303" s="1">
        <v>8930569.5299999993</v>
      </c>
      <c r="AE303" s="1">
        <v>210.4</v>
      </c>
      <c r="AF303" s="1">
        <v>748790.13</v>
      </c>
      <c r="AG303" s="1">
        <v>8930569.5299999993</v>
      </c>
      <c r="AH303" s="1">
        <v>199.4</v>
      </c>
      <c r="AI303" s="1">
        <v>11</v>
      </c>
      <c r="AJ303" s="1">
        <v>0.6</v>
      </c>
      <c r="AK303" s="1">
        <v>2.97</v>
      </c>
      <c r="AL303" s="1">
        <v>2.58</v>
      </c>
      <c r="AM303" s="1">
        <v>0</v>
      </c>
      <c r="AN303" s="1">
        <v>0</v>
      </c>
      <c r="AO303" s="1">
        <v>279.95422539999998</v>
      </c>
      <c r="AP303" s="1">
        <v>3.4</v>
      </c>
      <c r="AQ303" s="1">
        <v>0.51</v>
      </c>
      <c r="AR303" s="1">
        <v>0.1</v>
      </c>
      <c r="AS303" s="1">
        <v>7.0000000000000007E-2</v>
      </c>
      <c r="AT303" s="1">
        <v>17.989999999999998</v>
      </c>
      <c r="AU303" s="1">
        <v>5.38</v>
      </c>
      <c r="AV303" s="1">
        <v>0.24</v>
      </c>
      <c r="AW303" s="1">
        <v>2.19</v>
      </c>
      <c r="AX303" s="1">
        <v>7.79</v>
      </c>
      <c r="AY303" s="1">
        <v>0</v>
      </c>
      <c r="AZ303" s="1">
        <v>109.2</v>
      </c>
      <c r="BA303" s="1">
        <v>0</v>
      </c>
      <c r="BB303" s="1">
        <v>0</v>
      </c>
      <c r="BC303" s="1">
        <v>0</v>
      </c>
      <c r="BD303" s="1">
        <v>0</v>
      </c>
    </row>
    <row r="304" spans="1:56">
      <c r="A304" s="18">
        <v>46192</v>
      </c>
      <c r="B304" s="1">
        <v>303</v>
      </c>
      <c r="C304" s="1" t="s">
        <v>89</v>
      </c>
      <c r="D304" s="1" t="s">
        <v>90</v>
      </c>
      <c r="E304" s="1">
        <v>2</v>
      </c>
      <c r="F304" s="1">
        <v>200</v>
      </c>
      <c r="G304" s="1">
        <v>1</v>
      </c>
      <c r="H304" s="1" t="s">
        <v>91</v>
      </c>
      <c r="I304" s="1" t="s">
        <v>79</v>
      </c>
      <c r="J304" s="1" t="s">
        <v>80</v>
      </c>
      <c r="K304" s="1" t="s">
        <v>74</v>
      </c>
      <c r="L304" s="1" t="s">
        <v>72</v>
      </c>
      <c r="M304" s="1" t="s">
        <v>75</v>
      </c>
      <c r="N304" s="1" t="s">
        <v>76</v>
      </c>
      <c r="O304" s="1" t="s">
        <v>77</v>
      </c>
      <c r="P304" s="1" t="s">
        <v>27</v>
      </c>
      <c r="Q304" s="1" t="s">
        <v>86</v>
      </c>
      <c r="R304" s="1" t="s">
        <v>94</v>
      </c>
      <c r="S304" s="1" t="s">
        <v>87</v>
      </c>
      <c r="T304" s="1" t="s">
        <v>88</v>
      </c>
      <c r="X304" s="1" t="s">
        <v>73</v>
      </c>
      <c r="Z304" s="1" t="s">
        <v>70</v>
      </c>
      <c r="AA304" s="1" t="s">
        <v>95</v>
      </c>
      <c r="AB304" s="1">
        <v>5</v>
      </c>
      <c r="AC304" s="1">
        <v>748787.88</v>
      </c>
      <c r="AD304" s="1">
        <v>8930571.4700000007</v>
      </c>
      <c r="AE304" s="1">
        <v>210.39</v>
      </c>
      <c r="AF304" s="1">
        <v>748787.88</v>
      </c>
      <c r="AG304" s="1">
        <v>8930571.4700000007</v>
      </c>
      <c r="AH304" s="1">
        <v>199.4</v>
      </c>
      <c r="AI304" s="1">
        <v>10.99</v>
      </c>
      <c r="AJ304" s="1">
        <v>0.6</v>
      </c>
      <c r="AK304" s="1">
        <v>2.97</v>
      </c>
      <c r="AL304" s="1">
        <v>2.58</v>
      </c>
      <c r="AM304" s="1">
        <v>0</v>
      </c>
      <c r="AN304" s="1">
        <v>0</v>
      </c>
      <c r="AO304" s="1">
        <v>279.95422539999998</v>
      </c>
      <c r="AP304" s="1">
        <v>3.46</v>
      </c>
      <c r="AQ304" s="1">
        <v>0.57999999999999996</v>
      </c>
      <c r="AR304" s="1">
        <v>0.12</v>
      </c>
      <c r="AS304" s="1">
        <v>0.09</v>
      </c>
      <c r="AT304" s="1">
        <v>19.91</v>
      </c>
      <c r="AU304" s="1">
        <v>5.79</v>
      </c>
      <c r="AV304" s="1">
        <v>0.3</v>
      </c>
      <c r="AW304" s="1">
        <v>1.92</v>
      </c>
      <c r="AX304" s="1">
        <v>7.7</v>
      </c>
      <c r="AY304" s="1">
        <v>0</v>
      </c>
      <c r="AZ304" s="1">
        <v>109.054</v>
      </c>
      <c r="BA304" s="1">
        <v>0</v>
      </c>
      <c r="BB304" s="1">
        <v>0</v>
      </c>
      <c r="BC304" s="1">
        <v>0</v>
      </c>
      <c r="BD304" s="1">
        <v>0</v>
      </c>
    </row>
    <row r="305" spans="1:56">
      <c r="A305" s="18">
        <v>46192</v>
      </c>
      <c r="B305" s="1">
        <v>304</v>
      </c>
      <c r="C305" s="1" t="s">
        <v>89</v>
      </c>
      <c r="D305" s="1" t="s">
        <v>90</v>
      </c>
      <c r="E305" s="1">
        <v>2</v>
      </c>
      <c r="F305" s="1">
        <v>200</v>
      </c>
      <c r="G305" s="1">
        <v>1</v>
      </c>
      <c r="H305" s="1" t="s">
        <v>91</v>
      </c>
      <c r="I305" s="1" t="s">
        <v>79</v>
      </c>
      <c r="J305" s="1" t="s">
        <v>80</v>
      </c>
      <c r="K305" s="1" t="s">
        <v>74</v>
      </c>
      <c r="L305" s="1" t="s">
        <v>72</v>
      </c>
      <c r="M305" s="1" t="s">
        <v>75</v>
      </c>
      <c r="N305" s="1" t="s">
        <v>76</v>
      </c>
      <c r="O305" s="1" t="s">
        <v>77</v>
      </c>
      <c r="P305" s="1" t="s">
        <v>27</v>
      </c>
      <c r="Q305" s="1" t="s">
        <v>86</v>
      </c>
      <c r="R305" s="1" t="s">
        <v>94</v>
      </c>
      <c r="S305" s="1" t="s">
        <v>87</v>
      </c>
      <c r="T305" s="1" t="s">
        <v>88</v>
      </c>
      <c r="X305" s="1" t="s">
        <v>73</v>
      </c>
      <c r="Z305" s="1" t="s">
        <v>70</v>
      </c>
      <c r="AA305" s="1" t="s">
        <v>95</v>
      </c>
      <c r="AB305" s="1">
        <v>5</v>
      </c>
      <c r="AC305" s="1">
        <v>748785.63</v>
      </c>
      <c r="AD305" s="1">
        <v>8930573.4100000001</v>
      </c>
      <c r="AE305" s="1">
        <v>210.12</v>
      </c>
      <c r="AF305" s="1">
        <v>748785.63</v>
      </c>
      <c r="AG305" s="1">
        <v>8930573.4100000001</v>
      </c>
      <c r="AH305" s="1">
        <v>199.4</v>
      </c>
      <c r="AI305" s="1">
        <v>10.72</v>
      </c>
      <c r="AJ305" s="1">
        <v>0.6</v>
      </c>
      <c r="AK305" s="1">
        <v>2.97</v>
      </c>
      <c r="AL305" s="1">
        <v>2.58</v>
      </c>
      <c r="AM305" s="1">
        <v>0</v>
      </c>
      <c r="AN305" s="1">
        <v>0</v>
      </c>
      <c r="AO305" s="1">
        <v>279.95422539999998</v>
      </c>
      <c r="AP305" s="1">
        <v>3.48</v>
      </c>
      <c r="AQ305" s="1">
        <v>0.56000000000000005</v>
      </c>
      <c r="AR305" s="1">
        <v>0.12</v>
      </c>
      <c r="AS305" s="1">
        <v>0.09</v>
      </c>
      <c r="AT305" s="1">
        <v>19.78</v>
      </c>
      <c r="AU305" s="1">
        <v>5.8</v>
      </c>
      <c r="AV305" s="1">
        <v>0.31</v>
      </c>
      <c r="AW305" s="1">
        <v>1.81</v>
      </c>
      <c r="AX305" s="1">
        <v>7.85</v>
      </c>
      <c r="AY305" s="1">
        <v>0</v>
      </c>
      <c r="AZ305" s="1">
        <v>105.123</v>
      </c>
      <c r="BA305" s="1">
        <v>0</v>
      </c>
      <c r="BB305" s="1">
        <v>0</v>
      </c>
      <c r="BC305" s="1">
        <v>0</v>
      </c>
      <c r="BD305" s="1">
        <v>0</v>
      </c>
    </row>
    <row r="306" spans="1:56">
      <c r="A306" s="18">
        <v>46192</v>
      </c>
      <c r="B306" s="1">
        <v>305</v>
      </c>
      <c r="C306" s="1" t="s">
        <v>89</v>
      </c>
      <c r="D306" s="1" t="s">
        <v>90</v>
      </c>
      <c r="E306" s="1">
        <v>2</v>
      </c>
      <c r="F306" s="1">
        <v>200</v>
      </c>
      <c r="G306" s="1">
        <v>1</v>
      </c>
      <c r="H306" s="1" t="s">
        <v>91</v>
      </c>
      <c r="I306" s="1" t="s">
        <v>79</v>
      </c>
      <c r="J306" s="1" t="s">
        <v>80</v>
      </c>
      <c r="K306" s="1" t="s">
        <v>74</v>
      </c>
      <c r="L306" s="1" t="s">
        <v>72</v>
      </c>
      <c r="M306" s="1" t="s">
        <v>75</v>
      </c>
      <c r="N306" s="1" t="s">
        <v>76</v>
      </c>
      <c r="O306" s="1" t="s">
        <v>77</v>
      </c>
      <c r="P306" s="1" t="s">
        <v>27</v>
      </c>
      <c r="Q306" s="1" t="s">
        <v>86</v>
      </c>
      <c r="R306" s="1" t="s">
        <v>94</v>
      </c>
      <c r="S306" s="1" t="s">
        <v>87</v>
      </c>
      <c r="T306" s="1" t="s">
        <v>88</v>
      </c>
      <c r="X306" s="1" t="s">
        <v>73</v>
      </c>
      <c r="Z306" s="1" t="s">
        <v>70</v>
      </c>
      <c r="AA306" s="1" t="s">
        <v>95</v>
      </c>
      <c r="AB306" s="1">
        <v>5</v>
      </c>
      <c r="AC306" s="1">
        <v>748783.38</v>
      </c>
      <c r="AD306" s="1">
        <v>8930575.3499999996</v>
      </c>
      <c r="AE306" s="1">
        <v>209.87</v>
      </c>
      <c r="AF306" s="1">
        <v>748783.38</v>
      </c>
      <c r="AG306" s="1">
        <v>8930575.3499999996</v>
      </c>
      <c r="AH306" s="1">
        <v>199.4</v>
      </c>
      <c r="AI306" s="1">
        <v>10.47</v>
      </c>
      <c r="AJ306" s="1">
        <v>0.6</v>
      </c>
      <c r="AK306" s="1">
        <v>2.97</v>
      </c>
      <c r="AL306" s="1">
        <v>2.58</v>
      </c>
      <c r="AM306" s="1">
        <v>0</v>
      </c>
      <c r="AN306" s="1">
        <v>0</v>
      </c>
      <c r="AO306" s="1">
        <v>279.95422539999998</v>
      </c>
      <c r="AP306" s="1">
        <v>3.48</v>
      </c>
      <c r="AQ306" s="1">
        <v>0.56000000000000005</v>
      </c>
      <c r="AR306" s="1">
        <v>0.12</v>
      </c>
      <c r="AS306" s="1">
        <v>0.09</v>
      </c>
      <c r="AT306" s="1">
        <v>19.760000000000002</v>
      </c>
      <c r="AU306" s="1">
        <v>5.79</v>
      </c>
      <c r="AV306" s="1">
        <v>0.31</v>
      </c>
      <c r="AW306" s="1">
        <v>1.81</v>
      </c>
      <c r="AX306" s="1">
        <v>7.83</v>
      </c>
      <c r="AY306" s="1">
        <v>0</v>
      </c>
      <c r="AZ306" s="1">
        <v>101.483</v>
      </c>
      <c r="BA306" s="1">
        <v>0</v>
      </c>
      <c r="BB306" s="1">
        <v>0</v>
      </c>
      <c r="BC306" s="1">
        <v>0</v>
      </c>
      <c r="BD306" s="1">
        <v>0</v>
      </c>
    </row>
    <row r="307" spans="1:56">
      <c r="A307" s="18">
        <v>46192</v>
      </c>
      <c r="B307" s="1">
        <v>306</v>
      </c>
      <c r="C307" s="1" t="s">
        <v>89</v>
      </c>
      <c r="D307" s="1" t="s">
        <v>90</v>
      </c>
      <c r="E307" s="1">
        <v>2</v>
      </c>
      <c r="F307" s="1">
        <v>200</v>
      </c>
      <c r="G307" s="1">
        <v>1</v>
      </c>
      <c r="H307" s="1" t="s">
        <v>91</v>
      </c>
      <c r="I307" s="1" t="s">
        <v>79</v>
      </c>
      <c r="J307" s="1" t="s">
        <v>80</v>
      </c>
      <c r="K307" s="1" t="s">
        <v>74</v>
      </c>
      <c r="L307" s="1" t="s">
        <v>72</v>
      </c>
      <c r="M307" s="1" t="s">
        <v>75</v>
      </c>
      <c r="N307" s="1" t="s">
        <v>76</v>
      </c>
      <c r="O307" s="1" t="s">
        <v>77</v>
      </c>
      <c r="P307" s="1" t="s">
        <v>27</v>
      </c>
      <c r="Q307" s="1" t="s">
        <v>86</v>
      </c>
      <c r="R307" s="1" t="s">
        <v>94</v>
      </c>
      <c r="S307" s="1" t="s">
        <v>87</v>
      </c>
      <c r="T307" s="1" t="s">
        <v>88</v>
      </c>
      <c r="X307" s="1" t="s">
        <v>73</v>
      </c>
      <c r="Z307" s="1" t="s">
        <v>70</v>
      </c>
      <c r="AA307" s="1" t="s">
        <v>95</v>
      </c>
      <c r="AB307" s="1">
        <v>5</v>
      </c>
      <c r="AC307" s="1">
        <v>748781.13</v>
      </c>
      <c r="AD307" s="1">
        <v>8930577.2799999993</v>
      </c>
      <c r="AE307" s="1">
        <v>209.76</v>
      </c>
      <c r="AF307" s="1">
        <v>748781.13</v>
      </c>
      <c r="AG307" s="1">
        <v>8930577.2799999993</v>
      </c>
      <c r="AH307" s="1">
        <v>199.4</v>
      </c>
      <c r="AI307" s="1">
        <v>10.36</v>
      </c>
      <c r="AJ307" s="1">
        <v>0.6</v>
      </c>
      <c r="AK307" s="1">
        <v>2.97</v>
      </c>
      <c r="AL307" s="1">
        <v>2.58</v>
      </c>
      <c r="AM307" s="1">
        <v>0</v>
      </c>
      <c r="AN307" s="1">
        <v>0</v>
      </c>
      <c r="AO307" s="1">
        <v>279.95422539999998</v>
      </c>
      <c r="AP307" s="1">
        <v>3.47</v>
      </c>
      <c r="AQ307" s="1">
        <v>0.6</v>
      </c>
      <c r="AR307" s="1">
        <v>0.13</v>
      </c>
      <c r="AS307" s="1">
        <v>0.09</v>
      </c>
      <c r="AT307" s="1">
        <v>20.3</v>
      </c>
      <c r="AU307" s="1">
        <v>5.84</v>
      </c>
      <c r="AV307" s="1">
        <v>0.32</v>
      </c>
      <c r="AW307" s="1">
        <v>1.89</v>
      </c>
      <c r="AX307" s="1">
        <v>7.89</v>
      </c>
      <c r="AY307" s="1">
        <v>0</v>
      </c>
      <c r="AZ307" s="1">
        <v>99.882000000000005</v>
      </c>
      <c r="BA307" s="1">
        <v>0</v>
      </c>
      <c r="BB307" s="1">
        <v>0</v>
      </c>
      <c r="BC307" s="1">
        <v>0</v>
      </c>
      <c r="BD307" s="1">
        <v>0</v>
      </c>
    </row>
    <row r="308" spans="1:56">
      <c r="A308" s="18">
        <v>46192</v>
      </c>
      <c r="B308" s="1">
        <v>307</v>
      </c>
      <c r="C308" s="1" t="s">
        <v>89</v>
      </c>
      <c r="D308" s="1" t="s">
        <v>90</v>
      </c>
      <c r="E308" s="1">
        <v>2</v>
      </c>
      <c r="F308" s="1">
        <v>200</v>
      </c>
      <c r="G308" s="1">
        <v>1</v>
      </c>
      <c r="H308" s="1" t="s">
        <v>91</v>
      </c>
      <c r="I308" s="1" t="s">
        <v>79</v>
      </c>
      <c r="J308" s="1" t="s">
        <v>81</v>
      </c>
      <c r="K308" s="1" t="s">
        <v>74</v>
      </c>
      <c r="L308" s="1" t="s">
        <v>72</v>
      </c>
      <c r="M308" s="1" t="s">
        <v>75</v>
      </c>
      <c r="N308" s="1" t="s">
        <v>76</v>
      </c>
      <c r="O308" s="1" t="s">
        <v>77</v>
      </c>
      <c r="P308" s="1" t="s">
        <v>27</v>
      </c>
      <c r="Q308" s="1" t="s">
        <v>86</v>
      </c>
      <c r="R308" s="1" t="s">
        <v>94</v>
      </c>
      <c r="S308" s="1" t="s">
        <v>87</v>
      </c>
      <c r="T308" s="1" t="s">
        <v>88</v>
      </c>
      <c r="X308" s="1" t="s">
        <v>73</v>
      </c>
      <c r="Z308" s="1" t="s">
        <v>70</v>
      </c>
      <c r="AA308" s="1" t="s">
        <v>95</v>
      </c>
      <c r="AB308" s="1">
        <v>5</v>
      </c>
      <c r="AC308" s="1">
        <v>748778.84</v>
      </c>
      <c r="AD308" s="1">
        <v>8930579.1699999999</v>
      </c>
      <c r="AE308" s="1">
        <v>209.72</v>
      </c>
      <c r="AF308" s="1">
        <v>748778.84</v>
      </c>
      <c r="AG308" s="1">
        <v>8930579.1699999999</v>
      </c>
      <c r="AH308" s="1">
        <v>199.4</v>
      </c>
      <c r="AI308" s="1">
        <v>10.32</v>
      </c>
      <c r="AJ308" s="1">
        <v>0.6</v>
      </c>
      <c r="AK308" s="1">
        <v>2.97</v>
      </c>
      <c r="AL308" s="1">
        <v>2.58</v>
      </c>
      <c r="AM308" s="1">
        <v>0</v>
      </c>
      <c r="AN308" s="1">
        <v>0</v>
      </c>
      <c r="AO308" s="1">
        <v>279.95422539999998</v>
      </c>
      <c r="AP308" s="1">
        <v>3.43</v>
      </c>
      <c r="AQ308" s="1">
        <v>0.76</v>
      </c>
      <c r="AR308" s="1">
        <v>0.17</v>
      </c>
      <c r="AS308" s="1">
        <v>0.11</v>
      </c>
      <c r="AT308" s="1">
        <v>22.64</v>
      </c>
      <c r="AU308" s="1">
        <v>6.22</v>
      </c>
      <c r="AV308" s="1">
        <v>0.35</v>
      </c>
      <c r="AW308" s="1">
        <v>2.1800000000000002</v>
      </c>
      <c r="AX308" s="1">
        <v>8.15</v>
      </c>
      <c r="AY308" s="1">
        <v>0</v>
      </c>
      <c r="AZ308" s="1">
        <v>99.299000000000007</v>
      </c>
      <c r="BA308" s="1">
        <v>0</v>
      </c>
      <c r="BB308" s="1">
        <v>0</v>
      </c>
      <c r="BC308" s="1">
        <v>0</v>
      </c>
      <c r="BD308" s="1">
        <v>0</v>
      </c>
    </row>
    <row r="309" spans="1:56">
      <c r="A309" s="18">
        <v>46192</v>
      </c>
      <c r="B309" s="1">
        <v>308</v>
      </c>
      <c r="C309" s="1" t="s">
        <v>89</v>
      </c>
      <c r="D309" s="1" t="s">
        <v>90</v>
      </c>
      <c r="E309" s="1">
        <v>2</v>
      </c>
      <c r="F309" s="1">
        <v>200</v>
      </c>
      <c r="G309" s="1">
        <v>1</v>
      </c>
      <c r="H309" s="1" t="s">
        <v>91</v>
      </c>
      <c r="I309" s="1" t="s">
        <v>79</v>
      </c>
      <c r="J309" s="1" t="s">
        <v>81</v>
      </c>
      <c r="K309" s="1" t="s">
        <v>74</v>
      </c>
      <c r="L309" s="1" t="s">
        <v>72</v>
      </c>
      <c r="M309" s="1" t="s">
        <v>75</v>
      </c>
      <c r="N309" s="1" t="s">
        <v>76</v>
      </c>
      <c r="O309" s="1" t="s">
        <v>77</v>
      </c>
      <c r="P309" s="1" t="s">
        <v>27</v>
      </c>
      <c r="Q309" s="1" t="s">
        <v>86</v>
      </c>
      <c r="R309" s="1" t="s">
        <v>94</v>
      </c>
      <c r="S309" s="1" t="s">
        <v>87</v>
      </c>
      <c r="T309" s="1" t="s">
        <v>88</v>
      </c>
      <c r="X309" s="1" t="s">
        <v>73</v>
      </c>
      <c r="Z309" s="1" t="s">
        <v>70</v>
      </c>
      <c r="AA309" s="1" t="s">
        <v>95</v>
      </c>
      <c r="AB309" s="1">
        <v>5</v>
      </c>
      <c r="AC309" s="1">
        <v>748776.51</v>
      </c>
      <c r="AD309" s="1">
        <v>8930581.0199999996</v>
      </c>
      <c r="AE309" s="1">
        <v>209.77</v>
      </c>
      <c r="AF309" s="1">
        <v>748776.51</v>
      </c>
      <c r="AG309" s="1">
        <v>8930581.0199999996</v>
      </c>
      <c r="AH309" s="1">
        <v>199.4</v>
      </c>
      <c r="AI309" s="1">
        <v>10.37</v>
      </c>
      <c r="AJ309" s="1">
        <v>0.6</v>
      </c>
      <c r="AK309" s="1">
        <v>2.97</v>
      </c>
      <c r="AL309" s="1">
        <v>2.58</v>
      </c>
      <c r="AM309" s="1">
        <v>0</v>
      </c>
      <c r="AN309" s="1">
        <v>0</v>
      </c>
      <c r="AO309" s="1">
        <v>279.95422539999998</v>
      </c>
      <c r="AP309" s="1">
        <v>3.44</v>
      </c>
      <c r="AQ309" s="1">
        <v>0.78</v>
      </c>
      <c r="AR309" s="1">
        <v>0.18</v>
      </c>
      <c r="AS309" s="1">
        <v>0.12</v>
      </c>
      <c r="AT309" s="1">
        <v>23.51</v>
      </c>
      <c r="AU309" s="1">
        <v>6.6</v>
      </c>
      <c r="AV309" s="1">
        <v>0.36</v>
      </c>
      <c r="AW309" s="1">
        <v>2.21</v>
      </c>
      <c r="AX309" s="1">
        <v>8.43</v>
      </c>
      <c r="AY309" s="1">
        <v>0</v>
      </c>
      <c r="AZ309" s="1">
        <v>100.027</v>
      </c>
      <c r="BA309" s="1">
        <v>0</v>
      </c>
      <c r="BB309" s="1">
        <v>0</v>
      </c>
      <c r="BC309" s="1">
        <v>0</v>
      </c>
      <c r="BD309" s="1">
        <v>0</v>
      </c>
    </row>
    <row r="310" spans="1:56">
      <c r="A310" s="18">
        <v>46192</v>
      </c>
      <c r="B310" s="1">
        <v>309</v>
      </c>
      <c r="C310" s="1" t="s">
        <v>89</v>
      </c>
      <c r="D310" s="1" t="s">
        <v>90</v>
      </c>
      <c r="E310" s="1">
        <v>2</v>
      </c>
      <c r="F310" s="1">
        <v>200</v>
      </c>
      <c r="G310" s="1">
        <v>1</v>
      </c>
      <c r="H310" s="1" t="s">
        <v>91</v>
      </c>
      <c r="I310" s="1" t="s">
        <v>79</v>
      </c>
      <c r="J310" s="1" t="s">
        <v>81</v>
      </c>
      <c r="K310" s="1" t="s">
        <v>74</v>
      </c>
      <c r="L310" s="1" t="s">
        <v>72</v>
      </c>
      <c r="M310" s="1" t="s">
        <v>75</v>
      </c>
      <c r="N310" s="1" t="s">
        <v>76</v>
      </c>
      <c r="O310" s="1" t="s">
        <v>77</v>
      </c>
      <c r="P310" s="1" t="s">
        <v>27</v>
      </c>
      <c r="Q310" s="1" t="s">
        <v>86</v>
      </c>
      <c r="R310" s="1" t="s">
        <v>94</v>
      </c>
      <c r="S310" s="1" t="s">
        <v>87</v>
      </c>
      <c r="T310" s="1" t="s">
        <v>88</v>
      </c>
      <c r="X310" s="1" t="s">
        <v>73</v>
      </c>
      <c r="Z310" s="1" t="s">
        <v>70</v>
      </c>
      <c r="AA310" s="1" t="s">
        <v>95</v>
      </c>
      <c r="AB310" s="1">
        <v>5</v>
      </c>
      <c r="AC310" s="1">
        <v>748774.18</v>
      </c>
      <c r="AD310" s="1">
        <v>8930582.8599999994</v>
      </c>
      <c r="AE310" s="1">
        <v>209.93</v>
      </c>
      <c r="AF310" s="1">
        <v>748774.18</v>
      </c>
      <c r="AG310" s="1">
        <v>8930582.8599999994</v>
      </c>
      <c r="AH310" s="1">
        <v>199.4</v>
      </c>
      <c r="AI310" s="1">
        <v>10.53</v>
      </c>
      <c r="AJ310" s="1">
        <v>0.6</v>
      </c>
      <c r="AK310" s="1">
        <v>2.97</v>
      </c>
      <c r="AL310" s="1">
        <v>2.58</v>
      </c>
      <c r="AM310" s="1">
        <v>0</v>
      </c>
      <c r="AN310" s="1">
        <v>0</v>
      </c>
      <c r="AO310" s="1">
        <v>279.95422539999998</v>
      </c>
      <c r="AP310" s="1">
        <v>3.44</v>
      </c>
      <c r="AQ310" s="1">
        <v>0.78</v>
      </c>
      <c r="AR310" s="1">
        <v>0.18</v>
      </c>
      <c r="AS310" s="1">
        <v>0.12</v>
      </c>
      <c r="AT310" s="1">
        <v>23.67</v>
      </c>
      <c r="AU310" s="1">
        <v>6.73</v>
      </c>
      <c r="AV310" s="1">
        <v>0.36</v>
      </c>
      <c r="AW310" s="1">
        <v>2.19</v>
      </c>
      <c r="AX310" s="1">
        <v>8.5</v>
      </c>
      <c r="AY310" s="1">
        <v>0</v>
      </c>
      <c r="AZ310" s="1">
        <v>102.357</v>
      </c>
      <c r="BA310" s="1">
        <v>0</v>
      </c>
      <c r="BB310" s="1">
        <v>0</v>
      </c>
      <c r="BC310" s="1">
        <v>0</v>
      </c>
      <c r="BD310" s="1">
        <v>0</v>
      </c>
    </row>
    <row r="311" spans="1:56">
      <c r="A311" s="18">
        <v>46192</v>
      </c>
      <c r="B311" s="1">
        <v>310</v>
      </c>
      <c r="C311" s="1" t="s">
        <v>89</v>
      </c>
      <c r="D311" s="1" t="s">
        <v>90</v>
      </c>
      <c r="E311" s="1">
        <v>2</v>
      </c>
      <c r="F311" s="1">
        <v>200</v>
      </c>
      <c r="G311" s="1">
        <v>1</v>
      </c>
      <c r="H311" s="1" t="s">
        <v>91</v>
      </c>
      <c r="I311" s="1" t="s">
        <v>79</v>
      </c>
      <c r="J311" s="1" t="s">
        <v>81</v>
      </c>
      <c r="K311" s="1" t="s">
        <v>74</v>
      </c>
      <c r="L311" s="1" t="s">
        <v>72</v>
      </c>
      <c r="M311" s="1" t="s">
        <v>75</v>
      </c>
      <c r="N311" s="1" t="s">
        <v>76</v>
      </c>
      <c r="O311" s="1" t="s">
        <v>77</v>
      </c>
      <c r="P311" s="1" t="s">
        <v>27</v>
      </c>
      <c r="Q311" s="1" t="s">
        <v>86</v>
      </c>
      <c r="R311" s="1" t="s">
        <v>94</v>
      </c>
      <c r="S311" s="1" t="s">
        <v>87</v>
      </c>
      <c r="T311" s="1" t="s">
        <v>88</v>
      </c>
      <c r="X311" s="1" t="s">
        <v>73</v>
      </c>
      <c r="Z311" s="1" t="s">
        <v>70</v>
      </c>
      <c r="AA311" s="1" t="s">
        <v>95</v>
      </c>
      <c r="AB311" s="1">
        <v>5</v>
      </c>
      <c r="AC311" s="1">
        <v>748771.86</v>
      </c>
      <c r="AD311" s="1">
        <v>8930584.7100000009</v>
      </c>
      <c r="AE311" s="1">
        <v>210.05</v>
      </c>
      <c r="AF311" s="1">
        <v>748771.86</v>
      </c>
      <c r="AG311" s="1">
        <v>8930584.7100000009</v>
      </c>
      <c r="AH311" s="1">
        <v>199.4</v>
      </c>
      <c r="AI311" s="1">
        <v>10.65</v>
      </c>
      <c r="AJ311" s="1">
        <v>0.6</v>
      </c>
      <c r="AK311" s="1">
        <v>2.97</v>
      </c>
      <c r="AL311" s="1">
        <v>2.58</v>
      </c>
      <c r="AM311" s="1">
        <v>0</v>
      </c>
      <c r="AN311" s="1">
        <v>0</v>
      </c>
      <c r="AO311" s="1">
        <v>279.95422539999998</v>
      </c>
      <c r="AP311" s="1">
        <v>3.44</v>
      </c>
      <c r="AQ311" s="1">
        <v>0.78</v>
      </c>
      <c r="AR311" s="1">
        <v>0.18</v>
      </c>
      <c r="AS311" s="1">
        <v>0.12</v>
      </c>
      <c r="AT311" s="1">
        <v>23.7</v>
      </c>
      <c r="AU311" s="1">
        <v>6.71</v>
      </c>
      <c r="AV311" s="1">
        <v>0.36</v>
      </c>
      <c r="AW311" s="1">
        <v>2.2000000000000002</v>
      </c>
      <c r="AX311" s="1">
        <v>8.48</v>
      </c>
      <c r="AY311" s="1">
        <v>0</v>
      </c>
      <c r="AZ311" s="1">
        <v>104.104</v>
      </c>
      <c r="BA311" s="1">
        <v>0</v>
      </c>
      <c r="BB311" s="1">
        <v>0</v>
      </c>
      <c r="BC311" s="1">
        <v>0</v>
      </c>
      <c r="BD311" s="1">
        <v>0</v>
      </c>
    </row>
    <row r="312" spans="1:56">
      <c r="A312" s="18">
        <v>46192</v>
      </c>
      <c r="B312" s="1">
        <v>311</v>
      </c>
      <c r="C312" s="1" t="s">
        <v>89</v>
      </c>
      <c r="D312" s="1" t="s">
        <v>90</v>
      </c>
      <c r="E312" s="1">
        <v>2</v>
      </c>
      <c r="F312" s="1">
        <v>200</v>
      </c>
      <c r="G312" s="1">
        <v>1</v>
      </c>
      <c r="H312" s="1" t="s">
        <v>91</v>
      </c>
      <c r="I312" s="1" t="s">
        <v>79</v>
      </c>
      <c r="J312" s="1" t="s">
        <v>81</v>
      </c>
      <c r="K312" s="1" t="s">
        <v>74</v>
      </c>
      <c r="L312" s="1" t="s">
        <v>72</v>
      </c>
      <c r="M312" s="1" t="s">
        <v>75</v>
      </c>
      <c r="N312" s="1" t="s">
        <v>76</v>
      </c>
      <c r="O312" s="1" t="s">
        <v>77</v>
      </c>
      <c r="P312" s="1" t="s">
        <v>27</v>
      </c>
      <c r="Q312" s="1" t="s">
        <v>86</v>
      </c>
      <c r="R312" s="1" t="s">
        <v>94</v>
      </c>
      <c r="S312" s="1" t="s">
        <v>87</v>
      </c>
      <c r="T312" s="1" t="s">
        <v>88</v>
      </c>
      <c r="X312" s="1" t="s">
        <v>73</v>
      </c>
      <c r="Z312" s="1" t="s">
        <v>70</v>
      </c>
      <c r="AA312" s="1" t="s">
        <v>95</v>
      </c>
      <c r="AB312" s="1">
        <v>5</v>
      </c>
      <c r="AC312" s="1">
        <v>748769.53</v>
      </c>
      <c r="AD312" s="1">
        <v>8930586.5600000005</v>
      </c>
      <c r="AE312" s="1">
        <v>210.18</v>
      </c>
      <c r="AF312" s="1">
        <v>748769.53</v>
      </c>
      <c r="AG312" s="1">
        <v>8930586.5600000005</v>
      </c>
      <c r="AH312" s="1">
        <v>199.4</v>
      </c>
      <c r="AI312" s="1">
        <v>10.78</v>
      </c>
      <c r="AJ312" s="1">
        <v>0.6</v>
      </c>
      <c r="AK312" s="1">
        <v>2.97</v>
      </c>
      <c r="AL312" s="1">
        <v>2.58</v>
      </c>
      <c r="AM312" s="1">
        <v>0</v>
      </c>
      <c r="AN312" s="1">
        <v>0</v>
      </c>
      <c r="AO312" s="1">
        <v>279.95422539999998</v>
      </c>
      <c r="AP312" s="1">
        <v>3.44</v>
      </c>
      <c r="AQ312" s="1">
        <v>0.82</v>
      </c>
      <c r="AR312" s="1">
        <v>0.17</v>
      </c>
      <c r="AS312" s="1">
        <v>0.12</v>
      </c>
      <c r="AT312" s="1">
        <v>24.45</v>
      </c>
      <c r="AU312" s="1">
        <v>6.21</v>
      </c>
      <c r="AV312" s="1">
        <v>0.35</v>
      </c>
      <c r="AW312" s="1">
        <v>2.4</v>
      </c>
      <c r="AX312" s="1">
        <v>7.63</v>
      </c>
      <c r="AY312" s="1">
        <v>0</v>
      </c>
      <c r="AZ312" s="1">
        <v>105.997</v>
      </c>
      <c r="BA312" s="1">
        <v>0</v>
      </c>
      <c r="BB312" s="1">
        <v>0</v>
      </c>
      <c r="BC312" s="1">
        <v>0</v>
      </c>
      <c r="BD312" s="1">
        <v>0</v>
      </c>
    </row>
    <row r="313" spans="1:56">
      <c r="A313" s="18">
        <v>46192</v>
      </c>
      <c r="B313" s="1">
        <v>312</v>
      </c>
      <c r="C313" s="1" t="s">
        <v>89</v>
      </c>
      <c r="D313" s="1" t="s">
        <v>90</v>
      </c>
      <c r="E313" s="1">
        <v>2</v>
      </c>
      <c r="F313" s="1">
        <v>200</v>
      </c>
      <c r="G313" s="1">
        <v>1</v>
      </c>
      <c r="H313" s="1" t="s">
        <v>91</v>
      </c>
      <c r="I313" s="1" t="s">
        <v>79</v>
      </c>
      <c r="J313" s="1" t="s">
        <v>81</v>
      </c>
      <c r="K313" s="1" t="s">
        <v>74</v>
      </c>
      <c r="L313" s="1" t="s">
        <v>72</v>
      </c>
      <c r="M313" s="1" t="s">
        <v>75</v>
      </c>
      <c r="N313" s="1" t="s">
        <v>76</v>
      </c>
      <c r="O313" s="1" t="s">
        <v>77</v>
      </c>
      <c r="P313" s="1" t="s">
        <v>27</v>
      </c>
      <c r="Q313" s="1" t="s">
        <v>86</v>
      </c>
      <c r="R313" s="1" t="s">
        <v>94</v>
      </c>
      <c r="S313" s="1" t="s">
        <v>87</v>
      </c>
      <c r="T313" s="1" t="s">
        <v>88</v>
      </c>
      <c r="X313" s="1" t="s">
        <v>73</v>
      </c>
      <c r="Z313" s="1" t="s">
        <v>70</v>
      </c>
      <c r="AA313" s="1" t="s">
        <v>95</v>
      </c>
      <c r="AB313" s="1">
        <v>5</v>
      </c>
      <c r="AC313" s="1">
        <v>748767.19</v>
      </c>
      <c r="AD313" s="1">
        <v>8930588.3800000008</v>
      </c>
      <c r="AE313" s="1">
        <v>210.2</v>
      </c>
      <c r="AF313" s="1">
        <v>748767.19</v>
      </c>
      <c r="AG313" s="1">
        <v>8930588.3800000008</v>
      </c>
      <c r="AH313" s="1">
        <v>199.4</v>
      </c>
      <c r="AI313" s="1">
        <v>10.8</v>
      </c>
      <c r="AJ313" s="1">
        <v>0.6</v>
      </c>
      <c r="AK313" s="1">
        <v>2.97</v>
      </c>
      <c r="AL313" s="1">
        <v>2.58</v>
      </c>
      <c r="AM313" s="1">
        <v>0</v>
      </c>
      <c r="AN313" s="1">
        <v>0</v>
      </c>
      <c r="AO313" s="1">
        <v>279.95422539999998</v>
      </c>
      <c r="AP313" s="1">
        <v>3.44</v>
      </c>
      <c r="AQ313" s="1">
        <v>0.85</v>
      </c>
      <c r="AR313" s="1">
        <v>0.17</v>
      </c>
      <c r="AS313" s="1">
        <v>0.12</v>
      </c>
      <c r="AT313" s="1">
        <v>24.92</v>
      </c>
      <c r="AU313" s="1">
        <v>5.91</v>
      </c>
      <c r="AV313" s="1">
        <v>0.34</v>
      </c>
      <c r="AW313" s="1">
        <v>2.4900000000000002</v>
      </c>
      <c r="AX313" s="1">
        <v>7.12</v>
      </c>
      <c r="AY313" s="1">
        <v>0</v>
      </c>
      <c r="AZ313" s="1">
        <v>106.288</v>
      </c>
      <c r="BA313" s="1">
        <v>0</v>
      </c>
      <c r="BB313" s="1">
        <v>0</v>
      </c>
      <c r="BC313" s="1">
        <v>0</v>
      </c>
      <c r="BD313" s="1">
        <v>0</v>
      </c>
    </row>
    <row r="314" spans="1:56">
      <c r="A314" s="18">
        <v>46192</v>
      </c>
      <c r="B314" s="1">
        <v>313</v>
      </c>
      <c r="C314" s="1" t="s">
        <v>89</v>
      </c>
      <c r="D314" s="1" t="s">
        <v>90</v>
      </c>
      <c r="E314" s="1">
        <v>2</v>
      </c>
      <c r="F314" s="1">
        <v>200</v>
      </c>
      <c r="G314" s="1">
        <v>1</v>
      </c>
      <c r="H314" s="1" t="s">
        <v>91</v>
      </c>
      <c r="I314" s="1" t="s">
        <v>79</v>
      </c>
      <c r="J314" s="1" t="s">
        <v>81</v>
      </c>
      <c r="K314" s="1" t="s">
        <v>74</v>
      </c>
      <c r="L314" s="1" t="s">
        <v>72</v>
      </c>
      <c r="M314" s="1" t="s">
        <v>75</v>
      </c>
      <c r="N314" s="1" t="s">
        <v>76</v>
      </c>
      <c r="O314" s="1" t="s">
        <v>77</v>
      </c>
      <c r="P314" s="1" t="s">
        <v>27</v>
      </c>
      <c r="Q314" s="1" t="s">
        <v>86</v>
      </c>
      <c r="R314" s="1" t="s">
        <v>94</v>
      </c>
      <c r="S314" s="1" t="s">
        <v>87</v>
      </c>
      <c r="T314" s="1" t="s">
        <v>88</v>
      </c>
      <c r="X314" s="1" t="s">
        <v>73</v>
      </c>
      <c r="Z314" s="1" t="s">
        <v>70</v>
      </c>
      <c r="AA314" s="1" t="s">
        <v>95</v>
      </c>
      <c r="AB314" s="1">
        <v>5</v>
      </c>
      <c r="AC314" s="1">
        <v>748764.38</v>
      </c>
      <c r="AD314" s="1">
        <v>8930589.3300000001</v>
      </c>
      <c r="AE314" s="1">
        <v>210.17</v>
      </c>
      <c r="AF314" s="1">
        <v>748764.38</v>
      </c>
      <c r="AG314" s="1">
        <v>8930589.3300000001</v>
      </c>
      <c r="AH314" s="1">
        <v>199.4</v>
      </c>
      <c r="AI314" s="1">
        <v>10.77</v>
      </c>
      <c r="AJ314" s="1">
        <v>0.6</v>
      </c>
      <c r="AK314" s="1">
        <v>2.97</v>
      </c>
      <c r="AL314" s="1">
        <v>2.58</v>
      </c>
      <c r="AM314" s="1">
        <v>0</v>
      </c>
      <c r="AN314" s="1">
        <v>0</v>
      </c>
      <c r="AO314" s="1">
        <v>279.95422539999998</v>
      </c>
      <c r="AP314" s="1">
        <v>3.45</v>
      </c>
      <c r="AQ314" s="1">
        <v>0.86</v>
      </c>
      <c r="AR314" s="1">
        <v>0.17</v>
      </c>
      <c r="AS314" s="1">
        <v>0.12</v>
      </c>
      <c r="AT314" s="1">
        <v>25.03</v>
      </c>
      <c r="AU314" s="1">
        <v>5.85</v>
      </c>
      <c r="AV314" s="1">
        <v>0.36</v>
      </c>
      <c r="AW314" s="1">
        <v>2.42</v>
      </c>
      <c r="AX314" s="1">
        <v>7.07</v>
      </c>
      <c r="AY314" s="1">
        <v>0</v>
      </c>
      <c r="AZ314" s="1">
        <v>105.851</v>
      </c>
      <c r="BA314" s="1">
        <v>0</v>
      </c>
      <c r="BB314" s="1">
        <v>0</v>
      </c>
      <c r="BC314" s="1">
        <v>0</v>
      </c>
      <c r="BD314" s="1">
        <v>0</v>
      </c>
    </row>
    <row r="315" spans="1:56">
      <c r="A315" s="18">
        <v>46192</v>
      </c>
      <c r="B315" s="1">
        <v>314</v>
      </c>
      <c r="C315" s="1" t="s">
        <v>89</v>
      </c>
      <c r="D315" s="1" t="s">
        <v>90</v>
      </c>
      <c r="E315" s="1">
        <v>2</v>
      </c>
      <c r="F315" s="1">
        <v>200</v>
      </c>
      <c r="G315" s="1">
        <v>1</v>
      </c>
      <c r="H315" s="1" t="s">
        <v>91</v>
      </c>
      <c r="I315" s="1" t="s">
        <v>79</v>
      </c>
      <c r="J315" s="1" t="s">
        <v>81</v>
      </c>
      <c r="K315" s="1" t="s">
        <v>74</v>
      </c>
      <c r="L315" s="1" t="s">
        <v>72</v>
      </c>
      <c r="M315" s="1" t="s">
        <v>75</v>
      </c>
      <c r="N315" s="1" t="s">
        <v>76</v>
      </c>
      <c r="O315" s="1" t="s">
        <v>77</v>
      </c>
      <c r="P315" s="1" t="s">
        <v>27</v>
      </c>
      <c r="Q315" s="1" t="s">
        <v>86</v>
      </c>
      <c r="R315" s="1" t="s">
        <v>94</v>
      </c>
      <c r="S315" s="1" t="s">
        <v>87</v>
      </c>
      <c r="T315" s="1" t="s">
        <v>88</v>
      </c>
      <c r="X315" s="1" t="s">
        <v>73</v>
      </c>
      <c r="Z315" s="1" t="s">
        <v>70</v>
      </c>
      <c r="AA315" s="1" t="s">
        <v>95</v>
      </c>
      <c r="AB315" s="1">
        <v>5</v>
      </c>
      <c r="AC315" s="1">
        <v>748762.29</v>
      </c>
      <c r="AD315" s="1">
        <v>8930590.1300000008</v>
      </c>
      <c r="AE315" s="1">
        <v>210.05</v>
      </c>
      <c r="AF315" s="1">
        <v>748762.29</v>
      </c>
      <c r="AG315" s="1">
        <v>8930590.1300000008</v>
      </c>
      <c r="AH315" s="1">
        <v>199.4</v>
      </c>
      <c r="AI315" s="1">
        <v>10.65</v>
      </c>
      <c r="AJ315" s="1">
        <v>0.6</v>
      </c>
      <c r="AK315" s="1">
        <v>2.97</v>
      </c>
      <c r="AL315" s="1">
        <v>2.58</v>
      </c>
      <c r="AM315" s="1">
        <v>0</v>
      </c>
      <c r="AN315" s="1">
        <v>0</v>
      </c>
      <c r="AO315" s="1">
        <v>279.95422539999998</v>
      </c>
      <c r="AP315" s="1">
        <v>3.46</v>
      </c>
      <c r="AQ315" s="1">
        <v>0.87</v>
      </c>
      <c r="AR315" s="1">
        <v>0.17</v>
      </c>
      <c r="AS315" s="1">
        <v>0.12</v>
      </c>
      <c r="AT315" s="1">
        <v>25.15</v>
      </c>
      <c r="AU315" s="1">
        <v>5.77</v>
      </c>
      <c r="AV315" s="1">
        <v>0.37</v>
      </c>
      <c r="AW315" s="1">
        <v>2.35</v>
      </c>
      <c r="AX315" s="1">
        <v>7.01</v>
      </c>
      <c r="AY315" s="1">
        <v>0</v>
      </c>
      <c r="AZ315" s="1">
        <v>104.104</v>
      </c>
      <c r="BA315" s="1">
        <v>0</v>
      </c>
      <c r="BB315" s="1">
        <v>0</v>
      </c>
      <c r="BC315" s="1">
        <v>0</v>
      </c>
      <c r="BD315" s="1">
        <v>0</v>
      </c>
    </row>
    <row r="316" spans="1:56">
      <c r="A316" s="18">
        <v>46192</v>
      </c>
      <c r="B316" s="1">
        <v>315</v>
      </c>
      <c r="C316" s="1" t="s">
        <v>89</v>
      </c>
      <c r="D316" s="1" t="s">
        <v>90</v>
      </c>
      <c r="E316" s="1">
        <v>2</v>
      </c>
      <c r="F316" s="1">
        <v>200</v>
      </c>
      <c r="G316" s="1">
        <v>1</v>
      </c>
      <c r="H316" s="1" t="s">
        <v>91</v>
      </c>
      <c r="I316" s="1" t="s">
        <v>79</v>
      </c>
      <c r="J316" s="1" t="s">
        <v>81</v>
      </c>
      <c r="K316" s="1" t="s">
        <v>74</v>
      </c>
      <c r="L316" s="1" t="s">
        <v>72</v>
      </c>
      <c r="M316" s="1" t="s">
        <v>75</v>
      </c>
      <c r="N316" s="1" t="s">
        <v>76</v>
      </c>
      <c r="O316" s="1" t="s">
        <v>77</v>
      </c>
      <c r="P316" s="1" t="s">
        <v>27</v>
      </c>
      <c r="Q316" s="1" t="s">
        <v>86</v>
      </c>
      <c r="R316" s="1" t="s">
        <v>94</v>
      </c>
      <c r="S316" s="1" t="s">
        <v>87</v>
      </c>
      <c r="T316" s="1" t="s">
        <v>88</v>
      </c>
      <c r="X316" s="1" t="s">
        <v>73</v>
      </c>
      <c r="Z316" s="1" t="s">
        <v>70</v>
      </c>
      <c r="AA316" s="1" t="s">
        <v>95</v>
      </c>
      <c r="AB316" s="1">
        <v>5</v>
      </c>
      <c r="AC316" s="1">
        <v>748760.74</v>
      </c>
      <c r="AD316" s="1">
        <v>8930587.8399999999</v>
      </c>
      <c r="AE316" s="1">
        <v>209.93</v>
      </c>
      <c r="AF316" s="1">
        <v>748760.74</v>
      </c>
      <c r="AG316" s="1">
        <v>8930587.8399999999</v>
      </c>
      <c r="AH316" s="1">
        <v>199.4</v>
      </c>
      <c r="AI316" s="1">
        <v>10.53</v>
      </c>
      <c r="AJ316" s="1">
        <v>0.6</v>
      </c>
      <c r="AK316" s="1">
        <v>2.97</v>
      </c>
      <c r="AL316" s="1">
        <v>2.58</v>
      </c>
      <c r="AM316" s="1">
        <v>0</v>
      </c>
      <c r="AN316" s="1">
        <v>0</v>
      </c>
      <c r="AO316" s="1">
        <v>279.95422539999998</v>
      </c>
      <c r="AP316" s="1">
        <v>3.46</v>
      </c>
      <c r="AQ316" s="1">
        <v>0.84</v>
      </c>
      <c r="AR316" s="1">
        <v>0.16</v>
      </c>
      <c r="AS316" s="1">
        <v>0.12</v>
      </c>
      <c r="AT316" s="1">
        <v>24.69</v>
      </c>
      <c r="AU316" s="1">
        <v>5.89</v>
      </c>
      <c r="AV316" s="1">
        <v>0.33</v>
      </c>
      <c r="AW316" s="1">
        <v>2.54</v>
      </c>
      <c r="AX316" s="1">
        <v>7.19</v>
      </c>
      <c r="AY316" s="1">
        <v>0</v>
      </c>
      <c r="AZ316" s="1">
        <v>102.357</v>
      </c>
      <c r="BA316" s="1">
        <v>0</v>
      </c>
      <c r="BB316" s="1">
        <v>0</v>
      </c>
      <c r="BC316" s="1">
        <v>0</v>
      </c>
      <c r="BD316" s="1">
        <v>0</v>
      </c>
    </row>
    <row r="317" spans="1:56">
      <c r="A317" s="18">
        <v>46192</v>
      </c>
      <c r="B317" s="1">
        <v>316</v>
      </c>
      <c r="C317" s="1" t="s">
        <v>89</v>
      </c>
      <c r="D317" s="1" t="s">
        <v>90</v>
      </c>
      <c r="E317" s="1">
        <v>2</v>
      </c>
      <c r="F317" s="1">
        <v>200</v>
      </c>
      <c r="G317" s="1">
        <v>1</v>
      </c>
      <c r="H317" s="1" t="s">
        <v>91</v>
      </c>
      <c r="I317" s="1" t="s">
        <v>79</v>
      </c>
      <c r="J317" s="1" t="s">
        <v>81</v>
      </c>
      <c r="K317" s="1" t="s">
        <v>74</v>
      </c>
      <c r="L317" s="1" t="s">
        <v>72</v>
      </c>
      <c r="M317" s="1" t="s">
        <v>75</v>
      </c>
      <c r="N317" s="1" t="s">
        <v>76</v>
      </c>
      <c r="O317" s="1" t="s">
        <v>77</v>
      </c>
      <c r="P317" s="1" t="s">
        <v>27</v>
      </c>
      <c r="Q317" s="1" t="s">
        <v>86</v>
      </c>
      <c r="R317" s="1" t="s">
        <v>94</v>
      </c>
      <c r="S317" s="1" t="s">
        <v>87</v>
      </c>
      <c r="T317" s="1" t="s">
        <v>88</v>
      </c>
      <c r="X317" s="1" t="s">
        <v>73</v>
      </c>
      <c r="Z317" s="1" t="s">
        <v>70</v>
      </c>
      <c r="AA317" s="1" t="s">
        <v>95</v>
      </c>
      <c r="AB317" s="1">
        <v>5</v>
      </c>
      <c r="AC317" s="1">
        <v>748763.56</v>
      </c>
      <c r="AD317" s="1">
        <v>8930586.8900000006</v>
      </c>
      <c r="AE317" s="1">
        <v>210.07</v>
      </c>
      <c r="AF317" s="1">
        <v>748763.56</v>
      </c>
      <c r="AG317" s="1">
        <v>8930586.8900000006</v>
      </c>
      <c r="AH317" s="1">
        <v>199.4</v>
      </c>
      <c r="AI317" s="1">
        <v>10.67</v>
      </c>
      <c r="AJ317" s="1">
        <v>0.6</v>
      </c>
      <c r="AK317" s="1">
        <v>2.97</v>
      </c>
      <c r="AL317" s="1">
        <v>2.58</v>
      </c>
      <c r="AM317" s="1">
        <v>0</v>
      </c>
      <c r="AN317" s="1">
        <v>0</v>
      </c>
      <c r="AO317" s="1">
        <v>279.95422539999998</v>
      </c>
      <c r="AP317" s="1">
        <v>3.44</v>
      </c>
      <c r="AQ317" s="1">
        <v>0.85</v>
      </c>
      <c r="AR317" s="1">
        <v>0.17</v>
      </c>
      <c r="AS317" s="1">
        <v>0.12</v>
      </c>
      <c r="AT317" s="1">
        <v>24.88</v>
      </c>
      <c r="AU317" s="1">
        <v>5.93</v>
      </c>
      <c r="AV317" s="1">
        <v>0.34</v>
      </c>
      <c r="AW317" s="1">
        <v>2.52</v>
      </c>
      <c r="AX317" s="1">
        <v>7.12</v>
      </c>
      <c r="AY317" s="1">
        <v>0</v>
      </c>
      <c r="AZ317" s="1">
        <v>104.395</v>
      </c>
      <c r="BA317" s="1">
        <v>0</v>
      </c>
      <c r="BB317" s="1">
        <v>0</v>
      </c>
      <c r="BC317" s="1">
        <v>0</v>
      </c>
      <c r="BD317" s="1">
        <v>0</v>
      </c>
    </row>
    <row r="318" spans="1:56">
      <c r="A318" s="18">
        <v>46192</v>
      </c>
      <c r="B318" s="1">
        <v>317</v>
      </c>
      <c r="C318" s="1" t="s">
        <v>89</v>
      </c>
      <c r="D318" s="1" t="s">
        <v>90</v>
      </c>
      <c r="E318" s="1">
        <v>2</v>
      </c>
      <c r="F318" s="1">
        <v>200</v>
      </c>
      <c r="G318" s="1">
        <v>1</v>
      </c>
      <c r="H318" s="1" t="s">
        <v>91</v>
      </c>
      <c r="I318" s="1" t="s">
        <v>79</v>
      </c>
      <c r="J318" s="1" t="s">
        <v>81</v>
      </c>
      <c r="K318" s="1" t="s">
        <v>74</v>
      </c>
      <c r="L318" s="1" t="s">
        <v>72</v>
      </c>
      <c r="M318" s="1" t="s">
        <v>75</v>
      </c>
      <c r="N318" s="1" t="s">
        <v>76</v>
      </c>
      <c r="O318" s="1" t="s">
        <v>77</v>
      </c>
      <c r="P318" s="1" t="s">
        <v>27</v>
      </c>
      <c r="Q318" s="1" t="s">
        <v>86</v>
      </c>
      <c r="R318" s="1" t="s">
        <v>94</v>
      </c>
      <c r="S318" s="1" t="s">
        <v>87</v>
      </c>
      <c r="T318" s="1" t="s">
        <v>88</v>
      </c>
      <c r="X318" s="1" t="s">
        <v>73</v>
      </c>
      <c r="Z318" s="1" t="s">
        <v>70</v>
      </c>
      <c r="AA318" s="1" t="s">
        <v>95</v>
      </c>
      <c r="AB318" s="1">
        <v>5</v>
      </c>
      <c r="AC318" s="1">
        <v>748766.31</v>
      </c>
      <c r="AD318" s="1">
        <v>8930585.8200000003</v>
      </c>
      <c r="AE318" s="1">
        <v>210.19</v>
      </c>
      <c r="AF318" s="1">
        <v>748766.31</v>
      </c>
      <c r="AG318" s="1">
        <v>8930585.8200000003</v>
      </c>
      <c r="AH318" s="1">
        <v>199.4</v>
      </c>
      <c r="AI318" s="1">
        <v>10.79</v>
      </c>
      <c r="AJ318" s="1">
        <v>0.6</v>
      </c>
      <c r="AK318" s="1">
        <v>2.97</v>
      </c>
      <c r="AL318" s="1">
        <v>2.58</v>
      </c>
      <c r="AM318" s="1">
        <v>0</v>
      </c>
      <c r="AN318" s="1">
        <v>0</v>
      </c>
      <c r="AO318" s="1">
        <v>279.95422539999998</v>
      </c>
      <c r="AP318" s="1">
        <v>3.44</v>
      </c>
      <c r="AQ318" s="1">
        <v>0.85</v>
      </c>
      <c r="AR318" s="1">
        <v>0.17</v>
      </c>
      <c r="AS318" s="1">
        <v>0.12</v>
      </c>
      <c r="AT318" s="1">
        <v>24.89</v>
      </c>
      <c r="AU318" s="1">
        <v>5.93</v>
      </c>
      <c r="AV318" s="1">
        <v>0.34</v>
      </c>
      <c r="AW318" s="1">
        <v>2.5099999999999998</v>
      </c>
      <c r="AX318" s="1">
        <v>7.13</v>
      </c>
      <c r="AY318" s="1">
        <v>0</v>
      </c>
      <c r="AZ318" s="1">
        <v>106.142</v>
      </c>
      <c r="BA318" s="1">
        <v>0</v>
      </c>
      <c r="BB318" s="1">
        <v>0</v>
      </c>
      <c r="BC318" s="1">
        <v>0</v>
      </c>
      <c r="BD318" s="1">
        <v>0</v>
      </c>
    </row>
    <row r="319" spans="1:56">
      <c r="A319" s="18">
        <v>46192</v>
      </c>
      <c r="B319" s="1">
        <v>318</v>
      </c>
      <c r="C319" s="1" t="s">
        <v>89</v>
      </c>
      <c r="D319" s="1" t="s">
        <v>90</v>
      </c>
      <c r="E319" s="1">
        <v>2</v>
      </c>
      <c r="F319" s="1">
        <v>200</v>
      </c>
      <c r="G319" s="1">
        <v>1</v>
      </c>
      <c r="H319" s="1" t="s">
        <v>91</v>
      </c>
      <c r="I319" s="1" t="s">
        <v>79</v>
      </c>
      <c r="J319" s="1" t="s">
        <v>81</v>
      </c>
      <c r="K319" s="1" t="s">
        <v>74</v>
      </c>
      <c r="L319" s="1" t="s">
        <v>72</v>
      </c>
      <c r="M319" s="1" t="s">
        <v>75</v>
      </c>
      <c r="N319" s="1" t="s">
        <v>76</v>
      </c>
      <c r="O319" s="1" t="s">
        <v>77</v>
      </c>
      <c r="P319" s="1" t="s">
        <v>27</v>
      </c>
      <c r="Q319" s="1" t="s">
        <v>86</v>
      </c>
      <c r="R319" s="1" t="s">
        <v>94</v>
      </c>
      <c r="S319" s="1" t="s">
        <v>87</v>
      </c>
      <c r="T319" s="1" t="s">
        <v>88</v>
      </c>
      <c r="X319" s="1" t="s">
        <v>73</v>
      </c>
      <c r="Z319" s="1" t="s">
        <v>70</v>
      </c>
      <c r="AA319" s="1" t="s">
        <v>95</v>
      </c>
      <c r="AB319" s="1">
        <v>5</v>
      </c>
      <c r="AC319" s="1">
        <v>748768.63</v>
      </c>
      <c r="AD319" s="1">
        <v>8930583.9700000007</v>
      </c>
      <c r="AE319" s="1">
        <v>210.15</v>
      </c>
      <c r="AF319" s="1">
        <v>748768.63</v>
      </c>
      <c r="AG319" s="1">
        <v>8930583.9700000007</v>
      </c>
      <c r="AH319" s="1">
        <v>199.4</v>
      </c>
      <c r="AI319" s="1">
        <v>10.75</v>
      </c>
      <c r="AJ319" s="1">
        <v>0.6</v>
      </c>
      <c r="AK319" s="1">
        <v>2.97</v>
      </c>
      <c r="AL319" s="1">
        <v>2.58</v>
      </c>
      <c r="AM319" s="1">
        <v>0</v>
      </c>
      <c r="AN319" s="1">
        <v>0</v>
      </c>
      <c r="AO319" s="1">
        <v>279.95422539999998</v>
      </c>
      <c r="AP319" s="1">
        <v>3.44</v>
      </c>
      <c r="AQ319" s="1">
        <v>0.84</v>
      </c>
      <c r="AR319" s="1">
        <v>0.17</v>
      </c>
      <c r="AS319" s="1">
        <v>0.12</v>
      </c>
      <c r="AT319" s="1">
        <v>24.74</v>
      </c>
      <c r="AU319" s="1">
        <v>6.02</v>
      </c>
      <c r="AV319" s="1">
        <v>0.34</v>
      </c>
      <c r="AW319" s="1">
        <v>2.48</v>
      </c>
      <c r="AX319" s="1">
        <v>7.29</v>
      </c>
      <c r="AY319" s="1">
        <v>0</v>
      </c>
      <c r="AZ319" s="1">
        <v>105.56</v>
      </c>
      <c r="BA319" s="1">
        <v>0</v>
      </c>
      <c r="BB319" s="1">
        <v>0</v>
      </c>
      <c r="BC319" s="1">
        <v>0</v>
      </c>
      <c r="BD319" s="1">
        <v>0</v>
      </c>
    </row>
    <row r="320" spans="1:56">
      <c r="A320" s="18">
        <v>46192</v>
      </c>
      <c r="B320" s="1">
        <v>319</v>
      </c>
      <c r="C320" s="1" t="s">
        <v>89</v>
      </c>
      <c r="D320" s="1" t="s">
        <v>90</v>
      </c>
      <c r="E320" s="1">
        <v>2</v>
      </c>
      <c r="F320" s="1">
        <v>200</v>
      </c>
      <c r="G320" s="1">
        <v>1</v>
      </c>
      <c r="H320" s="1" t="s">
        <v>91</v>
      </c>
      <c r="I320" s="1" t="s">
        <v>79</v>
      </c>
      <c r="J320" s="1" t="s">
        <v>81</v>
      </c>
      <c r="K320" s="1" t="s">
        <v>74</v>
      </c>
      <c r="L320" s="1" t="s">
        <v>72</v>
      </c>
      <c r="M320" s="1" t="s">
        <v>75</v>
      </c>
      <c r="N320" s="1" t="s">
        <v>76</v>
      </c>
      <c r="O320" s="1" t="s">
        <v>77</v>
      </c>
      <c r="P320" s="1" t="s">
        <v>27</v>
      </c>
      <c r="Q320" s="1" t="s">
        <v>86</v>
      </c>
      <c r="R320" s="1" t="s">
        <v>94</v>
      </c>
      <c r="S320" s="1" t="s">
        <v>87</v>
      </c>
      <c r="T320" s="1" t="s">
        <v>88</v>
      </c>
      <c r="X320" s="1" t="s">
        <v>73</v>
      </c>
      <c r="Z320" s="1" t="s">
        <v>70</v>
      </c>
      <c r="AA320" s="1" t="s">
        <v>95</v>
      </c>
      <c r="AB320" s="1">
        <v>5</v>
      </c>
      <c r="AC320" s="1">
        <v>748770.96</v>
      </c>
      <c r="AD320" s="1">
        <v>8930582.1300000008</v>
      </c>
      <c r="AE320" s="1">
        <v>210</v>
      </c>
      <c r="AF320" s="1">
        <v>748770.96</v>
      </c>
      <c r="AG320" s="1">
        <v>8930582.1300000008</v>
      </c>
      <c r="AH320" s="1">
        <v>199.4</v>
      </c>
      <c r="AI320" s="1">
        <v>10.6</v>
      </c>
      <c r="AJ320" s="1">
        <v>0.6</v>
      </c>
      <c r="AK320" s="1">
        <v>2.97</v>
      </c>
      <c r="AL320" s="1">
        <v>2.58</v>
      </c>
      <c r="AM320" s="1">
        <v>0</v>
      </c>
      <c r="AN320" s="1">
        <v>0</v>
      </c>
      <c r="AO320" s="1">
        <v>279.95422539999998</v>
      </c>
      <c r="AP320" s="1">
        <v>3.44</v>
      </c>
      <c r="AQ320" s="1">
        <v>0.79</v>
      </c>
      <c r="AR320" s="1">
        <v>0.18</v>
      </c>
      <c r="AS320" s="1">
        <v>0.12</v>
      </c>
      <c r="AT320" s="1">
        <v>23.94</v>
      </c>
      <c r="AU320" s="1">
        <v>6.55</v>
      </c>
      <c r="AV320" s="1">
        <v>0.35</v>
      </c>
      <c r="AW320" s="1">
        <v>2.2599999999999998</v>
      </c>
      <c r="AX320" s="1">
        <v>8.1999999999999993</v>
      </c>
      <c r="AY320" s="1">
        <v>0</v>
      </c>
      <c r="AZ320" s="1">
        <v>103.376</v>
      </c>
      <c r="BA320" s="1">
        <v>0</v>
      </c>
      <c r="BB320" s="1">
        <v>0</v>
      </c>
      <c r="BC320" s="1">
        <v>0</v>
      </c>
      <c r="BD320" s="1">
        <v>0</v>
      </c>
    </row>
    <row r="321" spans="1:56">
      <c r="A321" s="18">
        <v>46192</v>
      </c>
      <c r="B321" s="1">
        <v>320</v>
      </c>
      <c r="C321" s="1" t="s">
        <v>89</v>
      </c>
      <c r="D321" s="1" t="s">
        <v>90</v>
      </c>
      <c r="E321" s="1">
        <v>2</v>
      </c>
      <c r="F321" s="1">
        <v>200</v>
      </c>
      <c r="G321" s="1">
        <v>1</v>
      </c>
      <c r="H321" s="1" t="s">
        <v>91</v>
      </c>
      <c r="I321" s="1" t="s">
        <v>79</v>
      </c>
      <c r="J321" s="1" t="s">
        <v>81</v>
      </c>
      <c r="K321" s="1" t="s">
        <v>74</v>
      </c>
      <c r="L321" s="1" t="s">
        <v>72</v>
      </c>
      <c r="M321" s="1" t="s">
        <v>75</v>
      </c>
      <c r="N321" s="1" t="s">
        <v>76</v>
      </c>
      <c r="O321" s="1" t="s">
        <v>77</v>
      </c>
      <c r="P321" s="1" t="s">
        <v>27</v>
      </c>
      <c r="Q321" s="1" t="s">
        <v>86</v>
      </c>
      <c r="R321" s="1" t="s">
        <v>94</v>
      </c>
      <c r="S321" s="1" t="s">
        <v>87</v>
      </c>
      <c r="T321" s="1" t="s">
        <v>88</v>
      </c>
      <c r="X321" s="1" t="s">
        <v>73</v>
      </c>
      <c r="Z321" s="1" t="s">
        <v>70</v>
      </c>
      <c r="AA321" s="1" t="s">
        <v>95</v>
      </c>
      <c r="AB321" s="1">
        <v>5</v>
      </c>
      <c r="AC321" s="1">
        <v>748773.29</v>
      </c>
      <c r="AD321" s="1">
        <v>8930580.2799999993</v>
      </c>
      <c r="AE321" s="1">
        <v>209.91</v>
      </c>
      <c r="AF321" s="1">
        <v>748773.29</v>
      </c>
      <c r="AG321" s="1">
        <v>8930580.2799999993</v>
      </c>
      <c r="AH321" s="1">
        <v>199.4</v>
      </c>
      <c r="AI321" s="1">
        <v>10.51</v>
      </c>
      <c r="AJ321" s="1">
        <v>0.6</v>
      </c>
      <c r="AK321" s="1">
        <v>2.97</v>
      </c>
      <c r="AL321" s="1">
        <v>2.58</v>
      </c>
      <c r="AM321" s="1">
        <v>0</v>
      </c>
      <c r="AN321" s="1">
        <v>0</v>
      </c>
      <c r="AO321" s="1">
        <v>279.95422539999998</v>
      </c>
      <c r="AP321" s="1">
        <v>3.43</v>
      </c>
      <c r="AQ321" s="1">
        <v>0.79</v>
      </c>
      <c r="AR321" s="1">
        <v>0.18</v>
      </c>
      <c r="AS321" s="1">
        <v>0.12</v>
      </c>
      <c r="AT321" s="1">
        <v>23.35</v>
      </c>
      <c r="AU321" s="1">
        <v>6.47</v>
      </c>
      <c r="AV321" s="1">
        <v>0.36</v>
      </c>
      <c r="AW321" s="1">
        <v>2.2200000000000002</v>
      </c>
      <c r="AX321" s="1">
        <v>8.3699999999999992</v>
      </c>
      <c r="AY321" s="1">
        <v>0</v>
      </c>
      <c r="AZ321" s="1">
        <v>102.066</v>
      </c>
      <c r="BA321" s="1">
        <v>0</v>
      </c>
      <c r="BB321" s="1">
        <v>0</v>
      </c>
      <c r="BC321" s="1">
        <v>0</v>
      </c>
      <c r="BD321" s="1">
        <v>0</v>
      </c>
    </row>
    <row r="322" spans="1:56">
      <c r="A322" s="18">
        <v>46192</v>
      </c>
      <c r="B322" s="1">
        <v>321</v>
      </c>
      <c r="C322" s="1" t="s">
        <v>89</v>
      </c>
      <c r="D322" s="1" t="s">
        <v>90</v>
      </c>
      <c r="E322" s="1">
        <v>2</v>
      </c>
      <c r="F322" s="1">
        <v>200</v>
      </c>
      <c r="G322" s="1">
        <v>1</v>
      </c>
      <c r="H322" s="1" t="s">
        <v>91</v>
      </c>
      <c r="I322" s="1" t="s">
        <v>79</v>
      </c>
      <c r="J322" s="1" t="s">
        <v>81</v>
      </c>
      <c r="K322" s="1" t="s">
        <v>74</v>
      </c>
      <c r="L322" s="1" t="s">
        <v>72</v>
      </c>
      <c r="M322" s="1" t="s">
        <v>75</v>
      </c>
      <c r="N322" s="1" t="s">
        <v>76</v>
      </c>
      <c r="O322" s="1" t="s">
        <v>77</v>
      </c>
      <c r="P322" s="1" t="s">
        <v>27</v>
      </c>
      <c r="Q322" s="1" t="s">
        <v>86</v>
      </c>
      <c r="R322" s="1" t="s">
        <v>94</v>
      </c>
      <c r="S322" s="1" t="s">
        <v>87</v>
      </c>
      <c r="T322" s="1" t="s">
        <v>88</v>
      </c>
      <c r="X322" s="1" t="s">
        <v>73</v>
      </c>
      <c r="Z322" s="1" t="s">
        <v>70</v>
      </c>
      <c r="AA322" s="1" t="s">
        <v>95</v>
      </c>
      <c r="AB322" s="1">
        <v>5</v>
      </c>
      <c r="AC322" s="1">
        <v>748775.61</v>
      </c>
      <c r="AD322" s="1">
        <v>8930578.4399999995</v>
      </c>
      <c r="AE322" s="1">
        <v>209.81</v>
      </c>
      <c r="AF322" s="1">
        <v>748775.61</v>
      </c>
      <c r="AG322" s="1">
        <v>8930578.4399999995</v>
      </c>
      <c r="AH322" s="1">
        <v>199.4</v>
      </c>
      <c r="AI322" s="1">
        <v>10.41</v>
      </c>
      <c r="AJ322" s="1">
        <v>0.6</v>
      </c>
      <c r="AK322" s="1">
        <v>2.97</v>
      </c>
      <c r="AL322" s="1">
        <v>2.58</v>
      </c>
      <c r="AM322" s="1">
        <v>0</v>
      </c>
      <c r="AN322" s="1">
        <v>0</v>
      </c>
      <c r="AO322" s="1">
        <v>279.95422539999998</v>
      </c>
      <c r="AP322" s="1">
        <v>3.42</v>
      </c>
      <c r="AQ322" s="1">
        <v>0.79</v>
      </c>
      <c r="AR322" s="1">
        <v>0.17</v>
      </c>
      <c r="AS322" s="1">
        <v>0.12</v>
      </c>
      <c r="AT322" s="1">
        <v>22.94</v>
      </c>
      <c r="AU322" s="1">
        <v>6.14</v>
      </c>
      <c r="AV322" s="1">
        <v>0.35</v>
      </c>
      <c r="AW322" s="1">
        <v>2.2599999999999998</v>
      </c>
      <c r="AX322" s="1">
        <v>8.2100000000000009</v>
      </c>
      <c r="AY322" s="1">
        <v>0</v>
      </c>
      <c r="AZ322" s="1">
        <v>100.61</v>
      </c>
      <c r="BA322" s="1">
        <v>0</v>
      </c>
      <c r="BB322" s="1">
        <v>0</v>
      </c>
      <c r="BC322" s="1">
        <v>0</v>
      </c>
      <c r="BD322" s="1">
        <v>0</v>
      </c>
    </row>
    <row r="323" spans="1:56">
      <c r="A323" s="18">
        <v>46192</v>
      </c>
      <c r="B323" s="1">
        <v>322</v>
      </c>
      <c r="C323" s="1" t="s">
        <v>89</v>
      </c>
      <c r="D323" s="1" t="s">
        <v>90</v>
      </c>
      <c r="E323" s="1">
        <v>2</v>
      </c>
      <c r="F323" s="1">
        <v>200</v>
      </c>
      <c r="G323" s="1">
        <v>1</v>
      </c>
      <c r="H323" s="1" t="s">
        <v>91</v>
      </c>
      <c r="I323" s="1" t="s">
        <v>79</v>
      </c>
      <c r="J323" s="1" t="s">
        <v>81</v>
      </c>
      <c r="K323" s="1" t="s">
        <v>74</v>
      </c>
      <c r="L323" s="1" t="s">
        <v>72</v>
      </c>
      <c r="M323" s="1" t="s">
        <v>75</v>
      </c>
      <c r="N323" s="1" t="s">
        <v>76</v>
      </c>
      <c r="O323" s="1" t="s">
        <v>77</v>
      </c>
      <c r="P323" s="1" t="s">
        <v>27</v>
      </c>
      <c r="Q323" s="1" t="s">
        <v>86</v>
      </c>
      <c r="R323" s="1" t="s">
        <v>94</v>
      </c>
      <c r="S323" s="1" t="s">
        <v>87</v>
      </c>
      <c r="T323" s="1" t="s">
        <v>88</v>
      </c>
      <c r="X323" s="1" t="s">
        <v>73</v>
      </c>
      <c r="Z323" s="1" t="s">
        <v>70</v>
      </c>
      <c r="AA323" s="1" t="s">
        <v>95</v>
      </c>
      <c r="AB323" s="1">
        <v>5</v>
      </c>
      <c r="AC323" s="1">
        <v>748777.94</v>
      </c>
      <c r="AD323" s="1">
        <v>8930576.5899999999</v>
      </c>
      <c r="AE323" s="1">
        <v>209.78</v>
      </c>
      <c r="AF323" s="1">
        <v>748777.94</v>
      </c>
      <c r="AG323" s="1">
        <v>8930576.5899999999</v>
      </c>
      <c r="AH323" s="1">
        <v>199.4</v>
      </c>
      <c r="AI323" s="1">
        <v>10.38</v>
      </c>
      <c r="AJ323" s="1">
        <v>0.6</v>
      </c>
      <c r="AK323" s="1">
        <v>2.97</v>
      </c>
      <c r="AL323" s="1">
        <v>2.58</v>
      </c>
      <c r="AM323" s="1">
        <v>0</v>
      </c>
      <c r="AN323" s="1">
        <v>0</v>
      </c>
      <c r="AO323" s="1">
        <v>279.95422539999998</v>
      </c>
      <c r="AP323" s="1">
        <v>3.42</v>
      </c>
      <c r="AQ323" s="1">
        <v>0.79</v>
      </c>
      <c r="AR323" s="1">
        <v>0.17</v>
      </c>
      <c r="AS323" s="1">
        <v>0.12</v>
      </c>
      <c r="AT323" s="1">
        <v>22.88</v>
      </c>
      <c r="AU323" s="1">
        <v>6.09</v>
      </c>
      <c r="AV323" s="1">
        <v>0.35</v>
      </c>
      <c r="AW323" s="1">
        <v>2.2599999999999998</v>
      </c>
      <c r="AX323" s="1">
        <v>8.18</v>
      </c>
      <c r="AY323" s="1">
        <v>0</v>
      </c>
      <c r="AZ323" s="1">
        <v>100.173</v>
      </c>
      <c r="BA323" s="1">
        <v>0</v>
      </c>
      <c r="BB323" s="1">
        <v>0</v>
      </c>
      <c r="BC323" s="1">
        <v>0</v>
      </c>
      <c r="BD323" s="1">
        <v>0</v>
      </c>
    </row>
    <row r="324" spans="1:56">
      <c r="A324" s="18">
        <v>46192</v>
      </c>
      <c r="B324" s="1">
        <v>323</v>
      </c>
      <c r="C324" s="1" t="s">
        <v>89</v>
      </c>
      <c r="D324" s="1" t="s">
        <v>90</v>
      </c>
      <c r="E324" s="1">
        <v>2</v>
      </c>
      <c r="F324" s="1">
        <v>200</v>
      </c>
      <c r="G324" s="1">
        <v>1</v>
      </c>
      <c r="H324" s="1" t="s">
        <v>91</v>
      </c>
      <c r="I324" s="1" t="s">
        <v>79</v>
      </c>
      <c r="J324" s="1" t="s">
        <v>80</v>
      </c>
      <c r="K324" s="1" t="s">
        <v>74</v>
      </c>
      <c r="L324" s="1" t="s">
        <v>72</v>
      </c>
      <c r="M324" s="1" t="s">
        <v>75</v>
      </c>
      <c r="N324" s="1" t="s">
        <v>76</v>
      </c>
      <c r="O324" s="1" t="s">
        <v>77</v>
      </c>
      <c r="P324" s="1" t="s">
        <v>27</v>
      </c>
      <c r="Q324" s="1" t="s">
        <v>86</v>
      </c>
      <c r="R324" s="1" t="s">
        <v>94</v>
      </c>
      <c r="S324" s="1" t="s">
        <v>87</v>
      </c>
      <c r="T324" s="1" t="s">
        <v>88</v>
      </c>
      <c r="X324" s="1" t="s">
        <v>73</v>
      </c>
      <c r="Z324" s="1" t="s">
        <v>70</v>
      </c>
      <c r="AA324" s="1" t="s">
        <v>95</v>
      </c>
      <c r="AB324" s="1">
        <v>5</v>
      </c>
      <c r="AC324" s="1">
        <v>748780.21</v>
      </c>
      <c r="AD324" s="1">
        <v>8930574.6699999999</v>
      </c>
      <c r="AE324" s="1">
        <v>209.93</v>
      </c>
      <c r="AF324" s="1">
        <v>748780.21</v>
      </c>
      <c r="AG324" s="1">
        <v>8930574.6699999999</v>
      </c>
      <c r="AH324" s="1">
        <v>199.4</v>
      </c>
      <c r="AI324" s="1">
        <v>10.53</v>
      </c>
      <c r="AJ324" s="1">
        <v>0.6</v>
      </c>
      <c r="AK324" s="1">
        <v>2.97</v>
      </c>
      <c r="AL324" s="1">
        <v>2.58</v>
      </c>
      <c r="AM324" s="1">
        <v>0</v>
      </c>
      <c r="AN324" s="1">
        <v>0</v>
      </c>
      <c r="AO324" s="1">
        <v>279.95422539999998</v>
      </c>
      <c r="AP324" s="1">
        <v>3.45</v>
      </c>
      <c r="AQ324" s="1">
        <v>0.66</v>
      </c>
      <c r="AR324" s="1">
        <v>0.14000000000000001</v>
      </c>
      <c r="AS324" s="1">
        <v>0.1</v>
      </c>
      <c r="AT324" s="1">
        <v>21.11</v>
      </c>
      <c r="AU324" s="1">
        <v>5.92</v>
      </c>
      <c r="AV324" s="1">
        <v>0.33</v>
      </c>
      <c r="AW324" s="1">
        <v>2.0099999999999998</v>
      </c>
      <c r="AX324" s="1">
        <v>7.99</v>
      </c>
      <c r="AY324" s="1">
        <v>0</v>
      </c>
      <c r="AZ324" s="1">
        <v>102.357</v>
      </c>
      <c r="BA324" s="1">
        <v>0</v>
      </c>
      <c r="BB324" s="1">
        <v>0</v>
      </c>
      <c r="BC324" s="1">
        <v>0</v>
      </c>
      <c r="BD324" s="1">
        <v>0</v>
      </c>
    </row>
    <row r="325" spans="1:56">
      <c r="A325" s="18">
        <v>46192</v>
      </c>
      <c r="B325" s="1">
        <v>324</v>
      </c>
      <c r="C325" s="1" t="s">
        <v>89</v>
      </c>
      <c r="D325" s="1" t="s">
        <v>90</v>
      </c>
      <c r="E325" s="1">
        <v>2</v>
      </c>
      <c r="F325" s="1">
        <v>200</v>
      </c>
      <c r="G325" s="1">
        <v>1</v>
      </c>
      <c r="H325" s="1" t="s">
        <v>91</v>
      </c>
      <c r="I325" s="1" t="s">
        <v>79</v>
      </c>
      <c r="J325" s="1" t="s">
        <v>80</v>
      </c>
      <c r="K325" s="1" t="s">
        <v>74</v>
      </c>
      <c r="L325" s="1" t="s">
        <v>72</v>
      </c>
      <c r="M325" s="1" t="s">
        <v>75</v>
      </c>
      <c r="N325" s="1" t="s">
        <v>76</v>
      </c>
      <c r="O325" s="1" t="s">
        <v>77</v>
      </c>
      <c r="P325" s="1" t="s">
        <v>27</v>
      </c>
      <c r="Q325" s="1" t="s">
        <v>86</v>
      </c>
      <c r="R325" s="1" t="s">
        <v>94</v>
      </c>
      <c r="S325" s="1" t="s">
        <v>87</v>
      </c>
      <c r="T325" s="1" t="s">
        <v>88</v>
      </c>
      <c r="X325" s="1" t="s">
        <v>73</v>
      </c>
      <c r="Z325" s="1" t="s">
        <v>70</v>
      </c>
      <c r="AA325" s="1" t="s">
        <v>95</v>
      </c>
      <c r="AB325" s="1">
        <v>5</v>
      </c>
      <c r="AC325" s="1">
        <v>748782.46</v>
      </c>
      <c r="AD325" s="1">
        <v>8930572.7400000002</v>
      </c>
      <c r="AE325" s="1">
        <v>210.03</v>
      </c>
      <c r="AF325" s="1">
        <v>748782.46</v>
      </c>
      <c r="AG325" s="1">
        <v>8930572.7400000002</v>
      </c>
      <c r="AH325" s="1">
        <v>199.4</v>
      </c>
      <c r="AI325" s="1">
        <v>10.63</v>
      </c>
      <c r="AJ325" s="1">
        <v>0.6</v>
      </c>
      <c r="AK325" s="1">
        <v>2.97</v>
      </c>
      <c r="AL325" s="1">
        <v>2.58</v>
      </c>
      <c r="AM325" s="1">
        <v>0</v>
      </c>
      <c r="AN325" s="1">
        <v>0</v>
      </c>
      <c r="AO325" s="1">
        <v>279.95422539999998</v>
      </c>
      <c r="AP325" s="1">
        <v>3.48</v>
      </c>
      <c r="AQ325" s="1">
        <v>0.56000000000000005</v>
      </c>
      <c r="AR325" s="1">
        <v>0.12</v>
      </c>
      <c r="AS325" s="1">
        <v>0.09</v>
      </c>
      <c r="AT325" s="1">
        <v>19.760000000000002</v>
      </c>
      <c r="AU325" s="1">
        <v>5.79</v>
      </c>
      <c r="AV325" s="1">
        <v>0.31</v>
      </c>
      <c r="AW325" s="1">
        <v>1.81</v>
      </c>
      <c r="AX325" s="1">
        <v>7.84</v>
      </c>
      <c r="AY325" s="1">
        <v>0</v>
      </c>
      <c r="AZ325" s="1">
        <v>103.813</v>
      </c>
      <c r="BA325" s="1">
        <v>0</v>
      </c>
      <c r="BB325" s="1">
        <v>0</v>
      </c>
      <c r="BC325" s="1">
        <v>0</v>
      </c>
      <c r="BD325" s="1">
        <v>0</v>
      </c>
    </row>
    <row r="326" spans="1:56">
      <c r="A326" s="18">
        <v>46192</v>
      </c>
      <c r="B326" s="1">
        <v>325</v>
      </c>
      <c r="C326" s="1" t="s">
        <v>89</v>
      </c>
      <c r="D326" s="1" t="s">
        <v>90</v>
      </c>
      <c r="E326" s="1">
        <v>2</v>
      </c>
      <c r="F326" s="1">
        <v>200</v>
      </c>
      <c r="G326" s="1">
        <v>1</v>
      </c>
      <c r="H326" s="1" t="s">
        <v>91</v>
      </c>
      <c r="I326" s="1" t="s">
        <v>79</v>
      </c>
      <c r="J326" s="1" t="s">
        <v>80</v>
      </c>
      <c r="K326" s="1" t="s">
        <v>74</v>
      </c>
      <c r="L326" s="1" t="s">
        <v>72</v>
      </c>
      <c r="M326" s="1" t="s">
        <v>75</v>
      </c>
      <c r="N326" s="1" t="s">
        <v>76</v>
      </c>
      <c r="O326" s="1" t="s">
        <v>77</v>
      </c>
      <c r="P326" s="1" t="s">
        <v>27</v>
      </c>
      <c r="Q326" s="1" t="s">
        <v>86</v>
      </c>
      <c r="R326" s="1" t="s">
        <v>94</v>
      </c>
      <c r="S326" s="1" t="s">
        <v>87</v>
      </c>
      <c r="T326" s="1" t="s">
        <v>88</v>
      </c>
      <c r="X326" s="1" t="s">
        <v>73</v>
      </c>
      <c r="Z326" s="1" t="s">
        <v>70</v>
      </c>
      <c r="AA326" s="1" t="s">
        <v>95</v>
      </c>
      <c r="AB326" s="1">
        <v>5</v>
      </c>
      <c r="AC326" s="1">
        <v>748784.71</v>
      </c>
      <c r="AD326" s="1">
        <v>8930570.8000000007</v>
      </c>
      <c r="AE326" s="1">
        <v>210.17</v>
      </c>
      <c r="AF326" s="1">
        <v>748784.71</v>
      </c>
      <c r="AG326" s="1">
        <v>8930570.8000000007</v>
      </c>
      <c r="AH326" s="1">
        <v>199.4</v>
      </c>
      <c r="AI326" s="1">
        <v>10.77</v>
      </c>
      <c r="AJ326" s="1">
        <v>0.6</v>
      </c>
      <c r="AK326" s="1">
        <v>2.97</v>
      </c>
      <c r="AL326" s="1">
        <v>2.58</v>
      </c>
      <c r="AM326" s="1">
        <v>0</v>
      </c>
      <c r="AN326" s="1">
        <v>0</v>
      </c>
      <c r="AO326" s="1">
        <v>279.95422539999998</v>
      </c>
      <c r="AP326" s="1">
        <v>3.45</v>
      </c>
      <c r="AQ326" s="1">
        <v>0.59</v>
      </c>
      <c r="AR326" s="1">
        <v>0.12</v>
      </c>
      <c r="AS326" s="1">
        <v>0.09</v>
      </c>
      <c r="AT326" s="1">
        <v>19.989999999999998</v>
      </c>
      <c r="AU326" s="1">
        <v>5.77</v>
      </c>
      <c r="AV326" s="1">
        <v>0.28999999999999998</v>
      </c>
      <c r="AW326" s="1">
        <v>2.09</v>
      </c>
      <c r="AX326" s="1">
        <v>7.38</v>
      </c>
      <c r="AY326" s="1">
        <v>0</v>
      </c>
      <c r="AZ326" s="1">
        <v>105.851</v>
      </c>
      <c r="BA326" s="1">
        <v>0</v>
      </c>
      <c r="BB326" s="1">
        <v>0</v>
      </c>
      <c r="BC326" s="1">
        <v>0</v>
      </c>
      <c r="BD326" s="1">
        <v>0</v>
      </c>
    </row>
    <row r="327" spans="1:56">
      <c r="A327" s="18">
        <v>46192</v>
      </c>
      <c r="B327" s="1">
        <v>326</v>
      </c>
      <c r="C327" s="1" t="s">
        <v>89</v>
      </c>
      <c r="D327" s="1" t="s">
        <v>90</v>
      </c>
      <c r="E327" s="1">
        <v>2</v>
      </c>
      <c r="F327" s="1">
        <v>200</v>
      </c>
      <c r="G327" s="1">
        <v>1</v>
      </c>
      <c r="H327" s="1" t="s">
        <v>91</v>
      </c>
      <c r="I327" s="1" t="s">
        <v>79</v>
      </c>
      <c r="J327" s="1" t="s">
        <v>80</v>
      </c>
      <c r="K327" s="1" t="s">
        <v>74</v>
      </c>
      <c r="L327" s="1" t="s">
        <v>72</v>
      </c>
      <c r="M327" s="1" t="s">
        <v>75</v>
      </c>
      <c r="N327" s="1" t="s">
        <v>76</v>
      </c>
      <c r="O327" s="1" t="s">
        <v>77</v>
      </c>
      <c r="P327" s="1" t="s">
        <v>27</v>
      </c>
      <c r="Q327" s="1" t="s">
        <v>86</v>
      </c>
      <c r="R327" s="1" t="s">
        <v>94</v>
      </c>
      <c r="S327" s="1" t="s">
        <v>87</v>
      </c>
      <c r="T327" s="1" t="s">
        <v>88</v>
      </c>
      <c r="X327" s="1" t="s">
        <v>73</v>
      </c>
      <c r="Z327" s="1" t="s">
        <v>70</v>
      </c>
      <c r="AA327" s="1" t="s">
        <v>95</v>
      </c>
      <c r="AB327" s="1">
        <v>5</v>
      </c>
      <c r="AC327" s="1">
        <v>748786.96</v>
      </c>
      <c r="AD327" s="1">
        <v>8930568.8599999994</v>
      </c>
      <c r="AE327" s="1">
        <v>210.39</v>
      </c>
      <c r="AF327" s="1">
        <v>748786.96</v>
      </c>
      <c r="AG327" s="1">
        <v>8930568.8599999994</v>
      </c>
      <c r="AH327" s="1">
        <v>199.4</v>
      </c>
      <c r="AI327" s="1">
        <v>10.99</v>
      </c>
      <c r="AJ327" s="1">
        <v>0.6</v>
      </c>
      <c r="AK327" s="1">
        <v>2.97</v>
      </c>
      <c r="AL327" s="1">
        <v>2.58</v>
      </c>
      <c r="AM327" s="1">
        <v>0</v>
      </c>
      <c r="AN327" s="1">
        <v>0</v>
      </c>
      <c r="AO327" s="1">
        <v>279.95422539999998</v>
      </c>
      <c r="AP327" s="1">
        <v>3.39</v>
      </c>
      <c r="AQ327" s="1">
        <v>0.66</v>
      </c>
      <c r="AR327" s="1">
        <v>0.12</v>
      </c>
      <c r="AS327" s="1">
        <v>0.09</v>
      </c>
      <c r="AT327" s="1">
        <v>20.39</v>
      </c>
      <c r="AU327" s="1">
        <v>5.71</v>
      </c>
      <c r="AV327" s="1">
        <v>0.25</v>
      </c>
      <c r="AW327" s="1">
        <v>2.69</v>
      </c>
      <c r="AX327" s="1">
        <v>6.43</v>
      </c>
      <c r="AY327" s="1">
        <v>0</v>
      </c>
      <c r="AZ327" s="1">
        <v>109.054</v>
      </c>
      <c r="BA327" s="1">
        <v>0</v>
      </c>
      <c r="BB327" s="1">
        <v>0</v>
      </c>
      <c r="BC327" s="1">
        <v>0</v>
      </c>
      <c r="BD327" s="1">
        <v>0</v>
      </c>
    </row>
    <row r="328" spans="1:56">
      <c r="A328" s="18">
        <v>46192</v>
      </c>
      <c r="B328" s="1">
        <v>327</v>
      </c>
      <c r="C328" s="1" t="s">
        <v>89</v>
      </c>
      <c r="D328" s="1" t="s">
        <v>90</v>
      </c>
      <c r="E328" s="1">
        <v>2</v>
      </c>
      <c r="F328" s="1">
        <v>200</v>
      </c>
      <c r="G328" s="1">
        <v>1</v>
      </c>
      <c r="H328" s="1" t="s">
        <v>91</v>
      </c>
      <c r="I328" s="1" t="s">
        <v>79</v>
      </c>
      <c r="J328" s="1" t="s">
        <v>80</v>
      </c>
      <c r="K328" s="1" t="s">
        <v>74</v>
      </c>
      <c r="L328" s="1" t="s">
        <v>72</v>
      </c>
      <c r="M328" s="1" t="s">
        <v>75</v>
      </c>
      <c r="N328" s="1" t="s">
        <v>76</v>
      </c>
      <c r="O328" s="1" t="s">
        <v>77</v>
      </c>
      <c r="P328" s="1" t="s">
        <v>27</v>
      </c>
      <c r="Q328" s="1" t="s">
        <v>86</v>
      </c>
      <c r="R328" s="1" t="s">
        <v>94</v>
      </c>
      <c r="S328" s="1" t="s">
        <v>87</v>
      </c>
      <c r="T328" s="1" t="s">
        <v>88</v>
      </c>
      <c r="X328" s="1" t="s">
        <v>73</v>
      </c>
      <c r="Z328" s="1" t="s">
        <v>70</v>
      </c>
      <c r="AA328" s="1" t="s">
        <v>95</v>
      </c>
      <c r="AB328" s="1">
        <v>5</v>
      </c>
      <c r="AC328" s="1">
        <v>748789.21</v>
      </c>
      <c r="AD328" s="1">
        <v>8930566.9199999999</v>
      </c>
      <c r="AE328" s="1">
        <v>210.39</v>
      </c>
      <c r="AF328" s="1">
        <v>748789.21</v>
      </c>
      <c r="AG328" s="1">
        <v>8930566.9199999999</v>
      </c>
      <c r="AH328" s="1">
        <v>199.4</v>
      </c>
      <c r="AI328" s="1">
        <v>10.99</v>
      </c>
      <c r="AJ328" s="1">
        <v>0.6</v>
      </c>
      <c r="AK328" s="1">
        <v>2.97</v>
      </c>
      <c r="AL328" s="1">
        <v>2.58</v>
      </c>
      <c r="AM328" s="1">
        <v>0</v>
      </c>
      <c r="AN328" s="1">
        <v>0</v>
      </c>
      <c r="AO328" s="1">
        <v>279.95422539999998</v>
      </c>
      <c r="AP328" s="1">
        <v>3.37</v>
      </c>
      <c r="AQ328" s="1">
        <v>0.59</v>
      </c>
      <c r="AR328" s="1">
        <v>0.11</v>
      </c>
      <c r="AS328" s="1">
        <v>0.08</v>
      </c>
      <c r="AT328" s="1">
        <v>19.03</v>
      </c>
      <c r="AU328" s="1">
        <v>5.48</v>
      </c>
      <c r="AV328" s="1">
        <v>0.22</v>
      </c>
      <c r="AW328" s="1">
        <v>2.65</v>
      </c>
      <c r="AX328" s="1">
        <v>6.91</v>
      </c>
      <c r="AY328" s="1">
        <v>0</v>
      </c>
      <c r="AZ328" s="1">
        <v>109.054</v>
      </c>
      <c r="BA328" s="1">
        <v>0</v>
      </c>
      <c r="BB328" s="1">
        <v>0</v>
      </c>
      <c r="BC328" s="1">
        <v>0</v>
      </c>
      <c r="BD328" s="1">
        <v>0</v>
      </c>
    </row>
    <row r="329" spans="1:56">
      <c r="A329" s="18">
        <v>46192</v>
      </c>
      <c r="B329" s="1">
        <v>328</v>
      </c>
      <c r="C329" s="1" t="s">
        <v>89</v>
      </c>
      <c r="D329" s="1" t="s">
        <v>90</v>
      </c>
      <c r="E329" s="1">
        <v>2</v>
      </c>
      <c r="F329" s="1">
        <v>200</v>
      </c>
      <c r="G329" s="1">
        <v>1</v>
      </c>
      <c r="H329" s="1" t="s">
        <v>91</v>
      </c>
      <c r="I329" s="1" t="s">
        <v>79</v>
      </c>
      <c r="J329" s="1" t="s">
        <v>84</v>
      </c>
      <c r="K329" s="1" t="s">
        <v>74</v>
      </c>
      <c r="L329" s="1" t="s">
        <v>72</v>
      </c>
      <c r="M329" s="1" t="s">
        <v>75</v>
      </c>
      <c r="N329" s="1" t="s">
        <v>76</v>
      </c>
      <c r="O329" s="1" t="s">
        <v>77</v>
      </c>
      <c r="P329" s="1" t="s">
        <v>27</v>
      </c>
      <c r="Q329" s="1" t="s">
        <v>86</v>
      </c>
      <c r="R329" s="1" t="s">
        <v>94</v>
      </c>
      <c r="S329" s="1" t="s">
        <v>87</v>
      </c>
      <c r="T329" s="1" t="s">
        <v>88</v>
      </c>
      <c r="X329" s="1" t="s">
        <v>73</v>
      </c>
      <c r="Z329" s="1" t="s">
        <v>70</v>
      </c>
      <c r="AA329" s="1" t="s">
        <v>95</v>
      </c>
      <c r="AB329" s="1">
        <v>5</v>
      </c>
      <c r="AC329" s="1">
        <v>748791.46</v>
      </c>
      <c r="AD329" s="1">
        <v>8930564.9800000004</v>
      </c>
      <c r="AE329" s="1">
        <v>210.3</v>
      </c>
      <c r="AF329" s="1">
        <v>748791.46</v>
      </c>
      <c r="AG329" s="1">
        <v>8930564.9800000004</v>
      </c>
      <c r="AH329" s="1">
        <v>199.4</v>
      </c>
      <c r="AI329" s="1">
        <v>10.9</v>
      </c>
      <c r="AJ329" s="1">
        <v>0.6</v>
      </c>
      <c r="AK329" s="1">
        <v>2.97</v>
      </c>
      <c r="AL329" s="1">
        <v>2.58</v>
      </c>
      <c r="AM329" s="1">
        <v>0</v>
      </c>
      <c r="AN329" s="1">
        <v>0</v>
      </c>
      <c r="AO329" s="1">
        <v>279.95422539999998</v>
      </c>
      <c r="AP329" s="1">
        <v>3.37</v>
      </c>
      <c r="AQ329" s="1">
        <v>0.4</v>
      </c>
      <c r="AR329" s="1">
        <v>0.08</v>
      </c>
      <c r="AS329" s="1">
        <v>0.06</v>
      </c>
      <c r="AT329" s="1">
        <v>15.49</v>
      </c>
      <c r="AU329" s="1">
        <v>4.9800000000000004</v>
      </c>
      <c r="AV329" s="1">
        <v>0.19</v>
      </c>
      <c r="AW329" s="1">
        <v>2.09</v>
      </c>
      <c r="AX329" s="1">
        <v>8.81</v>
      </c>
      <c r="AY329" s="1">
        <v>0</v>
      </c>
      <c r="AZ329" s="1">
        <v>107.744</v>
      </c>
      <c r="BA329" s="1">
        <v>0</v>
      </c>
      <c r="BB329" s="1">
        <v>0</v>
      </c>
      <c r="BC329" s="1">
        <v>0</v>
      </c>
      <c r="BD329" s="1">
        <v>0</v>
      </c>
    </row>
    <row r="330" spans="1:56">
      <c r="A330" s="18">
        <v>46192</v>
      </c>
      <c r="B330" s="1">
        <v>329</v>
      </c>
      <c r="C330" s="1" t="s">
        <v>89</v>
      </c>
      <c r="D330" s="1" t="s">
        <v>90</v>
      </c>
      <c r="E330" s="1">
        <v>2</v>
      </c>
      <c r="F330" s="1">
        <v>200</v>
      </c>
      <c r="G330" s="1">
        <v>1</v>
      </c>
      <c r="H330" s="1" t="s">
        <v>91</v>
      </c>
      <c r="I330" s="1" t="s">
        <v>79</v>
      </c>
      <c r="J330" s="1" t="s">
        <v>84</v>
      </c>
      <c r="K330" s="1" t="s">
        <v>74</v>
      </c>
      <c r="L330" s="1" t="s">
        <v>72</v>
      </c>
      <c r="M330" s="1" t="s">
        <v>75</v>
      </c>
      <c r="N330" s="1" t="s">
        <v>76</v>
      </c>
      <c r="O330" s="1" t="s">
        <v>77</v>
      </c>
      <c r="P330" s="1" t="s">
        <v>27</v>
      </c>
      <c r="Q330" s="1" t="s">
        <v>86</v>
      </c>
      <c r="R330" s="1" t="s">
        <v>94</v>
      </c>
      <c r="S330" s="1" t="s">
        <v>87</v>
      </c>
      <c r="T330" s="1" t="s">
        <v>88</v>
      </c>
      <c r="X330" s="1" t="s">
        <v>73</v>
      </c>
      <c r="Z330" s="1" t="s">
        <v>70</v>
      </c>
      <c r="AA330" s="1" t="s">
        <v>95</v>
      </c>
      <c r="AB330" s="1">
        <v>5</v>
      </c>
      <c r="AC330" s="1">
        <v>748793.71</v>
      </c>
      <c r="AD330" s="1">
        <v>8930563.0399999991</v>
      </c>
      <c r="AE330" s="1">
        <v>210.2</v>
      </c>
      <c r="AF330" s="1">
        <v>748793.71</v>
      </c>
      <c r="AG330" s="1">
        <v>8930563.0399999991</v>
      </c>
      <c r="AH330" s="1">
        <v>199.4</v>
      </c>
      <c r="AI330" s="1">
        <v>10.8</v>
      </c>
      <c r="AJ330" s="1">
        <v>0.6</v>
      </c>
      <c r="AK330" s="1">
        <v>2.97</v>
      </c>
      <c r="AL330" s="1">
        <v>2.58</v>
      </c>
      <c r="AM330" s="1">
        <v>0</v>
      </c>
      <c r="AN330" s="1">
        <v>0</v>
      </c>
      <c r="AO330" s="1">
        <v>279.95422539999998</v>
      </c>
      <c r="AP330" s="1">
        <v>3.37</v>
      </c>
      <c r="AQ330" s="1">
        <v>0.37</v>
      </c>
      <c r="AR330" s="1">
        <v>0.08</v>
      </c>
      <c r="AS330" s="1">
        <v>0.05</v>
      </c>
      <c r="AT330" s="1">
        <v>14.97</v>
      </c>
      <c r="AU330" s="1">
        <v>4.9000000000000004</v>
      </c>
      <c r="AV330" s="1">
        <v>0.18</v>
      </c>
      <c r="AW330" s="1">
        <v>2.0099999999999998</v>
      </c>
      <c r="AX330" s="1">
        <v>9.1</v>
      </c>
      <c r="AY330" s="1">
        <v>0</v>
      </c>
      <c r="AZ330" s="1">
        <v>106.288</v>
      </c>
      <c r="BA330" s="1">
        <v>0</v>
      </c>
      <c r="BB330" s="1">
        <v>0</v>
      </c>
      <c r="BC330" s="1">
        <v>0</v>
      </c>
      <c r="BD330" s="1">
        <v>0</v>
      </c>
    </row>
    <row r="331" spans="1:56">
      <c r="A331" s="18">
        <v>46192</v>
      </c>
      <c r="B331" s="1">
        <v>330</v>
      </c>
      <c r="C331" s="1" t="s">
        <v>89</v>
      </c>
      <c r="D331" s="1" t="s">
        <v>90</v>
      </c>
      <c r="E331" s="1">
        <v>2</v>
      </c>
      <c r="F331" s="1">
        <v>200</v>
      </c>
      <c r="G331" s="1">
        <v>1</v>
      </c>
      <c r="H331" s="1" t="s">
        <v>91</v>
      </c>
      <c r="I331" s="1" t="s">
        <v>79</v>
      </c>
      <c r="J331" s="1" t="s">
        <v>84</v>
      </c>
      <c r="K331" s="1" t="s">
        <v>74</v>
      </c>
      <c r="L331" s="1" t="s">
        <v>72</v>
      </c>
      <c r="M331" s="1" t="s">
        <v>75</v>
      </c>
      <c r="N331" s="1" t="s">
        <v>76</v>
      </c>
      <c r="O331" s="1" t="s">
        <v>77</v>
      </c>
      <c r="P331" s="1" t="s">
        <v>27</v>
      </c>
      <c r="Q331" s="1" t="s">
        <v>86</v>
      </c>
      <c r="R331" s="1" t="s">
        <v>94</v>
      </c>
      <c r="S331" s="1" t="s">
        <v>87</v>
      </c>
      <c r="T331" s="1" t="s">
        <v>88</v>
      </c>
      <c r="X331" s="1" t="s">
        <v>73</v>
      </c>
      <c r="Z331" s="1" t="s">
        <v>70</v>
      </c>
      <c r="AA331" s="1" t="s">
        <v>95</v>
      </c>
      <c r="AB331" s="1">
        <v>5</v>
      </c>
      <c r="AC331" s="1">
        <v>748795.96</v>
      </c>
      <c r="AD331" s="1">
        <v>8930561.1099999994</v>
      </c>
      <c r="AE331" s="1">
        <v>210.15</v>
      </c>
      <c r="AF331" s="1">
        <v>748795.96</v>
      </c>
      <c r="AG331" s="1">
        <v>8930561.1099999994</v>
      </c>
      <c r="AH331" s="1">
        <v>199.4</v>
      </c>
      <c r="AI331" s="1">
        <v>10.75</v>
      </c>
      <c r="AJ331" s="1">
        <v>0.6</v>
      </c>
      <c r="AK331" s="1">
        <v>2.97</v>
      </c>
      <c r="AL331" s="1">
        <v>2.58</v>
      </c>
      <c r="AM331" s="1">
        <v>0</v>
      </c>
      <c r="AN331" s="1">
        <v>0</v>
      </c>
      <c r="AO331" s="1">
        <v>279.95422539999998</v>
      </c>
      <c r="AP331" s="1">
        <v>3.37</v>
      </c>
      <c r="AQ331" s="1">
        <v>0.35</v>
      </c>
      <c r="AR331" s="1">
        <v>7.0000000000000007E-2</v>
      </c>
      <c r="AS331" s="1">
        <v>0.05</v>
      </c>
      <c r="AT331" s="1">
        <v>14.7</v>
      </c>
      <c r="AU331" s="1">
        <v>4.8600000000000003</v>
      </c>
      <c r="AV331" s="1">
        <v>0.18</v>
      </c>
      <c r="AW331" s="1">
        <v>2</v>
      </c>
      <c r="AX331" s="1">
        <v>9.01</v>
      </c>
      <c r="AY331" s="1">
        <v>0</v>
      </c>
      <c r="AZ331" s="1">
        <v>105.56</v>
      </c>
      <c r="BA331" s="1">
        <v>0</v>
      </c>
      <c r="BB331" s="1">
        <v>0</v>
      </c>
      <c r="BC331" s="1">
        <v>0</v>
      </c>
      <c r="BD331" s="1">
        <v>0</v>
      </c>
    </row>
    <row r="332" spans="1:56">
      <c r="A332" s="18">
        <v>46192</v>
      </c>
      <c r="B332" s="1">
        <v>331</v>
      </c>
      <c r="C332" s="1" t="s">
        <v>89</v>
      </c>
      <c r="D332" s="1" t="s">
        <v>90</v>
      </c>
      <c r="E332" s="1">
        <v>2</v>
      </c>
      <c r="F332" s="1">
        <v>200</v>
      </c>
      <c r="G332" s="1">
        <v>1</v>
      </c>
      <c r="H332" s="1" t="s">
        <v>91</v>
      </c>
      <c r="I332" s="1" t="s">
        <v>79</v>
      </c>
      <c r="J332" s="1" t="s">
        <v>84</v>
      </c>
      <c r="K332" s="1" t="s">
        <v>74</v>
      </c>
      <c r="L332" s="1" t="s">
        <v>72</v>
      </c>
      <c r="M332" s="1" t="s">
        <v>75</v>
      </c>
      <c r="N332" s="1" t="s">
        <v>76</v>
      </c>
      <c r="O332" s="1" t="s">
        <v>77</v>
      </c>
      <c r="P332" s="1" t="s">
        <v>27</v>
      </c>
      <c r="Q332" s="1" t="s">
        <v>86</v>
      </c>
      <c r="R332" s="1" t="s">
        <v>94</v>
      </c>
      <c r="S332" s="1" t="s">
        <v>87</v>
      </c>
      <c r="T332" s="1" t="s">
        <v>88</v>
      </c>
      <c r="X332" s="1" t="s">
        <v>73</v>
      </c>
      <c r="Z332" s="1" t="s">
        <v>70</v>
      </c>
      <c r="AA332" s="1" t="s">
        <v>95</v>
      </c>
      <c r="AB332" s="1">
        <v>5</v>
      </c>
      <c r="AC332" s="1">
        <v>748798.21</v>
      </c>
      <c r="AD332" s="1">
        <v>8930559.1699999999</v>
      </c>
      <c r="AE332" s="1">
        <v>210.14</v>
      </c>
      <c r="AF332" s="1">
        <v>748798.21</v>
      </c>
      <c r="AG332" s="1">
        <v>8930559.1699999999</v>
      </c>
      <c r="AH332" s="1">
        <v>199.4</v>
      </c>
      <c r="AI332" s="1">
        <v>10.74</v>
      </c>
      <c r="AJ332" s="1">
        <v>0.6</v>
      </c>
      <c r="AK332" s="1">
        <v>2.97</v>
      </c>
      <c r="AL332" s="1">
        <v>2.58</v>
      </c>
      <c r="AM332" s="1">
        <v>0</v>
      </c>
      <c r="AN332" s="1">
        <v>0</v>
      </c>
      <c r="AO332" s="1">
        <v>279.95422539999998</v>
      </c>
      <c r="AP332" s="1">
        <v>3.36</v>
      </c>
      <c r="AQ332" s="1">
        <v>0.3</v>
      </c>
      <c r="AR332" s="1">
        <v>0.05</v>
      </c>
      <c r="AS332" s="1">
        <v>0.05</v>
      </c>
      <c r="AT332" s="1">
        <v>13.84</v>
      </c>
      <c r="AU332" s="1">
        <v>4.72</v>
      </c>
      <c r="AV332" s="1">
        <v>0.15</v>
      </c>
      <c r="AW332" s="1">
        <v>1.98</v>
      </c>
      <c r="AX332" s="1">
        <v>8.77</v>
      </c>
      <c r="AY332" s="1">
        <v>0</v>
      </c>
      <c r="AZ332" s="1">
        <v>105.414</v>
      </c>
      <c r="BA332" s="1">
        <v>0</v>
      </c>
      <c r="BB332" s="1">
        <v>0</v>
      </c>
      <c r="BC332" s="1">
        <v>0</v>
      </c>
      <c r="BD332" s="1">
        <v>0</v>
      </c>
    </row>
    <row r="333" spans="1:56">
      <c r="A333" s="18">
        <v>46192</v>
      </c>
      <c r="B333" s="1">
        <v>332</v>
      </c>
      <c r="C333" s="1" t="s">
        <v>89</v>
      </c>
      <c r="D333" s="1" t="s">
        <v>90</v>
      </c>
      <c r="E333" s="1">
        <v>2</v>
      </c>
      <c r="F333" s="1">
        <v>200</v>
      </c>
      <c r="G333" s="1">
        <v>1</v>
      </c>
      <c r="H333" s="1" t="s">
        <v>91</v>
      </c>
      <c r="I333" s="1" t="s">
        <v>79</v>
      </c>
      <c r="J333" s="1" t="s">
        <v>84</v>
      </c>
      <c r="K333" s="1" t="s">
        <v>74</v>
      </c>
      <c r="L333" s="1" t="s">
        <v>72</v>
      </c>
      <c r="M333" s="1" t="s">
        <v>75</v>
      </c>
      <c r="N333" s="1" t="s">
        <v>76</v>
      </c>
      <c r="O333" s="1" t="s">
        <v>77</v>
      </c>
      <c r="P333" s="1" t="s">
        <v>27</v>
      </c>
      <c r="Q333" s="1" t="s">
        <v>86</v>
      </c>
      <c r="R333" s="1" t="s">
        <v>94</v>
      </c>
      <c r="S333" s="1" t="s">
        <v>87</v>
      </c>
      <c r="T333" s="1" t="s">
        <v>88</v>
      </c>
      <c r="X333" s="1" t="s">
        <v>73</v>
      </c>
      <c r="Z333" s="1" t="s">
        <v>70</v>
      </c>
      <c r="AA333" s="1" t="s">
        <v>95</v>
      </c>
      <c r="AB333" s="1">
        <v>5</v>
      </c>
      <c r="AC333" s="1">
        <v>748800.46</v>
      </c>
      <c r="AD333" s="1">
        <v>8930557.2300000004</v>
      </c>
      <c r="AE333" s="1">
        <v>210.07</v>
      </c>
      <c r="AF333" s="1">
        <v>748800.46</v>
      </c>
      <c r="AG333" s="1">
        <v>8930557.2300000004</v>
      </c>
      <c r="AH333" s="1">
        <v>199.4</v>
      </c>
      <c r="AI333" s="1">
        <v>10.67</v>
      </c>
      <c r="AJ333" s="1">
        <v>0.6</v>
      </c>
      <c r="AK333" s="1">
        <v>2.97</v>
      </c>
      <c r="AL333" s="1">
        <v>2.58</v>
      </c>
      <c r="AM333" s="1">
        <v>0</v>
      </c>
      <c r="AN333" s="1">
        <v>0</v>
      </c>
      <c r="AO333" s="1">
        <v>279.95422539999998</v>
      </c>
      <c r="AP333" s="1">
        <v>3.36</v>
      </c>
      <c r="AQ333" s="1">
        <v>0.24</v>
      </c>
      <c r="AR333" s="1">
        <v>0.04</v>
      </c>
      <c r="AS333" s="1">
        <v>0.04</v>
      </c>
      <c r="AT333" s="1">
        <v>13.71</v>
      </c>
      <c r="AU333" s="1">
        <v>4.75</v>
      </c>
      <c r="AV333" s="1">
        <v>0.13</v>
      </c>
      <c r="AW333" s="1">
        <v>1.76</v>
      </c>
      <c r="AX333" s="1">
        <v>8.77</v>
      </c>
      <c r="AY333" s="1">
        <v>0</v>
      </c>
      <c r="AZ333" s="1">
        <v>104.395</v>
      </c>
      <c r="BA333" s="1">
        <v>0</v>
      </c>
      <c r="BB333" s="1">
        <v>0</v>
      </c>
      <c r="BC333" s="1">
        <v>0</v>
      </c>
      <c r="BD333" s="1">
        <v>0</v>
      </c>
    </row>
    <row r="334" spans="1:56">
      <c r="A334" s="18">
        <v>46192</v>
      </c>
      <c r="B334" s="1">
        <v>333</v>
      </c>
      <c r="C334" s="1" t="s">
        <v>89</v>
      </c>
      <c r="D334" s="1" t="s">
        <v>90</v>
      </c>
      <c r="E334" s="1">
        <v>2</v>
      </c>
      <c r="F334" s="1">
        <v>200</v>
      </c>
      <c r="G334" s="1">
        <v>1</v>
      </c>
      <c r="H334" s="1" t="s">
        <v>91</v>
      </c>
      <c r="I334" s="1" t="s">
        <v>79</v>
      </c>
      <c r="J334" s="1" t="s">
        <v>84</v>
      </c>
      <c r="K334" s="1" t="s">
        <v>74</v>
      </c>
      <c r="L334" s="1" t="s">
        <v>72</v>
      </c>
      <c r="M334" s="1" t="s">
        <v>75</v>
      </c>
      <c r="N334" s="1" t="s">
        <v>76</v>
      </c>
      <c r="O334" s="1" t="s">
        <v>77</v>
      </c>
      <c r="P334" s="1" t="s">
        <v>27</v>
      </c>
      <c r="Q334" s="1" t="s">
        <v>86</v>
      </c>
      <c r="R334" s="1" t="s">
        <v>94</v>
      </c>
      <c r="S334" s="1" t="s">
        <v>87</v>
      </c>
      <c r="T334" s="1" t="s">
        <v>88</v>
      </c>
      <c r="X334" s="1" t="s">
        <v>73</v>
      </c>
      <c r="Z334" s="1" t="s">
        <v>70</v>
      </c>
      <c r="AA334" s="1" t="s">
        <v>95</v>
      </c>
      <c r="AB334" s="1">
        <v>5</v>
      </c>
      <c r="AC334" s="1">
        <v>748802.51</v>
      </c>
      <c r="AD334" s="1">
        <v>8930555.0999999996</v>
      </c>
      <c r="AE334" s="1">
        <v>210.14</v>
      </c>
      <c r="AF334" s="1">
        <v>748802.51</v>
      </c>
      <c r="AG334" s="1">
        <v>8930555.0999999996</v>
      </c>
      <c r="AH334" s="1">
        <v>199.4</v>
      </c>
      <c r="AI334" s="1">
        <v>10.74</v>
      </c>
      <c r="AJ334" s="1">
        <v>0.6</v>
      </c>
      <c r="AK334" s="1">
        <v>2.97</v>
      </c>
      <c r="AL334" s="1">
        <v>2.58</v>
      </c>
      <c r="AM334" s="1">
        <v>0</v>
      </c>
      <c r="AN334" s="1">
        <v>0</v>
      </c>
      <c r="AO334" s="1">
        <v>279.95422539999998</v>
      </c>
      <c r="AP334" s="1">
        <v>3.37</v>
      </c>
      <c r="AQ334" s="1">
        <v>0.22</v>
      </c>
      <c r="AR334" s="1">
        <v>0.03</v>
      </c>
      <c r="AS334" s="1">
        <v>0.04</v>
      </c>
      <c r="AT334" s="1">
        <v>13.86</v>
      </c>
      <c r="AU334" s="1">
        <v>4.83</v>
      </c>
      <c r="AV334" s="1">
        <v>0.13</v>
      </c>
      <c r="AW334" s="1">
        <v>1.6</v>
      </c>
      <c r="AX334" s="1">
        <v>8.6999999999999993</v>
      </c>
      <c r="AY334" s="1">
        <v>0</v>
      </c>
      <c r="AZ334" s="1">
        <v>105.414</v>
      </c>
      <c r="BA334" s="1">
        <v>0</v>
      </c>
      <c r="BB334" s="1">
        <v>0</v>
      </c>
      <c r="BC334" s="1">
        <v>0</v>
      </c>
      <c r="BD334" s="1">
        <v>0</v>
      </c>
    </row>
    <row r="335" spans="1:56">
      <c r="A335" s="18">
        <v>46192</v>
      </c>
      <c r="B335" s="1">
        <v>334</v>
      </c>
      <c r="C335" s="1" t="s">
        <v>89</v>
      </c>
      <c r="D335" s="1" t="s">
        <v>90</v>
      </c>
      <c r="E335" s="1">
        <v>2</v>
      </c>
      <c r="F335" s="1">
        <v>200</v>
      </c>
      <c r="G335" s="1">
        <v>1</v>
      </c>
      <c r="H335" s="1" t="s">
        <v>91</v>
      </c>
      <c r="I335" s="1" t="s">
        <v>79</v>
      </c>
      <c r="J335" s="1" t="s">
        <v>84</v>
      </c>
      <c r="K335" s="1" t="s">
        <v>74</v>
      </c>
      <c r="L335" s="1" t="s">
        <v>72</v>
      </c>
      <c r="M335" s="1" t="s">
        <v>75</v>
      </c>
      <c r="N335" s="1" t="s">
        <v>76</v>
      </c>
      <c r="O335" s="1" t="s">
        <v>77</v>
      </c>
      <c r="P335" s="1" t="s">
        <v>27</v>
      </c>
      <c r="Q335" s="1" t="s">
        <v>86</v>
      </c>
      <c r="R335" s="1" t="s">
        <v>94</v>
      </c>
      <c r="S335" s="1" t="s">
        <v>87</v>
      </c>
      <c r="T335" s="1" t="s">
        <v>88</v>
      </c>
      <c r="X335" s="1" t="s">
        <v>73</v>
      </c>
      <c r="Z335" s="1" t="s">
        <v>70</v>
      </c>
      <c r="AA335" s="1" t="s">
        <v>95</v>
      </c>
      <c r="AB335" s="1">
        <v>5</v>
      </c>
      <c r="AC335" s="1">
        <v>748804.19</v>
      </c>
      <c r="AD335" s="1">
        <v>8930552.6500000004</v>
      </c>
      <c r="AE335" s="1">
        <v>210.5</v>
      </c>
      <c r="AF335" s="1">
        <v>748804.19</v>
      </c>
      <c r="AG335" s="1">
        <v>8930552.6500000004</v>
      </c>
      <c r="AH335" s="1">
        <v>199.4</v>
      </c>
      <c r="AI335" s="1">
        <v>11.1</v>
      </c>
      <c r="AJ335" s="1">
        <v>0.6</v>
      </c>
      <c r="AK335" s="1">
        <v>2.97</v>
      </c>
      <c r="AL335" s="1">
        <v>2.58</v>
      </c>
      <c r="AM335" s="1">
        <v>0</v>
      </c>
      <c r="AN335" s="1">
        <v>0</v>
      </c>
      <c r="AO335" s="1">
        <v>279.95422539999998</v>
      </c>
      <c r="AP335" s="1">
        <v>3.36</v>
      </c>
      <c r="AQ335" s="1">
        <v>0.23</v>
      </c>
      <c r="AR335" s="1">
        <v>0.04</v>
      </c>
      <c r="AS335" s="1">
        <v>0.04</v>
      </c>
      <c r="AT335" s="1">
        <v>13.82</v>
      </c>
      <c r="AU335" s="1">
        <v>4.91</v>
      </c>
      <c r="AV335" s="1">
        <v>0.13</v>
      </c>
      <c r="AW335" s="1">
        <v>1.5</v>
      </c>
      <c r="AX335" s="1">
        <v>8.1199999999999992</v>
      </c>
      <c r="AY335" s="1">
        <v>0</v>
      </c>
      <c r="AZ335" s="1">
        <v>110.65600000000001</v>
      </c>
      <c r="BA335" s="1">
        <v>0</v>
      </c>
      <c r="BB335" s="1">
        <v>0</v>
      </c>
      <c r="BC335" s="1">
        <v>0</v>
      </c>
      <c r="BD335" s="1">
        <v>0</v>
      </c>
    </row>
    <row r="336" spans="1:56">
      <c r="A336" s="18">
        <v>46192</v>
      </c>
      <c r="B336" s="1">
        <v>335</v>
      </c>
      <c r="C336" s="1" t="s">
        <v>89</v>
      </c>
      <c r="D336" s="1" t="s">
        <v>90</v>
      </c>
      <c r="E336" s="1">
        <v>2</v>
      </c>
      <c r="F336" s="1">
        <v>200</v>
      </c>
      <c r="G336" s="1">
        <v>1</v>
      </c>
      <c r="H336" s="1" t="s">
        <v>91</v>
      </c>
      <c r="I336" s="1" t="s">
        <v>79</v>
      </c>
      <c r="J336" s="1" t="s">
        <v>84</v>
      </c>
      <c r="K336" s="1" t="s">
        <v>74</v>
      </c>
      <c r="L336" s="1" t="s">
        <v>72</v>
      </c>
      <c r="M336" s="1" t="s">
        <v>75</v>
      </c>
      <c r="N336" s="1" t="s">
        <v>76</v>
      </c>
      <c r="O336" s="1" t="s">
        <v>77</v>
      </c>
      <c r="P336" s="1" t="s">
        <v>27</v>
      </c>
      <c r="Q336" s="1" t="s">
        <v>86</v>
      </c>
      <c r="R336" s="1" t="s">
        <v>94</v>
      </c>
      <c r="S336" s="1" t="s">
        <v>87</v>
      </c>
      <c r="T336" s="1" t="s">
        <v>88</v>
      </c>
      <c r="X336" s="1" t="s">
        <v>73</v>
      </c>
      <c r="Z336" s="1" t="s">
        <v>70</v>
      </c>
      <c r="AA336" s="1" t="s">
        <v>95</v>
      </c>
      <c r="AB336" s="1">
        <v>5</v>
      </c>
      <c r="AC336" s="1">
        <v>748805.79</v>
      </c>
      <c r="AD336" s="1">
        <v>8930550.1500000004</v>
      </c>
      <c r="AE336" s="1">
        <v>210.66</v>
      </c>
      <c r="AF336" s="1">
        <v>748805.79</v>
      </c>
      <c r="AG336" s="1">
        <v>8930550.1500000004</v>
      </c>
      <c r="AH336" s="1">
        <v>199.4</v>
      </c>
      <c r="AI336" s="1">
        <v>11.26</v>
      </c>
      <c r="AJ336" s="1">
        <v>0.6</v>
      </c>
      <c r="AK336" s="1">
        <v>2.97</v>
      </c>
      <c r="AL336" s="1">
        <v>2.58</v>
      </c>
      <c r="AM336" s="1">
        <v>0</v>
      </c>
      <c r="AN336" s="1">
        <v>0</v>
      </c>
      <c r="AO336" s="1">
        <v>279.95422539999998</v>
      </c>
      <c r="AP336" s="1">
        <v>3.29</v>
      </c>
      <c r="AQ336" s="1">
        <v>0.26</v>
      </c>
      <c r="AR336" s="1">
        <v>0.04</v>
      </c>
      <c r="AS336" s="1">
        <v>0.04</v>
      </c>
      <c r="AT336" s="1">
        <v>12.91</v>
      </c>
      <c r="AU336" s="1">
        <v>4.72</v>
      </c>
      <c r="AV336" s="1">
        <v>0.15</v>
      </c>
      <c r="AW336" s="1">
        <v>1.1000000000000001</v>
      </c>
      <c r="AX336" s="1">
        <v>6.25</v>
      </c>
      <c r="AY336" s="1">
        <v>0</v>
      </c>
      <c r="AZ336" s="1">
        <v>112.986</v>
      </c>
      <c r="BA336" s="1">
        <v>0</v>
      </c>
      <c r="BB336" s="1">
        <v>0</v>
      </c>
      <c r="BC336" s="1">
        <v>0</v>
      </c>
      <c r="BD336" s="1">
        <v>0</v>
      </c>
    </row>
    <row r="337" spans="1:56">
      <c r="A337" s="18">
        <v>46192</v>
      </c>
      <c r="B337" s="1">
        <v>336</v>
      </c>
      <c r="C337" s="1" t="s">
        <v>89</v>
      </c>
      <c r="D337" s="1" t="s">
        <v>90</v>
      </c>
      <c r="E337" s="1">
        <v>2</v>
      </c>
      <c r="F337" s="1">
        <v>200</v>
      </c>
      <c r="H337" s="1" t="s">
        <v>91</v>
      </c>
      <c r="I337" s="1" t="s">
        <v>79</v>
      </c>
      <c r="J337" s="1" t="s">
        <v>84</v>
      </c>
      <c r="K337" s="1" t="s">
        <v>74</v>
      </c>
      <c r="L337" s="1" t="s">
        <v>72</v>
      </c>
      <c r="M337" s="1" t="s">
        <v>75</v>
      </c>
      <c r="N337" s="1" t="s">
        <v>76</v>
      </c>
      <c r="O337" s="1" t="s">
        <v>77</v>
      </c>
      <c r="P337" s="1" t="s">
        <v>27</v>
      </c>
      <c r="Q337" s="1" t="s">
        <v>86</v>
      </c>
      <c r="R337" s="1" t="s">
        <v>94</v>
      </c>
      <c r="S337" s="1" t="s">
        <v>87</v>
      </c>
      <c r="T337" s="1" t="s">
        <v>88</v>
      </c>
      <c r="X337" s="1" t="s">
        <v>73</v>
      </c>
      <c r="Z337" s="1" t="s">
        <v>70</v>
      </c>
      <c r="AA337" s="1" t="s">
        <v>95</v>
      </c>
      <c r="AB337" s="1">
        <v>5</v>
      </c>
      <c r="AC337" s="1">
        <v>748807.39</v>
      </c>
      <c r="AD337" s="1">
        <v>8930547.6500000004</v>
      </c>
      <c r="AE337" s="1">
        <v>210.82</v>
      </c>
      <c r="AF337" s="1">
        <v>748807.39</v>
      </c>
      <c r="AG337" s="1">
        <v>8930547.6500000004</v>
      </c>
      <c r="AH337" s="1">
        <v>199.4</v>
      </c>
      <c r="AI337" s="1">
        <v>11.42</v>
      </c>
      <c r="AJ337" s="1">
        <v>0.6</v>
      </c>
      <c r="AK337" s="1">
        <v>2.97</v>
      </c>
      <c r="AL337" s="1">
        <v>2.58</v>
      </c>
      <c r="AM337" s="1">
        <v>0</v>
      </c>
      <c r="AN337" s="1">
        <v>0</v>
      </c>
      <c r="AO337" s="1">
        <v>279.95422539999998</v>
      </c>
      <c r="AP337" s="1">
        <v>3.19</v>
      </c>
      <c r="AQ337" s="1">
        <v>0.21</v>
      </c>
      <c r="AR337" s="1">
        <v>0.03</v>
      </c>
      <c r="AS337" s="1">
        <v>0.03</v>
      </c>
      <c r="AT337" s="1">
        <v>9.42</v>
      </c>
      <c r="AU337" s="1">
        <v>3.41</v>
      </c>
      <c r="AV337" s="1">
        <v>0.15</v>
      </c>
      <c r="AW337" s="1">
        <v>0.69</v>
      </c>
      <c r="AX337" s="1">
        <v>4.21</v>
      </c>
      <c r="AY337" s="1">
        <v>0</v>
      </c>
      <c r="AZ337" s="1">
        <v>115.315</v>
      </c>
      <c r="BA337" s="1">
        <v>0</v>
      </c>
      <c r="BB337" s="1">
        <v>0</v>
      </c>
      <c r="BC337" s="1">
        <v>0</v>
      </c>
      <c r="BD337" s="1">
        <v>0</v>
      </c>
    </row>
    <row r="338" spans="1:56">
      <c r="A338" s="18">
        <v>46192</v>
      </c>
      <c r="B338" s="1">
        <v>337</v>
      </c>
      <c r="C338" s="1" t="s">
        <v>89</v>
      </c>
      <c r="D338" s="1" t="s">
        <v>90</v>
      </c>
      <c r="E338" s="1">
        <v>2</v>
      </c>
      <c r="F338" s="1">
        <v>200</v>
      </c>
      <c r="H338" s="1" t="s">
        <v>91</v>
      </c>
      <c r="I338" s="1" t="s">
        <v>28</v>
      </c>
      <c r="J338" s="1" t="s">
        <v>71</v>
      </c>
      <c r="K338" s="1" t="s">
        <v>74</v>
      </c>
      <c r="L338" s="1" t="s">
        <v>72</v>
      </c>
      <c r="M338" s="1" t="s">
        <v>75</v>
      </c>
      <c r="N338" s="1" t="s">
        <v>76</v>
      </c>
      <c r="O338" s="1" t="s">
        <v>77</v>
      </c>
      <c r="P338" s="1" t="s">
        <v>27</v>
      </c>
      <c r="Q338" s="1" t="s">
        <v>86</v>
      </c>
      <c r="R338" s="1" t="s">
        <v>94</v>
      </c>
      <c r="S338" s="1" t="s">
        <v>87</v>
      </c>
      <c r="T338" s="1" t="s">
        <v>88</v>
      </c>
      <c r="X338" s="1" t="s">
        <v>73</v>
      </c>
      <c r="Z338" s="1" t="s">
        <v>70</v>
      </c>
      <c r="AA338" s="1" t="s">
        <v>95</v>
      </c>
      <c r="AB338" s="1">
        <v>5</v>
      </c>
      <c r="AC338" s="1">
        <v>748808.99</v>
      </c>
      <c r="AD338" s="1">
        <v>8930545.1500000004</v>
      </c>
      <c r="AE338" s="1">
        <v>210.99</v>
      </c>
      <c r="AF338" s="1">
        <v>748808.99</v>
      </c>
      <c r="AG338" s="1">
        <v>8930545.1500000004</v>
      </c>
      <c r="AH338" s="1">
        <v>199.4</v>
      </c>
      <c r="AI338" s="1">
        <v>11.59</v>
      </c>
      <c r="AJ338" s="1">
        <v>0.6</v>
      </c>
      <c r="AK338" s="1">
        <v>2.97</v>
      </c>
      <c r="AL338" s="1">
        <v>2.58</v>
      </c>
      <c r="AM338" s="1">
        <v>0</v>
      </c>
      <c r="AN338" s="1">
        <v>0</v>
      </c>
      <c r="AO338" s="1">
        <v>279.95422539999998</v>
      </c>
      <c r="AP338" s="1">
        <v>3.14</v>
      </c>
      <c r="AQ338" s="1">
        <v>0.16</v>
      </c>
      <c r="AR338" s="1">
        <v>0.02</v>
      </c>
      <c r="AS338" s="1">
        <v>0.02</v>
      </c>
      <c r="AT338" s="1">
        <v>6.78</v>
      </c>
      <c r="AU338" s="1">
        <v>2.41</v>
      </c>
      <c r="AV338" s="1">
        <v>0.12</v>
      </c>
      <c r="AW338" s="1">
        <v>0.56000000000000005</v>
      </c>
      <c r="AX338" s="1">
        <v>3.46</v>
      </c>
      <c r="AY338" s="1">
        <v>0</v>
      </c>
      <c r="AZ338" s="1">
        <v>117.79</v>
      </c>
      <c r="BA338" s="1">
        <v>0</v>
      </c>
      <c r="BB338" s="1">
        <v>0</v>
      </c>
      <c r="BC338" s="1">
        <v>0</v>
      </c>
      <c r="BD338" s="1">
        <v>0</v>
      </c>
    </row>
    <row r="339" spans="1:56">
      <c r="A339" s="18">
        <v>46192</v>
      </c>
      <c r="B339" s="1">
        <v>338</v>
      </c>
      <c r="C339" s="1" t="s">
        <v>89</v>
      </c>
      <c r="D339" s="1" t="s">
        <v>90</v>
      </c>
      <c r="E339" s="1">
        <v>2</v>
      </c>
      <c r="F339" s="1">
        <v>200</v>
      </c>
      <c r="G339" s="1">
        <v>1</v>
      </c>
      <c r="H339" s="1" t="s">
        <v>91</v>
      </c>
      <c r="I339" s="1" t="s">
        <v>28</v>
      </c>
      <c r="J339" s="1" t="s">
        <v>71</v>
      </c>
      <c r="K339" s="1" t="s">
        <v>74</v>
      </c>
      <c r="L339" s="1" t="s">
        <v>72</v>
      </c>
      <c r="M339" s="1" t="s">
        <v>75</v>
      </c>
      <c r="N339" s="1" t="s">
        <v>76</v>
      </c>
      <c r="O339" s="1" t="s">
        <v>77</v>
      </c>
      <c r="P339" s="1" t="s">
        <v>27</v>
      </c>
      <c r="Q339" s="1" t="s">
        <v>86</v>
      </c>
      <c r="R339" s="1" t="s">
        <v>94</v>
      </c>
      <c r="S339" s="1" t="s">
        <v>87</v>
      </c>
      <c r="T339" s="1" t="s">
        <v>88</v>
      </c>
      <c r="X339" s="1" t="s">
        <v>73</v>
      </c>
      <c r="Z339" s="1" t="s">
        <v>70</v>
      </c>
      <c r="AA339" s="1" t="s">
        <v>95</v>
      </c>
      <c r="AB339" s="1">
        <v>5</v>
      </c>
      <c r="AC339" s="1">
        <v>748810.6</v>
      </c>
      <c r="AD339" s="1">
        <v>8930542.6500000004</v>
      </c>
      <c r="AE339" s="1">
        <v>210.92</v>
      </c>
      <c r="AF339" s="1">
        <v>748810.6</v>
      </c>
      <c r="AG339" s="1">
        <v>8930542.6500000004</v>
      </c>
      <c r="AH339" s="1">
        <v>199.4</v>
      </c>
      <c r="AI339" s="1">
        <v>11.52</v>
      </c>
      <c r="AJ339" s="1">
        <v>0.6</v>
      </c>
      <c r="AK339" s="1">
        <v>2.97</v>
      </c>
      <c r="AL339" s="1">
        <v>2.58</v>
      </c>
      <c r="AM339" s="1">
        <v>0</v>
      </c>
      <c r="AN339" s="1">
        <v>0</v>
      </c>
      <c r="AO339" s="1">
        <v>279.95422539999998</v>
      </c>
      <c r="AP339" s="1">
        <v>3.09</v>
      </c>
      <c r="AQ339" s="1">
        <v>0.16</v>
      </c>
      <c r="AR339" s="1">
        <v>0.02</v>
      </c>
      <c r="AS339" s="1">
        <v>0.02</v>
      </c>
      <c r="AT339" s="1">
        <v>6.38</v>
      </c>
      <c r="AU339" s="1">
        <v>2.2400000000000002</v>
      </c>
      <c r="AV339" s="1">
        <v>0.13</v>
      </c>
      <c r="AW339" s="1">
        <v>0.54</v>
      </c>
      <c r="AX339" s="1">
        <v>3.44</v>
      </c>
      <c r="AY339" s="1">
        <v>0</v>
      </c>
      <c r="AZ339" s="1">
        <v>116.771</v>
      </c>
      <c r="BA339" s="1">
        <v>0</v>
      </c>
      <c r="BB339" s="1">
        <v>0</v>
      </c>
      <c r="BC339" s="1">
        <v>0</v>
      </c>
      <c r="BD339" s="1">
        <v>0</v>
      </c>
    </row>
    <row r="340" spans="1:56">
      <c r="A340" s="18">
        <v>46192</v>
      </c>
      <c r="B340" s="1">
        <v>339</v>
      </c>
      <c r="C340" s="1" t="s">
        <v>89</v>
      </c>
      <c r="D340" s="1" t="s">
        <v>90</v>
      </c>
      <c r="E340" s="1">
        <v>2</v>
      </c>
      <c r="F340" s="1">
        <v>200</v>
      </c>
      <c r="G340" s="1">
        <v>1</v>
      </c>
      <c r="H340" s="1" t="s">
        <v>91</v>
      </c>
      <c r="I340" s="1" t="s">
        <v>28</v>
      </c>
      <c r="J340" s="1" t="s">
        <v>71</v>
      </c>
      <c r="K340" s="1" t="s">
        <v>74</v>
      </c>
      <c r="L340" s="1" t="s">
        <v>72</v>
      </c>
      <c r="M340" s="1" t="s">
        <v>75</v>
      </c>
      <c r="N340" s="1" t="s">
        <v>76</v>
      </c>
      <c r="O340" s="1" t="s">
        <v>77</v>
      </c>
      <c r="P340" s="1" t="s">
        <v>27</v>
      </c>
      <c r="Q340" s="1" t="s">
        <v>86</v>
      </c>
      <c r="R340" s="1" t="s">
        <v>94</v>
      </c>
      <c r="S340" s="1" t="s">
        <v>87</v>
      </c>
      <c r="T340" s="1" t="s">
        <v>88</v>
      </c>
      <c r="X340" s="1" t="s">
        <v>73</v>
      </c>
      <c r="Z340" s="1" t="s">
        <v>70</v>
      </c>
      <c r="AA340" s="1" t="s">
        <v>95</v>
      </c>
      <c r="AB340" s="1">
        <v>5</v>
      </c>
      <c r="AC340" s="1">
        <v>748812.2</v>
      </c>
      <c r="AD340" s="1">
        <v>8930540.1500000004</v>
      </c>
      <c r="AE340" s="1">
        <v>210.75</v>
      </c>
      <c r="AF340" s="1">
        <v>748812.2</v>
      </c>
      <c r="AG340" s="1">
        <v>8930540.1500000004</v>
      </c>
      <c r="AH340" s="1">
        <v>199.4</v>
      </c>
      <c r="AI340" s="1">
        <v>11.35</v>
      </c>
      <c r="AJ340" s="1">
        <v>0.6</v>
      </c>
      <c r="AK340" s="1">
        <v>2.97</v>
      </c>
      <c r="AL340" s="1">
        <v>2.58</v>
      </c>
      <c r="AM340" s="1">
        <v>0</v>
      </c>
      <c r="AN340" s="1">
        <v>0</v>
      </c>
      <c r="AO340" s="1">
        <v>279.95422539999998</v>
      </c>
      <c r="AP340" s="1">
        <v>3.08</v>
      </c>
      <c r="AQ340" s="1">
        <v>0.22</v>
      </c>
      <c r="AR340" s="1">
        <v>0.03</v>
      </c>
      <c r="AS340" s="1">
        <v>0.03</v>
      </c>
      <c r="AT340" s="1">
        <v>6.77</v>
      </c>
      <c r="AU340" s="1">
        <v>2.5099999999999998</v>
      </c>
      <c r="AV340" s="1">
        <v>0.14000000000000001</v>
      </c>
      <c r="AW340" s="1">
        <v>0.59</v>
      </c>
      <c r="AX340" s="1">
        <v>3.29</v>
      </c>
      <c r="AY340" s="1">
        <v>0</v>
      </c>
      <c r="AZ340" s="1">
        <v>114.29600000000001</v>
      </c>
      <c r="BA340" s="1">
        <v>0</v>
      </c>
      <c r="BB340" s="1">
        <v>0</v>
      </c>
      <c r="BC340" s="1">
        <v>0</v>
      </c>
      <c r="BD340" s="1">
        <v>0</v>
      </c>
    </row>
    <row r="341" spans="1:56">
      <c r="A341" s="18">
        <v>46192</v>
      </c>
      <c r="B341" s="1">
        <v>340</v>
      </c>
      <c r="C341" s="1" t="s">
        <v>89</v>
      </c>
      <c r="D341" s="1" t="s">
        <v>90</v>
      </c>
      <c r="E341" s="1">
        <v>2</v>
      </c>
      <c r="F341" s="1">
        <v>200</v>
      </c>
      <c r="G341" s="1">
        <v>1</v>
      </c>
      <c r="H341" s="1" t="s">
        <v>91</v>
      </c>
      <c r="I341" s="1" t="s">
        <v>28</v>
      </c>
      <c r="J341" s="1" t="s">
        <v>71</v>
      </c>
      <c r="K341" s="1" t="s">
        <v>74</v>
      </c>
      <c r="L341" s="1" t="s">
        <v>72</v>
      </c>
      <c r="M341" s="1" t="s">
        <v>75</v>
      </c>
      <c r="N341" s="1" t="s">
        <v>76</v>
      </c>
      <c r="O341" s="1" t="s">
        <v>77</v>
      </c>
      <c r="P341" s="1" t="s">
        <v>27</v>
      </c>
      <c r="Q341" s="1" t="s">
        <v>86</v>
      </c>
      <c r="R341" s="1" t="s">
        <v>94</v>
      </c>
      <c r="S341" s="1" t="s">
        <v>87</v>
      </c>
      <c r="T341" s="1" t="s">
        <v>88</v>
      </c>
      <c r="X341" s="1" t="s">
        <v>73</v>
      </c>
      <c r="Z341" s="1" t="s">
        <v>70</v>
      </c>
      <c r="AA341" s="1" t="s">
        <v>95</v>
      </c>
      <c r="AB341" s="1">
        <v>5</v>
      </c>
      <c r="AC341" s="1">
        <v>748813.8</v>
      </c>
      <c r="AD341" s="1">
        <v>8930537.6500000004</v>
      </c>
      <c r="AE341" s="1">
        <v>210.64</v>
      </c>
      <c r="AF341" s="1">
        <v>748813.8</v>
      </c>
      <c r="AG341" s="1">
        <v>8930537.6500000004</v>
      </c>
      <c r="AH341" s="1">
        <v>199.4</v>
      </c>
      <c r="AI341" s="1">
        <v>11.24</v>
      </c>
      <c r="AJ341" s="1">
        <v>0.6</v>
      </c>
      <c r="AK341" s="1">
        <v>2.97</v>
      </c>
      <c r="AL341" s="1">
        <v>2.58</v>
      </c>
      <c r="AM341" s="1">
        <v>0</v>
      </c>
      <c r="AN341" s="1">
        <v>0</v>
      </c>
      <c r="AO341" s="1">
        <v>279.95422539999998</v>
      </c>
      <c r="AP341" s="1">
        <v>3.14</v>
      </c>
      <c r="AQ341" s="1">
        <v>0.28999999999999998</v>
      </c>
      <c r="AR341" s="1">
        <v>0.03</v>
      </c>
      <c r="AS341" s="1">
        <v>0.03</v>
      </c>
      <c r="AT341" s="1">
        <v>8.26</v>
      </c>
      <c r="AU341" s="1">
        <v>3.26</v>
      </c>
      <c r="AV341" s="1">
        <v>0.14000000000000001</v>
      </c>
      <c r="AW341" s="1">
        <v>0.64</v>
      </c>
      <c r="AX341" s="1">
        <v>3</v>
      </c>
      <c r="AY341" s="1">
        <v>0</v>
      </c>
      <c r="AZ341" s="1">
        <v>112.694</v>
      </c>
      <c r="BA341" s="1">
        <v>0</v>
      </c>
      <c r="BB341" s="1">
        <v>0</v>
      </c>
      <c r="BC341" s="1">
        <v>0</v>
      </c>
      <c r="BD341" s="1">
        <v>0</v>
      </c>
    </row>
    <row r="342" spans="1:56">
      <c r="A342" s="18">
        <v>46192</v>
      </c>
      <c r="B342" s="1">
        <v>341</v>
      </c>
      <c r="C342" s="1" t="s">
        <v>89</v>
      </c>
      <c r="D342" s="1" t="s">
        <v>90</v>
      </c>
      <c r="E342" s="1">
        <v>2</v>
      </c>
      <c r="F342" s="1">
        <v>200</v>
      </c>
      <c r="G342" s="1">
        <v>1</v>
      </c>
      <c r="H342" s="1" t="s">
        <v>91</v>
      </c>
      <c r="I342" s="1" t="s">
        <v>79</v>
      </c>
      <c r="J342" s="1" t="s">
        <v>84</v>
      </c>
      <c r="K342" s="1" t="s">
        <v>74</v>
      </c>
      <c r="L342" s="1" t="s">
        <v>72</v>
      </c>
      <c r="M342" s="1" t="s">
        <v>75</v>
      </c>
      <c r="N342" s="1" t="s">
        <v>76</v>
      </c>
      <c r="O342" s="1" t="s">
        <v>77</v>
      </c>
      <c r="P342" s="1" t="s">
        <v>27</v>
      </c>
      <c r="Q342" s="1" t="s">
        <v>86</v>
      </c>
      <c r="R342" s="1" t="s">
        <v>94</v>
      </c>
      <c r="S342" s="1" t="s">
        <v>87</v>
      </c>
      <c r="T342" s="1" t="s">
        <v>88</v>
      </c>
      <c r="X342" s="1" t="s">
        <v>73</v>
      </c>
      <c r="Z342" s="1" t="s">
        <v>70</v>
      </c>
      <c r="AA342" s="1" t="s">
        <v>95</v>
      </c>
      <c r="AB342" s="1">
        <v>5</v>
      </c>
      <c r="AC342" s="1">
        <v>748815.41</v>
      </c>
      <c r="AD342" s="1">
        <v>8930535.1500000004</v>
      </c>
      <c r="AE342" s="1">
        <v>210.65</v>
      </c>
      <c r="AF342" s="1">
        <v>748815.41</v>
      </c>
      <c r="AG342" s="1">
        <v>8930535.1500000004</v>
      </c>
      <c r="AH342" s="1">
        <v>199.4</v>
      </c>
      <c r="AI342" s="1">
        <v>11.25</v>
      </c>
      <c r="AJ342" s="1">
        <v>0.6</v>
      </c>
      <c r="AK342" s="1">
        <v>2.97</v>
      </c>
      <c r="AL342" s="1">
        <v>2.58</v>
      </c>
      <c r="AM342" s="1">
        <v>0</v>
      </c>
      <c r="AN342" s="1">
        <v>0</v>
      </c>
      <c r="AO342" s="1">
        <v>279.95422539999998</v>
      </c>
      <c r="AP342" s="1">
        <v>3.19</v>
      </c>
      <c r="AQ342" s="1">
        <v>0.31</v>
      </c>
      <c r="AR342" s="1">
        <v>0.04</v>
      </c>
      <c r="AS342" s="1">
        <v>0.04</v>
      </c>
      <c r="AT342" s="1">
        <v>9.67</v>
      </c>
      <c r="AU342" s="1">
        <v>3.96</v>
      </c>
      <c r="AV342" s="1">
        <v>0.1</v>
      </c>
      <c r="AW342" s="1">
        <v>0.43</v>
      </c>
      <c r="AX342" s="1">
        <v>2.2200000000000002</v>
      </c>
      <c r="AY342" s="1">
        <v>0</v>
      </c>
      <c r="AZ342" s="1">
        <v>112.84</v>
      </c>
      <c r="BA342" s="1">
        <v>0</v>
      </c>
      <c r="BB342" s="1">
        <v>0</v>
      </c>
      <c r="BC342" s="1">
        <v>0</v>
      </c>
      <c r="BD342" s="1">
        <v>0</v>
      </c>
    </row>
    <row r="343" spans="1:56">
      <c r="A343" s="18">
        <v>46192</v>
      </c>
      <c r="B343" s="1">
        <v>342</v>
      </c>
      <c r="C343" s="1" t="s">
        <v>89</v>
      </c>
      <c r="D343" s="1" t="s">
        <v>90</v>
      </c>
      <c r="E343" s="1">
        <v>2</v>
      </c>
      <c r="F343" s="1">
        <v>200</v>
      </c>
      <c r="G343" s="1">
        <v>1</v>
      </c>
      <c r="H343" s="1" t="s">
        <v>91</v>
      </c>
      <c r="I343" s="1" t="s">
        <v>79</v>
      </c>
      <c r="J343" s="1" t="s">
        <v>84</v>
      </c>
      <c r="K343" s="1" t="s">
        <v>74</v>
      </c>
      <c r="L343" s="1" t="s">
        <v>72</v>
      </c>
      <c r="M343" s="1" t="s">
        <v>75</v>
      </c>
      <c r="N343" s="1" t="s">
        <v>76</v>
      </c>
      <c r="O343" s="1" t="s">
        <v>77</v>
      </c>
      <c r="P343" s="1" t="s">
        <v>27</v>
      </c>
      <c r="Q343" s="1" t="s">
        <v>86</v>
      </c>
      <c r="R343" s="1" t="s">
        <v>94</v>
      </c>
      <c r="S343" s="1" t="s">
        <v>87</v>
      </c>
      <c r="T343" s="1" t="s">
        <v>88</v>
      </c>
      <c r="X343" s="1" t="s">
        <v>73</v>
      </c>
      <c r="Z343" s="1" t="s">
        <v>70</v>
      </c>
      <c r="AA343" s="1" t="s">
        <v>95</v>
      </c>
      <c r="AB343" s="1">
        <v>5</v>
      </c>
      <c r="AC343" s="1">
        <v>748817.01</v>
      </c>
      <c r="AD343" s="1">
        <v>8930532.6500000004</v>
      </c>
      <c r="AE343" s="1">
        <v>210.38</v>
      </c>
      <c r="AF343" s="1">
        <v>748817.01</v>
      </c>
      <c r="AG343" s="1">
        <v>8930532.6500000004</v>
      </c>
      <c r="AH343" s="1">
        <v>199.4</v>
      </c>
      <c r="AI343" s="1">
        <v>10.98</v>
      </c>
      <c r="AJ343" s="1">
        <v>0.6</v>
      </c>
      <c r="AK343" s="1">
        <v>2.97</v>
      </c>
      <c r="AL343" s="1">
        <v>2.58</v>
      </c>
      <c r="AM343" s="1">
        <v>0</v>
      </c>
      <c r="AN343" s="1">
        <v>0</v>
      </c>
      <c r="AO343" s="1">
        <v>279.95422539999998</v>
      </c>
      <c r="AP343" s="1">
        <v>3.23</v>
      </c>
      <c r="AQ343" s="1">
        <v>0.31</v>
      </c>
      <c r="AR343" s="1">
        <v>0.04</v>
      </c>
      <c r="AS343" s="1">
        <v>0.03</v>
      </c>
      <c r="AT343" s="1">
        <v>10.6</v>
      </c>
      <c r="AU343" s="1">
        <v>4.5</v>
      </c>
      <c r="AV343" s="1">
        <v>0.03</v>
      </c>
      <c r="AW343" s="1">
        <v>0.13</v>
      </c>
      <c r="AX343" s="1">
        <v>1.07</v>
      </c>
      <c r="AY343" s="1">
        <v>0</v>
      </c>
      <c r="AZ343" s="1">
        <v>108.90900000000001</v>
      </c>
      <c r="BA343" s="1">
        <v>0</v>
      </c>
      <c r="BB343" s="1">
        <v>0</v>
      </c>
      <c r="BC343" s="1">
        <v>0</v>
      </c>
      <c r="BD343" s="1">
        <v>0</v>
      </c>
    </row>
    <row r="344" spans="1:56">
      <c r="A344" s="18">
        <v>46192</v>
      </c>
      <c r="B344" s="1">
        <v>343</v>
      </c>
      <c r="C344" s="1" t="s">
        <v>89</v>
      </c>
      <c r="D344" s="1" t="s">
        <v>90</v>
      </c>
      <c r="E344" s="1">
        <v>2</v>
      </c>
      <c r="F344" s="1">
        <v>200</v>
      </c>
      <c r="G344" s="1">
        <v>1</v>
      </c>
      <c r="H344" s="1" t="s">
        <v>91</v>
      </c>
      <c r="I344" s="1" t="s">
        <v>79</v>
      </c>
      <c r="J344" s="1" t="s">
        <v>84</v>
      </c>
      <c r="K344" s="1" t="s">
        <v>74</v>
      </c>
      <c r="L344" s="1" t="s">
        <v>72</v>
      </c>
      <c r="M344" s="1" t="s">
        <v>75</v>
      </c>
      <c r="N344" s="1" t="s">
        <v>76</v>
      </c>
      <c r="O344" s="1" t="s">
        <v>77</v>
      </c>
      <c r="P344" s="1" t="s">
        <v>27</v>
      </c>
      <c r="Q344" s="1" t="s">
        <v>86</v>
      </c>
      <c r="R344" s="1" t="s">
        <v>94</v>
      </c>
      <c r="S344" s="1" t="s">
        <v>87</v>
      </c>
      <c r="T344" s="1" t="s">
        <v>88</v>
      </c>
      <c r="X344" s="1" t="s">
        <v>73</v>
      </c>
      <c r="Z344" s="1" t="s">
        <v>70</v>
      </c>
      <c r="AA344" s="1" t="s">
        <v>95</v>
      </c>
      <c r="AB344" s="1">
        <v>5</v>
      </c>
      <c r="AC344" s="1">
        <v>748818.61</v>
      </c>
      <c r="AD344" s="1">
        <v>8930530.1500000004</v>
      </c>
      <c r="AE344" s="1">
        <v>210.44</v>
      </c>
      <c r="AF344" s="1">
        <v>748818.61</v>
      </c>
      <c r="AG344" s="1">
        <v>8930530.1500000004</v>
      </c>
      <c r="AH344" s="1">
        <v>199.4</v>
      </c>
      <c r="AI344" s="1">
        <v>11.04</v>
      </c>
      <c r="AJ344" s="1">
        <v>0.6</v>
      </c>
      <c r="AK344" s="1">
        <v>2.97</v>
      </c>
      <c r="AL344" s="1">
        <v>2.58</v>
      </c>
      <c r="AM344" s="1">
        <v>0</v>
      </c>
      <c r="AN344" s="1">
        <v>0</v>
      </c>
      <c r="AO344" s="1">
        <v>279.95422539999998</v>
      </c>
      <c r="AP344" s="1">
        <v>3.24</v>
      </c>
      <c r="AQ344" s="1">
        <v>0.36</v>
      </c>
      <c r="AR344" s="1">
        <v>0.04</v>
      </c>
      <c r="AS344" s="1">
        <v>0.04</v>
      </c>
      <c r="AT344" s="1">
        <v>11.69</v>
      </c>
      <c r="AU344" s="1">
        <v>4.8899999999999997</v>
      </c>
      <c r="AV344" s="1">
        <v>0.02</v>
      </c>
      <c r="AW344" s="1">
        <v>0.06</v>
      </c>
      <c r="AX344" s="1">
        <v>0.92</v>
      </c>
      <c r="AY344" s="1">
        <v>0</v>
      </c>
      <c r="AZ344" s="1">
        <v>109.782</v>
      </c>
      <c r="BA344" s="1">
        <v>0</v>
      </c>
      <c r="BB344" s="1">
        <v>0</v>
      </c>
      <c r="BC344" s="1">
        <v>0</v>
      </c>
      <c r="BD344" s="1">
        <v>0</v>
      </c>
    </row>
    <row r="345" spans="1:56">
      <c r="A345" s="18">
        <v>46192</v>
      </c>
      <c r="B345" s="1">
        <v>344</v>
      </c>
      <c r="C345" s="1" t="s">
        <v>89</v>
      </c>
      <c r="D345" s="1" t="s">
        <v>90</v>
      </c>
      <c r="E345" s="1">
        <v>2</v>
      </c>
      <c r="F345" s="1">
        <v>200</v>
      </c>
      <c r="G345" s="1">
        <v>1</v>
      </c>
      <c r="H345" s="1" t="s">
        <v>91</v>
      </c>
      <c r="I345" s="1" t="s">
        <v>79</v>
      </c>
      <c r="J345" s="1" t="s">
        <v>84</v>
      </c>
      <c r="K345" s="1" t="s">
        <v>74</v>
      </c>
      <c r="L345" s="1" t="s">
        <v>72</v>
      </c>
      <c r="M345" s="1" t="s">
        <v>75</v>
      </c>
      <c r="N345" s="1" t="s">
        <v>76</v>
      </c>
      <c r="O345" s="1" t="s">
        <v>77</v>
      </c>
      <c r="P345" s="1" t="s">
        <v>27</v>
      </c>
      <c r="Q345" s="1" t="s">
        <v>86</v>
      </c>
      <c r="R345" s="1" t="s">
        <v>94</v>
      </c>
      <c r="S345" s="1" t="s">
        <v>87</v>
      </c>
      <c r="T345" s="1" t="s">
        <v>88</v>
      </c>
      <c r="X345" s="1" t="s">
        <v>73</v>
      </c>
      <c r="Z345" s="1" t="s">
        <v>70</v>
      </c>
      <c r="AA345" s="1" t="s">
        <v>95</v>
      </c>
      <c r="AB345" s="1">
        <v>5</v>
      </c>
      <c r="AC345" s="1">
        <v>748820.21</v>
      </c>
      <c r="AD345" s="1">
        <v>8930527.6500000004</v>
      </c>
      <c r="AE345" s="1">
        <v>210.43</v>
      </c>
      <c r="AF345" s="1">
        <v>748820.21</v>
      </c>
      <c r="AG345" s="1">
        <v>8930527.6500000004</v>
      </c>
      <c r="AH345" s="1">
        <v>199.4</v>
      </c>
      <c r="AI345" s="1">
        <v>11.03</v>
      </c>
      <c r="AJ345" s="1">
        <v>0.6</v>
      </c>
      <c r="AK345" s="1">
        <v>2.97</v>
      </c>
      <c r="AL345" s="1">
        <v>2.58</v>
      </c>
      <c r="AM345" s="1">
        <v>0</v>
      </c>
      <c r="AN345" s="1">
        <v>0</v>
      </c>
      <c r="AO345" s="1">
        <v>279.95422539999998</v>
      </c>
      <c r="AP345" s="1">
        <v>3.23</v>
      </c>
      <c r="AQ345" s="1">
        <v>0.34</v>
      </c>
      <c r="AR345" s="1">
        <v>0.05</v>
      </c>
      <c r="AS345" s="1">
        <v>0.03</v>
      </c>
      <c r="AT345" s="1">
        <v>11.55</v>
      </c>
      <c r="AU345" s="1">
        <v>5.18</v>
      </c>
      <c r="AV345" s="1">
        <v>0</v>
      </c>
      <c r="AW345" s="1">
        <v>0.01</v>
      </c>
      <c r="AX345" s="1">
        <v>7.0000000000000007E-2</v>
      </c>
      <c r="AY345" s="1">
        <v>0</v>
      </c>
      <c r="AZ345" s="1">
        <v>109.637</v>
      </c>
      <c r="BA345" s="1">
        <v>0</v>
      </c>
      <c r="BB345" s="1">
        <v>0</v>
      </c>
      <c r="BC345" s="1">
        <v>0</v>
      </c>
      <c r="BD345" s="1">
        <v>0</v>
      </c>
    </row>
    <row r="346" spans="1:56">
      <c r="A346" s="18">
        <v>46192</v>
      </c>
      <c r="B346" s="1">
        <v>345</v>
      </c>
      <c r="C346" s="1" t="s">
        <v>89</v>
      </c>
      <c r="D346" s="1" t="s">
        <v>90</v>
      </c>
      <c r="E346" s="1">
        <v>2</v>
      </c>
      <c r="F346" s="1">
        <v>200</v>
      </c>
      <c r="G346" s="1">
        <v>1</v>
      </c>
      <c r="H346" s="1" t="s">
        <v>91</v>
      </c>
      <c r="I346" s="1" t="s">
        <v>79</v>
      </c>
      <c r="J346" s="1" t="s">
        <v>84</v>
      </c>
      <c r="K346" s="1" t="s">
        <v>74</v>
      </c>
      <c r="L346" s="1" t="s">
        <v>72</v>
      </c>
      <c r="M346" s="1" t="s">
        <v>75</v>
      </c>
      <c r="N346" s="1" t="s">
        <v>76</v>
      </c>
      <c r="O346" s="1" t="s">
        <v>77</v>
      </c>
      <c r="P346" s="1" t="s">
        <v>27</v>
      </c>
      <c r="Q346" s="1" t="s">
        <v>86</v>
      </c>
      <c r="R346" s="1" t="s">
        <v>94</v>
      </c>
      <c r="S346" s="1" t="s">
        <v>87</v>
      </c>
      <c r="T346" s="1" t="s">
        <v>88</v>
      </c>
      <c r="X346" s="1" t="s">
        <v>73</v>
      </c>
      <c r="Z346" s="1" t="s">
        <v>70</v>
      </c>
      <c r="AA346" s="1" t="s">
        <v>95</v>
      </c>
      <c r="AB346" s="1">
        <v>5</v>
      </c>
      <c r="AC346" s="1">
        <v>748821.82</v>
      </c>
      <c r="AD346" s="1">
        <v>8930525.1500000004</v>
      </c>
      <c r="AE346" s="1">
        <v>210.39</v>
      </c>
      <c r="AF346" s="1">
        <v>748821.82</v>
      </c>
      <c r="AG346" s="1">
        <v>8930525.1500000004</v>
      </c>
      <c r="AH346" s="1">
        <v>199.4</v>
      </c>
      <c r="AI346" s="1">
        <v>10.99</v>
      </c>
      <c r="AJ346" s="1">
        <v>0.6</v>
      </c>
      <c r="AK346" s="1">
        <v>2.97</v>
      </c>
      <c r="AL346" s="1">
        <v>2.58</v>
      </c>
      <c r="AM346" s="1">
        <v>0</v>
      </c>
      <c r="AN346" s="1">
        <v>0</v>
      </c>
      <c r="AO346" s="1">
        <v>279.95422539999998</v>
      </c>
      <c r="AP346" s="1">
        <v>3.22</v>
      </c>
      <c r="AQ346" s="1">
        <v>0.35</v>
      </c>
      <c r="AR346" s="1">
        <v>0.05</v>
      </c>
      <c r="AS346" s="1">
        <v>0.03</v>
      </c>
      <c r="AT346" s="1">
        <v>11.66</v>
      </c>
      <c r="AU346" s="1">
        <v>5.26</v>
      </c>
      <c r="AV346" s="1">
        <v>0</v>
      </c>
      <c r="AW346" s="1">
        <v>0</v>
      </c>
      <c r="AX346" s="1">
        <v>0</v>
      </c>
      <c r="AY346" s="1">
        <v>0</v>
      </c>
      <c r="AZ346" s="1">
        <v>109.054</v>
      </c>
      <c r="BA346" s="1">
        <v>0</v>
      </c>
      <c r="BB346" s="1">
        <v>0</v>
      </c>
      <c r="BC346" s="1">
        <v>0</v>
      </c>
      <c r="BD346" s="1">
        <v>0</v>
      </c>
    </row>
    <row r="347" spans="1:56">
      <c r="A347" s="18">
        <v>46192</v>
      </c>
      <c r="B347" s="1">
        <v>346</v>
      </c>
      <c r="C347" s="1" t="s">
        <v>89</v>
      </c>
      <c r="D347" s="1" t="s">
        <v>90</v>
      </c>
      <c r="E347" s="1">
        <v>2</v>
      </c>
      <c r="F347" s="1">
        <v>200</v>
      </c>
      <c r="G347" s="1">
        <v>1</v>
      </c>
      <c r="H347" s="1" t="s">
        <v>91</v>
      </c>
      <c r="I347" s="1" t="s">
        <v>79</v>
      </c>
      <c r="J347" s="1" t="s">
        <v>84</v>
      </c>
      <c r="K347" s="1" t="s">
        <v>74</v>
      </c>
      <c r="L347" s="1" t="s">
        <v>72</v>
      </c>
      <c r="M347" s="1" t="s">
        <v>75</v>
      </c>
      <c r="N347" s="1" t="s">
        <v>76</v>
      </c>
      <c r="O347" s="1" t="s">
        <v>77</v>
      </c>
      <c r="P347" s="1" t="s">
        <v>27</v>
      </c>
      <c r="Q347" s="1" t="s">
        <v>86</v>
      </c>
      <c r="R347" s="1" t="s">
        <v>94</v>
      </c>
      <c r="S347" s="1" t="s">
        <v>87</v>
      </c>
      <c r="T347" s="1" t="s">
        <v>88</v>
      </c>
      <c r="X347" s="1" t="s">
        <v>73</v>
      </c>
      <c r="Z347" s="1" t="s">
        <v>70</v>
      </c>
      <c r="AA347" s="1" t="s">
        <v>95</v>
      </c>
      <c r="AB347" s="1">
        <v>5</v>
      </c>
      <c r="AC347" s="1">
        <v>748823.42</v>
      </c>
      <c r="AD347" s="1">
        <v>8930522.6500000004</v>
      </c>
      <c r="AE347" s="1">
        <v>210.62</v>
      </c>
      <c r="AF347" s="1">
        <v>748823.42</v>
      </c>
      <c r="AG347" s="1">
        <v>8930522.6500000004</v>
      </c>
      <c r="AH347" s="1">
        <v>199.4</v>
      </c>
      <c r="AI347" s="1">
        <v>11.22</v>
      </c>
      <c r="AJ347" s="1">
        <v>0.6</v>
      </c>
      <c r="AK347" s="1">
        <v>2.97</v>
      </c>
      <c r="AL347" s="1">
        <v>2.58</v>
      </c>
      <c r="AM347" s="1">
        <v>0</v>
      </c>
      <c r="AN347" s="1">
        <v>0</v>
      </c>
      <c r="AO347" s="1">
        <v>279.95422539999998</v>
      </c>
      <c r="AP347" s="1">
        <v>3.22</v>
      </c>
      <c r="AQ347" s="1">
        <v>0.35</v>
      </c>
      <c r="AR347" s="1">
        <v>0.05</v>
      </c>
      <c r="AS347" s="1">
        <v>0.03</v>
      </c>
      <c r="AT347" s="1">
        <v>11.65</v>
      </c>
      <c r="AU347" s="1">
        <v>5.26</v>
      </c>
      <c r="AV347" s="1">
        <v>0</v>
      </c>
      <c r="AW347" s="1">
        <v>0</v>
      </c>
      <c r="AX347" s="1">
        <v>0</v>
      </c>
      <c r="AY347" s="1">
        <v>0</v>
      </c>
      <c r="AZ347" s="1">
        <v>112.40300000000001</v>
      </c>
      <c r="BA347" s="1">
        <v>0</v>
      </c>
      <c r="BB347" s="1">
        <v>0</v>
      </c>
      <c r="BC347" s="1">
        <v>0</v>
      </c>
      <c r="BD347" s="1">
        <v>0</v>
      </c>
    </row>
    <row r="348" spans="1:56">
      <c r="A348" s="18">
        <v>46192</v>
      </c>
      <c r="B348" s="1">
        <v>347</v>
      </c>
      <c r="C348" s="1" t="s">
        <v>89</v>
      </c>
      <c r="D348" s="1" t="s">
        <v>90</v>
      </c>
      <c r="E348" s="1">
        <v>2</v>
      </c>
      <c r="F348" s="1">
        <v>200</v>
      </c>
      <c r="G348" s="1">
        <v>1</v>
      </c>
      <c r="H348" s="1" t="s">
        <v>91</v>
      </c>
      <c r="I348" s="1" t="s">
        <v>79</v>
      </c>
      <c r="J348" s="1" t="s">
        <v>84</v>
      </c>
      <c r="K348" s="1" t="s">
        <v>74</v>
      </c>
      <c r="L348" s="1" t="s">
        <v>72</v>
      </c>
      <c r="M348" s="1" t="s">
        <v>75</v>
      </c>
      <c r="N348" s="1" t="s">
        <v>76</v>
      </c>
      <c r="O348" s="1" t="s">
        <v>77</v>
      </c>
      <c r="P348" s="1" t="s">
        <v>27</v>
      </c>
      <c r="Q348" s="1" t="s">
        <v>86</v>
      </c>
      <c r="R348" s="1" t="s">
        <v>94</v>
      </c>
      <c r="S348" s="1" t="s">
        <v>87</v>
      </c>
      <c r="T348" s="1" t="s">
        <v>88</v>
      </c>
      <c r="X348" s="1" t="s">
        <v>73</v>
      </c>
      <c r="Z348" s="1" t="s">
        <v>70</v>
      </c>
      <c r="AA348" s="1" t="s">
        <v>95</v>
      </c>
      <c r="AB348" s="1">
        <v>5</v>
      </c>
      <c r="AC348" s="1">
        <v>748825.02</v>
      </c>
      <c r="AD348" s="1">
        <v>8930520.1500000004</v>
      </c>
      <c r="AE348" s="1">
        <v>210.51</v>
      </c>
      <c r="AF348" s="1">
        <v>748825.02</v>
      </c>
      <c r="AG348" s="1">
        <v>8930520.1500000004</v>
      </c>
      <c r="AH348" s="1">
        <v>199.4</v>
      </c>
      <c r="AI348" s="1">
        <v>11.11</v>
      </c>
      <c r="AJ348" s="1">
        <v>0.6</v>
      </c>
      <c r="AK348" s="1">
        <v>2.97</v>
      </c>
      <c r="AL348" s="1">
        <v>2.58</v>
      </c>
      <c r="AM348" s="1">
        <v>0</v>
      </c>
      <c r="AN348" s="1">
        <v>0</v>
      </c>
      <c r="AO348" s="1">
        <v>279.95422539999998</v>
      </c>
      <c r="AP348" s="1">
        <v>3.22</v>
      </c>
      <c r="AQ348" s="1">
        <v>0.35</v>
      </c>
      <c r="AR348" s="1">
        <v>0.05</v>
      </c>
      <c r="AS348" s="1">
        <v>0.03</v>
      </c>
      <c r="AT348" s="1">
        <v>11.75</v>
      </c>
      <c r="AU348" s="1">
        <v>5.28</v>
      </c>
      <c r="AV348" s="1">
        <v>0</v>
      </c>
      <c r="AW348" s="1">
        <v>0</v>
      </c>
      <c r="AX348" s="1">
        <v>0</v>
      </c>
      <c r="AY348" s="1">
        <v>0</v>
      </c>
      <c r="AZ348" s="1">
        <v>110.80200000000001</v>
      </c>
      <c r="BA348" s="1">
        <v>0</v>
      </c>
      <c r="BB348" s="1">
        <v>0</v>
      </c>
      <c r="BC348" s="1">
        <v>0</v>
      </c>
      <c r="BD348" s="1">
        <v>0</v>
      </c>
    </row>
    <row r="349" spans="1:56">
      <c r="A349" s="18">
        <v>46192</v>
      </c>
      <c r="B349" s="1">
        <v>348</v>
      </c>
      <c r="C349" s="1" t="s">
        <v>89</v>
      </c>
      <c r="D349" s="1" t="s">
        <v>90</v>
      </c>
      <c r="E349" s="1">
        <v>2</v>
      </c>
      <c r="F349" s="1">
        <v>200</v>
      </c>
      <c r="G349" s="1">
        <v>1</v>
      </c>
      <c r="H349" s="1" t="s">
        <v>91</v>
      </c>
      <c r="I349" s="1" t="s">
        <v>79</v>
      </c>
      <c r="J349" s="1" t="s">
        <v>84</v>
      </c>
      <c r="K349" s="1" t="s">
        <v>74</v>
      </c>
      <c r="L349" s="1" t="s">
        <v>72</v>
      </c>
      <c r="M349" s="1" t="s">
        <v>75</v>
      </c>
      <c r="N349" s="1" t="s">
        <v>76</v>
      </c>
      <c r="O349" s="1" t="s">
        <v>77</v>
      </c>
      <c r="P349" s="1" t="s">
        <v>27</v>
      </c>
      <c r="Q349" s="1" t="s">
        <v>86</v>
      </c>
      <c r="R349" s="1" t="s">
        <v>94</v>
      </c>
      <c r="S349" s="1" t="s">
        <v>87</v>
      </c>
      <c r="T349" s="1" t="s">
        <v>88</v>
      </c>
      <c r="X349" s="1" t="s">
        <v>73</v>
      </c>
      <c r="Z349" s="1" t="s">
        <v>70</v>
      </c>
      <c r="AA349" s="1" t="s">
        <v>95</v>
      </c>
      <c r="AB349" s="1">
        <v>5</v>
      </c>
      <c r="AC349" s="1">
        <v>748826.63</v>
      </c>
      <c r="AD349" s="1">
        <v>8930517.6500000004</v>
      </c>
      <c r="AE349" s="1">
        <v>210.23</v>
      </c>
      <c r="AF349" s="1">
        <v>748826.63</v>
      </c>
      <c r="AG349" s="1">
        <v>8930517.6500000004</v>
      </c>
      <c r="AH349" s="1">
        <v>199.4</v>
      </c>
      <c r="AI349" s="1">
        <v>10.83</v>
      </c>
      <c r="AJ349" s="1">
        <v>0.6</v>
      </c>
      <c r="AK349" s="1">
        <v>2.97</v>
      </c>
      <c r="AL349" s="1">
        <v>2.58</v>
      </c>
      <c r="AM349" s="1">
        <v>0</v>
      </c>
      <c r="AN349" s="1">
        <v>0</v>
      </c>
      <c r="AO349" s="1">
        <v>279.95422539999998</v>
      </c>
      <c r="AP349" s="1">
        <v>3.21</v>
      </c>
      <c r="AQ349" s="1">
        <v>0.35</v>
      </c>
      <c r="AR349" s="1">
        <v>0.05</v>
      </c>
      <c r="AS349" s="1">
        <v>0.03</v>
      </c>
      <c r="AT349" s="1">
        <v>11.86</v>
      </c>
      <c r="AU349" s="1">
        <v>5.31</v>
      </c>
      <c r="AV349" s="1">
        <v>0</v>
      </c>
      <c r="AW349" s="1">
        <v>0</v>
      </c>
      <c r="AX349" s="1">
        <v>0</v>
      </c>
      <c r="AY349" s="1">
        <v>0</v>
      </c>
      <c r="AZ349" s="1">
        <v>106.72499999999999</v>
      </c>
      <c r="BA349" s="1">
        <v>0</v>
      </c>
      <c r="BB349" s="1">
        <v>0</v>
      </c>
      <c r="BC349" s="1">
        <v>0</v>
      </c>
      <c r="BD349" s="1">
        <v>0</v>
      </c>
    </row>
    <row r="350" spans="1:56">
      <c r="A350" s="18">
        <v>46192</v>
      </c>
      <c r="B350" s="1">
        <v>349</v>
      </c>
      <c r="C350" s="1" t="s">
        <v>89</v>
      </c>
      <c r="D350" s="1" t="s">
        <v>90</v>
      </c>
      <c r="E350" s="1">
        <v>2</v>
      </c>
      <c r="F350" s="1">
        <v>200</v>
      </c>
      <c r="G350" s="1">
        <v>1</v>
      </c>
      <c r="H350" s="1" t="s">
        <v>91</v>
      </c>
      <c r="I350" s="1" t="s">
        <v>79</v>
      </c>
      <c r="J350" s="1" t="s">
        <v>84</v>
      </c>
      <c r="K350" s="1" t="s">
        <v>74</v>
      </c>
      <c r="L350" s="1" t="s">
        <v>72</v>
      </c>
      <c r="M350" s="1" t="s">
        <v>75</v>
      </c>
      <c r="N350" s="1" t="s">
        <v>76</v>
      </c>
      <c r="O350" s="1" t="s">
        <v>77</v>
      </c>
      <c r="P350" s="1" t="s">
        <v>27</v>
      </c>
      <c r="Q350" s="1" t="s">
        <v>86</v>
      </c>
      <c r="R350" s="1" t="s">
        <v>94</v>
      </c>
      <c r="S350" s="1" t="s">
        <v>87</v>
      </c>
      <c r="T350" s="1" t="s">
        <v>88</v>
      </c>
      <c r="X350" s="1" t="s">
        <v>73</v>
      </c>
      <c r="Z350" s="1" t="s">
        <v>70</v>
      </c>
      <c r="AA350" s="1" t="s">
        <v>95</v>
      </c>
      <c r="AB350" s="1">
        <v>5</v>
      </c>
      <c r="AC350" s="1">
        <v>748828.23</v>
      </c>
      <c r="AD350" s="1">
        <v>8930515.1500000004</v>
      </c>
      <c r="AE350" s="1">
        <v>210.26</v>
      </c>
      <c r="AF350" s="1">
        <v>748828.23</v>
      </c>
      <c r="AG350" s="1">
        <v>8930515.1500000004</v>
      </c>
      <c r="AH350" s="1">
        <v>199.4</v>
      </c>
      <c r="AI350" s="1">
        <v>10.86</v>
      </c>
      <c r="AJ350" s="1">
        <v>0.6</v>
      </c>
      <c r="AK350" s="1">
        <v>2.97</v>
      </c>
      <c r="AL350" s="1">
        <v>2.58</v>
      </c>
      <c r="AM350" s="1">
        <v>0</v>
      </c>
      <c r="AN350" s="1">
        <v>0</v>
      </c>
      <c r="AO350" s="1">
        <v>279.95422539999998</v>
      </c>
      <c r="AP350" s="1">
        <v>3.21</v>
      </c>
      <c r="AQ350" s="1">
        <v>0.35</v>
      </c>
      <c r="AR350" s="1">
        <v>0.05</v>
      </c>
      <c r="AS350" s="1">
        <v>0.03</v>
      </c>
      <c r="AT350" s="1">
        <v>11.85</v>
      </c>
      <c r="AU350" s="1">
        <v>5.3</v>
      </c>
      <c r="AV350" s="1">
        <v>0</v>
      </c>
      <c r="AW350" s="1">
        <v>0.01</v>
      </c>
      <c r="AX350" s="1">
        <v>0</v>
      </c>
      <c r="AY350" s="1">
        <v>0</v>
      </c>
      <c r="AZ350" s="1">
        <v>107.16200000000001</v>
      </c>
      <c r="BA350" s="1">
        <v>0</v>
      </c>
      <c r="BB350" s="1">
        <v>0</v>
      </c>
      <c r="BC350" s="1">
        <v>0</v>
      </c>
      <c r="BD350" s="1">
        <v>0</v>
      </c>
    </row>
    <row r="351" spans="1:56">
      <c r="A351" s="18">
        <v>46192</v>
      </c>
      <c r="B351" s="1">
        <v>350</v>
      </c>
      <c r="C351" s="1" t="s">
        <v>89</v>
      </c>
      <c r="D351" s="1" t="s">
        <v>90</v>
      </c>
      <c r="E351" s="1">
        <v>2</v>
      </c>
      <c r="F351" s="1">
        <v>200</v>
      </c>
      <c r="G351" s="1">
        <v>1</v>
      </c>
      <c r="H351" s="1" t="s">
        <v>91</v>
      </c>
      <c r="I351" s="1" t="s">
        <v>79</v>
      </c>
      <c r="J351" s="1" t="s">
        <v>84</v>
      </c>
      <c r="K351" s="1" t="s">
        <v>74</v>
      </c>
      <c r="L351" s="1" t="s">
        <v>72</v>
      </c>
      <c r="M351" s="1" t="s">
        <v>75</v>
      </c>
      <c r="N351" s="1" t="s">
        <v>76</v>
      </c>
      <c r="O351" s="1" t="s">
        <v>77</v>
      </c>
      <c r="P351" s="1" t="s">
        <v>27</v>
      </c>
      <c r="Q351" s="1" t="s">
        <v>86</v>
      </c>
      <c r="R351" s="1" t="s">
        <v>94</v>
      </c>
      <c r="S351" s="1" t="s">
        <v>87</v>
      </c>
      <c r="T351" s="1" t="s">
        <v>88</v>
      </c>
      <c r="X351" s="1" t="s">
        <v>73</v>
      </c>
      <c r="Z351" s="1" t="s">
        <v>70</v>
      </c>
      <c r="AA351" s="1" t="s">
        <v>95</v>
      </c>
      <c r="AB351" s="1">
        <v>5</v>
      </c>
      <c r="AC351" s="1">
        <v>748829.83</v>
      </c>
      <c r="AD351" s="1">
        <v>8930512.6400000006</v>
      </c>
      <c r="AE351" s="1">
        <v>210.2</v>
      </c>
      <c r="AF351" s="1">
        <v>748829.83</v>
      </c>
      <c r="AG351" s="1">
        <v>8930512.6400000006</v>
      </c>
      <c r="AH351" s="1">
        <v>199.4</v>
      </c>
      <c r="AI351" s="1">
        <v>10.8</v>
      </c>
      <c r="AJ351" s="1">
        <v>0.6</v>
      </c>
      <c r="AK351" s="1">
        <v>2.97</v>
      </c>
      <c r="AL351" s="1">
        <v>2.58</v>
      </c>
      <c r="AM351" s="1">
        <v>0</v>
      </c>
      <c r="AN351" s="1">
        <v>0</v>
      </c>
      <c r="AO351" s="1">
        <v>279.95422539999998</v>
      </c>
      <c r="AP351" s="1">
        <v>3.21</v>
      </c>
      <c r="AQ351" s="1">
        <v>0.34</v>
      </c>
      <c r="AR351" s="1">
        <v>0.04</v>
      </c>
      <c r="AS351" s="1">
        <v>0.03</v>
      </c>
      <c r="AT351" s="1">
        <v>11.64</v>
      </c>
      <c r="AU351" s="1">
        <v>5.25</v>
      </c>
      <c r="AV351" s="1">
        <v>0</v>
      </c>
      <c r="AW351" s="1">
        <v>0.06</v>
      </c>
      <c r="AX351" s="1">
        <v>0</v>
      </c>
      <c r="AY351" s="1">
        <v>0</v>
      </c>
      <c r="AZ351" s="1">
        <v>106.288</v>
      </c>
      <c r="BA351" s="1">
        <v>0</v>
      </c>
      <c r="BB351" s="1">
        <v>0</v>
      </c>
      <c r="BC351" s="1">
        <v>0</v>
      </c>
      <c r="BD351" s="1">
        <v>0</v>
      </c>
    </row>
    <row r="352" spans="1:56">
      <c r="A352" s="18">
        <v>46192</v>
      </c>
      <c r="B352" s="1">
        <v>351</v>
      </c>
      <c r="C352" s="1" t="s">
        <v>89</v>
      </c>
      <c r="D352" s="1" t="s">
        <v>90</v>
      </c>
      <c r="E352" s="1">
        <v>2</v>
      </c>
      <c r="F352" s="1">
        <v>200</v>
      </c>
      <c r="G352" s="1">
        <v>1</v>
      </c>
      <c r="H352" s="1" t="s">
        <v>91</v>
      </c>
      <c r="I352" s="1" t="s">
        <v>79</v>
      </c>
      <c r="J352" s="1" t="s">
        <v>84</v>
      </c>
      <c r="K352" s="1" t="s">
        <v>74</v>
      </c>
      <c r="L352" s="1" t="s">
        <v>72</v>
      </c>
      <c r="M352" s="1" t="s">
        <v>75</v>
      </c>
      <c r="N352" s="1" t="s">
        <v>76</v>
      </c>
      <c r="O352" s="1" t="s">
        <v>77</v>
      </c>
      <c r="P352" s="1" t="s">
        <v>27</v>
      </c>
      <c r="Q352" s="1" t="s">
        <v>86</v>
      </c>
      <c r="R352" s="1" t="s">
        <v>94</v>
      </c>
      <c r="S352" s="1" t="s">
        <v>87</v>
      </c>
      <c r="T352" s="1" t="s">
        <v>88</v>
      </c>
      <c r="X352" s="1" t="s">
        <v>73</v>
      </c>
      <c r="Z352" s="1" t="s">
        <v>70</v>
      </c>
      <c r="AA352" s="1" t="s">
        <v>95</v>
      </c>
      <c r="AB352" s="1">
        <v>5</v>
      </c>
      <c r="AC352" s="1">
        <v>748831.44</v>
      </c>
      <c r="AD352" s="1">
        <v>8930510.1400000006</v>
      </c>
      <c r="AE352" s="1">
        <v>210.19</v>
      </c>
      <c r="AF352" s="1">
        <v>748831.44</v>
      </c>
      <c r="AG352" s="1">
        <v>8930510.1400000006</v>
      </c>
      <c r="AH352" s="1">
        <v>199.4</v>
      </c>
      <c r="AI352" s="1">
        <v>10.79</v>
      </c>
      <c r="AJ352" s="1">
        <v>0.6</v>
      </c>
      <c r="AK352" s="1">
        <v>2.97</v>
      </c>
      <c r="AL352" s="1">
        <v>2.58</v>
      </c>
      <c r="AM352" s="1">
        <v>0</v>
      </c>
      <c r="AN352" s="1">
        <v>0</v>
      </c>
      <c r="AO352" s="1">
        <v>279.95422539999998</v>
      </c>
      <c r="AP352" s="1">
        <v>3.19</v>
      </c>
      <c r="AQ352" s="1">
        <v>0.32</v>
      </c>
      <c r="AR352" s="1">
        <v>0.04</v>
      </c>
      <c r="AS352" s="1">
        <v>0.03</v>
      </c>
      <c r="AT352" s="1">
        <v>11.55</v>
      </c>
      <c r="AU352" s="1">
        <v>5.31</v>
      </c>
      <c r="AV352" s="1">
        <v>0.06</v>
      </c>
      <c r="AW352" s="1">
        <v>1.2</v>
      </c>
      <c r="AX352" s="1">
        <v>0</v>
      </c>
      <c r="AY352" s="1">
        <v>0</v>
      </c>
      <c r="AZ352" s="1">
        <v>106.142</v>
      </c>
      <c r="BA352" s="1">
        <v>0</v>
      </c>
      <c r="BB352" s="1">
        <v>0</v>
      </c>
      <c r="BC352" s="1">
        <v>0</v>
      </c>
      <c r="BD352" s="1">
        <v>0</v>
      </c>
    </row>
    <row r="353" spans="1:56">
      <c r="A353" s="18">
        <v>46192</v>
      </c>
      <c r="B353" s="1">
        <v>352</v>
      </c>
      <c r="C353" s="1" t="s">
        <v>89</v>
      </c>
      <c r="D353" s="1" t="s">
        <v>90</v>
      </c>
      <c r="E353" s="1">
        <v>2</v>
      </c>
      <c r="F353" s="1">
        <v>200</v>
      </c>
      <c r="G353" s="1">
        <v>1</v>
      </c>
      <c r="H353" s="1" t="s">
        <v>91</v>
      </c>
      <c r="I353" s="1" t="s">
        <v>79</v>
      </c>
      <c r="J353" s="1" t="s">
        <v>84</v>
      </c>
      <c r="K353" s="1" t="s">
        <v>74</v>
      </c>
      <c r="L353" s="1" t="s">
        <v>72</v>
      </c>
      <c r="M353" s="1" t="s">
        <v>75</v>
      </c>
      <c r="N353" s="1" t="s">
        <v>76</v>
      </c>
      <c r="O353" s="1" t="s">
        <v>77</v>
      </c>
      <c r="P353" s="1" t="s">
        <v>27</v>
      </c>
      <c r="Q353" s="1" t="s">
        <v>86</v>
      </c>
      <c r="R353" s="1" t="s">
        <v>94</v>
      </c>
      <c r="S353" s="1" t="s">
        <v>87</v>
      </c>
      <c r="T353" s="1" t="s">
        <v>88</v>
      </c>
      <c r="X353" s="1" t="s">
        <v>73</v>
      </c>
      <c r="Z353" s="1" t="s">
        <v>70</v>
      </c>
      <c r="AA353" s="1" t="s">
        <v>95</v>
      </c>
      <c r="AB353" s="1">
        <v>5</v>
      </c>
      <c r="AC353" s="1">
        <v>748833.04</v>
      </c>
      <c r="AD353" s="1">
        <v>8930507.6400000006</v>
      </c>
      <c r="AE353" s="1">
        <v>210.3</v>
      </c>
      <c r="AF353" s="1">
        <v>748833.04</v>
      </c>
      <c r="AG353" s="1">
        <v>8930507.6400000006</v>
      </c>
      <c r="AH353" s="1">
        <v>199.4</v>
      </c>
      <c r="AI353" s="1">
        <v>10.9</v>
      </c>
      <c r="AJ353" s="1">
        <v>0.6</v>
      </c>
      <c r="AK353" s="1">
        <v>2.97</v>
      </c>
      <c r="AL353" s="1">
        <v>2.58</v>
      </c>
      <c r="AM353" s="1">
        <v>0</v>
      </c>
      <c r="AN353" s="1">
        <v>0</v>
      </c>
      <c r="AO353" s="1">
        <v>279.95422539999998</v>
      </c>
      <c r="AP353" s="1">
        <v>3.17</v>
      </c>
      <c r="AQ353" s="1">
        <v>0.32</v>
      </c>
      <c r="AR353" s="1">
        <v>0.04</v>
      </c>
      <c r="AS353" s="1">
        <v>0.03</v>
      </c>
      <c r="AT353" s="1">
        <v>11.69</v>
      </c>
      <c r="AU353" s="1">
        <v>5.48</v>
      </c>
      <c r="AV353" s="1">
        <v>0.12</v>
      </c>
      <c r="AW353" s="1">
        <v>2.46</v>
      </c>
      <c r="AX353" s="1">
        <v>0</v>
      </c>
      <c r="AY353" s="1">
        <v>0</v>
      </c>
      <c r="AZ353" s="1">
        <v>107.744</v>
      </c>
      <c r="BA353" s="1">
        <v>0</v>
      </c>
      <c r="BB353" s="1">
        <v>0</v>
      </c>
      <c r="BC353" s="1">
        <v>0</v>
      </c>
      <c r="BD353" s="1">
        <v>0</v>
      </c>
    </row>
    <row r="354" spans="1:56">
      <c r="A354" s="18">
        <v>46192</v>
      </c>
      <c r="B354" s="1">
        <v>353</v>
      </c>
      <c r="C354" s="1" t="s">
        <v>89</v>
      </c>
      <c r="D354" s="1" t="s">
        <v>90</v>
      </c>
      <c r="E354" s="1">
        <v>2</v>
      </c>
      <c r="F354" s="1">
        <v>200</v>
      </c>
      <c r="G354" s="1">
        <v>1</v>
      </c>
      <c r="H354" s="1" t="s">
        <v>91</v>
      </c>
      <c r="I354" s="1" t="s">
        <v>79</v>
      </c>
      <c r="J354" s="1" t="s">
        <v>84</v>
      </c>
      <c r="K354" s="1" t="s">
        <v>74</v>
      </c>
      <c r="L354" s="1" t="s">
        <v>72</v>
      </c>
      <c r="M354" s="1" t="s">
        <v>75</v>
      </c>
      <c r="N354" s="1" t="s">
        <v>76</v>
      </c>
      <c r="O354" s="1" t="s">
        <v>77</v>
      </c>
      <c r="P354" s="1" t="s">
        <v>27</v>
      </c>
      <c r="Q354" s="1" t="s">
        <v>86</v>
      </c>
      <c r="R354" s="1" t="s">
        <v>94</v>
      </c>
      <c r="S354" s="1" t="s">
        <v>87</v>
      </c>
      <c r="T354" s="1" t="s">
        <v>88</v>
      </c>
      <c r="X354" s="1" t="s">
        <v>73</v>
      </c>
      <c r="Z354" s="1" t="s">
        <v>70</v>
      </c>
      <c r="AA354" s="1" t="s">
        <v>95</v>
      </c>
      <c r="AB354" s="1">
        <v>5</v>
      </c>
      <c r="AC354" s="1">
        <v>748834.64</v>
      </c>
      <c r="AD354" s="1">
        <v>8930505.1400000006</v>
      </c>
      <c r="AE354" s="1">
        <v>210.32</v>
      </c>
      <c r="AF354" s="1">
        <v>748834.64</v>
      </c>
      <c r="AG354" s="1">
        <v>8930505.1400000006</v>
      </c>
      <c r="AH354" s="1">
        <v>199.4</v>
      </c>
      <c r="AI354" s="1">
        <v>10.92</v>
      </c>
      <c r="AJ354" s="1">
        <v>0.6</v>
      </c>
      <c r="AK354" s="1">
        <v>2.97</v>
      </c>
      <c r="AL354" s="1">
        <v>2.58</v>
      </c>
      <c r="AM354" s="1">
        <v>0</v>
      </c>
      <c r="AN354" s="1">
        <v>0</v>
      </c>
      <c r="AO354" s="1">
        <v>279.95422539999998</v>
      </c>
      <c r="AP354" s="1">
        <v>3.13</v>
      </c>
      <c r="AQ354" s="1">
        <v>0.27</v>
      </c>
      <c r="AR354" s="1">
        <v>0.03</v>
      </c>
      <c r="AS354" s="1">
        <v>0.03</v>
      </c>
      <c r="AT354" s="1">
        <v>10.07</v>
      </c>
      <c r="AU354" s="1">
        <v>4.7300000000000004</v>
      </c>
      <c r="AV354" s="1">
        <v>0.11</v>
      </c>
      <c r="AW354" s="1">
        <v>2.14</v>
      </c>
      <c r="AX354" s="1">
        <v>0</v>
      </c>
      <c r="AY354" s="1">
        <v>0</v>
      </c>
      <c r="AZ354" s="1">
        <v>108.035</v>
      </c>
      <c r="BA354" s="1">
        <v>0</v>
      </c>
      <c r="BB354" s="1">
        <v>0</v>
      </c>
      <c r="BC354" s="1">
        <v>0</v>
      </c>
      <c r="BD354" s="1">
        <v>0</v>
      </c>
    </row>
    <row r="355" spans="1:56">
      <c r="A355" s="18">
        <v>46192</v>
      </c>
      <c r="B355" s="1">
        <v>354</v>
      </c>
      <c r="C355" s="1" t="s">
        <v>89</v>
      </c>
      <c r="D355" s="1" t="s">
        <v>90</v>
      </c>
      <c r="E355" s="1">
        <v>2</v>
      </c>
      <c r="F355" s="1">
        <v>200</v>
      </c>
      <c r="H355" s="1" t="s">
        <v>91</v>
      </c>
      <c r="I355" s="1" t="s">
        <v>28</v>
      </c>
      <c r="J355" s="1" t="s">
        <v>71</v>
      </c>
      <c r="K355" s="1" t="s">
        <v>74</v>
      </c>
      <c r="L355" s="1" t="s">
        <v>72</v>
      </c>
      <c r="M355" s="1" t="s">
        <v>75</v>
      </c>
      <c r="N355" s="1" t="s">
        <v>76</v>
      </c>
      <c r="O355" s="1" t="s">
        <v>77</v>
      </c>
      <c r="P355" s="1" t="s">
        <v>27</v>
      </c>
      <c r="Q355" s="1" t="s">
        <v>86</v>
      </c>
      <c r="R355" s="1" t="s">
        <v>94</v>
      </c>
      <c r="S355" s="1" t="s">
        <v>87</v>
      </c>
      <c r="T355" s="1" t="s">
        <v>88</v>
      </c>
      <c r="X355" s="1" t="s">
        <v>73</v>
      </c>
      <c r="Z355" s="1" t="s">
        <v>70</v>
      </c>
      <c r="AA355" s="1" t="s">
        <v>95</v>
      </c>
      <c r="AB355" s="1">
        <v>5</v>
      </c>
      <c r="AC355" s="1">
        <v>748836.24</v>
      </c>
      <c r="AD355" s="1">
        <v>8930502.6400000006</v>
      </c>
      <c r="AE355" s="1">
        <v>210.36</v>
      </c>
      <c r="AF355" s="1">
        <v>748836.24</v>
      </c>
      <c r="AG355" s="1">
        <v>8930502.6400000006</v>
      </c>
      <c r="AH355" s="1">
        <v>199.4</v>
      </c>
      <c r="AI355" s="1">
        <v>10.96</v>
      </c>
      <c r="AJ355" s="1">
        <v>0.6</v>
      </c>
      <c r="AK355" s="1">
        <v>2.97</v>
      </c>
      <c r="AL355" s="1">
        <v>2.58</v>
      </c>
      <c r="AM355" s="1">
        <v>0</v>
      </c>
      <c r="AN355" s="1">
        <v>0</v>
      </c>
      <c r="AO355" s="1">
        <v>279.95422539999998</v>
      </c>
      <c r="AP355" s="1">
        <v>2.98</v>
      </c>
      <c r="AQ355" s="1">
        <v>0.09</v>
      </c>
      <c r="AR355" s="1">
        <v>0.01</v>
      </c>
      <c r="AS355" s="1">
        <v>0.01</v>
      </c>
      <c r="AT355" s="1">
        <v>3.37</v>
      </c>
      <c r="AU355" s="1">
        <v>1.58</v>
      </c>
      <c r="AV355" s="1">
        <v>0.04</v>
      </c>
      <c r="AW355" s="1">
        <v>0.73</v>
      </c>
      <c r="AX355" s="1">
        <v>0</v>
      </c>
      <c r="AY355" s="1">
        <v>0</v>
      </c>
      <c r="AZ355" s="1">
        <v>108.61799999999999</v>
      </c>
      <c r="BA355" s="1">
        <v>0</v>
      </c>
      <c r="BB355" s="1">
        <v>0</v>
      </c>
      <c r="BC355" s="1">
        <v>0</v>
      </c>
      <c r="BD355" s="1">
        <v>0</v>
      </c>
    </row>
    <row r="356" spans="1:56">
      <c r="A356" s="18">
        <v>46192</v>
      </c>
      <c r="B356" s="1">
        <v>355</v>
      </c>
      <c r="C356" s="1" t="s">
        <v>89</v>
      </c>
      <c r="D356" s="1" t="s">
        <v>90</v>
      </c>
      <c r="E356" s="1">
        <v>2</v>
      </c>
      <c r="F356" s="1">
        <v>200</v>
      </c>
      <c r="H356" s="1" t="s">
        <v>91</v>
      </c>
      <c r="I356" s="1" t="s">
        <v>28</v>
      </c>
      <c r="J356" s="1" t="s">
        <v>71</v>
      </c>
      <c r="K356" s="1" t="s">
        <v>74</v>
      </c>
      <c r="L356" s="1" t="s">
        <v>72</v>
      </c>
      <c r="M356" s="1" t="s">
        <v>75</v>
      </c>
      <c r="N356" s="1" t="s">
        <v>76</v>
      </c>
      <c r="O356" s="1" t="s">
        <v>77</v>
      </c>
      <c r="P356" s="1" t="s">
        <v>27</v>
      </c>
      <c r="Q356" s="1" t="s">
        <v>86</v>
      </c>
      <c r="R356" s="1" t="s">
        <v>94</v>
      </c>
      <c r="S356" s="1" t="s">
        <v>87</v>
      </c>
      <c r="T356" s="1" t="s">
        <v>88</v>
      </c>
      <c r="X356" s="1" t="s">
        <v>73</v>
      </c>
      <c r="Z356" s="1" t="s">
        <v>70</v>
      </c>
      <c r="AA356" s="1" t="s">
        <v>95</v>
      </c>
      <c r="AB356" s="1">
        <v>5</v>
      </c>
      <c r="AC356" s="1">
        <v>748835.02</v>
      </c>
      <c r="AD356" s="1">
        <v>8930499.7799999993</v>
      </c>
      <c r="AE356" s="1">
        <v>210.36</v>
      </c>
      <c r="AF356" s="1">
        <v>748835.02</v>
      </c>
      <c r="AG356" s="1">
        <v>8930499.7799999993</v>
      </c>
      <c r="AH356" s="1">
        <v>199.4</v>
      </c>
      <c r="AI356" s="1">
        <v>10.96</v>
      </c>
      <c r="AJ356" s="1">
        <v>0.6</v>
      </c>
      <c r="AK356" s="1">
        <v>2.97</v>
      </c>
      <c r="AL356" s="1">
        <v>2.58</v>
      </c>
      <c r="AM356" s="1">
        <v>0</v>
      </c>
      <c r="AN356" s="1">
        <v>0</v>
      </c>
      <c r="AO356" s="1">
        <v>279.95422539999998</v>
      </c>
      <c r="AP356" s="1">
        <v>2.98</v>
      </c>
      <c r="AQ356" s="1">
        <v>0.12</v>
      </c>
      <c r="AR356" s="1">
        <v>0.01</v>
      </c>
      <c r="AS356" s="1">
        <v>0.01</v>
      </c>
      <c r="AT356" s="1">
        <v>4.54</v>
      </c>
      <c r="AU356" s="1">
        <v>2.06</v>
      </c>
      <c r="AV356" s="1">
        <v>0.05</v>
      </c>
      <c r="AW356" s="1">
        <v>0.94</v>
      </c>
      <c r="AX356" s="1">
        <v>0</v>
      </c>
      <c r="AY356" s="1">
        <v>0</v>
      </c>
      <c r="AZ356" s="1">
        <v>108.61799999999999</v>
      </c>
      <c r="BA356" s="1">
        <v>0</v>
      </c>
      <c r="BB356" s="1">
        <v>0</v>
      </c>
      <c r="BC356" s="1">
        <v>0</v>
      </c>
      <c r="BD356" s="1">
        <v>0</v>
      </c>
    </row>
    <row r="357" spans="1:56">
      <c r="A357" s="18">
        <v>46192</v>
      </c>
      <c r="B357" s="1">
        <v>356</v>
      </c>
      <c r="C357" s="1" t="s">
        <v>89</v>
      </c>
      <c r="D357" s="1" t="s">
        <v>90</v>
      </c>
      <c r="E357" s="1">
        <v>2</v>
      </c>
      <c r="F357" s="1">
        <v>200</v>
      </c>
      <c r="G357" s="1">
        <v>1</v>
      </c>
      <c r="H357" s="1" t="s">
        <v>91</v>
      </c>
      <c r="I357" s="1" t="s">
        <v>79</v>
      </c>
      <c r="J357" s="1" t="s">
        <v>84</v>
      </c>
      <c r="K357" s="1" t="s">
        <v>74</v>
      </c>
      <c r="L357" s="1" t="s">
        <v>72</v>
      </c>
      <c r="M357" s="1" t="s">
        <v>75</v>
      </c>
      <c r="N357" s="1" t="s">
        <v>76</v>
      </c>
      <c r="O357" s="1" t="s">
        <v>77</v>
      </c>
      <c r="P357" s="1" t="s">
        <v>27</v>
      </c>
      <c r="Q357" s="1" t="s">
        <v>86</v>
      </c>
      <c r="R357" s="1" t="s">
        <v>94</v>
      </c>
      <c r="S357" s="1" t="s">
        <v>87</v>
      </c>
      <c r="T357" s="1" t="s">
        <v>88</v>
      </c>
      <c r="X357" s="1" t="s">
        <v>73</v>
      </c>
      <c r="Z357" s="1" t="s">
        <v>70</v>
      </c>
      <c r="AA357" s="1" t="s">
        <v>95</v>
      </c>
      <c r="AB357" s="1">
        <v>5</v>
      </c>
      <c r="AC357" s="1">
        <v>748833.41</v>
      </c>
      <c r="AD357" s="1">
        <v>8930502.2799999993</v>
      </c>
      <c r="AE357" s="1">
        <v>210.38</v>
      </c>
      <c r="AF357" s="1">
        <v>748833.41</v>
      </c>
      <c r="AG357" s="1">
        <v>8930502.2799999993</v>
      </c>
      <c r="AH357" s="1">
        <v>199.4</v>
      </c>
      <c r="AI357" s="1">
        <v>10.98</v>
      </c>
      <c r="AJ357" s="1">
        <v>0.6</v>
      </c>
      <c r="AK357" s="1">
        <v>2.97</v>
      </c>
      <c r="AL357" s="1">
        <v>2.58</v>
      </c>
      <c r="AM357" s="1">
        <v>0</v>
      </c>
      <c r="AN357" s="1">
        <v>0</v>
      </c>
      <c r="AO357" s="1">
        <v>279.95422539999998</v>
      </c>
      <c r="AP357" s="1">
        <v>3.14</v>
      </c>
      <c r="AQ357" s="1">
        <v>0.28000000000000003</v>
      </c>
      <c r="AR357" s="1">
        <v>0.03</v>
      </c>
      <c r="AS357" s="1">
        <v>0.03</v>
      </c>
      <c r="AT357" s="1">
        <v>10.55</v>
      </c>
      <c r="AU357" s="1">
        <v>4.95</v>
      </c>
      <c r="AV357" s="1">
        <v>0.11</v>
      </c>
      <c r="AW357" s="1">
        <v>2.2200000000000002</v>
      </c>
      <c r="AX357" s="1">
        <v>0</v>
      </c>
      <c r="AY357" s="1">
        <v>0</v>
      </c>
      <c r="AZ357" s="1">
        <v>108.90900000000001</v>
      </c>
      <c r="BA357" s="1">
        <v>0</v>
      </c>
      <c r="BB357" s="1">
        <v>0</v>
      </c>
      <c r="BC357" s="1">
        <v>0</v>
      </c>
      <c r="BD357" s="1">
        <v>0</v>
      </c>
    </row>
    <row r="358" spans="1:56">
      <c r="A358" s="18">
        <v>46192</v>
      </c>
      <c r="B358" s="1">
        <v>357</v>
      </c>
      <c r="C358" s="1" t="s">
        <v>89</v>
      </c>
      <c r="D358" s="1" t="s">
        <v>90</v>
      </c>
      <c r="E358" s="1">
        <v>2</v>
      </c>
      <c r="F358" s="1">
        <v>200</v>
      </c>
      <c r="G358" s="1">
        <v>1</v>
      </c>
      <c r="H358" s="1" t="s">
        <v>91</v>
      </c>
      <c r="I358" s="1" t="s">
        <v>79</v>
      </c>
      <c r="J358" s="1" t="s">
        <v>84</v>
      </c>
      <c r="K358" s="1" t="s">
        <v>74</v>
      </c>
      <c r="L358" s="1" t="s">
        <v>72</v>
      </c>
      <c r="M358" s="1" t="s">
        <v>75</v>
      </c>
      <c r="N358" s="1" t="s">
        <v>76</v>
      </c>
      <c r="O358" s="1" t="s">
        <v>77</v>
      </c>
      <c r="P358" s="1" t="s">
        <v>27</v>
      </c>
      <c r="Q358" s="1" t="s">
        <v>86</v>
      </c>
      <c r="R358" s="1" t="s">
        <v>94</v>
      </c>
      <c r="S358" s="1" t="s">
        <v>87</v>
      </c>
      <c r="T358" s="1" t="s">
        <v>88</v>
      </c>
      <c r="X358" s="1" t="s">
        <v>73</v>
      </c>
      <c r="Z358" s="1" t="s">
        <v>70</v>
      </c>
      <c r="AA358" s="1" t="s">
        <v>95</v>
      </c>
      <c r="AB358" s="1">
        <v>5</v>
      </c>
      <c r="AC358" s="1">
        <v>748831.81</v>
      </c>
      <c r="AD358" s="1">
        <v>8930504.7799999993</v>
      </c>
      <c r="AE358" s="1">
        <v>210.4</v>
      </c>
      <c r="AF358" s="1">
        <v>748831.81</v>
      </c>
      <c r="AG358" s="1">
        <v>8930504.7799999993</v>
      </c>
      <c r="AH358" s="1">
        <v>199.4</v>
      </c>
      <c r="AI358" s="1">
        <v>11</v>
      </c>
      <c r="AJ358" s="1">
        <v>0.6</v>
      </c>
      <c r="AK358" s="1">
        <v>2.97</v>
      </c>
      <c r="AL358" s="1">
        <v>2.58</v>
      </c>
      <c r="AM358" s="1">
        <v>0</v>
      </c>
      <c r="AN358" s="1">
        <v>0</v>
      </c>
      <c r="AO358" s="1">
        <v>279.95422539999998</v>
      </c>
      <c r="AP358" s="1">
        <v>3.16</v>
      </c>
      <c r="AQ358" s="1">
        <v>0.31</v>
      </c>
      <c r="AR358" s="1">
        <v>0.04</v>
      </c>
      <c r="AS358" s="1">
        <v>0.03</v>
      </c>
      <c r="AT358" s="1">
        <v>11.69</v>
      </c>
      <c r="AU358" s="1">
        <v>5.47</v>
      </c>
      <c r="AV358" s="1">
        <v>0.12</v>
      </c>
      <c r="AW358" s="1">
        <v>2.44</v>
      </c>
      <c r="AX358" s="1">
        <v>0</v>
      </c>
      <c r="AY358" s="1">
        <v>0</v>
      </c>
      <c r="AZ358" s="1">
        <v>109.2</v>
      </c>
      <c r="BA358" s="1">
        <v>0</v>
      </c>
      <c r="BB358" s="1">
        <v>0</v>
      </c>
      <c r="BC358" s="1">
        <v>0</v>
      </c>
      <c r="BD358" s="1">
        <v>0</v>
      </c>
    </row>
    <row r="359" spans="1:56">
      <c r="A359" s="18">
        <v>46192</v>
      </c>
      <c r="B359" s="1">
        <v>358</v>
      </c>
      <c r="C359" s="1" t="s">
        <v>89</v>
      </c>
      <c r="D359" s="1" t="s">
        <v>90</v>
      </c>
      <c r="E359" s="1">
        <v>2</v>
      </c>
      <c r="F359" s="1">
        <v>200</v>
      </c>
      <c r="G359" s="1">
        <v>1</v>
      </c>
      <c r="H359" s="1" t="s">
        <v>91</v>
      </c>
      <c r="I359" s="1" t="s">
        <v>79</v>
      </c>
      <c r="J359" s="1" t="s">
        <v>84</v>
      </c>
      <c r="K359" s="1" t="s">
        <v>74</v>
      </c>
      <c r="L359" s="1" t="s">
        <v>72</v>
      </c>
      <c r="M359" s="1" t="s">
        <v>75</v>
      </c>
      <c r="N359" s="1" t="s">
        <v>76</v>
      </c>
      <c r="O359" s="1" t="s">
        <v>77</v>
      </c>
      <c r="P359" s="1" t="s">
        <v>27</v>
      </c>
      <c r="Q359" s="1" t="s">
        <v>86</v>
      </c>
      <c r="R359" s="1" t="s">
        <v>94</v>
      </c>
      <c r="S359" s="1" t="s">
        <v>87</v>
      </c>
      <c r="T359" s="1" t="s">
        <v>88</v>
      </c>
      <c r="X359" s="1" t="s">
        <v>73</v>
      </c>
      <c r="Z359" s="1" t="s">
        <v>70</v>
      </c>
      <c r="AA359" s="1" t="s">
        <v>95</v>
      </c>
      <c r="AB359" s="1">
        <v>5</v>
      </c>
      <c r="AC359" s="1">
        <v>748830.21</v>
      </c>
      <c r="AD359" s="1">
        <v>8930507.2799999993</v>
      </c>
      <c r="AE359" s="1">
        <v>210.29</v>
      </c>
      <c r="AF359" s="1">
        <v>748830.21</v>
      </c>
      <c r="AG359" s="1">
        <v>8930507.2799999993</v>
      </c>
      <c r="AH359" s="1">
        <v>199.4</v>
      </c>
      <c r="AI359" s="1">
        <v>10.89</v>
      </c>
      <c r="AJ359" s="1">
        <v>0.6</v>
      </c>
      <c r="AK359" s="1">
        <v>2.97</v>
      </c>
      <c r="AL359" s="1">
        <v>2.58</v>
      </c>
      <c r="AM359" s="1">
        <v>0</v>
      </c>
      <c r="AN359" s="1">
        <v>0</v>
      </c>
      <c r="AO359" s="1">
        <v>279.95422539999998</v>
      </c>
      <c r="AP359" s="1">
        <v>3.16</v>
      </c>
      <c r="AQ359" s="1">
        <v>0.32</v>
      </c>
      <c r="AR359" s="1">
        <v>0.04</v>
      </c>
      <c r="AS359" s="1">
        <v>0.03</v>
      </c>
      <c r="AT359" s="1">
        <v>11.74</v>
      </c>
      <c r="AU359" s="1">
        <v>5.37</v>
      </c>
      <c r="AV359" s="1">
        <v>0.12</v>
      </c>
      <c r="AW359" s="1">
        <v>2.5099999999999998</v>
      </c>
      <c r="AX359" s="1">
        <v>0</v>
      </c>
      <c r="AY359" s="1">
        <v>0</v>
      </c>
      <c r="AZ359" s="1">
        <v>107.598</v>
      </c>
      <c r="BA359" s="1">
        <v>0</v>
      </c>
      <c r="BB359" s="1">
        <v>0</v>
      </c>
      <c r="BC359" s="1">
        <v>0</v>
      </c>
      <c r="BD359" s="1">
        <v>0</v>
      </c>
    </row>
    <row r="360" spans="1:56">
      <c r="A360" s="18">
        <v>46192</v>
      </c>
      <c r="B360" s="1">
        <v>359</v>
      </c>
      <c r="C360" s="1" t="s">
        <v>89</v>
      </c>
      <c r="D360" s="1" t="s">
        <v>90</v>
      </c>
      <c r="E360" s="1">
        <v>2</v>
      </c>
      <c r="F360" s="1">
        <v>200</v>
      </c>
      <c r="G360" s="1">
        <v>1</v>
      </c>
      <c r="H360" s="1" t="s">
        <v>91</v>
      </c>
      <c r="I360" s="1" t="s">
        <v>79</v>
      </c>
      <c r="J360" s="1" t="s">
        <v>84</v>
      </c>
      <c r="K360" s="1" t="s">
        <v>74</v>
      </c>
      <c r="L360" s="1" t="s">
        <v>72</v>
      </c>
      <c r="M360" s="1" t="s">
        <v>75</v>
      </c>
      <c r="N360" s="1" t="s">
        <v>76</v>
      </c>
      <c r="O360" s="1" t="s">
        <v>77</v>
      </c>
      <c r="P360" s="1" t="s">
        <v>27</v>
      </c>
      <c r="Q360" s="1" t="s">
        <v>86</v>
      </c>
      <c r="R360" s="1" t="s">
        <v>94</v>
      </c>
      <c r="S360" s="1" t="s">
        <v>87</v>
      </c>
      <c r="T360" s="1" t="s">
        <v>88</v>
      </c>
      <c r="X360" s="1" t="s">
        <v>73</v>
      </c>
      <c r="Z360" s="1" t="s">
        <v>70</v>
      </c>
      <c r="AA360" s="1" t="s">
        <v>95</v>
      </c>
      <c r="AB360" s="1">
        <v>5</v>
      </c>
      <c r="AC360" s="1">
        <v>748828.6</v>
      </c>
      <c r="AD360" s="1">
        <v>8930509.7799999993</v>
      </c>
      <c r="AE360" s="1">
        <v>210.28</v>
      </c>
      <c r="AF360" s="1">
        <v>748828.6</v>
      </c>
      <c r="AG360" s="1">
        <v>8930509.7799999993</v>
      </c>
      <c r="AH360" s="1">
        <v>199.4</v>
      </c>
      <c r="AI360" s="1">
        <v>10.88</v>
      </c>
      <c r="AJ360" s="1">
        <v>0.6</v>
      </c>
      <c r="AK360" s="1">
        <v>2.97</v>
      </c>
      <c r="AL360" s="1">
        <v>2.58</v>
      </c>
      <c r="AM360" s="1">
        <v>0</v>
      </c>
      <c r="AN360" s="1">
        <v>0</v>
      </c>
      <c r="AO360" s="1">
        <v>279.95422539999998</v>
      </c>
      <c r="AP360" s="1">
        <v>3.17</v>
      </c>
      <c r="AQ360" s="1">
        <v>0.33</v>
      </c>
      <c r="AR360" s="1">
        <v>0.04</v>
      </c>
      <c r="AS360" s="1">
        <v>0.03</v>
      </c>
      <c r="AT360" s="1">
        <v>11.8</v>
      </c>
      <c r="AU360" s="1">
        <v>5.28</v>
      </c>
      <c r="AV360" s="1">
        <v>7.0000000000000007E-2</v>
      </c>
      <c r="AW360" s="1">
        <v>1.44</v>
      </c>
      <c r="AX360" s="1">
        <v>0</v>
      </c>
      <c r="AY360" s="1">
        <v>0</v>
      </c>
      <c r="AZ360" s="1">
        <v>107.453</v>
      </c>
      <c r="BA360" s="1">
        <v>0</v>
      </c>
      <c r="BB360" s="1">
        <v>0</v>
      </c>
      <c r="BC360" s="1">
        <v>0</v>
      </c>
      <c r="BD360" s="1">
        <v>0</v>
      </c>
    </row>
    <row r="361" spans="1:56">
      <c r="A361" s="18">
        <v>46192</v>
      </c>
      <c r="B361" s="1">
        <v>360</v>
      </c>
      <c r="C361" s="1" t="s">
        <v>89</v>
      </c>
      <c r="D361" s="1" t="s">
        <v>90</v>
      </c>
      <c r="E361" s="1">
        <v>2</v>
      </c>
      <c r="F361" s="1">
        <v>200</v>
      </c>
      <c r="G361" s="1">
        <v>1</v>
      </c>
      <c r="H361" s="1" t="s">
        <v>91</v>
      </c>
      <c r="I361" s="1" t="s">
        <v>79</v>
      </c>
      <c r="J361" s="1" t="s">
        <v>84</v>
      </c>
      <c r="K361" s="1" t="s">
        <v>74</v>
      </c>
      <c r="L361" s="1" t="s">
        <v>72</v>
      </c>
      <c r="M361" s="1" t="s">
        <v>75</v>
      </c>
      <c r="N361" s="1" t="s">
        <v>76</v>
      </c>
      <c r="O361" s="1" t="s">
        <v>77</v>
      </c>
      <c r="P361" s="1" t="s">
        <v>27</v>
      </c>
      <c r="Q361" s="1" t="s">
        <v>86</v>
      </c>
      <c r="R361" s="1" t="s">
        <v>94</v>
      </c>
      <c r="S361" s="1" t="s">
        <v>87</v>
      </c>
      <c r="T361" s="1" t="s">
        <v>88</v>
      </c>
      <c r="X361" s="1" t="s">
        <v>73</v>
      </c>
      <c r="Z361" s="1" t="s">
        <v>70</v>
      </c>
      <c r="AA361" s="1" t="s">
        <v>95</v>
      </c>
      <c r="AB361" s="1">
        <v>5</v>
      </c>
      <c r="AC361" s="1">
        <v>748827</v>
      </c>
      <c r="AD361" s="1">
        <v>8930512.2799999993</v>
      </c>
      <c r="AE361" s="1">
        <v>210.35</v>
      </c>
      <c r="AF361" s="1">
        <v>748827</v>
      </c>
      <c r="AG361" s="1">
        <v>8930512.2799999993</v>
      </c>
      <c r="AH361" s="1">
        <v>199.4</v>
      </c>
      <c r="AI361" s="1">
        <v>10.95</v>
      </c>
      <c r="AJ361" s="1">
        <v>0.6</v>
      </c>
      <c r="AK361" s="1">
        <v>2.97</v>
      </c>
      <c r="AL361" s="1">
        <v>2.58</v>
      </c>
      <c r="AM361" s="1">
        <v>0</v>
      </c>
      <c r="AN361" s="1">
        <v>0</v>
      </c>
      <c r="AO361" s="1">
        <v>279.95422539999998</v>
      </c>
      <c r="AP361" s="1">
        <v>3.21</v>
      </c>
      <c r="AQ361" s="1">
        <v>0.35</v>
      </c>
      <c r="AR361" s="1">
        <v>0.05</v>
      </c>
      <c r="AS361" s="1">
        <v>0.03</v>
      </c>
      <c r="AT361" s="1">
        <v>11.87</v>
      </c>
      <c r="AU361" s="1">
        <v>5.31</v>
      </c>
      <c r="AV361" s="1">
        <v>0</v>
      </c>
      <c r="AW361" s="1">
        <v>0</v>
      </c>
      <c r="AX361" s="1">
        <v>0</v>
      </c>
      <c r="AY361" s="1">
        <v>0</v>
      </c>
      <c r="AZ361" s="1">
        <v>108.47199999999999</v>
      </c>
      <c r="BA361" s="1">
        <v>0</v>
      </c>
      <c r="BB361" s="1">
        <v>0</v>
      </c>
      <c r="BC361" s="1">
        <v>0</v>
      </c>
      <c r="BD361" s="1">
        <v>0</v>
      </c>
    </row>
    <row r="362" spans="1:56">
      <c r="A362" s="18">
        <v>46192</v>
      </c>
      <c r="B362" s="1">
        <v>361</v>
      </c>
      <c r="C362" s="1" t="s">
        <v>89</v>
      </c>
      <c r="D362" s="1" t="s">
        <v>90</v>
      </c>
      <c r="E362" s="1">
        <v>2</v>
      </c>
      <c r="F362" s="1">
        <v>200</v>
      </c>
      <c r="G362" s="1">
        <v>1</v>
      </c>
      <c r="H362" s="1" t="s">
        <v>91</v>
      </c>
      <c r="I362" s="1" t="s">
        <v>79</v>
      </c>
      <c r="J362" s="1" t="s">
        <v>84</v>
      </c>
      <c r="K362" s="1" t="s">
        <v>74</v>
      </c>
      <c r="L362" s="1" t="s">
        <v>72</v>
      </c>
      <c r="M362" s="1" t="s">
        <v>75</v>
      </c>
      <c r="N362" s="1" t="s">
        <v>76</v>
      </c>
      <c r="O362" s="1" t="s">
        <v>77</v>
      </c>
      <c r="P362" s="1" t="s">
        <v>27</v>
      </c>
      <c r="Q362" s="1" t="s">
        <v>86</v>
      </c>
      <c r="R362" s="1" t="s">
        <v>94</v>
      </c>
      <c r="S362" s="1" t="s">
        <v>87</v>
      </c>
      <c r="T362" s="1" t="s">
        <v>88</v>
      </c>
      <c r="X362" s="1" t="s">
        <v>73</v>
      </c>
      <c r="Z362" s="1" t="s">
        <v>70</v>
      </c>
      <c r="AA362" s="1" t="s">
        <v>95</v>
      </c>
      <c r="AB362" s="1">
        <v>5</v>
      </c>
      <c r="AC362" s="1">
        <v>748825.4</v>
      </c>
      <c r="AD362" s="1">
        <v>8930514.7799999993</v>
      </c>
      <c r="AE362" s="1">
        <v>210.2</v>
      </c>
      <c r="AF362" s="1">
        <v>748825.4</v>
      </c>
      <c r="AG362" s="1">
        <v>8930514.7799999993</v>
      </c>
      <c r="AH362" s="1">
        <v>199.4</v>
      </c>
      <c r="AI362" s="1">
        <v>10.8</v>
      </c>
      <c r="AJ362" s="1">
        <v>0.6</v>
      </c>
      <c r="AK362" s="1">
        <v>2.97</v>
      </c>
      <c r="AL362" s="1">
        <v>2.58</v>
      </c>
      <c r="AM362" s="1">
        <v>0</v>
      </c>
      <c r="AN362" s="1">
        <v>0</v>
      </c>
      <c r="AO362" s="1">
        <v>279.95422539999998</v>
      </c>
      <c r="AP362" s="1">
        <v>3.21</v>
      </c>
      <c r="AQ362" s="1">
        <v>0.35</v>
      </c>
      <c r="AR362" s="1">
        <v>0.05</v>
      </c>
      <c r="AS362" s="1">
        <v>0.03</v>
      </c>
      <c r="AT362" s="1">
        <v>11.86</v>
      </c>
      <c r="AU362" s="1">
        <v>5.31</v>
      </c>
      <c r="AV362" s="1">
        <v>0</v>
      </c>
      <c r="AW362" s="1">
        <v>0</v>
      </c>
      <c r="AX362" s="1">
        <v>0</v>
      </c>
      <c r="AY362" s="1">
        <v>0</v>
      </c>
      <c r="AZ362" s="1">
        <v>106.288</v>
      </c>
      <c r="BA362" s="1">
        <v>0</v>
      </c>
      <c r="BB362" s="1">
        <v>0</v>
      </c>
      <c r="BC362" s="1">
        <v>0</v>
      </c>
      <c r="BD362" s="1">
        <v>0</v>
      </c>
    </row>
    <row r="363" spans="1:56">
      <c r="A363" s="18">
        <v>46192</v>
      </c>
      <c r="B363" s="1">
        <v>362</v>
      </c>
      <c r="C363" s="1" t="s">
        <v>89</v>
      </c>
      <c r="D363" s="1" t="s">
        <v>90</v>
      </c>
      <c r="E363" s="1">
        <v>2</v>
      </c>
      <c r="F363" s="1">
        <v>200</v>
      </c>
      <c r="G363" s="1">
        <v>1</v>
      </c>
      <c r="H363" s="1" t="s">
        <v>91</v>
      </c>
      <c r="I363" s="1" t="s">
        <v>79</v>
      </c>
      <c r="J363" s="1" t="s">
        <v>84</v>
      </c>
      <c r="K363" s="1" t="s">
        <v>74</v>
      </c>
      <c r="L363" s="1" t="s">
        <v>72</v>
      </c>
      <c r="M363" s="1" t="s">
        <v>75</v>
      </c>
      <c r="N363" s="1" t="s">
        <v>76</v>
      </c>
      <c r="O363" s="1" t="s">
        <v>77</v>
      </c>
      <c r="P363" s="1" t="s">
        <v>27</v>
      </c>
      <c r="Q363" s="1" t="s">
        <v>86</v>
      </c>
      <c r="R363" s="1" t="s">
        <v>94</v>
      </c>
      <c r="S363" s="1" t="s">
        <v>87</v>
      </c>
      <c r="T363" s="1" t="s">
        <v>88</v>
      </c>
      <c r="X363" s="1" t="s">
        <v>73</v>
      </c>
      <c r="Z363" s="1" t="s">
        <v>70</v>
      </c>
      <c r="AA363" s="1" t="s">
        <v>95</v>
      </c>
      <c r="AB363" s="1">
        <v>5</v>
      </c>
      <c r="AC363" s="1">
        <v>748823.8</v>
      </c>
      <c r="AD363" s="1">
        <v>8930517.2799999993</v>
      </c>
      <c r="AE363" s="1">
        <v>210.37</v>
      </c>
      <c r="AF363" s="1">
        <v>748823.8</v>
      </c>
      <c r="AG363" s="1">
        <v>8930517.2799999993</v>
      </c>
      <c r="AH363" s="1">
        <v>199.4</v>
      </c>
      <c r="AI363" s="1">
        <v>10.97</v>
      </c>
      <c r="AJ363" s="1">
        <v>0.6</v>
      </c>
      <c r="AK363" s="1">
        <v>2.97</v>
      </c>
      <c r="AL363" s="1">
        <v>2.58</v>
      </c>
      <c r="AM363" s="1">
        <v>0</v>
      </c>
      <c r="AN363" s="1">
        <v>0</v>
      </c>
      <c r="AO363" s="1">
        <v>279.95422539999998</v>
      </c>
      <c r="AP363" s="1">
        <v>3.21</v>
      </c>
      <c r="AQ363" s="1">
        <v>0.35</v>
      </c>
      <c r="AR363" s="1">
        <v>0.05</v>
      </c>
      <c r="AS363" s="1">
        <v>0.03</v>
      </c>
      <c r="AT363" s="1">
        <v>11.87</v>
      </c>
      <c r="AU363" s="1">
        <v>5.31</v>
      </c>
      <c r="AV363" s="1">
        <v>0</v>
      </c>
      <c r="AW363" s="1">
        <v>0</v>
      </c>
      <c r="AX363" s="1">
        <v>0</v>
      </c>
      <c r="AY363" s="1">
        <v>0</v>
      </c>
      <c r="AZ363" s="1">
        <v>108.76300000000001</v>
      </c>
      <c r="BA363" s="1">
        <v>0</v>
      </c>
      <c r="BB363" s="1">
        <v>0</v>
      </c>
      <c r="BC363" s="1">
        <v>0</v>
      </c>
      <c r="BD363" s="1">
        <v>0</v>
      </c>
    </row>
    <row r="364" spans="1:56">
      <c r="A364" s="18">
        <v>46192</v>
      </c>
      <c r="B364" s="1">
        <v>363</v>
      </c>
      <c r="C364" s="1" t="s">
        <v>89</v>
      </c>
      <c r="D364" s="1" t="s">
        <v>90</v>
      </c>
      <c r="E364" s="1">
        <v>2</v>
      </c>
      <c r="F364" s="1">
        <v>200</v>
      </c>
      <c r="G364" s="1">
        <v>1</v>
      </c>
      <c r="H364" s="1" t="s">
        <v>91</v>
      </c>
      <c r="I364" s="1" t="s">
        <v>79</v>
      </c>
      <c r="J364" s="1" t="s">
        <v>84</v>
      </c>
      <c r="K364" s="1" t="s">
        <v>74</v>
      </c>
      <c r="L364" s="1" t="s">
        <v>72</v>
      </c>
      <c r="M364" s="1" t="s">
        <v>75</v>
      </c>
      <c r="N364" s="1" t="s">
        <v>76</v>
      </c>
      <c r="O364" s="1" t="s">
        <v>77</v>
      </c>
      <c r="P364" s="1" t="s">
        <v>27</v>
      </c>
      <c r="Q364" s="1" t="s">
        <v>86</v>
      </c>
      <c r="R364" s="1" t="s">
        <v>94</v>
      </c>
      <c r="S364" s="1" t="s">
        <v>87</v>
      </c>
      <c r="T364" s="1" t="s">
        <v>88</v>
      </c>
      <c r="X364" s="1" t="s">
        <v>73</v>
      </c>
      <c r="Z364" s="1" t="s">
        <v>70</v>
      </c>
      <c r="AA364" s="1" t="s">
        <v>95</v>
      </c>
      <c r="AB364" s="1">
        <v>5</v>
      </c>
      <c r="AC364" s="1">
        <v>748822.19</v>
      </c>
      <c r="AD364" s="1">
        <v>8930519.7799999993</v>
      </c>
      <c r="AE364" s="1">
        <v>210.51</v>
      </c>
      <c r="AF364" s="1">
        <v>748822.19</v>
      </c>
      <c r="AG364" s="1">
        <v>8930519.7799999993</v>
      </c>
      <c r="AH364" s="1">
        <v>199.4</v>
      </c>
      <c r="AI364" s="1">
        <v>11.11</v>
      </c>
      <c r="AJ364" s="1">
        <v>0.6</v>
      </c>
      <c r="AK364" s="1">
        <v>2.97</v>
      </c>
      <c r="AL364" s="1">
        <v>2.58</v>
      </c>
      <c r="AM364" s="1">
        <v>0</v>
      </c>
      <c r="AN364" s="1">
        <v>0</v>
      </c>
      <c r="AO364" s="1">
        <v>279.95422539999998</v>
      </c>
      <c r="AP364" s="1">
        <v>3.21</v>
      </c>
      <c r="AQ364" s="1">
        <v>0.35</v>
      </c>
      <c r="AR364" s="1">
        <v>0.05</v>
      </c>
      <c r="AS364" s="1">
        <v>0.03</v>
      </c>
      <c r="AT364" s="1">
        <v>11.78</v>
      </c>
      <c r="AU364" s="1">
        <v>5.29</v>
      </c>
      <c r="AV364" s="1">
        <v>0</v>
      </c>
      <c r="AW364" s="1">
        <v>0</v>
      </c>
      <c r="AX364" s="1">
        <v>0</v>
      </c>
      <c r="AY364" s="1">
        <v>0</v>
      </c>
      <c r="AZ364" s="1">
        <v>110.80200000000001</v>
      </c>
      <c r="BA364" s="1">
        <v>0</v>
      </c>
      <c r="BB364" s="1">
        <v>0</v>
      </c>
      <c r="BC364" s="1">
        <v>0</v>
      </c>
      <c r="BD364" s="1">
        <v>0</v>
      </c>
    </row>
    <row r="365" spans="1:56">
      <c r="A365" s="18">
        <v>46192</v>
      </c>
      <c r="B365" s="1">
        <v>364</v>
      </c>
      <c r="C365" s="1" t="s">
        <v>89</v>
      </c>
      <c r="D365" s="1" t="s">
        <v>90</v>
      </c>
      <c r="E365" s="1">
        <v>2</v>
      </c>
      <c r="F365" s="1">
        <v>200</v>
      </c>
      <c r="G365" s="1">
        <v>1</v>
      </c>
      <c r="H365" s="1" t="s">
        <v>91</v>
      </c>
      <c r="I365" s="1" t="s">
        <v>79</v>
      </c>
      <c r="J365" s="1" t="s">
        <v>84</v>
      </c>
      <c r="K365" s="1" t="s">
        <v>74</v>
      </c>
      <c r="L365" s="1" t="s">
        <v>72</v>
      </c>
      <c r="M365" s="1" t="s">
        <v>75</v>
      </c>
      <c r="N365" s="1" t="s">
        <v>76</v>
      </c>
      <c r="O365" s="1" t="s">
        <v>77</v>
      </c>
      <c r="P365" s="1" t="s">
        <v>27</v>
      </c>
      <c r="Q365" s="1" t="s">
        <v>86</v>
      </c>
      <c r="R365" s="1" t="s">
        <v>94</v>
      </c>
      <c r="S365" s="1" t="s">
        <v>87</v>
      </c>
      <c r="T365" s="1" t="s">
        <v>88</v>
      </c>
      <c r="X365" s="1" t="s">
        <v>73</v>
      </c>
      <c r="Z365" s="1" t="s">
        <v>70</v>
      </c>
      <c r="AA365" s="1" t="s">
        <v>95</v>
      </c>
      <c r="AB365" s="1">
        <v>5</v>
      </c>
      <c r="AC365" s="1">
        <v>748820.59</v>
      </c>
      <c r="AD365" s="1">
        <v>8930522.2799999993</v>
      </c>
      <c r="AE365" s="1">
        <v>210.41</v>
      </c>
      <c r="AF365" s="1">
        <v>748820.59</v>
      </c>
      <c r="AG365" s="1">
        <v>8930522.2799999993</v>
      </c>
      <c r="AH365" s="1">
        <v>199.4</v>
      </c>
      <c r="AI365" s="1">
        <v>11.01</v>
      </c>
      <c r="AJ365" s="1">
        <v>0.6</v>
      </c>
      <c r="AK365" s="1">
        <v>2.97</v>
      </c>
      <c r="AL365" s="1">
        <v>2.58</v>
      </c>
      <c r="AM365" s="1">
        <v>0</v>
      </c>
      <c r="AN365" s="1">
        <v>0</v>
      </c>
      <c r="AO365" s="1">
        <v>279.95422539999998</v>
      </c>
      <c r="AP365" s="1">
        <v>3.23</v>
      </c>
      <c r="AQ365" s="1">
        <v>0.35</v>
      </c>
      <c r="AR365" s="1">
        <v>0.05</v>
      </c>
      <c r="AS365" s="1">
        <v>0.03</v>
      </c>
      <c r="AT365" s="1">
        <v>11.73</v>
      </c>
      <c r="AU365" s="1">
        <v>5.27</v>
      </c>
      <c r="AV365" s="1">
        <v>0</v>
      </c>
      <c r="AW365" s="1">
        <v>0.01</v>
      </c>
      <c r="AX365" s="1">
        <v>0.06</v>
      </c>
      <c r="AY365" s="1">
        <v>0</v>
      </c>
      <c r="AZ365" s="1">
        <v>109.346</v>
      </c>
      <c r="BA365" s="1">
        <v>0</v>
      </c>
      <c r="BB365" s="1">
        <v>0</v>
      </c>
      <c r="BC365" s="1">
        <v>0</v>
      </c>
      <c r="BD365" s="1">
        <v>0</v>
      </c>
    </row>
    <row r="366" spans="1:56">
      <c r="A366" s="18">
        <v>46192</v>
      </c>
      <c r="B366" s="1">
        <v>365</v>
      </c>
      <c r="C366" s="1" t="s">
        <v>89</v>
      </c>
      <c r="D366" s="1" t="s">
        <v>90</v>
      </c>
      <c r="E366" s="1">
        <v>2</v>
      </c>
      <c r="F366" s="1">
        <v>200</v>
      </c>
      <c r="G366" s="1">
        <v>1</v>
      </c>
      <c r="H366" s="1" t="s">
        <v>91</v>
      </c>
      <c r="I366" s="1" t="s">
        <v>79</v>
      </c>
      <c r="J366" s="1" t="s">
        <v>84</v>
      </c>
      <c r="K366" s="1" t="s">
        <v>74</v>
      </c>
      <c r="L366" s="1" t="s">
        <v>72</v>
      </c>
      <c r="M366" s="1" t="s">
        <v>75</v>
      </c>
      <c r="N366" s="1" t="s">
        <v>82</v>
      </c>
      <c r="O366" s="1" t="s">
        <v>77</v>
      </c>
      <c r="P366" s="1" t="s">
        <v>27</v>
      </c>
      <c r="Q366" s="1" t="s">
        <v>86</v>
      </c>
      <c r="R366" s="1" t="s">
        <v>94</v>
      </c>
      <c r="S366" s="1" t="s">
        <v>87</v>
      </c>
      <c r="T366" s="1" t="s">
        <v>88</v>
      </c>
      <c r="X366" s="1" t="s">
        <v>73</v>
      </c>
      <c r="Z366" s="1" t="s">
        <v>70</v>
      </c>
      <c r="AA366" s="1" t="s">
        <v>95</v>
      </c>
      <c r="AB366" s="1">
        <v>5</v>
      </c>
      <c r="AC366" s="1">
        <v>748818.99</v>
      </c>
      <c r="AD366" s="1">
        <v>8930524.7799999993</v>
      </c>
      <c r="AE366" s="1">
        <v>210.18</v>
      </c>
      <c r="AF366" s="1">
        <v>748818.99</v>
      </c>
      <c r="AG366" s="1">
        <v>8930524.7799999993</v>
      </c>
      <c r="AH366" s="1">
        <v>199.4</v>
      </c>
      <c r="AI366" s="1">
        <v>10.78</v>
      </c>
      <c r="AJ366" s="1">
        <v>0.6</v>
      </c>
      <c r="AK366" s="1">
        <v>2.97</v>
      </c>
      <c r="AL366" s="1">
        <v>2.58</v>
      </c>
      <c r="AM366" s="1">
        <v>0</v>
      </c>
      <c r="AN366" s="1">
        <v>0</v>
      </c>
      <c r="AO366" s="1">
        <v>279.95422539999998</v>
      </c>
      <c r="AP366" s="1">
        <v>3.23</v>
      </c>
      <c r="AQ366" s="1">
        <v>0.36</v>
      </c>
      <c r="AR366" s="1">
        <v>0.05</v>
      </c>
      <c r="AS366" s="1">
        <v>0.04</v>
      </c>
      <c r="AT366" s="1">
        <v>12.03</v>
      </c>
      <c r="AU366" s="1">
        <v>5.3</v>
      </c>
      <c r="AV366" s="1">
        <v>0.02</v>
      </c>
      <c r="AW366" s="1">
        <v>0.09</v>
      </c>
      <c r="AX366" s="1">
        <v>0.47</v>
      </c>
      <c r="AY366" s="1">
        <v>0</v>
      </c>
      <c r="AZ366" s="1">
        <v>105.997</v>
      </c>
      <c r="BA366" s="1">
        <v>0</v>
      </c>
      <c r="BB366" s="1">
        <v>0</v>
      </c>
      <c r="BC366" s="1">
        <v>0</v>
      </c>
      <c r="BD366" s="1">
        <v>0</v>
      </c>
    </row>
    <row r="367" spans="1:56">
      <c r="A367" s="18">
        <v>46192</v>
      </c>
      <c r="B367" s="1">
        <v>366</v>
      </c>
      <c r="C367" s="1" t="s">
        <v>89</v>
      </c>
      <c r="D367" s="1" t="s">
        <v>90</v>
      </c>
      <c r="E367" s="1">
        <v>2</v>
      </c>
      <c r="F367" s="1">
        <v>200</v>
      </c>
      <c r="G367" s="1">
        <v>1</v>
      </c>
      <c r="H367" s="1" t="s">
        <v>91</v>
      </c>
      <c r="I367" s="1" t="s">
        <v>79</v>
      </c>
      <c r="J367" s="1" t="s">
        <v>84</v>
      </c>
      <c r="K367" s="1" t="s">
        <v>74</v>
      </c>
      <c r="L367" s="1" t="s">
        <v>72</v>
      </c>
      <c r="M367" s="1" t="s">
        <v>75</v>
      </c>
      <c r="N367" s="1" t="s">
        <v>82</v>
      </c>
      <c r="O367" s="1" t="s">
        <v>77</v>
      </c>
      <c r="P367" s="1" t="s">
        <v>27</v>
      </c>
      <c r="Q367" s="1" t="s">
        <v>86</v>
      </c>
      <c r="R367" s="1" t="s">
        <v>94</v>
      </c>
      <c r="S367" s="1" t="s">
        <v>87</v>
      </c>
      <c r="T367" s="1" t="s">
        <v>88</v>
      </c>
      <c r="X367" s="1" t="s">
        <v>73</v>
      </c>
      <c r="Z367" s="1" t="s">
        <v>70</v>
      </c>
      <c r="AA367" s="1" t="s">
        <v>95</v>
      </c>
      <c r="AB367" s="1">
        <v>5</v>
      </c>
      <c r="AC367" s="1">
        <v>748817.38</v>
      </c>
      <c r="AD367" s="1">
        <v>8930527.2799999993</v>
      </c>
      <c r="AE367" s="1">
        <v>210.27</v>
      </c>
      <c r="AF367" s="1">
        <v>748817.38</v>
      </c>
      <c r="AG367" s="1">
        <v>8930527.2799999993</v>
      </c>
      <c r="AH367" s="1">
        <v>199.4</v>
      </c>
      <c r="AI367" s="1">
        <v>10.87</v>
      </c>
      <c r="AJ367" s="1">
        <v>0.6</v>
      </c>
      <c r="AK367" s="1">
        <v>2.97</v>
      </c>
      <c r="AL367" s="1">
        <v>2.58</v>
      </c>
      <c r="AM367" s="1">
        <v>0</v>
      </c>
      <c r="AN367" s="1">
        <v>0</v>
      </c>
      <c r="AO367" s="1">
        <v>279.95422539999998</v>
      </c>
      <c r="AP367" s="1">
        <v>3.23</v>
      </c>
      <c r="AQ367" s="1">
        <v>0.38</v>
      </c>
      <c r="AR367" s="1">
        <v>0.05</v>
      </c>
      <c r="AS367" s="1">
        <v>0.04</v>
      </c>
      <c r="AT367" s="1">
        <v>12.43</v>
      </c>
      <c r="AU367" s="1">
        <v>5.32</v>
      </c>
      <c r="AV367" s="1">
        <v>0.05</v>
      </c>
      <c r="AW367" s="1">
        <v>0.24</v>
      </c>
      <c r="AX367" s="1">
        <v>1.1599999999999999</v>
      </c>
      <c r="AY367" s="1">
        <v>0</v>
      </c>
      <c r="AZ367" s="1">
        <v>107.307</v>
      </c>
      <c r="BA367" s="1">
        <v>0</v>
      </c>
      <c r="BB367" s="1">
        <v>0</v>
      </c>
      <c r="BC367" s="1">
        <v>0</v>
      </c>
      <c r="BD367" s="1">
        <v>0</v>
      </c>
    </row>
    <row r="368" spans="1:56">
      <c r="A368" s="18">
        <v>46192</v>
      </c>
      <c r="B368" s="1">
        <v>367</v>
      </c>
      <c r="C368" s="1" t="s">
        <v>89</v>
      </c>
      <c r="D368" s="1" t="s">
        <v>90</v>
      </c>
      <c r="E368" s="1">
        <v>2</v>
      </c>
      <c r="F368" s="1">
        <v>200</v>
      </c>
      <c r="G368" s="1">
        <v>1</v>
      </c>
      <c r="H368" s="1" t="s">
        <v>91</v>
      </c>
      <c r="I368" s="1" t="s">
        <v>79</v>
      </c>
      <c r="J368" s="1" t="s">
        <v>84</v>
      </c>
      <c r="K368" s="1" t="s">
        <v>74</v>
      </c>
      <c r="L368" s="1" t="s">
        <v>72</v>
      </c>
      <c r="M368" s="1" t="s">
        <v>75</v>
      </c>
      <c r="N368" s="1" t="s">
        <v>76</v>
      </c>
      <c r="O368" s="1" t="s">
        <v>77</v>
      </c>
      <c r="P368" s="1" t="s">
        <v>27</v>
      </c>
      <c r="Q368" s="1" t="s">
        <v>86</v>
      </c>
      <c r="R368" s="1" t="s">
        <v>94</v>
      </c>
      <c r="S368" s="1" t="s">
        <v>87</v>
      </c>
      <c r="T368" s="1" t="s">
        <v>88</v>
      </c>
      <c r="X368" s="1" t="s">
        <v>73</v>
      </c>
      <c r="Z368" s="1" t="s">
        <v>70</v>
      </c>
      <c r="AA368" s="1" t="s">
        <v>95</v>
      </c>
      <c r="AB368" s="1">
        <v>5</v>
      </c>
      <c r="AC368" s="1">
        <v>748815.78</v>
      </c>
      <c r="AD368" s="1">
        <v>8930529.7799999993</v>
      </c>
      <c r="AE368" s="1">
        <v>210.35</v>
      </c>
      <c r="AF368" s="1">
        <v>748815.78</v>
      </c>
      <c r="AG368" s="1">
        <v>8930529.7799999993</v>
      </c>
      <c r="AH368" s="1">
        <v>199.4</v>
      </c>
      <c r="AI368" s="1">
        <v>10.95</v>
      </c>
      <c r="AJ368" s="1">
        <v>0.6</v>
      </c>
      <c r="AK368" s="1">
        <v>2.97</v>
      </c>
      <c r="AL368" s="1">
        <v>2.58</v>
      </c>
      <c r="AM368" s="1">
        <v>0</v>
      </c>
      <c r="AN368" s="1">
        <v>0</v>
      </c>
      <c r="AO368" s="1">
        <v>279.95422539999998</v>
      </c>
      <c r="AP368" s="1">
        <v>3.23</v>
      </c>
      <c r="AQ368" s="1">
        <v>0.41</v>
      </c>
      <c r="AR368" s="1">
        <v>0.05</v>
      </c>
      <c r="AS368" s="1">
        <v>0.04</v>
      </c>
      <c r="AT368" s="1">
        <v>12.76</v>
      </c>
      <c r="AU368" s="1">
        <v>5.31</v>
      </c>
      <c r="AV368" s="1">
        <v>0.09</v>
      </c>
      <c r="AW368" s="1">
        <v>0.42</v>
      </c>
      <c r="AX368" s="1">
        <v>2.0099999999999998</v>
      </c>
      <c r="AY368" s="1">
        <v>0</v>
      </c>
      <c r="AZ368" s="1">
        <v>108.47199999999999</v>
      </c>
      <c r="BA368" s="1">
        <v>0</v>
      </c>
      <c r="BB368" s="1">
        <v>0</v>
      </c>
      <c r="BC368" s="1">
        <v>0</v>
      </c>
      <c r="BD368" s="1">
        <v>0</v>
      </c>
    </row>
    <row r="369" spans="1:56">
      <c r="A369" s="18">
        <v>46192</v>
      </c>
      <c r="B369" s="1">
        <v>368</v>
      </c>
      <c r="C369" s="1" t="s">
        <v>89</v>
      </c>
      <c r="D369" s="1" t="s">
        <v>90</v>
      </c>
      <c r="E369" s="1">
        <v>2</v>
      </c>
      <c r="F369" s="1">
        <v>200</v>
      </c>
      <c r="G369" s="1">
        <v>1</v>
      </c>
      <c r="H369" s="1" t="s">
        <v>91</v>
      </c>
      <c r="I369" s="1" t="s">
        <v>79</v>
      </c>
      <c r="J369" s="1" t="s">
        <v>84</v>
      </c>
      <c r="K369" s="1" t="s">
        <v>74</v>
      </c>
      <c r="L369" s="1" t="s">
        <v>72</v>
      </c>
      <c r="M369" s="1" t="s">
        <v>75</v>
      </c>
      <c r="N369" s="1" t="s">
        <v>76</v>
      </c>
      <c r="O369" s="1" t="s">
        <v>77</v>
      </c>
      <c r="P369" s="1" t="s">
        <v>27</v>
      </c>
      <c r="Q369" s="1" t="s">
        <v>86</v>
      </c>
      <c r="R369" s="1" t="s">
        <v>94</v>
      </c>
      <c r="S369" s="1" t="s">
        <v>87</v>
      </c>
      <c r="T369" s="1" t="s">
        <v>88</v>
      </c>
      <c r="X369" s="1" t="s">
        <v>73</v>
      </c>
      <c r="Z369" s="1" t="s">
        <v>70</v>
      </c>
      <c r="AA369" s="1" t="s">
        <v>95</v>
      </c>
      <c r="AB369" s="1">
        <v>5</v>
      </c>
      <c r="AC369" s="1">
        <v>748814.18</v>
      </c>
      <c r="AD369" s="1">
        <v>8930532.2799999993</v>
      </c>
      <c r="AE369" s="1">
        <v>210.46</v>
      </c>
      <c r="AF369" s="1">
        <v>748814.18</v>
      </c>
      <c r="AG369" s="1">
        <v>8930532.2799999993</v>
      </c>
      <c r="AH369" s="1">
        <v>199.4</v>
      </c>
      <c r="AI369" s="1">
        <v>11.06</v>
      </c>
      <c r="AJ369" s="1">
        <v>0.6</v>
      </c>
      <c r="AK369" s="1">
        <v>2.97</v>
      </c>
      <c r="AL369" s="1">
        <v>2.58</v>
      </c>
      <c r="AM369" s="1">
        <v>0</v>
      </c>
      <c r="AN369" s="1">
        <v>0</v>
      </c>
      <c r="AO369" s="1">
        <v>279.95422539999998</v>
      </c>
      <c r="AP369" s="1">
        <v>3.23</v>
      </c>
      <c r="AQ369" s="1">
        <v>0.43</v>
      </c>
      <c r="AR369" s="1">
        <v>0.05</v>
      </c>
      <c r="AS369" s="1">
        <v>0.05</v>
      </c>
      <c r="AT369" s="1">
        <v>12.84</v>
      </c>
      <c r="AU369" s="1">
        <v>5.22</v>
      </c>
      <c r="AV369" s="1">
        <v>0.17</v>
      </c>
      <c r="AW369" s="1">
        <v>0.74</v>
      </c>
      <c r="AX369" s="1">
        <v>3.64</v>
      </c>
      <c r="AY369" s="1">
        <v>0</v>
      </c>
      <c r="AZ369" s="1">
        <v>110.074</v>
      </c>
      <c r="BA369" s="1">
        <v>0</v>
      </c>
      <c r="BB369" s="1">
        <v>0</v>
      </c>
      <c r="BC369" s="1">
        <v>0</v>
      </c>
      <c r="BD369" s="1">
        <v>0</v>
      </c>
    </row>
    <row r="370" spans="1:56">
      <c r="A370" s="18">
        <v>46192</v>
      </c>
      <c r="B370" s="1">
        <v>369</v>
      </c>
      <c r="C370" s="1" t="s">
        <v>89</v>
      </c>
      <c r="D370" s="1" t="s">
        <v>90</v>
      </c>
      <c r="E370" s="1">
        <v>2</v>
      </c>
      <c r="F370" s="1">
        <v>200</v>
      </c>
      <c r="G370" s="1">
        <v>1</v>
      </c>
      <c r="H370" s="1" t="s">
        <v>91</v>
      </c>
      <c r="I370" s="1" t="s">
        <v>79</v>
      </c>
      <c r="J370" s="1" t="s">
        <v>80</v>
      </c>
      <c r="K370" s="1" t="s">
        <v>74</v>
      </c>
      <c r="L370" s="1" t="s">
        <v>72</v>
      </c>
      <c r="M370" s="1" t="s">
        <v>75</v>
      </c>
      <c r="N370" s="1" t="s">
        <v>76</v>
      </c>
      <c r="O370" s="1" t="s">
        <v>77</v>
      </c>
      <c r="P370" s="1" t="s">
        <v>27</v>
      </c>
      <c r="Q370" s="1" t="s">
        <v>86</v>
      </c>
      <c r="R370" s="1" t="s">
        <v>94</v>
      </c>
      <c r="S370" s="1" t="s">
        <v>87</v>
      </c>
      <c r="T370" s="1" t="s">
        <v>88</v>
      </c>
      <c r="X370" s="1" t="s">
        <v>73</v>
      </c>
      <c r="Z370" s="1" t="s">
        <v>70</v>
      </c>
      <c r="AA370" s="1" t="s">
        <v>95</v>
      </c>
      <c r="AB370" s="1">
        <v>5</v>
      </c>
      <c r="AC370" s="1">
        <v>748812.57</v>
      </c>
      <c r="AD370" s="1">
        <v>8930534.7799999993</v>
      </c>
      <c r="AE370" s="1">
        <v>210.57</v>
      </c>
      <c r="AF370" s="1">
        <v>748812.57</v>
      </c>
      <c r="AG370" s="1">
        <v>8930534.7799999993</v>
      </c>
      <c r="AH370" s="1">
        <v>199.4</v>
      </c>
      <c r="AI370" s="1">
        <v>11.17</v>
      </c>
      <c r="AJ370" s="1">
        <v>0.6</v>
      </c>
      <c r="AK370" s="1">
        <v>2.97</v>
      </c>
      <c r="AL370" s="1">
        <v>2.58</v>
      </c>
      <c r="AM370" s="1">
        <v>0</v>
      </c>
      <c r="AN370" s="1">
        <v>0</v>
      </c>
      <c r="AO370" s="1">
        <v>279.95422539999998</v>
      </c>
      <c r="AP370" s="1">
        <v>3.18</v>
      </c>
      <c r="AQ370" s="1">
        <v>0.47</v>
      </c>
      <c r="AR370" s="1">
        <v>0.05</v>
      </c>
      <c r="AS370" s="1">
        <v>0.06</v>
      </c>
      <c r="AT370" s="1">
        <v>12.92</v>
      </c>
      <c r="AU370" s="1">
        <v>5</v>
      </c>
      <c r="AV370" s="1">
        <v>0.27</v>
      </c>
      <c r="AW370" s="1">
        <v>1.18</v>
      </c>
      <c r="AX370" s="1">
        <v>5.52</v>
      </c>
      <c r="AY370" s="1">
        <v>0</v>
      </c>
      <c r="AZ370" s="1">
        <v>111.675</v>
      </c>
      <c r="BA370" s="1">
        <v>0</v>
      </c>
      <c r="BB370" s="1">
        <v>0</v>
      </c>
      <c r="BC370" s="1">
        <v>0</v>
      </c>
      <c r="BD370" s="1">
        <v>0</v>
      </c>
    </row>
    <row r="371" spans="1:56">
      <c r="A371" s="18">
        <v>46192</v>
      </c>
      <c r="B371" s="1">
        <v>370</v>
      </c>
      <c r="C371" s="1" t="s">
        <v>89</v>
      </c>
      <c r="D371" s="1" t="s">
        <v>90</v>
      </c>
      <c r="E371" s="1">
        <v>2</v>
      </c>
      <c r="F371" s="1">
        <v>200</v>
      </c>
      <c r="G371" s="1">
        <v>1</v>
      </c>
      <c r="H371" s="1" t="s">
        <v>91</v>
      </c>
      <c r="I371" s="1" t="s">
        <v>79</v>
      </c>
      <c r="J371" s="1" t="s">
        <v>80</v>
      </c>
      <c r="K371" s="1" t="s">
        <v>74</v>
      </c>
      <c r="L371" s="1" t="s">
        <v>72</v>
      </c>
      <c r="M371" s="1" t="s">
        <v>75</v>
      </c>
      <c r="N371" s="1" t="s">
        <v>76</v>
      </c>
      <c r="O371" s="1" t="s">
        <v>77</v>
      </c>
      <c r="P371" s="1" t="s">
        <v>27</v>
      </c>
      <c r="Q371" s="1" t="s">
        <v>86</v>
      </c>
      <c r="R371" s="1" t="s">
        <v>94</v>
      </c>
      <c r="S371" s="1" t="s">
        <v>87</v>
      </c>
      <c r="T371" s="1" t="s">
        <v>88</v>
      </c>
      <c r="X371" s="1" t="s">
        <v>73</v>
      </c>
      <c r="Z371" s="1" t="s">
        <v>70</v>
      </c>
      <c r="AA371" s="1" t="s">
        <v>95</v>
      </c>
      <c r="AB371" s="1">
        <v>5</v>
      </c>
      <c r="AC371" s="1">
        <v>748810.97</v>
      </c>
      <c r="AD371" s="1">
        <v>8930537.2799999993</v>
      </c>
      <c r="AE371" s="1">
        <v>210.71</v>
      </c>
      <c r="AF371" s="1">
        <v>748810.97</v>
      </c>
      <c r="AG371" s="1">
        <v>8930537.2799999993</v>
      </c>
      <c r="AH371" s="1">
        <v>199.4</v>
      </c>
      <c r="AI371" s="1">
        <v>11.31</v>
      </c>
      <c r="AJ371" s="1">
        <v>0.6</v>
      </c>
      <c r="AK371" s="1">
        <v>2.97</v>
      </c>
      <c r="AL371" s="1">
        <v>2.58</v>
      </c>
      <c r="AM371" s="1">
        <v>0</v>
      </c>
      <c r="AN371" s="1">
        <v>0</v>
      </c>
      <c r="AO371" s="1">
        <v>279.95422539999998</v>
      </c>
      <c r="AP371" s="1">
        <v>3.15</v>
      </c>
      <c r="AQ371" s="1">
        <v>0.47</v>
      </c>
      <c r="AR371" s="1">
        <v>0.05</v>
      </c>
      <c r="AS371" s="1">
        <v>0.06</v>
      </c>
      <c r="AT371" s="1">
        <v>12.5</v>
      </c>
      <c r="AU371" s="1">
        <v>4.7300000000000004</v>
      </c>
      <c r="AV371" s="1">
        <v>0.31</v>
      </c>
      <c r="AW371" s="1">
        <v>1.23</v>
      </c>
      <c r="AX371" s="1">
        <v>6.01</v>
      </c>
      <c r="AY371" s="1">
        <v>0</v>
      </c>
      <c r="AZ371" s="1">
        <v>113.714</v>
      </c>
      <c r="BA371" s="1">
        <v>0</v>
      </c>
      <c r="BB371" s="1">
        <v>0</v>
      </c>
      <c r="BC371" s="1">
        <v>0</v>
      </c>
      <c r="BD371" s="1">
        <v>0</v>
      </c>
    </row>
    <row r="372" spans="1:56">
      <c r="A372" s="18">
        <v>46192</v>
      </c>
      <c r="B372" s="1">
        <v>371</v>
      </c>
      <c r="C372" s="1" t="s">
        <v>89</v>
      </c>
      <c r="D372" s="1" t="s">
        <v>90</v>
      </c>
      <c r="E372" s="1">
        <v>2</v>
      </c>
      <c r="F372" s="1">
        <v>200</v>
      </c>
      <c r="G372" s="1">
        <v>1</v>
      </c>
      <c r="H372" s="1" t="s">
        <v>91</v>
      </c>
      <c r="I372" s="1" t="s">
        <v>79</v>
      </c>
      <c r="J372" s="1" t="s">
        <v>80</v>
      </c>
      <c r="K372" s="1" t="s">
        <v>74</v>
      </c>
      <c r="L372" s="1" t="s">
        <v>72</v>
      </c>
      <c r="M372" s="1" t="s">
        <v>75</v>
      </c>
      <c r="N372" s="1" t="s">
        <v>76</v>
      </c>
      <c r="O372" s="1" t="s">
        <v>77</v>
      </c>
      <c r="P372" s="1" t="s">
        <v>27</v>
      </c>
      <c r="Q372" s="1" t="s">
        <v>86</v>
      </c>
      <c r="R372" s="1" t="s">
        <v>94</v>
      </c>
      <c r="S372" s="1" t="s">
        <v>87</v>
      </c>
      <c r="T372" s="1" t="s">
        <v>88</v>
      </c>
      <c r="X372" s="1" t="s">
        <v>73</v>
      </c>
      <c r="Z372" s="1" t="s">
        <v>70</v>
      </c>
      <c r="AA372" s="1" t="s">
        <v>95</v>
      </c>
      <c r="AB372" s="1">
        <v>5</v>
      </c>
      <c r="AC372" s="1">
        <v>748809.37</v>
      </c>
      <c r="AD372" s="1">
        <v>8930539.7799999993</v>
      </c>
      <c r="AE372" s="1">
        <v>210.69</v>
      </c>
      <c r="AF372" s="1">
        <v>748809.37</v>
      </c>
      <c r="AG372" s="1">
        <v>8930539.7799999993</v>
      </c>
      <c r="AH372" s="1">
        <v>199.4</v>
      </c>
      <c r="AI372" s="1">
        <v>11.29</v>
      </c>
      <c r="AJ372" s="1">
        <v>0.6</v>
      </c>
      <c r="AK372" s="1">
        <v>2.97</v>
      </c>
      <c r="AL372" s="1">
        <v>2.58</v>
      </c>
      <c r="AM372" s="1">
        <v>0</v>
      </c>
      <c r="AN372" s="1">
        <v>0</v>
      </c>
      <c r="AO372" s="1">
        <v>279.95422539999998</v>
      </c>
      <c r="AP372" s="1">
        <v>3.14</v>
      </c>
      <c r="AQ372" s="1">
        <v>0.37</v>
      </c>
      <c r="AR372" s="1">
        <v>0.04</v>
      </c>
      <c r="AS372" s="1">
        <v>0.05</v>
      </c>
      <c r="AT372" s="1">
        <v>11.63</v>
      </c>
      <c r="AU372" s="1">
        <v>4.28</v>
      </c>
      <c r="AV372" s="1">
        <v>0.28999999999999998</v>
      </c>
      <c r="AW372" s="1">
        <v>0.99</v>
      </c>
      <c r="AX372" s="1">
        <v>5.69</v>
      </c>
      <c r="AY372" s="1">
        <v>0</v>
      </c>
      <c r="AZ372" s="1">
        <v>113.422</v>
      </c>
      <c r="BA372" s="1">
        <v>0</v>
      </c>
      <c r="BB372" s="1">
        <v>0</v>
      </c>
      <c r="BC372" s="1">
        <v>0</v>
      </c>
      <c r="BD372" s="1">
        <v>0</v>
      </c>
    </row>
    <row r="373" spans="1:56">
      <c r="A373" s="18">
        <v>46192</v>
      </c>
      <c r="B373" s="1">
        <v>372</v>
      </c>
      <c r="C373" s="1" t="s">
        <v>89</v>
      </c>
      <c r="D373" s="1" t="s">
        <v>90</v>
      </c>
      <c r="E373" s="1">
        <v>2</v>
      </c>
      <c r="F373" s="1">
        <v>200</v>
      </c>
      <c r="H373" s="1" t="s">
        <v>91</v>
      </c>
      <c r="I373" s="1" t="s">
        <v>79</v>
      </c>
      <c r="J373" s="1" t="s">
        <v>84</v>
      </c>
      <c r="K373" s="1" t="s">
        <v>74</v>
      </c>
      <c r="L373" s="1" t="s">
        <v>72</v>
      </c>
      <c r="M373" s="1" t="s">
        <v>75</v>
      </c>
      <c r="N373" s="1" t="s">
        <v>76</v>
      </c>
      <c r="O373" s="1" t="s">
        <v>77</v>
      </c>
      <c r="P373" s="1" t="s">
        <v>27</v>
      </c>
      <c r="Q373" s="1" t="s">
        <v>86</v>
      </c>
      <c r="R373" s="1" t="s">
        <v>94</v>
      </c>
      <c r="S373" s="1" t="s">
        <v>87</v>
      </c>
      <c r="T373" s="1" t="s">
        <v>88</v>
      </c>
      <c r="X373" s="1" t="s">
        <v>73</v>
      </c>
      <c r="Z373" s="1" t="s">
        <v>70</v>
      </c>
      <c r="AA373" s="1" t="s">
        <v>95</v>
      </c>
      <c r="AB373" s="1">
        <v>5</v>
      </c>
      <c r="AC373" s="1">
        <v>748807.77</v>
      </c>
      <c r="AD373" s="1">
        <v>8930542.2799999993</v>
      </c>
      <c r="AE373" s="1">
        <v>210.77</v>
      </c>
      <c r="AF373" s="1">
        <v>748807.77</v>
      </c>
      <c r="AG373" s="1">
        <v>8930542.2799999993</v>
      </c>
      <c r="AH373" s="1">
        <v>199.4</v>
      </c>
      <c r="AI373" s="1">
        <v>11.37</v>
      </c>
      <c r="AJ373" s="1">
        <v>0.6</v>
      </c>
      <c r="AK373" s="1">
        <v>2.97</v>
      </c>
      <c r="AL373" s="1">
        <v>2.58</v>
      </c>
      <c r="AM373" s="1">
        <v>0</v>
      </c>
      <c r="AN373" s="1">
        <v>0</v>
      </c>
      <c r="AO373" s="1">
        <v>279.95422539999998</v>
      </c>
      <c r="AP373" s="1">
        <v>3.2</v>
      </c>
      <c r="AQ373" s="1">
        <v>0.24</v>
      </c>
      <c r="AR373" s="1">
        <v>0.03</v>
      </c>
      <c r="AS373" s="1">
        <v>0.04</v>
      </c>
      <c r="AT373" s="1">
        <v>11.59</v>
      </c>
      <c r="AU373" s="1">
        <v>4.04</v>
      </c>
      <c r="AV373" s="1">
        <v>0.2</v>
      </c>
      <c r="AW373" s="1">
        <v>0.94</v>
      </c>
      <c r="AX373" s="1">
        <v>5.89</v>
      </c>
      <c r="AY373" s="1">
        <v>0</v>
      </c>
      <c r="AZ373" s="1">
        <v>114.587</v>
      </c>
      <c r="BA373" s="1">
        <v>0</v>
      </c>
      <c r="BB373" s="1">
        <v>0</v>
      </c>
      <c r="BC373" s="1">
        <v>0</v>
      </c>
      <c r="BD373" s="1">
        <v>0</v>
      </c>
    </row>
    <row r="374" spans="1:56">
      <c r="A374" s="18">
        <v>46192</v>
      </c>
      <c r="B374" s="1">
        <v>373</v>
      </c>
      <c r="C374" s="1" t="s">
        <v>89</v>
      </c>
      <c r="D374" s="1" t="s">
        <v>90</v>
      </c>
      <c r="E374" s="1">
        <v>2</v>
      </c>
      <c r="F374" s="1">
        <v>200</v>
      </c>
      <c r="G374" s="1">
        <v>1</v>
      </c>
      <c r="H374" s="1" t="s">
        <v>91</v>
      </c>
      <c r="I374" s="1" t="s">
        <v>79</v>
      </c>
      <c r="J374" s="1" t="s">
        <v>84</v>
      </c>
      <c r="K374" s="1" t="s">
        <v>74</v>
      </c>
      <c r="L374" s="1" t="s">
        <v>72</v>
      </c>
      <c r="M374" s="1" t="s">
        <v>75</v>
      </c>
      <c r="N374" s="1" t="s">
        <v>76</v>
      </c>
      <c r="O374" s="1" t="s">
        <v>77</v>
      </c>
      <c r="P374" s="1" t="s">
        <v>27</v>
      </c>
      <c r="Q374" s="1" t="s">
        <v>86</v>
      </c>
      <c r="R374" s="1" t="s">
        <v>94</v>
      </c>
      <c r="S374" s="1" t="s">
        <v>87</v>
      </c>
      <c r="T374" s="1" t="s">
        <v>88</v>
      </c>
      <c r="X374" s="1" t="s">
        <v>73</v>
      </c>
      <c r="Z374" s="1" t="s">
        <v>70</v>
      </c>
      <c r="AA374" s="1" t="s">
        <v>95</v>
      </c>
      <c r="AB374" s="1">
        <v>5</v>
      </c>
      <c r="AC374" s="1">
        <v>748806.16</v>
      </c>
      <c r="AD374" s="1">
        <v>8930544.7799999993</v>
      </c>
      <c r="AE374" s="1">
        <v>210.76</v>
      </c>
      <c r="AF374" s="1">
        <v>748806.16</v>
      </c>
      <c r="AG374" s="1">
        <v>8930544.7799999993</v>
      </c>
      <c r="AH374" s="1">
        <v>199.4</v>
      </c>
      <c r="AI374" s="1">
        <v>11.36</v>
      </c>
      <c r="AJ374" s="1">
        <v>0.6</v>
      </c>
      <c r="AK374" s="1">
        <v>2.97</v>
      </c>
      <c r="AL374" s="1">
        <v>2.58</v>
      </c>
      <c r="AM374" s="1">
        <v>0</v>
      </c>
      <c r="AN374" s="1">
        <v>0</v>
      </c>
      <c r="AO374" s="1">
        <v>279.95422539999998</v>
      </c>
      <c r="AP374" s="1">
        <v>3.21</v>
      </c>
      <c r="AQ374" s="1">
        <v>0.26</v>
      </c>
      <c r="AR374" s="1">
        <v>0.04</v>
      </c>
      <c r="AS374" s="1">
        <v>0.04</v>
      </c>
      <c r="AT374" s="1">
        <v>12.15</v>
      </c>
      <c r="AU374" s="1">
        <v>4.26</v>
      </c>
      <c r="AV374" s="1">
        <v>0.21</v>
      </c>
      <c r="AW374" s="1">
        <v>0.97</v>
      </c>
      <c r="AX374" s="1">
        <v>6.1</v>
      </c>
      <c r="AY374" s="1">
        <v>0</v>
      </c>
      <c r="AZ374" s="1">
        <v>114.44199999999999</v>
      </c>
      <c r="BA374" s="1">
        <v>0</v>
      </c>
      <c r="BB374" s="1">
        <v>0</v>
      </c>
      <c r="BC374" s="1">
        <v>0</v>
      </c>
      <c r="BD374" s="1">
        <v>0</v>
      </c>
    </row>
    <row r="375" spans="1:56">
      <c r="A375" s="18">
        <v>46192</v>
      </c>
      <c r="B375" s="1">
        <v>374</v>
      </c>
      <c r="C375" s="1" t="s">
        <v>89</v>
      </c>
      <c r="D375" s="1" t="s">
        <v>90</v>
      </c>
      <c r="E375" s="1">
        <v>2</v>
      </c>
      <c r="F375" s="1">
        <v>200</v>
      </c>
      <c r="G375" s="1">
        <v>1</v>
      </c>
      <c r="H375" s="1" t="s">
        <v>91</v>
      </c>
      <c r="I375" s="1" t="s">
        <v>79</v>
      </c>
      <c r="J375" s="1" t="s">
        <v>84</v>
      </c>
      <c r="K375" s="1" t="s">
        <v>74</v>
      </c>
      <c r="L375" s="1" t="s">
        <v>72</v>
      </c>
      <c r="M375" s="1" t="s">
        <v>75</v>
      </c>
      <c r="N375" s="1" t="s">
        <v>76</v>
      </c>
      <c r="O375" s="1" t="s">
        <v>77</v>
      </c>
      <c r="P375" s="1" t="s">
        <v>27</v>
      </c>
      <c r="Q375" s="1" t="s">
        <v>86</v>
      </c>
      <c r="R375" s="1" t="s">
        <v>94</v>
      </c>
      <c r="S375" s="1" t="s">
        <v>87</v>
      </c>
      <c r="T375" s="1" t="s">
        <v>88</v>
      </c>
      <c r="X375" s="1" t="s">
        <v>73</v>
      </c>
      <c r="Z375" s="1" t="s">
        <v>70</v>
      </c>
      <c r="AA375" s="1" t="s">
        <v>95</v>
      </c>
      <c r="AB375" s="1">
        <v>5</v>
      </c>
      <c r="AC375" s="1">
        <v>748804.56</v>
      </c>
      <c r="AD375" s="1">
        <v>8930547.2799999993</v>
      </c>
      <c r="AE375" s="1">
        <v>210.59</v>
      </c>
      <c r="AF375" s="1">
        <v>748804.56</v>
      </c>
      <c r="AG375" s="1">
        <v>8930547.2799999993</v>
      </c>
      <c r="AH375" s="1">
        <v>199.4</v>
      </c>
      <c r="AI375" s="1">
        <v>11.19</v>
      </c>
      <c r="AJ375" s="1">
        <v>0.6</v>
      </c>
      <c r="AK375" s="1">
        <v>2.97</v>
      </c>
      <c r="AL375" s="1">
        <v>2.58</v>
      </c>
      <c r="AM375" s="1">
        <v>0</v>
      </c>
      <c r="AN375" s="1">
        <v>0</v>
      </c>
      <c r="AO375" s="1">
        <v>279.95422539999998</v>
      </c>
      <c r="AP375" s="1">
        <v>3.23</v>
      </c>
      <c r="AQ375" s="1">
        <v>0.3</v>
      </c>
      <c r="AR375" s="1">
        <v>0.04</v>
      </c>
      <c r="AS375" s="1">
        <v>0.05</v>
      </c>
      <c r="AT375" s="1">
        <v>13.79</v>
      </c>
      <c r="AU375" s="1">
        <v>4.91</v>
      </c>
      <c r="AV375" s="1">
        <v>0.22</v>
      </c>
      <c r="AW375" s="1">
        <v>1.04</v>
      </c>
      <c r="AX375" s="1">
        <v>6.61</v>
      </c>
      <c r="AY375" s="1">
        <v>0</v>
      </c>
      <c r="AZ375" s="1">
        <v>111.96599999999999</v>
      </c>
      <c r="BA375" s="1">
        <v>0</v>
      </c>
      <c r="BB375" s="1">
        <v>0</v>
      </c>
      <c r="BC375" s="1">
        <v>0</v>
      </c>
      <c r="BD375" s="1">
        <v>0</v>
      </c>
    </row>
    <row r="376" spans="1:56">
      <c r="A376" s="18">
        <v>46192</v>
      </c>
      <c r="B376" s="1">
        <v>375</v>
      </c>
      <c r="C376" s="1" t="s">
        <v>89</v>
      </c>
      <c r="D376" s="1" t="s">
        <v>90</v>
      </c>
      <c r="E376" s="1">
        <v>2</v>
      </c>
      <c r="F376" s="1">
        <v>200</v>
      </c>
      <c r="G376" s="1">
        <v>1</v>
      </c>
      <c r="H376" s="1" t="s">
        <v>91</v>
      </c>
      <c r="I376" s="1" t="s">
        <v>79</v>
      </c>
      <c r="J376" s="1" t="s">
        <v>84</v>
      </c>
      <c r="K376" s="1" t="s">
        <v>74</v>
      </c>
      <c r="L376" s="1" t="s">
        <v>72</v>
      </c>
      <c r="M376" s="1" t="s">
        <v>75</v>
      </c>
      <c r="N376" s="1" t="s">
        <v>76</v>
      </c>
      <c r="O376" s="1" t="s">
        <v>77</v>
      </c>
      <c r="P376" s="1" t="s">
        <v>27</v>
      </c>
      <c r="Q376" s="1" t="s">
        <v>86</v>
      </c>
      <c r="R376" s="1" t="s">
        <v>94</v>
      </c>
      <c r="S376" s="1" t="s">
        <v>87</v>
      </c>
      <c r="T376" s="1" t="s">
        <v>88</v>
      </c>
      <c r="X376" s="1" t="s">
        <v>73</v>
      </c>
      <c r="Z376" s="1" t="s">
        <v>70</v>
      </c>
      <c r="AA376" s="1" t="s">
        <v>95</v>
      </c>
      <c r="AB376" s="1">
        <v>5</v>
      </c>
      <c r="AC376" s="1">
        <v>748802.96</v>
      </c>
      <c r="AD376" s="1">
        <v>8930549.7799999993</v>
      </c>
      <c r="AE376" s="1">
        <v>210.38</v>
      </c>
      <c r="AF376" s="1">
        <v>748802.96</v>
      </c>
      <c r="AG376" s="1">
        <v>8930549.7799999993</v>
      </c>
      <c r="AH376" s="1">
        <v>199.4</v>
      </c>
      <c r="AI376" s="1">
        <v>10.98</v>
      </c>
      <c r="AJ376" s="1">
        <v>0.6</v>
      </c>
      <c r="AK376" s="1">
        <v>2.97</v>
      </c>
      <c r="AL376" s="1">
        <v>2.58</v>
      </c>
      <c r="AM376" s="1">
        <v>0</v>
      </c>
      <c r="AN376" s="1">
        <v>0</v>
      </c>
      <c r="AO376" s="1">
        <v>279.95422539999998</v>
      </c>
      <c r="AP376" s="1">
        <v>3.29</v>
      </c>
      <c r="AQ376" s="1">
        <v>0.27</v>
      </c>
      <c r="AR376" s="1">
        <v>0.04</v>
      </c>
      <c r="AS376" s="1">
        <v>0.05</v>
      </c>
      <c r="AT376" s="1">
        <v>14.4</v>
      </c>
      <c r="AU376" s="1">
        <v>5.03</v>
      </c>
      <c r="AV376" s="1">
        <v>0.2</v>
      </c>
      <c r="AW376" s="1">
        <v>1.36</v>
      </c>
      <c r="AX376" s="1">
        <v>8.01</v>
      </c>
      <c r="AY376" s="1">
        <v>0</v>
      </c>
      <c r="AZ376" s="1">
        <v>108.90900000000001</v>
      </c>
      <c r="BA376" s="1">
        <v>0</v>
      </c>
      <c r="BB376" s="1">
        <v>0</v>
      </c>
      <c r="BC376" s="1">
        <v>0</v>
      </c>
      <c r="BD376" s="1">
        <v>0</v>
      </c>
    </row>
    <row r="377" spans="1:56">
      <c r="A377" s="18">
        <v>46192</v>
      </c>
      <c r="B377" s="1">
        <v>376</v>
      </c>
      <c r="C377" s="1" t="s">
        <v>89</v>
      </c>
      <c r="D377" s="1" t="s">
        <v>90</v>
      </c>
      <c r="E377" s="1">
        <v>2</v>
      </c>
      <c r="F377" s="1">
        <v>200</v>
      </c>
      <c r="G377" s="1">
        <v>1</v>
      </c>
      <c r="H377" s="1" t="s">
        <v>91</v>
      </c>
      <c r="I377" s="1" t="s">
        <v>79</v>
      </c>
      <c r="J377" s="1" t="s">
        <v>84</v>
      </c>
      <c r="K377" s="1" t="s">
        <v>74</v>
      </c>
      <c r="L377" s="1" t="s">
        <v>72</v>
      </c>
      <c r="M377" s="1" t="s">
        <v>75</v>
      </c>
      <c r="N377" s="1" t="s">
        <v>76</v>
      </c>
      <c r="O377" s="1" t="s">
        <v>77</v>
      </c>
      <c r="P377" s="1" t="s">
        <v>27</v>
      </c>
      <c r="Q377" s="1" t="s">
        <v>86</v>
      </c>
      <c r="R377" s="1" t="s">
        <v>94</v>
      </c>
      <c r="S377" s="1" t="s">
        <v>87</v>
      </c>
      <c r="T377" s="1" t="s">
        <v>88</v>
      </c>
      <c r="X377" s="1" t="s">
        <v>73</v>
      </c>
      <c r="Z377" s="1" t="s">
        <v>70</v>
      </c>
      <c r="AA377" s="1" t="s">
        <v>95</v>
      </c>
      <c r="AB377" s="1">
        <v>5</v>
      </c>
      <c r="AC377" s="1">
        <v>748801.35</v>
      </c>
      <c r="AD377" s="1">
        <v>8930552.2799999993</v>
      </c>
      <c r="AE377" s="1">
        <v>210.17</v>
      </c>
      <c r="AF377" s="1">
        <v>748801.35</v>
      </c>
      <c r="AG377" s="1">
        <v>8930552.2799999993</v>
      </c>
      <c r="AH377" s="1">
        <v>199.4</v>
      </c>
      <c r="AI377" s="1">
        <v>10.77</v>
      </c>
      <c r="AJ377" s="1">
        <v>0.6</v>
      </c>
      <c r="AK377" s="1">
        <v>2.97</v>
      </c>
      <c r="AL377" s="1">
        <v>2.58</v>
      </c>
      <c r="AM377" s="1">
        <v>0</v>
      </c>
      <c r="AN377" s="1">
        <v>0</v>
      </c>
      <c r="AO377" s="1">
        <v>279.95422539999998</v>
      </c>
      <c r="AP377" s="1">
        <v>3.37</v>
      </c>
      <c r="AQ377" s="1">
        <v>0.22</v>
      </c>
      <c r="AR377" s="1">
        <v>0.03</v>
      </c>
      <c r="AS377" s="1">
        <v>0.04</v>
      </c>
      <c r="AT377" s="1">
        <v>13.82</v>
      </c>
      <c r="AU377" s="1">
        <v>4.79</v>
      </c>
      <c r="AV377" s="1">
        <v>0.13</v>
      </c>
      <c r="AW377" s="1">
        <v>1.67</v>
      </c>
      <c r="AX377" s="1">
        <v>8.82</v>
      </c>
      <c r="AY377" s="1">
        <v>0</v>
      </c>
      <c r="AZ377" s="1">
        <v>105.851</v>
      </c>
      <c r="BA377" s="1">
        <v>0</v>
      </c>
      <c r="BB377" s="1">
        <v>0</v>
      </c>
      <c r="BC377" s="1">
        <v>0</v>
      </c>
      <c r="BD377" s="1">
        <v>0</v>
      </c>
    </row>
    <row r="378" spans="1:56">
      <c r="A378" s="18">
        <v>46192</v>
      </c>
      <c r="B378" s="1">
        <v>377</v>
      </c>
      <c r="C378" s="1" t="s">
        <v>89</v>
      </c>
      <c r="D378" s="1" t="s">
        <v>90</v>
      </c>
      <c r="E378" s="1">
        <v>2</v>
      </c>
      <c r="F378" s="1">
        <v>200</v>
      </c>
      <c r="G378" s="1">
        <v>1</v>
      </c>
      <c r="H378" s="1" t="s">
        <v>91</v>
      </c>
      <c r="I378" s="1" t="s">
        <v>79</v>
      </c>
      <c r="J378" s="1" t="s">
        <v>84</v>
      </c>
      <c r="K378" s="1" t="s">
        <v>74</v>
      </c>
      <c r="L378" s="1" t="s">
        <v>72</v>
      </c>
      <c r="M378" s="1" t="s">
        <v>75</v>
      </c>
      <c r="N378" s="1" t="s">
        <v>76</v>
      </c>
      <c r="O378" s="1" t="s">
        <v>77</v>
      </c>
      <c r="P378" s="1" t="s">
        <v>27</v>
      </c>
      <c r="Q378" s="1" t="s">
        <v>86</v>
      </c>
      <c r="R378" s="1" t="s">
        <v>94</v>
      </c>
      <c r="S378" s="1" t="s">
        <v>87</v>
      </c>
      <c r="T378" s="1" t="s">
        <v>88</v>
      </c>
      <c r="X378" s="1" t="s">
        <v>73</v>
      </c>
      <c r="Z378" s="1" t="s">
        <v>70</v>
      </c>
      <c r="AA378" s="1" t="s">
        <v>95</v>
      </c>
      <c r="AB378" s="1">
        <v>5</v>
      </c>
      <c r="AC378" s="1">
        <v>748799.54</v>
      </c>
      <c r="AD378" s="1">
        <v>8930554.6199999992</v>
      </c>
      <c r="AE378" s="1">
        <v>210.04</v>
      </c>
      <c r="AF378" s="1">
        <v>748799.54</v>
      </c>
      <c r="AG378" s="1">
        <v>8930554.6199999992</v>
      </c>
      <c r="AH378" s="1">
        <v>199.4</v>
      </c>
      <c r="AI378" s="1">
        <v>10.64</v>
      </c>
      <c r="AJ378" s="1">
        <v>0.6</v>
      </c>
      <c r="AK378" s="1">
        <v>2.97</v>
      </c>
      <c r="AL378" s="1">
        <v>2.58</v>
      </c>
      <c r="AM378" s="1">
        <v>0</v>
      </c>
      <c r="AN378" s="1">
        <v>0</v>
      </c>
      <c r="AO378" s="1">
        <v>279.95422539999998</v>
      </c>
      <c r="AP378" s="1">
        <v>3.36</v>
      </c>
      <c r="AQ378" s="1">
        <v>0.25</v>
      </c>
      <c r="AR378" s="1">
        <v>0.04</v>
      </c>
      <c r="AS378" s="1">
        <v>0.04</v>
      </c>
      <c r="AT378" s="1">
        <v>13.59</v>
      </c>
      <c r="AU378" s="1">
        <v>4.71</v>
      </c>
      <c r="AV378" s="1">
        <v>0.14000000000000001</v>
      </c>
      <c r="AW378" s="1">
        <v>1.86</v>
      </c>
      <c r="AX378" s="1">
        <v>8.7100000000000009</v>
      </c>
      <c r="AY378" s="1">
        <v>0</v>
      </c>
      <c r="AZ378" s="1">
        <v>103.958</v>
      </c>
      <c r="BA378" s="1">
        <v>0</v>
      </c>
      <c r="BB378" s="1">
        <v>0</v>
      </c>
      <c r="BC378" s="1">
        <v>0</v>
      </c>
      <c r="BD378" s="1">
        <v>0</v>
      </c>
    </row>
    <row r="379" spans="1:56">
      <c r="A379" s="18">
        <v>46192</v>
      </c>
      <c r="B379" s="1">
        <v>378</v>
      </c>
      <c r="C379" s="1" t="s">
        <v>89</v>
      </c>
      <c r="D379" s="1" t="s">
        <v>90</v>
      </c>
      <c r="E379" s="1">
        <v>2</v>
      </c>
      <c r="F379" s="1">
        <v>200</v>
      </c>
      <c r="G379" s="1">
        <v>1</v>
      </c>
      <c r="H379" s="1" t="s">
        <v>91</v>
      </c>
      <c r="I379" s="1" t="s">
        <v>79</v>
      </c>
      <c r="J379" s="1" t="s">
        <v>84</v>
      </c>
      <c r="K379" s="1" t="s">
        <v>74</v>
      </c>
      <c r="L379" s="1" t="s">
        <v>72</v>
      </c>
      <c r="M379" s="1" t="s">
        <v>75</v>
      </c>
      <c r="N379" s="1" t="s">
        <v>76</v>
      </c>
      <c r="O379" s="1" t="s">
        <v>77</v>
      </c>
      <c r="P379" s="1" t="s">
        <v>27</v>
      </c>
      <c r="Q379" s="1" t="s">
        <v>86</v>
      </c>
      <c r="R379" s="1" t="s">
        <v>94</v>
      </c>
      <c r="S379" s="1" t="s">
        <v>87</v>
      </c>
      <c r="T379" s="1" t="s">
        <v>88</v>
      </c>
      <c r="X379" s="1" t="s">
        <v>73</v>
      </c>
      <c r="Z379" s="1" t="s">
        <v>70</v>
      </c>
      <c r="AA379" s="1" t="s">
        <v>95</v>
      </c>
      <c r="AB379" s="1">
        <v>5</v>
      </c>
      <c r="AC379" s="1">
        <v>748797.29</v>
      </c>
      <c r="AD379" s="1">
        <v>8930556.5600000005</v>
      </c>
      <c r="AE379" s="1">
        <v>210.03</v>
      </c>
      <c r="AF379" s="1">
        <v>748797.29</v>
      </c>
      <c r="AG379" s="1">
        <v>8930556.5600000005</v>
      </c>
      <c r="AH379" s="1">
        <v>199.4</v>
      </c>
      <c r="AI379" s="1">
        <v>10.63</v>
      </c>
      <c r="AJ379" s="1">
        <v>0.6</v>
      </c>
      <c r="AK379" s="1">
        <v>2.97</v>
      </c>
      <c r="AL379" s="1">
        <v>2.58</v>
      </c>
      <c r="AM379" s="1">
        <v>0</v>
      </c>
      <c r="AN379" s="1">
        <v>0</v>
      </c>
      <c r="AO379" s="1">
        <v>279.95422539999998</v>
      </c>
      <c r="AP379" s="1">
        <v>3.36</v>
      </c>
      <c r="AQ379" s="1">
        <v>0.27</v>
      </c>
      <c r="AR379" s="1">
        <v>0.04</v>
      </c>
      <c r="AS379" s="1">
        <v>0.04</v>
      </c>
      <c r="AT379" s="1">
        <v>13.44</v>
      </c>
      <c r="AU379" s="1">
        <v>4.6500000000000004</v>
      </c>
      <c r="AV379" s="1">
        <v>0.14000000000000001</v>
      </c>
      <c r="AW379" s="1">
        <v>1.99</v>
      </c>
      <c r="AX379" s="1">
        <v>8.6300000000000008</v>
      </c>
      <c r="AY379" s="1">
        <v>0</v>
      </c>
      <c r="AZ379" s="1">
        <v>103.813</v>
      </c>
      <c r="BA379" s="1">
        <v>0</v>
      </c>
      <c r="BB379" s="1">
        <v>0</v>
      </c>
      <c r="BC379" s="1">
        <v>0</v>
      </c>
      <c r="BD379" s="1">
        <v>0</v>
      </c>
    </row>
    <row r="380" spans="1:56">
      <c r="A380" s="18">
        <v>46192</v>
      </c>
      <c r="B380" s="1">
        <v>379</v>
      </c>
      <c r="C380" s="1" t="s">
        <v>89</v>
      </c>
      <c r="D380" s="1" t="s">
        <v>90</v>
      </c>
      <c r="E380" s="1">
        <v>2</v>
      </c>
      <c r="F380" s="1">
        <v>200</v>
      </c>
      <c r="G380" s="1">
        <v>1</v>
      </c>
      <c r="H380" s="1" t="s">
        <v>91</v>
      </c>
      <c r="I380" s="1" t="s">
        <v>79</v>
      </c>
      <c r="J380" s="1" t="s">
        <v>84</v>
      </c>
      <c r="K380" s="1" t="s">
        <v>74</v>
      </c>
      <c r="L380" s="1" t="s">
        <v>72</v>
      </c>
      <c r="M380" s="1" t="s">
        <v>75</v>
      </c>
      <c r="N380" s="1" t="s">
        <v>76</v>
      </c>
      <c r="O380" s="1" t="s">
        <v>77</v>
      </c>
      <c r="P380" s="1" t="s">
        <v>27</v>
      </c>
      <c r="Q380" s="1" t="s">
        <v>86</v>
      </c>
      <c r="R380" s="1" t="s">
        <v>94</v>
      </c>
      <c r="S380" s="1" t="s">
        <v>87</v>
      </c>
      <c r="T380" s="1" t="s">
        <v>88</v>
      </c>
      <c r="X380" s="1" t="s">
        <v>73</v>
      </c>
      <c r="Z380" s="1" t="s">
        <v>70</v>
      </c>
      <c r="AA380" s="1" t="s">
        <v>95</v>
      </c>
      <c r="AB380" s="1">
        <v>5</v>
      </c>
      <c r="AC380" s="1">
        <v>748795.04</v>
      </c>
      <c r="AD380" s="1">
        <v>8930558.4900000002</v>
      </c>
      <c r="AE380" s="1">
        <v>210.13</v>
      </c>
      <c r="AF380" s="1">
        <v>748795.04</v>
      </c>
      <c r="AG380" s="1">
        <v>8930558.4900000002</v>
      </c>
      <c r="AH380" s="1">
        <v>199.4</v>
      </c>
      <c r="AI380" s="1">
        <v>10.73</v>
      </c>
      <c r="AJ380" s="1">
        <v>0.6</v>
      </c>
      <c r="AK380" s="1">
        <v>2.97</v>
      </c>
      <c r="AL380" s="1">
        <v>2.58</v>
      </c>
      <c r="AM380" s="1">
        <v>0</v>
      </c>
      <c r="AN380" s="1">
        <v>0</v>
      </c>
      <c r="AO380" s="1">
        <v>279.95422539999998</v>
      </c>
      <c r="AP380" s="1">
        <v>3.36</v>
      </c>
      <c r="AQ380" s="1">
        <v>0.28000000000000003</v>
      </c>
      <c r="AR380" s="1">
        <v>0.04</v>
      </c>
      <c r="AS380" s="1">
        <v>0.04</v>
      </c>
      <c r="AT380" s="1">
        <v>13.57</v>
      </c>
      <c r="AU380" s="1">
        <v>4.67</v>
      </c>
      <c r="AV380" s="1">
        <v>0.14000000000000001</v>
      </c>
      <c r="AW380" s="1">
        <v>1.99</v>
      </c>
      <c r="AX380" s="1">
        <v>8.69</v>
      </c>
      <c r="AY380" s="1">
        <v>0</v>
      </c>
      <c r="AZ380" s="1">
        <v>105.26900000000001</v>
      </c>
      <c r="BA380" s="1">
        <v>0</v>
      </c>
      <c r="BB380" s="1">
        <v>0</v>
      </c>
      <c r="BC380" s="1">
        <v>0</v>
      </c>
      <c r="BD380" s="1">
        <v>0</v>
      </c>
    </row>
    <row r="381" spans="1:56">
      <c r="A381" s="18">
        <v>46192</v>
      </c>
      <c r="B381" s="1">
        <v>380</v>
      </c>
      <c r="C381" s="1" t="s">
        <v>89</v>
      </c>
      <c r="D381" s="1" t="s">
        <v>90</v>
      </c>
      <c r="E381" s="1">
        <v>2</v>
      </c>
      <c r="F381" s="1">
        <v>200</v>
      </c>
      <c r="G381" s="1">
        <v>1</v>
      </c>
      <c r="H381" s="1" t="s">
        <v>91</v>
      </c>
      <c r="I381" s="1" t="s">
        <v>79</v>
      </c>
      <c r="J381" s="1" t="s">
        <v>84</v>
      </c>
      <c r="K381" s="1" t="s">
        <v>74</v>
      </c>
      <c r="L381" s="1" t="s">
        <v>72</v>
      </c>
      <c r="M381" s="1" t="s">
        <v>75</v>
      </c>
      <c r="N381" s="1" t="s">
        <v>76</v>
      </c>
      <c r="O381" s="1" t="s">
        <v>77</v>
      </c>
      <c r="P381" s="1" t="s">
        <v>27</v>
      </c>
      <c r="Q381" s="1" t="s">
        <v>86</v>
      </c>
      <c r="R381" s="1" t="s">
        <v>94</v>
      </c>
      <c r="S381" s="1" t="s">
        <v>87</v>
      </c>
      <c r="T381" s="1" t="s">
        <v>88</v>
      </c>
      <c r="X381" s="1" t="s">
        <v>73</v>
      </c>
      <c r="Z381" s="1" t="s">
        <v>70</v>
      </c>
      <c r="AA381" s="1" t="s">
        <v>95</v>
      </c>
      <c r="AB381" s="1">
        <v>5</v>
      </c>
      <c r="AC381" s="1">
        <v>748792.79</v>
      </c>
      <c r="AD381" s="1">
        <v>8930560.4299999997</v>
      </c>
      <c r="AE381" s="1">
        <v>210.28</v>
      </c>
      <c r="AF381" s="1">
        <v>748792.79</v>
      </c>
      <c r="AG381" s="1">
        <v>8930560.4299999997</v>
      </c>
      <c r="AH381" s="1">
        <v>199.4</v>
      </c>
      <c r="AI381" s="1">
        <v>10.88</v>
      </c>
      <c r="AJ381" s="1">
        <v>0.6</v>
      </c>
      <c r="AK381" s="1">
        <v>2.97</v>
      </c>
      <c r="AL381" s="1">
        <v>2.58</v>
      </c>
      <c r="AM381" s="1">
        <v>0</v>
      </c>
      <c r="AN381" s="1">
        <v>0</v>
      </c>
      <c r="AO381" s="1">
        <v>279.95422539999998</v>
      </c>
      <c r="AP381" s="1">
        <v>3.36</v>
      </c>
      <c r="AQ381" s="1">
        <v>0.33</v>
      </c>
      <c r="AR381" s="1">
        <v>0.06</v>
      </c>
      <c r="AS381" s="1">
        <v>0.05</v>
      </c>
      <c r="AT381" s="1">
        <v>14.4</v>
      </c>
      <c r="AU381" s="1">
        <v>4.8099999999999996</v>
      </c>
      <c r="AV381" s="1">
        <v>0.17</v>
      </c>
      <c r="AW381" s="1">
        <v>2</v>
      </c>
      <c r="AX381" s="1">
        <v>8.94</v>
      </c>
      <c r="AY381" s="1">
        <v>0</v>
      </c>
      <c r="AZ381" s="1">
        <v>107.453</v>
      </c>
      <c r="BA381" s="1">
        <v>0</v>
      </c>
      <c r="BB381" s="1">
        <v>0</v>
      </c>
      <c r="BC381" s="1">
        <v>0</v>
      </c>
      <c r="BD381" s="1">
        <v>0</v>
      </c>
    </row>
    <row r="382" spans="1:56">
      <c r="A382" s="18">
        <v>46192</v>
      </c>
      <c r="B382" s="1">
        <v>381</v>
      </c>
      <c r="C382" s="1" t="s">
        <v>89</v>
      </c>
      <c r="D382" s="1" t="s">
        <v>90</v>
      </c>
      <c r="E382" s="1">
        <v>2</v>
      </c>
      <c r="F382" s="1">
        <v>200</v>
      </c>
      <c r="G382" s="1">
        <v>1</v>
      </c>
      <c r="H382" s="1" t="s">
        <v>91</v>
      </c>
      <c r="I382" s="1" t="s">
        <v>79</v>
      </c>
      <c r="J382" s="1" t="s">
        <v>84</v>
      </c>
      <c r="K382" s="1" t="s">
        <v>74</v>
      </c>
      <c r="L382" s="1" t="s">
        <v>72</v>
      </c>
      <c r="M382" s="1" t="s">
        <v>75</v>
      </c>
      <c r="N382" s="1" t="s">
        <v>76</v>
      </c>
      <c r="O382" s="1" t="s">
        <v>77</v>
      </c>
      <c r="P382" s="1" t="s">
        <v>27</v>
      </c>
      <c r="Q382" s="1" t="s">
        <v>86</v>
      </c>
      <c r="R382" s="1" t="s">
        <v>94</v>
      </c>
      <c r="S382" s="1" t="s">
        <v>87</v>
      </c>
      <c r="T382" s="1" t="s">
        <v>88</v>
      </c>
      <c r="X382" s="1" t="s">
        <v>73</v>
      </c>
      <c r="Z382" s="1" t="s">
        <v>70</v>
      </c>
      <c r="AA382" s="1" t="s">
        <v>95</v>
      </c>
      <c r="AB382" s="1">
        <v>5</v>
      </c>
      <c r="AC382" s="1">
        <v>748790.54</v>
      </c>
      <c r="AD382" s="1">
        <v>8930562.3699999992</v>
      </c>
      <c r="AE382" s="1">
        <v>210.32</v>
      </c>
      <c r="AF382" s="1">
        <v>748790.54</v>
      </c>
      <c r="AG382" s="1">
        <v>8930562.3699999992</v>
      </c>
      <c r="AH382" s="1">
        <v>199.4</v>
      </c>
      <c r="AI382" s="1">
        <v>10.92</v>
      </c>
      <c r="AJ382" s="1">
        <v>0.6</v>
      </c>
      <c r="AK382" s="1">
        <v>2.97</v>
      </c>
      <c r="AL382" s="1">
        <v>2.58</v>
      </c>
      <c r="AM382" s="1">
        <v>0</v>
      </c>
      <c r="AN382" s="1">
        <v>0</v>
      </c>
      <c r="AO382" s="1">
        <v>279.95422539999998</v>
      </c>
      <c r="AP382" s="1">
        <v>3.37</v>
      </c>
      <c r="AQ382" s="1">
        <v>0.47</v>
      </c>
      <c r="AR382" s="1">
        <v>0.09</v>
      </c>
      <c r="AS382" s="1">
        <v>7.0000000000000007E-2</v>
      </c>
      <c r="AT382" s="1">
        <v>16.84</v>
      </c>
      <c r="AU382" s="1">
        <v>5.17</v>
      </c>
      <c r="AV382" s="1">
        <v>0.2</v>
      </c>
      <c r="AW382" s="1">
        <v>2.2999999999999998</v>
      </c>
      <c r="AX382" s="1">
        <v>8.08</v>
      </c>
      <c r="AY382" s="1">
        <v>0</v>
      </c>
      <c r="AZ382" s="1">
        <v>108.035</v>
      </c>
      <c r="BA382" s="1">
        <v>0</v>
      </c>
      <c r="BB382" s="1">
        <v>0</v>
      </c>
      <c r="BC382" s="1">
        <v>0</v>
      </c>
      <c r="BD382" s="1">
        <v>0</v>
      </c>
    </row>
    <row r="383" spans="1:56">
      <c r="A383" s="18">
        <v>46192</v>
      </c>
      <c r="B383" s="1">
        <v>382</v>
      </c>
      <c r="C383" s="1" t="s">
        <v>89</v>
      </c>
      <c r="D383" s="1" t="s">
        <v>90</v>
      </c>
      <c r="E383" s="1">
        <v>2</v>
      </c>
      <c r="F383" s="1">
        <v>200</v>
      </c>
      <c r="G383" s="1">
        <v>1</v>
      </c>
      <c r="H383" s="1" t="s">
        <v>91</v>
      </c>
      <c r="I383" s="1" t="s">
        <v>79</v>
      </c>
      <c r="J383" s="1" t="s">
        <v>80</v>
      </c>
      <c r="K383" s="1" t="s">
        <v>74</v>
      </c>
      <c r="L383" s="1" t="s">
        <v>72</v>
      </c>
      <c r="M383" s="1" t="s">
        <v>75</v>
      </c>
      <c r="N383" s="1" t="s">
        <v>76</v>
      </c>
      <c r="O383" s="1" t="s">
        <v>77</v>
      </c>
      <c r="P383" s="1" t="s">
        <v>27</v>
      </c>
      <c r="Q383" s="1" t="s">
        <v>86</v>
      </c>
      <c r="R383" s="1" t="s">
        <v>94</v>
      </c>
      <c r="S383" s="1" t="s">
        <v>87</v>
      </c>
      <c r="T383" s="1" t="s">
        <v>88</v>
      </c>
      <c r="X383" s="1" t="s">
        <v>73</v>
      </c>
      <c r="Z383" s="1" t="s">
        <v>70</v>
      </c>
      <c r="AA383" s="1" t="s">
        <v>95</v>
      </c>
      <c r="AB383" s="1">
        <v>5</v>
      </c>
      <c r="AC383" s="1">
        <v>748788.29</v>
      </c>
      <c r="AD383" s="1">
        <v>8930564.3100000005</v>
      </c>
      <c r="AE383" s="1">
        <v>210.37</v>
      </c>
      <c r="AF383" s="1">
        <v>748788.29</v>
      </c>
      <c r="AG383" s="1">
        <v>8930564.3100000005</v>
      </c>
      <c r="AH383" s="1">
        <v>199.4</v>
      </c>
      <c r="AI383" s="1">
        <v>10.97</v>
      </c>
      <c r="AJ383" s="1">
        <v>0.6</v>
      </c>
      <c r="AK383" s="1">
        <v>2.97</v>
      </c>
      <c r="AL383" s="1">
        <v>2.58</v>
      </c>
      <c r="AM383" s="1">
        <v>0</v>
      </c>
      <c r="AN383" s="1">
        <v>0</v>
      </c>
      <c r="AO383" s="1">
        <v>279.95422539999998</v>
      </c>
      <c r="AP383" s="1">
        <v>3.37</v>
      </c>
      <c r="AQ383" s="1">
        <v>0.66</v>
      </c>
      <c r="AR383" s="1">
        <v>0.12</v>
      </c>
      <c r="AS383" s="1">
        <v>0.09</v>
      </c>
      <c r="AT383" s="1">
        <v>20.25</v>
      </c>
      <c r="AU383" s="1">
        <v>5.65</v>
      </c>
      <c r="AV383" s="1">
        <v>0.23</v>
      </c>
      <c r="AW383" s="1">
        <v>2.84</v>
      </c>
      <c r="AX383" s="1">
        <v>6.25</v>
      </c>
      <c r="AY383" s="1">
        <v>0</v>
      </c>
      <c r="AZ383" s="1">
        <v>108.76300000000001</v>
      </c>
      <c r="BA383" s="1">
        <v>0</v>
      </c>
      <c r="BB383" s="1">
        <v>0</v>
      </c>
      <c r="BC383" s="1">
        <v>0</v>
      </c>
      <c r="BD383" s="1">
        <v>0</v>
      </c>
    </row>
    <row r="384" spans="1:56">
      <c r="A384" s="18">
        <v>46192</v>
      </c>
      <c r="B384" s="1">
        <v>383</v>
      </c>
      <c r="C384" s="1" t="s">
        <v>89</v>
      </c>
      <c r="D384" s="1" t="s">
        <v>90</v>
      </c>
      <c r="E384" s="1">
        <v>2</v>
      </c>
      <c r="F384" s="1">
        <v>200</v>
      </c>
      <c r="G384" s="1">
        <v>1</v>
      </c>
      <c r="H384" s="1" t="s">
        <v>91</v>
      </c>
      <c r="I384" s="1" t="s">
        <v>79</v>
      </c>
      <c r="J384" s="1" t="s">
        <v>80</v>
      </c>
      <c r="K384" s="1" t="s">
        <v>74</v>
      </c>
      <c r="L384" s="1" t="s">
        <v>72</v>
      </c>
      <c r="M384" s="1" t="s">
        <v>75</v>
      </c>
      <c r="N384" s="1" t="s">
        <v>76</v>
      </c>
      <c r="O384" s="1" t="s">
        <v>77</v>
      </c>
      <c r="P384" s="1" t="s">
        <v>27</v>
      </c>
      <c r="Q384" s="1" t="s">
        <v>86</v>
      </c>
      <c r="R384" s="1" t="s">
        <v>94</v>
      </c>
      <c r="S384" s="1" t="s">
        <v>87</v>
      </c>
      <c r="T384" s="1" t="s">
        <v>88</v>
      </c>
      <c r="X384" s="1" t="s">
        <v>73</v>
      </c>
      <c r="Z384" s="1" t="s">
        <v>70</v>
      </c>
      <c r="AA384" s="1" t="s">
        <v>95</v>
      </c>
      <c r="AB384" s="1">
        <v>5</v>
      </c>
      <c r="AC384" s="1">
        <v>748786.04</v>
      </c>
      <c r="AD384" s="1">
        <v>8930566.25</v>
      </c>
      <c r="AE384" s="1">
        <v>210.34</v>
      </c>
      <c r="AF384" s="1">
        <v>748786.04</v>
      </c>
      <c r="AG384" s="1">
        <v>8930566.25</v>
      </c>
      <c r="AH384" s="1">
        <v>199.4</v>
      </c>
      <c r="AI384" s="1">
        <v>10.94</v>
      </c>
      <c r="AJ384" s="1">
        <v>0.6</v>
      </c>
      <c r="AK384" s="1">
        <v>2.97</v>
      </c>
      <c r="AL384" s="1">
        <v>2.58</v>
      </c>
      <c r="AM384" s="1">
        <v>0</v>
      </c>
      <c r="AN384" s="1">
        <v>0</v>
      </c>
      <c r="AO384" s="1">
        <v>279.95422539999998</v>
      </c>
      <c r="AP384" s="1">
        <v>3.37</v>
      </c>
      <c r="AQ384" s="1">
        <v>0.68</v>
      </c>
      <c r="AR384" s="1">
        <v>0.12</v>
      </c>
      <c r="AS384" s="1">
        <v>0.09</v>
      </c>
      <c r="AT384" s="1">
        <v>20.51</v>
      </c>
      <c r="AU384" s="1">
        <v>5.69</v>
      </c>
      <c r="AV384" s="1">
        <v>0.24</v>
      </c>
      <c r="AW384" s="1">
        <v>2.88</v>
      </c>
      <c r="AX384" s="1">
        <v>6.1</v>
      </c>
      <c r="AY384" s="1">
        <v>0</v>
      </c>
      <c r="AZ384" s="1">
        <v>108.32599999999999</v>
      </c>
      <c r="BA384" s="1">
        <v>0</v>
      </c>
      <c r="BB384" s="1">
        <v>0</v>
      </c>
      <c r="BC384" s="1">
        <v>0</v>
      </c>
      <c r="BD384" s="1">
        <v>0</v>
      </c>
    </row>
    <row r="385" spans="1:56">
      <c r="A385" s="18">
        <v>46192</v>
      </c>
      <c r="B385" s="1">
        <v>384</v>
      </c>
      <c r="C385" s="1" t="s">
        <v>89</v>
      </c>
      <c r="D385" s="1" t="s">
        <v>90</v>
      </c>
      <c r="E385" s="1">
        <v>2</v>
      </c>
      <c r="F385" s="1">
        <v>200</v>
      </c>
      <c r="G385" s="1">
        <v>1</v>
      </c>
      <c r="H385" s="1" t="s">
        <v>91</v>
      </c>
      <c r="I385" s="1" t="s">
        <v>79</v>
      </c>
      <c r="J385" s="1" t="s">
        <v>80</v>
      </c>
      <c r="K385" s="1" t="s">
        <v>74</v>
      </c>
      <c r="L385" s="1" t="s">
        <v>72</v>
      </c>
      <c r="M385" s="1" t="s">
        <v>75</v>
      </c>
      <c r="N385" s="1" t="s">
        <v>76</v>
      </c>
      <c r="O385" s="1" t="s">
        <v>77</v>
      </c>
      <c r="P385" s="1" t="s">
        <v>27</v>
      </c>
      <c r="Q385" s="1" t="s">
        <v>86</v>
      </c>
      <c r="R385" s="1" t="s">
        <v>94</v>
      </c>
      <c r="S385" s="1" t="s">
        <v>87</v>
      </c>
      <c r="T385" s="1" t="s">
        <v>88</v>
      </c>
      <c r="X385" s="1" t="s">
        <v>73</v>
      </c>
      <c r="Z385" s="1" t="s">
        <v>70</v>
      </c>
      <c r="AA385" s="1" t="s">
        <v>95</v>
      </c>
      <c r="AB385" s="1">
        <v>5</v>
      </c>
      <c r="AC385" s="1">
        <v>748783.78</v>
      </c>
      <c r="AD385" s="1">
        <v>8930568.1899999995</v>
      </c>
      <c r="AE385" s="1">
        <v>210.16</v>
      </c>
      <c r="AF385" s="1">
        <v>748783.78</v>
      </c>
      <c r="AG385" s="1">
        <v>8930568.1899999995</v>
      </c>
      <c r="AH385" s="1">
        <v>199.4</v>
      </c>
      <c r="AI385" s="1">
        <v>10.76</v>
      </c>
      <c r="AJ385" s="1">
        <v>0.6</v>
      </c>
      <c r="AK385" s="1">
        <v>2.97</v>
      </c>
      <c r="AL385" s="1">
        <v>2.58</v>
      </c>
      <c r="AM385" s="1">
        <v>0</v>
      </c>
      <c r="AN385" s="1">
        <v>0</v>
      </c>
      <c r="AO385" s="1">
        <v>279.95422539999998</v>
      </c>
      <c r="AP385" s="1">
        <v>3.38</v>
      </c>
      <c r="AQ385" s="1">
        <v>0.67</v>
      </c>
      <c r="AR385" s="1">
        <v>0.12</v>
      </c>
      <c r="AS385" s="1">
        <v>0.09</v>
      </c>
      <c r="AT385" s="1">
        <v>20.51</v>
      </c>
      <c r="AU385" s="1">
        <v>5.7</v>
      </c>
      <c r="AV385" s="1">
        <v>0.24</v>
      </c>
      <c r="AW385" s="1">
        <v>2.86</v>
      </c>
      <c r="AX385" s="1">
        <v>6.1</v>
      </c>
      <c r="AY385" s="1">
        <v>0</v>
      </c>
      <c r="AZ385" s="1">
        <v>105.706</v>
      </c>
      <c r="BA385" s="1">
        <v>0</v>
      </c>
      <c r="BB385" s="1">
        <v>0</v>
      </c>
      <c r="BC385" s="1">
        <v>0</v>
      </c>
      <c r="BD385" s="1">
        <v>0</v>
      </c>
    </row>
    <row r="386" spans="1:56">
      <c r="A386" s="18">
        <v>46192</v>
      </c>
      <c r="B386" s="1">
        <v>385</v>
      </c>
      <c r="C386" s="1" t="s">
        <v>89</v>
      </c>
      <c r="D386" s="1" t="s">
        <v>90</v>
      </c>
      <c r="E386" s="1">
        <v>2</v>
      </c>
      <c r="F386" s="1">
        <v>200</v>
      </c>
      <c r="G386" s="1">
        <v>1</v>
      </c>
      <c r="H386" s="1" t="s">
        <v>91</v>
      </c>
      <c r="I386" s="1" t="s">
        <v>79</v>
      </c>
      <c r="J386" s="1" t="s">
        <v>80</v>
      </c>
      <c r="K386" s="1" t="s">
        <v>74</v>
      </c>
      <c r="L386" s="1" t="s">
        <v>72</v>
      </c>
      <c r="M386" s="1" t="s">
        <v>75</v>
      </c>
      <c r="N386" s="1" t="s">
        <v>76</v>
      </c>
      <c r="O386" s="1" t="s">
        <v>77</v>
      </c>
      <c r="P386" s="1" t="s">
        <v>27</v>
      </c>
      <c r="Q386" s="1" t="s">
        <v>86</v>
      </c>
      <c r="R386" s="1" t="s">
        <v>94</v>
      </c>
      <c r="S386" s="1" t="s">
        <v>87</v>
      </c>
      <c r="T386" s="1" t="s">
        <v>88</v>
      </c>
      <c r="X386" s="1" t="s">
        <v>73</v>
      </c>
      <c r="Z386" s="1" t="s">
        <v>70</v>
      </c>
      <c r="AA386" s="1" t="s">
        <v>95</v>
      </c>
      <c r="AB386" s="1">
        <v>5</v>
      </c>
      <c r="AC386" s="1">
        <v>748781.53</v>
      </c>
      <c r="AD386" s="1">
        <v>8930570.1300000008</v>
      </c>
      <c r="AE386" s="1">
        <v>210.14</v>
      </c>
      <c r="AF386" s="1">
        <v>748781.53</v>
      </c>
      <c r="AG386" s="1">
        <v>8930570.1300000008</v>
      </c>
      <c r="AH386" s="1">
        <v>199.4</v>
      </c>
      <c r="AI386" s="1">
        <v>10.74</v>
      </c>
      <c r="AJ386" s="1">
        <v>0.6</v>
      </c>
      <c r="AK386" s="1">
        <v>2.97</v>
      </c>
      <c r="AL386" s="1">
        <v>2.58</v>
      </c>
      <c r="AM386" s="1">
        <v>0</v>
      </c>
      <c r="AN386" s="1">
        <v>0</v>
      </c>
      <c r="AO386" s="1">
        <v>279.95422539999998</v>
      </c>
      <c r="AP386" s="1">
        <v>3.43</v>
      </c>
      <c r="AQ386" s="1">
        <v>0.63</v>
      </c>
      <c r="AR386" s="1">
        <v>0.12</v>
      </c>
      <c r="AS386" s="1">
        <v>0.09</v>
      </c>
      <c r="AT386" s="1">
        <v>20.37</v>
      </c>
      <c r="AU386" s="1">
        <v>5.78</v>
      </c>
      <c r="AV386" s="1">
        <v>0.28000000000000003</v>
      </c>
      <c r="AW386" s="1">
        <v>2.31</v>
      </c>
      <c r="AX386" s="1">
        <v>7.1</v>
      </c>
      <c r="AY386" s="1">
        <v>0</v>
      </c>
      <c r="AZ386" s="1">
        <v>105.414</v>
      </c>
      <c r="BA386" s="1">
        <v>0</v>
      </c>
      <c r="BB386" s="1">
        <v>0</v>
      </c>
      <c r="BC386" s="1">
        <v>0</v>
      </c>
      <c r="BD386" s="1">
        <v>0</v>
      </c>
    </row>
    <row r="387" spans="1:56">
      <c r="A387" s="18">
        <v>46192</v>
      </c>
      <c r="B387" s="1">
        <v>386</v>
      </c>
      <c r="C387" s="1" t="s">
        <v>89</v>
      </c>
      <c r="D387" s="1" t="s">
        <v>90</v>
      </c>
      <c r="E387" s="1">
        <v>2</v>
      </c>
      <c r="F387" s="1">
        <v>200</v>
      </c>
      <c r="G387" s="1">
        <v>1</v>
      </c>
      <c r="H387" s="1" t="s">
        <v>91</v>
      </c>
      <c r="I387" s="1" t="s">
        <v>79</v>
      </c>
      <c r="J387" s="1" t="s">
        <v>81</v>
      </c>
      <c r="K387" s="1" t="s">
        <v>74</v>
      </c>
      <c r="L387" s="1" t="s">
        <v>72</v>
      </c>
      <c r="M387" s="1" t="s">
        <v>75</v>
      </c>
      <c r="N387" s="1" t="s">
        <v>76</v>
      </c>
      <c r="O387" s="1" t="s">
        <v>77</v>
      </c>
      <c r="P387" s="1" t="s">
        <v>27</v>
      </c>
      <c r="Q387" s="1" t="s">
        <v>86</v>
      </c>
      <c r="R387" s="1" t="s">
        <v>94</v>
      </c>
      <c r="S387" s="1" t="s">
        <v>87</v>
      </c>
      <c r="T387" s="1" t="s">
        <v>88</v>
      </c>
      <c r="X387" s="1" t="s">
        <v>73</v>
      </c>
      <c r="Z387" s="1" t="s">
        <v>70</v>
      </c>
      <c r="AA387" s="1" t="s">
        <v>95</v>
      </c>
      <c r="AB387" s="1">
        <v>5</v>
      </c>
      <c r="AC387" s="1">
        <v>748779.28</v>
      </c>
      <c r="AD387" s="1">
        <v>8930572.0600000005</v>
      </c>
      <c r="AE387" s="1">
        <v>210.18</v>
      </c>
      <c r="AF387" s="1">
        <v>748779.28</v>
      </c>
      <c r="AG387" s="1">
        <v>8930572.0600000005</v>
      </c>
      <c r="AH387" s="1">
        <v>199.4</v>
      </c>
      <c r="AI387" s="1">
        <v>10.78</v>
      </c>
      <c r="AJ387" s="1">
        <v>0.6</v>
      </c>
      <c r="AK387" s="1">
        <v>2.97</v>
      </c>
      <c r="AL387" s="1">
        <v>2.58</v>
      </c>
      <c r="AM387" s="1">
        <v>0</v>
      </c>
      <c r="AN387" s="1">
        <v>0</v>
      </c>
      <c r="AO387" s="1">
        <v>279.95422539999998</v>
      </c>
      <c r="AP387" s="1">
        <v>3.44</v>
      </c>
      <c r="AQ387" s="1">
        <v>0.73</v>
      </c>
      <c r="AR387" s="1">
        <v>0.16</v>
      </c>
      <c r="AS387" s="1">
        <v>0.11</v>
      </c>
      <c r="AT387" s="1">
        <v>22.02</v>
      </c>
      <c r="AU387" s="1">
        <v>6.01</v>
      </c>
      <c r="AV387" s="1">
        <v>0.34</v>
      </c>
      <c r="AW387" s="1">
        <v>2.13</v>
      </c>
      <c r="AX387" s="1">
        <v>8.09</v>
      </c>
      <c r="AY387" s="1">
        <v>0</v>
      </c>
      <c r="AZ387" s="1">
        <v>105.997</v>
      </c>
      <c r="BA387" s="1">
        <v>0</v>
      </c>
      <c r="BB387" s="1">
        <v>0</v>
      </c>
      <c r="BC387" s="1">
        <v>0</v>
      </c>
      <c r="BD387" s="1">
        <v>0</v>
      </c>
    </row>
    <row r="388" spans="1:56">
      <c r="A388" s="18">
        <v>46192</v>
      </c>
      <c r="B388" s="1">
        <v>387</v>
      </c>
      <c r="C388" s="1" t="s">
        <v>89</v>
      </c>
      <c r="D388" s="1" t="s">
        <v>90</v>
      </c>
      <c r="E388" s="1">
        <v>2</v>
      </c>
      <c r="F388" s="1">
        <v>200</v>
      </c>
      <c r="G388" s="1">
        <v>1</v>
      </c>
      <c r="H388" s="1" t="s">
        <v>91</v>
      </c>
      <c r="I388" s="1" t="s">
        <v>79</v>
      </c>
      <c r="J388" s="1" t="s">
        <v>81</v>
      </c>
      <c r="K388" s="1" t="s">
        <v>74</v>
      </c>
      <c r="L388" s="1" t="s">
        <v>72</v>
      </c>
      <c r="M388" s="1" t="s">
        <v>75</v>
      </c>
      <c r="N388" s="1" t="s">
        <v>76</v>
      </c>
      <c r="O388" s="1" t="s">
        <v>77</v>
      </c>
      <c r="P388" s="1" t="s">
        <v>27</v>
      </c>
      <c r="Q388" s="1" t="s">
        <v>86</v>
      </c>
      <c r="R388" s="1" t="s">
        <v>94</v>
      </c>
      <c r="S388" s="1" t="s">
        <v>87</v>
      </c>
      <c r="T388" s="1" t="s">
        <v>88</v>
      </c>
      <c r="X388" s="1" t="s">
        <v>73</v>
      </c>
      <c r="Z388" s="1" t="s">
        <v>70</v>
      </c>
      <c r="AA388" s="1" t="s">
        <v>95</v>
      </c>
      <c r="AB388" s="1">
        <v>5</v>
      </c>
      <c r="AC388" s="1">
        <v>748777.03</v>
      </c>
      <c r="AD388" s="1">
        <v>8930574</v>
      </c>
      <c r="AE388" s="1">
        <v>209.99</v>
      </c>
      <c r="AF388" s="1">
        <v>748777.03</v>
      </c>
      <c r="AG388" s="1">
        <v>8930574</v>
      </c>
      <c r="AH388" s="1">
        <v>199.4</v>
      </c>
      <c r="AI388" s="1">
        <v>10.59</v>
      </c>
      <c r="AJ388" s="1">
        <v>0.6</v>
      </c>
      <c r="AK388" s="1">
        <v>2.97</v>
      </c>
      <c r="AL388" s="1">
        <v>2.58</v>
      </c>
      <c r="AM388" s="1">
        <v>0</v>
      </c>
      <c r="AN388" s="1">
        <v>0</v>
      </c>
      <c r="AO388" s="1">
        <v>279.95422539999998</v>
      </c>
      <c r="AP388" s="1">
        <v>3.42</v>
      </c>
      <c r="AQ388" s="1">
        <v>0.8</v>
      </c>
      <c r="AR388" s="1">
        <v>0.17</v>
      </c>
      <c r="AS388" s="1">
        <v>0.12</v>
      </c>
      <c r="AT388" s="1">
        <v>22.88</v>
      </c>
      <c r="AU388" s="1">
        <v>6.09</v>
      </c>
      <c r="AV388" s="1">
        <v>0.35</v>
      </c>
      <c r="AW388" s="1">
        <v>2.2599999999999998</v>
      </c>
      <c r="AX388" s="1">
        <v>8.19</v>
      </c>
      <c r="AY388" s="1">
        <v>0</v>
      </c>
      <c r="AZ388" s="1">
        <v>103.23</v>
      </c>
      <c r="BA388" s="1">
        <v>0</v>
      </c>
      <c r="BB388" s="1">
        <v>0</v>
      </c>
      <c r="BC388" s="1">
        <v>0</v>
      </c>
      <c r="BD388" s="1">
        <v>0</v>
      </c>
    </row>
    <row r="389" spans="1:56">
      <c r="A389" s="18">
        <v>46192</v>
      </c>
      <c r="B389" s="1">
        <v>388</v>
      </c>
      <c r="C389" s="1" t="s">
        <v>89</v>
      </c>
      <c r="D389" s="1" t="s">
        <v>90</v>
      </c>
      <c r="E389" s="1">
        <v>2</v>
      </c>
      <c r="F389" s="1">
        <v>200</v>
      </c>
      <c r="G389" s="1">
        <v>1</v>
      </c>
      <c r="H389" s="1" t="s">
        <v>91</v>
      </c>
      <c r="I389" s="1" t="s">
        <v>79</v>
      </c>
      <c r="J389" s="1" t="s">
        <v>81</v>
      </c>
      <c r="K389" s="1" t="s">
        <v>74</v>
      </c>
      <c r="L389" s="1" t="s">
        <v>72</v>
      </c>
      <c r="M389" s="1" t="s">
        <v>75</v>
      </c>
      <c r="N389" s="1" t="s">
        <v>76</v>
      </c>
      <c r="O389" s="1" t="s">
        <v>77</v>
      </c>
      <c r="P389" s="1" t="s">
        <v>27</v>
      </c>
      <c r="Q389" s="1" t="s">
        <v>86</v>
      </c>
      <c r="R389" s="1" t="s">
        <v>94</v>
      </c>
      <c r="S389" s="1" t="s">
        <v>87</v>
      </c>
      <c r="T389" s="1" t="s">
        <v>88</v>
      </c>
      <c r="X389" s="1" t="s">
        <v>73</v>
      </c>
      <c r="Z389" s="1" t="s">
        <v>70</v>
      </c>
      <c r="AA389" s="1" t="s">
        <v>95</v>
      </c>
      <c r="AB389" s="1">
        <v>5</v>
      </c>
      <c r="AC389" s="1">
        <v>748774.71</v>
      </c>
      <c r="AD389" s="1">
        <v>8930575.8599999994</v>
      </c>
      <c r="AE389" s="1">
        <v>209.82</v>
      </c>
      <c r="AF389" s="1">
        <v>748774.71</v>
      </c>
      <c r="AG389" s="1">
        <v>8930575.8599999994</v>
      </c>
      <c r="AH389" s="1">
        <v>199.4</v>
      </c>
      <c r="AI389" s="1">
        <v>10.42</v>
      </c>
      <c r="AJ389" s="1">
        <v>0.6</v>
      </c>
      <c r="AK389" s="1">
        <v>2.97</v>
      </c>
      <c r="AL389" s="1">
        <v>2.58</v>
      </c>
      <c r="AM389" s="1">
        <v>0</v>
      </c>
      <c r="AN389" s="1">
        <v>0</v>
      </c>
      <c r="AO389" s="1">
        <v>279.95422539999998</v>
      </c>
      <c r="AP389" s="1">
        <v>3.42</v>
      </c>
      <c r="AQ389" s="1">
        <v>0.8</v>
      </c>
      <c r="AR389" s="1">
        <v>0.17</v>
      </c>
      <c r="AS389" s="1">
        <v>0.12</v>
      </c>
      <c r="AT389" s="1">
        <v>22.88</v>
      </c>
      <c r="AU389" s="1">
        <v>6.09</v>
      </c>
      <c r="AV389" s="1">
        <v>0.35</v>
      </c>
      <c r="AW389" s="1">
        <v>2.2599999999999998</v>
      </c>
      <c r="AX389" s="1">
        <v>8.19</v>
      </c>
      <c r="AY389" s="1">
        <v>0</v>
      </c>
      <c r="AZ389" s="1">
        <v>100.755</v>
      </c>
      <c r="BA389" s="1">
        <v>0</v>
      </c>
      <c r="BB389" s="1">
        <v>0</v>
      </c>
      <c r="BC389" s="1">
        <v>0</v>
      </c>
      <c r="BD389" s="1">
        <v>0</v>
      </c>
    </row>
    <row r="390" spans="1:56">
      <c r="A390" s="18">
        <v>46192</v>
      </c>
      <c r="B390" s="1">
        <v>389</v>
      </c>
      <c r="C390" s="1" t="s">
        <v>89</v>
      </c>
      <c r="D390" s="1" t="s">
        <v>90</v>
      </c>
      <c r="E390" s="1">
        <v>2</v>
      </c>
      <c r="F390" s="1">
        <v>200</v>
      </c>
      <c r="G390" s="1">
        <v>1</v>
      </c>
      <c r="H390" s="1" t="s">
        <v>91</v>
      </c>
      <c r="I390" s="1" t="s">
        <v>79</v>
      </c>
      <c r="J390" s="1" t="s">
        <v>81</v>
      </c>
      <c r="K390" s="1" t="s">
        <v>74</v>
      </c>
      <c r="L390" s="1" t="s">
        <v>72</v>
      </c>
      <c r="M390" s="1" t="s">
        <v>75</v>
      </c>
      <c r="N390" s="1" t="s">
        <v>76</v>
      </c>
      <c r="O390" s="1" t="s">
        <v>77</v>
      </c>
      <c r="P390" s="1" t="s">
        <v>27</v>
      </c>
      <c r="Q390" s="1" t="s">
        <v>86</v>
      </c>
      <c r="R390" s="1" t="s">
        <v>94</v>
      </c>
      <c r="S390" s="1" t="s">
        <v>87</v>
      </c>
      <c r="T390" s="1" t="s">
        <v>88</v>
      </c>
      <c r="X390" s="1" t="s">
        <v>73</v>
      </c>
      <c r="Z390" s="1" t="s">
        <v>70</v>
      </c>
      <c r="AA390" s="1" t="s">
        <v>95</v>
      </c>
      <c r="AB390" s="1">
        <v>5</v>
      </c>
      <c r="AC390" s="1">
        <v>748772.39</v>
      </c>
      <c r="AD390" s="1">
        <v>8930577.6999999993</v>
      </c>
      <c r="AE390" s="1">
        <v>209.87</v>
      </c>
      <c r="AF390" s="1">
        <v>748772.39</v>
      </c>
      <c r="AG390" s="1">
        <v>8930577.6999999993</v>
      </c>
      <c r="AH390" s="1">
        <v>199.4</v>
      </c>
      <c r="AI390" s="1">
        <v>10.47</v>
      </c>
      <c r="AJ390" s="1">
        <v>0.6</v>
      </c>
      <c r="AK390" s="1">
        <v>2.97</v>
      </c>
      <c r="AL390" s="1">
        <v>2.58</v>
      </c>
      <c r="AM390" s="1">
        <v>0</v>
      </c>
      <c r="AN390" s="1">
        <v>0</v>
      </c>
      <c r="AO390" s="1">
        <v>279.95422539999998</v>
      </c>
      <c r="AP390" s="1">
        <v>3.42</v>
      </c>
      <c r="AQ390" s="1">
        <v>0.8</v>
      </c>
      <c r="AR390" s="1">
        <v>0.17</v>
      </c>
      <c r="AS390" s="1">
        <v>0.12</v>
      </c>
      <c r="AT390" s="1">
        <v>22.88</v>
      </c>
      <c r="AU390" s="1">
        <v>6.09</v>
      </c>
      <c r="AV390" s="1">
        <v>0.35</v>
      </c>
      <c r="AW390" s="1">
        <v>2.2599999999999998</v>
      </c>
      <c r="AX390" s="1">
        <v>8.19</v>
      </c>
      <c r="AY390" s="1">
        <v>0</v>
      </c>
      <c r="AZ390" s="1">
        <v>101.483</v>
      </c>
      <c r="BA390" s="1">
        <v>0</v>
      </c>
      <c r="BB390" s="1">
        <v>0</v>
      </c>
      <c r="BC390" s="1">
        <v>0</v>
      </c>
      <c r="BD390" s="1">
        <v>0</v>
      </c>
    </row>
    <row r="391" spans="1:56">
      <c r="A391" s="18">
        <v>46192</v>
      </c>
      <c r="B391" s="1">
        <v>390</v>
      </c>
      <c r="C391" s="1" t="s">
        <v>89</v>
      </c>
      <c r="D391" s="1" t="s">
        <v>90</v>
      </c>
      <c r="E391" s="1">
        <v>2</v>
      </c>
      <c r="F391" s="1">
        <v>200</v>
      </c>
      <c r="G391" s="1">
        <v>1</v>
      </c>
      <c r="H391" s="1" t="s">
        <v>91</v>
      </c>
      <c r="I391" s="1" t="s">
        <v>79</v>
      </c>
      <c r="J391" s="1" t="s">
        <v>81</v>
      </c>
      <c r="K391" s="1" t="s">
        <v>74</v>
      </c>
      <c r="L391" s="1" t="s">
        <v>72</v>
      </c>
      <c r="M391" s="1" t="s">
        <v>75</v>
      </c>
      <c r="N391" s="1" t="s">
        <v>76</v>
      </c>
      <c r="O391" s="1" t="s">
        <v>77</v>
      </c>
      <c r="P391" s="1" t="s">
        <v>27</v>
      </c>
      <c r="Q391" s="1" t="s">
        <v>86</v>
      </c>
      <c r="R391" s="1" t="s">
        <v>94</v>
      </c>
      <c r="S391" s="1" t="s">
        <v>87</v>
      </c>
      <c r="T391" s="1" t="s">
        <v>88</v>
      </c>
      <c r="X391" s="1" t="s">
        <v>73</v>
      </c>
      <c r="Z391" s="1" t="s">
        <v>70</v>
      </c>
      <c r="AA391" s="1" t="s">
        <v>95</v>
      </c>
      <c r="AB391" s="1">
        <v>5</v>
      </c>
      <c r="AC391" s="1">
        <v>748770.06</v>
      </c>
      <c r="AD391" s="1">
        <v>8930579.5500000007</v>
      </c>
      <c r="AE391" s="1">
        <v>209.9</v>
      </c>
      <c r="AF391" s="1">
        <v>748770.06</v>
      </c>
      <c r="AG391" s="1">
        <v>8930579.5500000007</v>
      </c>
      <c r="AH391" s="1">
        <v>199.4</v>
      </c>
      <c r="AI391" s="1">
        <v>10.5</v>
      </c>
      <c r="AJ391" s="1">
        <v>0.6</v>
      </c>
      <c r="AK391" s="1">
        <v>2.97</v>
      </c>
      <c r="AL391" s="1">
        <v>2.58</v>
      </c>
      <c r="AM391" s="1">
        <v>0</v>
      </c>
      <c r="AN391" s="1">
        <v>0</v>
      </c>
      <c r="AO391" s="1">
        <v>279.95422539999998</v>
      </c>
      <c r="AP391" s="1">
        <v>3.41</v>
      </c>
      <c r="AQ391" s="1">
        <v>0.82</v>
      </c>
      <c r="AR391" s="1">
        <v>0.17</v>
      </c>
      <c r="AS391" s="1">
        <v>0.12</v>
      </c>
      <c r="AT391" s="1">
        <v>24.34</v>
      </c>
      <c r="AU391" s="1">
        <v>6.15</v>
      </c>
      <c r="AV391" s="1">
        <v>0.35</v>
      </c>
      <c r="AW391" s="1">
        <v>2.33</v>
      </c>
      <c r="AX391" s="1">
        <v>7.88</v>
      </c>
      <c r="AY391" s="1">
        <v>0</v>
      </c>
      <c r="AZ391" s="1">
        <v>101.92</v>
      </c>
      <c r="BA391" s="1">
        <v>0</v>
      </c>
      <c r="BB391" s="1">
        <v>0</v>
      </c>
      <c r="BC391" s="1">
        <v>0</v>
      </c>
      <c r="BD391" s="1">
        <v>0</v>
      </c>
    </row>
    <row r="392" spans="1:56">
      <c r="A392" s="18">
        <v>46192</v>
      </c>
      <c r="B392" s="1">
        <v>391</v>
      </c>
      <c r="C392" s="1" t="s">
        <v>89</v>
      </c>
      <c r="D392" s="1" t="s">
        <v>90</v>
      </c>
      <c r="E392" s="1">
        <v>2</v>
      </c>
      <c r="F392" s="1">
        <v>200</v>
      </c>
      <c r="G392" s="1">
        <v>1</v>
      </c>
      <c r="H392" s="1" t="s">
        <v>91</v>
      </c>
      <c r="I392" s="1" t="s">
        <v>79</v>
      </c>
      <c r="J392" s="1" t="s">
        <v>81</v>
      </c>
      <c r="K392" s="1" t="s">
        <v>74</v>
      </c>
      <c r="L392" s="1" t="s">
        <v>72</v>
      </c>
      <c r="M392" s="1" t="s">
        <v>75</v>
      </c>
      <c r="N392" s="1" t="s">
        <v>76</v>
      </c>
      <c r="O392" s="1" t="s">
        <v>77</v>
      </c>
      <c r="P392" s="1" t="s">
        <v>27</v>
      </c>
      <c r="Q392" s="1" t="s">
        <v>86</v>
      </c>
      <c r="R392" s="1" t="s">
        <v>94</v>
      </c>
      <c r="S392" s="1" t="s">
        <v>87</v>
      </c>
      <c r="T392" s="1" t="s">
        <v>88</v>
      </c>
      <c r="X392" s="1" t="s">
        <v>73</v>
      </c>
      <c r="Z392" s="1" t="s">
        <v>70</v>
      </c>
      <c r="AA392" s="1" t="s">
        <v>95</v>
      </c>
      <c r="AB392" s="1">
        <v>5</v>
      </c>
      <c r="AC392" s="1">
        <v>748767.73</v>
      </c>
      <c r="AD392" s="1">
        <v>8930581.3900000006</v>
      </c>
      <c r="AE392" s="1">
        <v>210.02</v>
      </c>
      <c r="AF392" s="1">
        <v>748767.73</v>
      </c>
      <c r="AG392" s="1">
        <v>8930581.3900000006</v>
      </c>
      <c r="AH392" s="1">
        <v>199.4</v>
      </c>
      <c r="AI392" s="1">
        <v>10.62</v>
      </c>
      <c r="AJ392" s="1">
        <v>0.6</v>
      </c>
      <c r="AK392" s="1">
        <v>2.97</v>
      </c>
      <c r="AL392" s="1">
        <v>2.58</v>
      </c>
      <c r="AM392" s="1">
        <v>0</v>
      </c>
      <c r="AN392" s="1">
        <v>0</v>
      </c>
      <c r="AO392" s="1">
        <v>279.95422539999998</v>
      </c>
      <c r="AP392" s="1">
        <v>3.44</v>
      </c>
      <c r="AQ392" s="1">
        <v>0.85</v>
      </c>
      <c r="AR392" s="1">
        <v>0.16</v>
      </c>
      <c r="AS392" s="1">
        <v>0.12</v>
      </c>
      <c r="AT392" s="1">
        <v>25</v>
      </c>
      <c r="AU392" s="1">
        <v>5.93</v>
      </c>
      <c r="AV392" s="1">
        <v>0.34</v>
      </c>
      <c r="AW392" s="1">
        <v>2.5099999999999998</v>
      </c>
      <c r="AX392" s="1">
        <v>7.17</v>
      </c>
      <c r="AY392" s="1">
        <v>0</v>
      </c>
      <c r="AZ392" s="1">
        <v>103.667</v>
      </c>
      <c r="BA392" s="1">
        <v>0</v>
      </c>
      <c r="BB392" s="1">
        <v>0</v>
      </c>
      <c r="BC392" s="1">
        <v>0</v>
      </c>
      <c r="BD392" s="1">
        <v>0</v>
      </c>
    </row>
    <row r="393" spans="1:56">
      <c r="A393" s="18">
        <v>46192</v>
      </c>
      <c r="B393" s="1">
        <v>392</v>
      </c>
      <c r="C393" s="1" t="s">
        <v>89</v>
      </c>
      <c r="D393" s="1" t="s">
        <v>90</v>
      </c>
      <c r="E393" s="1">
        <v>2</v>
      </c>
      <c r="F393" s="1">
        <v>200</v>
      </c>
      <c r="G393" s="1">
        <v>1</v>
      </c>
      <c r="H393" s="1" t="s">
        <v>91</v>
      </c>
      <c r="I393" s="1" t="s">
        <v>79</v>
      </c>
      <c r="J393" s="1" t="s">
        <v>81</v>
      </c>
      <c r="K393" s="1" t="s">
        <v>74</v>
      </c>
      <c r="L393" s="1" t="s">
        <v>72</v>
      </c>
      <c r="M393" s="1" t="s">
        <v>75</v>
      </c>
      <c r="N393" s="1" t="s">
        <v>76</v>
      </c>
      <c r="O393" s="1" t="s">
        <v>77</v>
      </c>
      <c r="P393" s="1" t="s">
        <v>27</v>
      </c>
      <c r="Q393" s="1" t="s">
        <v>86</v>
      </c>
      <c r="R393" s="1" t="s">
        <v>94</v>
      </c>
      <c r="S393" s="1" t="s">
        <v>87</v>
      </c>
      <c r="T393" s="1" t="s">
        <v>88</v>
      </c>
      <c r="X393" s="1" t="s">
        <v>73</v>
      </c>
      <c r="Z393" s="1" t="s">
        <v>70</v>
      </c>
      <c r="AA393" s="1" t="s">
        <v>95</v>
      </c>
      <c r="AB393" s="1">
        <v>5</v>
      </c>
      <c r="AC393" s="1">
        <v>748765.41</v>
      </c>
      <c r="AD393" s="1">
        <v>8930583.2400000002</v>
      </c>
      <c r="AE393" s="1">
        <v>210.07</v>
      </c>
      <c r="AF393" s="1">
        <v>748765.41</v>
      </c>
      <c r="AG393" s="1">
        <v>8930583.2400000002</v>
      </c>
      <c r="AH393" s="1">
        <v>199.4</v>
      </c>
      <c r="AI393" s="1">
        <v>10.67</v>
      </c>
      <c r="AJ393" s="1">
        <v>0.6</v>
      </c>
      <c r="AK393" s="1">
        <v>2.97</v>
      </c>
      <c r="AL393" s="1">
        <v>2.58</v>
      </c>
      <c r="AM393" s="1">
        <v>0</v>
      </c>
      <c r="AN393" s="1">
        <v>0</v>
      </c>
      <c r="AO393" s="1">
        <v>279.95422539999998</v>
      </c>
      <c r="AP393" s="1">
        <v>3.44</v>
      </c>
      <c r="AQ393" s="1">
        <v>0.85</v>
      </c>
      <c r="AR393" s="1">
        <v>0.17</v>
      </c>
      <c r="AS393" s="1">
        <v>0.12</v>
      </c>
      <c r="AT393" s="1">
        <v>24.88</v>
      </c>
      <c r="AU393" s="1">
        <v>5.93</v>
      </c>
      <c r="AV393" s="1">
        <v>0.34</v>
      </c>
      <c r="AW393" s="1">
        <v>2.52</v>
      </c>
      <c r="AX393" s="1">
        <v>7.12</v>
      </c>
      <c r="AY393" s="1">
        <v>0</v>
      </c>
      <c r="AZ393" s="1">
        <v>104.395</v>
      </c>
      <c r="BA393" s="1">
        <v>0</v>
      </c>
      <c r="BB393" s="1">
        <v>0</v>
      </c>
      <c r="BC393" s="1">
        <v>0</v>
      </c>
      <c r="BD393" s="1">
        <v>0</v>
      </c>
    </row>
    <row r="394" spans="1:56">
      <c r="A394" s="18">
        <v>46192</v>
      </c>
      <c r="B394" s="1">
        <v>393</v>
      </c>
      <c r="C394" s="1" t="s">
        <v>89</v>
      </c>
      <c r="D394" s="1" t="s">
        <v>90</v>
      </c>
      <c r="E394" s="1">
        <v>2</v>
      </c>
      <c r="F394" s="1">
        <v>200</v>
      </c>
      <c r="G394" s="1">
        <v>1</v>
      </c>
      <c r="H394" s="1" t="s">
        <v>91</v>
      </c>
      <c r="I394" s="1" t="s">
        <v>79</v>
      </c>
      <c r="J394" s="1" t="s">
        <v>81</v>
      </c>
      <c r="K394" s="1" t="s">
        <v>74</v>
      </c>
      <c r="L394" s="1" t="s">
        <v>72</v>
      </c>
      <c r="M394" s="1" t="s">
        <v>75</v>
      </c>
      <c r="N394" s="1" t="s">
        <v>76</v>
      </c>
      <c r="O394" s="1" t="s">
        <v>77</v>
      </c>
      <c r="P394" s="1" t="s">
        <v>27</v>
      </c>
      <c r="Q394" s="1" t="s">
        <v>86</v>
      </c>
      <c r="R394" s="1" t="s">
        <v>94</v>
      </c>
      <c r="S394" s="1" t="s">
        <v>87</v>
      </c>
      <c r="T394" s="1" t="s">
        <v>88</v>
      </c>
      <c r="X394" s="1" t="s">
        <v>73</v>
      </c>
      <c r="Z394" s="1" t="s">
        <v>70</v>
      </c>
      <c r="AA394" s="1" t="s">
        <v>95</v>
      </c>
      <c r="AB394" s="1">
        <v>5</v>
      </c>
      <c r="AC394" s="1">
        <v>748762.73</v>
      </c>
      <c r="AD394" s="1">
        <v>8930584.4399999995</v>
      </c>
      <c r="AE394" s="1">
        <v>210.03</v>
      </c>
      <c r="AF394" s="1">
        <v>748762.73</v>
      </c>
      <c r="AG394" s="1">
        <v>8930584.4399999995</v>
      </c>
      <c r="AH394" s="1">
        <v>199.4</v>
      </c>
      <c r="AI394" s="1">
        <v>10.63</v>
      </c>
      <c r="AJ394" s="1">
        <v>0.6</v>
      </c>
      <c r="AK394" s="1">
        <v>2.97</v>
      </c>
      <c r="AL394" s="1">
        <v>2.58</v>
      </c>
      <c r="AM394" s="1">
        <v>0</v>
      </c>
      <c r="AN394" s="1">
        <v>0</v>
      </c>
      <c r="AO394" s="1">
        <v>279.95422539999998</v>
      </c>
      <c r="AP394" s="1">
        <v>3.44</v>
      </c>
      <c r="AQ394" s="1">
        <v>0.85</v>
      </c>
      <c r="AR394" s="1">
        <v>0.17</v>
      </c>
      <c r="AS394" s="1">
        <v>0.12</v>
      </c>
      <c r="AT394" s="1">
        <v>24.88</v>
      </c>
      <c r="AU394" s="1">
        <v>5.92</v>
      </c>
      <c r="AV394" s="1">
        <v>0.34</v>
      </c>
      <c r="AW394" s="1">
        <v>2.52</v>
      </c>
      <c r="AX394" s="1">
        <v>7.12</v>
      </c>
      <c r="AY394" s="1">
        <v>0</v>
      </c>
      <c r="AZ394" s="1">
        <v>103.813</v>
      </c>
      <c r="BA394" s="1">
        <v>0</v>
      </c>
      <c r="BB394" s="1">
        <v>0</v>
      </c>
      <c r="BC394" s="1">
        <v>0</v>
      </c>
      <c r="BD394" s="1">
        <v>0</v>
      </c>
    </row>
    <row r="395" spans="1:56">
      <c r="A395" s="18">
        <v>46192</v>
      </c>
      <c r="B395" s="1">
        <v>394</v>
      </c>
      <c r="C395" s="1" t="s">
        <v>89</v>
      </c>
      <c r="D395" s="1" t="s">
        <v>90</v>
      </c>
      <c r="E395" s="1">
        <v>2</v>
      </c>
      <c r="F395" s="1">
        <v>200</v>
      </c>
      <c r="G395" s="1">
        <v>1</v>
      </c>
      <c r="H395" s="1" t="s">
        <v>91</v>
      </c>
      <c r="I395" s="1" t="s">
        <v>79</v>
      </c>
      <c r="J395" s="1" t="s">
        <v>81</v>
      </c>
      <c r="K395" s="1" t="s">
        <v>74</v>
      </c>
      <c r="L395" s="1" t="s">
        <v>72</v>
      </c>
      <c r="M395" s="1" t="s">
        <v>75</v>
      </c>
      <c r="N395" s="1" t="s">
        <v>76</v>
      </c>
      <c r="O395" s="1" t="s">
        <v>77</v>
      </c>
      <c r="P395" s="1" t="s">
        <v>27</v>
      </c>
      <c r="Q395" s="1" t="s">
        <v>86</v>
      </c>
      <c r="R395" s="1" t="s">
        <v>94</v>
      </c>
      <c r="S395" s="1" t="s">
        <v>87</v>
      </c>
      <c r="T395" s="1" t="s">
        <v>88</v>
      </c>
      <c r="X395" s="1" t="s">
        <v>73</v>
      </c>
      <c r="Z395" s="1" t="s">
        <v>70</v>
      </c>
      <c r="AA395" s="1" t="s">
        <v>95</v>
      </c>
      <c r="AB395" s="1">
        <v>5</v>
      </c>
      <c r="AC395" s="1">
        <v>748759.92</v>
      </c>
      <c r="AD395" s="1">
        <v>8930585.3900000006</v>
      </c>
      <c r="AE395" s="1">
        <v>209.89</v>
      </c>
      <c r="AF395" s="1">
        <v>748759.92</v>
      </c>
      <c r="AG395" s="1">
        <v>8930585.3900000006</v>
      </c>
      <c r="AH395" s="1">
        <v>199.4</v>
      </c>
      <c r="AI395" s="1">
        <v>10.49</v>
      </c>
      <c r="AJ395" s="1">
        <v>0.6</v>
      </c>
      <c r="AK395" s="1">
        <v>2.97</v>
      </c>
      <c r="AL395" s="1">
        <v>2.58</v>
      </c>
      <c r="AM395" s="1">
        <v>0</v>
      </c>
      <c r="AN395" s="1">
        <v>0</v>
      </c>
      <c r="AO395" s="1">
        <v>279.95422539999998</v>
      </c>
      <c r="AP395" s="1">
        <v>3.47</v>
      </c>
      <c r="AQ395" s="1">
        <v>0.83</v>
      </c>
      <c r="AR395" s="1">
        <v>0.16</v>
      </c>
      <c r="AS395" s="1">
        <v>0.12</v>
      </c>
      <c r="AT395" s="1">
        <v>24.53</v>
      </c>
      <c r="AU395" s="1">
        <v>5.86</v>
      </c>
      <c r="AV395" s="1">
        <v>0.33</v>
      </c>
      <c r="AW395" s="1">
        <v>2.5499999999999998</v>
      </c>
      <c r="AX395" s="1">
        <v>7.26</v>
      </c>
      <c r="AY395" s="1">
        <v>0</v>
      </c>
      <c r="AZ395" s="1">
        <v>101.774</v>
      </c>
      <c r="BA395" s="1">
        <v>0</v>
      </c>
      <c r="BB395" s="1">
        <v>0</v>
      </c>
      <c r="BC395" s="1">
        <v>0</v>
      </c>
      <c r="BD395" s="1">
        <v>0</v>
      </c>
    </row>
    <row r="396" spans="1:56">
      <c r="A396" s="18">
        <v>46192</v>
      </c>
      <c r="B396" s="1">
        <v>395</v>
      </c>
      <c r="C396" s="1" t="s">
        <v>89</v>
      </c>
      <c r="D396" s="1" t="s">
        <v>90</v>
      </c>
      <c r="E396" s="1">
        <v>2</v>
      </c>
      <c r="F396" s="1">
        <v>200</v>
      </c>
      <c r="G396" s="1">
        <v>1</v>
      </c>
      <c r="H396" s="1" t="s">
        <v>91</v>
      </c>
      <c r="I396" s="1" t="s">
        <v>79</v>
      </c>
      <c r="J396" s="1" t="s">
        <v>81</v>
      </c>
      <c r="K396" s="1" t="s">
        <v>74</v>
      </c>
      <c r="L396" s="1" t="s">
        <v>72</v>
      </c>
      <c r="M396" s="1" t="s">
        <v>75</v>
      </c>
      <c r="N396" s="1" t="s">
        <v>76</v>
      </c>
      <c r="O396" s="1" t="s">
        <v>77</v>
      </c>
      <c r="P396" s="1" t="s">
        <v>27</v>
      </c>
      <c r="Q396" s="1" t="s">
        <v>86</v>
      </c>
      <c r="R396" s="1" t="s">
        <v>94</v>
      </c>
      <c r="S396" s="1" t="s">
        <v>87</v>
      </c>
      <c r="T396" s="1" t="s">
        <v>88</v>
      </c>
      <c r="X396" s="1" t="s">
        <v>73</v>
      </c>
      <c r="Z396" s="1" t="s">
        <v>70</v>
      </c>
      <c r="AA396" s="1" t="s">
        <v>95</v>
      </c>
      <c r="AB396" s="1">
        <v>5</v>
      </c>
      <c r="AC396" s="1">
        <v>748756.28</v>
      </c>
      <c r="AD396" s="1">
        <v>8930583.9000000004</v>
      </c>
      <c r="AE396" s="1">
        <v>209.86</v>
      </c>
      <c r="AF396" s="1">
        <v>748756.28</v>
      </c>
      <c r="AG396" s="1">
        <v>8930583.9000000004</v>
      </c>
      <c r="AH396" s="1">
        <v>199.4</v>
      </c>
      <c r="AI396" s="1">
        <v>10.46</v>
      </c>
      <c r="AJ396" s="1">
        <v>0.6</v>
      </c>
      <c r="AK396" s="1">
        <v>2.97</v>
      </c>
      <c r="AL396" s="1">
        <v>2.58</v>
      </c>
      <c r="AM396" s="1">
        <v>0</v>
      </c>
      <c r="AN396" s="1">
        <v>0</v>
      </c>
      <c r="AO396" s="1">
        <v>279.95422539999998</v>
      </c>
      <c r="AP396" s="1">
        <v>3.48</v>
      </c>
      <c r="AQ396" s="1">
        <v>0.82</v>
      </c>
      <c r="AR396" s="1">
        <v>0.16</v>
      </c>
      <c r="AS396" s="1">
        <v>0.11</v>
      </c>
      <c r="AT396" s="1">
        <v>24.22</v>
      </c>
      <c r="AU396" s="1">
        <v>5.81</v>
      </c>
      <c r="AV396" s="1">
        <v>0.32</v>
      </c>
      <c r="AW396" s="1">
        <v>2.58</v>
      </c>
      <c r="AX396" s="1">
        <v>7.4</v>
      </c>
      <c r="AY396" s="1">
        <v>0</v>
      </c>
      <c r="AZ396" s="1">
        <v>101.33799999999999</v>
      </c>
      <c r="BA396" s="1">
        <v>0</v>
      </c>
      <c r="BB396" s="1">
        <v>0</v>
      </c>
      <c r="BC396" s="1">
        <v>0</v>
      </c>
      <c r="BD396" s="1">
        <v>0</v>
      </c>
    </row>
    <row r="397" spans="1:56">
      <c r="A397" s="18">
        <v>46192</v>
      </c>
      <c r="B397" s="1">
        <v>396</v>
      </c>
      <c r="C397" s="1" t="s">
        <v>89</v>
      </c>
      <c r="D397" s="1" t="s">
        <v>90</v>
      </c>
      <c r="E397" s="1">
        <v>2</v>
      </c>
      <c r="F397" s="1">
        <v>200</v>
      </c>
      <c r="G397" s="1">
        <v>1</v>
      </c>
      <c r="H397" s="1" t="s">
        <v>91</v>
      </c>
      <c r="I397" s="1" t="s">
        <v>79</v>
      </c>
      <c r="J397" s="1" t="s">
        <v>81</v>
      </c>
      <c r="K397" s="1" t="s">
        <v>74</v>
      </c>
      <c r="L397" s="1" t="s">
        <v>72</v>
      </c>
      <c r="M397" s="1" t="s">
        <v>75</v>
      </c>
      <c r="N397" s="1" t="s">
        <v>76</v>
      </c>
      <c r="O397" s="1" t="s">
        <v>77</v>
      </c>
      <c r="P397" s="1" t="s">
        <v>27</v>
      </c>
      <c r="Q397" s="1" t="s">
        <v>86</v>
      </c>
      <c r="R397" s="1" t="s">
        <v>94</v>
      </c>
      <c r="S397" s="1" t="s">
        <v>87</v>
      </c>
      <c r="T397" s="1" t="s">
        <v>88</v>
      </c>
      <c r="X397" s="1" t="s">
        <v>73</v>
      </c>
      <c r="Z397" s="1" t="s">
        <v>70</v>
      </c>
      <c r="AA397" s="1" t="s">
        <v>95</v>
      </c>
      <c r="AB397" s="1">
        <v>5</v>
      </c>
      <c r="AC397" s="1">
        <v>748759.09</v>
      </c>
      <c r="AD397" s="1">
        <v>8930582.9499999993</v>
      </c>
      <c r="AE397" s="1">
        <v>209.89</v>
      </c>
      <c r="AF397" s="1">
        <v>748759.09</v>
      </c>
      <c r="AG397" s="1">
        <v>8930582.9499999993</v>
      </c>
      <c r="AH397" s="1">
        <v>199.4</v>
      </c>
      <c r="AI397" s="1">
        <v>10.49</v>
      </c>
      <c r="AJ397" s="1">
        <v>0.6</v>
      </c>
      <c r="AK397" s="1">
        <v>2.97</v>
      </c>
      <c r="AL397" s="1">
        <v>2.58</v>
      </c>
      <c r="AM397" s="1">
        <v>0</v>
      </c>
      <c r="AN397" s="1">
        <v>0</v>
      </c>
      <c r="AO397" s="1">
        <v>279.95422539999998</v>
      </c>
      <c r="AP397" s="1">
        <v>3.48</v>
      </c>
      <c r="AQ397" s="1">
        <v>0.83</v>
      </c>
      <c r="AR397" s="1">
        <v>0.16</v>
      </c>
      <c r="AS397" s="1">
        <v>0.11</v>
      </c>
      <c r="AT397" s="1">
        <v>24.38</v>
      </c>
      <c r="AU397" s="1">
        <v>5.83</v>
      </c>
      <c r="AV397" s="1">
        <v>0.32</v>
      </c>
      <c r="AW397" s="1">
        <v>2.56</v>
      </c>
      <c r="AX397" s="1">
        <v>7.33</v>
      </c>
      <c r="AY397" s="1">
        <v>0</v>
      </c>
      <c r="AZ397" s="1">
        <v>101.774</v>
      </c>
      <c r="BA397" s="1">
        <v>0</v>
      </c>
      <c r="BB397" s="1">
        <v>0</v>
      </c>
      <c r="BC397" s="1">
        <v>0</v>
      </c>
      <c r="BD397" s="1">
        <v>0</v>
      </c>
    </row>
    <row r="398" spans="1:56">
      <c r="A398" s="18">
        <v>46192</v>
      </c>
      <c r="B398" s="1">
        <v>397</v>
      </c>
      <c r="C398" s="1" t="s">
        <v>89</v>
      </c>
      <c r="D398" s="1" t="s">
        <v>90</v>
      </c>
      <c r="E398" s="1">
        <v>2</v>
      </c>
      <c r="F398" s="1">
        <v>200</v>
      </c>
      <c r="G398" s="1">
        <v>1</v>
      </c>
      <c r="H398" s="1" t="s">
        <v>91</v>
      </c>
      <c r="I398" s="1" t="s">
        <v>79</v>
      </c>
      <c r="J398" s="1" t="s">
        <v>81</v>
      </c>
      <c r="K398" s="1" t="s">
        <v>74</v>
      </c>
      <c r="L398" s="1" t="s">
        <v>72</v>
      </c>
      <c r="M398" s="1" t="s">
        <v>75</v>
      </c>
      <c r="N398" s="1" t="s">
        <v>76</v>
      </c>
      <c r="O398" s="1" t="s">
        <v>77</v>
      </c>
      <c r="P398" s="1" t="s">
        <v>27</v>
      </c>
      <c r="Q398" s="1" t="s">
        <v>86</v>
      </c>
      <c r="R398" s="1" t="s">
        <v>94</v>
      </c>
      <c r="S398" s="1" t="s">
        <v>87</v>
      </c>
      <c r="T398" s="1" t="s">
        <v>88</v>
      </c>
      <c r="X398" s="1" t="s">
        <v>73</v>
      </c>
      <c r="Z398" s="1" t="s">
        <v>70</v>
      </c>
      <c r="AA398" s="1" t="s">
        <v>95</v>
      </c>
      <c r="AB398" s="1">
        <v>5</v>
      </c>
      <c r="AC398" s="1">
        <v>748761.91</v>
      </c>
      <c r="AD398" s="1">
        <v>8930582</v>
      </c>
      <c r="AE398" s="1">
        <v>209.99</v>
      </c>
      <c r="AF398" s="1">
        <v>748761.91</v>
      </c>
      <c r="AG398" s="1">
        <v>8930582</v>
      </c>
      <c r="AH398" s="1">
        <v>199.4</v>
      </c>
      <c r="AI398" s="1">
        <v>10.59</v>
      </c>
      <c r="AJ398" s="1">
        <v>0.6</v>
      </c>
      <c r="AK398" s="1">
        <v>2.97</v>
      </c>
      <c r="AL398" s="1">
        <v>2.58</v>
      </c>
      <c r="AM398" s="1">
        <v>0</v>
      </c>
      <c r="AN398" s="1">
        <v>0</v>
      </c>
      <c r="AO398" s="1">
        <v>279.95422539999998</v>
      </c>
      <c r="AP398" s="1">
        <v>3.44</v>
      </c>
      <c r="AQ398" s="1">
        <v>0.85</v>
      </c>
      <c r="AR398" s="1">
        <v>0.17</v>
      </c>
      <c r="AS398" s="1">
        <v>0.12</v>
      </c>
      <c r="AT398" s="1">
        <v>24.87</v>
      </c>
      <c r="AU398" s="1">
        <v>5.92</v>
      </c>
      <c r="AV398" s="1">
        <v>0.34</v>
      </c>
      <c r="AW398" s="1">
        <v>2.52</v>
      </c>
      <c r="AX398" s="1">
        <v>7.12</v>
      </c>
      <c r="AY398" s="1">
        <v>0</v>
      </c>
      <c r="AZ398" s="1">
        <v>103.23</v>
      </c>
      <c r="BA398" s="1">
        <v>0</v>
      </c>
      <c r="BB398" s="1">
        <v>0</v>
      </c>
      <c r="BC398" s="1">
        <v>0</v>
      </c>
      <c r="BD398" s="1">
        <v>0</v>
      </c>
    </row>
    <row r="399" spans="1:56">
      <c r="A399" s="18">
        <v>46192</v>
      </c>
      <c r="B399" s="1">
        <v>398</v>
      </c>
      <c r="C399" s="1" t="s">
        <v>89</v>
      </c>
      <c r="D399" s="1" t="s">
        <v>90</v>
      </c>
      <c r="E399" s="1">
        <v>2</v>
      </c>
      <c r="F399" s="1">
        <v>200</v>
      </c>
      <c r="G399" s="1">
        <v>1</v>
      </c>
      <c r="H399" s="1" t="s">
        <v>91</v>
      </c>
      <c r="I399" s="1" t="s">
        <v>79</v>
      </c>
      <c r="J399" s="1" t="s">
        <v>81</v>
      </c>
      <c r="K399" s="1" t="s">
        <v>74</v>
      </c>
      <c r="L399" s="1" t="s">
        <v>72</v>
      </c>
      <c r="M399" s="1" t="s">
        <v>75</v>
      </c>
      <c r="N399" s="1" t="s">
        <v>76</v>
      </c>
      <c r="O399" s="1" t="s">
        <v>77</v>
      </c>
      <c r="P399" s="1" t="s">
        <v>27</v>
      </c>
      <c r="Q399" s="1" t="s">
        <v>86</v>
      </c>
      <c r="R399" s="1" t="s">
        <v>94</v>
      </c>
      <c r="S399" s="1" t="s">
        <v>87</v>
      </c>
      <c r="T399" s="1" t="s">
        <v>88</v>
      </c>
      <c r="X399" s="1" t="s">
        <v>73</v>
      </c>
      <c r="Z399" s="1" t="s">
        <v>70</v>
      </c>
      <c r="AA399" s="1" t="s">
        <v>95</v>
      </c>
      <c r="AB399" s="1">
        <v>5</v>
      </c>
      <c r="AC399" s="1">
        <v>748764.51</v>
      </c>
      <c r="AD399" s="1">
        <v>8930580.6600000001</v>
      </c>
      <c r="AE399" s="1">
        <v>210.06</v>
      </c>
      <c r="AF399" s="1">
        <v>748764.51</v>
      </c>
      <c r="AG399" s="1">
        <v>8930580.6600000001</v>
      </c>
      <c r="AH399" s="1">
        <v>199.4</v>
      </c>
      <c r="AI399" s="1">
        <v>10.66</v>
      </c>
      <c r="AJ399" s="1">
        <v>0.6</v>
      </c>
      <c r="AK399" s="1">
        <v>2.97</v>
      </c>
      <c r="AL399" s="1">
        <v>2.58</v>
      </c>
      <c r="AM399" s="1">
        <v>0</v>
      </c>
      <c r="AN399" s="1">
        <v>0</v>
      </c>
      <c r="AO399" s="1">
        <v>279.95422539999998</v>
      </c>
      <c r="AP399" s="1">
        <v>3.42</v>
      </c>
      <c r="AQ399" s="1">
        <v>0.85</v>
      </c>
      <c r="AR399" s="1">
        <v>0.16</v>
      </c>
      <c r="AS399" s="1">
        <v>0.12</v>
      </c>
      <c r="AT399" s="1">
        <v>25.22</v>
      </c>
      <c r="AU399" s="1">
        <v>5.95</v>
      </c>
      <c r="AV399" s="1">
        <v>0.34</v>
      </c>
      <c r="AW399" s="1">
        <v>2.48</v>
      </c>
      <c r="AX399" s="1">
        <v>7.27</v>
      </c>
      <c r="AY399" s="1">
        <v>0</v>
      </c>
      <c r="AZ399" s="1">
        <v>104.25</v>
      </c>
      <c r="BA399" s="1">
        <v>0</v>
      </c>
      <c r="BB399" s="1">
        <v>0</v>
      </c>
      <c r="BC399" s="1">
        <v>0</v>
      </c>
      <c r="BD399" s="1">
        <v>0</v>
      </c>
    </row>
    <row r="400" spans="1:56">
      <c r="A400" s="18">
        <v>46192</v>
      </c>
      <c r="B400" s="1">
        <v>399</v>
      </c>
      <c r="C400" s="1" t="s">
        <v>89</v>
      </c>
      <c r="D400" s="1" t="s">
        <v>90</v>
      </c>
      <c r="E400" s="1">
        <v>2</v>
      </c>
      <c r="F400" s="1">
        <v>200</v>
      </c>
      <c r="G400" s="1">
        <v>1</v>
      </c>
      <c r="H400" s="1" t="s">
        <v>91</v>
      </c>
      <c r="I400" s="1" t="s">
        <v>79</v>
      </c>
      <c r="J400" s="1" t="s">
        <v>81</v>
      </c>
      <c r="K400" s="1" t="s">
        <v>74</v>
      </c>
      <c r="L400" s="1" t="s">
        <v>72</v>
      </c>
      <c r="M400" s="1" t="s">
        <v>75</v>
      </c>
      <c r="N400" s="1" t="s">
        <v>76</v>
      </c>
      <c r="O400" s="1" t="s">
        <v>77</v>
      </c>
      <c r="P400" s="1" t="s">
        <v>27</v>
      </c>
      <c r="Q400" s="1" t="s">
        <v>86</v>
      </c>
      <c r="R400" s="1" t="s">
        <v>94</v>
      </c>
      <c r="S400" s="1" t="s">
        <v>87</v>
      </c>
      <c r="T400" s="1" t="s">
        <v>88</v>
      </c>
      <c r="X400" s="1" t="s">
        <v>73</v>
      </c>
      <c r="Z400" s="1" t="s">
        <v>70</v>
      </c>
      <c r="AA400" s="1" t="s">
        <v>95</v>
      </c>
      <c r="AB400" s="1">
        <v>5</v>
      </c>
      <c r="AC400" s="1">
        <v>748766.84</v>
      </c>
      <c r="AD400" s="1">
        <v>8930578.8100000005</v>
      </c>
      <c r="AE400" s="1">
        <v>210.04</v>
      </c>
      <c r="AF400" s="1">
        <v>748766.84</v>
      </c>
      <c r="AG400" s="1">
        <v>8930578.8100000005</v>
      </c>
      <c r="AH400" s="1">
        <v>199.4</v>
      </c>
      <c r="AI400" s="1">
        <v>10.64</v>
      </c>
      <c r="AJ400" s="1">
        <v>0.6</v>
      </c>
      <c r="AK400" s="1">
        <v>2.97</v>
      </c>
      <c r="AL400" s="1">
        <v>2.58</v>
      </c>
      <c r="AM400" s="1">
        <v>0</v>
      </c>
      <c r="AN400" s="1">
        <v>0</v>
      </c>
      <c r="AO400" s="1">
        <v>279.95422539999998</v>
      </c>
      <c r="AP400" s="1">
        <v>3.38</v>
      </c>
      <c r="AQ400" s="1">
        <v>0.85</v>
      </c>
      <c r="AR400" s="1">
        <v>0.15</v>
      </c>
      <c r="AS400" s="1">
        <v>0.13</v>
      </c>
      <c r="AT400" s="1">
        <v>25.85</v>
      </c>
      <c r="AU400" s="1">
        <v>5.98</v>
      </c>
      <c r="AV400" s="1">
        <v>0.36</v>
      </c>
      <c r="AW400" s="1">
        <v>2.41</v>
      </c>
      <c r="AX400" s="1">
        <v>7.53</v>
      </c>
      <c r="AY400" s="1">
        <v>0</v>
      </c>
      <c r="AZ400" s="1">
        <v>103.958</v>
      </c>
      <c r="BA400" s="1">
        <v>0</v>
      </c>
      <c r="BB400" s="1">
        <v>0</v>
      </c>
      <c r="BC400" s="1">
        <v>0</v>
      </c>
      <c r="BD400" s="1">
        <v>0</v>
      </c>
    </row>
    <row r="401" spans="1:56">
      <c r="A401" s="18">
        <v>46192</v>
      </c>
      <c r="B401" s="1">
        <v>400</v>
      </c>
      <c r="C401" s="1" t="s">
        <v>89</v>
      </c>
      <c r="D401" s="1" t="s">
        <v>90</v>
      </c>
      <c r="E401" s="1">
        <v>2</v>
      </c>
      <c r="F401" s="1">
        <v>200</v>
      </c>
      <c r="G401" s="1">
        <v>1</v>
      </c>
      <c r="H401" s="1" t="s">
        <v>91</v>
      </c>
      <c r="I401" s="1" t="s">
        <v>79</v>
      </c>
      <c r="J401" s="1" t="s">
        <v>81</v>
      </c>
      <c r="K401" s="1" t="s">
        <v>74</v>
      </c>
      <c r="L401" s="1" t="s">
        <v>72</v>
      </c>
      <c r="M401" s="1" t="s">
        <v>75</v>
      </c>
      <c r="N401" s="1" t="s">
        <v>76</v>
      </c>
      <c r="O401" s="1" t="s">
        <v>77</v>
      </c>
      <c r="P401" s="1" t="s">
        <v>27</v>
      </c>
      <c r="Q401" s="1" t="s">
        <v>86</v>
      </c>
      <c r="R401" s="1" t="s">
        <v>94</v>
      </c>
      <c r="S401" s="1" t="s">
        <v>87</v>
      </c>
      <c r="T401" s="1" t="s">
        <v>88</v>
      </c>
      <c r="X401" s="1" t="s">
        <v>73</v>
      </c>
      <c r="Z401" s="1" t="s">
        <v>70</v>
      </c>
      <c r="AA401" s="1" t="s">
        <v>95</v>
      </c>
      <c r="AB401" s="1">
        <v>5</v>
      </c>
      <c r="AC401" s="1">
        <v>748769.16</v>
      </c>
      <c r="AD401" s="1">
        <v>8930576.9700000007</v>
      </c>
      <c r="AE401" s="1">
        <v>209.91</v>
      </c>
      <c r="AF401" s="1">
        <v>748769.16</v>
      </c>
      <c r="AG401" s="1">
        <v>8930576.9700000007</v>
      </c>
      <c r="AH401" s="1">
        <v>199.4</v>
      </c>
      <c r="AI401" s="1">
        <v>10.51</v>
      </c>
      <c r="AJ401" s="1">
        <v>0.6</v>
      </c>
      <c r="AK401" s="1">
        <v>2.97</v>
      </c>
      <c r="AL401" s="1">
        <v>2.58</v>
      </c>
      <c r="AM401" s="1">
        <v>0</v>
      </c>
      <c r="AN401" s="1">
        <v>0</v>
      </c>
      <c r="AO401" s="1">
        <v>279.95422539999998</v>
      </c>
      <c r="AP401" s="1">
        <v>3.38</v>
      </c>
      <c r="AQ401" s="1">
        <v>0.84</v>
      </c>
      <c r="AR401" s="1">
        <v>0.16</v>
      </c>
      <c r="AS401" s="1">
        <v>0.13</v>
      </c>
      <c r="AT401" s="1">
        <v>25.23</v>
      </c>
      <c r="AU401" s="1">
        <v>6.02</v>
      </c>
      <c r="AV401" s="1">
        <v>0.36</v>
      </c>
      <c r="AW401" s="1">
        <v>2.36</v>
      </c>
      <c r="AX401" s="1">
        <v>7.75</v>
      </c>
      <c r="AY401" s="1">
        <v>0</v>
      </c>
      <c r="AZ401" s="1">
        <v>102.066</v>
      </c>
      <c r="BA401" s="1">
        <v>0</v>
      </c>
      <c r="BB401" s="1">
        <v>0</v>
      </c>
      <c r="BC401" s="1">
        <v>0</v>
      </c>
      <c r="BD401" s="1">
        <v>0</v>
      </c>
    </row>
    <row r="402" spans="1:56">
      <c r="A402" s="18">
        <v>46192</v>
      </c>
      <c r="B402" s="1">
        <v>401</v>
      </c>
      <c r="C402" s="1" t="s">
        <v>89</v>
      </c>
      <c r="D402" s="1" t="s">
        <v>90</v>
      </c>
      <c r="E402" s="1">
        <v>2</v>
      </c>
      <c r="F402" s="1">
        <v>200</v>
      </c>
      <c r="G402" s="1">
        <v>1</v>
      </c>
      <c r="H402" s="1" t="s">
        <v>91</v>
      </c>
      <c r="I402" s="1" t="s">
        <v>79</v>
      </c>
      <c r="J402" s="1" t="s">
        <v>81</v>
      </c>
      <c r="K402" s="1" t="s">
        <v>74</v>
      </c>
      <c r="L402" s="1" t="s">
        <v>72</v>
      </c>
      <c r="M402" s="1" t="s">
        <v>75</v>
      </c>
      <c r="N402" s="1" t="s">
        <v>76</v>
      </c>
      <c r="O402" s="1" t="s">
        <v>77</v>
      </c>
      <c r="P402" s="1" t="s">
        <v>27</v>
      </c>
      <c r="Q402" s="1" t="s">
        <v>86</v>
      </c>
      <c r="R402" s="1" t="s">
        <v>94</v>
      </c>
      <c r="S402" s="1" t="s">
        <v>87</v>
      </c>
      <c r="T402" s="1" t="s">
        <v>88</v>
      </c>
      <c r="X402" s="1" t="s">
        <v>73</v>
      </c>
      <c r="Z402" s="1" t="s">
        <v>70</v>
      </c>
      <c r="AA402" s="1" t="s">
        <v>95</v>
      </c>
      <c r="AB402" s="1">
        <v>5</v>
      </c>
      <c r="AC402" s="1">
        <v>748771.49</v>
      </c>
      <c r="AD402" s="1">
        <v>8930575.1199999992</v>
      </c>
      <c r="AE402" s="1">
        <v>209.9</v>
      </c>
      <c r="AF402" s="1">
        <v>748771.49</v>
      </c>
      <c r="AG402" s="1">
        <v>8930575.1199999992</v>
      </c>
      <c r="AH402" s="1">
        <v>199.4</v>
      </c>
      <c r="AI402" s="1">
        <v>10.5</v>
      </c>
      <c r="AJ402" s="1">
        <v>0.6</v>
      </c>
      <c r="AK402" s="1">
        <v>2.97</v>
      </c>
      <c r="AL402" s="1">
        <v>2.58</v>
      </c>
      <c r="AM402" s="1">
        <v>0</v>
      </c>
      <c r="AN402" s="1">
        <v>0</v>
      </c>
      <c r="AO402" s="1">
        <v>279.95422539999998</v>
      </c>
      <c r="AP402" s="1">
        <v>3.42</v>
      </c>
      <c r="AQ402" s="1">
        <v>0.8</v>
      </c>
      <c r="AR402" s="1">
        <v>0.17</v>
      </c>
      <c r="AS402" s="1">
        <v>0.12</v>
      </c>
      <c r="AT402" s="1">
        <v>23.16</v>
      </c>
      <c r="AU402" s="1">
        <v>6.08</v>
      </c>
      <c r="AV402" s="1">
        <v>0.35</v>
      </c>
      <c r="AW402" s="1">
        <v>2.27</v>
      </c>
      <c r="AX402" s="1">
        <v>8.14</v>
      </c>
      <c r="AY402" s="1">
        <v>0</v>
      </c>
      <c r="AZ402" s="1">
        <v>101.92</v>
      </c>
      <c r="BA402" s="1">
        <v>0</v>
      </c>
      <c r="BB402" s="1">
        <v>0</v>
      </c>
      <c r="BC402" s="1">
        <v>0</v>
      </c>
      <c r="BD402" s="1">
        <v>0</v>
      </c>
    </row>
    <row r="403" spans="1:56">
      <c r="A403" s="18">
        <v>46192</v>
      </c>
      <c r="B403" s="1">
        <v>402</v>
      </c>
      <c r="C403" s="1" t="s">
        <v>89</v>
      </c>
      <c r="D403" s="1" t="s">
        <v>90</v>
      </c>
      <c r="E403" s="1">
        <v>2</v>
      </c>
      <c r="F403" s="1">
        <v>200</v>
      </c>
      <c r="G403" s="1">
        <v>1</v>
      </c>
      <c r="H403" s="1" t="s">
        <v>91</v>
      </c>
      <c r="I403" s="1" t="s">
        <v>79</v>
      </c>
      <c r="J403" s="1" t="s">
        <v>81</v>
      </c>
      <c r="K403" s="1" t="s">
        <v>74</v>
      </c>
      <c r="L403" s="1" t="s">
        <v>72</v>
      </c>
      <c r="M403" s="1" t="s">
        <v>75</v>
      </c>
      <c r="N403" s="1" t="s">
        <v>76</v>
      </c>
      <c r="O403" s="1" t="s">
        <v>77</v>
      </c>
      <c r="P403" s="1" t="s">
        <v>27</v>
      </c>
      <c r="Q403" s="1" t="s">
        <v>86</v>
      </c>
      <c r="R403" s="1" t="s">
        <v>94</v>
      </c>
      <c r="S403" s="1" t="s">
        <v>87</v>
      </c>
      <c r="T403" s="1" t="s">
        <v>88</v>
      </c>
      <c r="X403" s="1" t="s">
        <v>73</v>
      </c>
      <c r="Z403" s="1" t="s">
        <v>70</v>
      </c>
      <c r="AA403" s="1" t="s">
        <v>95</v>
      </c>
      <c r="AB403" s="1">
        <v>5</v>
      </c>
      <c r="AC403" s="1">
        <v>748773.82</v>
      </c>
      <c r="AD403" s="1">
        <v>8930573.2699999996</v>
      </c>
      <c r="AE403" s="1">
        <v>209.9</v>
      </c>
      <c r="AF403" s="1">
        <v>748773.82</v>
      </c>
      <c r="AG403" s="1">
        <v>8930573.2699999996</v>
      </c>
      <c r="AH403" s="1">
        <v>199.4</v>
      </c>
      <c r="AI403" s="1">
        <v>10.5</v>
      </c>
      <c r="AJ403" s="1">
        <v>0.6</v>
      </c>
      <c r="AK403" s="1">
        <v>2.97</v>
      </c>
      <c r="AL403" s="1">
        <v>2.58</v>
      </c>
      <c r="AM403" s="1">
        <v>0</v>
      </c>
      <c r="AN403" s="1">
        <v>0</v>
      </c>
      <c r="AO403" s="1">
        <v>279.95422539999998</v>
      </c>
      <c r="AP403" s="1">
        <v>3.42</v>
      </c>
      <c r="AQ403" s="1">
        <v>0.8</v>
      </c>
      <c r="AR403" s="1">
        <v>0.17</v>
      </c>
      <c r="AS403" s="1">
        <v>0.12</v>
      </c>
      <c r="AT403" s="1">
        <v>22.88</v>
      </c>
      <c r="AU403" s="1">
        <v>6.09</v>
      </c>
      <c r="AV403" s="1">
        <v>0.35</v>
      </c>
      <c r="AW403" s="1">
        <v>2.2599999999999998</v>
      </c>
      <c r="AX403" s="1">
        <v>8.19</v>
      </c>
      <c r="AY403" s="1">
        <v>0</v>
      </c>
      <c r="AZ403" s="1">
        <v>101.92</v>
      </c>
      <c r="BA403" s="1">
        <v>0</v>
      </c>
      <c r="BB403" s="1">
        <v>0</v>
      </c>
      <c r="BC403" s="1">
        <v>0</v>
      </c>
      <c r="BD403" s="1">
        <v>0</v>
      </c>
    </row>
    <row r="404" spans="1:56">
      <c r="A404" s="18">
        <v>46192</v>
      </c>
      <c r="B404" s="1">
        <v>403</v>
      </c>
      <c r="C404" s="1" t="s">
        <v>89</v>
      </c>
      <c r="D404" s="1" t="s">
        <v>90</v>
      </c>
      <c r="E404" s="1">
        <v>2</v>
      </c>
      <c r="F404" s="1">
        <v>200</v>
      </c>
      <c r="G404" s="1">
        <v>1</v>
      </c>
      <c r="H404" s="1" t="s">
        <v>91</v>
      </c>
      <c r="I404" s="1" t="s">
        <v>79</v>
      </c>
      <c r="J404" s="1" t="s">
        <v>81</v>
      </c>
      <c r="K404" s="1" t="s">
        <v>74</v>
      </c>
      <c r="L404" s="1" t="s">
        <v>72</v>
      </c>
      <c r="M404" s="1" t="s">
        <v>75</v>
      </c>
      <c r="N404" s="1" t="s">
        <v>76</v>
      </c>
      <c r="O404" s="1" t="s">
        <v>77</v>
      </c>
      <c r="P404" s="1" t="s">
        <v>27</v>
      </c>
      <c r="Q404" s="1" t="s">
        <v>86</v>
      </c>
      <c r="R404" s="1" t="s">
        <v>94</v>
      </c>
      <c r="S404" s="1" t="s">
        <v>87</v>
      </c>
      <c r="T404" s="1" t="s">
        <v>88</v>
      </c>
      <c r="X404" s="1" t="s">
        <v>73</v>
      </c>
      <c r="Z404" s="1" t="s">
        <v>70</v>
      </c>
      <c r="AA404" s="1" t="s">
        <v>95</v>
      </c>
      <c r="AB404" s="1">
        <v>5</v>
      </c>
      <c r="AC404" s="1">
        <v>748776.11</v>
      </c>
      <c r="AD404" s="1">
        <v>8930571.3900000006</v>
      </c>
      <c r="AE404" s="1">
        <v>210.09</v>
      </c>
      <c r="AF404" s="1">
        <v>748776.11</v>
      </c>
      <c r="AG404" s="1">
        <v>8930571.3900000006</v>
      </c>
      <c r="AH404" s="1">
        <v>199.4</v>
      </c>
      <c r="AI404" s="1">
        <v>10.69</v>
      </c>
      <c r="AJ404" s="1">
        <v>0.6</v>
      </c>
      <c r="AK404" s="1">
        <v>2.97</v>
      </c>
      <c r="AL404" s="1">
        <v>2.58</v>
      </c>
      <c r="AM404" s="1">
        <v>0</v>
      </c>
      <c r="AN404" s="1">
        <v>0</v>
      </c>
      <c r="AO404" s="1">
        <v>279.95422539999998</v>
      </c>
      <c r="AP404" s="1">
        <v>3.41</v>
      </c>
      <c r="AQ404" s="1">
        <v>0.8</v>
      </c>
      <c r="AR404" s="1">
        <v>0.17</v>
      </c>
      <c r="AS404" s="1">
        <v>0.12</v>
      </c>
      <c r="AT404" s="1">
        <v>22.97</v>
      </c>
      <c r="AU404" s="1">
        <v>6.1</v>
      </c>
      <c r="AV404" s="1">
        <v>0.35</v>
      </c>
      <c r="AW404" s="1">
        <v>2.2799999999999998</v>
      </c>
      <c r="AX404" s="1">
        <v>8.16</v>
      </c>
      <c r="AY404" s="1">
        <v>0</v>
      </c>
      <c r="AZ404" s="1">
        <v>104.68600000000001</v>
      </c>
      <c r="BA404" s="1">
        <v>0</v>
      </c>
      <c r="BB404" s="1">
        <v>0</v>
      </c>
      <c r="BC404" s="1">
        <v>0</v>
      </c>
      <c r="BD404" s="1">
        <v>0</v>
      </c>
    </row>
    <row r="405" spans="1:56">
      <c r="A405" s="18">
        <v>46192</v>
      </c>
      <c r="B405" s="1">
        <v>404</v>
      </c>
      <c r="C405" s="1" t="s">
        <v>89</v>
      </c>
      <c r="D405" s="1" t="s">
        <v>90</v>
      </c>
      <c r="E405" s="1">
        <v>2</v>
      </c>
      <c r="F405" s="1">
        <v>200</v>
      </c>
      <c r="G405" s="1">
        <v>1</v>
      </c>
      <c r="H405" s="1" t="s">
        <v>91</v>
      </c>
      <c r="I405" s="1" t="s">
        <v>79</v>
      </c>
      <c r="J405" s="1" t="s">
        <v>81</v>
      </c>
      <c r="K405" s="1" t="s">
        <v>74</v>
      </c>
      <c r="L405" s="1" t="s">
        <v>72</v>
      </c>
      <c r="M405" s="1" t="s">
        <v>75</v>
      </c>
      <c r="N405" s="1" t="s">
        <v>76</v>
      </c>
      <c r="O405" s="1" t="s">
        <v>77</v>
      </c>
      <c r="P405" s="1" t="s">
        <v>27</v>
      </c>
      <c r="Q405" s="1" t="s">
        <v>86</v>
      </c>
      <c r="R405" s="1" t="s">
        <v>94</v>
      </c>
      <c r="S405" s="1" t="s">
        <v>87</v>
      </c>
      <c r="T405" s="1" t="s">
        <v>88</v>
      </c>
      <c r="X405" s="1" t="s">
        <v>73</v>
      </c>
      <c r="Z405" s="1" t="s">
        <v>70</v>
      </c>
      <c r="AA405" s="1" t="s">
        <v>95</v>
      </c>
      <c r="AB405" s="1">
        <v>5</v>
      </c>
      <c r="AC405" s="1">
        <v>748778.36</v>
      </c>
      <c r="AD405" s="1">
        <v>8930569.4499999993</v>
      </c>
      <c r="AE405" s="1">
        <v>210.12</v>
      </c>
      <c r="AF405" s="1">
        <v>748778.36</v>
      </c>
      <c r="AG405" s="1">
        <v>8930569.4499999993</v>
      </c>
      <c r="AH405" s="1">
        <v>199.4</v>
      </c>
      <c r="AI405" s="1">
        <v>10.72</v>
      </c>
      <c r="AJ405" s="1">
        <v>0.6</v>
      </c>
      <c r="AK405" s="1">
        <v>2.97</v>
      </c>
      <c r="AL405" s="1">
        <v>2.58</v>
      </c>
      <c r="AM405" s="1">
        <v>0</v>
      </c>
      <c r="AN405" s="1">
        <v>0</v>
      </c>
      <c r="AO405" s="1">
        <v>279.95422539999998</v>
      </c>
      <c r="AP405" s="1">
        <v>3.37</v>
      </c>
      <c r="AQ405" s="1">
        <v>0.8</v>
      </c>
      <c r="AR405" s="1">
        <v>0.15</v>
      </c>
      <c r="AS405" s="1">
        <v>0.12</v>
      </c>
      <c r="AT405" s="1">
        <v>23.14</v>
      </c>
      <c r="AU405" s="1">
        <v>6.11</v>
      </c>
      <c r="AV405" s="1">
        <v>0.34</v>
      </c>
      <c r="AW405" s="1">
        <v>2.38</v>
      </c>
      <c r="AX405" s="1">
        <v>7.9</v>
      </c>
      <c r="AY405" s="1">
        <v>0</v>
      </c>
      <c r="AZ405" s="1">
        <v>105.123</v>
      </c>
      <c r="BA405" s="1">
        <v>0</v>
      </c>
      <c r="BB405" s="1">
        <v>0</v>
      </c>
      <c r="BC405" s="1">
        <v>0</v>
      </c>
      <c r="BD405" s="1">
        <v>0</v>
      </c>
    </row>
    <row r="406" spans="1:56">
      <c r="A406" s="18">
        <v>46192</v>
      </c>
      <c r="B406" s="1">
        <v>405</v>
      </c>
      <c r="C406" s="1" t="s">
        <v>89</v>
      </c>
      <c r="D406" s="1" t="s">
        <v>90</v>
      </c>
      <c r="E406" s="1">
        <v>2</v>
      </c>
      <c r="F406" s="1">
        <v>200</v>
      </c>
      <c r="G406" s="1">
        <v>1</v>
      </c>
      <c r="H406" s="1" t="s">
        <v>91</v>
      </c>
      <c r="I406" s="1" t="s">
        <v>79</v>
      </c>
      <c r="J406" s="1" t="s">
        <v>80</v>
      </c>
      <c r="K406" s="1" t="s">
        <v>74</v>
      </c>
      <c r="L406" s="1" t="s">
        <v>72</v>
      </c>
      <c r="M406" s="1" t="s">
        <v>75</v>
      </c>
      <c r="N406" s="1" t="s">
        <v>76</v>
      </c>
      <c r="O406" s="1" t="s">
        <v>77</v>
      </c>
      <c r="P406" s="1" t="s">
        <v>27</v>
      </c>
      <c r="Q406" s="1" t="s">
        <v>86</v>
      </c>
      <c r="R406" s="1" t="s">
        <v>94</v>
      </c>
      <c r="S406" s="1" t="s">
        <v>87</v>
      </c>
      <c r="T406" s="1" t="s">
        <v>88</v>
      </c>
      <c r="X406" s="1" t="s">
        <v>73</v>
      </c>
      <c r="Z406" s="1" t="s">
        <v>70</v>
      </c>
      <c r="AA406" s="1" t="s">
        <v>95</v>
      </c>
      <c r="AB406" s="1">
        <v>5</v>
      </c>
      <c r="AC406" s="1">
        <v>748780.61</v>
      </c>
      <c r="AD406" s="1">
        <v>8930567.5099999998</v>
      </c>
      <c r="AE406" s="1">
        <v>210.14</v>
      </c>
      <c r="AF406" s="1">
        <v>748780.61</v>
      </c>
      <c r="AG406" s="1">
        <v>8930567.5099999998</v>
      </c>
      <c r="AH406" s="1">
        <v>199.4</v>
      </c>
      <c r="AI406" s="1">
        <v>10.74</v>
      </c>
      <c r="AJ406" s="1">
        <v>0.6</v>
      </c>
      <c r="AK406" s="1">
        <v>2.97</v>
      </c>
      <c r="AL406" s="1">
        <v>2.58</v>
      </c>
      <c r="AM406" s="1">
        <v>0</v>
      </c>
      <c r="AN406" s="1">
        <v>0</v>
      </c>
      <c r="AO406" s="1">
        <v>279.95422539999998</v>
      </c>
      <c r="AP406" s="1">
        <v>3.36</v>
      </c>
      <c r="AQ406" s="1">
        <v>0.72</v>
      </c>
      <c r="AR406" s="1">
        <v>0.12</v>
      </c>
      <c r="AS406" s="1">
        <v>0.1</v>
      </c>
      <c r="AT406" s="1">
        <v>21.48</v>
      </c>
      <c r="AU406" s="1">
        <v>5.84</v>
      </c>
      <c r="AV406" s="1">
        <v>0.27</v>
      </c>
      <c r="AW406" s="1">
        <v>2.74</v>
      </c>
      <c r="AX406" s="1">
        <v>6.62</v>
      </c>
      <c r="AY406" s="1">
        <v>0</v>
      </c>
      <c r="AZ406" s="1">
        <v>105.414</v>
      </c>
      <c r="BA406" s="1">
        <v>0</v>
      </c>
      <c r="BB406" s="1">
        <v>0</v>
      </c>
      <c r="BC406" s="1">
        <v>0</v>
      </c>
      <c r="BD406" s="1">
        <v>0</v>
      </c>
    </row>
    <row r="407" spans="1:56">
      <c r="A407" s="18">
        <v>46192</v>
      </c>
      <c r="B407" s="1">
        <v>406</v>
      </c>
      <c r="C407" s="1" t="s">
        <v>89</v>
      </c>
      <c r="D407" s="1" t="s">
        <v>90</v>
      </c>
      <c r="E407" s="1">
        <v>2</v>
      </c>
      <c r="F407" s="1">
        <v>200</v>
      </c>
      <c r="G407" s="1">
        <v>1</v>
      </c>
      <c r="H407" s="1" t="s">
        <v>91</v>
      </c>
      <c r="I407" s="1" t="s">
        <v>79</v>
      </c>
      <c r="J407" s="1" t="s">
        <v>80</v>
      </c>
      <c r="K407" s="1" t="s">
        <v>74</v>
      </c>
      <c r="L407" s="1" t="s">
        <v>72</v>
      </c>
      <c r="M407" s="1" t="s">
        <v>75</v>
      </c>
      <c r="N407" s="1" t="s">
        <v>76</v>
      </c>
      <c r="O407" s="1" t="s">
        <v>77</v>
      </c>
      <c r="P407" s="1" t="s">
        <v>27</v>
      </c>
      <c r="Q407" s="1" t="s">
        <v>86</v>
      </c>
      <c r="R407" s="1" t="s">
        <v>94</v>
      </c>
      <c r="S407" s="1" t="s">
        <v>87</v>
      </c>
      <c r="T407" s="1" t="s">
        <v>88</v>
      </c>
      <c r="X407" s="1" t="s">
        <v>73</v>
      </c>
      <c r="Z407" s="1" t="s">
        <v>70</v>
      </c>
      <c r="AA407" s="1" t="s">
        <v>95</v>
      </c>
      <c r="AB407" s="1">
        <v>5</v>
      </c>
      <c r="AC407" s="1">
        <v>748782.86</v>
      </c>
      <c r="AD407" s="1">
        <v>8930565.5800000001</v>
      </c>
      <c r="AE407" s="1">
        <v>210.22</v>
      </c>
      <c r="AF407" s="1">
        <v>748782.86</v>
      </c>
      <c r="AG407" s="1">
        <v>8930565.5800000001</v>
      </c>
      <c r="AH407" s="1">
        <v>199.4</v>
      </c>
      <c r="AI407" s="1">
        <v>10.82</v>
      </c>
      <c r="AJ407" s="1">
        <v>0.6</v>
      </c>
      <c r="AK407" s="1">
        <v>2.97</v>
      </c>
      <c r="AL407" s="1">
        <v>2.58</v>
      </c>
      <c r="AM407" s="1">
        <v>0</v>
      </c>
      <c r="AN407" s="1">
        <v>0</v>
      </c>
      <c r="AO407" s="1">
        <v>279.95422539999998</v>
      </c>
      <c r="AP407" s="1">
        <v>3.37</v>
      </c>
      <c r="AQ407" s="1">
        <v>0.68</v>
      </c>
      <c r="AR407" s="1">
        <v>0.12</v>
      </c>
      <c r="AS407" s="1">
        <v>0.09</v>
      </c>
      <c r="AT407" s="1">
        <v>20.52</v>
      </c>
      <c r="AU407" s="1">
        <v>5.69</v>
      </c>
      <c r="AV407" s="1">
        <v>0.24</v>
      </c>
      <c r="AW407" s="1">
        <v>2.89</v>
      </c>
      <c r="AX407" s="1">
        <v>6.06</v>
      </c>
      <c r="AY407" s="1">
        <v>0</v>
      </c>
      <c r="AZ407" s="1">
        <v>106.57899999999999</v>
      </c>
      <c r="BA407" s="1">
        <v>0</v>
      </c>
      <c r="BB407" s="1">
        <v>0</v>
      </c>
      <c r="BC407" s="1">
        <v>0</v>
      </c>
      <c r="BD407" s="1">
        <v>0</v>
      </c>
    </row>
    <row r="408" spans="1:56">
      <c r="A408" s="18">
        <v>46192</v>
      </c>
      <c r="B408" s="1">
        <v>407</v>
      </c>
      <c r="C408" s="1" t="s">
        <v>89</v>
      </c>
      <c r="D408" s="1" t="s">
        <v>90</v>
      </c>
      <c r="E408" s="1">
        <v>2</v>
      </c>
      <c r="F408" s="1">
        <v>200</v>
      </c>
      <c r="G408" s="1">
        <v>1</v>
      </c>
      <c r="H408" s="1" t="s">
        <v>91</v>
      </c>
      <c r="I408" s="1" t="s">
        <v>79</v>
      </c>
      <c r="J408" s="1" t="s">
        <v>80</v>
      </c>
      <c r="K408" s="1" t="s">
        <v>74</v>
      </c>
      <c r="L408" s="1" t="s">
        <v>72</v>
      </c>
      <c r="M408" s="1" t="s">
        <v>75</v>
      </c>
      <c r="N408" s="1" t="s">
        <v>76</v>
      </c>
      <c r="O408" s="1" t="s">
        <v>77</v>
      </c>
      <c r="P408" s="1" t="s">
        <v>27</v>
      </c>
      <c r="Q408" s="1" t="s">
        <v>86</v>
      </c>
      <c r="R408" s="1" t="s">
        <v>94</v>
      </c>
      <c r="S408" s="1" t="s">
        <v>87</v>
      </c>
      <c r="T408" s="1" t="s">
        <v>88</v>
      </c>
      <c r="X408" s="1" t="s">
        <v>73</v>
      </c>
      <c r="Z408" s="1" t="s">
        <v>70</v>
      </c>
      <c r="AA408" s="1" t="s">
        <v>95</v>
      </c>
      <c r="AB408" s="1">
        <v>5</v>
      </c>
      <c r="AC408" s="1">
        <v>748785.11</v>
      </c>
      <c r="AD408" s="1">
        <v>8930563.6400000006</v>
      </c>
      <c r="AE408" s="1">
        <v>210.34</v>
      </c>
      <c r="AF408" s="1">
        <v>748785.11</v>
      </c>
      <c r="AG408" s="1">
        <v>8930563.6400000006</v>
      </c>
      <c r="AH408" s="1">
        <v>199.4</v>
      </c>
      <c r="AI408" s="1">
        <v>10.94</v>
      </c>
      <c r="AJ408" s="1">
        <v>0.6</v>
      </c>
      <c r="AK408" s="1">
        <v>2.97</v>
      </c>
      <c r="AL408" s="1">
        <v>2.58</v>
      </c>
      <c r="AM408" s="1">
        <v>0</v>
      </c>
      <c r="AN408" s="1">
        <v>0</v>
      </c>
      <c r="AO408" s="1">
        <v>279.95422539999998</v>
      </c>
      <c r="AP408" s="1">
        <v>3.37</v>
      </c>
      <c r="AQ408" s="1">
        <v>0.68</v>
      </c>
      <c r="AR408" s="1">
        <v>0.12</v>
      </c>
      <c r="AS408" s="1">
        <v>0.09</v>
      </c>
      <c r="AT408" s="1">
        <v>20.51</v>
      </c>
      <c r="AU408" s="1">
        <v>5.69</v>
      </c>
      <c r="AV408" s="1">
        <v>0.24</v>
      </c>
      <c r="AW408" s="1">
        <v>2.88</v>
      </c>
      <c r="AX408" s="1">
        <v>6.1</v>
      </c>
      <c r="AY408" s="1">
        <v>0</v>
      </c>
      <c r="AZ408" s="1">
        <v>108.32599999999999</v>
      </c>
      <c r="BA408" s="1">
        <v>0</v>
      </c>
      <c r="BB408" s="1">
        <v>0</v>
      </c>
      <c r="BC408" s="1">
        <v>0</v>
      </c>
      <c r="BD408" s="1">
        <v>0</v>
      </c>
    </row>
    <row r="409" spans="1:56">
      <c r="A409" s="18">
        <v>46192</v>
      </c>
      <c r="B409" s="1">
        <v>408</v>
      </c>
      <c r="C409" s="1" t="s">
        <v>89</v>
      </c>
      <c r="D409" s="1" t="s">
        <v>90</v>
      </c>
      <c r="E409" s="1">
        <v>2</v>
      </c>
      <c r="F409" s="1">
        <v>200</v>
      </c>
      <c r="G409" s="1">
        <v>1</v>
      </c>
      <c r="H409" s="1" t="s">
        <v>91</v>
      </c>
      <c r="I409" s="1" t="s">
        <v>79</v>
      </c>
      <c r="J409" s="1" t="s">
        <v>80</v>
      </c>
      <c r="K409" s="1" t="s">
        <v>74</v>
      </c>
      <c r="L409" s="1" t="s">
        <v>72</v>
      </c>
      <c r="M409" s="1" t="s">
        <v>75</v>
      </c>
      <c r="N409" s="1" t="s">
        <v>76</v>
      </c>
      <c r="O409" s="1" t="s">
        <v>77</v>
      </c>
      <c r="P409" s="1" t="s">
        <v>27</v>
      </c>
      <c r="Q409" s="1" t="s">
        <v>86</v>
      </c>
      <c r="R409" s="1" t="s">
        <v>94</v>
      </c>
      <c r="S409" s="1" t="s">
        <v>87</v>
      </c>
      <c r="T409" s="1" t="s">
        <v>88</v>
      </c>
      <c r="X409" s="1" t="s">
        <v>73</v>
      </c>
      <c r="Z409" s="1" t="s">
        <v>70</v>
      </c>
      <c r="AA409" s="1" t="s">
        <v>95</v>
      </c>
      <c r="AB409" s="1">
        <v>5</v>
      </c>
      <c r="AC409" s="1">
        <v>748787.36</v>
      </c>
      <c r="AD409" s="1">
        <v>8930561.6999999993</v>
      </c>
      <c r="AE409" s="1">
        <v>210.36</v>
      </c>
      <c r="AF409" s="1">
        <v>748787.36</v>
      </c>
      <c r="AG409" s="1">
        <v>8930561.6999999993</v>
      </c>
      <c r="AH409" s="1">
        <v>199.4</v>
      </c>
      <c r="AI409" s="1">
        <v>10.96</v>
      </c>
      <c r="AJ409" s="1">
        <v>0.6</v>
      </c>
      <c r="AK409" s="1">
        <v>2.97</v>
      </c>
      <c r="AL409" s="1">
        <v>2.58</v>
      </c>
      <c r="AM409" s="1">
        <v>0</v>
      </c>
      <c r="AN409" s="1">
        <v>0</v>
      </c>
      <c r="AO409" s="1">
        <v>279.95422539999998</v>
      </c>
      <c r="AP409" s="1">
        <v>3.37</v>
      </c>
      <c r="AQ409" s="1">
        <v>0.66</v>
      </c>
      <c r="AR409" s="1">
        <v>0.12</v>
      </c>
      <c r="AS409" s="1">
        <v>0.09</v>
      </c>
      <c r="AT409" s="1">
        <v>20.309999999999999</v>
      </c>
      <c r="AU409" s="1">
        <v>5.63</v>
      </c>
      <c r="AV409" s="1">
        <v>0.23</v>
      </c>
      <c r="AW409" s="1">
        <v>2.84</v>
      </c>
      <c r="AX409" s="1">
        <v>6.23</v>
      </c>
      <c r="AY409" s="1">
        <v>0</v>
      </c>
      <c r="AZ409" s="1">
        <v>108.61799999999999</v>
      </c>
      <c r="BA409" s="1">
        <v>0</v>
      </c>
      <c r="BB409" s="1">
        <v>0</v>
      </c>
      <c r="BC409" s="1">
        <v>0</v>
      </c>
      <c r="BD409" s="1">
        <v>0</v>
      </c>
    </row>
    <row r="410" spans="1:56">
      <c r="A410" s="18">
        <v>46192</v>
      </c>
      <c r="B410" s="1">
        <v>409</v>
      </c>
      <c r="C410" s="1" t="s">
        <v>89</v>
      </c>
      <c r="D410" s="1" t="s">
        <v>90</v>
      </c>
      <c r="E410" s="1">
        <v>2</v>
      </c>
      <c r="F410" s="1">
        <v>200</v>
      </c>
      <c r="G410" s="1">
        <v>1</v>
      </c>
      <c r="H410" s="1" t="s">
        <v>91</v>
      </c>
      <c r="I410" s="1" t="s">
        <v>79</v>
      </c>
      <c r="J410" s="1" t="s">
        <v>80</v>
      </c>
      <c r="K410" s="1" t="s">
        <v>74</v>
      </c>
      <c r="L410" s="1" t="s">
        <v>72</v>
      </c>
      <c r="M410" s="1" t="s">
        <v>75</v>
      </c>
      <c r="N410" s="1" t="s">
        <v>76</v>
      </c>
      <c r="O410" s="1" t="s">
        <v>77</v>
      </c>
      <c r="P410" s="1" t="s">
        <v>27</v>
      </c>
      <c r="Q410" s="1" t="s">
        <v>86</v>
      </c>
      <c r="R410" s="1" t="s">
        <v>94</v>
      </c>
      <c r="S410" s="1" t="s">
        <v>87</v>
      </c>
      <c r="T410" s="1" t="s">
        <v>88</v>
      </c>
      <c r="X410" s="1" t="s">
        <v>73</v>
      </c>
      <c r="Z410" s="1" t="s">
        <v>70</v>
      </c>
      <c r="AA410" s="1" t="s">
        <v>95</v>
      </c>
      <c r="AB410" s="1">
        <v>5</v>
      </c>
      <c r="AC410" s="1">
        <v>748789.61</v>
      </c>
      <c r="AD410" s="1">
        <v>8930559.7599999998</v>
      </c>
      <c r="AE410" s="1">
        <v>210.22</v>
      </c>
      <c r="AF410" s="1">
        <v>748789.61</v>
      </c>
      <c r="AG410" s="1">
        <v>8930559.7599999998</v>
      </c>
      <c r="AH410" s="1">
        <v>199.4</v>
      </c>
      <c r="AI410" s="1">
        <v>10.82</v>
      </c>
      <c r="AJ410" s="1">
        <v>0.6</v>
      </c>
      <c r="AK410" s="1">
        <v>2.97</v>
      </c>
      <c r="AL410" s="1">
        <v>2.58</v>
      </c>
      <c r="AM410" s="1">
        <v>0</v>
      </c>
      <c r="AN410" s="1">
        <v>0</v>
      </c>
      <c r="AO410" s="1">
        <v>279.95422539999998</v>
      </c>
      <c r="AP410" s="1">
        <v>3.35</v>
      </c>
      <c r="AQ410" s="1">
        <v>0.45</v>
      </c>
      <c r="AR410" s="1">
        <v>0.08</v>
      </c>
      <c r="AS410" s="1">
        <v>7.0000000000000007E-2</v>
      </c>
      <c r="AT410" s="1">
        <v>16.649999999999999</v>
      </c>
      <c r="AU410" s="1">
        <v>4.9400000000000004</v>
      </c>
      <c r="AV410" s="1">
        <v>0.19</v>
      </c>
      <c r="AW410" s="1">
        <v>2.2599999999999998</v>
      </c>
      <c r="AX410" s="1">
        <v>8.0399999999999991</v>
      </c>
      <c r="AY410" s="1">
        <v>0</v>
      </c>
      <c r="AZ410" s="1">
        <v>106.57899999999999</v>
      </c>
      <c r="BA410" s="1">
        <v>0</v>
      </c>
      <c r="BB410" s="1">
        <v>0</v>
      </c>
      <c r="BC410" s="1">
        <v>0</v>
      </c>
      <c r="BD410" s="1">
        <v>0</v>
      </c>
    </row>
    <row r="411" spans="1:56">
      <c r="A411" s="18">
        <v>46192</v>
      </c>
      <c r="B411" s="1">
        <v>410</v>
      </c>
      <c r="C411" s="1" t="s">
        <v>89</v>
      </c>
      <c r="D411" s="1" t="s">
        <v>90</v>
      </c>
      <c r="E411" s="1">
        <v>2</v>
      </c>
      <c r="F411" s="1">
        <v>200</v>
      </c>
      <c r="G411" s="1">
        <v>1</v>
      </c>
      <c r="H411" s="1" t="s">
        <v>91</v>
      </c>
      <c r="I411" s="1" t="s">
        <v>79</v>
      </c>
      <c r="J411" s="1" t="s">
        <v>84</v>
      </c>
      <c r="K411" s="1" t="s">
        <v>74</v>
      </c>
      <c r="L411" s="1" t="s">
        <v>72</v>
      </c>
      <c r="M411" s="1" t="s">
        <v>75</v>
      </c>
      <c r="N411" s="1" t="s">
        <v>76</v>
      </c>
      <c r="O411" s="1" t="s">
        <v>77</v>
      </c>
      <c r="P411" s="1" t="s">
        <v>27</v>
      </c>
      <c r="Q411" s="1" t="s">
        <v>86</v>
      </c>
      <c r="R411" s="1" t="s">
        <v>94</v>
      </c>
      <c r="S411" s="1" t="s">
        <v>87</v>
      </c>
      <c r="T411" s="1" t="s">
        <v>88</v>
      </c>
      <c r="X411" s="1" t="s">
        <v>73</v>
      </c>
      <c r="Z411" s="1" t="s">
        <v>70</v>
      </c>
      <c r="AA411" s="1" t="s">
        <v>95</v>
      </c>
      <c r="AB411" s="1">
        <v>5</v>
      </c>
      <c r="AC411" s="1">
        <v>748791.86</v>
      </c>
      <c r="AD411" s="1">
        <v>8930557.8200000003</v>
      </c>
      <c r="AE411" s="1">
        <v>210.19</v>
      </c>
      <c r="AF411" s="1">
        <v>748791.86</v>
      </c>
      <c r="AG411" s="1">
        <v>8930557.8200000003</v>
      </c>
      <c r="AH411" s="1">
        <v>199.4</v>
      </c>
      <c r="AI411" s="1">
        <v>10.79</v>
      </c>
      <c r="AJ411" s="1">
        <v>0.6</v>
      </c>
      <c r="AK411" s="1">
        <v>2.97</v>
      </c>
      <c r="AL411" s="1">
        <v>2.58</v>
      </c>
      <c r="AM411" s="1">
        <v>0</v>
      </c>
      <c r="AN411" s="1">
        <v>0</v>
      </c>
      <c r="AO411" s="1">
        <v>279.95422539999998</v>
      </c>
      <c r="AP411" s="1">
        <v>3.35</v>
      </c>
      <c r="AQ411" s="1">
        <v>0.28000000000000003</v>
      </c>
      <c r="AR411" s="1">
        <v>0.04</v>
      </c>
      <c r="AS411" s="1">
        <v>0.04</v>
      </c>
      <c r="AT411" s="1">
        <v>13.5</v>
      </c>
      <c r="AU411" s="1">
        <v>4.6500000000000004</v>
      </c>
      <c r="AV411" s="1">
        <v>0.14000000000000001</v>
      </c>
      <c r="AW411" s="1">
        <v>1.99</v>
      </c>
      <c r="AX411" s="1">
        <v>8.66</v>
      </c>
      <c r="AY411" s="1">
        <v>0</v>
      </c>
      <c r="AZ411" s="1">
        <v>106.142</v>
      </c>
      <c r="BA411" s="1">
        <v>0</v>
      </c>
      <c r="BB411" s="1">
        <v>0</v>
      </c>
      <c r="BC411" s="1">
        <v>0</v>
      </c>
      <c r="BD411" s="1">
        <v>0</v>
      </c>
    </row>
    <row r="412" spans="1:56">
      <c r="A412" s="18">
        <v>46192</v>
      </c>
      <c r="B412" s="1">
        <v>411</v>
      </c>
      <c r="C412" s="1" t="s">
        <v>89</v>
      </c>
      <c r="D412" s="1" t="s">
        <v>90</v>
      </c>
      <c r="E412" s="1">
        <v>2</v>
      </c>
      <c r="F412" s="1">
        <v>200</v>
      </c>
      <c r="G412" s="1">
        <v>1</v>
      </c>
      <c r="H412" s="1" t="s">
        <v>91</v>
      </c>
      <c r="I412" s="1" t="s">
        <v>79</v>
      </c>
      <c r="J412" s="1" t="s">
        <v>84</v>
      </c>
      <c r="K412" s="1" t="s">
        <v>74</v>
      </c>
      <c r="L412" s="1" t="s">
        <v>72</v>
      </c>
      <c r="M412" s="1" t="s">
        <v>75</v>
      </c>
      <c r="N412" s="1" t="s">
        <v>76</v>
      </c>
      <c r="O412" s="1" t="s">
        <v>77</v>
      </c>
      <c r="P412" s="1" t="s">
        <v>27</v>
      </c>
      <c r="Q412" s="1" t="s">
        <v>86</v>
      </c>
      <c r="R412" s="1" t="s">
        <v>94</v>
      </c>
      <c r="S412" s="1" t="s">
        <v>87</v>
      </c>
      <c r="T412" s="1" t="s">
        <v>88</v>
      </c>
      <c r="X412" s="1" t="s">
        <v>73</v>
      </c>
      <c r="Z412" s="1" t="s">
        <v>70</v>
      </c>
      <c r="AA412" s="1" t="s">
        <v>95</v>
      </c>
      <c r="AB412" s="1">
        <v>5</v>
      </c>
      <c r="AC412" s="1">
        <v>748794.11</v>
      </c>
      <c r="AD412" s="1">
        <v>8930555.8800000008</v>
      </c>
      <c r="AE412" s="1">
        <v>210.08</v>
      </c>
      <c r="AF412" s="1">
        <v>748794.11</v>
      </c>
      <c r="AG412" s="1">
        <v>8930555.8800000008</v>
      </c>
      <c r="AH412" s="1">
        <v>199.4</v>
      </c>
      <c r="AI412" s="1">
        <v>10.68</v>
      </c>
      <c r="AJ412" s="1">
        <v>0.6</v>
      </c>
      <c r="AK412" s="1">
        <v>2.97</v>
      </c>
      <c r="AL412" s="1">
        <v>2.58</v>
      </c>
      <c r="AM412" s="1">
        <v>0</v>
      </c>
      <c r="AN412" s="1">
        <v>0</v>
      </c>
      <c r="AO412" s="1">
        <v>279.95422539999998</v>
      </c>
      <c r="AP412" s="1">
        <v>3.36</v>
      </c>
      <c r="AQ412" s="1">
        <v>0.27</v>
      </c>
      <c r="AR412" s="1">
        <v>0.04</v>
      </c>
      <c r="AS412" s="1">
        <v>0.04</v>
      </c>
      <c r="AT412" s="1">
        <v>13.44</v>
      </c>
      <c r="AU412" s="1">
        <v>4.6500000000000004</v>
      </c>
      <c r="AV412" s="1">
        <v>0.14000000000000001</v>
      </c>
      <c r="AW412" s="1">
        <v>1.99</v>
      </c>
      <c r="AX412" s="1">
        <v>8.64</v>
      </c>
      <c r="AY412" s="1">
        <v>0</v>
      </c>
      <c r="AZ412" s="1">
        <v>104.541</v>
      </c>
      <c r="BA412" s="1">
        <v>0</v>
      </c>
      <c r="BB412" s="1">
        <v>0</v>
      </c>
      <c r="BC412" s="1">
        <v>0</v>
      </c>
      <c r="BD412" s="1">
        <v>0</v>
      </c>
    </row>
    <row r="413" spans="1:56">
      <c r="A413" s="18">
        <v>46192</v>
      </c>
      <c r="B413" s="1">
        <v>412</v>
      </c>
      <c r="C413" s="1" t="s">
        <v>89</v>
      </c>
      <c r="D413" s="1" t="s">
        <v>90</v>
      </c>
      <c r="E413" s="1">
        <v>2</v>
      </c>
      <c r="F413" s="1">
        <v>200</v>
      </c>
      <c r="G413" s="1">
        <v>1</v>
      </c>
      <c r="H413" s="1" t="s">
        <v>91</v>
      </c>
      <c r="I413" s="1" t="s">
        <v>79</v>
      </c>
      <c r="J413" s="1" t="s">
        <v>84</v>
      </c>
      <c r="K413" s="1" t="s">
        <v>74</v>
      </c>
      <c r="L413" s="1" t="s">
        <v>72</v>
      </c>
      <c r="M413" s="1" t="s">
        <v>75</v>
      </c>
      <c r="N413" s="1" t="s">
        <v>76</v>
      </c>
      <c r="O413" s="1" t="s">
        <v>77</v>
      </c>
      <c r="P413" s="1" t="s">
        <v>27</v>
      </c>
      <c r="Q413" s="1" t="s">
        <v>86</v>
      </c>
      <c r="R413" s="1" t="s">
        <v>94</v>
      </c>
      <c r="S413" s="1" t="s">
        <v>87</v>
      </c>
      <c r="T413" s="1" t="s">
        <v>88</v>
      </c>
      <c r="X413" s="1" t="s">
        <v>73</v>
      </c>
      <c r="Z413" s="1" t="s">
        <v>70</v>
      </c>
      <c r="AA413" s="1" t="s">
        <v>95</v>
      </c>
      <c r="AB413" s="1">
        <v>5</v>
      </c>
      <c r="AC413" s="1">
        <v>748796.36</v>
      </c>
      <c r="AD413" s="1">
        <v>8930553.9499999993</v>
      </c>
      <c r="AE413" s="1">
        <v>210.06</v>
      </c>
      <c r="AF413" s="1">
        <v>748796.36</v>
      </c>
      <c r="AG413" s="1">
        <v>8930553.9499999993</v>
      </c>
      <c r="AH413" s="1">
        <v>199.4</v>
      </c>
      <c r="AI413" s="1">
        <v>10.66</v>
      </c>
      <c r="AJ413" s="1">
        <v>0.6</v>
      </c>
      <c r="AK413" s="1">
        <v>2.97</v>
      </c>
      <c r="AL413" s="1">
        <v>2.58</v>
      </c>
      <c r="AM413" s="1">
        <v>0</v>
      </c>
      <c r="AN413" s="1">
        <v>0</v>
      </c>
      <c r="AO413" s="1">
        <v>279.95422539999998</v>
      </c>
      <c r="AP413" s="1">
        <v>3.36</v>
      </c>
      <c r="AQ413" s="1">
        <v>0.27</v>
      </c>
      <c r="AR413" s="1">
        <v>0.04</v>
      </c>
      <c r="AS413" s="1">
        <v>0.04</v>
      </c>
      <c r="AT413" s="1">
        <v>13.44</v>
      </c>
      <c r="AU413" s="1">
        <v>4.6500000000000004</v>
      </c>
      <c r="AV413" s="1">
        <v>0.14000000000000001</v>
      </c>
      <c r="AW413" s="1">
        <v>1.99</v>
      </c>
      <c r="AX413" s="1">
        <v>8.64</v>
      </c>
      <c r="AY413" s="1">
        <v>0</v>
      </c>
      <c r="AZ413" s="1">
        <v>104.25</v>
      </c>
      <c r="BA413" s="1">
        <v>0</v>
      </c>
      <c r="BB413" s="1">
        <v>0</v>
      </c>
      <c r="BC413" s="1">
        <v>0</v>
      </c>
      <c r="BD413" s="1">
        <v>0</v>
      </c>
    </row>
    <row r="414" spans="1:56">
      <c r="A414" s="18">
        <v>46192</v>
      </c>
      <c r="B414" s="1">
        <v>413</v>
      </c>
      <c r="C414" s="1" t="s">
        <v>89</v>
      </c>
      <c r="D414" s="1" t="s">
        <v>90</v>
      </c>
      <c r="E414" s="1">
        <v>2</v>
      </c>
      <c r="F414" s="1">
        <v>200</v>
      </c>
      <c r="G414" s="1">
        <v>1</v>
      </c>
      <c r="H414" s="1" t="s">
        <v>91</v>
      </c>
      <c r="I414" s="1" t="s">
        <v>79</v>
      </c>
      <c r="J414" s="1" t="s">
        <v>84</v>
      </c>
      <c r="K414" s="1" t="s">
        <v>74</v>
      </c>
      <c r="L414" s="1" t="s">
        <v>72</v>
      </c>
      <c r="M414" s="1" t="s">
        <v>75</v>
      </c>
      <c r="N414" s="1" t="s">
        <v>76</v>
      </c>
      <c r="O414" s="1" t="s">
        <v>77</v>
      </c>
      <c r="P414" s="1" t="s">
        <v>27</v>
      </c>
      <c r="Q414" s="1" t="s">
        <v>86</v>
      </c>
      <c r="R414" s="1" t="s">
        <v>94</v>
      </c>
      <c r="S414" s="1" t="s">
        <v>87</v>
      </c>
      <c r="T414" s="1" t="s">
        <v>88</v>
      </c>
      <c r="X414" s="1" t="s">
        <v>73</v>
      </c>
      <c r="Z414" s="1" t="s">
        <v>70</v>
      </c>
      <c r="AA414" s="1" t="s">
        <v>95</v>
      </c>
      <c r="AB414" s="1">
        <v>5</v>
      </c>
      <c r="AC414" s="1">
        <v>748798.51</v>
      </c>
      <c r="AD414" s="1">
        <v>8930551.9100000001</v>
      </c>
      <c r="AE414" s="1">
        <v>209.98</v>
      </c>
      <c r="AF414" s="1">
        <v>748798.51</v>
      </c>
      <c r="AG414" s="1">
        <v>8930551.9100000001</v>
      </c>
      <c r="AH414" s="1">
        <v>199.4</v>
      </c>
      <c r="AI414" s="1">
        <v>10.58</v>
      </c>
      <c r="AJ414" s="1">
        <v>0.6</v>
      </c>
      <c r="AK414" s="1">
        <v>2.97</v>
      </c>
      <c r="AL414" s="1">
        <v>2.58</v>
      </c>
      <c r="AM414" s="1">
        <v>0</v>
      </c>
      <c r="AN414" s="1">
        <v>0</v>
      </c>
      <c r="AO414" s="1">
        <v>279.95422539999998</v>
      </c>
      <c r="AP414" s="1">
        <v>3.35</v>
      </c>
      <c r="AQ414" s="1">
        <v>0.27</v>
      </c>
      <c r="AR414" s="1">
        <v>0.04</v>
      </c>
      <c r="AS414" s="1">
        <v>0.04</v>
      </c>
      <c r="AT414" s="1">
        <v>13.49</v>
      </c>
      <c r="AU414" s="1">
        <v>4.67</v>
      </c>
      <c r="AV414" s="1">
        <v>0.14000000000000001</v>
      </c>
      <c r="AW414" s="1">
        <v>1.95</v>
      </c>
      <c r="AX414" s="1">
        <v>8.64</v>
      </c>
      <c r="AY414" s="1">
        <v>0</v>
      </c>
      <c r="AZ414" s="1">
        <v>103.08499999999999</v>
      </c>
      <c r="BA414" s="1">
        <v>0</v>
      </c>
      <c r="BB414" s="1">
        <v>0</v>
      </c>
      <c r="BC414" s="1">
        <v>0</v>
      </c>
      <c r="BD414" s="1">
        <v>0</v>
      </c>
    </row>
    <row r="415" spans="1:56">
      <c r="A415" s="18">
        <v>46192</v>
      </c>
      <c r="B415" s="1">
        <v>414</v>
      </c>
      <c r="C415" s="1" t="s">
        <v>89</v>
      </c>
      <c r="D415" s="1" t="s">
        <v>90</v>
      </c>
      <c r="E415" s="1">
        <v>2</v>
      </c>
      <c r="F415" s="1">
        <v>200</v>
      </c>
      <c r="G415" s="1">
        <v>1</v>
      </c>
      <c r="H415" s="1" t="s">
        <v>91</v>
      </c>
      <c r="I415" s="1" t="s">
        <v>79</v>
      </c>
      <c r="J415" s="1" t="s">
        <v>84</v>
      </c>
      <c r="K415" s="1" t="s">
        <v>74</v>
      </c>
      <c r="L415" s="1" t="s">
        <v>72</v>
      </c>
      <c r="M415" s="1" t="s">
        <v>75</v>
      </c>
      <c r="N415" s="1" t="s">
        <v>76</v>
      </c>
      <c r="O415" s="1" t="s">
        <v>77</v>
      </c>
      <c r="P415" s="1" t="s">
        <v>27</v>
      </c>
      <c r="Q415" s="1" t="s">
        <v>86</v>
      </c>
      <c r="R415" s="1" t="s">
        <v>94</v>
      </c>
      <c r="S415" s="1" t="s">
        <v>87</v>
      </c>
      <c r="T415" s="1" t="s">
        <v>88</v>
      </c>
      <c r="X415" s="1" t="s">
        <v>73</v>
      </c>
      <c r="Z415" s="1" t="s">
        <v>70</v>
      </c>
      <c r="AA415" s="1" t="s">
        <v>95</v>
      </c>
      <c r="AB415" s="1">
        <v>5</v>
      </c>
      <c r="AC415" s="1">
        <v>748800.12</v>
      </c>
      <c r="AD415" s="1">
        <v>8930549.4199999999</v>
      </c>
      <c r="AE415" s="1">
        <v>210.05</v>
      </c>
      <c r="AF415" s="1">
        <v>748800.12</v>
      </c>
      <c r="AG415" s="1">
        <v>8930549.4199999999</v>
      </c>
      <c r="AH415" s="1">
        <v>199.4</v>
      </c>
      <c r="AI415" s="1">
        <v>10.65</v>
      </c>
      <c r="AJ415" s="1">
        <v>0.6</v>
      </c>
      <c r="AK415" s="1">
        <v>2.97</v>
      </c>
      <c r="AL415" s="1">
        <v>2.58</v>
      </c>
      <c r="AM415" s="1">
        <v>0</v>
      </c>
      <c r="AN415" s="1">
        <v>0</v>
      </c>
      <c r="AO415" s="1">
        <v>279.95422539999998</v>
      </c>
      <c r="AP415" s="1">
        <v>3.25</v>
      </c>
      <c r="AQ415" s="1">
        <v>0.3</v>
      </c>
      <c r="AR415" s="1">
        <v>0.04</v>
      </c>
      <c r="AS415" s="1">
        <v>0.05</v>
      </c>
      <c r="AT415" s="1">
        <v>14.35</v>
      </c>
      <c r="AU415" s="1">
        <v>4.96</v>
      </c>
      <c r="AV415" s="1">
        <v>0.21</v>
      </c>
      <c r="AW415" s="1">
        <v>1.51</v>
      </c>
      <c r="AX415" s="1">
        <v>8.1999999999999993</v>
      </c>
      <c r="AY415" s="1">
        <v>0</v>
      </c>
      <c r="AZ415" s="1">
        <v>104.104</v>
      </c>
      <c r="BA415" s="1">
        <v>0</v>
      </c>
      <c r="BB415" s="1">
        <v>0</v>
      </c>
      <c r="BC415" s="1">
        <v>0</v>
      </c>
      <c r="BD415" s="1">
        <v>0</v>
      </c>
    </row>
    <row r="416" spans="1:56">
      <c r="A416" s="18">
        <v>46192</v>
      </c>
      <c r="B416" s="1">
        <v>415</v>
      </c>
      <c r="C416" s="1" t="s">
        <v>89</v>
      </c>
      <c r="D416" s="1" t="s">
        <v>90</v>
      </c>
      <c r="E416" s="1">
        <v>2</v>
      </c>
      <c r="F416" s="1">
        <v>200</v>
      </c>
      <c r="G416" s="1">
        <v>1</v>
      </c>
      <c r="H416" s="1" t="s">
        <v>91</v>
      </c>
      <c r="I416" s="1" t="s">
        <v>79</v>
      </c>
      <c r="J416" s="1" t="s">
        <v>84</v>
      </c>
      <c r="K416" s="1" t="s">
        <v>74</v>
      </c>
      <c r="L416" s="1" t="s">
        <v>72</v>
      </c>
      <c r="M416" s="1" t="s">
        <v>75</v>
      </c>
      <c r="N416" s="1" t="s">
        <v>76</v>
      </c>
      <c r="O416" s="1" t="s">
        <v>77</v>
      </c>
      <c r="P416" s="1" t="s">
        <v>27</v>
      </c>
      <c r="Q416" s="1" t="s">
        <v>86</v>
      </c>
      <c r="R416" s="1" t="s">
        <v>94</v>
      </c>
      <c r="S416" s="1" t="s">
        <v>87</v>
      </c>
      <c r="T416" s="1" t="s">
        <v>88</v>
      </c>
      <c r="X416" s="1" t="s">
        <v>73</v>
      </c>
      <c r="Z416" s="1" t="s">
        <v>70</v>
      </c>
      <c r="AA416" s="1" t="s">
        <v>95</v>
      </c>
      <c r="AB416" s="1">
        <v>5</v>
      </c>
      <c r="AC416" s="1">
        <v>748801.73</v>
      </c>
      <c r="AD416" s="1">
        <v>8930546.9199999999</v>
      </c>
      <c r="AE416" s="1">
        <v>210.16</v>
      </c>
      <c r="AF416" s="1">
        <v>748801.73</v>
      </c>
      <c r="AG416" s="1">
        <v>8930546.9199999999</v>
      </c>
      <c r="AH416" s="1">
        <v>199.4</v>
      </c>
      <c r="AI416" s="1">
        <v>10.76</v>
      </c>
      <c r="AJ416" s="1">
        <v>0.6</v>
      </c>
      <c r="AK416" s="1">
        <v>2.97</v>
      </c>
      <c r="AL416" s="1">
        <v>2.58</v>
      </c>
      <c r="AM416" s="1">
        <v>0</v>
      </c>
      <c r="AN416" s="1">
        <v>0</v>
      </c>
      <c r="AO416" s="1">
        <v>279.95422539999998</v>
      </c>
      <c r="AP416" s="1">
        <v>3.23</v>
      </c>
      <c r="AQ416" s="1">
        <v>0.3</v>
      </c>
      <c r="AR416" s="1">
        <v>0.04</v>
      </c>
      <c r="AS416" s="1">
        <v>0.05</v>
      </c>
      <c r="AT416" s="1">
        <v>14.89</v>
      </c>
      <c r="AU416" s="1">
        <v>5.15</v>
      </c>
      <c r="AV416" s="1">
        <v>0.25</v>
      </c>
      <c r="AW416" s="1">
        <v>1.2</v>
      </c>
      <c r="AX416" s="1">
        <v>7.69</v>
      </c>
      <c r="AY416" s="1">
        <v>0</v>
      </c>
      <c r="AZ416" s="1">
        <v>105.706</v>
      </c>
      <c r="BA416" s="1">
        <v>0</v>
      </c>
      <c r="BB416" s="1">
        <v>0</v>
      </c>
      <c r="BC416" s="1">
        <v>0</v>
      </c>
      <c r="BD416" s="1">
        <v>0</v>
      </c>
    </row>
    <row r="417" spans="1:56">
      <c r="A417" s="18">
        <v>46192</v>
      </c>
      <c r="B417" s="1">
        <v>416</v>
      </c>
      <c r="C417" s="1" t="s">
        <v>89</v>
      </c>
      <c r="D417" s="1" t="s">
        <v>90</v>
      </c>
      <c r="E417" s="1">
        <v>2</v>
      </c>
      <c r="F417" s="1">
        <v>200</v>
      </c>
      <c r="G417" s="1">
        <v>1</v>
      </c>
      <c r="H417" s="1" t="s">
        <v>91</v>
      </c>
      <c r="I417" s="1" t="s">
        <v>79</v>
      </c>
      <c r="J417" s="1" t="s">
        <v>84</v>
      </c>
      <c r="K417" s="1" t="s">
        <v>74</v>
      </c>
      <c r="L417" s="1" t="s">
        <v>72</v>
      </c>
      <c r="M417" s="1" t="s">
        <v>75</v>
      </c>
      <c r="N417" s="1" t="s">
        <v>76</v>
      </c>
      <c r="O417" s="1" t="s">
        <v>77</v>
      </c>
      <c r="P417" s="1" t="s">
        <v>27</v>
      </c>
      <c r="Q417" s="1" t="s">
        <v>86</v>
      </c>
      <c r="R417" s="1" t="s">
        <v>94</v>
      </c>
      <c r="S417" s="1" t="s">
        <v>87</v>
      </c>
      <c r="T417" s="1" t="s">
        <v>88</v>
      </c>
      <c r="X417" s="1" t="s">
        <v>73</v>
      </c>
      <c r="Z417" s="1" t="s">
        <v>70</v>
      </c>
      <c r="AA417" s="1" t="s">
        <v>95</v>
      </c>
      <c r="AB417" s="1">
        <v>5</v>
      </c>
      <c r="AC417" s="1">
        <v>748803.33</v>
      </c>
      <c r="AD417" s="1">
        <v>8930544.4199999999</v>
      </c>
      <c r="AE417" s="1">
        <v>210.45</v>
      </c>
      <c r="AF417" s="1">
        <v>748803.33</v>
      </c>
      <c r="AG417" s="1">
        <v>8930544.4199999999</v>
      </c>
      <c r="AH417" s="1">
        <v>199.4</v>
      </c>
      <c r="AI417" s="1">
        <v>11.05</v>
      </c>
      <c r="AJ417" s="1">
        <v>0.6</v>
      </c>
      <c r="AK417" s="1">
        <v>2.97</v>
      </c>
      <c r="AL417" s="1">
        <v>2.58</v>
      </c>
      <c r="AM417" s="1">
        <v>0</v>
      </c>
      <c r="AN417" s="1">
        <v>0</v>
      </c>
      <c r="AO417" s="1">
        <v>279.95422539999998</v>
      </c>
      <c r="AP417" s="1">
        <v>3.23</v>
      </c>
      <c r="AQ417" s="1">
        <v>0.3</v>
      </c>
      <c r="AR417" s="1">
        <v>0.04</v>
      </c>
      <c r="AS417" s="1">
        <v>0.05</v>
      </c>
      <c r="AT417" s="1">
        <v>14.66</v>
      </c>
      <c r="AU417" s="1">
        <v>5.1100000000000003</v>
      </c>
      <c r="AV417" s="1">
        <v>0.25</v>
      </c>
      <c r="AW417" s="1">
        <v>1.1599999999999999</v>
      </c>
      <c r="AX417" s="1">
        <v>7.48</v>
      </c>
      <c r="AY417" s="1">
        <v>0</v>
      </c>
      <c r="AZ417" s="1">
        <v>109.928</v>
      </c>
      <c r="BA417" s="1">
        <v>0</v>
      </c>
      <c r="BB417" s="1">
        <v>0</v>
      </c>
      <c r="BC417" s="1">
        <v>0</v>
      </c>
      <c r="BD417" s="1">
        <v>0</v>
      </c>
    </row>
    <row r="418" spans="1:56">
      <c r="A418" s="18">
        <v>46192</v>
      </c>
      <c r="B418" s="1">
        <v>417</v>
      </c>
      <c r="C418" s="1" t="s">
        <v>89</v>
      </c>
      <c r="D418" s="1" t="s">
        <v>90</v>
      </c>
      <c r="E418" s="1">
        <v>2</v>
      </c>
      <c r="F418" s="1">
        <v>200</v>
      </c>
      <c r="G418" s="1">
        <v>1</v>
      </c>
      <c r="H418" s="1" t="s">
        <v>91</v>
      </c>
      <c r="I418" s="1" t="s">
        <v>79</v>
      </c>
      <c r="J418" s="1" t="s">
        <v>84</v>
      </c>
      <c r="K418" s="1" t="s">
        <v>74</v>
      </c>
      <c r="L418" s="1" t="s">
        <v>72</v>
      </c>
      <c r="M418" s="1" t="s">
        <v>75</v>
      </c>
      <c r="N418" s="1" t="s">
        <v>76</v>
      </c>
      <c r="O418" s="1" t="s">
        <v>77</v>
      </c>
      <c r="P418" s="1" t="s">
        <v>27</v>
      </c>
      <c r="Q418" s="1" t="s">
        <v>86</v>
      </c>
      <c r="R418" s="1" t="s">
        <v>94</v>
      </c>
      <c r="S418" s="1" t="s">
        <v>87</v>
      </c>
      <c r="T418" s="1" t="s">
        <v>88</v>
      </c>
      <c r="X418" s="1" t="s">
        <v>73</v>
      </c>
      <c r="Z418" s="1" t="s">
        <v>70</v>
      </c>
      <c r="AA418" s="1" t="s">
        <v>95</v>
      </c>
      <c r="AB418" s="1">
        <v>5</v>
      </c>
      <c r="AC418" s="1">
        <v>748804.93</v>
      </c>
      <c r="AD418" s="1">
        <v>8930541.9199999999</v>
      </c>
      <c r="AE418" s="1">
        <v>210.57</v>
      </c>
      <c r="AF418" s="1">
        <v>748804.93</v>
      </c>
      <c r="AG418" s="1">
        <v>8930541.9199999999</v>
      </c>
      <c r="AH418" s="1">
        <v>199.4</v>
      </c>
      <c r="AI418" s="1">
        <v>11.17</v>
      </c>
      <c r="AJ418" s="1">
        <v>0.6</v>
      </c>
      <c r="AK418" s="1">
        <v>2.97</v>
      </c>
      <c r="AL418" s="1">
        <v>2.58</v>
      </c>
      <c r="AM418" s="1">
        <v>0</v>
      </c>
      <c r="AN418" s="1">
        <v>0</v>
      </c>
      <c r="AO418" s="1">
        <v>279.95422539999998</v>
      </c>
      <c r="AP418" s="1">
        <v>3.23</v>
      </c>
      <c r="AQ418" s="1">
        <v>0.31</v>
      </c>
      <c r="AR418" s="1">
        <v>0.04</v>
      </c>
      <c r="AS418" s="1">
        <v>0.05</v>
      </c>
      <c r="AT418" s="1">
        <v>14.59</v>
      </c>
      <c r="AU418" s="1">
        <v>5.08</v>
      </c>
      <c r="AV418" s="1">
        <v>0.25</v>
      </c>
      <c r="AW418" s="1">
        <v>1.17</v>
      </c>
      <c r="AX418" s="1">
        <v>7.52</v>
      </c>
      <c r="AY418" s="1">
        <v>0</v>
      </c>
      <c r="AZ418" s="1">
        <v>111.675</v>
      </c>
      <c r="BA418" s="1">
        <v>0</v>
      </c>
      <c r="BB418" s="1">
        <v>0</v>
      </c>
      <c r="BC418" s="1">
        <v>0</v>
      </c>
      <c r="BD418" s="1">
        <v>0</v>
      </c>
    </row>
    <row r="419" spans="1:56">
      <c r="A419" s="18">
        <v>46192</v>
      </c>
      <c r="B419" s="1">
        <v>418</v>
      </c>
      <c r="C419" s="1" t="s">
        <v>89</v>
      </c>
      <c r="D419" s="1" t="s">
        <v>90</v>
      </c>
      <c r="E419" s="1">
        <v>2</v>
      </c>
      <c r="F419" s="1">
        <v>200</v>
      </c>
      <c r="G419" s="1">
        <v>1</v>
      </c>
      <c r="H419" s="1" t="s">
        <v>91</v>
      </c>
      <c r="I419" s="1" t="s">
        <v>79</v>
      </c>
      <c r="J419" s="1" t="s">
        <v>80</v>
      </c>
      <c r="K419" s="1" t="s">
        <v>74</v>
      </c>
      <c r="L419" s="1" t="s">
        <v>72</v>
      </c>
      <c r="M419" s="1" t="s">
        <v>75</v>
      </c>
      <c r="N419" s="1" t="s">
        <v>76</v>
      </c>
      <c r="O419" s="1" t="s">
        <v>77</v>
      </c>
      <c r="P419" s="1" t="s">
        <v>27</v>
      </c>
      <c r="Q419" s="1" t="s">
        <v>86</v>
      </c>
      <c r="R419" s="1" t="s">
        <v>94</v>
      </c>
      <c r="S419" s="1" t="s">
        <v>87</v>
      </c>
      <c r="T419" s="1" t="s">
        <v>88</v>
      </c>
      <c r="X419" s="1" t="s">
        <v>73</v>
      </c>
      <c r="Z419" s="1" t="s">
        <v>70</v>
      </c>
      <c r="AA419" s="1" t="s">
        <v>95</v>
      </c>
      <c r="AB419" s="1">
        <v>5</v>
      </c>
      <c r="AC419" s="1">
        <v>748806.54</v>
      </c>
      <c r="AD419" s="1">
        <v>8930539.4199999999</v>
      </c>
      <c r="AE419" s="1">
        <v>210.51</v>
      </c>
      <c r="AF419" s="1">
        <v>748806.54</v>
      </c>
      <c r="AG419" s="1">
        <v>8930539.4199999999</v>
      </c>
      <c r="AH419" s="1">
        <v>199.4</v>
      </c>
      <c r="AI419" s="1">
        <v>11.11</v>
      </c>
      <c r="AJ419" s="1">
        <v>0.6</v>
      </c>
      <c r="AK419" s="1">
        <v>2.97</v>
      </c>
      <c r="AL419" s="1">
        <v>2.58</v>
      </c>
      <c r="AM419" s="1">
        <v>0</v>
      </c>
      <c r="AN419" s="1">
        <v>0</v>
      </c>
      <c r="AO419" s="1">
        <v>279.95422539999998</v>
      </c>
      <c r="AP419" s="1">
        <v>3.17</v>
      </c>
      <c r="AQ419" s="1">
        <v>0.49</v>
      </c>
      <c r="AR419" s="1">
        <v>0.06</v>
      </c>
      <c r="AS419" s="1">
        <v>7.0000000000000007E-2</v>
      </c>
      <c r="AT419" s="1">
        <v>15.17</v>
      </c>
      <c r="AU419" s="1">
        <v>5.61</v>
      </c>
      <c r="AV419" s="1">
        <v>0.39</v>
      </c>
      <c r="AW419" s="1">
        <v>1.23</v>
      </c>
      <c r="AX419" s="1">
        <v>7.25</v>
      </c>
      <c r="AY419" s="1">
        <v>0</v>
      </c>
      <c r="AZ419" s="1">
        <v>110.80200000000001</v>
      </c>
      <c r="BA419" s="1">
        <v>0</v>
      </c>
      <c r="BB419" s="1">
        <v>0</v>
      </c>
      <c r="BC419" s="1">
        <v>0</v>
      </c>
      <c r="BD419" s="1">
        <v>0</v>
      </c>
    </row>
    <row r="420" spans="1:56">
      <c r="A420" s="18">
        <v>46192</v>
      </c>
      <c r="B420" s="1">
        <v>419</v>
      </c>
      <c r="C420" s="1" t="s">
        <v>89</v>
      </c>
      <c r="D420" s="1" t="s">
        <v>90</v>
      </c>
      <c r="E420" s="1">
        <v>2</v>
      </c>
      <c r="F420" s="1">
        <v>200</v>
      </c>
      <c r="G420" s="1">
        <v>1</v>
      </c>
      <c r="H420" s="1" t="s">
        <v>91</v>
      </c>
      <c r="I420" s="1" t="s">
        <v>79</v>
      </c>
      <c r="J420" s="1" t="s">
        <v>80</v>
      </c>
      <c r="K420" s="1" t="s">
        <v>74</v>
      </c>
      <c r="L420" s="1" t="s">
        <v>72</v>
      </c>
      <c r="M420" s="1" t="s">
        <v>75</v>
      </c>
      <c r="N420" s="1" t="s">
        <v>76</v>
      </c>
      <c r="O420" s="1" t="s">
        <v>77</v>
      </c>
      <c r="P420" s="1" t="s">
        <v>27</v>
      </c>
      <c r="Q420" s="1" t="s">
        <v>86</v>
      </c>
      <c r="R420" s="1" t="s">
        <v>94</v>
      </c>
      <c r="S420" s="1" t="s">
        <v>87</v>
      </c>
      <c r="T420" s="1" t="s">
        <v>88</v>
      </c>
      <c r="X420" s="1" t="s">
        <v>73</v>
      </c>
      <c r="Z420" s="1" t="s">
        <v>70</v>
      </c>
      <c r="AA420" s="1" t="s">
        <v>95</v>
      </c>
      <c r="AB420" s="1">
        <v>5</v>
      </c>
      <c r="AC420" s="1">
        <v>748808.14</v>
      </c>
      <c r="AD420" s="1">
        <v>8930536.9199999999</v>
      </c>
      <c r="AE420" s="1">
        <v>210.49</v>
      </c>
      <c r="AF420" s="1">
        <v>748808.14</v>
      </c>
      <c r="AG420" s="1">
        <v>8930536.9199999999</v>
      </c>
      <c r="AH420" s="1">
        <v>199.4</v>
      </c>
      <c r="AI420" s="1">
        <v>11.09</v>
      </c>
      <c r="AJ420" s="1">
        <v>0.6</v>
      </c>
      <c r="AK420" s="1">
        <v>2.97</v>
      </c>
      <c r="AL420" s="1">
        <v>2.58</v>
      </c>
      <c r="AM420" s="1">
        <v>0</v>
      </c>
      <c r="AN420" s="1">
        <v>0</v>
      </c>
      <c r="AO420" s="1">
        <v>279.95422539999998</v>
      </c>
      <c r="AP420" s="1">
        <v>3.14</v>
      </c>
      <c r="AQ420" s="1">
        <v>0.57999999999999996</v>
      </c>
      <c r="AR420" s="1">
        <v>7.0000000000000007E-2</v>
      </c>
      <c r="AS420" s="1">
        <v>7.0000000000000007E-2</v>
      </c>
      <c r="AT420" s="1">
        <v>15.6</v>
      </c>
      <c r="AU420" s="1">
        <v>5.93</v>
      </c>
      <c r="AV420" s="1">
        <v>0.45</v>
      </c>
      <c r="AW420" s="1">
        <v>1.28</v>
      </c>
      <c r="AX420" s="1">
        <v>7.21</v>
      </c>
      <c r="AY420" s="1">
        <v>0</v>
      </c>
      <c r="AZ420" s="1">
        <v>110.51</v>
      </c>
      <c r="BA420" s="1">
        <v>0</v>
      </c>
      <c r="BB420" s="1">
        <v>0</v>
      </c>
      <c r="BC420" s="1">
        <v>0</v>
      </c>
      <c r="BD420" s="1">
        <v>0</v>
      </c>
    </row>
    <row r="421" spans="1:56">
      <c r="A421" s="18">
        <v>46192</v>
      </c>
      <c r="B421" s="1">
        <v>420</v>
      </c>
      <c r="C421" s="1" t="s">
        <v>89</v>
      </c>
      <c r="D421" s="1" t="s">
        <v>90</v>
      </c>
      <c r="E421" s="1">
        <v>2</v>
      </c>
      <c r="F421" s="1">
        <v>200</v>
      </c>
      <c r="G421" s="1">
        <v>1</v>
      </c>
      <c r="H421" s="1" t="s">
        <v>91</v>
      </c>
      <c r="I421" s="1" t="s">
        <v>79</v>
      </c>
      <c r="J421" s="1" t="s">
        <v>80</v>
      </c>
      <c r="K421" s="1" t="s">
        <v>74</v>
      </c>
      <c r="L421" s="1" t="s">
        <v>72</v>
      </c>
      <c r="M421" s="1" t="s">
        <v>75</v>
      </c>
      <c r="N421" s="1" t="s">
        <v>76</v>
      </c>
      <c r="O421" s="1" t="s">
        <v>77</v>
      </c>
      <c r="P421" s="1" t="s">
        <v>27</v>
      </c>
      <c r="Q421" s="1" t="s">
        <v>86</v>
      </c>
      <c r="R421" s="1" t="s">
        <v>94</v>
      </c>
      <c r="S421" s="1" t="s">
        <v>87</v>
      </c>
      <c r="T421" s="1" t="s">
        <v>88</v>
      </c>
      <c r="X421" s="1" t="s">
        <v>73</v>
      </c>
      <c r="Z421" s="1" t="s">
        <v>70</v>
      </c>
      <c r="AA421" s="1" t="s">
        <v>95</v>
      </c>
      <c r="AB421" s="1">
        <v>5</v>
      </c>
      <c r="AC421" s="1">
        <v>748809.74</v>
      </c>
      <c r="AD421" s="1">
        <v>8930534.4199999999</v>
      </c>
      <c r="AE421" s="1">
        <v>211.09</v>
      </c>
      <c r="AF421" s="1">
        <v>748809.74</v>
      </c>
      <c r="AG421" s="1">
        <v>8930534.4199999999</v>
      </c>
      <c r="AH421" s="1">
        <v>199.4</v>
      </c>
      <c r="AI421" s="1">
        <v>11.69</v>
      </c>
      <c r="AJ421" s="1">
        <v>0.6</v>
      </c>
      <c r="AK421" s="1">
        <v>2.97</v>
      </c>
      <c r="AL421" s="1">
        <v>2.58</v>
      </c>
      <c r="AM421" s="1">
        <v>0</v>
      </c>
      <c r="AN421" s="1">
        <v>0</v>
      </c>
      <c r="AO421" s="1">
        <v>279.95422539999998</v>
      </c>
      <c r="AP421" s="1">
        <v>3.16</v>
      </c>
      <c r="AQ421" s="1">
        <v>0.57999999999999996</v>
      </c>
      <c r="AR421" s="1">
        <v>0.06</v>
      </c>
      <c r="AS421" s="1">
        <v>7.0000000000000007E-2</v>
      </c>
      <c r="AT421" s="1">
        <v>15.25</v>
      </c>
      <c r="AU421" s="1">
        <v>5.78</v>
      </c>
      <c r="AV421" s="1">
        <v>0.41</v>
      </c>
      <c r="AW421" s="1">
        <v>1.42</v>
      </c>
      <c r="AX421" s="1">
        <v>7.28</v>
      </c>
      <c r="AY421" s="1">
        <v>0</v>
      </c>
      <c r="AZ421" s="1">
        <v>119.246</v>
      </c>
      <c r="BA421" s="1">
        <v>0</v>
      </c>
      <c r="BB421" s="1">
        <v>0</v>
      </c>
      <c r="BC421" s="1">
        <v>0</v>
      </c>
      <c r="BD421" s="1">
        <v>0</v>
      </c>
    </row>
    <row r="422" spans="1:56">
      <c r="A422" s="18">
        <v>46192</v>
      </c>
      <c r="B422" s="1">
        <v>421</v>
      </c>
      <c r="C422" s="1" t="s">
        <v>89</v>
      </c>
      <c r="D422" s="1" t="s">
        <v>90</v>
      </c>
      <c r="E422" s="1">
        <v>2</v>
      </c>
      <c r="F422" s="1">
        <v>200</v>
      </c>
      <c r="G422" s="1">
        <v>1</v>
      </c>
      <c r="H422" s="1" t="s">
        <v>91</v>
      </c>
      <c r="I422" s="1" t="s">
        <v>79</v>
      </c>
      <c r="J422" s="1" t="s">
        <v>80</v>
      </c>
      <c r="K422" s="1" t="s">
        <v>74</v>
      </c>
      <c r="L422" s="1" t="s">
        <v>72</v>
      </c>
      <c r="M422" s="1" t="s">
        <v>75</v>
      </c>
      <c r="N422" s="1" t="s">
        <v>76</v>
      </c>
      <c r="O422" s="1" t="s">
        <v>77</v>
      </c>
      <c r="P422" s="1" t="s">
        <v>27</v>
      </c>
      <c r="Q422" s="1" t="s">
        <v>86</v>
      </c>
      <c r="R422" s="1" t="s">
        <v>94</v>
      </c>
      <c r="S422" s="1" t="s">
        <v>87</v>
      </c>
      <c r="T422" s="1" t="s">
        <v>88</v>
      </c>
      <c r="X422" s="1" t="s">
        <v>73</v>
      </c>
      <c r="Z422" s="1" t="s">
        <v>70</v>
      </c>
      <c r="AA422" s="1" t="s">
        <v>95</v>
      </c>
      <c r="AB422" s="1">
        <v>5</v>
      </c>
      <c r="AC422" s="1">
        <v>748811.35</v>
      </c>
      <c r="AD422" s="1">
        <v>8930531.9199999999</v>
      </c>
      <c r="AE422" s="1">
        <v>210.74</v>
      </c>
      <c r="AF422" s="1">
        <v>748811.35</v>
      </c>
      <c r="AG422" s="1">
        <v>8930531.9199999999</v>
      </c>
      <c r="AH422" s="1">
        <v>199.4</v>
      </c>
      <c r="AI422" s="1">
        <v>11.34</v>
      </c>
      <c r="AJ422" s="1">
        <v>0.6</v>
      </c>
      <c r="AK422" s="1">
        <v>2.97</v>
      </c>
      <c r="AL422" s="1">
        <v>2.58</v>
      </c>
      <c r="AM422" s="1">
        <v>0</v>
      </c>
      <c r="AN422" s="1">
        <v>0</v>
      </c>
      <c r="AO422" s="1">
        <v>279.95422539999998</v>
      </c>
      <c r="AP422" s="1">
        <v>3.19</v>
      </c>
      <c r="AQ422" s="1">
        <v>0.56000000000000005</v>
      </c>
      <c r="AR422" s="1">
        <v>0.06</v>
      </c>
      <c r="AS422" s="1">
        <v>7.0000000000000007E-2</v>
      </c>
      <c r="AT422" s="1">
        <v>14.73</v>
      </c>
      <c r="AU422" s="1">
        <v>5.61</v>
      </c>
      <c r="AV422" s="1">
        <v>0.35</v>
      </c>
      <c r="AW422" s="1">
        <v>1.47</v>
      </c>
      <c r="AX422" s="1">
        <v>6.89</v>
      </c>
      <c r="AY422" s="1">
        <v>0</v>
      </c>
      <c r="AZ422" s="1">
        <v>114.15</v>
      </c>
      <c r="BA422" s="1">
        <v>0</v>
      </c>
      <c r="BB422" s="1">
        <v>0</v>
      </c>
      <c r="BC422" s="1">
        <v>0</v>
      </c>
      <c r="BD422" s="1">
        <v>0</v>
      </c>
    </row>
    <row r="423" spans="1:56">
      <c r="A423" s="18">
        <v>46192</v>
      </c>
      <c r="B423" s="1">
        <v>422</v>
      </c>
      <c r="C423" s="1" t="s">
        <v>89</v>
      </c>
      <c r="D423" s="1" t="s">
        <v>90</v>
      </c>
      <c r="E423" s="1">
        <v>2</v>
      </c>
      <c r="F423" s="1">
        <v>200</v>
      </c>
      <c r="G423" s="1">
        <v>1</v>
      </c>
      <c r="H423" s="1" t="s">
        <v>91</v>
      </c>
      <c r="I423" s="1" t="s">
        <v>79</v>
      </c>
      <c r="J423" s="1" t="s">
        <v>81</v>
      </c>
      <c r="K423" s="1" t="s">
        <v>74</v>
      </c>
      <c r="L423" s="1" t="s">
        <v>72</v>
      </c>
      <c r="M423" s="1" t="s">
        <v>75</v>
      </c>
      <c r="N423" s="1" t="s">
        <v>82</v>
      </c>
      <c r="O423" s="1" t="s">
        <v>77</v>
      </c>
      <c r="P423" s="1" t="s">
        <v>27</v>
      </c>
      <c r="Q423" s="1" t="s">
        <v>86</v>
      </c>
      <c r="R423" s="1" t="s">
        <v>94</v>
      </c>
      <c r="S423" s="1" t="s">
        <v>87</v>
      </c>
      <c r="T423" s="1" t="s">
        <v>88</v>
      </c>
      <c r="X423" s="1" t="s">
        <v>73</v>
      </c>
      <c r="Z423" s="1" t="s">
        <v>70</v>
      </c>
      <c r="AA423" s="1" t="s">
        <v>95</v>
      </c>
      <c r="AB423" s="1">
        <v>5</v>
      </c>
      <c r="AC423" s="1">
        <v>748812.95</v>
      </c>
      <c r="AD423" s="1">
        <v>8930529.4199999999</v>
      </c>
      <c r="AE423" s="1">
        <v>210.53</v>
      </c>
      <c r="AF423" s="1">
        <v>748812.95</v>
      </c>
      <c r="AG423" s="1">
        <v>8930529.4199999999</v>
      </c>
      <c r="AH423" s="1">
        <v>199.4</v>
      </c>
      <c r="AI423" s="1">
        <v>11.13</v>
      </c>
      <c r="AJ423" s="1">
        <v>0.6</v>
      </c>
      <c r="AK423" s="1">
        <v>2.97</v>
      </c>
      <c r="AL423" s="1">
        <v>2.58</v>
      </c>
      <c r="AM423" s="1">
        <v>0</v>
      </c>
      <c r="AN423" s="1">
        <v>0</v>
      </c>
      <c r="AO423" s="1">
        <v>279.95422539999998</v>
      </c>
      <c r="AP423" s="1">
        <v>3.2</v>
      </c>
      <c r="AQ423" s="1">
        <v>0.57999999999999996</v>
      </c>
      <c r="AR423" s="1">
        <v>0.06</v>
      </c>
      <c r="AS423" s="1">
        <v>7.0000000000000007E-2</v>
      </c>
      <c r="AT423" s="1">
        <v>14.92</v>
      </c>
      <c r="AU423" s="1">
        <v>5.59</v>
      </c>
      <c r="AV423" s="1">
        <v>0.26</v>
      </c>
      <c r="AW423" s="1">
        <v>1.29</v>
      </c>
      <c r="AX423" s="1">
        <v>5.14</v>
      </c>
      <c r="AY423" s="1">
        <v>0</v>
      </c>
      <c r="AZ423" s="1">
        <v>111.093</v>
      </c>
      <c r="BA423" s="1">
        <v>0</v>
      </c>
      <c r="BB423" s="1">
        <v>0</v>
      </c>
      <c r="BC423" s="1">
        <v>0</v>
      </c>
      <c r="BD423" s="1">
        <v>0</v>
      </c>
    </row>
    <row r="424" spans="1:56">
      <c r="A424" s="18">
        <v>46192</v>
      </c>
      <c r="B424" s="1">
        <v>423</v>
      </c>
      <c r="C424" s="1" t="s">
        <v>89</v>
      </c>
      <c r="D424" s="1" t="s">
        <v>90</v>
      </c>
      <c r="E424" s="1">
        <v>2</v>
      </c>
      <c r="F424" s="1">
        <v>200</v>
      </c>
      <c r="G424" s="1">
        <v>1</v>
      </c>
      <c r="H424" s="1" t="s">
        <v>91</v>
      </c>
      <c r="I424" s="1" t="s">
        <v>79</v>
      </c>
      <c r="J424" s="1" t="s">
        <v>84</v>
      </c>
      <c r="K424" s="1" t="s">
        <v>74</v>
      </c>
      <c r="L424" s="1" t="s">
        <v>72</v>
      </c>
      <c r="M424" s="1" t="s">
        <v>75</v>
      </c>
      <c r="N424" s="1" t="s">
        <v>82</v>
      </c>
      <c r="O424" s="1" t="s">
        <v>77</v>
      </c>
      <c r="P424" s="1" t="s">
        <v>27</v>
      </c>
      <c r="Q424" s="1" t="s">
        <v>86</v>
      </c>
      <c r="R424" s="1" t="s">
        <v>94</v>
      </c>
      <c r="S424" s="1" t="s">
        <v>87</v>
      </c>
      <c r="T424" s="1" t="s">
        <v>88</v>
      </c>
      <c r="X424" s="1" t="s">
        <v>73</v>
      </c>
      <c r="Z424" s="1" t="s">
        <v>70</v>
      </c>
      <c r="AA424" s="1" t="s">
        <v>95</v>
      </c>
      <c r="AB424" s="1">
        <v>5</v>
      </c>
      <c r="AC424" s="1">
        <v>748814.55</v>
      </c>
      <c r="AD424" s="1">
        <v>8930526.9199999999</v>
      </c>
      <c r="AE424" s="1">
        <v>210.31</v>
      </c>
      <c r="AF424" s="1">
        <v>748814.55</v>
      </c>
      <c r="AG424" s="1">
        <v>8930526.9199999999</v>
      </c>
      <c r="AH424" s="1">
        <v>199.4</v>
      </c>
      <c r="AI424" s="1">
        <v>10.91</v>
      </c>
      <c r="AJ424" s="1">
        <v>0.6</v>
      </c>
      <c r="AK424" s="1">
        <v>2.97</v>
      </c>
      <c r="AL424" s="1">
        <v>2.58</v>
      </c>
      <c r="AM424" s="1">
        <v>0</v>
      </c>
      <c r="AN424" s="1">
        <v>0</v>
      </c>
      <c r="AO424" s="1">
        <v>279.95422539999998</v>
      </c>
      <c r="AP424" s="1">
        <v>3.21</v>
      </c>
      <c r="AQ424" s="1">
        <v>0.49</v>
      </c>
      <c r="AR424" s="1">
        <v>0.06</v>
      </c>
      <c r="AS424" s="1">
        <v>0.05</v>
      </c>
      <c r="AT424" s="1">
        <v>13.8</v>
      </c>
      <c r="AU424" s="1">
        <v>5.48</v>
      </c>
      <c r="AV424" s="1">
        <v>0.15</v>
      </c>
      <c r="AW424" s="1">
        <v>0.75</v>
      </c>
      <c r="AX424" s="1">
        <v>2.94</v>
      </c>
      <c r="AY424" s="1">
        <v>0</v>
      </c>
      <c r="AZ424" s="1">
        <v>107.89</v>
      </c>
      <c r="BA424" s="1">
        <v>0</v>
      </c>
      <c r="BB424" s="1">
        <v>0</v>
      </c>
      <c r="BC424" s="1">
        <v>0</v>
      </c>
      <c r="BD424" s="1">
        <v>0</v>
      </c>
    </row>
    <row r="425" spans="1:56">
      <c r="A425" s="18">
        <v>46192</v>
      </c>
      <c r="B425" s="1">
        <v>424</v>
      </c>
      <c r="C425" s="1" t="s">
        <v>89</v>
      </c>
      <c r="D425" s="1" t="s">
        <v>90</v>
      </c>
      <c r="E425" s="1">
        <v>2</v>
      </c>
      <c r="F425" s="1">
        <v>200</v>
      </c>
      <c r="G425" s="1">
        <v>1</v>
      </c>
      <c r="H425" s="1" t="s">
        <v>91</v>
      </c>
      <c r="I425" s="1" t="s">
        <v>79</v>
      </c>
      <c r="J425" s="1" t="s">
        <v>84</v>
      </c>
      <c r="K425" s="1" t="s">
        <v>74</v>
      </c>
      <c r="L425" s="1" t="s">
        <v>72</v>
      </c>
      <c r="M425" s="1" t="s">
        <v>75</v>
      </c>
      <c r="N425" s="1" t="s">
        <v>82</v>
      </c>
      <c r="O425" s="1" t="s">
        <v>77</v>
      </c>
      <c r="P425" s="1" t="s">
        <v>27</v>
      </c>
      <c r="Q425" s="1" t="s">
        <v>86</v>
      </c>
      <c r="R425" s="1" t="s">
        <v>94</v>
      </c>
      <c r="S425" s="1" t="s">
        <v>87</v>
      </c>
      <c r="T425" s="1" t="s">
        <v>88</v>
      </c>
      <c r="X425" s="1" t="s">
        <v>73</v>
      </c>
      <c r="Z425" s="1" t="s">
        <v>70</v>
      </c>
      <c r="AA425" s="1" t="s">
        <v>95</v>
      </c>
      <c r="AB425" s="1">
        <v>5</v>
      </c>
      <c r="AC425" s="1">
        <v>748816.15</v>
      </c>
      <c r="AD425" s="1">
        <v>8930524.4199999999</v>
      </c>
      <c r="AE425" s="1">
        <v>210.17</v>
      </c>
      <c r="AF425" s="1">
        <v>748816.15</v>
      </c>
      <c r="AG425" s="1">
        <v>8930524.4199999999</v>
      </c>
      <c r="AH425" s="1">
        <v>199.4</v>
      </c>
      <c r="AI425" s="1">
        <v>10.77</v>
      </c>
      <c r="AJ425" s="1">
        <v>0.6</v>
      </c>
      <c r="AK425" s="1">
        <v>2.97</v>
      </c>
      <c r="AL425" s="1">
        <v>2.58</v>
      </c>
      <c r="AM425" s="1">
        <v>0</v>
      </c>
      <c r="AN425" s="1">
        <v>0</v>
      </c>
      <c r="AO425" s="1">
        <v>279.95422539999998</v>
      </c>
      <c r="AP425" s="1">
        <v>3.22</v>
      </c>
      <c r="AQ425" s="1">
        <v>0.43</v>
      </c>
      <c r="AR425" s="1">
        <v>0.05</v>
      </c>
      <c r="AS425" s="1">
        <v>0.05</v>
      </c>
      <c r="AT425" s="1">
        <v>13.05</v>
      </c>
      <c r="AU425" s="1">
        <v>5.41</v>
      </c>
      <c r="AV425" s="1">
        <v>0.09</v>
      </c>
      <c r="AW425" s="1">
        <v>0.46</v>
      </c>
      <c r="AX425" s="1">
        <v>1.95</v>
      </c>
      <c r="AY425" s="1">
        <v>0</v>
      </c>
      <c r="AZ425" s="1">
        <v>105.851</v>
      </c>
      <c r="BA425" s="1">
        <v>0</v>
      </c>
      <c r="BB425" s="1">
        <v>0</v>
      </c>
      <c r="BC425" s="1">
        <v>0</v>
      </c>
      <c r="BD425" s="1">
        <v>0</v>
      </c>
    </row>
    <row r="426" spans="1:56">
      <c r="A426" s="18">
        <v>46192</v>
      </c>
      <c r="B426" s="1">
        <v>425</v>
      </c>
      <c r="C426" s="1" t="s">
        <v>89</v>
      </c>
      <c r="D426" s="1" t="s">
        <v>90</v>
      </c>
      <c r="E426" s="1">
        <v>2</v>
      </c>
      <c r="F426" s="1">
        <v>200</v>
      </c>
      <c r="G426" s="1">
        <v>1</v>
      </c>
      <c r="H426" s="1" t="s">
        <v>91</v>
      </c>
      <c r="I426" s="1" t="s">
        <v>79</v>
      </c>
      <c r="J426" s="1" t="s">
        <v>84</v>
      </c>
      <c r="K426" s="1" t="s">
        <v>74</v>
      </c>
      <c r="L426" s="1" t="s">
        <v>72</v>
      </c>
      <c r="M426" s="1" t="s">
        <v>75</v>
      </c>
      <c r="N426" s="1" t="s">
        <v>82</v>
      </c>
      <c r="O426" s="1" t="s">
        <v>77</v>
      </c>
      <c r="P426" s="1" t="s">
        <v>27</v>
      </c>
      <c r="Q426" s="1" t="s">
        <v>86</v>
      </c>
      <c r="R426" s="1" t="s">
        <v>94</v>
      </c>
      <c r="S426" s="1" t="s">
        <v>87</v>
      </c>
      <c r="T426" s="1" t="s">
        <v>88</v>
      </c>
      <c r="X426" s="1" t="s">
        <v>73</v>
      </c>
      <c r="Z426" s="1" t="s">
        <v>70</v>
      </c>
      <c r="AA426" s="1" t="s">
        <v>95</v>
      </c>
      <c r="AB426" s="1">
        <v>5</v>
      </c>
      <c r="AC426" s="1">
        <v>748817.76</v>
      </c>
      <c r="AD426" s="1">
        <v>8930521.9199999999</v>
      </c>
      <c r="AE426" s="1">
        <v>210.43</v>
      </c>
      <c r="AF426" s="1">
        <v>748817.76</v>
      </c>
      <c r="AG426" s="1">
        <v>8930521.9199999999</v>
      </c>
      <c r="AH426" s="1">
        <v>199.4</v>
      </c>
      <c r="AI426" s="1">
        <v>11.03</v>
      </c>
      <c r="AJ426" s="1">
        <v>0.6</v>
      </c>
      <c r="AK426" s="1">
        <v>2.97</v>
      </c>
      <c r="AL426" s="1">
        <v>2.58</v>
      </c>
      <c r="AM426" s="1">
        <v>0</v>
      </c>
      <c r="AN426" s="1">
        <v>0</v>
      </c>
      <c r="AO426" s="1">
        <v>279.95422539999998</v>
      </c>
      <c r="AP426" s="1">
        <v>3.23</v>
      </c>
      <c r="AQ426" s="1">
        <v>0.38</v>
      </c>
      <c r="AR426" s="1">
        <v>0.05</v>
      </c>
      <c r="AS426" s="1">
        <v>0.04</v>
      </c>
      <c r="AT426" s="1">
        <v>12.45</v>
      </c>
      <c r="AU426" s="1">
        <v>5.34</v>
      </c>
      <c r="AV426" s="1">
        <v>0.05</v>
      </c>
      <c r="AW426" s="1">
        <v>0.22</v>
      </c>
      <c r="AX426" s="1">
        <v>1.07</v>
      </c>
      <c r="AY426" s="1">
        <v>0</v>
      </c>
      <c r="AZ426" s="1">
        <v>109.637</v>
      </c>
      <c r="BA426" s="1">
        <v>0</v>
      </c>
      <c r="BB426" s="1">
        <v>0</v>
      </c>
      <c r="BC426" s="1">
        <v>0</v>
      </c>
      <c r="BD426" s="1">
        <v>0</v>
      </c>
    </row>
    <row r="427" spans="1:56">
      <c r="A427" s="18">
        <v>46192</v>
      </c>
      <c r="B427" s="1">
        <v>426</v>
      </c>
      <c r="C427" s="1" t="s">
        <v>89</v>
      </c>
      <c r="D427" s="1" t="s">
        <v>90</v>
      </c>
      <c r="E427" s="1">
        <v>2</v>
      </c>
      <c r="F427" s="1">
        <v>200</v>
      </c>
      <c r="G427" s="1">
        <v>1</v>
      </c>
      <c r="H427" s="1" t="s">
        <v>91</v>
      </c>
      <c r="I427" s="1" t="s">
        <v>79</v>
      </c>
      <c r="J427" s="1" t="s">
        <v>84</v>
      </c>
      <c r="K427" s="1" t="s">
        <v>74</v>
      </c>
      <c r="L427" s="1" t="s">
        <v>72</v>
      </c>
      <c r="M427" s="1" t="s">
        <v>75</v>
      </c>
      <c r="N427" s="1" t="s">
        <v>82</v>
      </c>
      <c r="O427" s="1" t="s">
        <v>77</v>
      </c>
      <c r="P427" s="1" t="s">
        <v>27</v>
      </c>
      <c r="Q427" s="1" t="s">
        <v>86</v>
      </c>
      <c r="R427" s="1" t="s">
        <v>94</v>
      </c>
      <c r="S427" s="1" t="s">
        <v>87</v>
      </c>
      <c r="T427" s="1" t="s">
        <v>88</v>
      </c>
      <c r="X427" s="1" t="s">
        <v>73</v>
      </c>
      <c r="Z427" s="1" t="s">
        <v>70</v>
      </c>
      <c r="AA427" s="1" t="s">
        <v>95</v>
      </c>
      <c r="AB427" s="1">
        <v>5</v>
      </c>
      <c r="AC427" s="1">
        <v>748819.36</v>
      </c>
      <c r="AD427" s="1">
        <v>8930519.4199999999</v>
      </c>
      <c r="AE427" s="1">
        <v>210.47</v>
      </c>
      <c r="AF427" s="1">
        <v>748819.36</v>
      </c>
      <c r="AG427" s="1">
        <v>8930519.4199999999</v>
      </c>
      <c r="AH427" s="1">
        <v>199.4</v>
      </c>
      <c r="AI427" s="1">
        <v>11.07</v>
      </c>
      <c r="AJ427" s="1">
        <v>0.6</v>
      </c>
      <c r="AK427" s="1">
        <v>2.97</v>
      </c>
      <c r="AL427" s="1">
        <v>2.58</v>
      </c>
      <c r="AM427" s="1">
        <v>0</v>
      </c>
      <c r="AN427" s="1">
        <v>0</v>
      </c>
      <c r="AO427" s="1">
        <v>279.95422539999998</v>
      </c>
      <c r="AP427" s="1">
        <v>3.22</v>
      </c>
      <c r="AQ427" s="1">
        <v>0.36</v>
      </c>
      <c r="AR427" s="1">
        <v>0.05</v>
      </c>
      <c r="AS427" s="1">
        <v>0.04</v>
      </c>
      <c r="AT427" s="1">
        <v>12.27</v>
      </c>
      <c r="AU427" s="1">
        <v>5.29</v>
      </c>
      <c r="AV427" s="1">
        <v>0.03</v>
      </c>
      <c r="AW427" s="1">
        <v>0.11</v>
      </c>
      <c r="AX427" s="1">
        <v>0.44</v>
      </c>
      <c r="AY427" s="1">
        <v>0</v>
      </c>
      <c r="AZ427" s="1">
        <v>110.21899999999999</v>
      </c>
      <c r="BA427" s="1">
        <v>0</v>
      </c>
      <c r="BB427" s="1">
        <v>0</v>
      </c>
      <c r="BC427" s="1">
        <v>0</v>
      </c>
      <c r="BD427" s="1">
        <v>0</v>
      </c>
    </row>
    <row r="428" spans="1:56">
      <c r="A428" s="18">
        <v>46192</v>
      </c>
      <c r="B428" s="1">
        <v>427</v>
      </c>
      <c r="C428" s="1" t="s">
        <v>89</v>
      </c>
      <c r="D428" s="1" t="s">
        <v>90</v>
      </c>
      <c r="E428" s="1">
        <v>2</v>
      </c>
      <c r="F428" s="1">
        <v>200</v>
      </c>
      <c r="G428" s="1">
        <v>1</v>
      </c>
      <c r="H428" s="1" t="s">
        <v>91</v>
      </c>
      <c r="I428" s="1" t="s">
        <v>79</v>
      </c>
      <c r="J428" s="1" t="s">
        <v>84</v>
      </c>
      <c r="K428" s="1" t="s">
        <v>74</v>
      </c>
      <c r="L428" s="1" t="s">
        <v>72</v>
      </c>
      <c r="M428" s="1" t="s">
        <v>75</v>
      </c>
      <c r="N428" s="1" t="s">
        <v>76</v>
      </c>
      <c r="O428" s="1" t="s">
        <v>77</v>
      </c>
      <c r="P428" s="1" t="s">
        <v>27</v>
      </c>
      <c r="Q428" s="1" t="s">
        <v>86</v>
      </c>
      <c r="R428" s="1" t="s">
        <v>94</v>
      </c>
      <c r="S428" s="1" t="s">
        <v>87</v>
      </c>
      <c r="T428" s="1" t="s">
        <v>88</v>
      </c>
      <c r="X428" s="1" t="s">
        <v>73</v>
      </c>
      <c r="Z428" s="1" t="s">
        <v>70</v>
      </c>
      <c r="AA428" s="1" t="s">
        <v>95</v>
      </c>
      <c r="AB428" s="1">
        <v>5</v>
      </c>
      <c r="AC428" s="1">
        <v>748820.96</v>
      </c>
      <c r="AD428" s="1">
        <v>8930516.9199999999</v>
      </c>
      <c r="AE428" s="1">
        <v>210.45</v>
      </c>
      <c r="AF428" s="1">
        <v>748820.96</v>
      </c>
      <c r="AG428" s="1">
        <v>8930516.9199999999</v>
      </c>
      <c r="AH428" s="1">
        <v>199.4</v>
      </c>
      <c r="AI428" s="1">
        <v>11.05</v>
      </c>
      <c r="AJ428" s="1">
        <v>0.6</v>
      </c>
      <c r="AK428" s="1">
        <v>2.97</v>
      </c>
      <c r="AL428" s="1">
        <v>2.58</v>
      </c>
      <c r="AM428" s="1">
        <v>0</v>
      </c>
      <c r="AN428" s="1">
        <v>0</v>
      </c>
      <c r="AO428" s="1">
        <v>279.95422539999998</v>
      </c>
      <c r="AP428" s="1">
        <v>3.21</v>
      </c>
      <c r="AQ428" s="1">
        <v>0.37</v>
      </c>
      <c r="AR428" s="1">
        <v>0.05</v>
      </c>
      <c r="AS428" s="1">
        <v>0.03</v>
      </c>
      <c r="AT428" s="1">
        <v>12.21</v>
      </c>
      <c r="AU428" s="1">
        <v>5.29</v>
      </c>
      <c r="AV428" s="1">
        <v>0.02</v>
      </c>
      <c r="AW428" s="1">
        <v>0.08</v>
      </c>
      <c r="AX428" s="1">
        <v>0.21</v>
      </c>
      <c r="AY428" s="1">
        <v>0</v>
      </c>
      <c r="AZ428" s="1">
        <v>109.928</v>
      </c>
      <c r="BA428" s="1">
        <v>0</v>
      </c>
      <c r="BB428" s="1">
        <v>0</v>
      </c>
      <c r="BC428" s="1">
        <v>0</v>
      </c>
      <c r="BD428" s="1">
        <v>0</v>
      </c>
    </row>
    <row r="429" spans="1:56">
      <c r="A429" s="18">
        <v>46192</v>
      </c>
      <c r="B429" s="1">
        <v>428</v>
      </c>
      <c r="C429" s="1" t="s">
        <v>89</v>
      </c>
      <c r="D429" s="1" t="s">
        <v>90</v>
      </c>
      <c r="E429" s="1">
        <v>2</v>
      </c>
      <c r="F429" s="1">
        <v>200</v>
      </c>
      <c r="G429" s="1">
        <v>1</v>
      </c>
      <c r="H429" s="1" t="s">
        <v>91</v>
      </c>
      <c r="I429" s="1" t="s">
        <v>79</v>
      </c>
      <c r="J429" s="1" t="s">
        <v>84</v>
      </c>
      <c r="K429" s="1" t="s">
        <v>74</v>
      </c>
      <c r="L429" s="1" t="s">
        <v>72</v>
      </c>
      <c r="M429" s="1" t="s">
        <v>75</v>
      </c>
      <c r="N429" s="1" t="s">
        <v>76</v>
      </c>
      <c r="O429" s="1" t="s">
        <v>77</v>
      </c>
      <c r="P429" s="1" t="s">
        <v>27</v>
      </c>
      <c r="Q429" s="1" t="s">
        <v>86</v>
      </c>
      <c r="R429" s="1" t="s">
        <v>94</v>
      </c>
      <c r="S429" s="1" t="s">
        <v>87</v>
      </c>
      <c r="T429" s="1" t="s">
        <v>88</v>
      </c>
      <c r="X429" s="1" t="s">
        <v>73</v>
      </c>
      <c r="Z429" s="1" t="s">
        <v>70</v>
      </c>
      <c r="AA429" s="1" t="s">
        <v>95</v>
      </c>
      <c r="AB429" s="1">
        <v>5</v>
      </c>
      <c r="AC429" s="1">
        <v>748822.57</v>
      </c>
      <c r="AD429" s="1">
        <v>8930514.4199999999</v>
      </c>
      <c r="AE429" s="1">
        <v>210.21</v>
      </c>
      <c r="AF429" s="1">
        <v>748822.57</v>
      </c>
      <c r="AG429" s="1">
        <v>8930514.4199999999</v>
      </c>
      <c r="AH429" s="1">
        <v>199.4</v>
      </c>
      <c r="AI429" s="1">
        <v>10.81</v>
      </c>
      <c r="AJ429" s="1">
        <v>0.6</v>
      </c>
      <c r="AK429" s="1">
        <v>2.97</v>
      </c>
      <c r="AL429" s="1">
        <v>2.58</v>
      </c>
      <c r="AM429" s="1">
        <v>0</v>
      </c>
      <c r="AN429" s="1">
        <v>0</v>
      </c>
      <c r="AO429" s="1">
        <v>279.95422539999998</v>
      </c>
      <c r="AP429" s="1">
        <v>3.21</v>
      </c>
      <c r="AQ429" s="1">
        <v>0.37</v>
      </c>
      <c r="AR429" s="1">
        <v>0.05</v>
      </c>
      <c r="AS429" s="1">
        <v>0.03</v>
      </c>
      <c r="AT429" s="1">
        <v>12.18</v>
      </c>
      <c r="AU429" s="1">
        <v>5.29</v>
      </c>
      <c r="AV429" s="1">
        <v>0.02</v>
      </c>
      <c r="AW429" s="1">
        <v>7.0000000000000007E-2</v>
      </c>
      <c r="AX429" s="1">
        <v>0</v>
      </c>
      <c r="AY429" s="1">
        <v>0</v>
      </c>
      <c r="AZ429" s="1">
        <v>106.434</v>
      </c>
      <c r="BA429" s="1">
        <v>0</v>
      </c>
      <c r="BB429" s="1">
        <v>0</v>
      </c>
      <c r="BC429" s="1">
        <v>0</v>
      </c>
      <c r="BD429" s="1">
        <v>0</v>
      </c>
    </row>
    <row r="430" spans="1:56">
      <c r="A430" s="18">
        <v>46192</v>
      </c>
      <c r="B430" s="1">
        <v>429</v>
      </c>
      <c r="C430" s="1" t="s">
        <v>89</v>
      </c>
      <c r="D430" s="1" t="s">
        <v>90</v>
      </c>
      <c r="E430" s="1">
        <v>2</v>
      </c>
      <c r="F430" s="1">
        <v>200</v>
      </c>
      <c r="G430" s="1">
        <v>1</v>
      </c>
      <c r="H430" s="1" t="s">
        <v>91</v>
      </c>
      <c r="I430" s="1" t="s">
        <v>79</v>
      </c>
      <c r="J430" s="1" t="s">
        <v>84</v>
      </c>
      <c r="K430" s="1" t="s">
        <v>74</v>
      </c>
      <c r="L430" s="1" t="s">
        <v>72</v>
      </c>
      <c r="M430" s="1" t="s">
        <v>75</v>
      </c>
      <c r="N430" s="1" t="s">
        <v>76</v>
      </c>
      <c r="O430" s="1" t="s">
        <v>77</v>
      </c>
      <c r="P430" s="1" t="s">
        <v>27</v>
      </c>
      <c r="Q430" s="1" t="s">
        <v>86</v>
      </c>
      <c r="R430" s="1" t="s">
        <v>94</v>
      </c>
      <c r="S430" s="1" t="s">
        <v>87</v>
      </c>
      <c r="T430" s="1" t="s">
        <v>88</v>
      </c>
      <c r="X430" s="1" t="s">
        <v>73</v>
      </c>
      <c r="Z430" s="1" t="s">
        <v>70</v>
      </c>
      <c r="AA430" s="1" t="s">
        <v>95</v>
      </c>
      <c r="AB430" s="1">
        <v>5</v>
      </c>
      <c r="AC430" s="1">
        <v>748824.17</v>
      </c>
      <c r="AD430" s="1">
        <v>8930511.9199999999</v>
      </c>
      <c r="AE430" s="1">
        <v>210.23</v>
      </c>
      <c r="AF430" s="1">
        <v>748824.17</v>
      </c>
      <c r="AG430" s="1">
        <v>8930511.9199999999</v>
      </c>
      <c r="AH430" s="1">
        <v>199.4</v>
      </c>
      <c r="AI430" s="1">
        <v>10.83</v>
      </c>
      <c r="AJ430" s="1">
        <v>0.6</v>
      </c>
      <c r="AK430" s="1">
        <v>2.97</v>
      </c>
      <c r="AL430" s="1">
        <v>2.58</v>
      </c>
      <c r="AM430" s="1">
        <v>0</v>
      </c>
      <c r="AN430" s="1">
        <v>0</v>
      </c>
      <c r="AO430" s="1">
        <v>279.95422539999998</v>
      </c>
      <c r="AP430" s="1">
        <v>3.21</v>
      </c>
      <c r="AQ430" s="1">
        <v>0.37</v>
      </c>
      <c r="AR430" s="1">
        <v>0.05</v>
      </c>
      <c r="AS430" s="1">
        <v>0.04</v>
      </c>
      <c r="AT430" s="1">
        <v>12.22</v>
      </c>
      <c r="AU430" s="1">
        <v>5.29</v>
      </c>
      <c r="AV430" s="1">
        <v>0.03</v>
      </c>
      <c r="AW430" s="1">
        <v>0.11</v>
      </c>
      <c r="AX430" s="1">
        <v>0</v>
      </c>
      <c r="AY430" s="1">
        <v>0</v>
      </c>
      <c r="AZ430" s="1">
        <v>106.72499999999999</v>
      </c>
      <c r="BA430" s="1">
        <v>0</v>
      </c>
      <c r="BB430" s="1">
        <v>0</v>
      </c>
      <c r="BC430" s="1">
        <v>0</v>
      </c>
      <c r="BD430" s="1">
        <v>0</v>
      </c>
    </row>
    <row r="431" spans="1:56">
      <c r="A431" s="18">
        <v>46192</v>
      </c>
      <c r="B431" s="1">
        <v>430</v>
      </c>
      <c r="C431" s="1" t="s">
        <v>89</v>
      </c>
      <c r="D431" s="1" t="s">
        <v>90</v>
      </c>
      <c r="E431" s="1">
        <v>2</v>
      </c>
      <c r="F431" s="1">
        <v>200</v>
      </c>
      <c r="G431" s="1">
        <v>1</v>
      </c>
      <c r="H431" s="1" t="s">
        <v>91</v>
      </c>
      <c r="I431" s="1" t="s">
        <v>79</v>
      </c>
      <c r="J431" s="1" t="s">
        <v>84</v>
      </c>
      <c r="K431" s="1" t="s">
        <v>74</v>
      </c>
      <c r="L431" s="1" t="s">
        <v>72</v>
      </c>
      <c r="M431" s="1" t="s">
        <v>75</v>
      </c>
      <c r="N431" s="1" t="s">
        <v>76</v>
      </c>
      <c r="O431" s="1" t="s">
        <v>77</v>
      </c>
      <c r="P431" s="1" t="s">
        <v>27</v>
      </c>
      <c r="Q431" s="1" t="s">
        <v>86</v>
      </c>
      <c r="R431" s="1" t="s">
        <v>94</v>
      </c>
      <c r="S431" s="1" t="s">
        <v>87</v>
      </c>
      <c r="T431" s="1" t="s">
        <v>88</v>
      </c>
      <c r="X431" s="1" t="s">
        <v>73</v>
      </c>
      <c r="Z431" s="1" t="s">
        <v>70</v>
      </c>
      <c r="AA431" s="1" t="s">
        <v>95</v>
      </c>
      <c r="AB431" s="1">
        <v>5</v>
      </c>
      <c r="AC431" s="1">
        <v>748825.77</v>
      </c>
      <c r="AD431" s="1">
        <v>8930509.4199999999</v>
      </c>
      <c r="AE431" s="1">
        <v>210.27</v>
      </c>
      <c r="AF431" s="1">
        <v>748825.77</v>
      </c>
      <c r="AG431" s="1">
        <v>8930509.4199999999</v>
      </c>
      <c r="AH431" s="1">
        <v>199.4</v>
      </c>
      <c r="AI431" s="1">
        <v>10.87</v>
      </c>
      <c r="AJ431" s="1">
        <v>0.6</v>
      </c>
      <c r="AK431" s="1">
        <v>2.97</v>
      </c>
      <c r="AL431" s="1">
        <v>2.58</v>
      </c>
      <c r="AM431" s="1">
        <v>0</v>
      </c>
      <c r="AN431" s="1">
        <v>0</v>
      </c>
      <c r="AO431" s="1">
        <v>279.95422539999998</v>
      </c>
      <c r="AP431" s="1">
        <v>3.17</v>
      </c>
      <c r="AQ431" s="1">
        <v>0.36</v>
      </c>
      <c r="AR431" s="1">
        <v>0.04</v>
      </c>
      <c r="AS431" s="1">
        <v>0.04</v>
      </c>
      <c r="AT431" s="1">
        <v>12.39</v>
      </c>
      <c r="AU431" s="1">
        <v>5.27</v>
      </c>
      <c r="AV431" s="1">
        <v>0.11</v>
      </c>
      <c r="AW431" s="1">
        <v>1.66</v>
      </c>
      <c r="AX431" s="1">
        <v>0</v>
      </c>
      <c r="AY431" s="1">
        <v>0</v>
      </c>
      <c r="AZ431" s="1">
        <v>107.307</v>
      </c>
      <c r="BA431" s="1">
        <v>0</v>
      </c>
      <c r="BB431" s="1">
        <v>0</v>
      </c>
      <c r="BC431" s="1">
        <v>0</v>
      </c>
      <c r="BD431" s="1">
        <v>0</v>
      </c>
    </row>
    <row r="432" spans="1:56">
      <c r="A432" s="18">
        <v>46192</v>
      </c>
      <c r="B432" s="1">
        <v>431</v>
      </c>
      <c r="C432" s="1" t="s">
        <v>89</v>
      </c>
      <c r="D432" s="1" t="s">
        <v>90</v>
      </c>
      <c r="E432" s="1">
        <v>2</v>
      </c>
      <c r="F432" s="1">
        <v>200</v>
      </c>
      <c r="G432" s="1">
        <v>1</v>
      </c>
      <c r="H432" s="1" t="s">
        <v>91</v>
      </c>
      <c r="I432" s="1" t="s">
        <v>79</v>
      </c>
      <c r="J432" s="1" t="s">
        <v>84</v>
      </c>
      <c r="K432" s="1" t="s">
        <v>74</v>
      </c>
      <c r="L432" s="1" t="s">
        <v>72</v>
      </c>
      <c r="M432" s="1" t="s">
        <v>75</v>
      </c>
      <c r="N432" s="1" t="s">
        <v>76</v>
      </c>
      <c r="O432" s="1" t="s">
        <v>77</v>
      </c>
      <c r="P432" s="1" t="s">
        <v>27</v>
      </c>
      <c r="Q432" s="1" t="s">
        <v>86</v>
      </c>
      <c r="R432" s="1" t="s">
        <v>94</v>
      </c>
      <c r="S432" s="1" t="s">
        <v>87</v>
      </c>
      <c r="T432" s="1" t="s">
        <v>88</v>
      </c>
      <c r="X432" s="1" t="s">
        <v>73</v>
      </c>
      <c r="Z432" s="1" t="s">
        <v>70</v>
      </c>
      <c r="AA432" s="1" t="s">
        <v>95</v>
      </c>
      <c r="AB432" s="1">
        <v>5</v>
      </c>
      <c r="AC432" s="1">
        <v>748827.38</v>
      </c>
      <c r="AD432" s="1">
        <v>8930506.9199999999</v>
      </c>
      <c r="AE432" s="1">
        <v>210.27</v>
      </c>
      <c r="AF432" s="1">
        <v>748827.38</v>
      </c>
      <c r="AG432" s="1">
        <v>8930506.9199999999</v>
      </c>
      <c r="AH432" s="1">
        <v>199.4</v>
      </c>
      <c r="AI432" s="1">
        <v>10.87</v>
      </c>
      <c r="AJ432" s="1">
        <v>0.6</v>
      </c>
      <c r="AK432" s="1">
        <v>2.97</v>
      </c>
      <c r="AL432" s="1">
        <v>2.58</v>
      </c>
      <c r="AM432" s="1">
        <v>0</v>
      </c>
      <c r="AN432" s="1">
        <v>0</v>
      </c>
      <c r="AO432" s="1">
        <v>279.95422539999998</v>
      </c>
      <c r="AP432" s="1">
        <v>3.15</v>
      </c>
      <c r="AQ432" s="1">
        <v>0.34</v>
      </c>
      <c r="AR432" s="1">
        <v>0.04</v>
      </c>
      <c r="AS432" s="1">
        <v>0.03</v>
      </c>
      <c r="AT432" s="1">
        <v>12.24</v>
      </c>
      <c r="AU432" s="1">
        <v>5.24</v>
      </c>
      <c r="AV432" s="1">
        <v>0.14000000000000001</v>
      </c>
      <c r="AW432" s="1">
        <v>2.5099999999999998</v>
      </c>
      <c r="AX432" s="1">
        <v>0</v>
      </c>
      <c r="AY432" s="1">
        <v>0</v>
      </c>
      <c r="AZ432" s="1">
        <v>107.307</v>
      </c>
      <c r="BA432" s="1">
        <v>0</v>
      </c>
      <c r="BB432" s="1">
        <v>0</v>
      </c>
      <c r="BC432" s="1">
        <v>0</v>
      </c>
      <c r="BD432" s="1">
        <v>0</v>
      </c>
    </row>
    <row r="433" spans="1:56">
      <c r="A433" s="18">
        <v>46192</v>
      </c>
      <c r="B433" s="1">
        <v>432</v>
      </c>
      <c r="C433" s="1" t="s">
        <v>89</v>
      </c>
      <c r="D433" s="1" t="s">
        <v>90</v>
      </c>
      <c r="E433" s="1">
        <v>2</v>
      </c>
      <c r="F433" s="1">
        <v>200</v>
      </c>
      <c r="G433" s="1">
        <v>1</v>
      </c>
      <c r="H433" s="1" t="s">
        <v>91</v>
      </c>
      <c r="I433" s="1" t="s">
        <v>79</v>
      </c>
      <c r="J433" s="1" t="s">
        <v>84</v>
      </c>
      <c r="K433" s="1" t="s">
        <v>74</v>
      </c>
      <c r="L433" s="1" t="s">
        <v>72</v>
      </c>
      <c r="M433" s="1" t="s">
        <v>75</v>
      </c>
      <c r="N433" s="1" t="s">
        <v>76</v>
      </c>
      <c r="O433" s="1" t="s">
        <v>77</v>
      </c>
      <c r="P433" s="1" t="s">
        <v>27</v>
      </c>
      <c r="Q433" s="1" t="s">
        <v>86</v>
      </c>
      <c r="R433" s="1" t="s">
        <v>94</v>
      </c>
      <c r="S433" s="1" t="s">
        <v>87</v>
      </c>
      <c r="T433" s="1" t="s">
        <v>88</v>
      </c>
      <c r="X433" s="1" t="s">
        <v>73</v>
      </c>
      <c r="Z433" s="1" t="s">
        <v>70</v>
      </c>
      <c r="AA433" s="1" t="s">
        <v>95</v>
      </c>
      <c r="AB433" s="1">
        <v>5</v>
      </c>
      <c r="AC433" s="1">
        <v>748828.98</v>
      </c>
      <c r="AD433" s="1">
        <v>8930504.4199999999</v>
      </c>
      <c r="AE433" s="1">
        <v>210.38</v>
      </c>
      <c r="AF433" s="1">
        <v>748828.98</v>
      </c>
      <c r="AG433" s="1">
        <v>8930504.4199999999</v>
      </c>
      <c r="AH433" s="1">
        <v>199.4</v>
      </c>
      <c r="AI433" s="1">
        <v>10.98</v>
      </c>
      <c r="AJ433" s="1">
        <v>0.6</v>
      </c>
      <c r="AK433" s="1">
        <v>2.97</v>
      </c>
      <c r="AL433" s="1">
        <v>2.58</v>
      </c>
      <c r="AM433" s="1">
        <v>0</v>
      </c>
      <c r="AN433" s="1">
        <v>0</v>
      </c>
      <c r="AO433" s="1">
        <v>279.95422539999998</v>
      </c>
      <c r="AP433" s="1">
        <v>3.15</v>
      </c>
      <c r="AQ433" s="1">
        <v>0.33</v>
      </c>
      <c r="AR433" s="1">
        <v>0.04</v>
      </c>
      <c r="AS433" s="1">
        <v>0.03</v>
      </c>
      <c r="AT433" s="1">
        <v>12.06</v>
      </c>
      <c r="AU433" s="1">
        <v>5.28</v>
      </c>
      <c r="AV433" s="1">
        <v>0.13</v>
      </c>
      <c r="AW433" s="1">
        <v>2.5099999999999998</v>
      </c>
      <c r="AX433" s="1">
        <v>0</v>
      </c>
      <c r="AY433" s="1">
        <v>0</v>
      </c>
      <c r="AZ433" s="1">
        <v>108.90900000000001</v>
      </c>
      <c r="BA433" s="1">
        <v>0</v>
      </c>
      <c r="BB433" s="1">
        <v>0</v>
      </c>
      <c r="BC433" s="1">
        <v>0</v>
      </c>
      <c r="BD433" s="1">
        <v>0</v>
      </c>
    </row>
    <row r="434" spans="1:56">
      <c r="A434" s="18">
        <v>46192</v>
      </c>
      <c r="B434" s="1">
        <v>433</v>
      </c>
      <c r="C434" s="1" t="s">
        <v>89</v>
      </c>
      <c r="D434" s="1" t="s">
        <v>90</v>
      </c>
      <c r="E434" s="1">
        <v>2</v>
      </c>
      <c r="F434" s="1">
        <v>200</v>
      </c>
      <c r="G434" s="1">
        <v>1</v>
      </c>
      <c r="H434" s="1" t="s">
        <v>91</v>
      </c>
      <c r="I434" s="1" t="s">
        <v>79</v>
      </c>
      <c r="J434" s="1" t="s">
        <v>84</v>
      </c>
      <c r="K434" s="1" t="s">
        <v>74</v>
      </c>
      <c r="L434" s="1" t="s">
        <v>72</v>
      </c>
      <c r="M434" s="1" t="s">
        <v>75</v>
      </c>
      <c r="N434" s="1" t="s">
        <v>76</v>
      </c>
      <c r="O434" s="1" t="s">
        <v>77</v>
      </c>
      <c r="P434" s="1" t="s">
        <v>27</v>
      </c>
      <c r="Q434" s="1" t="s">
        <v>86</v>
      </c>
      <c r="R434" s="1" t="s">
        <v>94</v>
      </c>
      <c r="S434" s="1" t="s">
        <v>87</v>
      </c>
      <c r="T434" s="1" t="s">
        <v>88</v>
      </c>
      <c r="X434" s="1" t="s">
        <v>73</v>
      </c>
      <c r="Z434" s="1" t="s">
        <v>70</v>
      </c>
      <c r="AA434" s="1" t="s">
        <v>95</v>
      </c>
      <c r="AB434" s="1">
        <v>5</v>
      </c>
      <c r="AC434" s="1">
        <v>748830.58</v>
      </c>
      <c r="AD434" s="1">
        <v>8930501.9199999999</v>
      </c>
      <c r="AE434" s="1">
        <v>210.42</v>
      </c>
      <c r="AF434" s="1">
        <v>748830.58</v>
      </c>
      <c r="AG434" s="1">
        <v>8930501.9199999999</v>
      </c>
      <c r="AH434" s="1">
        <v>199.4</v>
      </c>
      <c r="AI434" s="1">
        <v>11.02</v>
      </c>
      <c r="AJ434" s="1">
        <v>0.6</v>
      </c>
      <c r="AK434" s="1">
        <v>2.97</v>
      </c>
      <c r="AL434" s="1">
        <v>2.58</v>
      </c>
      <c r="AM434" s="1">
        <v>0</v>
      </c>
      <c r="AN434" s="1">
        <v>0</v>
      </c>
      <c r="AO434" s="1">
        <v>279.95422539999998</v>
      </c>
      <c r="AP434" s="1">
        <v>3.16</v>
      </c>
      <c r="AQ434" s="1">
        <v>0.32</v>
      </c>
      <c r="AR434" s="1">
        <v>0.04</v>
      </c>
      <c r="AS434" s="1">
        <v>0.03</v>
      </c>
      <c r="AT434" s="1">
        <v>11.8</v>
      </c>
      <c r="AU434" s="1">
        <v>5.39</v>
      </c>
      <c r="AV434" s="1">
        <v>0.12</v>
      </c>
      <c r="AW434" s="1">
        <v>2.46</v>
      </c>
      <c r="AX434" s="1">
        <v>0</v>
      </c>
      <c r="AY434" s="1">
        <v>0</v>
      </c>
      <c r="AZ434" s="1">
        <v>109.491</v>
      </c>
      <c r="BA434" s="1">
        <v>0</v>
      </c>
      <c r="BB434" s="1">
        <v>0</v>
      </c>
      <c r="BC434" s="1">
        <v>0</v>
      </c>
      <c r="BD434" s="1">
        <v>0</v>
      </c>
    </row>
    <row r="435" spans="1:56">
      <c r="A435" s="18">
        <v>46192</v>
      </c>
      <c r="B435" s="1">
        <v>434</v>
      </c>
      <c r="C435" s="1" t="s">
        <v>89</v>
      </c>
      <c r="D435" s="1" t="s">
        <v>90</v>
      </c>
      <c r="E435" s="1">
        <v>2</v>
      </c>
      <c r="F435" s="1">
        <v>200</v>
      </c>
      <c r="G435" s="1">
        <v>1</v>
      </c>
      <c r="H435" s="1" t="s">
        <v>91</v>
      </c>
      <c r="I435" s="1" t="s">
        <v>79</v>
      </c>
      <c r="J435" s="1" t="s">
        <v>84</v>
      </c>
      <c r="K435" s="1" t="s">
        <v>74</v>
      </c>
      <c r="L435" s="1" t="s">
        <v>72</v>
      </c>
      <c r="M435" s="1" t="s">
        <v>75</v>
      </c>
      <c r="N435" s="1" t="s">
        <v>76</v>
      </c>
      <c r="O435" s="1" t="s">
        <v>77</v>
      </c>
      <c r="P435" s="1" t="s">
        <v>27</v>
      </c>
      <c r="Q435" s="1" t="s">
        <v>86</v>
      </c>
      <c r="R435" s="1" t="s">
        <v>94</v>
      </c>
      <c r="S435" s="1" t="s">
        <v>87</v>
      </c>
      <c r="T435" s="1" t="s">
        <v>88</v>
      </c>
      <c r="X435" s="1" t="s">
        <v>73</v>
      </c>
      <c r="Z435" s="1" t="s">
        <v>70</v>
      </c>
      <c r="AA435" s="1" t="s">
        <v>95</v>
      </c>
      <c r="AB435" s="1">
        <v>5</v>
      </c>
      <c r="AC435" s="1">
        <v>748832.18</v>
      </c>
      <c r="AD435" s="1">
        <v>8930499.4199999999</v>
      </c>
      <c r="AE435" s="1">
        <v>210.34</v>
      </c>
      <c r="AF435" s="1">
        <v>748832.18</v>
      </c>
      <c r="AG435" s="1">
        <v>8930499.4199999999</v>
      </c>
      <c r="AH435" s="1">
        <v>199.4</v>
      </c>
      <c r="AI435" s="1">
        <v>10.94</v>
      </c>
      <c r="AJ435" s="1">
        <v>0.6</v>
      </c>
      <c r="AK435" s="1">
        <v>2.97</v>
      </c>
      <c r="AL435" s="1">
        <v>2.58</v>
      </c>
      <c r="AM435" s="1">
        <v>0</v>
      </c>
      <c r="AN435" s="1">
        <v>0</v>
      </c>
      <c r="AO435" s="1">
        <v>279.95422539999998</v>
      </c>
      <c r="AP435" s="1">
        <v>3.13</v>
      </c>
      <c r="AQ435" s="1">
        <v>0.27</v>
      </c>
      <c r="AR435" s="1">
        <v>0.03</v>
      </c>
      <c r="AS435" s="1">
        <v>0.03</v>
      </c>
      <c r="AT435" s="1">
        <v>10.65</v>
      </c>
      <c r="AU435" s="1">
        <v>4.75</v>
      </c>
      <c r="AV435" s="1">
        <v>0.12</v>
      </c>
      <c r="AW435" s="1">
        <v>2.13</v>
      </c>
      <c r="AX435" s="1">
        <v>0</v>
      </c>
      <c r="AY435" s="1">
        <v>0</v>
      </c>
      <c r="AZ435" s="1">
        <v>108.32599999999999</v>
      </c>
      <c r="BA435" s="1">
        <v>0</v>
      </c>
      <c r="BB435" s="1">
        <v>0</v>
      </c>
      <c r="BC435" s="1">
        <v>0</v>
      </c>
      <c r="BD435" s="1">
        <v>0</v>
      </c>
    </row>
    <row r="436" spans="1:56">
      <c r="A436" s="18">
        <v>46192</v>
      </c>
      <c r="B436" s="1">
        <v>435</v>
      </c>
      <c r="C436" s="1" t="s">
        <v>89</v>
      </c>
      <c r="D436" s="1" t="s">
        <v>90</v>
      </c>
      <c r="E436" s="1">
        <v>2</v>
      </c>
      <c r="F436" s="1">
        <v>200</v>
      </c>
      <c r="G436" s="1">
        <v>1</v>
      </c>
      <c r="H436" s="1" t="s">
        <v>91</v>
      </c>
      <c r="I436" s="1" t="s">
        <v>28</v>
      </c>
      <c r="J436" s="1" t="s">
        <v>71</v>
      </c>
      <c r="K436" s="1" t="s">
        <v>74</v>
      </c>
      <c r="L436" s="1" t="s">
        <v>72</v>
      </c>
      <c r="M436" s="1" t="s">
        <v>75</v>
      </c>
      <c r="N436" s="1" t="s">
        <v>76</v>
      </c>
      <c r="O436" s="1" t="s">
        <v>77</v>
      </c>
      <c r="P436" s="1" t="s">
        <v>27</v>
      </c>
      <c r="Q436" s="1" t="s">
        <v>86</v>
      </c>
      <c r="R436" s="1" t="s">
        <v>94</v>
      </c>
      <c r="S436" s="1" t="s">
        <v>87</v>
      </c>
      <c r="T436" s="1" t="s">
        <v>88</v>
      </c>
      <c r="X436" s="1" t="s">
        <v>73</v>
      </c>
      <c r="Z436" s="1" t="s">
        <v>70</v>
      </c>
      <c r="AA436" s="1" t="s">
        <v>95</v>
      </c>
      <c r="AB436" s="1">
        <v>5</v>
      </c>
      <c r="AC436" s="1">
        <v>748833.79</v>
      </c>
      <c r="AD436" s="1">
        <v>8930496.9199999999</v>
      </c>
      <c r="AE436" s="1">
        <v>210.28</v>
      </c>
      <c r="AF436" s="1">
        <v>748833.79</v>
      </c>
      <c r="AG436" s="1">
        <v>8930496.9199999999</v>
      </c>
      <c r="AH436" s="1">
        <v>199.4</v>
      </c>
      <c r="AI436" s="1">
        <v>10.88</v>
      </c>
      <c r="AJ436" s="1">
        <v>0.6</v>
      </c>
      <c r="AK436" s="1">
        <v>2.97</v>
      </c>
      <c r="AL436" s="1">
        <v>2.58</v>
      </c>
      <c r="AM436" s="1">
        <v>0</v>
      </c>
      <c r="AN436" s="1">
        <v>0</v>
      </c>
      <c r="AO436" s="1">
        <v>279.95422539999998</v>
      </c>
      <c r="AP436" s="1">
        <v>2.98</v>
      </c>
      <c r="AQ436" s="1">
        <v>0.13</v>
      </c>
      <c r="AR436" s="1">
        <v>0.01</v>
      </c>
      <c r="AS436" s="1">
        <v>0.01</v>
      </c>
      <c r="AT436" s="1">
        <v>5.4</v>
      </c>
      <c r="AU436" s="1">
        <v>2.34</v>
      </c>
      <c r="AV436" s="1">
        <v>0.06</v>
      </c>
      <c r="AW436" s="1">
        <v>1.06</v>
      </c>
      <c r="AX436" s="1">
        <v>0</v>
      </c>
      <c r="AY436" s="1">
        <v>0</v>
      </c>
      <c r="AZ436" s="1">
        <v>107.453</v>
      </c>
      <c r="BA436" s="1">
        <v>0</v>
      </c>
      <c r="BB436" s="1">
        <v>0</v>
      </c>
      <c r="BC436" s="1">
        <v>0</v>
      </c>
      <c r="BD436" s="1">
        <v>0</v>
      </c>
    </row>
    <row r="437" spans="1:56">
      <c r="A437" s="18">
        <v>46192</v>
      </c>
      <c r="B437" s="1">
        <v>436</v>
      </c>
      <c r="C437" s="1" t="s">
        <v>92</v>
      </c>
      <c r="D437" s="1" t="s">
        <v>90</v>
      </c>
      <c r="E437" s="1">
        <v>2</v>
      </c>
      <c r="F437" s="1">
        <v>200</v>
      </c>
      <c r="H437" s="1" t="s">
        <v>93</v>
      </c>
      <c r="I437" s="1" t="s">
        <v>28</v>
      </c>
      <c r="J437" s="1" t="s">
        <v>71</v>
      </c>
      <c r="K437" s="1" t="s">
        <v>74</v>
      </c>
      <c r="L437" s="1" t="s">
        <v>72</v>
      </c>
      <c r="M437" s="1" t="s">
        <v>75</v>
      </c>
      <c r="N437" s="1" t="s">
        <v>76</v>
      </c>
      <c r="O437" s="1" t="s">
        <v>77</v>
      </c>
      <c r="P437" s="1" t="s">
        <v>27</v>
      </c>
      <c r="Q437" s="1" t="s">
        <v>86</v>
      </c>
      <c r="R437" s="1" t="s">
        <v>94</v>
      </c>
      <c r="S437" s="1" t="s">
        <v>87</v>
      </c>
      <c r="T437" s="1" t="s">
        <v>88</v>
      </c>
      <c r="X437" s="1" t="s">
        <v>73</v>
      </c>
      <c r="Z437" s="1" t="s">
        <v>70</v>
      </c>
      <c r="AA437" s="1" t="s">
        <v>95</v>
      </c>
      <c r="AB437" s="1">
        <v>5</v>
      </c>
      <c r="AC437" s="1">
        <v>748835.17</v>
      </c>
      <c r="AD437" s="1">
        <v>8930494.4299999997</v>
      </c>
      <c r="AE437" s="1">
        <v>210.36</v>
      </c>
      <c r="AF437" s="1">
        <v>748835.17</v>
      </c>
      <c r="AG437" s="1">
        <v>8930494.4299999997</v>
      </c>
      <c r="AH437" s="1">
        <v>199.4</v>
      </c>
      <c r="AI437" s="1">
        <v>10.96</v>
      </c>
      <c r="AJ437" s="1">
        <v>0.6</v>
      </c>
      <c r="AK437" s="1">
        <v>2.97</v>
      </c>
      <c r="AL437" s="1">
        <v>2.58</v>
      </c>
      <c r="AM437" s="1">
        <v>0</v>
      </c>
      <c r="AN437" s="1">
        <v>0</v>
      </c>
      <c r="AO437" s="1">
        <v>279.95422539999998</v>
      </c>
      <c r="AP437" s="1">
        <v>2.88</v>
      </c>
      <c r="AQ437" s="1">
        <v>0.03</v>
      </c>
      <c r="AR437" s="1">
        <v>0</v>
      </c>
      <c r="AS437" s="1">
        <v>0</v>
      </c>
      <c r="AT437" s="1">
        <v>1.03</v>
      </c>
      <c r="AU437" s="1">
        <v>0.45</v>
      </c>
      <c r="AV437" s="1">
        <v>0.01</v>
      </c>
      <c r="AW437" s="1">
        <v>0.21</v>
      </c>
      <c r="AX437" s="1">
        <v>0</v>
      </c>
      <c r="AY437" s="1">
        <v>0</v>
      </c>
      <c r="AZ437" s="1">
        <v>108.61799999999999</v>
      </c>
      <c r="BA437" s="1">
        <v>0</v>
      </c>
      <c r="BB437" s="1">
        <v>0</v>
      </c>
      <c r="BC437" s="1">
        <v>0</v>
      </c>
      <c r="BD437" s="1">
        <v>0</v>
      </c>
    </row>
    <row r="438" spans="1:56">
      <c r="A438" s="18">
        <v>46192</v>
      </c>
      <c r="B438" s="1">
        <v>437</v>
      </c>
      <c r="C438" s="1" t="s">
        <v>89</v>
      </c>
      <c r="D438" s="1" t="s">
        <v>90</v>
      </c>
      <c r="E438" s="1">
        <v>2</v>
      </c>
      <c r="F438" s="1">
        <v>200</v>
      </c>
      <c r="H438" s="1" t="s">
        <v>91</v>
      </c>
      <c r="I438" s="1" t="s">
        <v>28</v>
      </c>
      <c r="J438" s="1" t="s">
        <v>71</v>
      </c>
      <c r="K438" s="1" t="s">
        <v>74</v>
      </c>
      <c r="L438" s="1" t="s">
        <v>72</v>
      </c>
      <c r="M438" s="1" t="s">
        <v>75</v>
      </c>
      <c r="N438" s="1" t="s">
        <v>76</v>
      </c>
      <c r="O438" s="1" t="s">
        <v>77</v>
      </c>
      <c r="P438" s="1" t="s">
        <v>27</v>
      </c>
      <c r="Q438" s="1" t="s">
        <v>86</v>
      </c>
      <c r="R438" s="1" t="s">
        <v>94</v>
      </c>
      <c r="S438" s="1" t="s">
        <v>87</v>
      </c>
      <c r="T438" s="1" t="s">
        <v>88</v>
      </c>
      <c r="X438" s="1" t="s">
        <v>73</v>
      </c>
      <c r="Z438" s="1" t="s">
        <v>70</v>
      </c>
      <c r="AA438" s="1" t="s">
        <v>95</v>
      </c>
      <c r="AB438" s="1">
        <v>5</v>
      </c>
      <c r="AC438" s="1">
        <v>748834.15</v>
      </c>
      <c r="AD438" s="1">
        <v>8930491.5600000005</v>
      </c>
      <c r="AE438" s="1">
        <v>210.54</v>
      </c>
      <c r="AF438" s="1">
        <v>748834.15</v>
      </c>
      <c r="AG438" s="1">
        <v>8930491.5600000005</v>
      </c>
      <c r="AH438" s="1">
        <v>199.4</v>
      </c>
      <c r="AI438" s="1">
        <v>11.14</v>
      </c>
      <c r="AJ438" s="1">
        <v>0.6</v>
      </c>
      <c r="AK438" s="1">
        <v>2.97</v>
      </c>
      <c r="AL438" s="1">
        <v>2.58</v>
      </c>
      <c r="AM438" s="1">
        <v>0</v>
      </c>
      <c r="AN438" s="1">
        <v>0</v>
      </c>
      <c r="AO438" s="1">
        <v>279.95422539999998</v>
      </c>
      <c r="AP438" s="1">
        <v>2.88</v>
      </c>
      <c r="AQ438" s="1">
        <v>0.03</v>
      </c>
      <c r="AR438" s="1">
        <v>0</v>
      </c>
      <c r="AS438" s="1">
        <v>0</v>
      </c>
      <c r="AT438" s="1">
        <v>1.29</v>
      </c>
      <c r="AU438" s="1">
        <v>0.56000000000000005</v>
      </c>
      <c r="AV438" s="1">
        <v>0.01</v>
      </c>
      <c r="AW438" s="1">
        <v>0.26</v>
      </c>
      <c r="AX438" s="1">
        <v>0</v>
      </c>
      <c r="AY438" s="1">
        <v>0</v>
      </c>
      <c r="AZ438" s="1">
        <v>111.238</v>
      </c>
      <c r="BA438" s="1">
        <v>0</v>
      </c>
      <c r="BB438" s="1">
        <v>0</v>
      </c>
      <c r="BC438" s="1">
        <v>0</v>
      </c>
      <c r="BD438" s="1">
        <v>0</v>
      </c>
    </row>
    <row r="439" spans="1:56">
      <c r="A439" s="18">
        <v>46192</v>
      </c>
      <c r="B439" s="1">
        <v>438</v>
      </c>
      <c r="C439" s="1" t="s">
        <v>89</v>
      </c>
      <c r="D439" s="1" t="s">
        <v>90</v>
      </c>
      <c r="E439" s="1">
        <v>2</v>
      </c>
      <c r="F439" s="1">
        <v>200</v>
      </c>
      <c r="G439" s="1">
        <v>1</v>
      </c>
      <c r="H439" s="1" t="s">
        <v>91</v>
      </c>
      <c r="I439" s="1" t="s">
        <v>79</v>
      </c>
      <c r="J439" s="1" t="s">
        <v>84</v>
      </c>
      <c r="K439" s="1" t="s">
        <v>74</v>
      </c>
      <c r="L439" s="1" t="s">
        <v>72</v>
      </c>
      <c r="M439" s="1" t="s">
        <v>75</v>
      </c>
      <c r="N439" s="1" t="s">
        <v>76</v>
      </c>
      <c r="O439" s="1" t="s">
        <v>77</v>
      </c>
      <c r="P439" s="1" t="s">
        <v>27</v>
      </c>
      <c r="Q439" s="1" t="s">
        <v>86</v>
      </c>
      <c r="R439" s="1" t="s">
        <v>94</v>
      </c>
      <c r="S439" s="1" t="s">
        <v>87</v>
      </c>
      <c r="T439" s="1" t="s">
        <v>88</v>
      </c>
      <c r="X439" s="1" t="s">
        <v>73</v>
      </c>
      <c r="Z439" s="1" t="s">
        <v>70</v>
      </c>
      <c r="AA439" s="1" t="s">
        <v>95</v>
      </c>
      <c r="AB439" s="1">
        <v>5</v>
      </c>
      <c r="AC439" s="1">
        <v>748832.55</v>
      </c>
      <c r="AD439" s="1">
        <v>8930494.0600000005</v>
      </c>
      <c r="AE439" s="1">
        <v>210.32</v>
      </c>
      <c r="AF439" s="1">
        <v>748832.55</v>
      </c>
      <c r="AG439" s="1">
        <v>8930494.0600000005</v>
      </c>
      <c r="AH439" s="1">
        <v>199.4</v>
      </c>
      <c r="AI439" s="1">
        <v>10.92</v>
      </c>
      <c r="AJ439" s="1">
        <v>0.6</v>
      </c>
      <c r="AK439" s="1">
        <v>2.97</v>
      </c>
      <c r="AL439" s="1">
        <v>2.58</v>
      </c>
      <c r="AM439" s="1">
        <v>0</v>
      </c>
      <c r="AN439" s="1">
        <v>0</v>
      </c>
      <c r="AO439" s="1">
        <v>279.95422539999998</v>
      </c>
      <c r="AP439" s="1">
        <v>3.01</v>
      </c>
      <c r="AQ439" s="1">
        <v>0.16</v>
      </c>
      <c r="AR439" s="1">
        <v>0.02</v>
      </c>
      <c r="AS439" s="1">
        <v>0.02</v>
      </c>
      <c r="AT439" s="1">
        <v>6.43</v>
      </c>
      <c r="AU439" s="1">
        <v>2.76</v>
      </c>
      <c r="AV439" s="1">
        <v>7.0000000000000007E-2</v>
      </c>
      <c r="AW439" s="1">
        <v>1.22</v>
      </c>
      <c r="AX439" s="1">
        <v>0</v>
      </c>
      <c r="AY439" s="1">
        <v>0</v>
      </c>
      <c r="AZ439" s="1">
        <v>108.035</v>
      </c>
      <c r="BA439" s="1">
        <v>0</v>
      </c>
      <c r="BB439" s="1">
        <v>0</v>
      </c>
      <c r="BC439" s="1">
        <v>0</v>
      </c>
      <c r="BD439" s="1">
        <v>0</v>
      </c>
    </row>
    <row r="440" spans="1:56">
      <c r="A440" s="18">
        <v>46192</v>
      </c>
      <c r="B440" s="1">
        <v>439</v>
      </c>
      <c r="C440" s="1" t="s">
        <v>89</v>
      </c>
      <c r="D440" s="1" t="s">
        <v>90</v>
      </c>
      <c r="E440" s="1">
        <v>2</v>
      </c>
      <c r="F440" s="1">
        <v>200</v>
      </c>
      <c r="G440" s="1">
        <v>1</v>
      </c>
      <c r="H440" s="1" t="s">
        <v>91</v>
      </c>
      <c r="I440" s="1" t="s">
        <v>79</v>
      </c>
      <c r="J440" s="1" t="s">
        <v>84</v>
      </c>
      <c r="K440" s="1" t="s">
        <v>74</v>
      </c>
      <c r="L440" s="1" t="s">
        <v>72</v>
      </c>
      <c r="M440" s="1" t="s">
        <v>75</v>
      </c>
      <c r="N440" s="1" t="s">
        <v>76</v>
      </c>
      <c r="O440" s="1" t="s">
        <v>77</v>
      </c>
      <c r="P440" s="1" t="s">
        <v>27</v>
      </c>
      <c r="Q440" s="1" t="s">
        <v>86</v>
      </c>
      <c r="R440" s="1" t="s">
        <v>94</v>
      </c>
      <c r="S440" s="1" t="s">
        <v>87</v>
      </c>
      <c r="T440" s="1" t="s">
        <v>88</v>
      </c>
      <c r="X440" s="1" t="s">
        <v>73</v>
      </c>
      <c r="Z440" s="1" t="s">
        <v>70</v>
      </c>
      <c r="AA440" s="1" t="s">
        <v>95</v>
      </c>
      <c r="AB440" s="1">
        <v>5</v>
      </c>
      <c r="AC440" s="1">
        <v>748830.95</v>
      </c>
      <c r="AD440" s="1">
        <v>8930496.5600000005</v>
      </c>
      <c r="AE440" s="1">
        <v>210.32</v>
      </c>
      <c r="AF440" s="1">
        <v>748830.95</v>
      </c>
      <c r="AG440" s="1">
        <v>8930496.5600000005</v>
      </c>
      <c r="AH440" s="1">
        <v>199.4</v>
      </c>
      <c r="AI440" s="1">
        <v>10.92</v>
      </c>
      <c r="AJ440" s="1">
        <v>0.6</v>
      </c>
      <c r="AK440" s="1">
        <v>2.97</v>
      </c>
      <c r="AL440" s="1">
        <v>2.58</v>
      </c>
      <c r="AM440" s="1">
        <v>0</v>
      </c>
      <c r="AN440" s="1">
        <v>0</v>
      </c>
      <c r="AO440" s="1">
        <v>279.95422539999998</v>
      </c>
      <c r="AP440" s="1">
        <v>3.13</v>
      </c>
      <c r="AQ440" s="1">
        <v>0.3</v>
      </c>
      <c r="AR440" s="1">
        <v>0.03</v>
      </c>
      <c r="AS440" s="1">
        <v>0.03</v>
      </c>
      <c r="AT440" s="1">
        <v>11.42</v>
      </c>
      <c r="AU440" s="1">
        <v>4.79</v>
      </c>
      <c r="AV440" s="1">
        <v>0.14000000000000001</v>
      </c>
      <c r="AW440" s="1">
        <v>2.1</v>
      </c>
      <c r="AX440" s="1">
        <v>0</v>
      </c>
      <c r="AY440" s="1">
        <v>0</v>
      </c>
      <c r="AZ440" s="1">
        <v>108.035</v>
      </c>
      <c r="BA440" s="1">
        <v>0</v>
      </c>
      <c r="BB440" s="1">
        <v>0</v>
      </c>
      <c r="BC440" s="1">
        <v>0</v>
      </c>
      <c r="BD440" s="1">
        <v>0</v>
      </c>
    </row>
    <row r="441" spans="1:56">
      <c r="A441" s="18">
        <v>46192</v>
      </c>
      <c r="B441" s="1">
        <v>440</v>
      </c>
      <c r="C441" s="1" t="s">
        <v>89</v>
      </c>
      <c r="D441" s="1" t="s">
        <v>90</v>
      </c>
      <c r="E441" s="1">
        <v>2</v>
      </c>
      <c r="F441" s="1">
        <v>200</v>
      </c>
      <c r="G441" s="1">
        <v>1</v>
      </c>
      <c r="H441" s="1" t="s">
        <v>91</v>
      </c>
      <c r="I441" s="1" t="s">
        <v>79</v>
      </c>
      <c r="J441" s="1" t="s">
        <v>84</v>
      </c>
      <c r="K441" s="1" t="s">
        <v>74</v>
      </c>
      <c r="L441" s="1" t="s">
        <v>72</v>
      </c>
      <c r="M441" s="1" t="s">
        <v>75</v>
      </c>
      <c r="N441" s="1" t="s">
        <v>76</v>
      </c>
      <c r="O441" s="1" t="s">
        <v>77</v>
      </c>
      <c r="P441" s="1" t="s">
        <v>27</v>
      </c>
      <c r="Q441" s="1" t="s">
        <v>86</v>
      </c>
      <c r="R441" s="1" t="s">
        <v>94</v>
      </c>
      <c r="S441" s="1" t="s">
        <v>87</v>
      </c>
      <c r="T441" s="1" t="s">
        <v>88</v>
      </c>
      <c r="X441" s="1" t="s">
        <v>73</v>
      </c>
      <c r="Z441" s="1" t="s">
        <v>70</v>
      </c>
      <c r="AA441" s="1" t="s">
        <v>95</v>
      </c>
      <c r="AB441" s="1">
        <v>5</v>
      </c>
      <c r="AC441" s="1">
        <v>748829.35</v>
      </c>
      <c r="AD441" s="1">
        <v>8930499.0600000005</v>
      </c>
      <c r="AE441" s="1">
        <v>210.36</v>
      </c>
      <c r="AF441" s="1">
        <v>748829.35</v>
      </c>
      <c r="AG441" s="1">
        <v>8930499.0600000005</v>
      </c>
      <c r="AH441" s="1">
        <v>199.4</v>
      </c>
      <c r="AI441" s="1">
        <v>10.96</v>
      </c>
      <c r="AJ441" s="1">
        <v>0.6</v>
      </c>
      <c r="AK441" s="1">
        <v>2.97</v>
      </c>
      <c r="AL441" s="1">
        <v>2.58</v>
      </c>
      <c r="AM441" s="1">
        <v>0</v>
      </c>
      <c r="AN441" s="1">
        <v>0</v>
      </c>
      <c r="AO441" s="1">
        <v>279.95422539999998</v>
      </c>
      <c r="AP441" s="1">
        <v>3.18</v>
      </c>
      <c r="AQ441" s="1">
        <v>0.39</v>
      </c>
      <c r="AR441" s="1">
        <v>0.05</v>
      </c>
      <c r="AS441" s="1">
        <v>0.04</v>
      </c>
      <c r="AT441" s="1">
        <v>13.32</v>
      </c>
      <c r="AU441" s="1">
        <v>5.35</v>
      </c>
      <c r="AV441" s="1">
        <v>0.19</v>
      </c>
      <c r="AW441" s="1">
        <v>2.2799999999999998</v>
      </c>
      <c r="AX441" s="1">
        <v>0</v>
      </c>
      <c r="AY441" s="1">
        <v>0</v>
      </c>
      <c r="AZ441" s="1">
        <v>108.61799999999999</v>
      </c>
      <c r="BA441" s="1">
        <v>0</v>
      </c>
      <c r="BB441" s="1">
        <v>0</v>
      </c>
      <c r="BC441" s="1">
        <v>0</v>
      </c>
      <c r="BD441" s="1">
        <v>0</v>
      </c>
    </row>
    <row r="442" spans="1:56">
      <c r="A442" s="18">
        <v>46192</v>
      </c>
      <c r="B442" s="1">
        <v>441</v>
      </c>
      <c r="C442" s="1" t="s">
        <v>89</v>
      </c>
      <c r="D442" s="1" t="s">
        <v>90</v>
      </c>
      <c r="E442" s="1">
        <v>2</v>
      </c>
      <c r="F442" s="1">
        <v>200</v>
      </c>
      <c r="G442" s="1">
        <v>1</v>
      </c>
      <c r="H442" s="1" t="s">
        <v>91</v>
      </c>
      <c r="I442" s="1" t="s">
        <v>79</v>
      </c>
      <c r="J442" s="1" t="s">
        <v>84</v>
      </c>
      <c r="K442" s="1" t="s">
        <v>74</v>
      </c>
      <c r="L442" s="1" t="s">
        <v>72</v>
      </c>
      <c r="M442" s="1" t="s">
        <v>75</v>
      </c>
      <c r="N442" s="1" t="s">
        <v>76</v>
      </c>
      <c r="O442" s="1" t="s">
        <v>77</v>
      </c>
      <c r="P442" s="1" t="s">
        <v>27</v>
      </c>
      <c r="Q442" s="1" t="s">
        <v>86</v>
      </c>
      <c r="R442" s="1" t="s">
        <v>94</v>
      </c>
      <c r="S442" s="1" t="s">
        <v>87</v>
      </c>
      <c r="T442" s="1" t="s">
        <v>88</v>
      </c>
      <c r="X442" s="1" t="s">
        <v>73</v>
      </c>
      <c r="Z442" s="1" t="s">
        <v>70</v>
      </c>
      <c r="AA442" s="1" t="s">
        <v>95</v>
      </c>
      <c r="AB442" s="1">
        <v>5</v>
      </c>
      <c r="AC442" s="1">
        <v>748827.74</v>
      </c>
      <c r="AD442" s="1">
        <v>8930501.5600000005</v>
      </c>
      <c r="AE442" s="1">
        <v>210.43</v>
      </c>
      <c r="AF442" s="1">
        <v>748827.74</v>
      </c>
      <c r="AG442" s="1">
        <v>8930501.5600000005</v>
      </c>
      <c r="AH442" s="1">
        <v>199.4</v>
      </c>
      <c r="AI442" s="1">
        <v>11.03</v>
      </c>
      <c r="AJ442" s="1">
        <v>0.6</v>
      </c>
      <c r="AK442" s="1">
        <v>2.97</v>
      </c>
      <c r="AL442" s="1">
        <v>2.58</v>
      </c>
      <c r="AM442" s="1">
        <v>0</v>
      </c>
      <c r="AN442" s="1">
        <v>0</v>
      </c>
      <c r="AO442" s="1">
        <v>279.95422539999998</v>
      </c>
      <c r="AP442" s="1">
        <v>3.2</v>
      </c>
      <c r="AQ442" s="1">
        <v>0.47</v>
      </c>
      <c r="AR442" s="1">
        <v>0.06</v>
      </c>
      <c r="AS442" s="1">
        <v>0.05</v>
      </c>
      <c r="AT442" s="1">
        <v>14.77</v>
      </c>
      <c r="AU442" s="1">
        <v>5.38</v>
      </c>
      <c r="AV442" s="1">
        <v>0.23</v>
      </c>
      <c r="AW442" s="1">
        <v>2.21</v>
      </c>
      <c r="AX442" s="1">
        <v>0.04</v>
      </c>
      <c r="AY442" s="1">
        <v>0</v>
      </c>
      <c r="AZ442" s="1">
        <v>109.637</v>
      </c>
      <c r="BA442" s="1">
        <v>0</v>
      </c>
      <c r="BB442" s="1">
        <v>0</v>
      </c>
      <c r="BC442" s="1">
        <v>0</v>
      </c>
      <c r="BD442" s="1">
        <v>0</v>
      </c>
    </row>
    <row r="443" spans="1:56">
      <c r="A443" s="18">
        <v>46192</v>
      </c>
      <c r="B443" s="1">
        <v>442</v>
      </c>
      <c r="C443" s="1" t="s">
        <v>89</v>
      </c>
      <c r="D443" s="1" t="s">
        <v>90</v>
      </c>
      <c r="E443" s="1">
        <v>2</v>
      </c>
      <c r="F443" s="1">
        <v>200</v>
      </c>
      <c r="G443" s="1">
        <v>1</v>
      </c>
      <c r="H443" s="1" t="s">
        <v>91</v>
      </c>
      <c r="I443" s="1" t="s">
        <v>79</v>
      </c>
      <c r="J443" s="1" t="s">
        <v>80</v>
      </c>
      <c r="K443" s="1" t="s">
        <v>74</v>
      </c>
      <c r="L443" s="1" t="s">
        <v>72</v>
      </c>
      <c r="M443" s="1" t="s">
        <v>75</v>
      </c>
      <c r="N443" s="1" t="s">
        <v>76</v>
      </c>
      <c r="O443" s="1" t="s">
        <v>77</v>
      </c>
      <c r="P443" s="1" t="s">
        <v>27</v>
      </c>
      <c r="Q443" s="1" t="s">
        <v>86</v>
      </c>
      <c r="R443" s="1" t="s">
        <v>94</v>
      </c>
      <c r="S443" s="1" t="s">
        <v>87</v>
      </c>
      <c r="T443" s="1" t="s">
        <v>88</v>
      </c>
      <c r="X443" s="1" t="s">
        <v>73</v>
      </c>
      <c r="Z443" s="1" t="s">
        <v>70</v>
      </c>
      <c r="AA443" s="1" t="s">
        <v>95</v>
      </c>
      <c r="AB443" s="1">
        <v>5</v>
      </c>
      <c r="AC443" s="1">
        <v>748826.14</v>
      </c>
      <c r="AD443" s="1">
        <v>8930504.0600000005</v>
      </c>
      <c r="AE443" s="1">
        <v>210.33</v>
      </c>
      <c r="AF443" s="1">
        <v>748826.14</v>
      </c>
      <c r="AG443" s="1">
        <v>8930504.0600000005</v>
      </c>
      <c r="AH443" s="1">
        <v>199.4</v>
      </c>
      <c r="AI443" s="1">
        <v>10.93</v>
      </c>
      <c r="AJ443" s="1">
        <v>0.6</v>
      </c>
      <c r="AK443" s="1">
        <v>2.97</v>
      </c>
      <c r="AL443" s="1">
        <v>2.58</v>
      </c>
      <c r="AM443" s="1">
        <v>0</v>
      </c>
      <c r="AN443" s="1">
        <v>0</v>
      </c>
      <c r="AO443" s="1">
        <v>279.95422539999998</v>
      </c>
      <c r="AP443" s="1">
        <v>3.22</v>
      </c>
      <c r="AQ443" s="1">
        <v>0.52</v>
      </c>
      <c r="AR443" s="1">
        <v>7.0000000000000007E-2</v>
      </c>
      <c r="AS443" s="1">
        <v>0.06</v>
      </c>
      <c r="AT443" s="1">
        <v>15.96</v>
      </c>
      <c r="AU443" s="1">
        <v>5.42</v>
      </c>
      <c r="AV443" s="1">
        <v>0.28000000000000003</v>
      </c>
      <c r="AW443" s="1">
        <v>2.09</v>
      </c>
      <c r="AX443" s="1">
        <v>7.0000000000000007E-2</v>
      </c>
      <c r="AY443" s="1">
        <v>0</v>
      </c>
      <c r="AZ443" s="1">
        <v>108.181</v>
      </c>
      <c r="BA443" s="1">
        <v>0</v>
      </c>
      <c r="BB443" s="1">
        <v>0</v>
      </c>
      <c r="BC443" s="1">
        <v>0</v>
      </c>
      <c r="BD443" s="1">
        <v>0</v>
      </c>
    </row>
    <row r="444" spans="1:56">
      <c r="A444" s="18">
        <v>46192</v>
      </c>
      <c r="B444" s="1">
        <v>443</v>
      </c>
      <c r="C444" s="1" t="s">
        <v>89</v>
      </c>
      <c r="D444" s="1" t="s">
        <v>90</v>
      </c>
      <c r="E444" s="1">
        <v>2</v>
      </c>
      <c r="F444" s="1">
        <v>200</v>
      </c>
      <c r="G444" s="1">
        <v>1</v>
      </c>
      <c r="H444" s="1" t="s">
        <v>91</v>
      </c>
      <c r="I444" s="1" t="s">
        <v>79</v>
      </c>
      <c r="J444" s="1" t="s">
        <v>80</v>
      </c>
      <c r="K444" s="1" t="s">
        <v>74</v>
      </c>
      <c r="L444" s="1" t="s">
        <v>72</v>
      </c>
      <c r="M444" s="1" t="s">
        <v>75</v>
      </c>
      <c r="N444" s="1" t="s">
        <v>76</v>
      </c>
      <c r="O444" s="1" t="s">
        <v>77</v>
      </c>
      <c r="P444" s="1" t="s">
        <v>27</v>
      </c>
      <c r="Q444" s="1" t="s">
        <v>86</v>
      </c>
      <c r="R444" s="1" t="s">
        <v>94</v>
      </c>
      <c r="S444" s="1" t="s">
        <v>87</v>
      </c>
      <c r="T444" s="1" t="s">
        <v>88</v>
      </c>
      <c r="X444" s="1" t="s">
        <v>73</v>
      </c>
      <c r="Z444" s="1" t="s">
        <v>70</v>
      </c>
      <c r="AA444" s="1" t="s">
        <v>95</v>
      </c>
      <c r="AB444" s="1">
        <v>5</v>
      </c>
      <c r="AC444" s="1">
        <v>748824.54</v>
      </c>
      <c r="AD444" s="1">
        <v>8930506.5600000005</v>
      </c>
      <c r="AE444" s="1">
        <v>210.21</v>
      </c>
      <c r="AF444" s="1">
        <v>748824.54</v>
      </c>
      <c r="AG444" s="1">
        <v>8930506.5600000005</v>
      </c>
      <c r="AH444" s="1">
        <v>199.4</v>
      </c>
      <c r="AI444" s="1">
        <v>10.81</v>
      </c>
      <c r="AJ444" s="1">
        <v>0.6</v>
      </c>
      <c r="AK444" s="1">
        <v>2.97</v>
      </c>
      <c r="AL444" s="1">
        <v>2.58</v>
      </c>
      <c r="AM444" s="1">
        <v>0</v>
      </c>
      <c r="AN444" s="1">
        <v>0</v>
      </c>
      <c r="AO444" s="1">
        <v>279.95422539999998</v>
      </c>
      <c r="AP444" s="1">
        <v>3.23</v>
      </c>
      <c r="AQ444" s="1">
        <v>0.56000000000000005</v>
      </c>
      <c r="AR444" s="1">
        <v>0.08</v>
      </c>
      <c r="AS444" s="1">
        <v>0.06</v>
      </c>
      <c r="AT444" s="1">
        <v>16.78</v>
      </c>
      <c r="AU444" s="1">
        <v>5.46</v>
      </c>
      <c r="AV444" s="1">
        <v>0.3</v>
      </c>
      <c r="AW444" s="1">
        <v>2</v>
      </c>
      <c r="AX444" s="1">
        <v>0.06</v>
      </c>
      <c r="AY444" s="1">
        <v>0</v>
      </c>
      <c r="AZ444" s="1">
        <v>106.434</v>
      </c>
      <c r="BA444" s="1">
        <v>0</v>
      </c>
      <c r="BB444" s="1">
        <v>0</v>
      </c>
      <c r="BC444" s="1">
        <v>0</v>
      </c>
      <c r="BD444" s="1">
        <v>0</v>
      </c>
    </row>
    <row r="445" spans="1:56">
      <c r="A445" s="18">
        <v>46192</v>
      </c>
      <c r="B445" s="1">
        <v>444</v>
      </c>
      <c r="C445" s="1" t="s">
        <v>89</v>
      </c>
      <c r="D445" s="1" t="s">
        <v>90</v>
      </c>
      <c r="E445" s="1">
        <v>2</v>
      </c>
      <c r="F445" s="1">
        <v>200</v>
      </c>
      <c r="G445" s="1">
        <v>1</v>
      </c>
      <c r="H445" s="1" t="s">
        <v>91</v>
      </c>
      <c r="I445" s="1" t="s">
        <v>79</v>
      </c>
      <c r="J445" s="1" t="s">
        <v>80</v>
      </c>
      <c r="K445" s="1" t="s">
        <v>74</v>
      </c>
      <c r="L445" s="1" t="s">
        <v>72</v>
      </c>
      <c r="M445" s="1" t="s">
        <v>75</v>
      </c>
      <c r="N445" s="1" t="s">
        <v>76</v>
      </c>
      <c r="O445" s="1" t="s">
        <v>77</v>
      </c>
      <c r="P445" s="1" t="s">
        <v>27</v>
      </c>
      <c r="Q445" s="1" t="s">
        <v>86</v>
      </c>
      <c r="R445" s="1" t="s">
        <v>94</v>
      </c>
      <c r="S445" s="1" t="s">
        <v>87</v>
      </c>
      <c r="T445" s="1" t="s">
        <v>88</v>
      </c>
      <c r="X445" s="1" t="s">
        <v>73</v>
      </c>
      <c r="Z445" s="1" t="s">
        <v>70</v>
      </c>
      <c r="AA445" s="1" t="s">
        <v>95</v>
      </c>
      <c r="AB445" s="1">
        <v>5</v>
      </c>
      <c r="AC445" s="1">
        <v>748822.93</v>
      </c>
      <c r="AD445" s="1">
        <v>8930509.0600000005</v>
      </c>
      <c r="AE445" s="1">
        <v>210.24</v>
      </c>
      <c r="AF445" s="1">
        <v>748822.93</v>
      </c>
      <c r="AG445" s="1">
        <v>8930509.0600000005</v>
      </c>
      <c r="AH445" s="1">
        <v>199.4</v>
      </c>
      <c r="AI445" s="1">
        <v>10.84</v>
      </c>
      <c r="AJ445" s="1">
        <v>0.6</v>
      </c>
      <c r="AK445" s="1">
        <v>2.97</v>
      </c>
      <c r="AL445" s="1">
        <v>2.58</v>
      </c>
      <c r="AM445" s="1">
        <v>0</v>
      </c>
      <c r="AN445" s="1">
        <v>0</v>
      </c>
      <c r="AO445" s="1">
        <v>279.95422539999998</v>
      </c>
      <c r="AP445" s="1">
        <v>3.24</v>
      </c>
      <c r="AQ445" s="1">
        <v>0.56999999999999995</v>
      </c>
      <c r="AR445" s="1">
        <v>0.08</v>
      </c>
      <c r="AS445" s="1">
        <v>0.06</v>
      </c>
      <c r="AT445" s="1">
        <v>16.86</v>
      </c>
      <c r="AU445" s="1">
        <v>5.43</v>
      </c>
      <c r="AV445" s="1">
        <v>0.3</v>
      </c>
      <c r="AW445" s="1">
        <v>1.62</v>
      </c>
      <c r="AX445" s="1">
        <v>0.09</v>
      </c>
      <c r="AY445" s="1">
        <v>0</v>
      </c>
      <c r="AZ445" s="1">
        <v>106.87</v>
      </c>
      <c r="BA445" s="1">
        <v>0</v>
      </c>
      <c r="BB445" s="1">
        <v>0</v>
      </c>
      <c r="BC445" s="1">
        <v>0</v>
      </c>
      <c r="BD445" s="1">
        <v>0</v>
      </c>
    </row>
    <row r="446" spans="1:56">
      <c r="A446" s="18">
        <v>46192</v>
      </c>
      <c r="B446" s="1">
        <v>445</v>
      </c>
      <c r="C446" s="1" t="s">
        <v>89</v>
      </c>
      <c r="D446" s="1" t="s">
        <v>90</v>
      </c>
      <c r="E446" s="1">
        <v>2</v>
      </c>
      <c r="F446" s="1">
        <v>200</v>
      </c>
      <c r="G446" s="1">
        <v>1</v>
      </c>
      <c r="H446" s="1" t="s">
        <v>91</v>
      </c>
      <c r="I446" s="1" t="s">
        <v>79</v>
      </c>
      <c r="J446" s="1" t="s">
        <v>80</v>
      </c>
      <c r="K446" s="1" t="s">
        <v>74</v>
      </c>
      <c r="L446" s="1" t="s">
        <v>72</v>
      </c>
      <c r="M446" s="1" t="s">
        <v>75</v>
      </c>
      <c r="N446" s="1" t="s">
        <v>76</v>
      </c>
      <c r="O446" s="1" t="s">
        <v>77</v>
      </c>
      <c r="P446" s="1" t="s">
        <v>27</v>
      </c>
      <c r="Q446" s="1" t="s">
        <v>86</v>
      </c>
      <c r="R446" s="1" t="s">
        <v>94</v>
      </c>
      <c r="S446" s="1" t="s">
        <v>87</v>
      </c>
      <c r="T446" s="1" t="s">
        <v>88</v>
      </c>
      <c r="X446" s="1" t="s">
        <v>73</v>
      </c>
      <c r="Z446" s="1" t="s">
        <v>70</v>
      </c>
      <c r="AA446" s="1" t="s">
        <v>95</v>
      </c>
      <c r="AB446" s="1">
        <v>5</v>
      </c>
      <c r="AC446" s="1">
        <v>748821.33</v>
      </c>
      <c r="AD446" s="1">
        <v>8930511.5600000005</v>
      </c>
      <c r="AE446" s="1">
        <v>210.18</v>
      </c>
      <c r="AF446" s="1">
        <v>748821.33</v>
      </c>
      <c r="AG446" s="1">
        <v>8930511.5600000005</v>
      </c>
      <c r="AH446" s="1">
        <v>199.4</v>
      </c>
      <c r="AI446" s="1">
        <v>10.78</v>
      </c>
      <c r="AJ446" s="1">
        <v>0.6</v>
      </c>
      <c r="AK446" s="1">
        <v>2.97</v>
      </c>
      <c r="AL446" s="1">
        <v>2.58</v>
      </c>
      <c r="AM446" s="1">
        <v>0</v>
      </c>
      <c r="AN446" s="1">
        <v>0</v>
      </c>
      <c r="AO446" s="1">
        <v>279.95422539999998</v>
      </c>
      <c r="AP446" s="1">
        <v>3.28</v>
      </c>
      <c r="AQ446" s="1">
        <v>0.55000000000000004</v>
      </c>
      <c r="AR446" s="1">
        <v>0.08</v>
      </c>
      <c r="AS446" s="1">
        <v>0.06</v>
      </c>
      <c r="AT446" s="1">
        <v>16.05</v>
      </c>
      <c r="AU446" s="1">
        <v>5.1100000000000003</v>
      </c>
      <c r="AV446" s="1">
        <v>0.28999999999999998</v>
      </c>
      <c r="AW446" s="1">
        <v>1.03</v>
      </c>
      <c r="AX446" s="1">
        <v>1.17</v>
      </c>
      <c r="AY446" s="1">
        <v>0</v>
      </c>
      <c r="AZ446" s="1">
        <v>105.997</v>
      </c>
      <c r="BA446" s="1">
        <v>0</v>
      </c>
      <c r="BB446" s="1">
        <v>0</v>
      </c>
      <c r="BC446" s="1">
        <v>0</v>
      </c>
      <c r="BD446" s="1">
        <v>0</v>
      </c>
    </row>
    <row r="447" spans="1:56">
      <c r="A447" s="18">
        <v>46192</v>
      </c>
      <c r="B447" s="1">
        <v>446</v>
      </c>
      <c r="C447" s="1" t="s">
        <v>89</v>
      </c>
      <c r="D447" s="1" t="s">
        <v>90</v>
      </c>
      <c r="E447" s="1">
        <v>2</v>
      </c>
      <c r="F447" s="1">
        <v>200</v>
      </c>
      <c r="G447" s="1">
        <v>1</v>
      </c>
      <c r="H447" s="1" t="s">
        <v>91</v>
      </c>
      <c r="I447" s="1" t="s">
        <v>79</v>
      </c>
      <c r="J447" s="1" t="s">
        <v>80</v>
      </c>
      <c r="K447" s="1" t="s">
        <v>74</v>
      </c>
      <c r="L447" s="1" t="s">
        <v>72</v>
      </c>
      <c r="M447" s="1" t="s">
        <v>75</v>
      </c>
      <c r="N447" s="1" t="s">
        <v>76</v>
      </c>
      <c r="O447" s="1" t="s">
        <v>77</v>
      </c>
      <c r="P447" s="1" t="s">
        <v>27</v>
      </c>
      <c r="Q447" s="1" t="s">
        <v>86</v>
      </c>
      <c r="R447" s="1" t="s">
        <v>94</v>
      </c>
      <c r="S447" s="1" t="s">
        <v>87</v>
      </c>
      <c r="T447" s="1" t="s">
        <v>88</v>
      </c>
      <c r="X447" s="1" t="s">
        <v>73</v>
      </c>
      <c r="Z447" s="1" t="s">
        <v>70</v>
      </c>
      <c r="AA447" s="1" t="s">
        <v>95</v>
      </c>
      <c r="AB447" s="1">
        <v>5</v>
      </c>
      <c r="AC447" s="1">
        <v>748819.73</v>
      </c>
      <c r="AD447" s="1">
        <v>8930514.0700000003</v>
      </c>
      <c r="AE447" s="1">
        <v>210.06</v>
      </c>
      <c r="AF447" s="1">
        <v>748819.73</v>
      </c>
      <c r="AG447" s="1">
        <v>8930514.0700000003</v>
      </c>
      <c r="AH447" s="1">
        <v>199.4</v>
      </c>
      <c r="AI447" s="1">
        <v>10.66</v>
      </c>
      <c r="AJ447" s="1">
        <v>0.6</v>
      </c>
      <c r="AK447" s="1">
        <v>2.97</v>
      </c>
      <c r="AL447" s="1">
        <v>2.58</v>
      </c>
      <c r="AM447" s="1">
        <v>0</v>
      </c>
      <c r="AN447" s="1">
        <v>0</v>
      </c>
      <c r="AO447" s="1">
        <v>279.95422539999998</v>
      </c>
      <c r="AP447" s="1">
        <v>3.39</v>
      </c>
      <c r="AQ447" s="1">
        <v>0.52</v>
      </c>
      <c r="AR447" s="1">
        <v>7.0000000000000007E-2</v>
      </c>
      <c r="AS447" s="1">
        <v>0.05</v>
      </c>
      <c r="AT447" s="1">
        <v>15.36</v>
      </c>
      <c r="AU447" s="1">
        <v>5.05</v>
      </c>
      <c r="AV447" s="1">
        <v>0.24</v>
      </c>
      <c r="AW447" s="1">
        <v>0.94</v>
      </c>
      <c r="AX447" s="1">
        <v>3.91</v>
      </c>
      <c r="AY447" s="1">
        <v>0</v>
      </c>
      <c r="AZ447" s="1">
        <v>104.25</v>
      </c>
      <c r="BA447" s="1">
        <v>0</v>
      </c>
      <c r="BB447" s="1">
        <v>0</v>
      </c>
      <c r="BC447" s="1">
        <v>0</v>
      </c>
      <c r="BD447" s="1">
        <v>0</v>
      </c>
    </row>
    <row r="448" spans="1:56">
      <c r="A448" s="18">
        <v>46192</v>
      </c>
      <c r="B448" s="1">
        <v>447</v>
      </c>
      <c r="C448" s="1" t="s">
        <v>89</v>
      </c>
      <c r="D448" s="1" t="s">
        <v>90</v>
      </c>
      <c r="E448" s="1">
        <v>2</v>
      </c>
      <c r="F448" s="1">
        <v>200</v>
      </c>
      <c r="G448" s="1">
        <v>1</v>
      </c>
      <c r="H448" s="1" t="s">
        <v>91</v>
      </c>
      <c r="I448" s="1" t="s">
        <v>79</v>
      </c>
      <c r="J448" s="1" t="s">
        <v>80</v>
      </c>
      <c r="K448" s="1" t="s">
        <v>74</v>
      </c>
      <c r="L448" s="1" t="s">
        <v>72</v>
      </c>
      <c r="M448" s="1" t="s">
        <v>75</v>
      </c>
      <c r="N448" s="1" t="s">
        <v>82</v>
      </c>
      <c r="O448" s="1" t="s">
        <v>77</v>
      </c>
      <c r="P448" s="1" t="s">
        <v>27</v>
      </c>
      <c r="Q448" s="1" t="s">
        <v>86</v>
      </c>
      <c r="R448" s="1" t="s">
        <v>94</v>
      </c>
      <c r="S448" s="1" t="s">
        <v>87</v>
      </c>
      <c r="T448" s="1" t="s">
        <v>88</v>
      </c>
      <c r="X448" s="1" t="s">
        <v>73</v>
      </c>
      <c r="Z448" s="1" t="s">
        <v>70</v>
      </c>
      <c r="AA448" s="1" t="s">
        <v>95</v>
      </c>
      <c r="AB448" s="1">
        <v>5</v>
      </c>
      <c r="AC448" s="1">
        <v>748818.13</v>
      </c>
      <c r="AD448" s="1">
        <v>8930516.5700000003</v>
      </c>
      <c r="AE448" s="1">
        <v>210.11</v>
      </c>
      <c r="AF448" s="1">
        <v>748818.13</v>
      </c>
      <c r="AG448" s="1">
        <v>8930516.5700000003</v>
      </c>
      <c r="AH448" s="1">
        <v>199.4</v>
      </c>
      <c r="AI448" s="1">
        <v>10.71</v>
      </c>
      <c r="AJ448" s="1">
        <v>0.6</v>
      </c>
      <c r="AK448" s="1">
        <v>2.97</v>
      </c>
      <c r="AL448" s="1">
        <v>2.58</v>
      </c>
      <c r="AM448" s="1">
        <v>0</v>
      </c>
      <c r="AN448" s="1">
        <v>0</v>
      </c>
      <c r="AO448" s="1">
        <v>279.95422539999998</v>
      </c>
      <c r="AP448" s="1">
        <v>3.38</v>
      </c>
      <c r="AQ448" s="1">
        <v>0.48</v>
      </c>
      <c r="AR448" s="1">
        <v>7.0000000000000007E-2</v>
      </c>
      <c r="AS448" s="1">
        <v>0.05</v>
      </c>
      <c r="AT448" s="1">
        <v>14.82</v>
      </c>
      <c r="AU448" s="1">
        <v>5.09</v>
      </c>
      <c r="AV448" s="1">
        <v>0.2</v>
      </c>
      <c r="AW448" s="1">
        <v>0.81</v>
      </c>
      <c r="AX448" s="1">
        <v>3.99</v>
      </c>
      <c r="AY448" s="1">
        <v>0</v>
      </c>
      <c r="AZ448" s="1">
        <v>104.97799999999999</v>
      </c>
      <c r="BA448" s="1">
        <v>0</v>
      </c>
      <c r="BB448" s="1">
        <v>0</v>
      </c>
      <c r="BC448" s="1">
        <v>0</v>
      </c>
      <c r="BD448" s="1">
        <v>0</v>
      </c>
    </row>
    <row r="449" spans="1:56">
      <c r="A449" s="18">
        <v>46192</v>
      </c>
      <c r="B449" s="1">
        <v>448</v>
      </c>
      <c r="C449" s="1" t="s">
        <v>89</v>
      </c>
      <c r="D449" s="1" t="s">
        <v>90</v>
      </c>
      <c r="E449" s="1">
        <v>2</v>
      </c>
      <c r="F449" s="1">
        <v>200</v>
      </c>
      <c r="G449" s="1">
        <v>1</v>
      </c>
      <c r="H449" s="1" t="s">
        <v>91</v>
      </c>
      <c r="I449" s="1" t="s">
        <v>79</v>
      </c>
      <c r="J449" s="1" t="s">
        <v>84</v>
      </c>
      <c r="K449" s="1" t="s">
        <v>74</v>
      </c>
      <c r="L449" s="1" t="s">
        <v>72</v>
      </c>
      <c r="M449" s="1" t="s">
        <v>75</v>
      </c>
      <c r="N449" s="1" t="s">
        <v>82</v>
      </c>
      <c r="O449" s="1" t="s">
        <v>77</v>
      </c>
      <c r="P449" s="1" t="s">
        <v>27</v>
      </c>
      <c r="Q449" s="1" t="s">
        <v>86</v>
      </c>
      <c r="R449" s="1" t="s">
        <v>94</v>
      </c>
      <c r="S449" s="1" t="s">
        <v>87</v>
      </c>
      <c r="T449" s="1" t="s">
        <v>88</v>
      </c>
      <c r="X449" s="1" t="s">
        <v>73</v>
      </c>
      <c r="Z449" s="1" t="s">
        <v>70</v>
      </c>
      <c r="AA449" s="1" t="s">
        <v>95</v>
      </c>
      <c r="AB449" s="1">
        <v>5</v>
      </c>
      <c r="AC449" s="1">
        <v>748816.52</v>
      </c>
      <c r="AD449" s="1">
        <v>8930519.0700000003</v>
      </c>
      <c r="AE449" s="1">
        <v>210.2</v>
      </c>
      <c r="AF449" s="1">
        <v>748816.52</v>
      </c>
      <c r="AG449" s="1">
        <v>8930519.0700000003</v>
      </c>
      <c r="AH449" s="1">
        <v>199.4</v>
      </c>
      <c r="AI449" s="1">
        <v>10.8</v>
      </c>
      <c r="AJ449" s="1">
        <v>0.6</v>
      </c>
      <c r="AK449" s="1">
        <v>2.97</v>
      </c>
      <c r="AL449" s="1">
        <v>2.58</v>
      </c>
      <c r="AM449" s="1">
        <v>0</v>
      </c>
      <c r="AN449" s="1">
        <v>0</v>
      </c>
      <c r="AO449" s="1">
        <v>279.95422539999998</v>
      </c>
      <c r="AP449" s="1">
        <v>3.35</v>
      </c>
      <c r="AQ449" s="1">
        <v>0.48</v>
      </c>
      <c r="AR449" s="1">
        <v>0.06</v>
      </c>
      <c r="AS449" s="1">
        <v>0.05</v>
      </c>
      <c r="AT449" s="1">
        <v>14.59</v>
      </c>
      <c r="AU449" s="1">
        <v>5.16</v>
      </c>
      <c r="AV449" s="1">
        <v>0.18</v>
      </c>
      <c r="AW449" s="1">
        <v>0.78</v>
      </c>
      <c r="AX449" s="1">
        <v>3.76</v>
      </c>
      <c r="AY449" s="1">
        <v>0</v>
      </c>
      <c r="AZ449" s="1">
        <v>106.288</v>
      </c>
      <c r="BA449" s="1">
        <v>0</v>
      </c>
      <c r="BB449" s="1">
        <v>0</v>
      </c>
      <c r="BC449" s="1">
        <v>0</v>
      </c>
      <c r="BD449" s="1">
        <v>0</v>
      </c>
    </row>
    <row r="450" spans="1:56">
      <c r="A450" s="18">
        <v>46192</v>
      </c>
      <c r="B450" s="1">
        <v>449</v>
      </c>
      <c r="C450" s="1" t="s">
        <v>89</v>
      </c>
      <c r="D450" s="1" t="s">
        <v>90</v>
      </c>
      <c r="E450" s="1">
        <v>2</v>
      </c>
      <c r="F450" s="1">
        <v>200</v>
      </c>
      <c r="G450" s="1">
        <v>1</v>
      </c>
      <c r="H450" s="1" t="s">
        <v>91</v>
      </c>
      <c r="I450" s="1" t="s">
        <v>79</v>
      </c>
      <c r="J450" s="1" t="s">
        <v>84</v>
      </c>
      <c r="K450" s="1" t="s">
        <v>74</v>
      </c>
      <c r="L450" s="1" t="s">
        <v>72</v>
      </c>
      <c r="M450" s="1" t="s">
        <v>75</v>
      </c>
      <c r="N450" s="1" t="s">
        <v>82</v>
      </c>
      <c r="O450" s="1" t="s">
        <v>77</v>
      </c>
      <c r="P450" s="1" t="s">
        <v>27</v>
      </c>
      <c r="Q450" s="1" t="s">
        <v>86</v>
      </c>
      <c r="R450" s="1" t="s">
        <v>94</v>
      </c>
      <c r="S450" s="1" t="s">
        <v>87</v>
      </c>
      <c r="T450" s="1" t="s">
        <v>88</v>
      </c>
      <c r="X450" s="1" t="s">
        <v>73</v>
      </c>
      <c r="Z450" s="1" t="s">
        <v>70</v>
      </c>
      <c r="AA450" s="1" t="s">
        <v>95</v>
      </c>
      <c r="AB450" s="1">
        <v>5</v>
      </c>
      <c r="AC450" s="1">
        <v>748814.92</v>
      </c>
      <c r="AD450" s="1">
        <v>8930521.5700000003</v>
      </c>
      <c r="AE450" s="1">
        <v>210.09</v>
      </c>
      <c r="AF450" s="1">
        <v>748814.92</v>
      </c>
      <c r="AG450" s="1">
        <v>8930521.5700000003</v>
      </c>
      <c r="AH450" s="1">
        <v>199.4</v>
      </c>
      <c r="AI450" s="1">
        <v>10.69</v>
      </c>
      <c r="AJ450" s="1">
        <v>0.6</v>
      </c>
      <c r="AK450" s="1">
        <v>2.97</v>
      </c>
      <c r="AL450" s="1">
        <v>2.58</v>
      </c>
      <c r="AM450" s="1">
        <v>0</v>
      </c>
      <c r="AN450" s="1">
        <v>0</v>
      </c>
      <c r="AO450" s="1">
        <v>279.95422539999998</v>
      </c>
      <c r="AP450" s="1">
        <v>3.23</v>
      </c>
      <c r="AQ450" s="1">
        <v>0.55000000000000004</v>
      </c>
      <c r="AR450" s="1">
        <v>0.06</v>
      </c>
      <c r="AS450" s="1">
        <v>0.06</v>
      </c>
      <c r="AT450" s="1">
        <v>14.65</v>
      </c>
      <c r="AU450" s="1">
        <v>5.52</v>
      </c>
      <c r="AV450" s="1">
        <v>0.21</v>
      </c>
      <c r="AW450" s="1">
        <v>1.04</v>
      </c>
      <c r="AX450" s="1">
        <v>4.04</v>
      </c>
      <c r="AY450" s="1">
        <v>0</v>
      </c>
      <c r="AZ450" s="1">
        <v>104.68600000000001</v>
      </c>
      <c r="BA450" s="1">
        <v>0</v>
      </c>
      <c r="BB450" s="1">
        <v>0</v>
      </c>
      <c r="BC450" s="1">
        <v>0</v>
      </c>
      <c r="BD450" s="1">
        <v>0</v>
      </c>
    </row>
    <row r="451" spans="1:56">
      <c r="A451" s="18">
        <v>46192</v>
      </c>
      <c r="B451" s="1">
        <v>450</v>
      </c>
      <c r="C451" s="1" t="s">
        <v>89</v>
      </c>
      <c r="D451" s="1" t="s">
        <v>90</v>
      </c>
      <c r="E451" s="1">
        <v>2</v>
      </c>
      <c r="F451" s="1">
        <v>200</v>
      </c>
      <c r="G451" s="1">
        <v>1</v>
      </c>
      <c r="H451" s="1" t="s">
        <v>91</v>
      </c>
      <c r="I451" s="1" t="s">
        <v>79</v>
      </c>
      <c r="J451" s="1" t="s">
        <v>81</v>
      </c>
      <c r="K451" s="1" t="s">
        <v>74</v>
      </c>
      <c r="L451" s="1" t="s">
        <v>72</v>
      </c>
      <c r="M451" s="1" t="s">
        <v>75</v>
      </c>
      <c r="N451" s="1" t="s">
        <v>82</v>
      </c>
      <c r="O451" s="1" t="s">
        <v>77</v>
      </c>
      <c r="P451" s="1" t="s">
        <v>27</v>
      </c>
      <c r="Q451" s="1" t="s">
        <v>86</v>
      </c>
      <c r="R451" s="1" t="s">
        <v>94</v>
      </c>
      <c r="S451" s="1" t="s">
        <v>87</v>
      </c>
      <c r="T451" s="1" t="s">
        <v>88</v>
      </c>
      <c r="X451" s="1" t="s">
        <v>73</v>
      </c>
      <c r="Z451" s="1" t="s">
        <v>70</v>
      </c>
      <c r="AA451" s="1" t="s">
        <v>95</v>
      </c>
      <c r="AB451" s="1">
        <v>5</v>
      </c>
      <c r="AC451" s="1">
        <v>748813.32</v>
      </c>
      <c r="AD451" s="1">
        <v>8930524.0700000003</v>
      </c>
      <c r="AE451" s="1">
        <v>210.08</v>
      </c>
      <c r="AF451" s="1">
        <v>748813.32</v>
      </c>
      <c r="AG451" s="1">
        <v>8930524.0700000003</v>
      </c>
      <c r="AH451" s="1">
        <v>199.4</v>
      </c>
      <c r="AI451" s="1">
        <v>10.68</v>
      </c>
      <c r="AJ451" s="1">
        <v>0.6</v>
      </c>
      <c r="AK451" s="1">
        <v>2.97</v>
      </c>
      <c r="AL451" s="1">
        <v>2.58</v>
      </c>
      <c r="AM451" s="1">
        <v>0</v>
      </c>
      <c r="AN451" s="1">
        <v>0</v>
      </c>
      <c r="AO451" s="1">
        <v>279.95422539999998</v>
      </c>
      <c r="AP451" s="1">
        <v>3.19</v>
      </c>
      <c r="AQ451" s="1">
        <v>0.62</v>
      </c>
      <c r="AR451" s="1">
        <v>0.06</v>
      </c>
      <c r="AS451" s="1">
        <v>7.0000000000000007E-2</v>
      </c>
      <c r="AT451" s="1">
        <v>15.39</v>
      </c>
      <c r="AU451" s="1">
        <v>5.68</v>
      </c>
      <c r="AV451" s="1">
        <v>0.27</v>
      </c>
      <c r="AW451" s="1">
        <v>1.37</v>
      </c>
      <c r="AX451" s="1">
        <v>4.99</v>
      </c>
      <c r="AY451" s="1">
        <v>0</v>
      </c>
      <c r="AZ451" s="1">
        <v>104.541</v>
      </c>
      <c r="BA451" s="1">
        <v>0</v>
      </c>
      <c r="BB451" s="1">
        <v>0</v>
      </c>
      <c r="BC451" s="1">
        <v>0</v>
      </c>
      <c r="BD451" s="1">
        <v>0</v>
      </c>
    </row>
    <row r="452" spans="1:56">
      <c r="A452" s="18">
        <v>46192</v>
      </c>
      <c r="B452" s="1">
        <v>451</v>
      </c>
      <c r="C452" s="1" t="s">
        <v>89</v>
      </c>
      <c r="D452" s="1" t="s">
        <v>90</v>
      </c>
      <c r="E452" s="1">
        <v>2</v>
      </c>
      <c r="F452" s="1">
        <v>200</v>
      </c>
      <c r="G452" s="1">
        <v>1</v>
      </c>
      <c r="H452" s="1" t="s">
        <v>91</v>
      </c>
      <c r="I452" s="1" t="s">
        <v>79</v>
      </c>
      <c r="J452" s="1" t="s">
        <v>81</v>
      </c>
      <c r="K452" s="1" t="s">
        <v>74</v>
      </c>
      <c r="L452" s="1" t="s">
        <v>72</v>
      </c>
      <c r="M452" s="1" t="s">
        <v>75</v>
      </c>
      <c r="N452" s="1" t="s">
        <v>82</v>
      </c>
      <c r="O452" s="1" t="s">
        <v>77</v>
      </c>
      <c r="P452" s="1" t="s">
        <v>27</v>
      </c>
      <c r="Q452" s="1" t="s">
        <v>86</v>
      </c>
      <c r="R452" s="1" t="s">
        <v>94</v>
      </c>
      <c r="S452" s="1" t="s">
        <v>87</v>
      </c>
      <c r="T452" s="1" t="s">
        <v>88</v>
      </c>
      <c r="X452" s="1" t="s">
        <v>73</v>
      </c>
      <c r="Z452" s="1" t="s">
        <v>70</v>
      </c>
      <c r="AA452" s="1" t="s">
        <v>95</v>
      </c>
      <c r="AB452" s="1">
        <v>5</v>
      </c>
      <c r="AC452" s="1">
        <v>748811.71</v>
      </c>
      <c r="AD452" s="1">
        <v>8930526.5700000003</v>
      </c>
      <c r="AE452" s="1">
        <v>210.36</v>
      </c>
      <c r="AF452" s="1">
        <v>748811.71</v>
      </c>
      <c r="AG452" s="1">
        <v>8930526.5700000003</v>
      </c>
      <c r="AH452" s="1">
        <v>199.4</v>
      </c>
      <c r="AI452" s="1">
        <v>10.96</v>
      </c>
      <c r="AJ452" s="1">
        <v>0.6</v>
      </c>
      <c r="AK452" s="1">
        <v>2.97</v>
      </c>
      <c r="AL452" s="1">
        <v>2.58</v>
      </c>
      <c r="AM452" s="1">
        <v>0</v>
      </c>
      <c r="AN452" s="1">
        <v>0</v>
      </c>
      <c r="AO452" s="1">
        <v>279.95422539999998</v>
      </c>
      <c r="AP452" s="1">
        <v>3.18</v>
      </c>
      <c r="AQ452" s="1">
        <v>0.7</v>
      </c>
      <c r="AR452" s="1">
        <v>7.0000000000000007E-2</v>
      </c>
      <c r="AS452" s="1">
        <v>0.08</v>
      </c>
      <c r="AT452" s="1">
        <v>16.420000000000002</v>
      </c>
      <c r="AU452" s="1">
        <v>5.76</v>
      </c>
      <c r="AV452" s="1">
        <v>0.35</v>
      </c>
      <c r="AW452" s="1">
        <v>1.74</v>
      </c>
      <c r="AX452" s="1">
        <v>6.38</v>
      </c>
      <c r="AY452" s="1">
        <v>0</v>
      </c>
      <c r="AZ452" s="1">
        <v>108.61799999999999</v>
      </c>
      <c r="BA452" s="1">
        <v>0</v>
      </c>
      <c r="BB452" s="1">
        <v>0</v>
      </c>
      <c r="BC452" s="1">
        <v>0</v>
      </c>
      <c r="BD452" s="1">
        <v>0</v>
      </c>
    </row>
    <row r="453" spans="1:56">
      <c r="A453" s="18">
        <v>46192</v>
      </c>
      <c r="B453" s="1">
        <v>452</v>
      </c>
      <c r="C453" s="1" t="s">
        <v>89</v>
      </c>
      <c r="D453" s="1" t="s">
        <v>90</v>
      </c>
      <c r="E453" s="1">
        <v>2</v>
      </c>
      <c r="F453" s="1">
        <v>200</v>
      </c>
      <c r="G453" s="1">
        <v>1</v>
      </c>
      <c r="H453" s="1" t="s">
        <v>91</v>
      </c>
      <c r="I453" s="1" t="s">
        <v>79</v>
      </c>
      <c r="J453" s="1" t="s">
        <v>81</v>
      </c>
      <c r="K453" s="1" t="s">
        <v>74</v>
      </c>
      <c r="L453" s="1" t="s">
        <v>72</v>
      </c>
      <c r="M453" s="1" t="s">
        <v>75</v>
      </c>
      <c r="N453" s="1" t="s">
        <v>82</v>
      </c>
      <c r="O453" s="1" t="s">
        <v>77</v>
      </c>
      <c r="P453" s="1" t="s">
        <v>27</v>
      </c>
      <c r="Q453" s="1" t="s">
        <v>86</v>
      </c>
      <c r="R453" s="1" t="s">
        <v>94</v>
      </c>
      <c r="S453" s="1" t="s">
        <v>87</v>
      </c>
      <c r="T453" s="1" t="s">
        <v>88</v>
      </c>
      <c r="X453" s="1" t="s">
        <v>73</v>
      </c>
      <c r="Z453" s="1" t="s">
        <v>70</v>
      </c>
      <c r="AA453" s="1" t="s">
        <v>95</v>
      </c>
      <c r="AB453" s="1">
        <v>5</v>
      </c>
      <c r="AC453" s="1">
        <v>748810.11</v>
      </c>
      <c r="AD453" s="1">
        <v>8930529.0700000003</v>
      </c>
      <c r="AE453" s="1">
        <v>210.62</v>
      </c>
      <c r="AF453" s="1">
        <v>748810.11</v>
      </c>
      <c r="AG453" s="1">
        <v>8930529.0700000003</v>
      </c>
      <c r="AH453" s="1">
        <v>199.4</v>
      </c>
      <c r="AI453" s="1">
        <v>11.22</v>
      </c>
      <c r="AJ453" s="1">
        <v>0.6</v>
      </c>
      <c r="AK453" s="1">
        <v>2.97</v>
      </c>
      <c r="AL453" s="1">
        <v>2.58</v>
      </c>
      <c r="AM453" s="1">
        <v>0</v>
      </c>
      <c r="AN453" s="1">
        <v>0</v>
      </c>
      <c r="AO453" s="1">
        <v>279.95422539999998</v>
      </c>
      <c r="AP453" s="1">
        <v>3.17</v>
      </c>
      <c r="AQ453" s="1">
        <v>0.7</v>
      </c>
      <c r="AR453" s="1">
        <v>7.0000000000000007E-2</v>
      </c>
      <c r="AS453" s="1">
        <v>0.08</v>
      </c>
      <c r="AT453" s="1">
        <v>16.71</v>
      </c>
      <c r="AU453" s="1">
        <v>5.77</v>
      </c>
      <c r="AV453" s="1">
        <v>0.41</v>
      </c>
      <c r="AW453" s="1">
        <v>1.69</v>
      </c>
      <c r="AX453" s="1">
        <v>7.41</v>
      </c>
      <c r="AY453" s="1">
        <v>0</v>
      </c>
      <c r="AZ453" s="1">
        <v>112.40300000000001</v>
      </c>
      <c r="BA453" s="1">
        <v>0</v>
      </c>
      <c r="BB453" s="1">
        <v>0</v>
      </c>
      <c r="BC453" s="1">
        <v>0</v>
      </c>
      <c r="BD453" s="1">
        <v>0</v>
      </c>
    </row>
    <row r="454" spans="1:56">
      <c r="A454" s="18">
        <v>46192</v>
      </c>
      <c r="B454" s="1">
        <v>453</v>
      </c>
      <c r="C454" s="1" t="s">
        <v>89</v>
      </c>
      <c r="D454" s="1" t="s">
        <v>90</v>
      </c>
      <c r="E454" s="1">
        <v>2</v>
      </c>
      <c r="F454" s="1">
        <v>200</v>
      </c>
      <c r="G454" s="1">
        <v>1</v>
      </c>
      <c r="H454" s="1" t="s">
        <v>91</v>
      </c>
      <c r="I454" s="1" t="s">
        <v>79</v>
      </c>
      <c r="J454" s="1" t="s">
        <v>80</v>
      </c>
      <c r="K454" s="1" t="s">
        <v>74</v>
      </c>
      <c r="L454" s="1" t="s">
        <v>72</v>
      </c>
      <c r="M454" s="1" t="s">
        <v>75</v>
      </c>
      <c r="N454" s="1" t="s">
        <v>76</v>
      </c>
      <c r="O454" s="1" t="s">
        <v>77</v>
      </c>
      <c r="P454" s="1" t="s">
        <v>27</v>
      </c>
      <c r="Q454" s="1" t="s">
        <v>86</v>
      </c>
      <c r="R454" s="1" t="s">
        <v>94</v>
      </c>
      <c r="S454" s="1" t="s">
        <v>87</v>
      </c>
      <c r="T454" s="1" t="s">
        <v>88</v>
      </c>
      <c r="X454" s="1" t="s">
        <v>73</v>
      </c>
      <c r="Z454" s="1" t="s">
        <v>70</v>
      </c>
      <c r="AA454" s="1" t="s">
        <v>95</v>
      </c>
      <c r="AB454" s="1">
        <v>5</v>
      </c>
      <c r="AC454" s="1">
        <v>748808.51</v>
      </c>
      <c r="AD454" s="1">
        <v>8930531.5700000003</v>
      </c>
      <c r="AE454" s="1">
        <v>210.54</v>
      </c>
      <c r="AF454" s="1">
        <v>748808.51</v>
      </c>
      <c r="AG454" s="1">
        <v>8930531.5700000003</v>
      </c>
      <c r="AH454" s="1">
        <v>199.4</v>
      </c>
      <c r="AI454" s="1">
        <v>11.14</v>
      </c>
      <c r="AJ454" s="1">
        <v>0.6</v>
      </c>
      <c r="AK454" s="1">
        <v>2.97</v>
      </c>
      <c r="AL454" s="1">
        <v>2.58</v>
      </c>
      <c r="AM454" s="1">
        <v>0</v>
      </c>
      <c r="AN454" s="1">
        <v>0</v>
      </c>
      <c r="AO454" s="1">
        <v>279.95422539999998</v>
      </c>
      <c r="AP454" s="1">
        <v>3.15</v>
      </c>
      <c r="AQ454" s="1">
        <v>0.6</v>
      </c>
      <c r="AR454" s="1">
        <v>7.0000000000000007E-2</v>
      </c>
      <c r="AS454" s="1">
        <v>7.0000000000000007E-2</v>
      </c>
      <c r="AT454" s="1">
        <v>15.71</v>
      </c>
      <c r="AU454" s="1">
        <v>5.9</v>
      </c>
      <c r="AV454" s="1">
        <v>0.45</v>
      </c>
      <c r="AW454" s="1">
        <v>1.33</v>
      </c>
      <c r="AX454" s="1">
        <v>7.29</v>
      </c>
      <c r="AY454" s="1">
        <v>0</v>
      </c>
      <c r="AZ454" s="1">
        <v>111.238</v>
      </c>
      <c r="BA454" s="1">
        <v>0</v>
      </c>
      <c r="BB454" s="1">
        <v>0</v>
      </c>
      <c r="BC454" s="1">
        <v>0</v>
      </c>
      <c r="BD454" s="1">
        <v>0</v>
      </c>
    </row>
    <row r="455" spans="1:56">
      <c r="A455" s="18">
        <v>46192</v>
      </c>
      <c r="B455" s="1">
        <v>454</v>
      </c>
      <c r="C455" s="1" t="s">
        <v>89</v>
      </c>
      <c r="D455" s="1" t="s">
        <v>90</v>
      </c>
      <c r="E455" s="1">
        <v>2</v>
      </c>
      <c r="F455" s="1">
        <v>200</v>
      </c>
      <c r="G455" s="1">
        <v>1</v>
      </c>
      <c r="H455" s="1" t="s">
        <v>91</v>
      </c>
      <c r="I455" s="1" t="s">
        <v>79</v>
      </c>
      <c r="J455" s="1" t="s">
        <v>80</v>
      </c>
      <c r="K455" s="1" t="s">
        <v>74</v>
      </c>
      <c r="L455" s="1" t="s">
        <v>72</v>
      </c>
      <c r="M455" s="1" t="s">
        <v>75</v>
      </c>
      <c r="N455" s="1" t="s">
        <v>76</v>
      </c>
      <c r="O455" s="1" t="s">
        <v>77</v>
      </c>
      <c r="P455" s="1" t="s">
        <v>27</v>
      </c>
      <c r="Q455" s="1" t="s">
        <v>86</v>
      </c>
      <c r="R455" s="1" t="s">
        <v>94</v>
      </c>
      <c r="S455" s="1" t="s">
        <v>87</v>
      </c>
      <c r="T455" s="1" t="s">
        <v>88</v>
      </c>
      <c r="X455" s="1" t="s">
        <v>73</v>
      </c>
      <c r="Z455" s="1" t="s">
        <v>70</v>
      </c>
      <c r="AA455" s="1" t="s">
        <v>95</v>
      </c>
      <c r="AB455" s="1">
        <v>5</v>
      </c>
      <c r="AC455" s="1">
        <v>748806.9</v>
      </c>
      <c r="AD455" s="1">
        <v>8930534.0700000003</v>
      </c>
      <c r="AE455" s="1">
        <v>210.38</v>
      </c>
      <c r="AF455" s="1">
        <v>748806.9</v>
      </c>
      <c r="AG455" s="1">
        <v>8930534.0700000003</v>
      </c>
      <c r="AH455" s="1">
        <v>199.4</v>
      </c>
      <c r="AI455" s="1">
        <v>10.98</v>
      </c>
      <c r="AJ455" s="1">
        <v>0.6</v>
      </c>
      <c r="AK455" s="1">
        <v>2.97</v>
      </c>
      <c r="AL455" s="1">
        <v>2.58</v>
      </c>
      <c r="AM455" s="1">
        <v>0</v>
      </c>
      <c r="AN455" s="1">
        <v>0</v>
      </c>
      <c r="AO455" s="1">
        <v>279.95422539999998</v>
      </c>
      <c r="AP455" s="1">
        <v>3.14</v>
      </c>
      <c r="AQ455" s="1">
        <v>0.57999999999999996</v>
      </c>
      <c r="AR455" s="1">
        <v>7.0000000000000007E-2</v>
      </c>
      <c r="AS455" s="1">
        <v>7.0000000000000007E-2</v>
      </c>
      <c r="AT455" s="1">
        <v>15.64</v>
      </c>
      <c r="AU455" s="1">
        <v>5.94</v>
      </c>
      <c r="AV455" s="1">
        <v>0.46</v>
      </c>
      <c r="AW455" s="1">
        <v>1.27</v>
      </c>
      <c r="AX455" s="1">
        <v>7.21</v>
      </c>
      <c r="AY455" s="1">
        <v>0</v>
      </c>
      <c r="AZ455" s="1">
        <v>108.90900000000001</v>
      </c>
      <c r="BA455" s="1">
        <v>0</v>
      </c>
      <c r="BB455" s="1">
        <v>0</v>
      </c>
      <c r="BC455" s="1">
        <v>0</v>
      </c>
      <c r="BD455" s="1">
        <v>0</v>
      </c>
    </row>
    <row r="456" spans="1:56">
      <c r="A456" s="18">
        <v>46192</v>
      </c>
      <c r="B456" s="1">
        <v>455</v>
      </c>
      <c r="C456" s="1" t="s">
        <v>89</v>
      </c>
      <c r="D456" s="1" t="s">
        <v>90</v>
      </c>
      <c r="E456" s="1">
        <v>2</v>
      </c>
      <c r="F456" s="1">
        <v>200</v>
      </c>
      <c r="G456" s="1">
        <v>1</v>
      </c>
      <c r="H456" s="1" t="s">
        <v>91</v>
      </c>
      <c r="I456" s="1" t="s">
        <v>79</v>
      </c>
      <c r="J456" s="1" t="s">
        <v>80</v>
      </c>
      <c r="K456" s="1" t="s">
        <v>74</v>
      </c>
      <c r="L456" s="1" t="s">
        <v>72</v>
      </c>
      <c r="M456" s="1" t="s">
        <v>75</v>
      </c>
      <c r="N456" s="1" t="s">
        <v>76</v>
      </c>
      <c r="O456" s="1" t="s">
        <v>77</v>
      </c>
      <c r="P456" s="1" t="s">
        <v>27</v>
      </c>
      <c r="Q456" s="1" t="s">
        <v>86</v>
      </c>
      <c r="R456" s="1" t="s">
        <v>94</v>
      </c>
      <c r="S456" s="1" t="s">
        <v>87</v>
      </c>
      <c r="T456" s="1" t="s">
        <v>88</v>
      </c>
      <c r="X456" s="1" t="s">
        <v>73</v>
      </c>
      <c r="Z456" s="1" t="s">
        <v>70</v>
      </c>
      <c r="AA456" s="1" t="s">
        <v>95</v>
      </c>
      <c r="AB456" s="1">
        <v>5</v>
      </c>
      <c r="AC456" s="1">
        <v>748805.3</v>
      </c>
      <c r="AD456" s="1">
        <v>8930536.5700000003</v>
      </c>
      <c r="AE456" s="1">
        <v>210.41</v>
      </c>
      <c r="AF456" s="1">
        <v>748805.3</v>
      </c>
      <c r="AG456" s="1">
        <v>8930536.5700000003</v>
      </c>
      <c r="AH456" s="1">
        <v>199.4</v>
      </c>
      <c r="AI456" s="1">
        <v>11.01</v>
      </c>
      <c r="AJ456" s="1">
        <v>0.6</v>
      </c>
      <c r="AK456" s="1">
        <v>2.97</v>
      </c>
      <c r="AL456" s="1">
        <v>2.58</v>
      </c>
      <c r="AM456" s="1">
        <v>0</v>
      </c>
      <c r="AN456" s="1">
        <v>0</v>
      </c>
      <c r="AO456" s="1">
        <v>279.95422539999998</v>
      </c>
      <c r="AP456" s="1">
        <v>3.14</v>
      </c>
      <c r="AQ456" s="1">
        <v>0.57999999999999996</v>
      </c>
      <c r="AR456" s="1">
        <v>7.0000000000000007E-2</v>
      </c>
      <c r="AS456" s="1">
        <v>7.0000000000000007E-2</v>
      </c>
      <c r="AT456" s="1">
        <v>15.65</v>
      </c>
      <c r="AU456" s="1">
        <v>5.94</v>
      </c>
      <c r="AV456" s="1">
        <v>0.46</v>
      </c>
      <c r="AW456" s="1">
        <v>1.27</v>
      </c>
      <c r="AX456" s="1">
        <v>7.21</v>
      </c>
      <c r="AY456" s="1">
        <v>0</v>
      </c>
      <c r="AZ456" s="1">
        <v>109.346</v>
      </c>
      <c r="BA456" s="1">
        <v>0</v>
      </c>
      <c r="BB456" s="1">
        <v>0</v>
      </c>
      <c r="BC456" s="1">
        <v>0</v>
      </c>
      <c r="BD456" s="1">
        <v>0</v>
      </c>
    </row>
    <row r="457" spans="1:56">
      <c r="A457" s="18">
        <v>46192</v>
      </c>
      <c r="B457" s="1">
        <v>456</v>
      </c>
      <c r="C457" s="1" t="s">
        <v>89</v>
      </c>
      <c r="D457" s="1" t="s">
        <v>90</v>
      </c>
      <c r="E457" s="1">
        <v>2</v>
      </c>
      <c r="F457" s="1">
        <v>200</v>
      </c>
      <c r="G457" s="1">
        <v>1</v>
      </c>
      <c r="H457" s="1" t="s">
        <v>91</v>
      </c>
      <c r="I457" s="1" t="s">
        <v>79</v>
      </c>
      <c r="J457" s="1" t="s">
        <v>80</v>
      </c>
      <c r="K457" s="1" t="s">
        <v>74</v>
      </c>
      <c r="L457" s="1" t="s">
        <v>72</v>
      </c>
      <c r="M457" s="1" t="s">
        <v>75</v>
      </c>
      <c r="N457" s="1" t="s">
        <v>76</v>
      </c>
      <c r="O457" s="1" t="s">
        <v>77</v>
      </c>
      <c r="P457" s="1" t="s">
        <v>27</v>
      </c>
      <c r="Q457" s="1" t="s">
        <v>86</v>
      </c>
      <c r="R457" s="1" t="s">
        <v>94</v>
      </c>
      <c r="S457" s="1" t="s">
        <v>87</v>
      </c>
      <c r="T457" s="1" t="s">
        <v>88</v>
      </c>
      <c r="X457" s="1" t="s">
        <v>73</v>
      </c>
      <c r="Z457" s="1" t="s">
        <v>70</v>
      </c>
      <c r="AA457" s="1" t="s">
        <v>95</v>
      </c>
      <c r="AB457" s="1">
        <v>5</v>
      </c>
      <c r="AC457" s="1">
        <v>748803.7</v>
      </c>
      <c r="AD457" s="1">
        <v>8930539.0700000003</v>
      </c>
      <c r="AE457" s="1">
        <v>210.32</v>
      </c>
      <c r="AF457" s="1">
        <v>748803.7</v>
      </c>
      <c r="AG457" s="1">
        <v>8930539.0700000003</v>
      </c>
      <c r="AH457" s="1">
        <v>199.4</v>
      </c>
      <c r="AI457" s="1">
        <v>10.92</v>
      </c>
      <c r="AJ457" s="1">
        <v>0.6</v>
      </c>
      <c r="AK457" s="1">
        <v>2.97</v>
      </c>
      <c r="AL457" s="1">
        <v>2.58</v>
      </c>
      <c r="AM457" s="1">
        <v>0</v>
      </c>
      <c r="AN457" s="1">
        <v>0</v>
      </c>
      <c r="AO457" s="1">
        <v>279.95422539999998</v>
      </c>
      <c r="AP457" s="1">
        <v>3.16</v>
      </c>
      <c r="AQ457" s="1">
        <v>0.52</v>
      </c>
      <c r="AR457" s="1">
        <v>0.06</v>
      </c>
      <c r="AS457" s="1">
        <v>7.0000000000000007E-2</v>
      </c>
      <c r="AT457" s="1">
        <v>15.47</v>
      </c>
      <c r="AU457" s="1">
        <v>5.76</v>
      </c>
      <c r="AV457" s="1">
        <v>0.41</v>
      </c>
      <c r="AW457" s="1">
        <v>1.25</v>
      </c>
      <c r="AX457" s="1">
        <v>7.31</v>
      </c>
      <c r="AY457" s="1">
        <v>0</v>
      </c>
      <c r="AZ457" s="1">
        <v>108.035</v>
      </c>
      <c r="BA457" s="1">
        <v>0</v>
      </c>
      <c r="BB457" s="1">
        <v>0</v>
      </c>
      <c r="BC457" s="1">
        <v>0</v>
      </c>
      <c r="BD457" s="1">
        <v>0</v>
      </c>
    </row>
    <row r="458" spans="1:56">
      <c r="A458" s="18">
        <v>46192</v>
      </c>
      <c r="B458" s="1">
        <v>457</v>
      </c>
      <c r="C458" s="1" t="s">
        <v>89</v>
      </c>
      <c r="D458" s="1" t="s">
        <v>90</v>
      </c>
      <c r="E458" s="1">
        <v>2</v>
      </c>
      <c r="F458" s="1">
        <v>200</v>
      </c>
      <c r="G458" s="1">
        <v>1</v>
      </c>
      <c r="H458" s="1" t="s">
        <v>91</v>
      </c>
      <c r="I458" s="1" t="s">
        <v>79</v>
      </c>
      <c r="J458" s="1" t="s">
        <v>84</v>
      </c>
      <c r="K458" s="1" t="s">
        <v>74</v>
      </c>
      <c r="L458" s="1" t="s">
        <v>72</v>
      </c>
      <c r="M458" s="1" t="s">
        <v>75</v>
      </c>
      <c r="N458" s="1" t="s">
        <v>76</v>
      </c>
      <c r="O458" s="1" t="s">
        <v>77</v>
      </c>
      <c r="P458" s="1" t="s">
        <v>27</v>
      </c>
      <c r="Q458" s="1" t="s">
        <v>86</v>
      </c>
      <c r="R458" s="1" t="s">
        <v>94</v>
      </c>
      <c r="S458" s="1" t="s">
        <v>87</v>
      </c>
      <c r="T458" s="1" t="s">
        <v>88</v>
      </c>
      <c r="X458" s="1" t="s">
        <v>73</v>
      </c>
      <c r="Z458" s="1" t="s">
        <v>70</v>
      </c>
      <c r="AA458" s="1" t="s">
        <v>95</v>
      </c>
      <c r="AB458" s="1">
        <v>5</v>
      </c>
      <c r="AC458" s="1">
        <v>748802.1</v>
      </c>
      <c r="AD458" s="1">
        <v>8930541.5700000003</v>
      </c>
      <c r="AE458" s="1">
        <v>210.17</v>
      </c>
      <c r="AF458" s="1">
        <v>748802.1</v>
      </c>
      <c r="AG458" s="1">
        <v>8930541.5700000003</v>
      </c>
      <c r="AH458" s="1">
        <v>199.4</v>
      </c>
      <c r="AI458" s="1">
        <v>10.77</v>
      </c>
      <c r="AJ458" s="1">
        <v>0.6</v>
      </c>
      <c r="AK458" s="1">
        <v>2.97</v>
      </c>
      <c r="AL458" s="1">
        <v>2.58</v>
      </c>
      <c r="AM458" s="1">
        <v>0</v>
      </c>
      <c r="AN458" s="1">
        <v>0</v>
      </c>
      <c r="AO458" s="1">
        <v>279.95422539999998</v>
      </c>
      <c r="AP458" s="1">
        <v>3.23</v>
      </c>
      <c r="AQ458" s="1">
        <v>0.32</v>
      </c>
      <c r="AR458" s="1">
        <v>0.04</v>
      </c>
      <c r="AS458" s="1">
        <v>0.05</v>
      </c>
      <c r="AT458" s="1">
        <v>14.96</v>
      </c>
      <c r="AU458" s="1">
        <v>5.21</v>
      </c>
      <c r="AV458" s="1">
        <v>0.27</v>
      </c>
      <c r="AW458" s="1">
        <v>1.19</v>
      </c>
      <c r="AX458" s="1">
        <v>7.64</v>
      </c>
      <c r="AY458" s="1">
        <v>0</v>
      </c>
      <c r="AZ458" s="1">
        <v>105.851</v>
      </c>
      <c r="BA458" s="1">
        <v>0</v>
      </c>
      <c r="BB458" s="1">
        <v>0</v>
      </c>
      <c r="BC458" s="1">
        <v>0</v>
      </c>
      <c r="BD458" s="1">
        <v>0</v>
      </c>
    </row>
    <row r="459" spans="1:56">
      <c r="A459" s="18">
        <v>46192</v>
      </c>
      <c r="B459" s="1">
        <v>458</v>
      </c>
      <c r="C459" s="1" t="s">
        <v>89</v>
      </c>
      <c r="D459" s="1" t="s">
        <v>90</v>
      </c>
      <c r="E459" s="1">
        <v>2</v>
      </c>
      <c r="F459" s="1">
        <v>200</v>
      </c>
      <c r="G459" s="1">
        <v>1</v>
      </c>
      <c r="H459" s="1" t="s">
        <v>91</v>
      </c>
      <c r="I459" s="1" t="s">
        <v>79</v>
      </c>
      <c r="J459" s="1" t="s">
        <v>84</v>
      </c>
      <c r="K459" s="1" t="s">
        <v>74</v>
      </c>
      <c r="L459" s="1" t="s">
        <v>72</v>
      </c>
      <c r="M459" s="1" t="s">
        <v>75</v>
      </c>
      <c r="N459" s="1" t="s">
        <v>76</v>
      </c>
      <c r="O459" s="1" t="s">
        <v>77</v>
      </c>
      <c r="P459" s="1" t="s">
        <v>27</v>
      </c>
      <c r="Q459" s="1" t="s">
        <v>86</v>
      </c>
      <c r="R459" s="1" t="s">
        <v>94</v>
      </c>
      <c r="S459" s="1" t="s">
        <v>87</v>
      </c>
      <c r="T459" s="1" t="s">
        <v>88</v>
      </c>
      <c r="X459" s="1" t="s">
        <v>73</v>
      </c>
      <c r="Z459" s="1" t="s">
        <v>70</v>
      </c>
      <c r="AA459" s="1" t="s">
        <v>95</v>
      </c>
      <c r="AB459" s="1">
        <v>5</v>
      </c>
      <c r="AC459" s="1">
        <v>748800.49</v>
      </c>
      <c r="AD459" s="1">
        <v>8930544.0700000003</v>
      </c>
      <c r="AE459" s="1">
        <v>210.01</v>
      </c>
      <c r="AF459" s="1">
        <v>748800.49</v>
      </c>
      <c r="AG459" s="1">
        <v>8930544.0700000003</v>
      </c>
      <c r="AH459" s="1">
        <v>199.4</v>
      </c>
      <c r="AI459" s="1">
        <v>10.61</v>
      </c>
      <c r="AJ459" s="1">
        <v>0.6</v>
      </c>
      <c r="AK459" s="1">
        <v>2.97</v>
      </c>
      <c r="AL459" s="1">
        <v>2.58</v>
      </c>
      <c r="AM459" s="1">
        <v>0</v>
      </c>
      <c r="AN459" s="1">
        <v>0</v>
      </c>
      <c r="AO459" s="1">
        <v>279.95422539999998</v>
      </c>
      <c r="AP459" s="1">
        <v>3.21</v>
      </c>
      <c r="AQ459" s="1">
        <v>0.33</v>
      </c>
      <c r="AR459" s="1">
        <v>0.04</v>
      </c>
      <c r="AS459" s="1">
        <v>0.05</v>
      </c>
      <c r="AT459" s="1">
        <v>14.75</v>
      </c>
      <c r="AU459" s="1">
        <v>5.09</v>
      </c>
      <c r="AV459" s="1">
        <v>0.25</v>
      </c>
      <c r="AW459" s="1">
        <v>1.32</v>
      </c>
      <c r="AX459" s="1">
        <v>7.85</v>
      </c>
      <c r="AY459" s="1">
        <v>0</v>
      </c>
      <c r="AZ459" s="1">
        <v>103.52200000000001</v>
      </c>
      <c r="BA459" s="1">
        <v>0</v>
      </c>
      <c r="BB459" s="1">
        <v>0</v>
      </c>
      <c r="BC459" s="1">
        <v>0</v>
      </c>
      <c r="BD459" s="1">
        <v>0</v>
      </c>
    </row>
    <row r="460" spans="1:56">
      <c r="A460" s="18">
        <v>46192</v>
      </c>
      <c r="B460" s="1">
        <v>459</v>
      </c>
      <c r="C460" s="1" t="s">
        <v>89</v>
      </c>
      <c r="D460" s="1" t="s">
        <v>90</v>
      </c>
      <c r="E460" s="1">
        <v>2</v>
      </c>
      <c r="F460" s="1">
        <v>200</v>
      </c>
      <c r="G460" s="1">
        <v>1</v>
      </c>
      <c r="H460" s="1" t="s">
        <v>91</v>
      </c>
      <c r="I460" s="1" t="s">
        <v>79</v>
      </c>
      <c r="J460" s="1" t="s">
        <v>84</v>
      </c>
      <c r="K460" s="1" t="s">
        <v>74</v>
      </c>
      <c r="L460" s="1" t="s">
        <v>72</v>
      </c>
      <c r="M460" s="1" t="s">
        <v>75</v>
      </c>
      <c r="N460" s="1" t="s">
        <v>76</v>
      </c>
      <c r="O460" s="1" t="s">
        <v>77</v>
      </c>
      <c r="P460" s="1" t="s">
        <v>27</v>
      </c>
      <c r="Q460" s="1" t="s">
        <v>86</v>
      </c>
      <c r="R460" s="1" t="s">
        <v>94</v>
      </c>
      <c r="S460" s="1" t="s">
        <v>87</v>
      </c>
      <c r="T460" s="1" t="s">
        <v>88</v>
      </c>
      <c r="X460" s="1" t="s">
        <v>73</v>
      </c>
      <c r="Z460" s="1" t="s">
        <v>70</v>
      </c>
      <c r="AA460" s="1" t="s">
        <v>95</v>
      </c>
      <c r="AB460" s="1">
        <v>5</v>
      </c>
      <c r="AC460" s="1">
        <v>748798.89</v>
      </c>
      <c r="AD460" s="1">
        <v>8930546.5700000003</v>
      </c>
      <c r="AE460" s="1">
        <v>209.87</v>
      </c>
      <c r="AF460" s="1">
        <v>748798.89</v>
      </c>
      <c r="AG460" s="1">
        <v>8930546.5700000003</v>
      </c>
      <c r="AH460" s="1">
        <v>199.4</v>
      </c>
      <c r="AI460" s="1">
        <v>10.47</v>
      </c>
      <c r="AJ460" s="1">
        <v>0.6</v>
      </c>
      <c r="AK460" s="1">
        <v>2.97</v>
      </c>
      <c r="AL460" s="1">
        <v>2.58</v>
      </c>
      <c r="AM460" s="1">
        <v>0</v>
      </c>
      <c r="AN460" s="1">
        <v>0</v>
      </c>
      <c r="AO460" s="1">
        <v>279.95422539999998</v>
      </c>
      <c r="AP460" s="1">
        <v>3.17</v>
      </c>
      <c r="AQ460" s="1">
        <v>0.37</v>
      </c>
      <c r="AR460" s="1">
        <v>0.04</v>
      </c>
      <c r="AS460" s="1">
        <v>0.05</v>
      </c>
      <c r="AT460" s="1">
        <v>14.53</v>
      </c>
      <c r="AU460" s="1">
        <v>5</v>
      </c>
      <c r="AV460" s="1">
        <v>0.24</v>
      </c>
      <c r="AW460" s="1">
        <v>1.51</v>
      </c>
      <c r="AX460" s="1">
        <v>8.1</v>
      </c>
      <c r="AY460" s="1">
        <v>0</v>
      </c>
      <c r="AZ460" s="1">
        <v>101.483</v>
      </c>
      <c r="BA460" s="1">
        <v>0</v>
      </c>
      <c r="BB460" s="1">
        <v>0</v>
      </c>
      <c r="BC460" s="1">
        <v>0</v>
      </c>
      <c r="BD460" s="1">
        <v>0</v>
      </c>
    </row>
    <row r="461" spans="1:56">
      <c r="A461" s="18">
        <v>46192</v>
      </c>
      <c r="B461" s="1">
        <v>460</v>
      </c>
      <c r="C461" s="1" t="s">
        <v>89</v>
      </c>
      <c r="D461" s="1" t="s">
        <v>90</v>
      </c>
      <c r="E461" s="1">
        <v>2</v>
      </c>
      <c r="F461" s="1">
        <v>200</v>
      </c>
      <c r="G461" s="1">
        <v>1</v>
      </c>
      <c r="H461" s="1" t="s">
        <v>91</v>
      </c>
      <c r="I461" s="1" t="s">
        <v>79</v>
      </c>
      <c r="J461" s="1" t="s">
        <v>84</v>
      </c>
      <c r="K461" s="1" t="s">
        <v>74</v>
      </c>
      <c r="L461" s="1" t="s">
        <v>72</v>
      </c>
      <c r="M461" s="1" t="s">
        <v>75</v>
      </c>
      <c r="N461" s="1" t="s">
        <v>76</v>
      </c>
      <c r="O461" s="1" t="s">
        <v>77</v>
      </c>
      <c r="P461" s="1" t="s">
        <v>27</v>
      </c>
      <c r="Q461" s="1" t="s">
        <v>86</v>
      </c>
      <c r="R461" s="1" t="s">
        <v>94</v>
      </c>
      <c r="S461" s="1" t="s">
        <v>87</v>
      </c>
      <c r="T461" s="1" t="s">
        <v>88</v>
      </c>
      <c r="X461" s="1" t="s">
        <v>73</v>
      </c>
      <c r="Z461" s="1" t="s">
        <v>70</v>
      </c>
      <c r="AA461" s="1" t="s">
        <v>95</v>
      </c>
      <c r="AB461" s="1">
        <v>5</v>
      </c>
      <c r="AC461" s="1">
        <v>748797.29</v>
      </c>
      <c r="AD461" s="1">
        <v>8930549.0700000003</v>
      </c>
      <c r="AE461" s="1">
        <v>209.82</v>
      </c>
      <c r="AF461" s="1">
        <v>748797.29</v>
      </c>
      <c r="AG461" s="1">
        <v>8930549.0700000003</v>
      </c>
      <c r="AH461" s="1">
        <v>199.4</v>
      </c>
      <c r="AI461" s="1">
        <v>10.42</v>
      </c>
      <c r="AJ461" s="1">
        <v>0.6</v>
      </c>
      <c r="AK461" s="1">
        <v>2.97</v>
      </c>
      <c r="AL461" s="1">
        <v>2.58</v>
      </c>
      <c r="AM461" s="1">
        <v>0</v>
      </c>
      <c r="AN461" s="1">
        <v>0</v>
      </c>
      <c r="AO461" s="1">
        <v>279.95422539999998</v>
      </c>
      <c r="AP461" s="1">
        <v>3.2</v>
      </c>
      <c r="AQ461" s="1">
        <v>0.36</v>
      </c>
      <c r="AR461" s="1">
        <v>0.04</v>
      </c>
      <c r="AS461" s="1">
        <v>0.05</v>
      </c>
      <c r="AT461" s="1">
        <v>14.2</v>
      </c>
      <c r="AU461" s="1">
        <v>4.8899999999999997</v>
      </c>
      <c r="AV461" s="1">
        <v>0.22</v>
      </c>
      <c r="AW461" s="1">
        <v>1.68</v>
      </c>
      <c r="AX461" s="1">
        <v>8.2899999999999991</v>
      </c>
      <c r="AY461" s="1">
        <v>0</v>
      </c>
      <c r="AZ461" s="1">
        <v>100.755</v>
      </c>
      <c r="BA461" s="1">
        <v>0</v>
      </c>
      <c r="BB461" s="1">
        <v>0</v>
      </c>
      <c r="BC461" s="1">
        <v>0</v>
      </c>
      <c r="BD461" s="1">
        <v>0</v>
      </c>
    </row>
    <row r="462" spans="1:56">
      <c r="A462" s="18">
        <v>46192</v>
      </c>
      <c r="B462" s="1">
        <v>461</v>
      </c>
      <c r="C462" s="1" t="s">
        <v>89</v>
      </c>
      <c r="D462" s="1" t="s">
        <v>90</v>
      </c>
      <c r="E462" s="1">
        <v>2</v>
      </c>
      <c r="F462" s="1">
        <v>200</v>
      </c>
      <c r="G462" s="1">
        <v>1</v>
      </c>
      <c r="H462" s="1" t="s">
        <v>91</v>
      </c>
      <c r="I462" s="1" t="s">
        <v>79</v>
      </c>
      <c r="J462" s="1" t="s">
        <v>84</v>
      </c>
      <c r="K462" s="1" t="s">
        <v>74</v>
      </c>
      <c r="L462" s="1" t="s">
        <v>72</v>
      </c>
      <c r="M462" s="1" t="s">
        <v>75</v>
      </c>
      <c r="N462" s="1" t="s">
        <v>76</v>
      </c>
      <c r="O462" s="1" t="s">
        <v>77</v>
      </c>
      <c r="P462" s="1" t="s">
        <v>27</v>
      </c>
      <c r="Q462" s="1" t="s">
        <v>86</v>
      </c>
      <c r="R462" s="1" t="s">
        <v>94</v>
      </c>
      <c r="S462" s="1" t="s">
        <v>87</v>
      </c>
      <c r="T462" s="1" t="s">
        <v>88</v>
      </c>
      <c r="X462" s="1" t="s">
        <v>73</v>
      </c>
      <c r="Z462" s="1" t="s">
        <v>70</v>
      </c>
      <c r="AA462" s="1" t="s">
        <v>95</v>
      </c>
      <c r="AB462" s="1">
        <v>5</v>
      </c>
      <c r="AC462" s="1">
        <v>748795.44</v>
      </c>
      <c r="AD462" s="1">
        <v>8930551.3399999999</v>
      </c>
      <c r="AE462" s="1">
        <v>209.96</v>
      </c>
      <c r="AF462" s="1">
        <v>748795.44</v>
      </c>
      <c r="AG462" s="1">
        <v>8930551.3399999999</v>
      </c>
      <c r="AH462" s="1">
        <v>199.4</v>
      </c>
      <c r="AI462" s="1">
        <v>10.56</v>
      </c>
      <c r="AJ462" s="1">
        <v>0.6</v>
      </c>
      <c r="AK462" s="1">
        <v>2.97</v>
      </c>
      <c r="AL462" s="1">
        <v>2.58</v>
      </c>
      <c r="AM462" s="1">
        <v>0</v>
      </c>
      <c r="AN462" s="1">
        <v>0</v>
      </c>
      <c r="AO462" s="1">
        <v>279.95422539999998</v>
      </c>
      <c r="AP462" s="1">
        <v>3.33</v>
      </c>
      <c r="AQ462" s="1">
        <v>0.28999999999999998</v>
      </c>
      <c r="AR462" s="1">
        <v>0.04</v>
      </c>
      <c r="AS462" s="1">
        <v>0.05</v>
      </c>
      <c r="AT462" s="1">
        <v>13.56</v>
      </c>
      <c r="AU462" s="1">
        <v>4.6900000000000004</v>
      </c>
      <c r="AV462" s="1">
        <v>0.15</v>
      </c>
      <c r="AW462" s="1">
        <v>1.94</v>
      </c>
      <c r="AX462" s="1">
        <v>8.58</v>
      </c>
      <c r="AY462" s="1">
        <v>0</v>
      </c>
      <c r="AZ462" s="1">
        <v>102.794</v>
      </c>
      <c r="BA462" s="1">
        <v>0</v>
      </c>
      <c r="BB462" s="1">
        <v>0</v>
      </c>
      <c r="BC462" s="1">
        <v>0</v>
      </c>
      <c r="BD462" s="1">
        <v>0</v>
      </c>
    </row>
    <row r="463" spans="1:56">
      <c r="A463" s="18">
        <v>46192</v>
      </c>
      <c r="B463" s="1">
        <v>462</v>
      </c>
      <c r="C463" s="1" t="s">
        <v>89</v>
      </c>
      <c r="D463" s="1" t="s">
        <v>90</v>
      </c>
      <c r="E463" s="1">
        <v>2</v>
      </c>
      <c r="F463" s="1">
        <v>200</v>
      </c>
      <c r="G463" s="1">
        <v>1</v>
      </c>
      <c r="H463" s="1" t="s">
        <v>91</v>
      </c>
      <c r="I463" s="1" t="s">
        <v>79</v>
      </c>
      <c r="J463" s="1" t="s">
        <v>84</v>
      </c>
      <c r="K463" s="1" t="s">
        <v>74</v>
      </c>
      <c r="L463" s="1" t="s">
        <v>72</v>
      </c>
      <c r="M463" s="1" t="s">
        <v>75</v>
      </c>
      <c r="N463" s="1" t="s">
        <v>76</v>
      </c>
      <c r="O463" s="1" t="s">
        <v>77</v>
      </c>
      <c r="P463" s="1" t="s">
        <v>27</v>
      </c>
      <c r="Q463" s="1" t="s">
        <v>86</v>
      </c>
      <c r="R463" s="1" t="s">
        <v>94</v>
      </c>
      <c r="S463" s="1" t="s">
        <v>87</v>
      </c>
      <c r="T463" s="1" t="s">
        <v>88</v>
      </c>
      <c r="X463" s="1" t="s">
        <v>73</v>
      </c>
      <c r="Z463" s="1" t="s">
        <v>70</v>
      </c>
      <c r="AA463" s="1" t="s">
        <v>95</v>
      </c>
      <c r="AB463" s="1">
        <v>5</v>
      </c>
      <c r="AC463" s="1">
        <v>748793.19</v>
      </c>
      <c r="AD463" s="1">
        <v>8930553.2699999996</v>
      </c>
      <c r="AE463" s="1">
        <v>210.14</v>
      </c>
      <c r="AF463" s="1">
        <v>748793.19</v>
      </c>
      <c r="AG463" s="1">
        <v>8930553.2699999996</v>
      </c>
      <c r="AH463" s="1">
        <v>199.4</v>
      </c>
      <c r="AI463" s="1">
        <v>10.74</v>
      </c>
      <c r="AJ463" s="1">
        <v>0.6</v>
      </c>
      <c r="AK463" s="1">
        <v>2.97</v>
      </c>
      <c r="AL463" s="1">
        <v>2.58</v>
      </c>
      <c r="AM463" s="1">
        <v>0</v>
      </c>
      <c r="AN463" s="1">
        <v>0</v>
      </c>
      <c r="AO463" s="1">
        <v>279.95422539999998</v>
      </c>
      <c r="AP463" s="1">
        <v>3.35</v>
      </c>
      <c r="AQ463" s="1">
        <v>0.27</v>
      </c>
      <c r="AR463" s="1">
        <v>0.04</v>
      </c>
      <c r="AS463" s="1">
        <v>0.04</v>
      </c>
      <c r="AT463" s="1">
        <v>13.44</v>
      </c>
      <c r="AU463" s="1">
        <v>4.6500000000000004</v>
      </c>
      <c r="AV463" s="1">
        <v>0.14000000000000001</v>
      </c>
      <c r="AW463" s="1">
        <v>1.99</v>
      </c>
      <c r="AX463" s="1">
        <v>8.65</v>
      </c>
      <c r="AY463" s="1">
        <v>0</v>
      </c>
      <c r="AZ463" s="1">
        <v>105.414</v>
      </c>
      <c r="BA463" s="1">
        <v>0</v>
      </c>
      <c r="BB463" s="1">
        <v>0</v>
      </c>
      <c r="BC463" s="1">
        <v>0</v>
      </c>
      <c r="BD463" s="1">
        <v>0</v>
      </c>
    </row>
    <row r="464" spans="1:56">
      <c r="A464" s="18">
        <v>46192</v>
      </c>
      <c r="B464" s="1">
        <v>463</v>
      </c>
      <c r="C464" s="1" t="s">
        <v>89</v>
      </c>
      <c r="D464" s="1" t="s">
        <v>90</v>
      </c>
      <c r="E464" s="1">
        <v>2</v>
      </c>
      <c r="F464" s="1">
        <v>200</v>
      </c>
      <c r="G464" s="1">
        <v>1</v>
      </c>
      <c r="H464" s="1" t="s">
        <v>91</v>
      </c>
      <c r="I464" s="1" t="s">
        <v>79</v>
      </c>
      <c r="J464" s="1" t="s">
        <v>84</v>
      </c>
      <c r="K464" s="1" t="s">
        <v>74</v>
      </c>
      <c r="L464" s="1" t="s">
        <v>72</v>
      </c>
      <c r="M464" s="1" t="s">
        <v>75</v>
      </c>
      <c r="N464" s="1" t="s">
        <v>76</v>
      </c>
      <c r="O464" s="1" t="s">
        <v>77</v>
      </c>
      <c r="P464" s="1" t="s">
        <v>27</v>
      </c>
      <c r="Q464" s="1" t="s">
        <v>86</v>
      </c>
      <c r="R464" s="1" t="s">
        <v>94</v>
      </c>
      <c r="S464" s="1" t="s">
        <v>87</v>
      </c>
      <c r="T464" s="1" t="s">
        <v>88</v>
      </c>
      <c r="X464" s="1" t="s">
        <v>73</v>
      </c>
      <c r="Z464" s="1" t="s">
        <v>70</v>
      </c>
      <c r="AA464" s="1" t="s">
        <v>95</v>
      </c>
      <c r="AB464" s="1">
        <v>5</v>
      </c>
      <c r="AC464" s="1">
        <v>748790.94</v>
      </c>
      <c r="AD464" s="1">
        <v>8930555.2100000009</v>
      </c>
      <c r="AE464" s="1">
        <v>210.15</v>
      </c>
      <c r="AF464" s="1">
        <v>748790.94</v>
      </c>
      <c r="AG464" s="1">
        <v>8930555.2100000009</v>
      </c>
      <c r="AH464" s="1">
        <v>199.4</v>
      </c>
      <c r="AI464" s="1">
        <v>10.75</v>
      </c>
      <c r="AJ464" s="1">
        <v>0.6</v>
      </c>
      <c r="AK464" s="1">
        <v>2.97</v>
      </c>
      <c r="AL464" s="1">
        <v>2.58</v>
      </c>
      <c r="AM464" s="1">
        <v>0</v>
      </c>
      <c r="AN464" s="1">
        <v>0</v>
      </c>
      <c r="AO464" s="1">
        <v>279.95422539999998</v>
      </c>
      <c r="AP464" s="1">
        <v>3.34</v>
      </c>
      <c r="AQ464" s="1">
        <v>0.31</v>
      </c>
      <c r="AR464" s="1">
        <v>0.05</v>
      </c>
      <c r="AS464" s="1">
        <v>0.05</v>
      </c>
      <c r="AT464" s="1">
        <v>14.12</v>
      </c>
      <c r="AU464" s="1">
        <v>4.63</v>
      </c>
      <c r="AV464" s="1">
        <v>0.15</v>
      </c>
      <c r="AW464" s="1">
        <v>2.0099999999999998</v>
      </c>
      <c r="AX464" s="1">
        <v>8.65</v>
      </c>
      <c r="AY464" s="1">
        <v>0</v>
      </c>
      <c r="AZ464" s="1">
        <v>105.56</v>
      </c>
      <c r="BA464" s="1">
        <v>0</v>
      </c>
      <c r="BB464" s="1">
        <v>0</v>
      </c>
      <c r="BC464" s="1">
        <v>0</v>
      </c>
      <c r="BD464" s="1">
        <v>0</v>
      </c>
    </row>
    <row r="465" spans="1:56">
      <c r="A465" s="18">
        <v>46192</v>
      </c>
      <c r="B465" s="1">
        <v>464</v>
      </c>
      <c r="C465" s="1" t="s">
        <v>89</v>
      </c>
      <c r="D465" s="1" t="s">
        <v>90</v>
      </c>
      <c r="E465" s="1">
        <v>2</v>
      </c>
      <c r="F465" s="1">
        <v>200</v>
      </c>
      <c r="G465" s="1">
        <v>1</v>
      </c>
      <c r="H465" s="1" t="s">
        <v>91</v>
      </c>
      <c r="I465" s="1" t="s">
        <v>79</v>
      </c>
      <c r="J465" s="1" t="s">
        <v>80</v>
      </c>
      <c r="K465" s="1" t="s">
        <v>74</v>
      </c>
      <c r="L465" s="1" t="s">
        <v>72</v>
      </c>
      <c r="M465" s="1" t="s">
        <v>75</v>
      </c>
      <c r="N465" s="1" t="s">
        <v>76</v>
      </c>
      <c r="O465" s="1" t="s">
        <v>77</v>
      </c>
      <c r="P465" s="1" t="s">
        <v>27</v>
      </c>
      <c r="Q465" s="1" t="s">
        <v>86</v>
      </c>
      <c r="R465" s="1" t="s">
        <v>94</v>
      </c>
      <c r="S465" s="1" t="s">
        <v>87</v>
      </c>
      <c r="T465" s="1" t="s">
        <v>88</v>
      </c>
      <c r="X465" s="1" t="s">
        <v>73</v>
      </c>
      <c r="Z465" s="1" t="s">
        <v>70</v>
      </c>
      <c r="AA465" s="1" t="s">
        <v>95</v>
      </c>
      <c r="AB465" s="1">
        <v>5</v>
      </c>
      <c r="AC465" s="1">
        <v>748788.69</v>
      </c>
      <c r="AD465" s="1">
        <v>8930557.1500000004</v>
      </c>
      <c r="AE465" s="1">
        <v>210.23</v>
      </c>
      <c r="AF465" s="1">
        <v>748788.69</v>
      </c>
      <c r="AG465" s="1">
        <v>8930557.1500000004</v>
      </c>
      <c r="AH465" s="1">
        <v>199.4</v>
      </c>
      <c r="AI465" s="1">
        <v>10.83</v>
      </c>
      <c r="AJ465" s="1">
        <v>0.6</v>
      </c>
      <c r="AK465" s="1">
        <v>2.97</v>
      </c>
      <c r="AL465" s="1">
        <v>2.58</v>
      </c>
      <c r="AM465" s="1">
        <v>0</v>
      </c>
      <c r="AN465" s="1">
        <v>0</v>
      </c>
      <c r="AO465" s="1">
        <v>279.95422539999998</v>
      </c>
      <c r="AP465" s="1">
        <v>3.31</v>
      </c>
      <c r="AQ465" s="1">
        <v>0.4</v>
      </c>
      <c r="AR465" s="1">
        <v>0.08</v>
      </c>
      <c r="AS465" s="1">
        <v>0.06</v>
      </c>
      <c r="AT465" s="1">
        <v>16.100000000000001</v>
      </c>
      <c r="AU465" s="1">
        <v>4.58</v>
      </c>
      <c r="AV465" s="1">
        <v>0.2</v>
      </c>
      <c r="AW465" s="1">
        <v>2.06</v>
      </c>
      <c r="AX465" s="1">
        <v>8.66</v>
      </c>
      <c r="AY465" s="1">
        <v>0</v>
      </c>
      <c r="AZ465" s="1">
        <v>106.72499999999999</v>
      </c>
      <c r="BA465" s="1">
        <v>0</v>
      </c>
      <c r="BB465" s="1">
        <v>0</v>
      </c>
      <c r="BC465" s="1">
        <v>0</v>
      </c>
      <c r="BD465" s="1">
        <v>0</v>
      </c>
    </row>
    <row r="466" spans="1:56">
      <c r="A466" s="18">
        <v>46192</v>
      </c>
      <c r="B466" s="1">
        <v>465</v>
      </c>
      <c r="C466" s="1" t="s">
        <v>89</v>
      </c>
      <c r="D466" s="1" t="s">
        <v>90</v>
      </c>
      <c r="E466" s="1">
        <v>2</v>
      </c>
      <c r="F466" s="1">
        <v>200</v>
      </c>
      <c r="G466" s="1">
        <v>1</v>
      </c>
      <c r="H466" s="1" t="s">
        <v>91</v>
      </c>
      <c r="I466" s="1" t="s">
        <v>79</v>
      </c>
      <c r="J466" s="1" t="s">
        <v>80</v>
      </c>
      <c r="K466" s="1" t="s">
        <v>74</v>
      </c>
      <c r="L466" s="1" t="s">
        <v>72</v>
      </c>
      <c r="M466" s="1" t="s">
        <v>75</v>
      </c>
      <c r="N466" s="1" t="s">
        <v>76</v>
      </c>
      <c r="O466" s="1" t="s">
        <v>77</v>
      </c>
      <c r="P466" s="1" t="s">
        <v>27</v>
      </c>
      <c r="Q466" s="1" t="s">
        <v>86</v>
      </c>
      <c r="R466" s="1" t="s">
        <v>94</v>
      </c>
      <c r="S466" s="1" t="s">
        <v>87</v>
      </c>
      <c r="T466" s="1" t="s">
        <v>88</v>
      </c>
      <c r="X466" s="1" t="s">
        <v>73</v>
      </c>
      <c r="Z466" s="1" t="s">
        <v>70</v>
      </c>
      <c r="AA466" s="1" t="s">
        <v>95</v>
      </c>
      <c r="AB466" s="1">
        <v>5</v>
      </c>
      <c r="AC466" s="1">
        <v>748786.44</v>
      </c>
      <c r="AD466" s="1">
        <v>8930559.0899999999</v>
      </c>
      <c r="AE466" s="1">
        <v>210.29</v>
      </c>
      <c r="AF466" s="1">
        <v>748786.44</v>
      </c>
      <c r="AG466" s="1">
        <v>8930559.0899999999</v>
      </c>
      <c r="AH466" s="1">
        <v>199.4</v>
      </c>
      <c r="AI466" s="1">
        <v>10.89</v>
      </c>
      <c r="AJ466" s="1">
        <v>0.6</v>
      </c>
      <c r="AK466" s="1">
        <v>2.97</v>
      </c>
      <c r="AL466" s="1">
        <v>2.58</v>
      </c>
      <c r="AM466" s="1">
        <v>0</v>
      </c>
      <c r="AN466" s="1">
        <v>0</v>
      </c>
      <c r="AO466" s="1">
        <v>279.95422539999998</v>
      </c>
      <c r="AP466" s="1">
        <v>3.32</v>
      </c>
      <c r="AQ466" s="1">
        <v>0.48</v>
      </c>
      <c r="AR466" s="1">
        <v>0.1</v>
      </c>
      <c r="AS466" s="1">
        <v>7.0000000000000007E-2</v>
      </c>
      <c r="AT466" s="1">
        <v>17.46</v>
      </c>
      <c r="AU466" s="1">
        <v>4.83</v>
      </c>
      <c r="AV466" s="1">
        <v>0.21</v>
      </c>
      <c r="AW466" s="1">
        <v>2.2599999999999998</v>
      </c>
      <c r="AX466" s="1">
        <v>8.07</v>
      </c>
      <c r="AY466" s="1">
        <v>0</v>
      </c>
      <c r="AZ466" s="1">
        <v>107.598</v>
      </c>
      <c r="BA466" s="1">
        <v>0</v>
      </c>
      <c r="BB466" s="1">
        <v>0</v>
      </c>
      <c r="BC466" s="1">
        <v>0</v>
      </c>
      <c r="BD466" s="1">
        <v>0</v>
      </c>
    </row>
    <row r="467" spans="1:56">
      <c r="A467" s="18">
        <v>46192</v>
      </c>
      <c r="B467" s="1">
        <v>466</v>
      </c>
      <c r="C467" s="1" t="s">
        <v>89</v>
      </c>
      <c r="D467" s="1" t="s">
        <v>90</v>
      </c>
      <c r="E467" s="1">
        <v>2</v>
      </c>
      <c r="F467" s="1">
        <v>200</v>
      </c>
      <c r="G467" s="1">
        <v>1</v>
      </c>
      <c r="H467" s="1" t="s">
        <v>91</v>
      </c>
      <c r="I467" s="1" t="s">
        <v>79</v>
      </c>
      <c r="J467" s="1" t="s">
        <v>80</v>
      </c>
      <c r="K467" s="1" t="s">
        <v>74</v>
      </c>
      <c r="L467" s="1" t="s">
        <v>72</v>
      </c>
      <c r="M467" s="1" t="s">
        <v>75</v>
      </c>
      <c r="N467" s="1" t="s">
        <v>76</v>
      </c>
      <c r="O467" s="1" t="s">
        <v>77</v>
      </c>
      <c r="P467" s="1" t="s">
        <v>27</v>
      </c>
      <c r="Q467" s="1" t="s">
        <v>86</v>
      </c>
      <c r="R467" s="1" t="s">
        <v>94</v>
      </c>
      <c r="S467" s="1" t="s">
        <v>87</v>
      </c>
      <c r="T467" s="1" t="s">
        <v>88</v>
      </c>
      <c r="X467" s="1" t="s">
        <v>73</v>
      </c>
      <c r="Z467" s="1" t="s">
        <v>70</v>
      </c>
      <c r="AA467" s="1" t="s">
        <v>95</v>
      </c>
      <c r="AB467" s="1">
        <v>5</v>
      </c>
      <c r="AC467" s="1">
        <v>748784.19</v>
      </c>
      <c r="AD467" s="1">
        <v>8930561.0299999993</v>
      </c>
      <c r="AE467" s="1">
        <v>210.36</v>
      </c>
      <c r="AF467" s="1">
        <v>748784.19</v>
      </c>
      <c r="AG467" s="1">
        <v>8930561.0299999993</v>
      </c>
      <c r="AH467" s="1">
        <v>199.4</v>
      </c>
      <c r="AI467" s="1">
        <v>10.96</v>
      </c>
      <c r="AJ467" s="1">
        <v>0.6</v>
      </c>
      <c r="AK467" s="1">
        <v>2.97</v>
      </c>
      <c r="AL467" s="1">
        <v>2.58</v>
      </c>
      <c r="AM467" s="1">
        <v>0</v>
      </c>
      <c r="AN467" s="1">
        <v>0</v>
      </c>
      <c r="AO467" s="1">
        <v>279.95422539999998</v>
      </c>
      <c r="AP467" s="1">
        <v>3.36</v>
      </c>
      <c r="AQ467" s="1">
        <v>0.63</v>
      </c>
      <c r="AR467" s="1">
        <v>0.11</v>
      </c>
      <c r="AS467" s="1">
        <v>0.09</v>
      </c>
      <c r="AT467" s="1">
        <v>19.71</v>
      </c>
      <c r="AU467" s="1">
        <v>5.47</v>
      </c>
      <c r="AV467" s="1">
        <v>0.23</v>
      </c>
      <c r="AW467" s="1">
        <v>2.72</v>
      </c>
      <c r="AX467" s="1">
        <v>6.62</v>
      </c>
      <c r="AY467" s="1">
        <v>0</v>
      </c>
      <c r="AZ467" s="1">
        <v>108.61799999999999</v>
      </c>
      <c r="BA467" s="1">
        <v>0</v>
      </c>
      <c r="BB467" s="1">
        <v>0</v>
      </c>
      <c r="BC467" s="1">
        <v>0</v>
      </c>
      <c r="BD467" s="1">
        <v>0</v>
      </c>
    </row>
    <row r="468" spans="1:56">
      <c r="A468" s="18">
        <v>46192</v>
      </c>
      <c r="B468" s="1">
        <v>467</v>
      </c>
      <c r="C468" s="1" t="s">
        <v>89</v>
      </c>
      <c r="D468" s="1" t="s">
        <v>90</v>
      </c>
      <c r="E468" s="1">
        <v>2</v>
      </c>
      <c r="F468" s="1">
        <v>200</v>
      </c>
      <c r="G468" s="1">
        <v>1</v>
      </c>
      <c r="H468" s="1" t="s">
        <v>91</v>
      </c>
      <c r="I468" s="1" t="s">
        <v>79</v>
      </c>
      <c r="J468" s="1" t="s">
        <v>80</v>
      </c>
      <c r="K468" s="1" t="s">
        <v>74</v>
      </c>
      <c r="L468" s="1" t="s">
        <v>72</v>
      </c>
      <c r="M468" s="1" t="s">
        <v>75</v>
      </c>
      <c r="N468" s="1" t="s">
        <v>76</v>
      </c>
      <c r="O468" s="1" t="s">
        <v>77</v>
      </c>
      <c r="P468" s="1" t="s">
        <v>27</v>
      </c>
      <c r="Q468" s="1" t="s">
        <v>86</v>
      </c>
      <c r="R468" s="1" t="s">
        <v>94</v>
      </c>
      <c r="S468" s="1" t="s">
        <v>87</v>
      </c>
      <c r="T468" s="1" t="s">
        <v>88</v>
      </c>
      <c r="X468" s="1" t="s">
        <v>73</v>
      </c>
      <c r="Z468" s="1" t="s">
        <v>70</v>
      </c>
      <c r="AA468" s="1" t="s">
        <v>95</v>
      </c>
      <c r="AB468" s="1">
        <v>5</v>
      </c>
      <c r="AC468" s="1">
        <v>748781.94</v>
      </c>
      <c r="AD468" s="1">
        <v>8930562.9700000007</v>
      </c>
      <c r="AE468" s="1">
        <v>210.3</v>
      </c>
      <c r="AF468" s="1">
        <v>748781.94</v>
      </c>
      <c r="AG468" s="1">
        <v>8930562.9700000007</v>
      </c>
      <c r="AH468" s="1">
        <v>199.4</v>
      </c>
      <c r="AI468" s="1">
        <v>10.9</v>
      </c>
      <c r="AJ468" s="1">
        <v>0.6</v>
      </c>
      <c r="AK468" s="1">
        <v>2.97</v>
      </c>
      <c r="AL468" s="1">
        <v>2.58</v>
      </c>
      <c r="AM468" s="1">
        <v>0</v>
      </c>
      <c r="AN468" s="1">
        <v>0</v>
      </c>
      <c r="AO468" s="1">
        <v>279.95422539999998</v>
      </c>
      <c r="AP468" s="1">
        <v>3.37</v>
      </c>
      <c r="AQ468" s="1">
        <v>0.68</v>
      </c>
      <c r="AR468" s="1">
        <v>0.12</v>
      </c>
      <c r="AS468" s="1">
        <v>0.09</v>
      </c>
      <c r="AT468" s="1">
        <v>20.55</v>
      </c>
      <c r="AU468" s="1">
        <v>5.7</v>
      </c>
      <c r="AV468" s="1">
        <v>0.24</v>
      </c>
      <c r="AW468" s="1">
        <v>2.88</v>
      </c>
      <c r="AX468" s="1">
        <v>6.11</v>
      </c>
      <c r="AY468" s="1">
        <v>0</v>
      </c>
      <c r="AZ468" s="1">
        <v>107.744</v>
      </c>
      <c r="BA468" s="1">
        <v>0</v>
      </c>
      <c r="BB468" s="1">
        <v>0</v>
      </c>
      <c r="BC468" s="1">
        <v>0</v>
      </c>
      <c r="BD468" s="1">
        <v>0</v>
      </c>
    </row>
    <row r="469" spans="1:56">
      <c r="A469" s="18">
        <v>46192</v>
      </c>
      <c r="B469" s="1">
        <v>468</v>
      </c>
      <c r="C469" s="1" t="s">
        <v>89</v>
      </c>
      <c r="D469" s="1" t="s">
        <v>90</v>
      </c>
      <c r="E469" s="1">
        <v>2</v>
      </c>
      <c r="F469" s="1">
        <v>200</v>
      </c>
      <c r="G469" s="1">
        <v>1</v>
      </c>
      <c r="H469" s="1" t="s">
        <v>91</v>
      </c>
      <c r="I469" s="1" t="s">
        <v>79</v>
      </c>
      <c r="J469" s="1" t="s">
        <v>81</v>
      </c>
      <c r="K469" s="1" t="s">
        <v>74</v>
      </c>
      <c r="L469" s="1" t="s">
        <v>72</v>
      </c>
      <c r="M469" s="1" t="s">
        <v>75</v>
      </c>
      <c r="N469" s="1" t="s">
        <v>76</v>
      </c>
      <c r="O469" s="1" t="s">
        <v>77</v>
      </c>
      <c r="P469" s="1" t="s">
        <v>27</v>
      </c>
      <c r="Q469" s="1" t="s">
        <v>86</v>
      </c>
      <c r="R469" s="1" t="s">
        <v>94</v>
      </c>
      <c r="S469" s="1" t="s">
        <v>87</v>
      </c>
      <c r="T469" s="1" t="s">
        <v>88</v>
      </c>
      <c r="X469" s="1" t="s">
        <v>73</v>
      </c>
      <c r="Z469" s="1" t="s">
        <v>70</v>
      </c>
      <c r="AA469" s="1" t="s">
        <v>95</v>
      </c>
      <c r="AB469" s="1">
        <v>5</v>
      </c>
      <c r="AC469" s="1">
        <v>748779.69</v>
      </c>
      <c r="AD469" s="1">
        <v>8930564.9000000004</v>
      </c>
      <c r="AE469" s="1">
        <v>210.17</v>
      </c>
      <c r="AF469" s="1">
        <v>748779.69</v>
      </c>
      <c r="AG469" s="1">
        <v>8930564.9000000004</v>
      </c>
      <c r="AH469" s="1">
        <v>199.4</v>
      </c>
      <c r="AI469" s="1">
        <v>10.77</v>
      </c>
      <c r="AJ469" s="1">
        <v>0.6</v>
      </c>
      <c r="AK469" s="1">
        <v>2.97</v>
      </c>
      <c r="AL469" s="1">
        <v>2.58</v>
      </c>
      <c r="AM469" s="1">
        <v>0</v>
      </c>
      <c r="AN469" s="1">
        <v>0</v>
      </c>
      <c r="AO469" s="1">
        <v>279.95422539999998</v>
      </c>
      <c r="AP469" s="1">
        <v>3.35</v>
      </c>
      <c r="AQ469" s="1">
        <v>0.76</v>
      </c>
      <c r="AR469" s="1">
        <v>0.13</v>
      </c>
      <c r="AS469" s="1">
        <v>0.11</v>
      </c>
      <c r="AT469" s="1">
        <v>22.31</v>
      </c>
      <c r="AU469" s="1">
        <v>5.97</v>
      </c>
      <c r="AV469" s="1">
        <v>0.3</v>
      </c>
      <c r="AW469" s="1">
        <v>2.61</v>
      </c>
      <c r="AX469" s="1">
        <v>7.14</v>
      </c>
      <c r="AY469" s="1">
        <v>0</v>
      </c>
      <c r="AZ469" s="1">
        <v>105.851</v>
      </c>
      <c r="BA469" s="1">
        <v>0</v>
      </c>
      <c r="BB469" s="1">
        <v>0</v>
      </c>
      <c r="BC469" s="1">
        <v>0</v>
      </c>
      <c r="BD469" s="1">
        <v>0</v>
      </c>
    </row>
    <row r="470" spans="1:56">
      <c r="A470" s="18">
        <v>46192</v>
      </c>
      <c r="B470" s="1">
        <v>469</v>
      </c>
      <c r="C470" s="1" t="s">
        <v>89</v>
      </c>
      <c r="D470" s="1" t="s">
        <v>90</v>
      </c>
      <c r="E470" s="1">
        <v>2</v>
      </c>
      <c r="F470" s="1">
        <v>200</v>
      </c>
      <c r="G470" s="1">
        <v>1</v>
      </c>
      <c r="H470" s="1" t="s">
        <v>91</v>
      </c>
      <c r="I470" s="1" t="s">
        <v>79</v>
      </c>
      <c r="J470" s="1" t="s">
        <v>81</v>
      </c>
      <c r="K470" s="1" t="s">
        <v>74</v>
      </c>
      <c r="L470" s="1" t="s">
        <v>72</v>
      </c>
      <c r="M470" s="1" t="s">
        <v>75</v>
      </c>
      <c r="N470" s="1" t="s">
        <v>76</v>
      </c>
      <c r="O470" s="1" t="s">
        <v>77</v>
      </c>
      <c r="P470" s="1" t="s">
        <v>27</v>
      </c>
      <c r="Q470" s="1" t="s">
        <v>86</v>
      </c>
      <c r="R470" s="1" t="s">
        <v>94</v>
      </c>
      <c r="S470" s="1" t="s">
        <v>87</v>
      </c>
      <c r="T470" s="1" t="s">
        <v>88</v>
      </c>
      <c r="X470" s="1" t="s">
        <v>73</v>
      </c>
      <c r="Z470" s="1" t="s">
        <v>70</v>
      </c>
      <c r="AA470" s="1" t="s">
        <v>95</v>
      </c>
      <c r="AB470" s="1">
        <v>5</v>
      </c>
      <c r="AC470" s="1">
        <v>748777.44</v>
      </c>
      <c r="AD470" s="1">
        <v>8930566.8399999999</v>
      </c>
      <c r="AE470" s="1">
        <v>210.11</v>
      </c>
      <c r="AF470" s="1">
        <v>748777.44</v>
      </c>
      <c r="AG470" s="1">
        <v>8930566.8399999999</v>
      </c>
      <c r="AH470" s="1">
        <v>199.4</v>
      </c>
      <c r="AI470" s="1">
        <v>10.71</v>
      </c>
      <c r="AJ470" s="1">
        <v>0.6</v>
      </c>
      <c r="AK470" s="1">
        <v>2.97</v>
      </c>
      <c r="AL470" s="1">
        <v>2.58</v>
      </c>
      <c r="AM470" s="1">
        <v>0</v>
      </c>
      <c r="AN470" s="1">
        <v>0</v>
      </c>
      <c r="AO470" s="1">
        <v>279.95422539999998</v>
      </c>
      <c r="AP470" s="1">
        <v>3.34</v>
      </c>
      <c r="AQ470" s="1">
        <v>0.81</v>
      </c>
      <c r="AR470" s="1">
        <v>0.14000000000000001</v>
      </c>
      <c r="AS470" s="1">
        <v>0.12</v>
      </c>
      <c r="AT470" s="1">
        <v>23.54</v>
      </c>
      <c r="AU470" s="1">
        <v>6.16</v>
      </c>
      <c r="AV470" s="1">
        <v>0.34</v>
      </c>
      <c r="AW470" s="1">
        <v>2.41</v>
      </c>
      <c r="AX470" s="1">
        <v>7.89</v>
      </c>
      <c r="AY470" s="1">
        <v>0</v>
      </c>
      <c r="AZ470" s="1">
        <v>104.97799999999999</v>
      </c>
      <c r="BA470" s="1">
        <v>0</v>
      </c>
      <c r="BB470" s="1">
        <v>0</v>
      </c>
      <c r="BC470" s="1">
        <v>0</v>
      </c>
      <c r="BD470" s="1">
        <v>0</v>
      </c>
    </row>
    <row r="471" spans="1:56">
      <c r="A471" s="18">
        <v>46192</v>
      </c>
      <c r="B471" s="1">
        <v>470</v>
      </c>
      <c r="C471" s="1" t="s">
        <v>89</v>
      </c>
      <c r="D471" s="1" t="s">
        <v>90</v>
      </c>
      <c r="E471" s="1">
        <v>2</v>
      </c>
      <c r="F471" s="1">
        <v>200</v>
      </c>
      <c r="G471" s="1">
        <v>1</v>
      </c>
      <c r="H471" s="1" t="s">
        <v>91</v>
      </c>
      <c r="I471" s="1" t="s">
        <v>79</v>
      </c>
      <c r="J471" s="1" t="s">
        <v>81</v>
      </c>
      <c r="K471" s="1" t="s">
        <v>74</v>
      </c>
      <c r="L471" s="1" t="s">
        <v>72</v>
      </c>
      <c r="M471" s="1" t="s">
        <v>75</v>
      </c>
      <c r="N471" s="1" t="s">
        <v>76</v>
      </c>
      <c r="O471" s="1" t="s">
        <v>77</v>
      </c>
      <c r="P471" s="1" t="s">
        <v>27</v>
      </c>
      <c r="Q471" s="1" t="s">
        <v>86</v>
      </c>
      <c r="R471" s="1" t="s">
        <v>94</v>
      </c>
      <c r="S471" s="1" t="s">
        <v>87</v>
      </c>
      <c r="T471" s="1" t="s">
        <v>88</v>
      </c>
      <c r="X471" s="1" t="s">
        <v>73</v>
      </c>
      <c r="Z471" s="1" t="s">
        <v>70</v>
      </c>
      <c r="AA471" s="1" t="s">
        <v>95</v>
      </c>
      <c r="AB471" s="1">
        <v>5</v>
      </c>
      <c r="AC471" s="1">
        <v>748775.19</v>
      </c>
      <c r="AD471" s="1">
        <v>8930568.7799999993</v>
      </c>
      <c r="AE471" s="1">
        <v>210.03</v>
      </c>
      <c r="AF471" s="1">
        <v>748775.19</v>
      </c>
      <c r="AG471" s="1">
        <v>8930568.7799999993</v>
      </c>
      <c r="AH471" s="1">
        <v>199.4</v>
      </c>
      <c r="AI471" s="1">
        <v>10.63</v>
      </c>
      <c r="AJ471" s="1">
        <v>0.6</v>
      </c>
      <c r="AK471" s="1">
        <v>2.97</v>
      </c>
      <c r="AL471" s="1">
        <v>2.58</v>
      </c>
      <c r="AM471" s="1">
        <v>0</v>
      </c>
      <c r="AN471" s="1">
        <v>0</v>
      </c>
      <c r="AO471" s="1">
        <v>279.95422539999998</v>
      </c>
      <c r="AP471" s="1">
        <v>3.35</v>
      </c>
      <c r="AQ471" s="1">
        <v>0.81</v>
      </c>
      <c r="AR471" s="1">
        <v>0.15</v>
      </c>
      <c r="AS471" s="1">
        <v>0.12</v>
      </c>
      <c r="AT471" s="1">
        <v>23.43</v>
      </c>
      <c r="AU471" s="1">
        <v>6.15</v>
      </c>
      <c r="AV471" s="1">
        <v>0.34</v>
      </c>
      <c r="AW471" s="1">
        <v>2.39</v>
      </c>
      <c r="AX471" s="1">
        <v>7.93</v>
      </c>
      <c r="AY471" s="1">
        <v>0</v>
      </c>
      <c r="AZ471" s="1">
        <v>103.813</v>
      </c>
      <c r="BA471" s="1">
        <v>0</v>
      </c>
      <c r="BB471" s="1">
        <v>0</v>
      </c>
      <c r="BC471" s="1">
        <v>0</v>
      </c>
      <c r="BD471" s="1">
        <v>0</v>
      </c>
    </row>
    <row r="472" spans="1:56">
      <c r="A472" s="18">
        <v>46192</v>
      </c>
      <c r="B472" s="1">
        <v>471</v>
      </c>
      <c r="C472" s="1" t="s">
        <v>89</v>
      </c>
      <c r="D472" s="1" t="s">
        <v>90</v>
      </c>
      <c r="E472" s="1">
        <v>2</v>
      </c>
      <c r="F472" s="1">
        <v>200</v>
      </c>
      <c r="G472" s="1">
        <v>1</v>
      </c>
      <c r="H472" s="1" t="s">
        <v>91</v>
      </c>
      <c r="I472" s="1" t="s">
        <v>79</v>
      </c>
      <c r="J472" s="1" t="s">
        <v>81</v>
      </c>
      <c r="K472" s="1" t="s">
        <v>74</v>
      </c>
      <c r="L472" s="1" t="s">
        <v>72</v>
      </c>
      <c r="M472" s="1" t="s">
        <v>75</v>
      </c>
      <c r="N472" s="1" t="s">
        <v>76</v>
      </c>
      <c r="O472" s="1" t="s">
        <v>77</v>
      </c>
      <c r="P472" s="1" t="s">
        <v>27</v>
      </c>
      <c r="Q472" s="1" t="s">
        <v>86</v>
      </c>
      <c r="R472" s="1" t="s">
        <v>94</v>
      </c>
      <c r="S472" s="1" t="s">
        <v>87</v>
      </c>
      <c r="T472" s="1" t="s">
        <v>88</v>
      </c>
      <c r="X472" s="1" t="s">
        <v>73</v>
      </c>
      <c r="Z472" s="1" t="s">
        <v>70</v>
      </c>
      <c r="AA472" s="1" t="s">
        <v>95</v>
      </c>
      <c r="AB472" s="1">
        <v>5</v>
      </c>
      <c r="AC472" s="1">
        <v>748772.92</v>
      </c>
      <c r="AD472" s="1">
        <v>8930570.6899999995</v>
      </c>
      <c r="AE472" s="1">
        <v>209.86</v>
      </c>
      <c r="AF472" s="1">
        <v>748772.92</v>
      </c>
      <c r="AG472" s="1">
        <v>8930570.6899999995</v>
      </c>
      <c r="AH472" s="1">
        <v>199.4</v>
      </c>
      <c r="AI472" s="1">
        <v>10.46</v>
      </c>
      <c r="AJ472" s="1">
        <v>0.6</v>
      </c>
      <c r="AK472" s="1">
        <v>2.97</v>
      </c>
      <c r="AL472" s="1">
        <v>2.58</v>
      </c>
      <c r="AM472" s="1">
        <v>0</v>
      </c>
      <c r="AN472" s="1">
        <v>0</v>
      </c>
      <c r="AO472" s="1">
        <v>279.95422539999998</v>
      </c>
      <c r="AP472" s="1">
        <v>3.4</v>
      </c>
      <c r="AQ472" s="1">
        <v>0.8</v>
      </c>
      <c r="AR472" s="1">
        <v>0.16</v>
      </c>
      <c r="AS472" s="1">
        <v>0.12</v>
      </c>
      <c r="AT472" s="1">
        <v>23.07</v>
      </c>
      <c r="AU472" s="1">
        <v>6.11</v>
      </c>
      <c r="AV472" s="1">
        <v>0.35</v>
      </c>
      <c r="AW472" s="1">
        <v>2.31</v>
      </c>
      <c r="AX472" s="1">
        <v>8.1</v>
      </c>
      <c r="AY472" s="1">
        <v>0</v>
      </c>
      <c r="AZ472" s="1">
        <v>101.33799999999999</v>
      </c>
      <c r="BA472" s="1">
        <v>0</v>
      </c>
      <c r="BB472" s="1">
        <v>0</v>
      </c>
      <c r="BC472" s="1">
        <v>0</v>
      </c>
      <c r="BD472" s="1">
        <v>0</v>
      </c>
    </row>
    <row r="473" spans="1:56">
      <c r="A473" s="18">
        <v>46192</v>
      </c>
      <c r="B473" s="1">
        <v>472</v>
      </c>
      <c r="C473" s="1" t="s">
        <v>89</v>
      </c>
      <c r="D473" s="1" t="s">
        <v>90</v>
      </c>
      <c r="E473" s="1">
        <v>2</v>
      </c>
      <c r="F473" s="1">
        <v>200</v>
      </c>
      <c r="G473" s="1">
        <v>1</v>
      </c>
      <c r="H473" s="1" t="s">
        <v>91</v>
      </c>
      <c r="I473" s="1" t="s">
        <v>79</v>
      </c>
      <c r="J473" s="1" t="s">
        <v>81</v>
      </c>
      <c r="K473" s="1" t="s">
        <v>74</v>
      </c>
      <c r="L473" s="1" t="s">
        <v>72</v>
      </c>
      <c r="M473" s="1" t="s">
        <v>75</v>
      </c>
      <c r="N473" s="1" t="s">
        <v>76</v>
      </c>
      <c r="O473" s="1" t="s">
        <v>77</v>
      </c>
      <c r="P473" s="1" t="s">
        <v>27</v>
      </c>
      <c r="Q473" s="1" t="s">
        <v>86</v>
      </c>
      <c r="R473" s="1" t="s">
        <v>94</v>
      </c>
      <c r="S473" s="1" t="s">
        <v>87</v>
      </c>
      <c r="T473" s="1" t="s">
        <v>88</v>
      </c>
      <c r="X473" s="1" t="s">
        <v>73</v>
      </c>
      <c r="Z473" s="1" t="s">
        <v>70</v>
      </c>
      <c r="AA473" s="1" t="s">
        <v>95</v>
      </c>
      <c r="AB473" s="1">
        <v>5</v>
      </c>
      <c r="AC473" s="1">
        <v>748770.59</v>
      </c>
      <c r="AD473" s="1">
        <v>8930572.5399999991</v>
      </c>
      <c r="AE473" s="1">
        <v>209.91</v>
      </c>
      <c r="AF473" s="1">
        <v>748770.59</v>
      </c>
      <c r="AG473" s="1">
        <v>8930572.5399999991</v>
      </c>
      <c r="AH473" s="1">
        <v>199.4</v>
      </c>
      <c r="AI473" s="1">
        <v>10.51</v>
      </c>
      <c r="AJ473" s="1">
        <v>0.6</v>
      </c>
      <c r="AK473" s="1">
        <v>2.97</v>
      </c>
      <c r="AL473" s="1">
        <v>2.58</v>
      </c>
      <c r="AM473" s="1">
        <v>0</v>
      </c>
      <c r="AN473" s="1">
        <v>0</v>
      </c>
      <c r="AO473" s="1">
        <v>279.95422539999998</v>
      </c>
      <c r="AP473" s="1">
        <v>3.4</v>
      </c>
      <c r="AQ473" s="1">
        <v>0.81</v>
      </c>
      <c r="AR473" s="1">
        <v>0.17</v>
      </c>
      <c r="AS473" s="1">
        <v>0.12</v>
      </c>
      <c r="AT473" s="1">
        <v>23.89</v>
      </c>
      <c r="AU473" s="1">
        <v>6.06</v>
      </c>
      <c r="AV473" s="1">
        <v>0.35</v>
      </c>
      <c r="AW473" s="1">
        <v>2.2999999999999998</v>
      </c>
      <c r="AX473" s="1">
        <v>8</v>
      </c>
      <c r="AY473" s="1">
        <v>0</v>
      </c>
      <c r="AZ473" s="1">
        <v>102.066</v>
      </c>
      <c r="BA473" s="1">
        <v>0</v>
      </c>
      <c r="BB473" s="1">
        <v>0</v>
      </c>
      <c r="BC473" s="1">
        <v>0</v>
      </c>
      <c r="BD473" s="1">
        <v>0</v>
      </c>
    </row>
    <row r="474" spans="1:56">
      <c r="A474" s="18">
        <v>46192</v>
      </c>
      <c r="B474" s="1">
        <v>473</v>
      </c>
      <c r="C474" s="1" t="s">
        <v>89</v>
      </c>
      <c r="D474" s="1" t="s">
        <v>90</v>
      </c>
      <c r="E474" s="1">
        <v>2</v>
      </c>
      <c r="F474" s="1">
        <v>200</v>
      </c>
      <c r="G474" s="1">
        <v>1</v>
      </c>
      <c r="H474" s="1" t="s">
        <v>91</v>
      </c>
      <c r="I474" s="1" t="s">
        <v>79</v>
      </c>
      <c r="J474" s="1" t="s">
        <v>81</v>
      </c>
      <c r="K474" s="1" t="s">
        <v>74</v>
      </c>
      <c r="L474" s="1" t="s">
        <v>72</v>
      </c>
      <c r="M474" s="1" t="s">
        <v>75</v>
      </c>
      <c r="N474" s="1" t="s">
        <v>76</v>
      </c>
      <c r="O474" s="1" t="s">
        <v>77</v>
      </c>
      <c r="P474" s="1" t="s">
        <v>27</v>
      </c>
      <c r="Q474" s="1" t="s">
        <v>86</v>
      </c>
      <c r="R474" s="1" t="s">
        <v>94</v>
      </c>
      <c r="S474" s="1" t="s">
        <v>87</v>
      </c>
      <c r="T474" s="1" t="s">
        <v>88</v>
      </c>
      <c r="X474" s="1" t="s">
        <v>73</v>
      </c>
      <c r="Z474" s="1" t="s">
        <v>70</v>
      </c>
      <c r="AA474" s="1" t="s">
        <v>95</v>
      </c>
      <c r="AB474" s="1">
        <v>5</v>
      </c>
      <c r="AC474" s="1">
        <v>748768.26</v>
      </c>
      <c r="AD474" s="1">
        <v>8930574.3900000006</v>
      </c>
      <c r="AE474" s="1">
        <v>210.05</v>
      </c>
      <c r="AF474" s="1">
        <v>748768.26</v>
      </c>
      <c r="AG474" s="1">
        <v>8930574.3900000006</v>
      </c>
      <c r="AH474" s="1">
        <v>199.4</v>
      </c>
      <c r="AI474" s="1">
        <v>10.65</v>
      </c>
      <c r="AJ474" s="1">
        <v>0.6</v>
      </c>
      <c r="AK474" s="1">
        <v>2.97</v>
      </c>
      <c r="AL474" s="1">
        <v>2.58</v>
      </c>
      <c r="AM474" s="1">
        <v>0</v>
      </c>
      <c r="AN474" s="1">
        <v>0</v>
      </c>
      <c r="AO474" s="1">
        <v>279.95422539999998</v>
      </c>
      <c r="AP474" s="1">
        <v>3.37</v>
      </c>
      <c r="AQ474" s="1">
        <v>0.85</v>
      </c>
      <c r="AR474" s="1">
        <v>0.15</v>
      </c>
      <c r="AS474" s="1">
        <v>0.13</v>
      </c>
      <c r="AT474" s="1">
        <v>25.9</v>
      </c>
      <c r="AU474" s="1">
        <v>6</v>
      </c>
      <c r="AV474" s="1">
        <v>0.36</v>
      </c>
      <c r="AW474" s="1">
        <v>2.39</v>
      </c>
      <c r="AX474" s="1">
        <v>7.64</v>
      </c>
      <c r="AY474" s="1">
        <v>0</v>
      </c>
      <c r="AZ474" s="1">
        <v>104.104</v>
      </c>
      <c r="BA474" s="1">
        <v>0</v>
      </c>
      <c r="BB474" s="1">
        <v>0</v>
      </c>
      <c r="BC474" s="1">
        <v>0</v>
      </c>
      <c r="BD474" s="1">
        <v>0</v>
      </c>
    </row>
    <row r="475" spans="1:56">
      <c r="A475" s="18">
        <v>46192</v>
      </c>
      <c r="B475" s="1">
        <v>474</v>
      </c>
      <c r="C475" s="1" t="s">
        <v>89</v>
      </c>
      <c r="D475" s="1" t="s">
        <v>90</v>
      </c>
      <c r="E475" s="1">
        <v>2</v>
      </c>
      <c r="F475" s="1">
        <v>200</v>
      </c>
      <c r="G475" s="1">
        <v>1</v>
      </c>
      <c r="H475" s="1" t="s">
        <v>91</v>
      </c>
      <c r="I475" s="1" t="s">
        <v>79</v>
      </c>
      <c r="J475" s="1" t="s">
        <v>81</v>
      </c>
      <c r="K475" s="1" t="s">
        <v>74</v>
      </c>
      <c r="L475" s="1" t="s">
        <v>72</v>
      </c>
      <c r="M475" s="1" t="s">
        <v>75</v>
      </c>
      <c r="N475" s="1" t="s">
        <v>76</v>
      </c>
      <c r="O475" s="1" t="s">
        <v>77</v>
      </c>
      <c r="P475" s="1" t="s">
        <v>27</v>
      </c>
      <c r="Q475" s="1" t="s">
        <v>86</v>
      </c>
      <c r="R475" s="1" t="s">
        <v>94</v>
      </c>
      <c r="S475" s="1" t="s">
        <v>87</v>
      </c>
      <c r="T475" s="1" t="s">
        <v>88</v>
      </c>
      <c r="X475" s="1" t="s">
        <v>73</v>
      </c>
      <c r="Z475" s="1" t="s">
        <v>70</v>
      </c>
      <c r="AA475" s="1" t="s">
        <v>95</v>
      </c>
      <c r="AB475" s="1">
        <v>5</v>
      </c>
      <c r="AC475" s="1">
        <v>748765.94</v>
      </c>
      <c r="AD475" s="1">
        <v>8930576.2300000004</v>
      </c>
      <c r="AE475" s="1">
        <v>210.02</v>
      </c>
      <c r="AF475" s="1">
        <v>748765.94</v>
      </c>
      <c r="AG475" s="1">
        <v>8930576.2300000004</v>
      </c>
      <c r="AH475" s="1">
        <v>199.4</v>
      </c>
      <c r="AI475" s="1">
        <v>10.62</v>
      </c>
      <c r="AJ475" s="1">
        <v>0.6</v>
      </c>
      <c r="AK475" s="1">
        <v>2.97</v>
      </c>
      <c r="AL475" s="1">
        <v>2.58</v>
      </c>
      <c r="AM475" s="1">
        <v>0</v>
      </c>
      <c r="AN475" s="1">
        <v>0</v>
      </c>
      <c r="AO475" s="1">
        <v>279.95422539999998</v>
      </c>
      <c r="AP475" s="1">
        <v>3.37</v>
      </c>
      <c r="AQ475" s="1">
        <v>0.85</v>
      </c>
      <c r="AR475" s="1">
        <v>0.15</v>
      </c>
      <c r="AS475" s="1">
        <v>0.13</v>
      </c>
      <c r="AT475" s="1">
        <v>26.03</v>
      </c>
      <c r="AU475" s="1">
        <v>5.99</v>
      </c>
      <c r="AV475" s="1">
        <v>0.36</v>
      </c>
      <c r="AW475" s="1">
        <v>2.39</v>
      </c>
      <c r="AX475" s="1">
        <v>7.61</v>
      </c>
      <c r="AY475" s="1">
        <v>0</v>
      </c>
      <c r="AZ475" s="1">
        <v>103.667</v>
      </c>
      <c r="BA475" s="1">
        <v>0</v>
      </c>
      <c r="BB475" s="1">
        <v>0</v>
      </c>
      <c r="BC475" s="1">
        <v>0</v>
      </c>
      <c r="BD475" s="1">
        <v>0</v>
      </c>
    </row>
    <row r="476" spans="1:56">
      <c r="A476" s="18">
        <v>46192</v>
      </c>
      <c r="B476" s="1">
        <v>475</v>
      </c>
      <c r="C476" s="1" t="s">
        <v>89</v>
      </c>
      <c r="D476" s="1" t="s">
        <v>90</v>
      </c>
      <c r="E476" s="1">
        <v>2</v>
      </c>
      <c r="F476" s="1">
        <v>200</v>
      </c>
      <c r="G476" s="1">
        <v>1</v>
      </c>
      <c r="H476" s="1" t="s">
        <v>91</v>
      </c>
      <c r="I476" s="1" t="s">
        <v>79</v>
      </c>
      <c r="J476" s="1" t="s">
        <v>81</v>
      </c>
      <c r="K476" s="1" t="s">
        <v>74</v>
      </c>
      <c r="L476" s="1" t="s">
        <v>72</v>
      </c>
      <c r="M476" s="1" t="s">
        <v>75</v>
      </c>
      <c r="N476" s="1" t="s">
        <v>76</v>
      </c>
      <c r="O476" s="1" t="s">
        <v>77</v>
      </c>
      <c r="P476" s="1" t="s">
        <v>27</v>
      </c>
      <c r="Q476" s="1" t="s">
        <v>86</v>
      </c>
      <c r="R476" s="1" t="s">
        <v>94</v>
      </c>
      <c r="S476" s="1" t="s">
        <v>87</v>
      </c>
      <c r="T476" s="1" t="s">
        <v>88</v>
      </c>
      <c r="X476" s="1" t="s">
        <v>73</v>
      </c>
      <c r="Z476" s="1" t="s">
        <v>70</v>
      </c>
      <c r="AA476" s="1" t="s">
        <v>95</v>
      </c>
      <c r="AB476" s="1">
        <v>5</v>
      </c>
      <c r="AC476" s="1">
        <v>748763.61</v>
      </c>
      <c r="AD476" s="1">
        <v>8930578.0800000001</v>
      </c>
      <c r="AE476" s="1">
        <v>210.13</v>
      </c>
      <c r="AF476" s="1">
        <v>748763.61</v>
      </c>
      <c r="AG476" s="1">
        <v>8930578.0800000001</v>
      </c>
      <c r="AH476" s="1">
        <v>199.4</v>
      </c>
      <c r="AI476" s="1">
        <v>10.73</v>
      </c>
      <c r="AJ476" s="1">
        <v>0.6</v>
      </c>
      <c r="AK476" s="1">
        <v>2.97</v>
      </c>
      <c r="AL476" s="1">
        <v>2.58</v>
      </c>
      <c r="AM476" s="1">
        <v>0</v>
      </c>
      <c r="AN476" s="1">
        <v>0</v>
      </c>
      <c r="AO476" s="1">
        <v>279.95422539999998</v>
      </c>
      <c r="AP476" s="1">
        <v>3.37</v>
      </c>
      <c r="AQ476" s="1">
        <v>0.85</v>
      </c>
      <c r="AR476" s="1">
        <v>0.15</v>
      </c>
      <c r="AS476" s="1">
        <v>0.13</v>
      </c>
      <c r="AT476" s="1">
        <v>26.02</v>
      </c>
      <c r="AU476" s="1">
        <v>6</v>
      </c>
      <c r="AV476" s="1">
        <v>0.36</v>
      </c>
      <c r="AW476" s="1">
        <v>2.39</v>
      </c>
      <c r="AX476" s="1">
        <v>7.61</v>
      </c>
      <c r="AY476" s="1">
        <v>0</v>
      </c>
      <c r="AZ476" s="1">
        <v>105.26900000000001</v>
      </c>
      <c r="BA476" s="1">
        <v>0</v>
      </c>
      <c r="BB476" s="1">
        <v>0</v>
      </c>
      <c r="BC476" s="1">
        <v>0</v>
      </c>
      <c r="BD476" s="1">
        <v>0</v>
      </c>
    </row>
    <row r="477" spans="1:56">
      <c r="A477" s="18">
        <v>46192</v>
      </c>
      <c r="B477" s="1">
        <v>476</v>
      </c>
      <c r="C477" s="1" t="s">
        <v>89</v>
      </c>
      <c r="D477" s="1" t="s">
        <v>90</v>
      </c>
      <c r="E477" s="1">
        <v>2</v>
      </c>
      <c r="F477" s="1">
        <v>200</v>
      </c>
      <c r="G477" s="1">
        <v>1</v>
      </c>
      <c r="H477" s="1" t="s">
        <v>91</v>
      </c>
      <c r="I477" s="1" t="s">
        <v>79</v>
      </c>
      <c r="J477" s="1" t="s">
        <v>81</v>
      </c>
      <c r="K477" s="1" t="s">
        <v>74</v>
      </c>
      <c r="L477" s="1" t="s">
        <v>72</v>
      </c>
      <c r="M477" s="1" t="s">
        <v>75</v>
      </c>
      <c r="N477" s="1" t="s">
        <v>76</v>
      </c>
      <c r="O477" s="1" t="s">
        <v>77</v>
      </c>
      <c r="P477" s="1" t="s">
        <v>27</v>
      </c>
      <c r="Q477" s="1" t="s">
        <v>86</v>
      </c>
      <c r="R477" s="1" t="s">
        <v>94</v>
      </c>
      <c r="S477" s="1" t="s">
        <v>87</v>
      </c>
      <c r="T477" s="1" t="s">
        <v>88</v>
      </c>
      <c r="X477" s="1" t="s">
        <v>73</v>
      </c>
      <c r="Z477" s="1" t="s">
        <v>70</v>
      </c>
      <c r="AA477" s="1" t="s">
        <v>95</v>
      </c>
      <c r="AB477" s="1">
        <v>5</v>
      </c>
      <c r="AC477" s="1">
        <v>748761.08</v>
      </c>
      <c r="AD477" s="1">
        <v>8930579.5500000007</v>
      </c>
      <c r="AE477" s="1">
        <v>210.03</v>
      </c>
      <c r="AF477" s="1">
        <v>748761.08</v>
      </c>
      <c r="AG477" s="1">
        <v>8930579.5500000007</v>
      </c>
      <c r="AH477" s="1">
        <v>199.4</v>
      </c>
      <c r="AI477" s="1">
        <v>10.63</v>
      </c>
      <c r="AJ477" s="1">
        <v>0.6</v>
      </c>
      <c r="AK477" s="1">
        <v>2.97</v>
      </c>
      <c r="AL477" s="1">
        <v>2.58</v>
      </c>
      <c r="AM477" s="1">
        <v>0</v>
      </c>
      <c r="AN477" s="1">
        <v>0</v>
      </c>
      <c r="AO477" s="1">
        <v>279.95422539999998</v>
      </c>
      <c r="AP477" s="1">
        <v>3.41</v>
      </c>
      <c r="AQ477" s="1">
        <v>0.83</v>
      </c>
      <c r="AR477" s="1">
        <v>0.15</v>
      </c>
      <c r="AS477" s="1">
        <v>0.12</v>
      </c>
      <c r="AT477" s="1">
        <v>25.22</v>
      </c>
      <c r="AU477" s="1">
        <v>5.97</v>
      </c>
      <c r="AV477" s="1">
        <v>0.34</v>
      </c>
      <c r="AW477" s="1">
        <v>2.4300000000000002</v>
      </c>
      <c r="AX477" s="1">
        <v>7.6</v>
      </c>
      <c r="AY477" s="1">
        <v>0</v>
      </c>
      <c r="AZ477" s="1">
        <v>103.813</v>
      </c>
      <c r="BA477" s="1">
        <v>0</v>
      </c>
      <c r="BB477" s="1">
        <v>0</v>
      </c>
      <c r="BC477" s="1">
        <v>0</v>
      </c>
      <c r="BD477" s="1">
        <v>0</v>
      </c>
    </row>
    <row r="478" spans="1:56">
      <c r="A478" s="18">
        <v>46192</v>
      </c>
      <c r="B478" s="1">
        <v>477</v>
      </c>
      <c r="C478" s="1" t="s">
        <v>89</v>
      </c>
      <c r="D478" s="1" t="s">
        <v>90</v>
      </c>
      <c r="E478" s="1">
        <v>2</v>
      </c>
      <c r="F478" s="1">
        <v>200</v>
      </c>
      <c r="G478" s="1">
        <v>1</v>
      </c>
      <c r="H478" s="1" t="s">
        <v>91</v>
      </c>
      <c r="I478" s="1" t="s">
        <v>79</v>
      </c>
      <c r="J478" s="1" t="s">
        <v>81</v>
      </c>
      <c r="K478" s="1" t="s">
        <v>74</v>
      </c>
      <c r="L478" s="1" t="s">
        <v>72</v>
      </c>
      <c r="M478" s="1" t="s">
        <v>75</v>
      </c>
      <c r="N478" s="1" t="s">
        <v>76</v>
      </c>
      <c r="O478" s="1" t="s">
        <v>77</v>
      </c>
      <c r="P478" s="1" t="s">
        <v>27</v>
      </c>
      <c r="Q478" s="1" t="s">
        <v>86</v>
      </c>
      <c r="R478" s="1" t="s">
        <v>94</v>
      </c>
      <c r="S478" s="1" t="s">
        <v>87</v>
      </c>
      <c r="T478" s="1" t="s">
        <v>88</v>
      </c>
      <c r="X478" s="1" t="s">
        <v>73</v>
      </c>
      <c r="Z478" s="1" t="s">
        <v>70</v>
      </c>
      <c r="AA478" s="1" t="s">
        <v>95</v>
      </c>
      <c r="AB478" s="1">
        <v>5</v>
      </c>
      <c r="AC478" s="1">
        <v>748758.27</v>
      </c>
      <c r="AD478" s="1">
        <v>8930580.5</v>
      </c>
      <c r="AE478" s="1">
        <v>209.91</v>
      </c>
      <c r="AF478" s="1">
        <v>748758.27</v>
      </c>
      <c r="AG478" s="1">
        <v>8930580.5</v>
      </c>
      <c r="AH478" s="1">
        <v>199.4</v>
      </c>
      <c r="AI478" s="1">
        <v>10.51</v>
      </c>
      <c r="AJ478" s="1">
        <v>0.6</v>
      </c>
      <c r="AK478" s="1">
        <v>2.97</v>
      </c>
      <c r="AL478" s="1">
        <v>2.58</v>
      </c>
      <c r="AM478" s="1">
        <v>0</v>
      </c>
      <c r="AN478" s="1">
        <v>0</v>
      </c>
      <c r="AO478" s="1">
        <v>279.95422539999998</v>
      </c>
      <c r="AP478" s="1">
        <v>3.47</v>
      </c>
      <c r="AQ478" s="1">
        <v>0.78</v>
      </c>
      <c r="AR478" s="1">
        <v>0.15</v>
      </c>
      <c r="AS478" s="1">
        <v>0.11</v>
      </c>
      <c r="AT478" s="1">
        <v>23.96</v>
      </c>
      <c r="AU478" s="1">
        <v>5.89</v>
      </c>
      <c r="AV478" s="1">
        <v>0.32</v>
      </c>
      <c r="AW478" s="1">
        <v>2.4900000000000002</v>
      </c>
      <c r="AX478" s="1">
        <v>7.87</v>
      </c>
      <c r="AY478" s="1">
        <v>0</v>
      </c>
      <c r="AZ478" s="1">
        <v>102.066</v>
      </c>
      <c r="BA478" s="1">
        <v>0</v>
      </c>
      <c r="BB478" s="1">
        <v>0</v>
      </c>
      <c r="BC478" s="1">
        <v>0</v>
      </c>
      <c r="BD478" s="1">
        <v>0</v>
      </c>
    </row>
    <row r="479" spans="1:56">
      <c r="A479" s="18">
        <v>46192</v>
      </c>
      <c r="B479" s="1">
        <v>478</v>
      </c>
      <c r="C479" s="1" t="s">
        <v>89</v>
      </c>
      <c r="D479" s="1" t="s">
        <v>90</v>
      </c>
      <c r="E479" s="1">
        <v>2</v>
      </c>
      <c r="F479" s="1">
        <v>200</v>
      </c>
      <c r="G479" s="1">
        <v>1</v>
      </c>
      <c r="H479" s="1" t="s">
        <v>91</v>
      </c>
      <c r="I479" s="1" t="s">
        <v>79</v>
      </c>
      <c r="J479" s="1" t="s">
        <v>81</v>
      </c>
      <c r="K479" s="1" t="s">
        <v>74</v>
      </c>
      <c r="L479" s="1" t="s">
        <v>72</v>
      </c>
      <c r="M479" s="1" t="s">
        <v>75</v>
      </c>
      <c r="N479" s="1" t="s">
        <v>76</v>
      </c>
      <c r="O479" s="1" t="s">
        <v>77</v>
      </c>
      <c r="P479" s="1" t="s">
        <v>27</v>
      </c>
      <c r="Q479" s="1" t="s">
        <v>86</v>
      </c>
      <c r="R479" s="1" t="s">
        <v>94</v>
      </c>
      <c r="S479" s="1" t="s">
        <v>87</v>
      </c>
      <c r="T479" s="1" t="s">
        <v>88</v>
      </c>
      <c r="X479" s="1" t="s">
        <v>73</v>
      </c>
      <c r="Z479" s="1" t="s">
        <v>70</v>
      </c>
      <c r="AA479" s="1" t="s">
        <v>95</v>
      </c>
      <c r="AB479" s="1">
        <v>5</v>
      </c>
      <c r="AC479" s="1">
        <v>748755.45</v>
      </c>
      <c r="AD479" s="1">
        <v>8930581.4499999993</v>
      </c>
      <c r="AE479" s="1">
        <v>209.92</v>
      </c>
      <c r="AF479" s="1">
        <v>748755.45</v>
      </c>
      <c r="AG479" s="1">
        <v>8930581.4499999993</v>
      </c>
      <c r="AH479" s="1">
        <v>199.4</v>
      </c>
      <c r="AI479" s="1">
        <v>10.52</v>
      </c>
      <c r="AJ479" s="1">
        <v>0.6</v>
      </c>
      <c r="AK479" s="1">
        <v>2.97</v>
      </c>
      <c r="AL479" s="1">
        <v>2.58</v>
      </c>
      <c r="AM479" s="1">
        <v>0</v>
      </c>
      <c r="AN479" s="1">
        <v>0</v>
      </c>
      <c r="AO479" s="1">
        <v>279.95422539999998</v>
      </c>
      <c r="AP479" s="1">
        <v>3.48</v>
      </c>
      <c r="AQ479" s="1">
        <v>0.81</v>
      </c>
      <c r="AR479" s="1">
        <v>0.16</v>
      </c>
      <c r="AS479" s="1">
        <v>0.11</v>
      </c>
      <c r="AT479" s="1">
        <v>24.14</v>
      </c>
      <c r="AU479" s="1">
        <v>5.83</v>
      </c>
      <c r="AV479" s="1">
        <v>0.32</v>
      </c>
      <c r="AW479" s="1">
        <v>2.5499999999999998</v>
      </c>
      <c r="AX479" s="1">
        <v>7.54</v>
      </c>
      <c r="AY479" s="1">
        <v>0</v>
      </c>
      <c r="AZ479" s="1">
        <v>102.211</v>
      </c>
      <c r="BA479" s="1">
        <v>0</v>
      </c>
      <c r="BB479" s="1">
        <v>0</v>
      </c>
      <c r="BC479" s="1">
        <v>0</v>
      </c>
      <c r="BD479" s="1">
        <v>0</v>
      </c>
    </row>
    <row r="480" spans="1:56">
      <c r="A480" s="18">
        <v>46192</v>
      </c>
      <c r="B480" s="1">
        <v>479</v>
      </c>
      <c r="C480" s="1" t="s">
        <v>89</v>
      </c>
      <c r="D480" s="1" t="s">
        <v>90</v>
      </c>
      <c r="E480" s="1">
        <v>2</v>
      </c>
      <c r="F480" s="1">
        <v>200</v>
      </c>
      <c r="G480" s="1">
        <v>1</v>
      </c>
      <c r="H480" s="1" t="s">
        <v>91</v>
      </c>
      <c r="I480" s="1" t="s">
        <v>79</v>
      </c>
      <c r="J480" s="1" t="s">
        <v>81</v>
      </c>
      <c r="K480" s="1" t="s">
        <v>74</v>
      </c>
      <c r="L480" s="1" t="s">
        <v>72</v>
      </c>
      <c r="M480" s="1" t="s">
        <v>75</v>
      </c>
      <c r="N480" s="1" t="s">
        <v>76</v>
      </c>
      <c r="O480" s="1" t="s">
        <v>77</v>
      </c>
      <c r="P480" s="1" t="s">
        <v>27</v>
      </c>
      <c r="Q480" s="1" t="s">
        <v>86</v>
      </c>
      <c r="R480" s="1" t="s">
        <v>94</v>
      </c>
      <c r="S480" s="1" t="s">
        <v>87</v>
      </c>
      <c r="T480" s="1" t="s">
        <v>88</v>
      </c>
      <c r="X480" s="1" t="s">
        <v>73</v>
      </c>
      <c r="Z480" s="1" t="s">
        <v>70</v>
      </c>
      <c r="AA480" s="1" t="s">
        <v>95</v>
      </c>
      <c r="AB480" s="1">
        <v>5</v>
      </c>
      <c r="AC480" s="1">
        <v>748752.28</v>
      </c>
      <c r="AD480" s="1">
        <v>8930579.8499999996</v>
      </c>
      <c r="AE480" s="1">
        <v>210.26</v>
      </c>
      <c r="AF480" s="1">
        <v>748752.28</v>
      </c>
      <c r="AG480" s="1">
        <v>8930579.8499999996</v>
      </c>
      <c r="AH480" s="1">
        <v>199.4</v>
      </c>
      <c r="AI480" s="1">
        <v>10.86</v>
      </c>
      <c r="AJ480" s="1">
        <v>0.6</v>
      </c>
      <c r="AK480" s="1">
        <v>2.97</v>
      </c>
      <c r="AL480" s="1">
        <v>2.58</v>
      </c>
      <c r="AM480" s="1">
        <v>0</v>
      </c>
      <c r="AN480" s="1">
        <v>0</v>
      </c>
      <c r="AO480" s="1">
        <v>279.95422539999998</v>
      </c>
      <c r="AP480" s="1">
        <v>3.45</v>
      </c>
      <c r="AQ480" s="1">
        <v>0.76</v>
      </c>
      <c r="AR480" s="1">
        <v>0.14000000000000001</v>
      </c>
      <c r="AS480" s="1">
        <v>0.11</v>
      </c>
      <c r="AT480" s="1">
        <v>23.76</v>
      </c>
      <c r="AU480" s="1">
        <v>5.94</v>
      </c>
      <c r="AV480" s="1">
        <v>0.31</v>
      </c>
      <c r="AW480" s="1">
        <v>2.44</v>
      </c>
      <c r="AX480" s="1">
        <v>8.19</v>
      </c>
      <c r="AY480" s="1">
        <v>0</v>
      </c>
      <c r="AZ480" s="1">
        <v>107.16200000000001</v>
      </c>
      <c r="BA480" s="1">
        <v>0</v>
      </c>
      <c r="BB480" s="1">
        <v>0</v>
      </c>
      <c r="BC480" s="1">
        <v>0</v>
      </c>
      <c r="BD480" s="1">
        <v>0</v>
      </c>
    </row>
    <row r="481" spans="1:56">
      <c r="A481" s="18">
        <v>46192</v>
      </c>
      <c r="B481" s="1">
        <v>480</v>
      </c>
      <c r="C481" s="1" t="s">
        <v>89</v>
      </c>
      <c r="D481" s="1" t="s">
        <v>90</v>
      </c>
      <c r="E481" s="1">
        <v>2</v>
      </c>
      <c r="F481" s="1">
        <v>200</v>
      </c>
      <c r="G481" s="1">
        <v>1</v>
      </c>
      <c r="H481" s="1" t="s">
        <v>91</v>
      </c>
      <c r="I481" s="1" t="s">
        <v>79</v>
      </c>
      <c r="J481" s="1" t="s">
        <v>81</v>
      </c>
      <c r="K481" s="1" t="s">
        <v>74</v>
      </c>
      <c r="L481" s="1" t="s">
        <v>72</v>
      </c>
      <c r="M481" s="1" t="s">
        <v>75</v>
      </c>
      <c r="N481" s="1" t="s">
        <v>76</v>
      </c>
      <c r="O481" s="1" t="s">
        <v>77</v>
      </c>
      <c r="P481" s="1" t="s">
        <v>27</v>
      </c>
      <c r="Q481" s="1" t="s">
        <v>86</v>
      </c>
      <c r="R481" s="1" t="s">
        <v>94</v>
      </c>
      <c r="S481" s="1" t="s">
        <v>87</v>
      </c>
      <c r="T481" s="1" t="s">
        <v>88</v>
      </c>
      <c r="X481" s="1" t="s">
        <v>73</v>
      </c>
      <c r="Z481" s="1" t="s">
        <v>70</v>
      </c>
      <c r="AA481" s="1" t="s">
        <v>95</v>
      </c>
      <c r="AB481" s="1">
        <v>5</v>
      </c>
      <c r="AC481" s="1">
        <v>748754.63</v>
      </c>
      <c r="AD481" s="1">
        <v>8930579.0099999998</v>
      </c>
      <c r="AE481" s="1">
        <v>210.09</v>
      </c>
      <c r="AF481" s="1">
        <v>748754.63</v>
      </c>
      <c r="AG481" s="1">
        <v>8930579.0099999998</v>
      </c>
      <c r="AH481" s="1">
        <v>199.4</v>
      </c>
      <c r="AI481" s="1">
        <v>10.69</v>
      </c>
      <c r="AJ481" s="1">
        <v>0.6</v>
      </c>
      <c r="AK481" s="1">
        <v>2.97</v>
      </c>
      <c r="AL481" s="1">
        <v>2.58</v>
      </c>
      <c r="AM481" s="1">
        <v>0</v>
      </c>
      <c r="AN481" s="1">
        <v>0</v>
      </c>
      <c r="AO481" s="1">
        <v>279.95422539999998</v>
      </c>
      <c r="AP481" s="1">
        <v>3.44</v>
      </c>
      <c r="AQ481" s="1">
        <v>0.73</v>
      </c>
      <c r="AR481" s="1">
        <v>0.14000000000000001</v>
      </c>
      <c r="AS481" s="1">
        <v>0.11</v>
      </c>
      <c r="AT481" s="1">
        <v>23.53</v>
      </c>
      <c r="AU481" s="1">
        <v>6</v>
      </c>
      <c r="AV481" s="1">
        <v>0.31</v>
      </c>
      <c r="AW481" s="1">
        <v>2.38</v>
      </c>
      <c r="AX481" s="1">
        <v>8.5299999999999994</v>
      </c>
      <c r="AY481" s="1">
        <v>0</v>
      </c>
      <c r="AZ481" s="1">
        <v>104.68600000000001</v>
      </c>
      <c r="BA481" s="1">
        <v>0</v>
      </c>
      <c r="BB481" s="1">
        <v>0</v>
      </c>
      <c r="BC481" s="1">
        <v>0</v>
      </c>
      <c r="BD481" s="1">
        <v>0</v>
      </c>
    </row>
    <row r="482" spans="1:56">
      <c r="A482" s="18">
        <v>46192</v>
      </c>
      <c r="B482" s="1">
        <v>481</v>
      </c>
      <c r="C482" s="1" t="s">
        <v>89</v>
      </c>
      <c r="D482" s="1" t="s">
        <v>90</v>
      </c>
      <c r="E482" s="1">
        <v>2</v>
      </c>
      <c r="F482" s="1">
        <v>200</v>
      </c>
      <c r="G482" s="1">
        <v>1</v>
      </c>
      <c r="H482" s="1" t="s">
        <v>91</v>
      </c>
      <c r="I482" s="1" t="s">
        <v>79</v>
      </c>
      <c r="J482" s="1" t="s">
        <v>81</v>
      </c>
      <c r="K482" s="1" t="s">
        <v>74</v>
      </c>
      <c r="L482" s="1" t="s">
        <v>72</v>
      </c>
      <c r="M482" s="1" t="s">
        <v>75</v>
      </c>
      <c r="N482" s="1" t="s">
        <v>76</v>
      </c>
      <c r="O482" s="1" t="s">
        <v>77</v>
      </c>
      <c r="P482" s="1" t="s">
        <v>27</v>
      </c>
      <c r="Q482" s="1" t="s">
        <v>86</v>
      </c>
      <c r="R482" s="1" t="s">
        <v>94</v>
      </c>
      <c r="S482" s="1" t="s">
        <v>87</v>
      </c>
      <c r="T482" s="1" t="s">
        <v>88</v>
      </c>
      <c r="X482" s="1" t="s">
        <v>73</v>
      </c>
      <c r="Z482" s="1" t="s">
        <v>70</v>
      </c>
      <c r="AA482" s="1" t="s">
        <v>95</v>
      </c>
      <c r="AB482" s="1">
        <v>5</v>
      </c>
      <c r="AC482" s="1">
        <v>748757.44</v>
      </c>
      <c r="AD482" s="1">
        <v>8930578.0600000005</v>
      </c>
      <c r="AE482" s="1">
        <v>209.97</v>
      </c>
      <c r="AF482" s="1">
        <v>748757.44</v>
      </c>
      <c r="AG482" s="1">
        <v>8930578.0600000005</v>
      </c>
      <c r="AH482" s="1">
        <v>199.4</v>
      </c>
      <c r="AI482" s="1">
        <v>10.57</v>
      </c>
      <c r="AJ482" s="1">
        <v>0.6</v>
      </c>
      <c r="AK482" s="1">
        <v>2.97</v>
      </c>
      <c r="AL482" s="1">
        <v>2.58</v>
      </c>
      <c r="AM482" s="1">
        <v>0</v>
      </c>
      <c r="AN482" s="1">
        <v>0</v>
      </c>
      <c r="AO482" s="1">
        <v>279.95422539999998</v>
      </c>
      <c r="AP482" s="1">
        <v>3.43</v>
      </c>
      <c r="AQ482" s="1">
        <v>0.71</v>
      </c>
      <c r="AR482" s="1">
        <v>0.13</v>
      </c>
      <c r="AS482" s="1">
        <v>0.11</v>
      </c>
      <c r="AT482" s="1">
        <v>23.34</v>
      </c>
      <c r="AU482" s="1">
        <v>6.05</v>
      </c>
      <c r="AV482" s="1">
        <v>0.31</v>
      </c>
      <c r="AW482" s="1">
        <v>2.33</v>
      </c>
      <c r="AX482" s="1">
        <v>8.8000000000000007</v>
      </c>
      <c r="AY482" s="1">
        <v>0</v>
      </c>
      <c r="AZ482" s="1">
        <v>102.93899999999999</v>
      </c>
      <c r="BA482" s="1">
        <v>0</v>
      </c>
      <c r="BB482" s="1">
        <v>0</v>
      </c>
      <c r="BC482" s="1">
        <v>0</v>
      </c>
      <c r="BD482" s="1">
        <v>0</v>
      </c>
    </row>
    <row r="483" spans="1:56">
      <c r="A483" s="18">
        <v>46192</v>
      </c>
      <c r="B483" s="1">
        <v>482</v>
      </c>
      <c r="C483" s="1" t="s">
        <v>89</v>
      </c>
      <c r="D483" s="1" t="s">
        <v>90</v>
      </c>
      <c r="E483" s="1">
        <v>2</v>
      </c>
      <c r="F483" s="1">
        <v>200</v>
      </c>
      <c r="G483" s="1">
        <v>1</v>
      </c>
      <c r="H483" s="1" t="s">
        <v>91</v>
      </c>
      <c r="I483" s="1" t="s">
        <v>79</v>
      </c>
      <c r="J483" s="1" t="s">
        <v>81</v>
      </c>
      <c r="K483" s="1" t="s">
        <v>74</v>
      </c>
      <c r="L483" s="1" t="s">
        <v>72</v>
      </c>
      <c r="M483" s="1" t="s">
        <v>75</v>
      </c>
      <c r="N483" s="1" t="s">
        <v>76</v>
      </c>
      <c r="O483" s="1" t="s">
        <v>77</v>
      </c>
      <c r="P483" s="1" t="s">
        <v>27</v>
      </c>
      <c r="Q483" s="1" t="s">
        <v>86</v>
      </c>
      <c r="R483" s="1" t="s">
        <v>94</v>
      </c>
      <c r="S483" s="1" t="s">
        <v>87</v>
      </c>
      <c r="T483" s="1" t="s">
        <v>88</v>
      </c>
      <c r="X483" s="1" t="s">
        <v>73</v>
      </c>
      <c r="Z483" s="1" t="s">
        <v>70</v>
      </c>
      <c r="AA483" s="1" t="s">
        <v>95</v>
      </c>
      <c r="AB483" s="1">
        <v>5</v>
      </c>
      <c r="AC483" s="1">
        <v>748760.26</v>
      </c>
      <c r="AD483" s="1">
        <v>8930577.1099999994</v>
      </c>
      <c r="AE483" s="1">
        <v>209.93</v>
      </c>
      <c r="AF483" s="1">
        <v>748760.26</v>
      </c>
      <c r="AG483" s="1">
        <v>8930577.1099999994</v>
      </c>
      <c r="AH483" s="1">
        <v>199.4</v>
      </c>
      <c r="AI483" s="1">
        <v>10.53</v>
      </c>
      <c r="AJ483" s="1">
        <v>0.6</v>
      </c>
      <c r="AK483" s="1">
        <v>2.97</v>
      </c>
      <c r="AL483" s="1">
        <v>2.58</v>
      </c>
      <c r="AM483" s="1">
        <v>0</v>
      </c>
      <c r="AN483" s="1">
        <v>0</v>
      </c>
      <c r="AO483" s="1">
        <v>279.95422539999998</v>
      </c>
      <c r="AP483" s="1">
        <v>3.4</v>
      </c>
      <c r="AQ483" s="1">
        <v>0.79</v>
      </c>
      <c r="AR483" s="1">
        <v>0.14000000000000001</v>
      </c>
      <c r="AS483" s="1">
        <v>0.12</v>
      </c>
      <c r="AT483" s="1">
        <v>24.88</v>
      </c>
      <c r="AU483" s="1">
        <v>6.02</v>
      </c>
      <c r="AV483" s="1">
        <v>0.34</v>
      </c>
      <c r="AW483" s="1">
        <v>2.36</v>
      </c>
      <c r="AX483" s="1">
        <v>8.1199999999999992</v>
      </c>
      <c r="AY483" s="1">
        <v>0</v>
      </c>
      <c r="AZ483" s="1">
        <v>102.357</v>
      </c>
      <c r="BA483" s="1">
        <v>0</v>
      </c>
      <c r="BB483" s="1">
        <v>0</v>
      </c>
      <c r="BC483" s="1">
        <v>0</v>
      </c>
      <c r="BD483" s="1">
        <v>0</v>
      </c>
    </row>
    <row r="484" spans="1:56">
      <c r="A484" s="18">
        <v>46192</v>
      </c>
      <c r="B484" s="1">
        <v>483</v>
      </c>
      <c r="C484" s="1" t="s">
        <v>89</v>
      </c>
      <c r="D484" s="1" t="s">
        <v>90</v>
      </c>
      <c r="E484" s="1">
        <v>2</v>
      </c>
      <c r="F484" s="1">
        <v>200</v>
      </c>
      <c r="G484" s="1">
        <v>1</v>
      </c>
      <c r="H484" s="1" t="s">
        <v>91</v>
      </c>
      <c r="I484" s="1" t="s">
        <v>79</v>
      </c>
      <c r="J484" s="1" t="s">
        <v>81</v>
      </c>
      <c r="K484" s="1" t="s">
        <v>74</v>
      </c>
      <c r="L484" s="1" t="s">
        <v>72</v>
      </c>
      <c r="M484" s="1" t="s">
        <v>75</v>
      </c>
      <c r="N484" s="1" t="s">
        <v>76</v>
      </c>
      <c r="O484" s="1" t="s">
        <v>77</v>
      </c>
      <c r="P484" s="1" t="s">
        <v>27</v>
      </c>
      <c r="Q484" s="1" t="s">
        <v>86</v>
      </c>
      <c r="R484" s="1" t="s">
        <v>94</v>
      </c>
      <c r="S484" s="1" t="s">
        <v>87</v>
      </c>
      <c r="T484" s="1" t="s">
        <v>88</v>
      </c>
      <c r="X484" s="1" t="s">
        <v>73</v>
      </c>
      <c r="Z484" s="1" t="s">
        <v>70</v>
      </c>
      <c r="AA484" s="1" t="s">
        <v>95</v>
      </c>
      <c r="AB484" s="1">
        <v>5</v>
      </c>
      <c r="AC484" s="1">
        <v>748762.71</v>
      </c>
      <c r="AD484" s="1">
        <v>8930575.5</v>
      </c>
      <c r="AE484" s="1">
        <v>209.95</v>
      </c>
      <c r="AF484" s="1">
        <v>748762.71</v>
      </c>
      <c r="AG484" s="1">
        <v>8930575.5</v>
      </c>
      <c r="AH484" s="1">
        <v>199.4</v>
      </c>
      <c r="AI484" s="1">
        <v>10.55</v>
      </c>
      <c r="AJ484" s="1">
        <v>0.6</v>
      </c>
      <c r="AK484" s="1">
        <v>2.97</v>
      </c>
      <c r="AL484" s="1">
        <v>2.58</v>
      </c>
      <c r="AM484" s="1">
        <v>0</v>
      </c>
      <c r="AN484" s="1">
        <v>0</v>
      </c>
      <c r="AO484" s="1">
        <v>279.95422539999998</v>
      </c>
      <c r="AP484" s="1">
        <v>3.37</v>
      </c>
      <c r="AQ484" s="1">
        <v>0.85</v>
      </c>
      <c r="AR484" s="1">
        <v>0.15</v>
      </c>
      <c r="AS484" s="1">
        <v>0.13</v>
      </c>
      <c r="AT484" s="1">
        <v>26.03</v>
      </c>
      <c r="AU484" s="1">
        <v>5.99</v>
      </c>
      <c r="AV484" s="1">
        <v>0.36</v>
      </c>
      <c r="AW484" s="1">
        <v>2.39</v>
      </c>
      <c r="AX484" s="1">
        <v>7.61</v>
      </c>
      <c r="AY484" s="1">
        <v>0</v>
      </c>
      <c r="AZ484" s="1">
        <v>102.648</v>
      </c>
      <c r="BA484" s="1">
        <v>0</v>
      </c>
      <c r="BB484" s="1">
        <v>0</v>
      </c>
      <c r="BC484" s="1">
        <v>0</v>
      </c>
      <c r="BD484" s="1">
        <v>0</v>
      </c>
    </row>
    <row r="485" spans="1:56">
      <c r="A485" s="18">
        <v>46192</v>
      </c>
      <c r="B485" s="1">
        <v>484</v>
      </c>
      <c r="C485" s="1" t="s">
        <v>89</v>
      </c>
      <c r="D485" s="1" t="s">
        <v>90</v>
      </c>
      <c r="E485" s="1">
        <v>2</v>
      </c>
      <c r="F485" s="1">
        <v>200</v>
      </c>
      <c r="G485" s="1">
        <v>1</v>
      </c>
      <c r="H485" s="1" t="s">
        <v>91</v>
      </c>
      <c r="I485" s="1" t="s">
        <v>79</v>
      </c>
      <c r="J485" s="1" t="s">
        <v>81</v>
      </c>
      <c r="K485" s="1" t="s">
        <v>74</v>
      </c>
      <c r="L485" s="1" t="s">
        <v>72</v>
      </c>
      <c r="M485" s="1" t="s">
        <v>75</v>
      </c>
      <c r="N485" s="1" t="s">
        <v>76</v>
      </c>
      <c r="O485" s="1" t="s">
        <v>77</v>
      </c>
      <c r="P485" s="1" t="s">
        <v>27</v>
      </c>
      <c r="Q485" s="1" t="s">
        <v>86</v>
      </c>
      <c r="R485" s="1" t="s">
        <v>94</v>
      </c>
      <c r="S485" s="1" t="s">
        <v>87</v>
      </c>
      <c r="T485" s="1" t="s">
        <v>88</v>
      </c>
      <c r="X485" s="1" t="s">
        <v>73</v>
      </c>
      <c r="Z485" s="1" t="s">
        <v>70</v>
      </c>
      <c r="AA485" s="1" t="s">
        <v>95</v>
      </c>
      <c r="AB485" s="1">
        <v>5</v>
      </c>
      <c r="AC485" s="1">
        <v>748765.04</v>
      </c>
      <c r="AD485" s="1">
        <v>8930573.6500000004</v>
      </c>
      <c r="AE485" s="1">
        <v>209.95</v>
      </c>
      <c r="AF485" s="1">
        <v>748765.04</v>
      </c>
      <c r="AG485" s="1">
        <v>8930573.6500000004</v>
      </c>
      <c r="AH485" s="1">
        <v>199.4</v>
      </c>
      <c r="AI485" s="1">
        <v>10.55</v>
      </c>
      <c r="AJ485" s="1">
        <v>0.6</v>
      </c>
      <c r="AK485" s="1">
        <v>2.97</v>
      </c>
      <c r="AL485" s="1">
        <v>2.58</v>
      </c>
      <c r="AM485" s="1">
        <v>0</v>
      </c>
      <c r="AN485" s="1">
        <v>0</v>
      </c>
      <c r="AO485" s="1">
        <v>279.95422539999998</v>
      </c>
      <c r="AP485" s="1">
        <v>3.37</v>
      </c>
      <c r="AQ485" s="1">
        <v>0.85</v>
      </c>
      <c r="AR485" s="1">
        <v>0.15</v>
      </c>
      <c r="AS485" s="1">
        <v>0.13</v>
      </c>
      <c r="AT485" s="1">
        <v>26.03</v>
      </c>
      <c r="AU485" s="1">
        <v>5.99</v>
      </c>
      <c r="AV485" s="1">
        <v>0.36</v>
      </c>
      <c r="AW485" s="1">
        <v>2.39</v>
      </c>
      <c r="AX485" s="1">
        <v>7.61</v>
      </c>
      <c r="AY485" s="1">
        <v>0</v>
      </c>
      <c r="AZ485" s="1">
        <v>102.648</v>
      </c>
      <c r="BA485" s="1">
        <v>0</v>
      </c>
      <c r="BB485" s="1">
        <v>0</v>
      </c>
      <c r="BC485" s="1">
        <v>0</v>
      </c>
      <c r="BD485" s="1">
        <v>0</v>
      </c>
    </row>
    <row r="486" spans="1:56">
      <c r="A486" s="18">
        <v>46192</v>
      </c>
      <c r="B486" s="1">
        <v>485</v>
      </c>
      <c r="C486" s="1" t="s">
        <v>89</v>
      </c>
      <c r="D486" s="1" t="s">
        <v>90</v>
      </c>
      <c r="E486" s="1">
        <v>2</v>
      </c>
      <c r="F486" s="1">
        <v>200</v>
      </c>
      <c r="G486" s="1">
        <v>1</v>
      </c>
      <c r="H486" s="1" t="s">
        <v>91</v>
      </c>
      <c r="I486" s="1" t="s">
        <v>79</v>
      </c>
      <c r="J486" s="1" t="s">
        <v>81</v>
      </c>
      <c r="K486" s="1" t="s">
        <v>74</v>
      </c>
      <c r="L486" s="1" t="s">
        <v>72</v>
      </c>
      <c r="M486" s="1" t="s">
        <v>75</v>
      </c>
      <c r="N486" s="1" t="s">
        <v>76</v>
      </c>
      <c r="O486" s="1" t="s">
        <v>77</v>
      </c>
      <c r="P486" s="1" t="s">
        <v>27</v>
      </c>
      <c r="Q486" s="1" t="s">
        <v>86</v>
      </c>
      <c r="R486" s="1" t="s">
        <v>94</v>
      </c>
      <c r="S486" s="1" t="s">
        <v>87</v>
      </c>
      <c r="T486" s="1" t="s">
        <v>88</v>
      </c>
      <c r="X486" s="1" t="s">
        <v>73</v>
      </c>
      <c r="Z486" s="1" t="s">
        <v>70</v>
      </c>
      <c r="AA486" s="1" t="s">
        <v>95</v>
      </c>
      <c r="AB486" s="1">
        <v>5</v>
      </c>
      <c r="AC486" s="1">
        <v>748767.37</v>
      </c>
      <c r="AD486" s="1">
        <v>8930571.8100000005</v>
      </c>
      <c r="AE486" s="1">
        <v>209.9</v>
      </c>
      <c r="AF486" s="1">
        <v>748767.37</v>
      </c>
      <c r="AG486" s="1">
        <v>8930571.8100000005</v>
      </c>
      <c r="AH486" s="1">
        <v>199.4</v>
      </c>
      <c r="AI486" s="1">
        <v>10.5</v>
      </c>
      <c r="AJ486" s="1">
        <v>0.6</v>
      </c>
      <c r="AK486" s="1">
        <v>2.97</v>
      </c>
      <c r="AL486" s="1">
        <v>2.58</v>
      </c>
      <c r="AM486" s="1">
        <v>0</v>
      </c>
      <c r="AN486" s="1">
        <v>0</v>
      </c>
      <c r="AO486" s="1">
        <v>279.95422539999998</v>
      </c>
      <c r="AP486" s="1">
        <v>3.37</v>
      </c>
      <c r="AQ486" s="1">
        <v>0.85</v>
      </c>
      <c r="AR486" s="1">
        <v>0.15</v>
      </c>
      <c r="AS486" s="1">
        <v>0.13</v>
      </c>
      <c r="AT486" s="1">
        <v>26.02</v>
      </c>
      <c r="AU486" s="1">
        <v>6</v>
      </c>
      <c r="AV486" s="1">
        <v>0.36</v>
      </c>
      <c r="AW486" s="1">
        <v>2.39</v>
      </c>
      <c r="AX486" s="1">
        <v>7.61</v>
      </c>
      <c r="AY486" s="1">
        <v>0</v>
      </c>
      <c r="AZ486" s="1">
        <v>101.92</v>
      </c>
      <c r="BA486" s="1">
        <v>0</v>
      </c>
      <c r="BB486" s="1">
        <v>0</v>
      </c>
      <c r="BC486" s="1">
        <v>0</v>
      </c>
      <c r="BD486" s="1">
        <v>0</v>
      </c>
    </row>
    <row r="487" spans="1:56">
      <c r="A487" s="18">
        <v>46192</v>
      </c>
      <c r="B487" s="1">
        <v>486</v>
      </c>
      <c r="C487" s="1" t="s">
        <v>89</v>
      </c>
      <c r="D487" s="1" t="s">
        <v>90</v>
      </c>
      <c r="E487" s="1">
        <v>2</v>
      </c>
      <c r="F487" s="1">
        <v>200</v>
      </c>
      <c r="G487" s="1">
        <v>1</v>
      </c>
      <c r="H487" s="1" t="s">
        <v>91</v>
      </c>
      <c r="I487" s="1" t="s">
        <v>79</v>
      </c>
      <c r="J487" s="1" t="s">
        <v>81</v>
      </c>
      <c r="K487" s="1" t="s">
        <v>74</v>
      </c>
      <c r="L487" s="1" t="s">
        <v>72</v>
      </c>
      <c r="M487" s="1" t="s">
        <v>75</v>
      </c>
      <c r="N487" s="1" t="s">
        <v>76</v>
      </c>
      <c r="O487" s="1" t="s">
        <v>77</v>
      </c>
      <c r="P487" s="1" t="s">
        <v>27</v>
      </c>
      <c r="Q487" s="1" t="s">
        <v>86</v>
      </c>
      <c r="R487" s="1" t="s">
        <v>94</v>
      </c>
      <c r="S487" s="1" t="s">
        <v>87</v>
      </c>
      <c r="T487" s="1" t="s">
        <v>88</v>
      </c>
      <c r="X487" s="1" t="s">
        <v>73</v>
      </c>
      <c r="Z487" s="1" t="s">
        <v>70</v>
      </c>
      <c r="AA487" s="1" t="s">
        <v>95</v>
      </c>
      <c r="AB487" s="1">
        <v>5</v>
      </c>
      <c r="AC487" s="1">
        <v>748769.69</v>
      </c>
      <c r="AD487" s="1">
        <v>8930569.9600000009</v>
      </c>
      <c r="AE487" s="1">
        <v>209.85</v>
      </c>
      <c r="AF487" s="1">
        <v>748769.69</v>
      </c>
      <c r="AG487" s="1">
        <v>8930569.9600000009</v>
      </c>
      <c r="AH487" s="1">
        <v>199.4</v>
      </c>
      <c r="AI487" s="1">
        <v>10.45</v>
      </c>
      <c r="AJ487" s="1">
        <v>0.6</v>
      </c>
      <c r="AK487" s="1">
        <v>2.97</v>
      </c>
      <c r="AL487" s="1">
        <v>2.58</v>
      </c>
      <c r="AM487" s="1">
        <v>0</v>
      </c>
      <c r="AN487" s="1">
        <v>0</v>
      </c>
      <c r="AO487" s="1">
        <v>279.95422539999998</v>
      </c>
      <c r="AP487" s="1">
        <v>3.37</v>
      </c>
      <c r="AQ487" s="1">
        <v>0.83</v>
      </c>
      <c r="AR487" s="1">
        <v>0.15</v>
      </c>
      <c r="AS487" s="1">
        <v>0.12</v>
      </c>
      <c r="AT487" s="1">
        <v>24.74</v>
      </c>
      <c r="AU487" s="1">
        <v>6.08</v>
      </c>
      <c r="AV487" s="1">
        <v>0.36</v>
      </c>
      <c r="AW487" s="1">
        <v>2.34</v>
      </c>
      <c r="AX487" s="1">
        <v>7.83</v>
      </c>
      <c r="AY487" s="1">
        <v>0</v>
      </c>
      <c r="AZ487" s="1">
        <v>101.19199999999999</v>
      </c>
      <c r="BA487" s="1">
        <v>0</v>
      </c>
      <c r="BB487" s="1">
        <v>0</v>
      </c>
      <c r="BC487" s="1">
        <v>0</v>
      </c>
      <c r="BD487" s="1">
        <v>0</v>
      </c>
    </row>
    <row r="488" spans="1:56">
      <c r="A488" s="18">
        <v>46192</v>
      </c>
      <c r="B488" s="1">
        <v>487</v>
      </c>
      <c r="C488" s="1" t="s">
        <v>89</v>
      </c>
      <c r="D488" s="1" t="s">
        <v>90</v>
      </c>
      <c r="E488" s="1">
        <v>2</v>
      </c>
      <c r="F488" s="1">
        <v>200</v>
      </c>
      <c r="G488" s="1">
        <v>1</v>
      </c>
      <c r="H488" s="1" t="s">
        <v>91</v>
      </c>
      <c r="I488" s="1" t="s">
        <v>79</v>
      </c>
      <c r="J488" s="1" t="s">
        <v>81</v>
      </c>
      <c r="K488" s="1" t="s">
        <v>74</v>
      </c>
      <c r="L488" s="1" t="s">
        <v>72</v>
      </c>
      <c r="M488" s="1" t="s">
        <v>75</v>
      </c>
      <c r="N488" s="1" t="s">
        <v>76</v>
      </c>
      <c r="O488" s="1" t="s">
        <v>77</v>
      </c>
      <c r="P488" s="1" t="s">
        <v>27</v>
      </c>
      <c r="Q488" s="1" t="s">
        <v>86</v>
      </c>
      <c r="R488" s="1" t="s">
        <v>94</v>
      </c>
      <c r="S488" s="1" t="s">
        <v>87</v>
      </c>
      <c r="T488" s="1" t="s">
        <v>88</v>
      </c>
      <c r="X488" s="1" t="s">
        <v>73</v>
      </c>
      <c r="Z488" s="1" t="s">
        <v>70</v>
      </c>
      <c r="AA488" s="1" t="s">
        <v>95</v>
      </c>
      <c r="AB488" s="1">
        <v>5</v>
      </c>
      <c r="AC488" s="1">
        <v>748772.02</v>
      </c>
      <c r="AD488" s="1">
        <v>8930568.1099999994</v>
      </c>
      <c r="AE488" s="1">
        <v>209.92</v>
      </c>
      <c r="AF488" s="1">
        <v>748772.02</v>
      </c>
      <c r="AG488" s="1">
        <v>8930568.1099999994</v>
      </c>
      <c r="AH488" s="1">
        <v>199.4</v>
      </c>
      <c r="AI488" s="1">
        <v>10.52</v>
      </c>
      <c r="AJ488" s="1">
        <v>0.6</v>
      </c>
      <c r="AK488" s="1">
        <v>2.97</v>
      </c>
      <c r="AL488" s="1">
        <v>2.58</v>
      </c>
      <c r="AM488" s="1">
        <v>0</v>
      </c>
      <c r="AN488" s="1">
        <v>0</v>
      </c>
      <c r="AO488" s="1">
        <v>279.95422539999998</v>
      </c>
      <c r="AP488" s="1">
        <v>3.34</v>
      </c>
      <c r="AQ488" s="1">
        <v>0.81</v>
      </c>
      <c r="AR488" s="1">
        <v>0.14000000000000001</v>
      </c>
      <c r="AS488" s="1">
        <v>0.12</v>
      </c>
      <c r="AT488" s="1">
        <v>23.53</v>
      </c>
      <c r="AU488" s="1">
        <v>6.16</v>
      </c>
      <c r="AV488" s="1">
        <v>0.34</v>
      </c>
      <c r="AW488" s="1">
        <v>2.41</v>
      </c>
      <c r="AX488" s="1">
        <v>7.88</v>
      </c>
      <c r="AY488" s="1">
        <v>0</v>
      </c>
      <c r="AZ488" s="1">
        <v>102.211</v>
      </c>
      <c r="BA488" s="1">
        <v>0</v>
      </c>
      <c r="BB488" s="1">
        <v>0</v>
      </c>
      <c r="BC488" s="1">
        <v>0</v>
      </c>
      <c r="BD488" s="1">
        <v>0</v>
      </c>
    </row>
    <row r="489" spans="1:56">
      <c r="A489" s="18">
        <v>46192</v>
      </c>
      <c r="B489" s="1">
        <v>488</v>
      </c>
      <c r="C489" s="1" t="s">
        <v>89</v>
      </c>
      <c r="D489" s="1" t="s">
        <v>90</v>
      </c>
      <c r="E489" s="1">
        <v>2</v>
      </c>
      <c r="F489" s="1">
        <v>200</v>
      </c>
      <c r="G489" s="1">
        <v>1</v>
      </c>
      <c r="H489" s="1" t="s">
        <v>91</v>
      </c>
      <c r="I489" s="1" t="s">
        <v>79</v>
      </c>
      <c r="J489" s="1" t="s">
        <v>81</v>
      </c>
      <c r="K489" s="1" t="s">
        <v>74</v>
      </c>
      <c r="L489" s="1" t="s">
        <v>72</v>
      </c>
      <c r="M489" s="1" t="s">
        <v>75</v>
      </c>
      <c r="N489" s="1" t="s">
        <v>76</v>
      </c>
      <c r="O489" s="1" t="s">
        <v>77</v>
      </c>
      <c r="P489" s="1" t="s">
        <v>27</v>
      </c>
      <c r="Q489" s="1" t="s">
        <v>86</v>
      </c>
      <c r="R489" s="1" t="s">
        <v>94</v>
      </c>
      <c r="S489" s="1" t="s">
        <v>87</v>
      </c>
      <c r="T489" s="1" t="s">
        <v>88</v>
      </c>
      <c r="X489" s="1" t="s">
        <v>73</v>
      </c>
      <c r="Z489" s="1" t="s">
        <v>70</v>
      </c>
      <c r="AA489" s="1" t="s">
        <v>95</v>
      </c>
      <c r="AB489" s="1">
        <v>5</v>
      </c>
      <c r="AC489" s="1">
        <v>748774.27</v>
      </c>
      <c r="AD489" s="1">
        <v>8930566.1699999999</v>
      </c>
      <c r="AE489" s="1">
        <v>210.12</v>
      </c>
      <c r="AF489" s="1">
        <v>748774.27</v>
      </c>
      <c r="AG489" s="1">
        <v>8930566.1699999999</v>
      </c>
      <c r="AH489" s="1">
        <v>199.4</v>
      </c>
      <c r="AI489" s="1">
        <v>10.72</v>
      </c>
      <c r="AJ489" s="1">
        <v>0.6</v>
      </c>
      <c r="AK489" s="1">
        <v>2.97</v>
      </c>
      <c r="AL489" s="1">
        <v>2.58</v>
      </c>
      <c r="AM489" s="1">
        <v>0</v>
      </c>
      <c r="AN489" s="1">
        <v>0</v>
      </c>
      <c r="AO489" s="1">
        <v>279.95422539999998</v>
      </c>
      <c r="AP489" s="1">
        <v>3.34</v>
      </c>
      <c r="AQ489" s="1">
        <v>0.81</v>
      </c>
      <c r="AR489" s="1">
        <v>0.14000000000000001</v>
      </c>
      <c r="AS489" s="1">
        <v>0.12</v>
      </c>
      <c r="AT489" s="1">
        <v>23.54</v>
      </c>
      <c r="AU489" s="1">
        <v>6.16</v>
      </c>
      <c r="AV489" s="1">
        <v>0.34</v>
      </c>
      <c r="AW489" s="1">
        <v>2.41</v>
      </c>
      <c r="AX489" s="1">
        <v>7.89</v>
      </c>
      <c r="AY489" s="1">
        <v>0</v>
      </c>
      <c r="AZ489" s="1">
        <v>105.123</v>
      </c>
      <c r="BA489" s="1">
        <v>0</v>
      </c>
      <c r="BB489" s="1">
        <v>0</v>
      </c>
      <c r="BC489" s="1">
        <v>0</v>
      </c>
      <c r="BD489" s="1">
        <v>0</v>
      </c>
    </row>
    <row r="490" spans="1:56">
      <c r="A490" s="18">
        <v>46192</v>
      </c>
      <c r="B490" s="1">
        <v>489</v>
      </c>
      <c r="C490" s="1" t="s">
        <v>89</v>
      </c>
      <c r="D490" s="1" t="s">
        <v>90</v>
      </c>
      <c r="E490" s="1">
        <v>2</v>
      </c>
      <c r="F490" s="1">
        <v>200</v>
      </c>
      <c r="G490" s="1">
        <v>1</v>
      </c>
      <c r="H490" s="1" t="s">
        <v>91</v>
      </c>
      <c r="I490" s="1" t="s">
        <v>79</v>
      </c>
      <c r="J490" s="1" t="s">
        <v>81</v>
      </c>
      <c r="K490" s="1" t="s">
        <v>74</v>
      </c>
      <c r="L490" s="1" t="s">
        <v>72</v>
      </c>
      <c r="M490" s="1" t="s">
        <v>75</v>
      </c>
      <c r="N490" s="1" t="s">
        <v>76</v>
      </c>
      <c r="O490" s="1" t="s">
        <v>77</v>
      </c>
      <c r="P490" s="1" t="s">
        <v>27</v>
      </c>
      <c r="Q490" s="1" t="s">
        <v>86</v>
      </c>
      <c r="R490" s="1" t="s">
        <v>94</v>
      </c>
      <c r="S490" s="1" t="s">
        <v>87</v>
      </c>
      <c r="T490" s="1" t="s">
        <v>88</v>
      </c>
      <c r="X490" s="1" t="s">
        <v>73</v>
      </c>
      <c r="Z490" s="1" t="s">
        <v>70</v>
      </c>
      <c r="AA490" s="1" t="s">
        <v>95</v>
      </c>
      <c r="AB490" s="1">
        <v>5</v>
      </c>
      <c r="AC490" s="1">
        <v>748776.52</v>
      </c>
      <c r="AD490" s="1">
        <v>8930564.2300000004</v>
      </c>
      <c r="AE490" s="1">
        <v>210.17</v>
      </c>
      <c r="AF490" s="1">
        <v>748776.52</v>
      </c>
      <c r="AG490" s="1">
        <v>8930564.2300000004</v>
      </c>
      <c r="AH490" s="1">
        <v>199.4</v>
      </c>
      <c r="AI490" s="1">
        <v>10.77</v>
      </c>
      <c r="AJ490" s="1">
        <v>0.6</v>
      </c>
      <c r="AK490" s="1">
        <v>2.97</v>
      </c>
      <c r="AL490" s="1">
        <v>2.58</v>
      </c>
      <c r="AM490" s="1">
        <v>0</v>
      </c>
      <c r="AN490" s="1">
        <v>0</v>
      </c>
      <c r="AO490" s="1">
        <v>279.95422539999998</v>
      </c>
      <c r="AP490" s="1">
        <v>3.34</v>
      </c>
      <c r="AQ490" s="1">
        <v>0.81</v>
      </c>
      <c r="AR490" s="1">
        <v>0.14000000000000001</v>
      </c>
      <c r="AS490" s="1">
        <v>0.12</v>
      </c>
      <c r="AT490" s="1">
        <v>23.54</v>
      </c>
      <c r="AU490" s="1">
        <v>6.16</v>
      </c>
      <c r="AV490" s="1">
        <v>0.34</v>
      </c>
      <c r="AW490" s="1">
        <v>2.41</v>
      </c>
      <c r="AX490" s="1">
        <v>7.89</v>
      </c>
      <c r="AY490" s="1">
        <v>0</v>
      </c>
      <c r="AZ490" s="1">
        <v>105.851</v>
      </c>
      <c r="BA490" s="1">
        <v>0</v>
      </c>
      <c r="BB490" s="1">
        <v>0</v>
      </c>
      <c r="BC490" s="1">
        <v>0</v>
      </c>
      <c r="BD490" s="1">
        <v>0</v>
      </c>
    </row>
    <row r="491" spans="1:56">
      <c r="A491" s="18">
        <v>46192</v>
      </c>
      <c r="B491" s="1">
        <v>490</v>
      </c>
      <c r="C491" s="1" t="s">
        <v>89</v>
      </c>
      <c r="D491" s="1" t="s">
        <v>90</v>
      </c>
      <c r="E491" s="1">
        <v>2</v>
      </c>
      <c r="F491" s="1">
        <v>200</v>
      </c>
      <c r="G491" s="1">
        <v>1</v>
      </c>
      <c r="H491" s="1" t="s">
        <v>91</v>
      </c>
      <c r="I491" s="1" t="s">
        <v>79</v>
      </c>
      <c r="J491" s="1" t="s">
        <v>81</v>
      </c>
      <c r="K491" s="1" t="s">
        <v>74</v>
      </c>
      <c r="L491" s="1" t="s">
        <v>72</v>
      </c>
      <c r="M491" s="1" t="s">
        <v>75</v>
      </c>
      <c r="N491" s="1" t="s">
        <v>76</v>
      </c>
      <c r="O491" s="1" t="s">
        <v>77</v>
      </c>
      <c r="P491" s="1" t="s">
        <v>27</v>
      </c>
      <c r="Q491" s="1" t="s">
        <v>86</v>
      </c>
      <c r="R491" s="1" t="s">
        <v>94</v>
      </c>
      <c r="S491" s="1" t="s">
        <v>87</v>
      </c>
      <c r="T491" s="1" t="s">
        <v>88</v>
      </c>
      <c r="X491" s="1" t="s">
        <v>73</v>
      </c>
      <c r="Z491" s="1" t="s">
        <v>70</v>
      </c>
      <c r="AA491" s="1" t="s">
        <v>95</v>
      </c>
      <c r="AB491" s="1">
        <v>5</v>
      </c>
      <c r="AC491" s="1">
        <v>748778.77</v>
      </c>
      <c r="AD491" s="1">
        <v>8930562.2899999991</v>
      </c>
      <c r="AE491" s="1">
        <v>210.13</v>
      </c>
      <c r="AF491" s="1">
        <v>748778.77</v>
      </c>
      <c r="AG491" s="1">
        <v>8930562.2899999991</v>
      </c>
      <c r="AH491" s="1">
        <v>199.4</v>
      </c>
      <c r="AI491" s="1">
        <v>10.73</v>
      </c>
      <c r="AJ491" s="1">
        <v>0.6</v>
      </c>
      <c r="AK491" s="1">
        <v>2.97</v>
      </c>
      <c r="AL491" s="1">
        <v>2.58</v>
      </c>
      <c r="AM491" s="1">
        <v>0</v>
      </c>
      <c r="AN491" s="1">
        <v>0</v>
      </c>
      <c r="AO491" s="1">
        <v>279.95422539999998</v>
      </c>
      <c r="AP491" s="1">
        <v>3.34</v>
      </c>
      <c r="AQ491" s="1">
        <v>0.79</v>
      </c>
      <c r="AR491" s="1">
        <v>0.14000000000000001</v>
      </c>
      <c r="AS491" s="1">
        <v>0.11</v>
      </c>
      <c r="AT491" s="1">
        <v>23.09</v>
      </c>
      <c r="AU491" s="1">
        <v>6.09</v>
      </c>
      <c r="AV491" s="1">
        <v>0.32</v>
      </c>
      <c r="AW491" s="1">
        <v>2.48</v>
      </c>
      <c r="AX491" s="1">
        <v>7.61</v>
      </c>
      <c r="AY491" s="1">
        <v>0</v>
      </c>
      <c r="AZ491" s="1">
        <v>105.26900000000001</v>
      </c>
      <c r="BA491" s="1">
        <v>0</v>
      </c>
      <c r="BB491" s="1">
        <v>0</v>
      </c>
      <c r="BC491" s="1">
        <v>0</v>
      </c>
      <c r="BD491" s="1">
        <v>0</v>
      </c>
    </row>
    <row r="492" spans="1:56">
      <c r="A492" s="18">
        <v>46192</v>
      </c>
      <c r="B492" s="1">
        <v>491</v>
      </c>
      <c r="C492" s="1" t="s">
        <v>89</v>
      </c>
      <c r="D492" s="1" t="s">
        <v>90</v>
      </c>
      <c r="E492" s="1">
        <v>2</v>
      </c>
      <c r="F492" s="1">
        <v>200</v>
      </c>
      <c r="G492" s="1">
        <v>1</v>
      </c>
      <c r="H492" s="1" t="s">
        <v>91</v>
      </c>
      <c r="I492" s="1" t="s">
        <v>79</v>
      </c>
      <c r="J492" s="1" t="s">
        <v>80</v>
      </c>
      <c r="K492" s="1" t="s">
        <v>74</v>
      </c>
      <c r="L492" s="1" t="s">
        <v>72</v>
      </c>
      <c r="M492" s="1" t="s">
        <v>75</v>
      </c>
      <c r="N492" s="1" t="s">
        <v>76</v>
      </c>
      <c r="O492" s="1" t="s">
        <v>77</v>
      </c>
      <c r="P492" s="1" t="s">
        <v>27</v>
      </c>
      <c r="Q492" s="1" t="s">
        <v>86</v>
      </c>
      <c r="R492" s="1" t="s">
        <v>94</v>
      </c>
      <c r="S492" s="1" t="s">
        <v>87</v>
      </c>
      <c r="T492" s="1" t="s">
        <v>88</v>
      </c>
      <c r="X492" s="1" t="s">
        <v>73</v>
      </c>
      <c r="Z492" s="1" t="s">
        <v>70</v>
      </c>
      <c r="AA492" s="1" t="s">
        <v>95</v>
      </c>
      <c r="AB492" s="1">
        <v>5</v>
      </c>
      <c r="AC492" s="1">
        <v>748781.02</v>
      </c>
      <c r="AD492" s="1">
        <v>8930560.3599999994</v>
      </c>
      <c r="AE492" s="1">
        <v>210.29</v>
      </c>
      <c r="AF492" s="1">
        <v>748781.02</v>
      </c>
      <c r="AG492" s="1">
        <v>8930560.3599999994</v>
      </c>
      <c r="AH492" s="1">
        <v>199.4</v>
      </c>
      <c r="AI492" s="1">
        <v>10.89</v>
      </c>
      <c r="AJ492" s="1">
        <v>0.6</v>
      </c>
      <c r="AK492" s="1">
        <v>2.97</v>
      </c>
      <c r="AL492" s="1">
        <v>2.58</v>
      </c>
      <c r="AM492" s="1">
        <v>0</v>
      </c>
      <c r="AN492" s="1">
        <v>0</v>
      </c>
      <c r="AO492" s="1">
        <v>279.95422539999998</v>
      </c>
      <c r="AP492" s="1">
        <v>3.35</v>
      </c>
      <c r="AQ492" s="1">
        <v>0.61</v>
      </c>
      <c r="AR492" s="1">
        <v>0.11</v>
      </c>
      <c r="AS492" s="1">
        <v>0.09</v>
      </c>
      <c r="AT492" s="1">
        <v>19.670000000000002</v>
      </c>
      <c r="AU492" s="1">
        <v>5.41</v>
      </c>
      <c r="AV492" s="1">
        <v>0.25</v>
      </c>
      <c r="AW492" s="1">
        <v>2.5</v>
      </c>
      <c r="AX492" s="1">
        <v>7.42</v>
      </c>
      <c r="AY492" s="1">
        <v>0</v>
      </c>
      <c r="AZ492" s="1">
        <v>107.598</v>
      </c>
      <c r="BA492" s="1">
        <v>0</v>
      </c>
      <c r="BB492" s="1">
        <v>0</v>
      </c>
      <c r="BC492" s="1">
        <v>0</v>
      </c>
      <c r="BD492" s="1">
        <v>0</v>
      </c>
    </row>
    <row r="493" spans="1:56">
      <c r="A493" s="18">
        <v>46192</v>
      </c>
      <c r="B493" s="1">
        <v>492</v>
      </c>
      <c r="C493" s="1" t="s">
        <v>89</v>
      </c>
      <c r="D493" s="1" t="s">
        <v>90</v>
      </c>
      <c r="E493" s="1">
        <v>2</v>
      </c>
      <c r="F493" s="1">
        <v>200</v>
      </c>
      <c r="G493" s="1">
        <v>1</v>
      </c>
      <c r="H493" s="1" t="s">
        <v>91</v>
      </c>
      <c r="I493" s="1" t="s">
        <v>79</v>
      </c>
      <c r="J493" s="1" t="s">
        <v>80</v>
      </c>
      <c r="K493" s="1" t="s">
        <v>74</v>
      </c>
      <c r="L493" s="1" t="s">
        <v>72</v>
      </c>
      <c r="M493" s="1" t="s">
        <v>75</v>
      </c>
      <c r="N493" s="1" t="s">
        <v>76</v>
      </c>
      <c r="O493" s="1" t="s">
        <v>77</v>
      </c>
      <c r="P493" s="1" t="s">
        <v>27</v>
      </c>
      <c r="Q493" s="1" t="s">
        <v>86</v>
      </c>
      <c r="R493" s="1" t="s">
        <v>94</v>
      </c>
      <c r="S493" s="1" t="s">
        <v>87</v>
      </c>
      <c r="T493" s="1" t="s">
        <v>88</v>
      </c>
      <c r="X493" s="1" t="s">
        <v>73</v>
      </c>
      <c r="Z493" s="1" t="s">
        <v>70</v>
      </c>
      <c r="AA493" s="1" t="s">
        <v>95</v>
      </c>
      <c r="AB493" s="1">
        <v>5</v>
      </c>
      <c r="AC493" s="1">
        <v>748783.27</v>
      </c>
      <c r="AD493" s="1">
        <v>8930558.4199999999</v>
      </c>
      <c r="AE493" s="1">
        <v>210.24</v>
      </c>
      <c r="AF493" s="1">
        <v>748783.27</v>
      </c>
      <c r="AG493" s="1">
        <v>8930558.4199999999</v>
      </c>
      <c r="AH493" s="1">
        <v>199.4</v>
      </c>
      <c r="AI493" s="1">
        <v>10.84</v>
      </c>
      <c r="AJ493" s="1">
        <v>0.6</v>
      </c>
      <c r="AK493" s="1">
        <v>2.97</v>
      </c>
      <c r="AL493" s="1">
        <v>2.58</v>
      </c>
      <c r="AM493" s="1">
        <v>0</v>
      </c>
      <c r="AN493" s="1">
        <v>0</v>
      </c>
      <c r="AO493" s="1">
        <v>279.95422539999998</v>
      </c>
      <c r="AP493" s="1">
        <v>3.31</v>
      </c>
      <c r="AQ493" s="1">
        <v>0.44</v>
      </c>
      <c r="AR493" s="1">
        <v>0.09</v>
      </c>
      <c r="AS493" s="1">
        <v>7.0000000000000007E-2</v>
      </c>
      <c r="AT493" s="1">
        <v>16.8</v>
      </c>
      <c r="AU493" s="1">
        <v>4.6500000000000004</v>
      </c>
      <c r="AV493" s="1">
        <v>0.21</v>
      </c>
      <c r="AW493" s="1">
        <v>2.13</v>
      </c>
      <c r="AX493" s="1">
        <v>8.48</v>
      </c>
      <c r="AY493" s="1">
        <v>0</v>
      </c>
      <c r="AZ493" s="1">
        <v>106.87</v>
      </c>
      <c r="BA493" s="1">
        <v>0</v>
      </c>
      <c r="BB493" s="1">
        <v>0</v>
      </c>
      <c r="BC493" s="1">
        <v>0</v>
      </c>
      <c r="BD493" s="1">
        <v>0</v>
      </c>
    </row>
    <row r="494" spans="1:56">
      <c r="A494" s="18">
        <v>46192</v>
      </c>
      <c r="B494" s="1">
        <v>493</v>
      </c>
      <c r="C494" s="1" t="s">
        <v>89</v>
      </c>
      <c r="D494" s="1" t="s">
        <v>90</v>
      </c>
      <c r="E494" s="1">
        <v>2</v>
      </c>
      <c r="F494" s="1">
        <v>200</v>
      </c>
      <c r="G494" s="1">
        <v>1</v>
      </c>
      <c r="H494" s="1" t="s">
        <v>91</v>
      </c>
      <c r="I494" s="1" t="s">
        <v>79</v>
      </c>
      <c r="J494" s="1" t="s">
        <v>80</v>
      </c>
      <c r="K494" s="1" t="s">
        <v>74</v>
      </c>
      <c r="L494" s="1" t="s">
        <v>72</v>
      </c>
      <c r="M494" s="1" t="s">
        <v>75</v>
      </c>
      <c r="N494" s="1" t="s">
        <v>76</v>
      </c>
      <c r="O494" s="1" t="s">
        <v>77</v>
      </c>
      <c r="P494" s="1" t="s">
        <v>27</v>
      </c>
      <c r="Q494" s="1" t="s">
        <v>86</v>
      </c>
      <c r="R494" s="1" t="s">
        <v>94</v>
      </c>
      <c r="S494" s="1" t="s">
        <v>87</v>
      </c>
      <c r="T494" s="1" t="s">
        <v>88</v>
      </c>
      <c r="X494" s="1" t="s">
        <v>73</v>
      </c>
      <c r="Z494" s="1" t="s">
        <v>70</v>
      </c>
      <c r="AA494" s="1" t="s">
        <v>95</v>
      </c>
      <c r="AB494" s="1">
        <v>5</v>
      </c>
      <c r="AC494" s="1">
        <v>748785.52</v>
      </c>
      <c r="AD494" s="1">
        <v>8930556.4800000004</v>
      </c>
      <c r="AE494" s="1">
        <v>210.16</v>
      </c>
      <c r="AF494" s="1">
        <v>748785.52</v>
      </c>
      <c r="AG494" s="1">
        <v>8930556.4800000004</v>
      </c>
      <c r="AH494" s="1">
        <v>199.4</v>
      </c>
      <c r="AI494" s="1">
        <v>10.76</v>
      </c>
      <c r="AJ494" s="1">
        <v>0.6</v>
      </c>
      <c r="AK494" s="1">
        <v>2.97</v>
      </c>
      <c r="AL494" s="1">
        <v>2.58</v>
      </c>
      <c r="AM494" s="1">
        <v>0</v>
      </c>
      <c r="AN494" s="1">
        <v>0</v>
      </c>
      <c r="AO494" s="1">
        <v>279.95422539999998</v>
      </c>
      <c r="AP494" s="1">
        <v>3.31</v>
      </c>
      <c r="AQ494" s="1">
        <v>0.42</v>
      </c>
      <c r="AR494" s="1">
        <v>0.09</v>
      </c>
      <c r="AS494" s="1">
        <v>7.0000000000000007E-2</v>
      </c>
      <c r="AT494" s="1">
        <v>16.510000000000002</v>
      </c>
      <c r="AU494" s="1">
        <v>4.57</v>
      </c>
      <c r="AV494" s="1">
        <v>0.2</v>
      </c>
      <c r="AW494" s="1">
        <v>2.0699999999999998</v>
      </c>
      <c r="AX494" s="1">
        <v>8.65</v>
      </c>
      <c r="AY494" s="1">
        <v>0</v>
      </c>
      <c r="AZ494" s="1">
        <v>105.706</v>
      </c>
      <c r="BA494" s="1">
        <v>0</v>
      </c>
      <c r="BB494" s="1">
        <v>0</v>
      </c>
      <c r="BC494" s="1">
        <v>0</v>
      </c>
      <c r="BD494" s="1">
        <v>0</v>
      </c>
    </row>
    <row r="495" spans="1:56">
      <c r="A495" s="18">
        <v>46192</v>
      </c>
      <c r="B495" s="1">
        <v>494</v>
      </c>
      <c r="C495" s="1" t="s">
        <v>89</v>
      </c>
      <c r="D495" s="1" t="s">
        <v>90</v>
      </c>
      <c r="E495" s="1">
        <v>2</v>
      </c>
      <c r="F495" s="1">
        <v>200</v>
      </c>
      <c r="G495" s="1">
        <v>1</v>
      </c>
      <c r="H495" s="1" t="s">
        <v>91</v>
      </c>
      <c r="I495" s="1" t="s">
        <v>79</v>
      </c>
      <c r="J495" s="1" t="s">
        <v>80</v>
      </c>
      <c r="K495" s="1" t="s">
        <v>74</v>
      </c>
      <c r="L495" s="1" t="s">
        <v>72</v>
      </c>
      <c r="M495" s="1" t="s">
        <v>75</v>
      </c>
      <c r="N495" s="1" t="s">
        <v>76</v>
      </c>
      <c r="O495" s="1" t="s">
        <v>77</v>
      </c>
      <c r="P495" s="1" t="s">
        <v>27</v>
      </c>
      <c r="Q495" s="1" t="s">
        <v>86</v>
      </c>
      <c r="R495" s="1" t="s">
        <v>94</v>
      </c>
      <c r="S495" s="1" t="s">
        <v>87</v>
      </c>
      <c r="T495" s="1" t="s">
        <v>88</v>
      </c>
      <c r="X495" s="1" t="s">
        <v>73</v>
      </c>
      <c r="Z495" s="1" t="s">
        <v>70</v>
      </c>
      <c r="AA495" s="1" t="s">
        <v>95</v>
      </c>
      <c r="AB495" s="1">
        <v>5</v>
      </c>
      <c r="AC495" s="1">
        <v>748787.77</v>
      </c>
      <c r="AD495" s="1">
        <v>8930554.5399999991</v>
      </c>
      <c r="AE495" s="1">
        <v>210.12</v>
      </c>
      <c r="AF495" s="1">
        <v>748787.77</v>
      </c>
      <c r="AG495" s="1">
        <v>8930554.5399999991</v>
      </c>
      <c r="AH495" s="1">
        <v>199.4</v>
      </c>
      <c r="AI495" s="1">
        <v>10.72</v>
      </c>
      <c r="AJ495" s="1">
        <v>0.6</v>
      </c>
      <c r="AK495" s="1">
        <v>2.97</v>
      </c>
      <c r="AL495" s="1">
        <v>2.58</v>
      </c>
      <c r="AM495" s="1">
        <v>0</v>
      </c>
      <c r="AN495" s="1">
        <v>0</v>
      </c>
      <c r="AO495" s="1">
        <v>279.95422539999998</v>
      </c>
      <c r="AP495" s="1">
        <v>3.31</v>
      </c>
      <c r="AQ495" s="1">
        <v>0.42</v>
      </c>
      <c r="AR495" s="1">
        <v>0.09</v>
      </c>
      <c r="AS495" s="1">
        <v>7.0000000000000007E-2</v>
      </c>
      <c r="AT495" s="1">
        <v>16.5</v>
      </c>
      <c r="AU495" s="1">
        <v>4.57</v>
      </c>
      <c r="AV495" s="1">
        <v>0.2</v>
      </c>
      <c r="AW495" s="1">
        <v>2.0699999999999998</v>
      </c>
      <c r="AX495" s="1">
        <v>8.65</v>
      </c>
      <c r="AY495" s="1">
        <v>0</v>
      </c>
      <c r="AZ495" s="1">
        <v>105.123</v>
      </c>
      <c r="BA495" s="1">
        <v>0</v>
      </c>
      <c r="BB495" s="1">
        <v>0</v>
      </c>
      <c r="BC495" s="1">
        <v>0</v>
      </c>
      <c r="BD495" s="1">
        <v>0</v>
      </c>
    </row>
    <row r="496" spans="1:56">
      <c r="A496" s="18">
        <v>46192</v>
      </c>
      <c r="B496" s="1">
        <v>495</v>
      </c>
      <c r="C496" s="1" t="s">
        <v>89</v>
      </c>
      <c r="D496" s="1" t="s">
        <v>90</v>
      </c>
      <c r="E496" s="1">
        <v>2</v>
      </c>
      <c r="F496" s="1">
        <v>200</v>
      </c>
      <c r="G496" s="1">
        <v>1</v>
      </c>
      <c r="H496" s="1" t="s">
        <v>91</v>
      </c>
      <c r="I496" s="1" t="s">
        <v>79</v>
      </c>
      <c r="J496" s="1" t="s">
        <v>80</v>
      </c>
      <c r="K496" s="1" t="s">
        <v>74</v>
      </c>
      <c r="L496" s="1" t="s">
        <v>72</v>
      </c>
      <c r="M496" s="1" t="s">
        <v>75</v>
      </c>
      <c r="N496" s="1" t="s">
        <v>76</v>
      </c>
      <c r="O496" s="1" t="s">
        <v>77</v>
      </c>
      <c r="P496" s="1" t="s">
        <v>27</v>
      </c>
      <c r="Q496" s="1" t="s">
        <v>86</v>
      </c>
      <c r="R496" s="1" t="s">
        <v>94</v>
      </c>
      <c r="S496" s="1" t="s">
        <v>87</v>
      </c>
      <c r="T496" s="1" t="s">
        <v>88</v>
      </c>
      <c r="X496" s="1" t="s">
        <v>73</v>
      </c>
      <c r="Z496" s="1" t="s">
        <v>70</v>
      </c>
      <c r="AA496" s="1" t="s">
        <v>95</v>
      </c>
      <c r="AB496" s="1">
        <v>5</v>
      </c>
      <c r="AC496" s="1">
        <v>748790.02</v>
      </c>
      <c r="AD496" s="1">
        <v>8930552.5999999996</v>
      </c>
      <c r="AE496" s="1">
        <v>210.09</v>
      </c>
      <c r="AF496" s="1">
        <v>748790.02</v>
      </c>
      <c r="AG496" s="1">
        <v>8930552.5999999996</v>
      </c>
      <c r="AH496" s="1">
        <v>199.4</v>
      </c>
      <c r="AI496" s="1">
        <v>10.69</v>
      </c>
      <c r="AJ496" s="1">
        <v>0.6</v>
      </c>
      <c r="AK496" s="1">
        <v>2.97</v>
      </c>
      <c r="AL496" s="1">
        <v>2.58</v>
      </c>
      <c r="AM496" s="1">
        <v>0</v>
      </c>
      <c r="AN496" s="1">
        <v>0</v>
      </c>
      <c r="AO496" s="1">
        <v>279.95422539999998</v>
      </c>
      <c r="AP496" s="1">
        <v>3.33</v>
      </c>
      <c r="AQ496" s="1">
        <v>0.35</v>
      </c>
      <c r="AR496" s="1">
        <v>0.06</v>
      </c>
      <c r="AS496" s="1">
        <v>0.05</v>
      </c>
      <c r="AT496" s="1">
        <v>14.94</v>
      </c>
      <c r="AU496" s="1">
        <v>4.6100000000000003</v>
      </c>
      <c r="AV496" s="1">
        <v>0.17</v>
      </c>
      <c r="AW496" s="1">
        <v>2.0299999999999998</v>
      </c>
      <c r="AX496" s="1">
        <v>8.64</v>
      </c>
      <c r="AY496" s="1">
        <v>0</v>
      </c>
      <c r="AZ496" s="1">
        <v>104.68600000000001</v>
      </c>
      <c r="BA496" s="1">
        <v>0</v>
      </c>
      <c r="BB496" s="1">
        <v>0</v>
      </c>
      <c r="BC496" s="1">
        <v>0</v>
      </c>
      <c r="BD496" s="1">
        <v>0</v>
      </c>
    </row>
    <row r="497" spans="1:56">
      <c r="A497" s="18">
        <v>46192</v>
      </c>
      <c r="B497" s="1">
        <v>496</v>
      </c>
      <c r="C497" s="1" t="s">
        <v>89</v>
      </c>
      <c r="D497" s="1" t="s">
        <v>90</v>
      </c>
      <c r="E497" s="1">
        <v>2</v>
      </c>
      <c r="F497" s="1">
        <v>200</v>
      </c>
      <c r="G497" s="1">
        <v>1</v>
      </c>
      <c r="H497" s="1" t="s">
        <v>91</v>
      </c>
      <c r="I497" s="1" t="s">
        <v>79</v>
      </c>
      <c r="J497" s="1" t="s">
        <v>84</v>
      </c>
      <c r="K497" s="1" t="s">
        <v>74</v>
      </c>
      <c r="L497" s="1" t="s">
        <v>72</v>
      </c>
      <c r="M497" s="1" t="s">
        <v>75</v>
      </c>
      <c r="N497" s="1" t="s">
        <v>82</v>
      </c>
      <c r="O497" s="1" t="s">
        <v>77</v>
      </c>
      <c r="P497" s="1" t="s">
        <v>27</v>
      </c>
      <c r="Q497" s="1" t="s">
        <v>86</v>
      </c>
      <c r="R497" s="1" t="s">
        <v>94</v>
      </c>
      <c r="S497" s="1" t="s">
        <v>87</v>
      </c>
      <c r="T497" s="1" t="s">
        <v>88</v>
      </c>
      <c r="X497" s="1" t="s">
        <v>73</v>
      </c>
      <c r="Z497" s="1" t="s">
        <v>70</v>
      </c>
      <c r="AA497" s="1" t="s">
        <v>95</v>
      </c>
      <c r="AB497" s="1">
        <v>5</v>
      </c>
      <c r="AC497" s="1">
        <v>748792.27</v>
      </c>
      <c r="AD497" s="1">
        <v>8930550.6600000001</v>
      </c>
      <c r="AE497" s="1">
        <v>210</v>
      </c>
      <c r="AF497" s="1">
        <v>748792.27</v>
      </c>
      <c r="AG497" s="1">
        <v>8930550.6600000001</v>
      </c>
      <c r="AH497" s="1">
        <v>199.4</v>
      </c>
      <c r="AI497" s="1">
        <v>10.6</v>
      </c>
      <c r="AJ497" s="1">
        <v>0.6</v>
      </c>
      <c r="AK497" s="1">
        <v>2.97</v>
      </c>
      <c r="AL497" s="1">
        <v>2.58</v>
      </c>
      <c r="AM497" s="1">
        <v>0</v>
      </c>
      <c r="AN497" s="1">
        <v>0</v>
      </c>
      <c r="AO497" s="1">
        <v>279.95422539999998</v>
      </c>
      <c r="AP497" s="1">
        <v>3.3</v>
      </c>
      <c r="AQ497" s="1">
        <v>0.3</v>
      </c>
      <c r="AR497" s="1">
        <v>0.04</v>
      </c>
      <c r="AS497" s="1">
        <v>0.05</v>
      </c>
      <c r="AT497" s="1">
        <v>13.73</v>
      </c>
      <c r="AU497" s="1">
        <v>4.74</v>
      </c>
      <c r="AV497" s="1">
        <v>0.17</v>
      </c>
      <c r="AW497" s="1">
        <v>1.88</v>
      </c>
      <c r="AX497" s="1">
        <v>8.51</v>
      </c>
      <c r="AY497" s="1">
        <v>0</v>
      </c>
      <c r="AZ497" s="1">
        <v>103.376</v>
      </c>
      <c r="BA497" s="1">
        <v>0</v>
      </c>
      <c r="BB497" s="1">
        <v>0</v>
      </c>
      <c r="BC497" s="1">
        <v>0</v>
      </c>
      <c r="BD497" s="1">
        <v>0</v>
      </c>
    </row>
    <row r="498" spans="1:56">
      <c r="A498" s="18">
        <v>46192</v>
      </c>
      <c r="B498" s="1">
        <v>497</v>
      </c>
      <c r="C498" s="1" t="s">
        <v>89</v>
      </c>
      <c r="D498" s="1" t="s">
        <v>90</v>
      </c>
      <c r="E498" s="1">
        <v>2</v>
      </c>
      <c r="F498" s="1">
        <v>200</v>
      </c>
      <c r="G498" s="1">
        <v>1</v>
      </c>
      <c r="H498" s="1" t="s">
        <v>91</v>
      </c>
      <c r="I498" s="1" t="s">
        <v>79</v>
      </c>
      <c r="J498" s="1" t="s">
        <v>84</v>
      </c>
      <c r="K498" s="1" t="s">
        <v>74</v>
      </c>
      <c r="L498" s="1" t="s">
        <v>72</v>
      </c>
      <c r="M498" s="1" t="s">
        <v>75</v>
      </c>
      <c r="N498" s="1" t="s">
        <v>82</v>
      </c>
      <c r="O498" s="1" t="s">
        <v>77</v>
      </c>
      <c r="P498" s="1" t="s">
        <v>27</v>
      </c>
      <c r="Q498" s="1" t="s">
        <v>86</v>
      </c>
      <c r="R498" s="1" t="s">
        <v>94</v>
      </c>
      <c r="S498" s="1" t="s">
        <v>87</v>
      </c>
      <c r="T498" s="1" t="s">
        <v>88</v>
      </c>
      <c r="X498" s="1" t="s">
        <v>73</v>
      </c>
      <c r="Z498" s="1" t="s">
        <v>70</v>
      </c>
      <c r="AA498" s="1" t="s">
        <v>95</v>
      </c>
      <c r="AB498" s="1">
        <v>5</v>
      </c>
      <c r="AC498" s="1">
        <v>748794.52</v>
      </c>
      <c r="AD498" s="1">
        <v>8930548.7300000004</v>
      </c>
      <c r="AE498" s="1">
        <v>209.79</v>
      </c>
      <c r="AF498" s="1">
        <v>748794.52</v>
      </c>
      <c r="AG498" s="1">
        <v>8930548.7300000004</v>
      </c>
      <c r="AH498" s="1">
        <v>199.4</v>
      </c>
      <c r="AI498" s="1">
        <v>10.39</v>
      </c>
      <c r="AJ498" s="1">
        <v>0.6</v>
      </c>
      <c r="AK498" s="1">
        <v>2.97</v>
      </c>
      <c r="AL498" s="1">
        <v>2.58</v>
      </c>
      <c r="AM498" s="1">
        <v>0</v>
      </c>
      <c r="AN498" s="1">
        <v>0</v>
      </c>
      <c r="AO498" s="1">
        <v>279.95422539999998</v>
      </c>
      <c r="AP498" s="1">
        <v>3.19</v>
      </c>
      <c r="AQ498" s="1">
        <v>0.37</v>
      </c>
      <c r="AR498" s="1">
        <v>0.04</v>
      </c>
      <c r="AS498" s="1">
        <v>0.05</v>
      </c>
      <c r="AT498" s="1">
        <v>14.3</v>
      </c>
      <c r="AU498" s="1">
        <v>4.92</v>
      </c>
      <c r="AV498" s="1">
        <v>0.23</v>
      </c>
      <c r="AW498" s="1">
        <v>1.65</v>
      </c>
      <c r="AX498" s="1">
        <v>8.25</v>
      </c>
      <c r="AY498" s="1">
        <v>0</v>
      </c>
      <c r="AZ498" s="1">
        <v>100.318</v>
      </c>
      <c r="BA498" s="1">
        <v>0</v>
      </c>
      <c r="BB498" s="1">
        <v>0</v>
      </c>
      <c r="BC498" s="1">
        <v>0</v>
      </c>
      <c r="BD498" s="1">
        <v>0</v>
      </c>
    </row>
    <row r="499" spans="1:56">
      <c r="A499" s="18">
        <v>46192</v>
      </c>
      <c r="B499" s="1">
        <v>498</v>
      </c>
      <c r="C499" s="1" t="s">
        <v>89</v>
      </c>
      <c r="D499" s="1" t="s">
        <v>90</v>
      </c>
      <c r="E499" s="1">
        <v>2</v>
      </c>
      <c r="F499" s="1">
        <v>200</v>
      </c>
      <c r="G499" s="1">
        <v>1</v>
      </c>
      <c r="H499" s="1" t="s">
        <v>91</v>
      </c>
      <c r="I499" s="1" t="s">
        <v>79</v>
      </c>
      <c r="J499" s="1" t="s">
        <v>84</v>
      </c>
      <c r="K499" s="1" t="s">
        <v>74</v>
      </c>
      <c r="L499" s="1" t="s">
        <v>72</v>
      </c>
      <c r="M499" s="1" t="s">
        <v>75</v>
      </c>
      <c r="N499" s="1" t="s">
        <v>82</v>
      </c>
      <c r="O499" s="1" t="s">
        <v>77</v>
      </c>
      <c r="P499" s="1" t="s">
        <v>27</v>
      </c>
      <c r="Q499" s="1" t="s">
        <v>86</v>
      </c>
      <c r="R499" s="1" t="s">
        <v>94</v>
      </c>
      <c r="S499" s="1" t="s">
        <v>87</v>
      </c>
      <c r="T499" s="1" t="s">
        <v>88</v>
      </c>
      <c r="X499" s="1" t="s">
        <v>73</v>
      </c>
      <c r="Z499" s="1" t="s">
        <v>70</v>
      </c>
      <c r="AA499" s="1" t="s">
        <v>95</v>
      </c>
      <c r="AB499" s="1">
        <v>5</v>
      </c>
      <c r="AC499" s="1">
        <v>748795.86</v>
      </c>
      <c r="AD499" s="1">
        <v>8930546.5199999996</v>
      </c>
      <c r="AE499" s="1">
        <v>209.74</v>
      </c>
      <c r="AF499" s="1">
        <v>748795.86</v>
      </c>
      <c r="AG499" s="1">
        <v>8930546.5199999996</v>
      </c>
      <c r="AH499" s="1">
        <v>199.4</v>
      </c>
      <c r="AI499" s="1">
        <v>10.34</v>
      </c>
      <c r="AJ499" s="1">
        <v>0.6</v>
      </c>
      <c r="AK499" s="1">
        <v>2.97</v>
      </c>
      <c r="AL499" s="1">
        <v>2.58</v>
      </c>
      <c r="AM499" s="1">
        <v>0</v>
      </c>
      <c r="AN499" s="1">
        <v>0</v>
      </c>
      <c r="AO499" s="1">
        <v>279.95422539999998</v>
      </c>
      <c r="AP499" s="1">
        <v>3.16</v>
      </c>
      <c r="AQ499" s="1">
        <v>0.38</v>
      </c>
      <c r="AR499" s="1">
        <v>0.04</v>
      </c>
      <c r="AS499" s="1">
        <v>0.05</v>
      </c>
      <c r="AT499" s="1">
        <v>14.44</v>
      </c>
      <c r="AU499" s="1">
        <v>4.97</v>
      </c>
      <c r="AV499" s="1">
        <v>0.24</v>
      </c>
      <c r="AW499" s="1">
        <v>1.59</v>
      </c>
      <c r="AX499" s="1">
        <v>8.19</v>
      </c>
      <c r="AY499" s="1">
        <v>0</v>
      </c>
      <c r="AZ499" s="1">
        <v>99.59</v>
      </c>
      <c r="BA499" s="1">
        <v>0</v>
      </c>
      <c r="BB499" s="1">
        <v>0</v>
      </c>
      <c r="BC499" s="1">
        <v>0</v>
      </c>
      <c r="BD499" s="1">
        <v>0</v>
      </c>
    </row>
    <row r="500" spans="1:56">
      <c r="A500" s="18">
        <v>46192</v>
      </c>
      <c r="B500" s="1">
        <v>499</v>
      </c>
      <c r="C500" s="1" t="s">
        <v>89</v>
      </c>
      <c r="D500" s="1" t="s">
        <v>90</v>
      </c>
      <c r="E500" s="1">
        <v>2</v>
      </c>
      <c r="F500" s="1">
        <v>200</v>
      </c>
      <c r="G500" s="1">
        <v>1</v>
      </c>
      <c r="H500" s="1" t="s">
        <v>91</v>
      </c>
      <c r="I500" s="1" t="s">
        <v>79</v>
      </c>
      <c r="J500" s="1" t="s">
        <v>84</v>
      </c>
      <c r="K500" s="1" t="s">
        <v>74</v>
      </c>
      <c r="L500" s="1" t="s">
        <v>72</v>
      </c>
      <c r="M500" s="1" t="s">
        <v>75</v>
      </c>
      <c r="N500" s="1" t="s">
        <v>76</v>
      </c>
      <c r="O500" s="1" t="s">
        <v>77</v>
      </c>
      <c r="P500" s="1" t="s">
        <v>27</v>
      </c>
      <c r="Q500" s="1" t="s">
        <v>86</v>
      </c>
      <c r="R500" s="1" t="s">
        <v>94</v>
      </c>
      <c r="S500" s="1" t="s">
        <v>87</v>
      </c>
      <c r="T500" s="1" t="s">
        <v>88</v>
      </c>
      <c r="X500" s="1" t="s">
        <v>73</v>
      </c>
      <c r="Z500" s="1" t="s">
        <v>70</v>
      </c>
      <c r="AA500" s="1" t="s">
        <v>95</v>
      </c>
      <c r="AB500" s="1">
        <v>5</v>
      </c>
      <c r="AC500" s="1">
        <v>748797.46</v>
      </c>
      <c r="AD500" s="1">
        <v>8930544.0199999996</v>
      </c>
      <c r="AE500" s="1">
        <v>209.79</v>
      </c>
      <c r="AF500" s="1">
        <v>748797.46</v>
      </c>
      <c r="AG500" s="1">
        <v>8930544.0199999996</v>
      </c>
      <c r="AH500" s="1">
        <v>199.4</v>
      </c>
      <c r="AI500" s="1">
        <v>10.39</v>
      </c>
      <c r="AJ500" s="1">
        <v>0.6</v>
      </c>
      <c r="AK500" s="1">
        <v>2.97</v>
      </c>
      <c r="AL500" s="1">
        <v>2.58</v>
      </c>
      <c r="AM500" s="1">
        <v>0</v>
      </c>
      <c r="AN500" s="1">
        <v>0</v>
      </c>
      <c r="AO500" s="1">
        <v>279.95422539999998</v>
      </c>
      <c r="AP500" s="1">
        <v>3.16</v>
      </c>
      <c r="AQ500" s="1">
        <v>0.38</v>
      </c>
      <c r="AR500" s="1">
        <v>0.04</v>
      </c>
      <c r="AS500" s="1">
        <v>0.05</v>
      </c>
      <c r="AT500" s="1">
        <v>14.44</v>
      </c>
      <c r="AU500" s="1">
        <v>4.97</v>
      </c>
      <c r="AV500" s="1">
        <v>0.24</v>
      </c>
      <c r="AW500" s="1">
        <v>1.59</v>
      </c>
      <c r="AX500" s="1">
        <v>8.19</v>
      </c>
      <c r="AY500" s="1">
        <v>0</v>
      </c>
      <c r="AZ500" s="1">
        <v>100.318</v>
      </c>
      <c r="BA500" s="1">
        <v>0</v>
      </c>
      <c r="BB500" s="1">
        <v>0</v>
      </c>
      <c r="BC500" s="1">
        <v>0</v>
      </c>
      <c r="BD500" s="1">
        <v>0</v>
      </c>
    </row>
    <row r="501" spans="1:56">
      <c r="A501" s="18">
        <v>46192</v>
      </c>
      <c r="B501" s="1">
        <v>500</v>
      </c>
      <c r="C501" s="1" t="s">
        <v>89</v>
      </c>
      <c r="D501" s="1" t="s">
        <v>90</v>
      </c>
      <c r="E501" s="1">
        <v>2</v>
      </c>
      <c r="F501" s="1">
        <v>200</v>
      </c>
      <c r="G501" s="1">
        <v>1</v>
      </c>
      <c r="H501" s="1" t="s">
        <v>91</v>
      </c>
      <c r="I501" s="1" t="s">
        <v>79</v>
      </c>
      <c r="J501" s="1" t="s">
        <v>84</v>
      </c>
      <c r="K501" s="1" t="s">
        <v>74</v>
      </c>
      <c r="L501" s="1" t="s">
        <v>72</v>
      </c>
      <c r="M501" s="1" t="s">
        <v>75</v>
      </c>
      <c r="N501" s="1" t="s">
        <v>76</v>
      </c>
      <c r="O501" s="1" t="s">
        <v>77</v>
      </c>
      <c r="P501" s="1" t="s">
        <v>27</v>
      </c>
      <c r="Q501" s="1" t="s">
        <v>86</v>
      </c>
      <c r="R501" s="1" t="s">
        <v>94</v>
      </c>
      <c r="S501" s="1" t="s">
        <v>87</v>
      </c>
      <c r="T501" s="1" t="s">
        <v>88</v>
      </c>
      <c r="X501" s="1" t="s">
        <v>73</v>
      </c>
      <c r="Z501" s="1" t="s">
        <v>70</v>
      </c>
      <c r="AA501" s="1" t="s">
        <v>95</v>
      </c>
      <c r="AB501" s="1">
        <v>5</v>
      </c>
      <c r="AC501" s="1">
        <v>748799.06</v>
      </c>
      <c r="AD501" s="1">
        <v>8930541.5199999996</v>
      </c>
      <c r="AE501" s="1">
        <v>209.81</v>
      </c>
      <c r="AF501" s="1">
        <v>748799.06</v>
      </c>
      <c r="AG501" s="1">
        <v>8930541.5199999996</v>
      </c>
      <c r="AH501" s="1">
        <v>199.4</v>
      </c>
      <c r="AI501" s="1">
        <v>10.41</v>
      </c>
      <c r="AJ501" s="1">
        <v>0.6</v>
      </c>
      <c r="AK501" s="1">
        <v>2.97</v>
      </c>
      <c r="AL501" s="1">
        <v>2.58</v>
      </c>
      <c r="AM501" s="1">
        <v>0</v>
      </c>
      <c r="AN501" s="1">
        <v>0</v>
      </c>
      <c r="AO501" s="1">
        <v>279.95422539999998</v>
      </c>
      <c r="AP501" s="1">
        <v>3.18</v>
      </c>
      <c r="AQ501" s="1">
        <v>0.37</v>
      </c>
      <c r="AR501" s="1">
        <v>0.04</v>
      </c>
      <c r="AS501" s="1">
        <v>0.05</v>
      </c>
      <c r="AT501" s="1">
        <v>14.68</v>
      </c>
      <c r="AU501" s="1">
        <v>5.1100000000000003</v>
      </c>
      <c r="AV501" s="1">
        <v>0.25</v>
      </c>
      <c r="AW501" s="1">
        <v>1.48</v>
      </c>
      <c r="AX501" s="1">
        <v>8.09</v>
      </c>
      <c r="AY501" s="1">
        <v>0</v>
      </c>
      <c r="AZ501" s="1">
        <v>100.61</v>
      </c>
      <c r="BA501" s="1">
        <v>0</v>
      </c>
      <c r="BB501" s="1">
        <v>0</v>
      </c>
      <c r="BC501" s="1">
        <v>0</v>
      </c>
      <c r="BD501" s="1">
        <v>0</v>
      </c>
    </row>
    <row r="502" spans="1:56">
      <c r="A502" s="18">
        <v>46192</v>
      </c>
      <c r="B502" s="1">
        <v>501</v>
      </c>
      <c r="C502" s="1" t="s">
        <v>89</v>
      </c>
      <c r="D502" s="1" t="s">
        <v>90</v>
      </c>
      <c r="E502" s="1">
        <v>2</v>
      </c>
      <c r="F502" s="1">
        <v>200</v>
      </c>
      <c r="G502" s="1">
        <v>1</v>
      </c>
      <c r="H502" s="1" t="s">
        <v>91</v>
      </c>
      <c r="I502" s="1" t="s">
        <v>79</v>
      </c>
      <c r="J502" s="1" t="s">
        <v>80</v>
      </c>
      <c r="K502" s="1" t="s">
        <v>74</v>
      </c>
      <c r="L502" s="1" t="s">
        <v>72</v>
      </c>
      <c r="M502" s="1" t="s">
        <v>75</v>
      </c>
      <c r="N502" s="1" t="s">
        <v>76</v>
      </c>
      <c r="O502" s="1" t="s">
        <v>77</v>
      </c>
      <c r="P502" s="1" t="s">
        <v>27</v>
      </c>
      <c r="Q502" s="1" t="s">
        <v>86</v>
      </c>
      <c r="R502" s="1" t="s">
        <v>94</v>
      </c>
      <c r="S502" s="1" t="s">
        <v>87</v>
      </c>
      <c r="T502" s="1" t="s">
        <v>88</v>
      </c>
      <c r="X502" s="1" t="s">
        <v>73</v>
      </c>
      <c r="Z502" s="1" t="s">
        <v>70</v>
      </c>
      <c r="AA502" s="1" t="s">
        <v>95</v>
      </c>
      <c r="AB502" s="1">
        <v>5</v>
      </c>
      <c r="AC502" s="1">
        <v>748800.66</v>
      </c>
      <c r="AD502" s="1">
        <v>8930539.0199999996</v>
      </c>
      <c r="AE502" s="1">
        <v>209.98</v>
      </c>
      <c r="AF502" s="1">
        <v>748800.66</v>
      </c>
      <c r="AG502" s="1">
        <v>8930539.0199999996</v>
      </c>
      <c r="AH502" s="1">
        <v>199.4</v>
      </c>
      <c r="AI502" s="1">
        <v>10.58</v>
      </c>
      <c r="AJ502" s="1">
        <v>0.6</v>
      </c>
      <c r="AK502" s="1">
        <v>2.97</v>
      </c>
      <c r="AL502" s="1">
        <v>2.58</v>
      </c>
      <c r="AM502" s="1">
        <v>0</v>
      </c>
      <c r="AN502" s="1">
        <v>0</v>
      </c>
      <c r="AO502" s="1">
        <v>279.95422539999998</v>
      </c>
      <c r="AP502" s="1">
        <v>3.17</v>
      </c>
      <c r="AQ502" s="1">
        <v>0.5</v>
      </c>
      <c r="AR502" s="1">
        <v>0.06</v>
      </c>
      <c r="AS502" s="1">
        <v>7.0000000000000007E-2</v>
      </c>
      <c r="AT502" s="1">
        <v>15.55</v>
      </c>
      <c r="AU502" s="1">
        <v>5.82</v>
      </c>
      <c r="AV502" s="1">
        <v>0.39</v>
      </c>
      <c r="AW502" s="1">
        <v>1.29</v>
      </c>
      <c r="AX502" s="1">
        <v>7.63</v>
      </c>
      <c r="AY502" s="1">
        <v>0</v>
      </c>
      <c r="AZ502" s="1">
        <v>103.08499999999999</v>
      </c>
      <c r="BA502" s="1">
        <v>0</v>
      </c>
      <c r="BB502" s="1">
        <v>0</v>
      </c>
      <c r="BC502" s="1">
        <v>0</v>
      </c>
      <c r="BD502" s="1">
        <v>0</v>
      </c>
    </row>
    <row r="503" spans="1:56">
      <c r="A503" s="18">
        <v>46192</v>
      </c>
      <c r="B503" s="1">
        <v>502</v>
      </c>
      <c r="C503" s="1" t="s">
        <v>89</v>
      </c>
      <c r="D503" s="1" t="s">
        <v>90</v>
      </c>
      <c r="E503" s="1">
        <v>2</v>
      </c>
      <c r="F503" s="1">
        <v>200</v>
      </c>
      <c r="G503" s="1">
        <v>1</v>
      </c>
      <c r="H503" s="1" t="s">
        <v>91</v>
      </c>
      <c r="I503" s="1" t="s">
        <v>79</v>
      </c>
      <c r="J503" s="1" t="s">
        <v>80</v>
      </c>
      <c r="K503" s="1" t="s">
        <v>74</v>
      </c>
      <c r="L503" s="1" t="s">
        <v>72</v>
      </c>
      <c r="M503" s="1" t="s">
        <v>75</v>
      </c>
      <c r="N503" s="1" t="s">
        <v>76</v>
      </c>
      <c r="O503" s="1" t="s">
        <v>77</v>
      </c>
      <c r="P503" s="1" t="s">
        <v>27</v>
      </c>
      <c r="Q503" s="1" t="s">
        <v>86</v>
      </c>
      <c r="R503" s="1" t="s">
        <v>94</v>
      </c>
      <c r="S503" s="1" t="s">
        <v>87</v>
      </c>
      <c r="T503" s="1" t="s">
        <v>88</v>
      </c>
      <c r="X503" s="1" t="s">
        <v>73</v>
      </c>
      <c r="Z503" s="1" t="s">
        <v>70</v>
      </c>
      <c r="AA503" s="1" t="s">
        <v>95</v>
      </c>
      <c r="AB503" s="1">
        <v>5</v>
      </c>
      <c r="AC503" s="1">
        <v>748802.27</v>
      </c>
      <c r="AD503" s="1">
        <v>8930536.5199999996</v>
      </c>
      <c r="AE503" s="1">
        <v>210.16</v>
      </c>
      <c r="AF503" s="1">
        <v>748802.27</v>
      </c>
      <c r="AG503" s="1">
        <v>8930536.5199999996</v>
      </c>
      <c r="AH503" s="1">
        <v>199.4</v>
      </c>
      <c r="AI503" s="1">
        <v>10.76</v>
      </c>
      <c r="AJ503" s="1">
        <v>0.6</v>
      </c>
      <c r="AK503" s="1">
        <v>2.97</v>
      </c>
      <c r="AL503" s="1">
        <v>2.58</v>
      </c>
      <c r="AM503" s="1">
        <v>0</v>
      </c>
      <c r="AN503" s="1">
        <v>0</v>
      </c>
      <c r="AO503" s="1">
        <v>279.95422539999998</v>
      </c>
      <c r="AP503" s="1">
        <v>3.14</v>
      </c>
      <c r="AQ503" s="1">
        <v>0.57999999999999996</v>
      </c>
      <c r="AR503" s="1">
        <v>7.0000000000000007E-2</v>
      </c>
      <c r="AS503" s="1">
        <v>7.0000000000000007E-2</v>
      </c>
      <c r="AT503" s="1">
        <v>15.62</v>
      </c>
      <c r="AU503" s="1">
        <v>5.93</v>
      </c>
      <c r="AV503" s="1">
        <v>0.46</v>
      </c>
      <c r="AW503" s="1">
        <v>1.27</v>
      </c>
      <c r="AX503" s="1">
        <v>7.18</v>
      </c>
      <c r="AY503" s="1">
        <v>0</v>
      </c>
      <c r="AZ503" s="1">
        <v>105.706</v>
      </c>
      <c r="BA503" s="1">
        <v>0</v>
      </c>
      <c r="BB503" s="1">
        <v>0</v>
      </c>
      <c r="BC503" s="1">
        <v>0</v>
      </c>
      <c r="BD503" s="1">
        <v>0</v>
      </c>
    </row>
    <row r="504" spans="1:56">
      <c r="A504" s="18">
        <v>46192</v>
      </c>
      <c r="B504" s="1">
        <v>503</v>
      </c>
      <c r="C504" s="1" t="s">
        <v>89</v>
      </c>
      <c r="D504" s="1" t="s">
        <v>90</v>
      </c>
      <c r="E504" s="1">
        <v>2</v>
      </c>
      <c r="F504" s="1">
        <v>200</v>
      </c>
      <c r="G504" s="1">
        <v>1</v>
      </c>
      <c r="H504" s="1" t="s">
        <v>91</v>
      </c>
      <c r="I504" s="1" t="s">
        <v>79</v>
      </c>
      <c r="J504" s="1" t="s">
        <v>80</v>
      </c>
      <c r="K504" s="1" t="s">
        <v>74</v>
      </c>
      <c r="L504" s="1" t="s">
        <v>72</v>
      </c>
      <c r="M504" s="1" t="s">
        <v>75</v>
      </c>
      <c r="N504" s="1" t="s">
        <v>76</v>
      </c>
      <c r="O504" s="1" t="s">
        <v>77</v>
      </c>
      <c r="P504" s="1" t="s">
        <v>27</v>
      </c>
      <c r="Q504" s="1" t="s">
        <v>86</v>
      </c>
      <c r="R504" s="1" t="s">
        <v>94</v>
      </c>
      <c r="S504" s="1" t="s">
        <v>87</v>
      </c>
      <c r="T504" s="1" t="s">
        <v>88</v>
      </c>
      <c r="X504" s="1" t="s">
        <v>73</v>
      </c>
      <c r="Z504" s="1" t="s">
        <v>70</v>
      </c>
      <c r="AA504" s="1" t="s">
        <v>95</v>
      </c>
      <c r="AB504" s="1">
        <v>5</v>
      </c>
      <c r="AC504" s="1">
        <v>748803.87</v>
      </c>
      <c r="AD504" s="1">
        <v>8930534.0199999996</v>
      </c>
      <c r="AE504" s="1">
        <v>210.17</v>
      </c>
      <c r="AF504" s="1">
        <v>748803.87</v>
      </c>
      <c r="AG504" s="1">
        <v>8930534.0199999996</v>
      </c>
      <c r="AH504" s="1">
        <v>199.4</v>
      </c>
      <c r="AI504" s="1">
        <v>10.77</v>
      </c>
      <c r="AJ504" s="1">
        <v>0.6</v>
      </c>
      <c r="AK504" s="1">
        <v>2.97</v>
      </c>
      <c r="AL504" s="1">
        <v>2.58</v>
      </c>
      <c r="AM504" s="1">
        <v>0</v>
      </c>
      <c r="AN504" s="1">
        <v>0</v>
      </c>
      <c r="AO504" s="1">
        <v>279.95422539999998</v>
      </c>
      <c r="AP504" s="1">
        <v>3.14</v>
      </c>
      <c r="AQ504" s="1">
        <v>0.57999999999999996</v>
      </c>
      <c r="AR504" s="1">
        <v>7.0000000000000007E-2</v>
      </c>
      <c r="AS504" s="1">
        <v>7.0000000000000007E-2</v>
      </c>
      <c r="AT504" s="1">
        <v>15.62</v>
      </c>
      <c r="AU504" s="1">
        <v>5.93</v>
      </c>
      <c r="AV504" s="1">
        <v>0.46</v>
      </c>
      <c r="AW504" s="1">
        <v>1.27</v>
      </c>
      <c r="AX504" s="1">
        <v>7.18</v>
      </c>
      <c r="AY504" s="1">
        <v>0</v>
      </c>
      <c r="AZ504" s="1">
        <v>105.851</v>
      </c>
      <c r="BA504" s="1">
        <v>0</v>
      </c>
      <c r="BB504" s="1">
        <v>0</v>
      </c>
      <c r="BC504" s="1">
        <v>0</v>
      </c>
      <c r="BD504" s="1">
        <v>0</v>
      </c>
    </row>
    <row r="505" spans="1:56">
      <c r="A505" s="18">
        <v>46192</v>
      </c>
      <c r="B505" s="1">
        <v>504</v>
      </c>
      <c r="C505" s="1" t="s">
        <v>89</v>
      </c>
      <c r="D505" s="1" t="s">
        <v>90</v>
      </c>
      <c r="E505" s="1">
        <v>2</v>
      </c>
      <c r="F505" s="1">
        <v>200</v>
      </c>
      <c r="G505" s="1">
        <v>1</v>
      </c>
      <c r="H505" s="1" t="s">
        <v>91</v>
      </c>
      <c r="I505" s="1" t="s">
        <v>79</v>
      </c>
      <c r="J505" s="1" t="s">
        <v>80</v>
      </c>
      <c r="K505" s="1" t="s">
        <v>74</v>
      </c>
      <c r="L505" s="1" t="s">
        <v>72</v>
      </c>
      <c r="M505" s="1" t="s">
        <v>75</v>
      </c>
      <c r="N505" s="1" t="s">
        <v>76</v>
      </c>
      <c r="O505" s="1" t="s">
        <v>77</v>
      </c>
      <c r="P505" s="1" t="s">
        <v>27</v>
      </c>
      <c r="Q505" s="1" t="s">
        <v>86</v>
      </c>
      <c r="R505" s="1" t="s">
        <v>94</v>
      </c>
      <c r="S505" s="1" t="s">
        <v>87</v>
      </c>
      <c r="T505" s="1" t="s">
        <v>88</v>
      </c>
      <c r="X505" s="1" t="s">
        <v>73</v>
      </c>
      <c r="Z505" s="1" t="s">
        <v>70</v>
      </c>
      <c r="AA505" s="1" t="s">
        <v>95</v>
      </c>
      <c r="AB505" s="1">
        <v>5</v>
      </c>
      <c r="AC505" s="1">
        <v>748805.47</v>
      </c>
      <c r="AD505" s="1">
        <v>8930531.5199999996</v>
      </c>
      <c r="AE505" s="1">
        <v>210.16</v>
      </c>
      <c r="AF505" s="1">
        <v>748805.47</v>
      </c>
      <c r="AG505" s="1">
        <v>8930531.5199999996</v>
      </c>
      <c r="AH505" s="1">
        <v>199.4</v>
      </c>
      <c r="AI505" s="1">
        <v>10.76</v>
      </c>
      <c r="AJ505" s="1">
        <v>0.6</v>
      </c>
      <c r="AK505" s="1">
        <v>2.97</v>
      </c>
      <c r="AL505" s="1">
        <v>2.58</v>
      </c>
      <c r="AM505" s="1">
        <v>0</v>
      </c>
      <c r="AN505" s="1">
        <v>0</v>
      </c>
      <c r="AO505" s="1">
        <v>279.95422539999998</v>
      </c>
      <c r="AP505" s="1">
        <v>3.14</v>
      </c>
      <c r="AQ505" s="1">
        <v>0.59</v>
      </c>
      <c r="AR505" s="1">
        <v>7.0000000000000007E-2</v>
      </c>
      <c r="AS505" s="1">
        <v>7.0000000000000007E-2</v>
      </c>
      <c r="AT505" s="1">
        <v>15.78</v>
      </c>
      <c r="AU505" s="1">
        <v>5.92</v>
      </c>
      <c r="AV505" s="1">
        <v>0.46</v>
      </c>
      <c r="AW505" s="1">
        <v>1.29</v>
      </c>
      <c r="AX505" s="1">
        <v>7.25</v>
      </c>
      <c r="AY505" s="1">
        <v>0</v>
      </c>
      <c r="AZ505" s="1">
        <v>105.706</v>
      </c>
      <c r="BA505" s="1">
        <v>0</v>
      </c>
      <c r="BB505" s="1">
        <v>0</v>
      </c>
      <c r="BC505" s="1">
        <v>0</v>
      </c>
      <c r="BD505" s="1">
        <v>0</v>
      </c>
    </row>
    <row r="506" spans="1:56">
      <c r="A506" s="18">
        <v>46192</v>
      </c>
      <c r="B506" s="1">
        <v>505</v>
      </c>
      <c r="C506" s="1" t="s">
        <v>89</v>
      </c>
      <c r="D506" s="1" t="s">
        <v>90</v>
      </c>
      <c r="E506" s="1">
        <v>2</v>
      </c>
      <c r="F506" s="1">
        <v>200</v>
      </c>
      <c r="G506" s="1">
        <v>1</v>
      </c>
      <c r="H506" s="1" t="s">
        <v>91</v>
      </c>
      <c r="I506" s="1" t="s">
        <v>79</v>
      </c>
      <c r="J506" s="1" t="s">
        <v>81</v>
      </c>
      <c r="K506" s="1" t="s">
        <v>74</v>
      </c>
      <c r="L506" s="1" t="s">
        <v>72</v>
      </c>
      <c r="M506" s="1" t="s">
        <v>75</v>
      </c>
      <c r="N506" s="1" t="s">
        <v>82</v>
      </c>
      <c r="O506" s="1" t="s">
        <v>77</v>
      </c>
      <c r="P506" s="1" t="s">
        <v>27</v>
      </c>
      <c r="Q506" s="1" t="s">
        <v>86</v>
      </c>
      <c r="R506" s="1" t="s">
        <v>94</v>
      </c>
      <c r="S506" s="1" t="s">
        <v>87</v>
      </c>
      <c r="T506" s="1" t="s">
        <v>88</v>
      </c>
      <c r="X506" s="1" t="s">
        <v>73</v>
      </c>
      <c r="Z506" s="1" t="s">
        <v>70</v>
      </c>
      <c r="AA506" s="1" t="s">
        <v>95</v>
      </c>
      <c r="AB506" s="1">
        <v>5</v>
      </c>
      <c r="AC506" s="1">
        <v>748807.08</v>
      </c>
      <c r="AD506" s="1">
        <v>8930529.0199999996</v>
      </c>
      <c r="AE506" s="1">
        <v>210.41</v>
      </c>
      <c r="AF506" s="1">
        <v>748807.08</v>
      </c>
      <c r="AG506" s="1">
        <v>8930529.0199999996</v>
      </c>
      <c r="AH506" s="1">
        <v>199.4</v>
      </c>
      <c r="AI506" s="1">
        <v>11.01</v>
      </c>
      <c r="AJ506" s="1">
        <v>0.6</v>
      </c>
      <c r="AK506" s="1">
        <v>2.97</v>
      </c>
      <c r="AL506" s="1">
        <v>2.58</v>
      </c>
      <c r="AM506" s="1">
        <v>0</v>
      </c>
      <c r="AN506" s="1">
        <v>0</v>
      </c>
      <c r="AO506" s="1">
        <v>279.95422539999998</v>
      </c>
      <c r="AP506" s="1">
        <v>3.16</v>
      </c>
      <c r="AQ506" s="1">
        <v>0.7</v>
      </c>
      <c r="AR506" s="1">
        <v>7.0000000000000007E-2</v>
      </c>
      <c r="AS506" s="1">
        <v>0.08</v>
      </c>
      <c r="AT506" s="1">
        <v>17.100000000000001</v>
      </c>
      <c r="AU506" s="1">
        <v>5.8</v>
      </c>
      <c r="AV506" s="1">
        <v>0.46</v>
      </c>
      <c r="AW506" s="1">
        <v>1.5</v>
      </c>
      <c r="AX506" s="1">
        <v>7.85</v>
      </c>
      <c r="AY506" s="1">
        <v>0</v>
      </c>
      <c r="AZ506" s="1">
        <v>109.346</v>
      </c>
      <c r="BA506" s="1">
        <v>0</v>
      </c>
      <c r="BB506" s="1">
        <v>0</v>
      </c>
      <c r="BC506" s="1">
        <v>0</v>
      </c>
      <c r="BD506" s="1">
        <v>0</v>
      </c>
    </row>
    <row r="507" spans="1:56">
      <c r="A507" s="18">
        <v>46192</v>
      </c>
      <c r="B507" s="1">
        <v>506</v>
      </c>
      <c r="C507" s="1" t="s">
        <v>89</v>
      </c>
      <c r="D507" s="1" t="s">
        <v>90</v>
      </c>
      <c r="E507" s="1">
        <v>2</v>
      </c>
      <c r="F507" s="1">
        <v>200</v>
      </c>
      <c r="G507" s="1">
        <v>1</v>
      </c>
      <c r="H507" s="1" t="s">
        <v>91</v>
      </c>
      <c r="I507" s="1" t="s">
        <v>79</v>
      </c>
      <c r="J507" s="1" t="s">
        <v>81</v>
      </c>
      <c r="K507" s="1" t="s">
        <v>74</v>
      </c>
      <c r="L507" s="1" t="s">
        <v>72</v>
      </c>
      <c r="M507" s="1" t="s">
        <v>75</v>
      </c>
      <c r="N507" s="1" t="s">
        <v>82</v>
      </c>
      <c r="O507" s="1" t="s">
        <v>77</v>
      </c>
      <c r="P507" s="1" t="s">
        <v>27</v>
      </c>
      <c r="Q507" s="1" t="s">
        <v>86</v>
      </c>
      <c r="R507" s="1" t="s">
        <v>94</v>
      </c>
      <c r="S507" s="1" t="s">
        <v>87</v>
      </c>
      <c r="T507" s="1" t="s">
        <v>88</v>
      </c>
      <c r="X507" s="1" t="s">
        <v>73</v>
      </c>
      <c r="Z507" s="1" t="s">
        <v>70</v>
      </c>
      <c r="AA507" s="1" t="s">
        <v>95</v>
      </c>
      <c r="AB507" s="1">
        <v>5</v>
      </c>
      <c r="AC507" s="1">
        <v>748808.68</v>
      </c>
      <c r="AD507" s="1">
        <v>8930526.5199999996</v>
      </c>
      <c r="AE507" s="1">
        <v>210.18</v>
      </c>
      <c r="AF507" s="1">
        <v>748808.68</v>
      </c>
      <c r="AG507" s="1">
        <v>8930526.5199999996</v>
      </c>
      <c r="AH507" s="1">
        <v>199.4</v>
      </c>
      <c r="AI507" s="1">
        <v>10.78</v>
      </c>
      <c r="AJ507" s="1">
        <v>0.6</v>
      </c>
      <c r="AK507" s="1">
        <v>2.97</v>
      </c>
      <c r="AL507" s="1">
        <v>2.58</v>
      </c>
      <c r="AM507" s="1">
        <v>0</v>
      </c>
      <c r="AN507" s="1">
        <v>0</v>
      </c>
      <c r="AO507" s="1">
        <v>279.95422539999998</v>
      </c>
      <c r="AP507" s="1">
        <v>3.16</v>
      </c>
      <c r="AQ507" s="1">
        <v>0.73</v>
      </c>
      <c r="AR507" s="1">
        <v>7.0000000000000007E-2</v>
      </c>
      <c r="AS507" s="1">
        <v>0.09</v>
      </c>
      <c r="AT507" s="1">
        <v>17.38</v>
      </c>
      <c r="AU507" s="1">
        <v>5.77</v>
      </c>
      <c r="AV507" s="1">
        <v>0.46</v>
      </c>
      <c r="AW507" s="1">
        <v>1.61</v>
      </c>
      <c r="AX507" s="1">
        <v>7.9</v>
      </c>
      <c r="AY507" s="1">
        <v>0</v>
      </c>
      <c r="AZ507" s="1">
        <v>105.997</v>
      </c>
      <c r="BA507" s="1">
        <v>0</v>
      </c>
      <c r="BB507" s="1">
        <v>0</v>
      </c>
      <c r="BC507" s="1">
        <v>0</v>
      </c>
      <c r="BD507" s="1">
        <v>0</v>
      </c>
    </row>
    <row r="508" spans="1:56">
      <c r="A508" s="18">
        <v>46192</v>
      </c>
      <c r="B508" s="1">
        <v>507</v>
      </c>
      <c r="C508" s="1" t="s">
        <v>89</v>
      </c>
      <c r="D508" s="1" t="s">
        <v>90</v>
      </c>
      <c r="E508" s="1">
        <v>2</v>
      </c>
      <c r="F508" s="1">
        <v>200</v>
      </c>
      <c r="G508" s="1">
        <v>1</v>
      </c>
      <c r="H508" s="1" t="s">
        <v>91</v>
      </c>
      <c r="I508" s="1" t="s">
        <v>79</v>
      </c>
      <c r="J508" s="1" t="s">
        <v>81</v>
      </c>
      <c r="K508" s="1" t="s">
        <v>74</v>
      </c>
      <c r="L508" s="1" t="s">
        <v>72</v>
      </c>
      <c r="M508" s="1" t="s">
        <v>75</v>
      </c>
      <c r="N508" s="1" t="s">
        <v>82</v>
      </c>
      <c r="O508" s="1" t="s">
        <v>77</v>
      </c>
      <c r="P508" s="1" t="s">
        <v>27</v>
      </c>
      <c r="Q508" s="1" t="s">
        <v>86</v>
      </c>
      <c r="R508" s="1" t="s">
        <v>94</v>
      </c>
      <c r="S508" s="1" t="s">
        <v>87</v>
      </c>
      <c r="T508" s="1" t="s">
        <v>88</v>
      </c>
      <c r="X508" s="1" t="s">
        <v>73</v>
      </c>
      <c r="Z508" s="1" t="s">
        <v>70</v>
      </c>
      <c r="AA508" s="1" t="s">
        <v>95</v>
      </c>
      <c r="AB508" s="1">
        <v>5</v>
      </c>
      <c r="AC508" s="1">
        <v>748810.28</v>
      </c>
      <c r="AD508" s="1">
        <v>8930524.0199999996</v>
      </c>
      <c r="AE508" s="1">
        <v>210.02</v>
      </c>
      <c r="AF508" s="1">
        <v>748810.28</v>
      </c>
      <c r="AG508" s="1">
        <v>8930524.0199999996</v>
      </c>
      <c r="AH508" s="1">
        <v>199.4</v>
      </c>
      <c r="AI508" s="1">
        <v>10.62</v>
      </c>
      <c r="AJ508" s="1">
        <v>0.6</v>
      </c>
      <c r="AK508" s="1">
        <v>2.97</v>
      </c>
      <c r="AL508" s="1">
        <v>2.58</v>
      </c>
      <c r="AM508" s="1">
        <v>0</v>
      </c>
      <c r="AN508" s="1">
        <v>0</v>
      </c>
      <c r="AO508" s="1">
        <v>279.95422539999998</v>
      </c>
      <c r="AP508" s="1">
        <v>3.17</v>
      </c>
      <c r="AQ508" s="1">
        <v>0.74</v>
      </c>
      <c r="AR508" s="1">
        <v>7.0000000000000007E-2</v>
      </c>
      <c r="AS508" s="1">
        <v>0.09</v>
      </c>
      <c r="AT508" s="1">
        <v>17.14</v>
      </c>
      <c r="AU508" s="1">
        <v>5.82</v>
      </c>
      <c r="AV508" s="1">
        <v>0.42</v>
      </c>
      <c r="AW508" s="1">
        <v>1.8</v>
      </c>
      <c r="AX508" s="1">
        <v>7.41</v>
      </c>
      <c r="AY508" s="1">
        <v>0</v>
      </c>
      <c r="AZ508" s="1">
        <v>103.667</v>
      </c>
      <c r="BA508" s="1">
        <v>0</v>
      </c>
      <c r="BB508" s="1">
        <v>0</v>
      </c>
      <c r="BC508" s="1">
        <v>0</v>
      </c>
      <c r="BD508" s="1">
        <v>0</v>
      </c>
    </row>
    <row r="509" spans="1:56">
      <c r="A509" s="18">
        <v>46192</v>
      </c>
      <c r="B509" s="1">
        <v>508</v>
      </c>
      <c r="C509" s="1" t="s">
        <v>89</v>
      </c>
      <c r="D509" s="1" t="s">
        <v>90</v>
      </c>
      <c r="E509" s="1">
        <v>2</v>
      </c>
      <c r="F509" s="1">
        <v>200</v>
      </c>
      <c r="G509" s="1">
        <v>1</v>
      </c>
      <c r="H509" s="1" t="s">
        <v>91</v>
      </c>
      <c r="I509" s="1" t="s">
        <v>79</v>
      </c>
      <c r="J509" s="1" t="s">
        <v>81</v>
      </c>
      <c r="K509" s="1" t="s">
        <v>74</v>
      </c>
      <c r="L509" s="1" t="s">
        <v>72</v>
      </c>
      <c r="M509" s="1" t="s">
        <v>75</v>
      </c>
      <c r="N509" s="1" t="s">
        <v>82</v>
      </c>
      <c r="O509" s="1" t="s">
        <v>77</v>
      </c>
      <c r="P509" s="1" t="s">
        <v>27</v>
      </c>
      <c r="Q509" s="1" t="s">
        <v>86</v>
      </c>
      <c r="R509" s="1" t="s">
        <v>94</v>
      </c>
      <c r="S509" s="1" t="s">
        <v>87</v>
      </c>
      <c r="T509" s="1" t="s">
        <v>88</v>
      </c>
      <c r="X509" s="1" t="s">
        <v>73</v>
      </c>
      <c r="Z509" s="1" t="s">
        <v>70</v>
      </c>
      <c r="AA509" s="1" t="s">
        <v>95</v>
      </c>
      <c r="AB509" s="1">
        <v>5</v>
      </c>
      <c r="AC509" s="1">
        <v>748811.88</v>
      </c>
      <c r="AD509" s="1">
        <v>8930521.5199999996</v>
      </c>
      <c r="AE509" s="1">
        <v>209.88</v>
      </c>
      <c r="AF509" s="1">
        <v>748811.88</v>
      </c>
      <c r="AG509" s="1">
        <v>8930521.5199999996</v>
      </c>
      <c r="AH509" s="1">
        <v>199.4</v>
      </c>
      <c r="AI509" s="1">
        <v>10.48</v>
      </c>
      <c r="AJ509" s="1">
        <v>0.6</v>
      </c>
      <c r="AK509" s="1">
        <v>2.97</v>
      </c>
      <c r="AL509" s="1">
        <v>2.58</v>
      </c>
      <c r="AM509" s="1">
        <v>0</v>
      </c>
      <c r="AN509" s="1">
        <v>0</v>
      </c>
      <c r="AO509" s="1">
        <v>279.95422539999998</v>
      </c>
      <c r="AP509" s="1">
        <v>3.21</v>
      </c>
      <c r="AQ509" s="1">
        <v>0.73</v>
      </c>
      <c r="AR509" s="1">
        <v>7.0000000000000007E-2</v>
      </c>
      <c r="AS509" s="1">
        <v>0.08</v>
      </c>
      <c r="AT509" s="1">
        <v>16.920000000000002</v>
      </c>
      <c r="AU509" s="1">
        <v>5.75</v>
      </c>
      <c r="AV509" s="1">
        <v>0.38</v>
      </c>
      <c r="AW509" s="1">
        <v>1.89</v>
      </c>
      <c r="AX509" s="1">
        <v>7</v>
      </c>
      <c r="AY509" s="1">
        <v>0</v>
      </c>
      <c r="AZ509" s="1">
        <v>101.629</v>
      </c>
      <c r="BA509" s="1">
        <v>0</v>
      </c>
      <c r="BB509" s="1">
        <v>0</v>
      </c>
      <c r="BC509" s="1">
        <v>0</v>
      </c>
      <c r="BD509" s="1">
        <v>0</v>
      </c>
    </row>
    <row r="510" spans="1:56">
      <c r="A510" s="18">
        <v>46192</v>
      </c>
      <c r="B510" s="1">
        <v>509</v>
      </c>
      <c r="C510" s="1" t="s">
        <v>89</v>
      </c>
      <c r="D510" s="1" t="s">
        <v>90</v>
      </c>
      <c r="E510" s="1">
        <v>2</v>
      </c>
      <c r="F510" s="1">
        <v>200</v>
      </c>
      <c r="G510" s="1">
        <v>1</v>
      </c>
      <c r="H510" s="1" t="s">
        <v>91</v>
      </c>
      <c r="I510" s="1" t="s">
        <v>79</v>
      </c>
      <c r="J510" s="1" t="s">
        <v>80</v>
      </c>
      <c r="K510" s="1" t="s">
        <v>74</v>
      </c>
      <c r="L510" s="1" t="s">
        <v>72</v>
      </c>
      <c r="M510" s="1" t="s">
        <v>75</v>
      </c>
      <c r="N510" s="1" t="s">
        <v>82</v>
      </c>
      <c r="O510" s="1" t="s">
        <v>77</v>
      </c>
      <c r="P510" s="1" t="s">
        <v>27</v>
      </c>
      <c r="Q510" s="1" t="s">
        <v>86</v>
      </c>
      <c r="R510" s="1" t="s">
        <v>94</v>
      </c>
      <c r="S510" s="1" t="s">
        <v>87</v>
      </c>
      <c r="T510" s="1" t="s">
        <v>88</v>
      </c>
      <c r="X510" s="1" t="s">
        <v>73</v>
      </c>
      <c r="Z510" s="1" t="s">
        <v>70</v>
      </c>
      <c r="AA510" s="1" t="s">
        <v>95</v>
      </c>
      <c r="AB510" s="1">
        <v>5</v>
      </c>
      <c r="AC510" s="1">
        <v>748813.49</v>
      </c>
      <c r="AD510" s="1">
        <v>8930519.0199999996</v>
      </c>
      <c r="AE510" s="1">
        <v>209.91</v>
      </c>
      <c r="AF510" s="1">
        <v>748813.49</v>
      </c>
      <c r="AG510" s="1">
        <v>8930519.0199999996</v>
      </c>
      <c r="AH510" s="1">
        <v>199.4</v>
      </c>
      <c r="AI510" s="1">
        <v>10.51</v>
      </c>
      <c r="AJ510" s="1">
        <v>0.6</v>
      </c>
      <c r="AK510" s="1">
        <v>2.97</v>
      </c>
      <c r="AL510" s="1">
        <v>2.58</v>
      </c>
      <c r="AM510" s="1">
        <v>0</v>
      </c>
      <c r="AN510" s="1">
        <v>0</v>
      </c>
      <c r="AO510" s="1">
        <v>279.95422539999998</v>
      </c>
      <c r="AP510" s="1">
        <v>3.51</v>
      </c>
      <c r="AQ510" s="1">
        <v>0.64</v>
      </c>
      <c r="AR510" s="1">
        <v>0.09</v>
      </c>
      <c r="AS510" s="1">
        <v>7.0000000000000007E-2</v>
      </c>
      <c r="AT510" s="1">
        <v>17.29</v>
      </c>
      <c r="AU510" s="1">
        <v>5.04</v>
      </c>
      <c r="AV510" s="1">
        <v>0.37</v>
      </c>
      <c r="AW510" s="1">
        <v>1.61</v>
      </c>
      <c r="AX510" s="1">
        <v>7.74</v>
      </c>
      <c r="AY510" s="1">
        <v>0</v>
      </c>
      <c r="AZ510" s="1">
        <v>102.066</v>
      </c>
      <c r="BA510" s="1">
        <v>0</v>
      </c>
      <c r="BB510" s="1">
        <v>0</v>
      </c>
      <c r="BC510" s="1">
        <v>0</v>
      </c>
      <c r="BD510" s="1">
        <v>0</v>
      </c>
    </row>
    <row r="511" spans="1:56">
      <c r="A511" s="18">
        <v>46192</v>
      </c>
      <c r="B511" s="1">
        <v>510</v>
      </c>
      <c r="C511" s="1" t="s">
        <v>89</v>
      </c>
      <c r="D511" s="1" t="s">
        <v>90</v>
      </c>
      <c r="E511" s="1">
        <v>2</v>
      </c>
      <c r="F511" s="1">
        <v>200</v>
      </c>
      <c r="G511" s="1">
        <v>1</v>
      </c>
      <c r="H511" s="1" t="s">
        <v>91</v>
      </c>
      <c r="I511" s="1" t="s">
        <v>79</v>
      </c>
      <c r="J511" s="1" t="s">
        <v>80</v>
      </c>
      <c r="K511" s="1" t="s">
        <v>74</v>
      </c>
      <c r="L511" s="1" t="s">
        <v>72</v>
      </c>
      <c r="M511" s="1" t="s">
        <v>75</v>
      </c>
      <c r="N511" s="1" t="s">
        <v>82</v>
      </c>
      <c r="O511" s="1" t="s">
        <v>77</v>
      </c>
      <c r="P511" s="1" t="s">
        <v>27</v>
      </c>
      <c r="Q511" s="1" t="s">
        <v>86</v>
      </c>
      <c r="R511" s="1" t="s">
        <v>94</v>
      </c>
      <c r="S511" s="1" t="s">
        <v>87</v>
      </c>
      <c r="T511" s="1" t="s">
        <v>88</v>
      </c>
      <c r="X511" s="1" t="s">
        <v>73</v>
      </c>
      <c r="Z511" s="1" t="s">
        <v>70</v>
      </c>
      <c r="AA511" s="1" t="s">
        <v>95</v>
      </c>
      <c r="AB511" s="1">
        <v>5</v>
      </c>
      <c r="AC511" s="1">
        <v>748815.09</v>
      </c>
      <c r="AD511" s="1">
        <v>8930516.5199999996</v>
      </c>
      <c r="AE511" s="1">
        <v>209.97</v>
      </c>
      <c r="AF511" s="1">
        <v>748815.09</v>
      </c>
      <c r="AG511" s="1">
        <v>8930516.5199999996</v>
      </c>
      <c r="AH511" s="1">
        <v>199.4</v>
      </c>
      <c r="AI511" s="1">
        <v>10.57</v>
      </c>
      <c r="AJ511" s="1">
        <v>0.6</v>
      </c>
      <c r="AK511" s="1">
        <v>2.97</v>
      </c>
      <c r="AL511" s="1">
        <v>2.58</v>
      </c>
      <c r="AM511" s="1">
        <v>0</v>
      </c>
      <c r="AN511" s="1">
        <v>0</v>
      </c>
      <c r="AO511" s="1">
        <v>279.95422539999998</v>
      </c>
      <c r="AP511" s="1">
        <v>3.58</v>
      </c>
      <c r="AQ511" s="1">
        <v>0.61</v>
      </c>
      <c r="AR511" s="1">
        <v>0.09</v>
      </c>
      <c r="AS511" s="1">
        <v>0.06</v>
      </c>
      <c r="AT511" s="1">
        <v>17.36</v>
      </c>
      <c r="AU511" s="1">
        <v>4.87</v>
      </c>
      <c r="AV511" s="1">
        <v>0.37</v>
      </c>
      <c r="AW511" s="1">
        <v>1.53</v>
      </c>
      <c r="AX511" s="1">
        <v>7.89</v>
      </c>
      <c r="AY511" s="1">
        <v>0</v>
      </c>
      <c r="AZ511" s="1">
        <v>102.93899999999999</v>
      </c>
      <c r="BA511" s="1">
        <v>0</v>
      </c>
      <c r="BB511" s="1">
        <v>0</v>
      </c>
      <c r="BC511" s="1">
        <v>0</v>
      </c>
      <c r="BD511" s="1">
        <v>0</v>
      </c>
    </row>
    <row r="512" spans="1:56">
      <c r="A512" s="18">
        <v>46192</v>
      </c>
      <c r="B512" s="1">
        <v>511</v>
      </c>
      <c r="C512" s="1" t="s">
        <v>89</v>
      </c>
      <c r="D512" s="1" t="s">
        <v>90</v>
      </c>
      <c r="E512" s="1">
        <v>2</v>
      </c>
      <c r="F512" s="1">
        <v>200</v>
      </c>
      <c r="G512" s="1">
        <v>1</v>
      </c>
      <c r="H512" s="1" t="s">
        <v>91</v>
      </c>
      <c r="I512" s="1" t="s">
        <v>79</v>
      </c>
      <c r="J512" s="1" t="s">
        <v>80</v>
      </c>
      <c r="K512" s="1" t="s">
        <v>74</v>
      </c>
      <c r="L512" s="1" t="s">
        <v>72</v>
      </c>
      <c r="M512" s="1" t="s">
        <v>75</v>
      </c>
      <c r="N512" s="1" t="s">
        <v>82</v>
      </c>
      <c r="O512" s="1" t="s">
        <v>77</v>
      </c>
      <c r="P512" s="1" t="s">
        <v>27</v>
      </c>
      <c r="Q512" s="1" t="s">
        <v>86</v>
      </c>
      <c r="R512" s="1" t="s">
        <v>94</v>
      </c>
      <c r="S512" s="1" t="s">
        <v>87</v>
      </c>
      <c r="T512" s="1" t="s">
        <v>88</v>
      </c>
      <c r="X512" s="1" t="s">
        <v>73</v>
      </c>
      <c r="Z512" s="1" t="s">
        <v>70</v>
      </c>
      <c r="AA512" s="1" t="s">
        <v>95</v>
      </c>
      <c r="AB512" s="1">
        <v>5</v>
      </c>
      <c r="AC512" s="1">
        <v>748816.69</v>
      </c>
      <c r="AD512" s="1">
        <v>8930514.0199999996</v>
      </c>
      <c r="AE512" s="1">
        <v>209.93</v>
      </c>
      <c r="AF512" s="1">
        <v>748816.69</v>
      </c>
      <c r="AG512" s="1">
        <v>8930514.0199999996</v>
      </c>
      <c r="AH512" s="1">
        <v>199.4</v>
      </c>
      <c r="AI512" s="1">
        <v>10.53</v>
      </c>
      <c r="AJ512" s="1">
        <v>0.6</v>
      </c>
      <c r="AK512" s="1">
        <v>2.97</v>
      </c>
      <c r="AL512" s="1">
        <v>2.58</v>
      </c>
      <c r="AM512" s="1">
        <v>0</v>
      </c>
      <c r="AN512" s="1">
        <v>0</v>
      </c>
      <c r="AO512" s="1">
        <v>279.95422539999998</v>
      </c>
      <c r="AP512" s="1">
        <v>3.6</v>
      </c>
      <c r="AQ512" s="1">
        <v>0.62</v>
      </c>
      <c r="AR512" s="1">
        <v>0.09</v>
      </c>
      <c r="AS512" s="1">
        <v>7.0000000000000007E-2</v>
      </c>
      <c r="AT512" s="1">
        <v>17.57</v>
      </c>
      <c r="AU512" s="1">
        <v>4.8499999999999996</v>
      </c>
      <c r="AV512" s="1">
        <v>0.38</v>
      </c>
      <c r="AW512" s="1">
        <v>1.59</v>
      </c>
      <c r="AX512" s="1">
        <v>8.2100000000000009</v>
      </c>
      <c r="AY512" s="1">
        <v>0</v>
      </c>
      <c r="AZ512" s="1">
        <v>102.357</v>
      </c>
      <c r="BA512" s="1">
        <v>0</v>
      </c>
      <c r="BB512" s="1">
        <v>0</v>
      </c>
      <c r="BC512" s="1">
        <v>0</v>
      </c>
      <c r="BD512" s="1">
        <v>0</v>
      </c>
    </row>
    <row r="513" spans="1:56">
      <c r="A513" s="18">
        <v>46192</v>
      </c>
      <c r="B513" s="1">
        <v>512</v>
      </c>
      <c r="C513" s="1" t="s">
        <v>89</v>
      </c>
      <c r="D513" s="1" t="s">
        <v>90</v>
      </c>
      <c r="E513" s="1">
        <v>2</v>
      </c>
      <c r="F513" s="1">
        <v>200</v>
      </c>
      <c r="G513" s="1">
        <v>1</v>
      </c>
      <c r="H513" s="1" t="s">
        <v>91</v>
      </c>
      <c r="I513" s="1" t="s">
        <v>79</v>
      </c>
      <c r="J513" s="1" t="s">
        <v>80</v>
      </c>
      <c r="K513" s="1" t="s">
        <v>74</v>
      </c>
      <c r="L513" s="1" t="s">
        <v>72</v>
      </c>
      <c r="M513" s="1" t="s">
        <v>75</v>
      </c>
      <c r="N513" s="1" t="s">
        <v>76</v>
      </c>
      <c r="O513" s="1" t="s">
        <v>77</v>
      </c>
      <c r="P513" s="1" t="s">
        <v>27</v>
      </c>
      <c r="Q513" s="1" t="s">
        <v>86</v>
      </c>
      <c r="R513" s="1" t="s">
        <v>94</v>
      </c>
      <c r="S513" s="1" t="s">
        <v>87</v>
      </c>
      <c r="T513" s="1" t="s">
        <v>88</v>
      </c>
      <c r="X513" s="1" t="s">
        <v>73</v>
      </c>
      <c r="Z513" s="1" t="s">
        <v>70</v>
      </c>
      <c r="AA513" s="1" t="s">
        <v>95</v>
      </c>
      <c r="AB513" s="1">
        <v>5</v>
      </c>
      <c r="AC513" s="1">
        <v>748818.3</v>
      </c>
      <c r="AD513" s="1">
        <v>8930511.5199999996</v>
      </c>
      <c r="AE513" s="1">
        <v>210.13</v>
      </c>
      <c r="AF513" s="1">
        <v>748818.3</v>
      </c>
      <c r="AG513" s="1">
        <v>8930511.5199999996</v>
      </c>
      <c r="AH513" s="1">
        <v>199.4</v>
      </c>
      <c r="AI513" s="1">
        <v>10.73</v>
      </c>
      <c r="AJ513" s="1">
        <v>0.6</v>
      </c>
      <c r="AK513" s="1">
        <v>2.97</v>
      </c>
      <c r="AL513" s="1">
        <v>2.58</v>
      </c>
      <c r="AM513" s="1">
        <v>0</v>
      </c>
      <c r="AN513" s="1">
        <v>0</v>
      </c>
      <c r="AO513" s="1">
        <v>279.95422539999998</v>
      </c>
      <c r="AP513" s="1">
        <v>3.56</v>
      </c>
      <c r="AQ513" s="1">
        <v>0.63</v>
      </c>
      <c r="AR513" s="1">
        <v>0.09</v>
      </c>
      <c r="AS513" s="1">
        <v>7.0000000000000007E-2</v>
      </c>
      <c r="AT513" s="1">
        <v>17.829999999999998</v>
      </c>
      <c r="AU513" s="1">
        <v>4.8899999999999997</v>
      </c>
      <c r="AV513" s="1">
        <v>0.39</v>
      </c>
      <c r="AW513" s="1">
        <v>1.63</v>
      </c>
      <c r="AX513" s="1">
        <v>7.96</v>
      </c>
      <c r="AY513" s="1">
        <v>0</v>
      </c>
      <c r="AZ513" s="1">
        <v>105.26900000000001</v>
      </c>
      <c r="BA513" s="1">
        <v>0</v>
      </c>
      <c r="BB513" s="1">
        <v>0</v>
      </c>
      <c r="BC513" s="1">
        <v>0</v>
      </c>
      <c r="BD513" s="1">
        <v>0</v>
      </c>
    </row>
    <row r="514" spans="1:56">
      <c r="A514" s="18">
        <v>46192</v>
      </c>
      <c r="B514" s="1">
        <v>513</v>
      </c>
      <c r="C514" s="1" t="s">
        <v>89</v>
      </c>
      <c r="D514" s="1" t="s">
        <v>90</v>
      </c>
      <c r="E514" s="1">
        <v>2</v>
      </c>
      <c r="F514" s="1">
        <v>200</v>
      </c>
      <c r="G514" s="1">
        <v>1</v>
      </c>
      <c r="H514" s="1" t="s">
        <v>91</v>
      </c>
      <c r="I514" s="1" t="s">
        <v>79</v>
      </c>
      <c r="J514" s="1" t="s">
        <v>80</v>
      </c>
      <c r="K514" s="1" t="s">
        <v>74</v>
      </c>
      <c r="L514" s="1" t="s">
        <v>72</v>
      </c>
      <c r="M514" s="1" t="s">
        <v>75</v>
      </c>
      <c r="N514" s="1" t="s">
        <v>76</v>
      </c>
      <c r="O514" s="1" t="s">
        <v>77</v>
      </c>
      <c r="P514" s="1" t="s">
        <v>27</v>
      </c>
      <c r="Q514" s="1" t="s">
        <v>86</v>
      </c>
      <c r="R514" s="1" t="s">
        <v>94</v>
      </c>
      <c r="S514" s="1" t="s">
        <v>87</v>
      </c>
      <c r="T514" s="1" t="s">
        <v>88</v>
      </c>
      <c r="X514" s="1" t="s">
        <v>73</v>
      </c>
      <c r="Z514" s="1" t="s">
        <v>70</v>
      </c>
      <c r="AA514" s="1" t="s">
        <v>95</v>
      </c>
      <c r="AB514" s="1">
        <v>5</v>
      </c>
      <c r="AC514" s="1">
        <v>748819.9</v>
      </c>
      <c r="AD514" s="1">
        <v>8930509.0199999996</v>
      </c>
      <c r="AE514" s="1">
        <v>210.3</v>
      </c>
      <c r="AF514" s="1">
        <v>748819.9</v>
      </c>
      <c r="AG514" s="1">
        <v>8930509.0199999996</v>
      </c>
      <c r="AH514" s="1">
        <v>199.4</v>
      </c>
      <c r="AI514" s="1">
        <v>10.9</v>
      </c>
      <c r="AJ514" s="1">
        <v>0.6</v>
      </c>
      <c r="AK514" s="1">
        <v>2.97</v>
      </c>
      <c r="AL514" s="1">
        <v>2.58</v>
      </c>
      <c r="AM514" s="1">
        <v>0</v>
      </c>
      <c r="AN514" s="1">
        <v>0</v>
      </c>
      <c r="AO514" s="1">
        <v>279.95422539999998</v>
      </c>
      <c r="AP514" s="1">
        <v>3.32</v>
      </c>
      <c r="AQ514" s="1">
        <v>0.68</v>
      </c>
      <c r="AR514" s="1">
        <v>0.1</v>
      </c>
      <c r="AS514" s="1">
        <v>7.0000000000000007E-2</v>
      </c>
      <c r="AT514" s="1">
        <v>19.03</v>
      </c>
      <c r="AU514" s="1">
        <v>5.29</v>
      </c>
      <c r="AV514" s="1">
        <v>0.39</v>
      </c>
      <c r="AW514" s="1">
        <v>1.75</v>
      </c>
      <c r="AX514" s="1">
        <v>4.4800000000000004</v>
      </c>
      <c r="AY514" s="1">
        <v>0</v>
      </c>
      <c r="AZ514" s="1">
        <v>107.744</v>
      </c>
      <c r="BA514" s="1">
        <v>0</v>
      </c>
      <c r="BB514" s="1">
        <v>0</v>
      </c>
      <c r="BC514" s="1">
        <v>0</v>
      </c>
      <c r="BD514" s="1">
        <v>0</v>
      </c>
    </row>
    <row r="515" spans="1:56">
      <c r="A515" s="18">
        <v>46192</v>
      </c>
      <c r="B515" s="1">
        <v>514</v>
      </c>
      <c r="C515" s="1" t="s">
        <v>89</v>
      </c>
      <c r="D515" s="1" t="s">
        <v>90</v>
      </c>
      <c r="E515" s="1">
        <v>2</v>
      </c>
      <c r="F515" s="1">
        <v>200</v>
      </c>
      <c r="G515" s="1">
        <v>1</v>
      </c>
      <c r="H515" s="1" t="s">
        <v>91</v>
      </c>
      <c r="I515" s="1" t="s">
        <v>79</v>
      </c>
      <c r="J515" s="1" t="s">
        <v>80</v>
      </c>
      <c r="K515" s="1" t="s">
        <v>74</v>
      </c>
      <c r="L515" s="1" t="s">
        <v>72</v>
      </c>
      <c r="M515" s="1" t="s">
        <v>75</v>
      </c>
      <c r="N515" s="1" t="s">
        <v>76</v>
      </c>
      <c r="O515" s="1" t="s">
        <v>77</v>
      </c>
      <c r="P515" s="1" t="s">
        <v>27</v>
      </c>
      <c r="Q515" s="1" t="s">
        <v>86</v>
      </c>
      <c r="R515" s="1" t="s">
        <v>94</v>
      </c>
      <c r="S515" s="1" t="s">
        <v>87</v>
      </c>
      <c r="T515" s="1" t="s">
        <v>88</v>
      </c>
      <c r="X515" s="1" t="s">
        <v>73</v>
      </c>
      <c r="Z515" s="1" t="s">
        <v>70</v>
      </c>
      <c r="AA515" s="1" t="s">
        <v>95</v>
      </c>
      <c r="AB515" s="1">
        <v>5</v>
      </c>
      <c r="AC515" s="1">
        <v>748821.5</v>
      </c>
      <c r="AD515" s="1">
        <v>8930506.5199999996</v>
      </c>
      <c r="AE515" s="1">
        <v>210.28</v>
      </c>
      <c r="AF515" s="1">
        <v>748821.5</v>
      </c>
      <c r="AG515" s="1">
        <v>8930506.5199999996</v>
      </c>
      <c r="AH515" s="1">
        <v>199.4</v>
      </c>
      <c r="AI515" s="1">
        <v>10.88</v>
      </c>
      <c r="AJ515" s="1">
        <v>0.6</v>
      </c>
      <c r="AK515" s="1">
        <v>2.97</v>
      </c>
      <c r="AL515" s="1">
        <v>2.58</v>
      </c>
      <c r="AM515" s="1">
        <v>0</v>
      </c>
      <c r="AN515" s="1">
        <v>0</v>
      </c>
      <c r="AO515" s="1">
        <v>279.95422539999998</v>
      </c>
      <c r="AP515" s="1">
        <v>3.27</v>
      </c>
      <c r="AQ515" s="1">
        <v>0.67</v>
      </c>
      <c r="AR515" s="1">
        <v>0.1</v>
      </c>
      <c r="AS515" s="1">
        <v>7.0000000000000007E-2</v>
      </c>
      <c r="AT515" s="1">
        <v>19.04</v>
      </c>
      <c r="AU515" s="1">
        <v>5.57</v>
      </c>
      <c r="AV515" s="1">
        <v>0.38</v>
      </c>
      <c r="AW515" s="1">
        <v>1.76</v>
      </c>
      <c r="AX515" s="1">
        <v>0.97</v>
      </c>
      <c r="AY515" s="1">
        <v>0</v>
      </c>
      <c r="AZ515" s="1">
        <v>107.453</v>
      </c>
      <c r="BA515" s="1">
        <v>0</v>
      </c>
      <c r="BB515" s="1">
        <v>0</v>
      </c>
      <c r="BC515" s="1">
        <v>0</v>
      </c>
      <c r="BD515" s="1">
        <v>0</v>
      </c>
    </row>
    <row r="516" spans="1:56">
      <c r="A516" s="18">
        <v>46192</v>
      </c>
      <c r="B516" s="1">
        <v>515</v>
      </c>
      <c r="C516" s="1" t="s">
        <v>89</v>
      </c>
      <c r="D516" s="1" t="s">
        <v>90</v>
      </c>
      <c r="E516" s="1">
        <v>2</v>
      </c>
      <c r="F516" s="1">
        <v>200</v>
      </c>
      <c r="G516" s="1">
        <v>1</v>
      </c>
      <c r="H516" s="1" t="s">
        <v>91</v>
      </c>
      <c r="I516" s="1" t="s">
        <v>79</v>
      </c>
      <c r="J516" s="1" t="s">
        <v>80</v>
      </c>
      <c r="K516" s="1" t="s">
        <v>74</v>
      </c>
      <c r="L516" s="1" t="s">
        <v>72</v>
      </c>
      <c r="M516" s="1" t="s">
        <v>75</v>
      </c>
      <c r="N516" s="1" t="s">
        <v>76</v>
      </c>
      <c r="O516" s="1" t="s">
        <v>77</v>
      </c>
      <c r="P516" s="1" t="s">
        <v>27</v>
      </c>
      <c r="Q516" s="1" t="s">
        <v>86</v>
      </c>
      <c r="R516" s="1" t="s">
        <v>94</v>
      </c>
      <c r="S516" s="1" t="s">
        <v>87</v>
      </c>
      <c r="T516" s="1" t="s">
        <v>88</v>
      </c>
      <c r="X516" s="1" t="s">
        <v>73</v>
      </c>
      <c r="Z516" s="1" t="s">
        <v>70</v>
      </c>
      <c r="AA516" s="1" t="s">
        <v>95</v>
      </c>
      <c r="AB516" s="1">
        <v>5</v>
      </c>
      <c r="AC516" s="1">
        <v>748823.11</v>
      </c>
      <c r="AD516" s="1">
        <v>8930504.0199999996</v>
      </c>
      <c r="AE516" s="1">
        <v>210.26</v>
      </c>
      <c r="AF516" s="1">
        <v>748823.11</v>
      </c>
      <c r="AG516" s="1">
        <v>8930504.0199999996</v>
      </c>
      <c r="AH516" s="1">
        <v>199.4</v>
      </c>
      <c r="AI516" s="1">
        <v>10.86</v>
      </c>
      <c r="AJ516" s="1">
        <v>0.6</v>
      </c>
      <c r="AK516" s="1">
        <v>2.97</v>
      </c>
      <c r="AL516" s="1">
        <v>2.58</v>
      </c>
      <c r="AM516" s="1">
        <v>0</v>
      </c>
      <c r="AN516" s="1">
        <v>0</v>
      </c>
      <c r="AO516" s="1">
        <v>279.95422539999998</v>
      </c>
      <c r="AP516" s="1">
        <v>3.27</v>
      </c>
      <c r="AQ516" s="1">
        <v>0.67</v>
      </c>
      <c r="AR516" s="1">
        <v>0.1</v>
      </c>
      <c r="AS516" s="1">
        <v>7.0000000000000007E-2</v>
      </c>
      <c r="AT516" s="1">
        <v>18.940000000000001</v>
      </c>
      <c r="AU516" s="1">
        <v>5.6</v>
      </c>
      <c r="AV516" s="1">
        <v>0.38</v>
      </c>
      <c r="AW516" s="1">
        <v>1.75</v>
      </c>
      <c r="AX516" s="1">
        <v>0.26</v>
      </c>
      <c r="AY516" s="1">
        <v>0</v>
      </c>
      <c r="AZ516" s="1">
        <v>107.16200000000001</v>
      </c>
      <c r="BA516" s="1">
        <v>0</v>
      </c>
      <c r="BB516" s="1">
        <v>0</v>
      </c>
      <c r="BC516" s="1">
        <v>0</v>
      </c>
      <c r="BD516" s="1">
        <v>0</v>
      </c>
    </row>
    <row r="517" spans="1:56">
      <c r="A517" s="18">
        <v>46192</v>
      </c>
      <c r="B517" s="1">
        <v>516</v>
      </c>
      <c r="C517" s="1" t="s">
        <v>89</v>
      </c>
      <c r="D517" s="1" t="s">
        <v>90</v>
      </c>
      <c r="E517" s="1">
        <v>2</v>
      </c>
      <c r="F517" s="1">
        <v>200</v>
      </c>
      <c r="G517" s="1">
        <v>1</v>
      </c>
      <c r="H517" s="1" t="s">
        <v>91</v>
      </c>
      <c r="I517" s="1" t="s">
        <v>79</v>
      </c>
      <c r="J517" s="1" t="s">
        <v>80</v>
      </c>
      <c r="K517" s="1" t="s">
        <v>74</v>
      </c>
      <c r="L517" s="1" t="s">
        <v>72</v>
      </c>
      <c r="M517" s="1" t="s">
        <v>75</v>
      </c>
      <c r="N517" s="1" t="s">
        <v>76</v>
      </c>
      <c r="O517" s="1" t="s">
        <v>77</v>
      </c>
      <c r="P517" s="1" t="s">
        <v>27</v>
      </c>
      <c r="Q517" s="1" t="s">
        <v>86</v>
      </c>
      <c r="R517" s="1" t="s">
        <v>94</v>
      </c>
      <c r="S517" s="1" t="s">
        <v>87</v>
      </c>
      <c r="T517" s="1" t="s">
        <v>88</v>
      </c>
      <c r="X517" s="1" t="s">
        <v>73</v>
      </c>
      <c r="Z517" s="1" t="s">
        <v>70</v>
      </c>
      <c r="AA517" s="1" t="s">
        <v>95</v>
      </c>
      <c r="AB517" s="1">
        <v>5</v>
      </c>
      <c r="AC517" s="1">
        <v>748824.71</v>
      </c>
      <c r="AD517" s="1">
        <v>8930501.5199999996</v>
      </c>
      <c r="AE517" s="1">
        <v>210.34</v>
      </c>
      <c r="AF517" s="1">
        <v>748824.71</v>
      </c>
      <c r="AG517" s="1">
        <v>8930501.5199999996</v>
      </c>
      <c r="AH517" s="1">
        <v>199.4</v>
      </c>
      <c r="AI517" s="1">
        <v>10.94</v>
      </c>
      <c r="AJ517" s="1">
        <v>0.6</v>
      </c>
      <c r="AK517" s="1">
        <v>2.97</v>
      </c>
      <c r="AL517" s="1">
        <v>2.58</v>
      </c>
      <c r="AM517" s="1">
        <v>0</v>
      </c>
      <c r="AN517" s="1">
        <v>0</v>
      </c>
      <c r="AO517" s="1">
        <v>279.95422539999998</v>
      </c>
      <c r="AP517" s="1">
        <v>3.27</v>
      </c>
      <c r="AQ517" s="1">
        <v>0.66</v>
      </c>
      <c r="AR517" s="1">
        <v>0.1</v>
      </c>
      <c r="AS517" s="1">
        <v>7.0000000000000007E-2</v>
      </c>
      <c r="AT517" s="1">
        <v>18.649999999999999</v>
      </c>
      <c r="AU517" s="1">
        <v>5.64</v>
      </c>
      <c r="AV517" s="1">
        <v>0.37</v>
      </c>
      <c r="AW517" s="1">
        <v>1.77</v>
      </c>
      <c r="AX517" s="1">
        <v>0.31</v>
      </c>
      <c r="AY517" s="1">
        <v>0</v>
      </c>
      <c r="AZ517" s="1">
        <v>108.32599999999999</v>
      </c>
      <c r="BA517" s="1">
        <v>0</v>
      </c>
      <c r="BB517" s="1">
        <v>0</v>
      </c>
      <c r="BC517" s="1">
        <v>0</v>
      </c>
      <c r="BD517" s="1">
        <v>0</v>
      </c>
    </row>
    <row r="518" spans="1:56">
      <c r="A518" s="18">
        <v>46192</v>
      </c>
      <c r="B518" s="1">
        <v>517</v>
      </c>
      <c r="C518" s="1" t="s">
        <v>89</v>
      </c>
      <c r="D518" s="1" t="s">
        <v>90</v>
      </c>
      <c r="E518" s="1">
        <v>2</v>
      </c>
      <c r="F518" s="1">
        <v>200</v>
      </c>
      <c r="G518" s="1">
        <v>1</v>
      </c>
      <c r="H518" s="1" t="s">
        <v>91</v>
      </c>
      <c r="I518" s="1" t="s">
        <v>79</v>
      </c>
      <c r="J518" s="1" t="s">
        <v>80</v>
      </c>
      <c r="K518" s="1" t="s">
        <v>74</v>
      </c>
      <c r="L518" s="1" t="s">
        <v>72</v>
      </c>
      <c r="M518" s="1" t="s">
        <v>75</v>
      </c>
      <c r="N518" s="1" t="s">
        <v>76</v>
      </c>
      <c r="O518" s="1" t="s">
        <v>77</v>
      </c>
      <c r="P518" s="1" t="s">
        <v>27</v>
      </c>
      <c r="Q518" s="1" t="s">
        <v>86</v>
      </c>
      <c r="R518" s="1" t="s">
        <v>94</v>
      </c>
      <c r="S518" s="1" t="s">
        <v>87</v>
      </c>
      <c r="T518" s="1" t="s">
        <v>88</v>
      </c>
      <c r="X518" s="1" t="s">
        <v>73</v>
      </c>
      <c r="Z518" s="1" t="s">
        <v>70</v>
      </c>
      <c r="AA518" s="1" t="s">
        <v>95</v>
      </c>
      <c r="AB518" s="1">
        <v>5</v>
      </c>
      <c r="AC518" s="1">
        <v>748826.31</v>
      </c>
      <c r="AD518" s="1">
        <v>8930499.0199999996</v>
      </c>
      <c r="AE518" s="1">
        <v>210.35</v>
      </c>
      <c r="AF518" s="1">
        <v>748826.31</v>
      </c>
      <c r="AG518" s="1">
        <v>8930499.0199999996</v>
      </c>
      <c r="AH518" s="1">
        <v>199.4</v>
      </c>
      <c r="AI518" s="1">
        <v>10.95</v>
      </c>
      <c r="AJ518" s="1">
        <v>0.6</v>
      </c>
      <c r="AK518" s="1">
        <v>2.97</v>
      </c>
      <c r="AL518" s="1">
        <v>2.58</v>
      </c>
      <c r="AM518" s="1">
        <v>0</v>
      </c>
      <c r="AN518" s="1">
        <v>0</v>
      </c>
      <c r="AO518" s="1">
        <v>279.95422539999998</v>
      </c>
      <c r="AP518" s="1">
        <v>3.31</v>
      </c>
      <c r="AQ518" s="1">
        <v>0.62</v>
      </c>
      <c r="AR518" s="1">
        <v>0.09</v>
      </c>
      <c r="AS518" s="1">
        <v>7.0000000000000007E-2</v>
      </c>
      <c r="AT518" s="1">
        <v>17.62</v>
      </c>
      <c r="AU518" s="1">
        <v>5.97</v>
      </c>
      <c r="AV518" s="1">
        <v>0.35</v>
      </c>
      <c r="AW518" s="1">
        <v>1.82</v>
      </c>
      <c r="AX518" s="1">
        <v>0.22</v>
      </c>
      <c r="AY518" s="1">
        <v>0</v>
      </c>
      <c r="AZ518" s="1">
        <v>108.47199999999999</v>
      </c>
      <c r="BA518" s="1">
        <v>0</v>
      </c>
      <c r="BB518" s="1">
        <v>0</v>
      </c>
      <c r="BC518" s="1">
        <v>0</v>
      </c>
      <c r="BD518" s="1">
        <v>0</v>
      </c>
    </row>
    <row r="519" spans="1:56">
      <c r="A519" s="18">
        <v>46192</v>
      </c>
      <c r="B519" s="1">
        <v>518</v>
      </c>
      <c r="C519" s="1" t="s">
        <v>89</v>
      </c>
      <c r="D519" s="1" t="s">
        <v>90</v>
      </c>
      <c r="E519" s="1">
        <v>2</v>
      </c>
      <c r="F519" s="1">
        <v>200</v>
      </c>
      <c r="G519" s="1">
        <v>1</v>
      </c>
      <c r="H519" s="1" t="s">
        <v>91</v>
      </c>
      <c r="I519" s="1" t="s">
        <v>79</v>
      </c>
      <c r="J519" s="1" t="s">
        <v>80</v>
      </c>
      <c r="K519" s="1" t="s">
        <v>74</v>
      </c>
      <c r="L519" s="1" t="s">
        <v>72</v>
      </c>
      <c r="M519" s="1" t="s">
        <v>75</v>
      </c>
      <c r="N519" s="1" t="s">
        <v>76</v>
      </c>
      <c r="O519" s="1" t="s">
        <v>77</v>
      </c>
      <c r="P519" s="1" t="s">
        <v>27</v>
      </c>
      <c r="Q519" s="1" t="s">
        <v>86</v>
      </c>
      <c r="R519" s="1" t="s">
        <v>94</v>
      </c>
      <c r="S519" s="1" t="s">
        <v>87</v>
      </c>
      <c r="T519" s="1" t="s">
        <v>88</v>
      </c>
      <c r="X519" s="1" t="s">
        <v>73</v>
      </c>
      <c r="Z519" s="1" t="s">
        <v>70</v>
      </c>
      <c r="AA519" s="1" t="s">
        <v>95</v>
      </c>
      <c r="AB519" s="1">
        <v>5</v>
      </c>
      <c r="AC519" s="1">
        <v>748827.91</v>
      </c>
      <c r="AD519" s="1">
        <v>8930496.5199999996</v>
      </c>
      <c r="AE519" s="1">
        <v>210.36</v>
      </c>
      <c r="AF519" s="1">
        <v>748827.91</v>
      </c>
      <c r="AG519" s="1">
        <v>8930496.5199999996</v>
      </c>
      <c r="AH519" s="1">
        <v>199.4</v>
      </c>
      <c r="AI519" s="1">
        <v>10.96</v>
      </c>
      <c r="AJ519" s="1">
        <v>0.6</v>
      </c>
      <c r="AK519" s="1">
        <v>2.97</v>
      </c>
      <c r="AL519" s="1">
        <v>2.58</v>
      </c>
      <c r="AM519" s="1">
        <v>0</v>
      </c>
      <c r="AN519" s="1">
        <v>0</v>
      </c>
      <c r="AO519" s="1">
        <v>279.95422539999998</v>
      </c>
      <c r="AP519" s="1">
        <v>3.29</v>
      </c>
      <c r="AQ519" s="1">
        <v>0.57999999999999996</v>
      </c>
      <c r="AR519" s="1">
        <v>0.08</v>
      </c>
      <c r="AS519" s="1">
        <v>0.06</v>
      </c>
      <c r="AT519" s="1">
        <v>16.739999999999998</v>
      </c>
      <c r="AU519" s="1">
        <v>5.95</v>
      </c>
      <c r="AV519" s="1">
        <v>0.32</v>
      </c>
      <c r="AW519" s="1">
        <v>1.93</v>
      </c>
      <c r="AX519" s="1">
        <v>0.16</v>
      </c>
      <c r="AY519" s="1">
        <v>0</v>
      </c>
      <c r="AZ519" s="1">
        <v>108.61799999999999</v>
      </c>
      <c r="BA519" s="1">
        <v>0</v>
      </c>
      <c r="BB519" s="1">
        <v>0</v>
      </c>
      <c r="BC519" s="1">
        <v>0</v>
      </c>
      <c r="BD519" s="1">
        <v>0</v>
      </c>
    </row>
    <row r="520" spans="1:56">
      <c r="A520" s="18">
        <v>46192</v>
      </c>
      <c r="B520" s="1">
        <v>519</v>
      </c>
      <c r="C520" s="1" t="s">
        <v>89</v>
      </c>
      <c r="D520" s="1" t="s">
        <v>90</v>
      </c>
      <c r="E520" s="1">
        <v>2</v>
      </c>
      <c r="F520" s="1">
        <v>200</v>
      </c>
      <c r="G520" s="1">
        <v>1</v>
      </c>
      <c r="H520" s="1" t="s">
        <v>91</v>
      </c>
      <c r="I520" s="1" t="s">
        <v>79</v>
      </c>
      <c r="J520" s="1" t="s">
        <v>80</v>
      </c>
      <c r="K520" s="1" t="s">
        <v>74</v>
      </c>
      <c r="L520" s="1" t="s">
        <v>72</v>
      </c>
      <c r="M520" s="1" t="s">
        <v>75</v>
      </c>
      <c r="N520" s="1" t="s">
        <v>76</v>
      </c>
      <c r="O520" s="1" t="s">
        <v>77</v>
      </c>
      <c r="P520" s="1" t="s">
        <v>27</v>
      </c>
      <c r="Q520" s="1" t="s">
        <v>86</v>
      </c>
      <c r="R520" s="1" t="s">
        <v>94</v>
      </c>
      <c r="S520" s="1" t="s">
        <v>87</v>
      </c>
      <c r="T520" s="1" t="s">
        <v>88</v>
      </c>
      <c r="X520" s="1" t="s">
        <v>73</v>
      </c>
      <c r="Z520" s="1" t="s">
        <v>70</v>
      </c>
      <c r="AA520" s="1" t="s">
        <v>95</v>
      </c>
      <c r="AB520" s="1">
        <v>5</v>
      </c>
      <c r="AC520" s="1">
        <v>748829.52</v>
      </c>
      <c r="AD520" s="1">
        <v>8930494.0199999996</v>
      </c>
      <c r="AE520" s="1">
        <v>210.33</v>
      </c>
      <c r="AF520" s="1">
        <v>748829.52</v>
      </c>
      <c r="AG520" s="1">
        <v>8930494.0199999996</v>
      </c>
      <c r="AH520" s="1">
        <v>199.4</v>
      </c>
      <c r="AI520" s="1">
        <v>10.93</v>
      </c>
      <c r="AJ520" s="1">
        <v>0.6</v>
      </c>
      <c r="AK520" s="1">
        <v>2.97</v>
      </c>
      <c r="AL520" s="1">
        <v>2.58</v>
      </c>
      <c r="AM520" s="1">
        <v>0</v>
      </c>
      <c r="AN520" s="1">
        <v>0</v>
      </c>
      <c r="AO520" s="1">
        <v>279.95422539999998</v>
      </c>
      <c r="AP520" s="1">
        <v>3.24</v>
      </c>
      <c r="AQ520" s="1">
        <v>0.48</v>
      </c>
      <c r="AR520" s="1">
        <v>0.06</v>
      </c>
      <c r="AS520" s="1">
        <v>0.05</v>
      </c>
      <c r="AT520" s="1">
        <v>14.84</v>
      </c>
      <c r="AU520" s="1">
        <v>5.51</v>
      </c>
      <c r="AV520" s="1">
        <v>0.26</v>
      </c>
      <c r="AW520" s="1">
        <v>1.94</v>
      </c>
      <c r="AX520" s="1">
        <v>0.08</v>
      </c>
      <c r="AY520" s="1">
        <v>0</v>
      </c>
      <c r="AZ520" s="1">
        <v>108.181</v>
      </c>
      <c r="BA520" s="1">
        <v>0</v>
      </c>
      <c r="BB520" s="1">
        <v>0</v>
      </c>
      <c r="BC520" s="1">
        <v>0</v>
      </c>
      <c r="BD520" s="1">
        <v>0</v>
      </c>
    </row>
    <row r="521" spans="1:56">
      <c r="A521" s="18">
        <v>46192</v>
      </c>
      <c r="B521" s="1">
        <v>520</v>
      </c>
      <c r="C521" s="1" t="s">
        <v>89</v>
      </c>
      <c r="D521" s="1" t="s">
        <v>90</v>
      </c>
      <c r="E521" s="1">
        <v>2</v>
      </c>
      <c r="F521" s="1">
        <v>200</v>
      </c>
      <c r="G521" s="1">
        <v>1</v>
      </c>
      <c r="H521" s="1" t="s">
        <v>91</v>
      </c>
      <c r="I521" s="1" t="s">
        <v>79</v>
      </c>
      <c r="J521" s="1" t="s">
        <v>84</v>
      </c>
      <c r="K521" s="1" t="s">
        <v>74</v>
      </c>
      <c r="L521" s="1" t="s">
        <v>72</v>
      </c>
      <c r="M521" s="1" t="s">
        <v>75</v>
      </c>
      <c r="N521" s="1" t="s">
        <v>76</v>
      </c>
      <c r="O521" s="1" t="s">
        <v>77</v>
      </c>
      <c r="P521" s="1" t="s">
        <v>27</v>
      </c>
      <c r="Q521" s="1" t="s">
        <v>86</v>
      </c>
      <c r="R521" s="1" t="s">
        <v>94</v>
      </c>
      <c r="S521" s="1" t="s">
        <v>87</v>
      </c>
      <c r="T521" s="1" t="s">
        <v>88</v>
      </c>
      <c r="X521" s="1" t="s">
        <v>73</v>
      </c>
      <c r="Z521" s="1" t="s">
        <v>70</v>
      </c>
      <c r="AA521" s="1" t="s">
        <v>95</v>
      </c>
      <c r="AB521" s="1">
        <v>5</v>
      </c>
      <c r="AC521" s="1">
        <v>748831.12</v>
      </c>
      <c r="AD521" s="1">
        <v>8930491.5199999996</v>
      </c>
      <c r="AE521" s="1">
        <v>210.38</v>
      </c>
      <c r="AF521" s="1">
        <v>748831.12</v>
      </c>
      <c r="AG521" s="1">
        <v>8930491.5199999996</v>
      </c>
      <c r="AH521" s="1">
        <v>199.4</v>
      </c>
      <c r="AI521" s="1">
        <v>10.98</v>
      </c>
      <c r="AJ521" s="1">
        <v>0.6</v>
      </c>
      <c r="AK521" s="1">
        <v>2.97</v>
      </c>
      <c r="AL521" s="1">
        <v>2.58</v>
      </c>
      <c r="AM521" s="1">
        <v>0</v>
      </c>
      <c r="AN521" s="1">
        <v>0</v>
      </c>
      <c r="AO521" s="1">
        <v>279.95422539999998</v>
      </c>
      <c r="AP521" s="1">
        <v>3.09</v>
      </c>
      <c r="AQ521" s="1">
        <v>0.28000000000000003</v>
      </c>
      <c r="AR521" s="1">
        <v>0.04</v>
      </c>
      <c r="AS521" s="1">
        <v>0.03</v>
      </c>
      <c r="AT521" s="1">
        <v>9.52</v>
      </c>
      <c r="AU521" s="1">
        <v>3.7</v>
      </c>
      <c r="AV521" s="1">
        <v>0.15</v>
      </c>
      <c r="AW521" s="1">
        <v>1.38</v>
      </c>
      <c r="AX521" s="1">
        <v>0.03</v>
      </c>
      <c r="AY521" s="1">
        <v>0</v>
      </c>
      <c r="AZ521" s="1">
        <v>108.90900000000001</v>
      </c>
      <c r="BA521" s="1">
        <v>0</v>
      </c>
      <c r="BB521" s="1">
        <v>0</v>
      </c>
      <c r="BC521" s="1">
        <v>0</v>
      </c>
      <c r="BD521" s="1">
        <v>0</v>
      </c>
    </row>
    <row r="522" spans="1:56">
      <c r="A522" s="18">
        <v>46192</v>
      </c>
      <c r="B522" s="1">
        <v>521</v>
      </c>
      <c r="C522" s="1" t="s">
        <v>89</v>
      </c>
      <c r="D522" s="1" t="s">
        <v>90</v>
      </c>
      <c r="E522" s="1">
        <v>2</v>
      </c>
      <c r="F522" s="1">
        <v>200</v>
      </c>
      <c r="G522" s="1">
        <v>1</v>
      </c>
      <c r="H522" s="1" t="s">
        <v>91</v>
      </c>
      <c r="I522" s="1" t="s">
        <v>28</v>
      </c>
      <c r="J522" s="1" t="s">
        <v>71</v>
      </c>
      <c r="K522" s="1" t="s">
        <v>74</v>
      </c>
      <c r="L522" s="1" t="s">
        <v>72</v>
      </c>
      <c r="M522" s="1" t="s">
        <v>75</v>
      </c>
      <c r="N522" s="1" t="s">
        <v>76</v>
      </c>
      <c r="O522" s="1" t="s">
        <v>77</v>
      </c>
      <c r="P522" s="1" t="s">
        <v>27</v>
      </c>
      <c r="Q522" s="1" t="s">
        <v>86</v>
      </c>
      <c r="R522" s="1" t="s">
        <v>94</v>
      </c>
      <c r="S522" s="1" t="s">
        <v>87</v>
      </c>
      <c r="T522" s="1" t="s">
        <v>88</v>
      </c>
      <c r="X522" s="1" t="s">
        <v>73</v>
      </c>
      <c r="Z522" s="1" t="s">
        <v>70</v>
      </c>
      <c r="AA522" s="1" t="s">
        <v>95</v>
      </c>
      <c r="AB522" s="1">
        <v>5</v>
      </c>
      <c r="AC522" s="1">
        <v>748832.72</v>
      </c>
      <c r="AD522" s="1">
        <v>8930489.0199999996</v>
      </c>
      <c r="AE522" s="1">
        <v>210.57</v>
      </c>
      <c r="AF522" s="1">
        <v>748832.72</v>
      </c>
      <c r="AG522" s="1">
        <v>8930489.0199999996</v>
      </c>
      <c r="AH522" s="1">
        <v>199.4</v>
      </c>
      <c r="AI522" s="1">
        <v>11.17</v>
      </c>
      <c r="AJ522" s="1">
        <v>0.6</v>
      </c>
      <c r="AK522" s="1">
        <v>2.97</v>
      </c>
      <c r="AL522" s="1">
        <v>2.58</v>
      </c>
      <c r="AM522" s="1">
        <v>0</v>
      </c>
      <c r="AN522" s="1">
        <v>0</v>
      </c>
      <c r="AO522" s="1">
        <v>279.95422539999998</v>
      </c>
      <c r="AP522" s="1">
        <v>2.9</v>
      </c>
      <c r="AQ522" s="1">
        <v>7.0000000000000007E-2</v>
      </c>
      <c r="AR522" s="1">
        <v>0.01</v>
      </c>
      <c r="AS522" s="1">
        <v>0.01</v>
      </c>
      <c r="AT522" s="1">
        <v>2.78</v>
      </c>
      <c r="AU522" s="1">
        <v>1.1399999999999999</v>
      </c>
      <c r="AV522" s="1">
        <v>0.04</v>
      </c>
      <c r="AW522" s="1">
        <v>0.46</v>
      </c>
      <c r="AX522" s="1">
        <v>0</v>
      </c>
      <c r="AY522" s="1">
        <v>0</v>
      </c>
      <c r="AZ522" s="1">
        <v>111.675</v>
      </c>
      <c r="BA522" s="1">
        <v>0</v>
      </c>
      <c r="BB522" s="1">
        <v>0</v>
      </c>
      <c r="BC522" s="1">
        <v>0</v>
      </c>
      <c r="BD522" s="1">
        <v>0</v>
      </c>
    </row>
    <row r="523" spans="1:56">
      <c r="A523" s="18">
        <v>46192</v>
      </c>
      <c r="B523" s="1">
        <v>522</v>
      </c>
      <c r="C523" s="1" t="s">
        <v>89</v>
      </c>
      <c r="D523" s="1" t="s">
        <v>90</v>
      </c>
      <c r="E523" s="1">
        <v>2</v>
      </c>
      <c r="F523" s="1">
        <v>200</v>
      </c>
      <c r="G523" s="1">
        <v>1</v>
      </c>
      <c r="H523" s="1" t="s">
        <v>91</v>
      </c>
      <c r="I523" s="1" t="s">
        <v>28</v>
      </c>
      <c r="J523" s="1" t="s">
        <v>71</v>
      </c>
      <c r="K523" s="1" t="s">
        <v>74</v>
      </c>
      <c r="L523" s="1" t="s">
        <v>72</v>
      </c>
      <c r="M523" s="1" t="s">
        <v>75</v>
      </c>
      <c r="N523" s="1" t="s">
        <v>76</v>
      </c>
      <c r="O523" s="1" t="s">
        <v>77</v>
      </c>
      <c r="P523" s="1" t="s">
        <v>27</v>
      </c>
      <c r="Q523" s="1" t="s">
        <v>86</v>
      </c>
      <c r="R523" s="1" t="s">
        <v>94</v>
      </c>
      <c r="S523" s="1" t="s">
        <v>87</v>
      </c>
      <c r="T523" s="1" t="s">
        <v>88</v>
      </c>
      <c r="X523" s="1" t="s">
        <v>73</v>
      </c>
      <c r="Z523" s="1" t="s">
        <v>70</v>
      </c>
      <c r="AA523" s="1" t="s">
        <v>95</v>
      </c>
      <c r="AB523" s="1">
        <v>5</v>
      </c>
      <c r="AC523" s="1">
        <v>748831.83</v>
      </c>
      <c r="AD523" s="1">
        <v>8930485.7699999996</v>
      </c>
      <c r="AE523" s="1">
        <v>210.4</v>
      </c>
      <c r="AF523" s="1">
        <v>748831.83</v>
      </c>
      <c r="AG523" s="1">
        <v>8930485.7699999996</v>
      </c>
      <c r="AH523" s="1">
        <v>199.4</v>
      </c>
      <c r="AI523" s="1">
        <v>11</v>
      </c>
      <c r="AJ523" s="1">
        <v>0.6</v>
      </c>
      <c r="AK523" s="1">
        <v>2.97</v>
      </c>
      <c r="AL523" s="1">
        <v>2.58</v>
      </c>
      <c r="AM523" s="1">
        <v>0</v>
      </c>
      <c r="AN523" s="1">
        <v>0</v>
      </c>
      <c r="AO523" s="1">
        <v>279.95422539999998</v>
      </c>
      <c r="AP523" s="1">
        <v>2.95</v>
      </c>
      <c r="AQ523" s="1">
        <v>0.15</v>
      </c>
      <c r="AR523" s="1">
        <v>0.02</v>
      </c>
      <c r="AS523" s="1">
        <v>0.02</v>
      </c>
      <c r="AT523" s="1">
        <v>4.9000000000000004</v>
      </c>
      <c r="AU523" s="1">
        <v>1.81</v>
      </c>
      <c r="AV523" s="1">
        <v>0.09</v>
      </c>
      <c r="AW523" s="1">
        <v>0.54</v>
      </c>
      <c r="AX523" s="1">
        <v>0.3</v>
      </c>
      <c r="AY523" s="1">
        <v>0</v>
      </c>
      <c r="AZ523" s="1">
        <v>109.2</v>
      </c>
      <c r="BA523" s="1">
        <v>0</v>
      </c>
      <c r="BB523" s="1">
        <v>0</v>
      </c>
      <c r="BC523" s="1">
        <v>0</v>
      </c>
      <c r="BD523" s="1">
        <v>0</v>
      </c>
    </row>
    <row r="524" spans="1:56">
      <c r="A524" s="18">
        <v>46192</v>
      </c>
      <c r="B524" s="1">
        <v>523</v>
      </c>
      <c r="C524" s="1" t="s">
        <v>89</v>
      </c>
      <c r="D524" s="1" t="s">
        <v>90</v>
      </c>
      <c r="E524" s="1">
        <v>2</v>
      </c>
      <c r="F524" s="1">
        <v>200</v>
      </c>
      <c r="G524" s="1">
        <v>1</v>
      </c>
      <c r="H524" s="1" t="s">
        <v>91</v>
      </c>
      <c r="I524" s="1" t="s">
        <v>79</v>
      </c>
      <c r="J524" s="1" t="s">
        <v>80</v>
      </c>
      <c r="K524" s="1" t="s">
        <v>74</v>
      </c>
      <c r="L524" s="1" t="s">
        <v>72</v>
      </c>
      <c r="M524" s="1" t="s">
        <v>75</v>
      </c>
      <c r="N524" s="1" t="s">
        <v>76</v>
      </c>
      <c r="O524" s="1" t="s">
        <v>77</v>
      </c>
      <c r="P524" s="1" t="s">
        <v>27</v>
      </c>
      <c r="Q524" s="1" t="s">
        <v>86</v>
      </c>
      <c r="R524" s="1" t="s">
        <v>94</v>
      </c>
      <c r="S524" s="1" t="s">
        <v>87</v>
      </c>
      <c r="T524" s="1" t="s">
        <v>88</v>
      </c>
      <c r="X524" s="1" t="s">
        <v>73</v>
      </c>
      <c r="Z524" s="1" t="s">
        <v>70</v>
      </c>
      <c r="AA524" s="1" t="s">
        <v>95</v>
      </c>
      <c r="AB524" s="1">
        <v>5</v>
      </c>
      <c r="AC524" s="1">
        <v>748830.11</v>
      </c>
      <c r="AD524" s="1">
        <v>8930488.3000000007</v>
      </c>
      <c r="AE524" s="1">
        <v>210.36</v>
      </c>
      <c r="AF524" s="1">
        <v>748830.11</v>
      </c>
      <c r="AG524" s="1">
        <v>8930488.3000000007</v>
      </c>
      <c r="AH524" s="1">
        <v>199.4</v>
      </c>
      <c r="AI524" s="1">
        <v>10.96</v>
      </c>
      <c r="AJ524" s="1">
        <v>0.6</v>
      </c>
      <c r="AK524" s="1">
        <v>2.97</v>
      </c>
      <c r="AL524" s="1">
        <v>2.58</v>
      </c>
      <c r="AM524" s="1">
        <v>0</v>
      </c>
      <c r="AN524" s="1">
        <v>0</v>
      </c>
      <c r="AO524" s="1">
        <v>279.95422539999998</v>
      </c>
      <c r="AP524" s="1">
        <v>3.2</v>
      </c>
      <c r="AQ524" s="1">
        <v>0.43</v>
      </c>
      <c r="AR524" s="1">
        <v>0.06</v>
      </c>
      <c r="AS524" s="1">
        <v>0.05</v>
      </c>
      <c r="AT524" s="1">
        <v>13.06</v>
      </c>
      <c r="AU524" s="1">
        <v>4.5199999999999996</v>
      </c>
      <c r="AV524" s="1">
        <v>0.24</v>
      </c>
      <c r="AW524" s="1">
        <v>1.39</v>
      </c>
      <c r="AX524" s="1">
        <v>4.38</v>
      </c>
      <c r="AY524" s="1">
        <v>0</v>
      </c>
      <c r="AZ524" s="1">
        <v>108.61799999999999</v>
      </c>
      <c r="BA524" s="1">
        <v>0</v>
      </c>
      <c r="BB524" s="1">
        <v>0</v>
      </c>
      <c r="BC524" s="1">
        <v>0</v>
      </c>
      <c r="BD524" s="1">
        <v>0</v>
      </c>
    </row>
    <row r="525" spans="1:56">
      <c r="A525" s="18">
        <v>46192</v>
      </c>
      <c r="B525" s="1">
        <v>524</v>
      </c>
      <c r="C525" s="1" t="s">
        <v>89</v>
      </c>
      <c r="D525" s="1" t="s">
        <v>90</v>
      </c>
      <c r="E525" s="1">
        <v>2</v>
      </c>
      <c r="F525" s="1">
        <v>200</v>
      </c>
      <c r="G525" s="1">
        <v>1</v>
      </c>
      <c r="H525" s="1" t="s">
        <v>91</v>
      </c>
      <c r="I525" s="1" t="s">
        <v>79</v>
      </c>
      <c r="J525" s="1" t="s">
        <v>80</v>
      </c>
      <c r="K525" s="1" t="s">
        <v>74</v>
      </c>
      <c r="L525" s="1" t="s">
        <v>72</v>
      </c>
      <c r="M525" s="1" t="s">
        <v>75</v>
      </c>
      <c r="N525" s="1" t="s">
        <v>76</v>
      </c>
      <c r="O525" s="1" t="s">
        <v>77</v>
      </c>
      <c r="P525" s="1" t="s">
        <v>27</v>
      </c>
      <c r="Q525" s="1" t="s">
        <v>86</v>
      </c>
      <c r="R525" s="1" t="s">
        <v>94</v>
      </c>
      <c r="S525" s="1" t="s">
        <v>87</v>
      </c>
      <c r="T525" s="1" t="s">
        <v>88</v>
      </c>
      <c r="X525" s="1" t="s">
        <v>73</v>
      </c>
      <c r="Z525" s="1" t="s">
        <v>70</v>
      </c>
      <c r="AA525" s="1" t="s">
        <v>95</v>
      </c>
      <c r="AB525" s="1">
        <v>5</v>
      </c>
      <c r="AC525" s="1">
        <v>748828.51</v>
      </c>
      <c r="AD525" s="1">
        <v>8930490.8000000007</v>
      </c>
      <c r="AE525" s="1">
        <v>210.4</v>
      </c>
      <c r="AF525" s="1">
        <v>748828.51</v>
      </c>
      <c r="AG525" s="1">
        <v>8930490.8000000007</v>
      </c>
      <c r="AH525" s="1">
        <v>199.4</v>
      </c>
      <c r="AI525" s="1">
        <v>11</v>
      </c>
      <c r="AJ525" s="1">
        <v>0.6</v>
      </c>
      <c r="AK525" s="1">
        <v>2.97</v>
      </c>
      <c r="AL525" s="1">
        <v>2.58</v>
      </c>
      <c r="AM525" s="1">
        <v>0</v>
      </c>
      <c r="AN525" s="1">
        <v>0</v>
      </c>
      <c r="AO525" s="1">
        <v>279.95422539999998</v>
      </c>
      <c r="AP525" s="1">
        <v>3.33</v>
      </c>
      <c r="AQ525" s="1">
        <v>0.6</v>
      </c>
      <c r="AR525" s="1">
        <v>0.08</v>
      </c>
      <c r="AS525" s="1">
        <v>7.0000000000000007E-2</v>
      </c>
      <c r="AT525" s="1">
        <v>17.16</v>
      </c>
      <c r="AU525" s="1">
        <v>5.9</v>
      </c>
      <c r="AV525" s="1">
        <v>0.34</v>
      </c>
      <c r="AW525" s="1">
        <v>1.77</v>
      </c>
      <c r="AX525" s="1">
        <v>2.54</v>
      </c>
      <c r="AY525" s="1">
        <v>0</v>
      </c>
      <c r="AZ525" s="1">
        <v>109.2</v>
      </c>
      <c r="BA525" s="1">
        <v>0</v>
      </c>
      <c r="BB525" s="1">
        <v>0</v>
      </c>
      <c r="BC525" s="1">
        <v>0</v>
      </c>
      <c r="BD525" s="1">
        <v>0</v>
      </c>
    </row>
    <row r="526" spans="1:56">
      <c r="A526" s="18">
        <v>46192</v>
      </c>
      <c r="B526" s="1">
        <v>525</v>
      </c>
      <c r="C526" s="1" t="s">
        <v>89</v>
      </c>
      <c r="D526" s="1" t="s">
        <v>90</v>
      </c>
      <c r="E526" s="1">
        <v>2</v>
      </c>
      <c r="F526" s="1">
        <v>200</v>
      </c>
      <c r="G526" s="1">
        <v>1</v>
      </c>
      <c r="H526" s="1" t="s">
        <v>91</v>
      </c>
      <c r="I526" s="1" t="s">
        <v>79</v>
      </c>
      <c r="J526" s="1" t="s">
        <v>80</v>
      </c>
      <c r="K526" s="1" t="s">
        <v>74</v>
      </c>
      <c r="L526" s="1" t="s">
        <v>72</v>
      </c>
      <c r="M526" s="1" t="s">
        <v>75</v>
      </c>
      <c r="N526" s="1" t="s">
        <v>76</v>
      </c>
      <c r="O526" s="1" t="s">
        <v>77</v>
      </c>
      <c r="P526" s="1" t="s">
        <v>27</v>
      </c>
      <c r="Q526" s="1" t="s">
        <v>86</v>
      </c>
      <c r="R526" s="1" t="s">
        <v>94</v>
      </c>
      <c r="S526" s="1" t="s">
        <v>87</v>
      </c>
      <c r="T526" s="1" t="s">
        <v>88</v>
      </c>
      <c r="X526" s="1" t="s">
        <v>73</v>
      </c>
      <c r="Z526" s="1" t="s">
        <v>70</v>
      </c>
      <c r="AA526" s="1" t="s">
        <v>95</v>
      </c>
      <c r="AB526" s="1">
        <v>5</v>
      </c>
      <c r="AC526" s="1">
        <v>748826.91</v>
      </c>
      <c r="AD526" s="1">
        <v>8930493.3000000007</v>
      </c>
      <c r="AE526" s="1">
        <v>210.34</v>
      </c>
      <c r="AF526" s="1">
        <v>748826.91</v>
      </c>
      <c r="AG526" s="1">
        <v>8930493.3000000007</v>
      </c>
      <c r="AH526" s="1">
        <v>199.4</v>
      </c>
      <c r="AI526" s="1">
        <v>10.94</v>
      </c>
      <c r="AJ526" s="1">
        <v>0.6</v>
      </c>
      <c r="AK526" s="1">
        <v>2.97</v>
      </c>
      <c r="AL526" s="1">
        <v>2.58</v>
      </c>
      <c r="AM526" s="1">
        <v>0</v>
      </c>
      <c r="AN526" s="1">
        <v>0</v>
      </c>
      <c r="AO526" s="1">
        <v>279.95422539999998</v>
      </c>
      <c r="AP526" s="1">
        <v>3.35</v>
      </c>
      <c r="AQ526" s="1">
        <v>0.64</v>
      </c>
      <c r="AR526" s="1">
        <v>0.09</v>
      </c>
      <c r="AS526" s="1">
        <v>7.0000000000000007E-2</v>
      </c>
      <c r="AT526" s="1">
        <v>17.989999999999998</v>
      </c>
      <c r="AU526" s="1">
        <v>6.16</v>
      </c>
      <c r="AV526" s="1">
        <v>0.37</v>
      </c>
      <c r="AW526" s="1">
        <v>1.74</v>
      </c>
      <c r="AX526" s="1">
        <v>0.33</v>
      </c>
      <c r="AY526" s="1">
        <v>0</v>
      </c>
      <c r="AZ526" s="1">
        <v>108.32599999999999</v>
      </c>
      <c r="BA526" s="1">
        <v>0</v>
      </c>
      <c r="BB526" s="1">
        <v>0</v>
      </c>
      <c r="BC526" s="1">
        <v>0</v>
      </c>
      <c r="BD526" s="1">
        <v>0</v>
      </c>
    </row>
    <row r="527" spans="1:56">
      <c r="A527" s="18">
        <v>46192</v>
      </c>
      <c r="B527" s="1">
        <v>526</v>
      </c>
      <c r="C527" s="1" t="s">
        <v>89</v>
      </c>
      <c r="D527" s="1" t="s">
        <v>90</v>
      </c>
      <c r="E527" s="1">
        <v>2</v>
      </c>
      <c r="F527" s="1">
        <v>200</v>
      </c>
      <c r="G527" s="1">
        <v>1</v>
      </c>
      <c r="H527" s="1" t="s">
        <v>91</v>
      </c>
      <c r="I527" s="1" t="s">
        <v>79</v>
      </c>
      <c r="J527" s="1" t="s">
        <v>80</v>
      </c>
      <c r="K527" s="1" t="s">
        <v>74</v>
      </c>
      <c r="L527" s="1" t="s">
        <v>72</v>
      </c>
      <c r="M527" s="1" t="s">
        <v>75</v>
      </c>
      <c r="N527" s="1" t="s">
        <v>76</v>
      </c>
      <c r="O527" s="1" t="s">
        <v>77</v>
      </c>
      <c r="P527" s="1" t="s">
        <v>27</v>
      </c>
      <c r="Q527" s="1" t="s">
        <v>86</v>
      </c>
      <c r="R527" s="1" t="s">
        <v>94</v>
      </c>
      <c r="S527" s="1" t="s">
        <v>87</v>
      </c>
      <c r="T527" s="1" t="s">
        <v>88</v>
      </c>
      <c r="X527" s="1" t="s">
        <v>73</v>
      </c>
      <c r="Z527" s="1" t="s">
        <v>70</v>
      </c>
      <c r="AA527" s="1" t="s">
        <v>95</v>
      </c>
      <c r="AB527" s="1">
        <v>5</v>
      </c>
      <c r="AC527" s="1">
        <v>748825.31</v>
      </c>
      <c r="AD527" s="1">
        <v>8930495.8000000007</v>
      </c>
      <c r="AE527" s="1">
        <v>210.31</v>
      </c>
      <c r="AF527" s="1">
        <v>748825.31</v>
      </c>
      <c r="AG527" s="1">
        <v>8930495.8000000007</v>
      </c>
      <c r="AH527" s="1">
        <v>199.4</v>
      </c>
      <c r="AI527" s="1">
        <v>10.91</v>
      </c>
      <c r="AJ527" s="1">
        <v>0.6</v>
      </c>
      <c r="AK527" s="1">
        <v>2.97</v>
      </c>
      <c r="AL527" s="1">
        <v>2.58</v>
      </c>
      <c r="AM527" s="1">
        <v>0</v>
      </c>
      <c r="AN527" s="1">
        <v>0</v>
      </c>
      <c r="AO527" s="1">
        <v>279.95422539999998</v>
      </c>
      <c r="AP527" s="1">
        <v>3.35</v>
      </c>
      <c r="AQ527" s="1">
        <v>0.64</v>
      </c>
      <c r="AR527" s="1">
        <v>0.09</v>
      </c>
      <c r="AS527" s="1">
        <v>7.0000000000000007E-2</v>
      </c>
      <c r="AT527" s="1">
        <v>18.03</v>
      </c>
      <c r="AU527" s="1">
        <v>6.17</v>
      </c>
      <c r="AV527" s="1">
        <v>0.37</v>
      </c>
      <c r="AW527" s="1">
        <v>1.74</v>
      </c>
      <c r="AX527" s="1">
        <v>0.32</v>
      </c>
      <c r="AY527" s="1">
        <v>0</v>
      </c>
      <c r="AZ527" s="1">
        <v>107.89</v>
      </c>
      <c r="BA527" s="1">
        <v>0</v>
      </c>
      <c r="BB527" s="1">
        <v>0</v>
      </c>
      <c r="BC527" s="1">
        <v>0</v>
      </c>
      <c r="BD527" s="1">
        <v>0</v>
      </c>
    </row>
    <row r="528" spans="1:56">
      <c r="A528" s="18">
        <v>46192</v>
      </c>
      <c r="B528" s="1">
        <v>527</v>
      </c>
      <c r="C528" s="1" t="s">
        <v>89</v>
      </c>
      <c r="D528" s="1" t="s">
        <v>90</v>
      </c>
      <c r="E528" s="1">
        <v>2</v>
      </c>
      <c r="F528" s="1">
        <v>200</v>
      </c>
      <c r="G528" s="1">
        <v>1</v>
      </c>
      <c r="H528" s="1" t="s">
        <v>91</v>
      </c>
      <c r="I528" s="1" t="s">
        <v>79</v>
      </c>
      <c r="J528" s="1" t="s">
        <v>80</v>
      </c>
      <c r="K528" s="1" t="s">
        <v>74</v>
      </c>
      <c r="L528" s="1" t="s">
        <v>72</v>
      </c>
      <c r="M528" s="1" t="s">
        <v>75</v>
      </c>
      <c r="N528" s="1" t="s">
        <v>76</v>
      </c>
      <c r="O528" s="1" t="s">
        <v>77</v>
      </c>
      <c r="P528" s="1" t="s">
        <v>27</v>
      </c>
      <c r="Q528" s="1" t="s">
        <v>86</v>
      </c>
      <c r="R528" s="1" t="s">
        <v>94</v>
      </c>
      <c r="S528" s="1" t="s">
        <v>87</v>
      </c>
      <c r="T528" s="1" t="s">
        <v>88</v>
      </c>
      <c r="X528" s="1" t="s">
        <v>73</v>
      </c>
      <c r="Z528" s="1" t="s">
        <v>70</v>
      </c>
      <c r="AA528" s="1" t="s">
        <v>95</v>
      </c>
      <c r="AB528" s="1">
        <v>5</v>
      </c>
      <c r="AC528" s="1">
        <v>748823.7</v>
      </c>
      <c r="AD528" s="1">
        <v>8930498.3100000005</v>
      </c>
      <c r="AE528" s="1">
        <v>210.24</v>
      </c>
      <c r="AF528" s="1">
        <v>748823.7</v>
      </c>
      <c r="AG528" s="1">
        <v>8930498.3100000005</v>
      </c>
      <c r="AH528" s="1">
        <v>199.4</v>
      </c>
      <c r="AI528" s="1">
        <v>10.84</v>
      </c>
      <c r="AJ528" s="1">
        <v>0.6</v>
      </c>
      <c r="AK528" s="1">
        <v>2.97</v>
      </c>
      <c r="AL528" s="1">
        <v>2.58</v>
      </c>
      <c r="AM528" s="1">
        <v>0</v>
      </c>
      <c r="AN528" s="1">
        <v>0</v>
      </c>
      <c r="AO528" s="1">
        <v>279.95422539999998</v>
      </c>
      <c r="AP528" s="1">
        <v>3.35</v>
      </c>
      <c r="AQ528" s="1">
        <v>0.65</v>
      </c>
      <c r="AR528" s="1">
        <v>0.09</v>
      </c>
      <c r="AS528" s="1">
        <v>7.0000000000000007E-2</v>
      </c>
      <c r="AT528" s="1">
        <v>18.09</v>
      </c>
      <c r="AU528" s="1">
        <v>6.14</v>
      </c>
      <c r="AV528" s="1">
        <v>0.37</v>
      </c>
      <c r="AW528" s="1">
        <v>1.74</v>
      </c>
      <c r="AX528" s="1">
        <v>0.24</v>
      </c>
      <c r="AY528" s="1">
        <v>0</v>
      </c>
      <c r="AZ528" s="1">
        <v>106.87</v>
      </c>
      <c r="BA528" s="1">
        <v>0</v>
      </c>
      <c r="BB528" s="1">
        <v>0</v>
      </c>
      <c r="BC528" s="1">
        <v>0</v>
      </c>
      <c r="BD528" s="1">
        <v>0</v>
      </c>
    </row>
    <row r="529" spans="1:56">
      <c r="A529" s="18">
        <v>46192</v>
      </c>
      <c r="B529" s="1">
        <v>528</v>
      </c>
      <c r="C529" s="1" t="s">
        <v>89</v>
      </c>
      <c r="D529" s="1" t="s">
        <v>90</v>
      </c>
      <c r="E529" s="1">
        <v>2</v>
      </c>
      <c r="F529" s="1">
        <v>200</v>
      </c>
      <c r="G529" s="1">
        <v>1</v>
      </c>
      <c r="H529" s="1" t="s">
        <v>91</v>
      </c>
      <c r="I529" s="1" t="s">
        <v>79</v>
      </c>
      <c r="J529" s="1" t="s">
        <v>80</v>
      </c>
      <c r="K529" s="1" t="s">
        <v>74</v>
      </c>
      <c r="L529" s="1" t="s">
        <v>72</v>
      </c>
      <c r="M529" s="1" t="s">
        <v>75</v>
      </c>
      <c r="N529" s="1" t="s">
        <v>76</v>
      </c>
      <c r="O529" s="1" t="s">
        <v>77</v>
      </c>
      <c r="P529" s="1" t="s">
        <v>27</v>
      </c>
      <c r="Q529" s="1" t="s">
        <v>86</v>
      </c>
      <c r="R529" s="1" t="s">
        <v>94</v>
      </c>
      <c r="S529" s="1" t="s">
        <v>87</v>
      </c>
      <c r="T529" s="1" t="s">
        <v>88</v>
      </c>
      <c r="X529" s="1" t="s">
        <v>73</v>
      </c>
      <c r="Z529" s="1" t="s">
        <v>70</v>
      </c>
      <c r="AA529" s="1" t="s">
        <v>95</v>
      </c>
      <c r="AB529" s="1">
        <v>5</v>
      </c>
      <c r="AC529" s="1">
        <v>748822.1</v>
      </c>
      <c r="AD529" s="1">
        <v>8930500.8100000005</v>
      </c>
      <c r="AE529" s="1">
        <v>210.41</v>
      </c>
      <c r="AF529" s="1">
        <v>748822.1</v>
      </c>
      <c r="AG529" s="1">
        <v>8930500.8100000005</v>
      </c>
      <c r="AH529" s="1">
        <v>199.4</v>
      </c>
      <c r="AI529" s="1">
        <v>11.01</v>
      </c>
      <c r="AJ529" s="1">
        <v>0.6</v>
      </c>
      <c r="AK529" s="1">
        <v>2.97</v>
      </c>
      <c r="AL529" s="1">
        <v>2.58</v>
      </c>
      <c r="AM529" s="1">
        <v>0</v>
      </c>
      <c r="AN529" s="1">
        <v>0</v>
      </c>
      <c r="AO529" s="1">
        <v>279.95422539999998</v>
      </c>
      <c r="AP529" s="1">
        <v>3.29</v>
      </c>
      <c r="AQ529" s="1">
        <v>0.66</v>
      </c>
      <c r="AR529" s="1">
        <v>0.1</v>
      </c>
      <c r="AS529" s="1">
        <v>7.0000000000000007E-2</v>
      </c>
      <c r="AT529" s="1">
        <v>18.73</v>
      </c>
      <c r="AU529" s="1">
        <v>5.76</v>
      </c>
      <c r="AV529" s="1">
        <v>0.38</v>
      </c>
      <c r="AW529" s="1">
        <v>1.74</v>
      </c>
      <c r="AX529" s="1">
        <v>0.43</v>
      </c>
      <c r="AY529" s="1">
        <v>0</v>
      </c>
      <c r="AZ529" s="1">
        <v>109.346</v>
      </c>
      <c r="BA529" s="1">
        <v>0</v>
      </c>
      <c r="BB529" s="1">
        <v>0</v>
      </c>
      <c r="BC529" s="1">
        <v>0</v>
      </c>
      <c r="BD529" s="1">
        <v>0</v>
      </c>
    </row>
    <row r="530" spans="1:56">
      <c r="A530" s="18">
        <v>46192</v>
      </c>
      <c r="B530" s="1">
        <v>529</v>
      </c>
      <c r="C530" s="1" t="s">
        <v>89</v>
      </c>
      <c r="D530" s="1" t="s">
        <v>90</v>
      </c>
      <c r="E530" s="1">
        <v>2</v>
      </c>
      <c r="F530" s="1">
        <v>200</v>
      </c>
      <c r="G530" s="1">
        <v>1</v>
      </c>
      <c r="H530" s="1" t="s">
        <v>91</v>
      </c>
      <c r="I530" s="1" t="s">
        <v>79</v>
      </c>
      <c r="J530" s="1" t="s">
        <v>80</v>
      </c>
      <c r="K530" s="1" t="s">
        <v>74</v>
      </c>
      <c r="L530" s="1" t="s">
        <v>72</v>
      </c>
      <c r="M530" s="1" t="s">
        <v>75</v>
      </c>
      <c r="N530" s="1" t="s">
        <v>76</v>
      </c>
      <c r="O530" s="1" t="s">
        <v>77</v>
      </c>
      <c r="P530" s="1" t="s">
        <v>27</v>
      </c>
      <c r="Q530" s="1" t="s">
        <v>86</v>
      </c>
      <c r="R530" s="1" t="s">
        <v>94</v>
      </c>
      <c r="S530" s="1" t="s">
        <v>87</v>
      </c>
      <c r="T530" s="1" t="s">
        <v>88</v>
      </c>
      <c r="X530" s="1" t="s">
        <v>73</v>
      </c>
      <c r="Z530" s="1" t="s">
        <v>70</v>
      </c>
      <c r="AA530" s="1" t="s">
        <v>95</v>
      </c>
      <c r="AB530" s="1">
        <v>5</v>
      </c>
      <c r="AC530" s="1">
        <v>748820.5</v>
      </c>
      <c r="AD530" s="1">
        <v>8930503.3100000005</v>
      </c>
      <c r="AE530" s="1">
        <v>210.3</v>
      </c>
      <c r="AF530" s="1">
        <v>748820.5</v>
      </c>
      <c r="AG530" s="1">
        <v>8930503.3100000005</v>
      </c>
      <c r="AH530" s="1">
        <v>199.4</v>
      </c>
      <c r="AI530" s="1">
        <v>10.9</v>
      </c>
      <c r="AJ530" s="1">
        <v>0.6</v>
      </c>
      <c r="AK530" s="1">
        <v>2.97</v>
      </c>
      <c r="AL530" s="1">
        <v>2.58</v>
      </c>
      <c r="AM530" s="1">
        <v>0</v>
      </c>
      <c r="AN530" s="1">
        <v>0</v>
      </c>
      <c r="AO530" s="1">
        <v>279.95422539999998</v>
      </c>
      <c r="AP530" s="1">
        <v>3.28</v>
      </c>
      <c r="AQ530" s="1">
        <v>0.68</v>
      </c>
      <c r="AR530" s="1">
        <v>0.1</v>
      </c>
      <c r="AS530" s="1">
        <v>0.08</v>
      </c>
      <c r="AT530" s="1">
        <v>19.25</v>
      </c>
      <c r="AU530" s="1">
        <v>5.46</v>
      </c>
      <c r="AV530" s="1">
        <v>0.38</v>
      </c>
      <c r="AW530" s="1">
        <v>1.79</v>
      </c>
      <c r="AX530" s="1">
        <v>3.04</v>
      </c>
      <c r="AY530" s="1">
        <v>0</v>
      </c>
      <c r="AZ530" s="1">
        <v>107.744</v>
      </c>
      <c r="BA530" s="1">
        <v>0</v>
      </c>
      <c r="BB530" s="1">
        <v>0</v>
      </c>
      <c r="BC530" s="1">
        <v>0</v>
      </c>
      <c r="BD530" s="1">
        <v>0</v>
      </c>
    </row>
    <row r="531" spans="1:56">
      <c r="A531" s="18">
        <v>46192</v>
      </c>
      <c r="B531" s="1">
        <v>530</v>
      </c>
      <c r="C531" s="1" t="s">
        <v>89</v>
      </c>
      <c r="D531" s="1" t="s">
        <v>90</v>
      </c>
      <c r="E531" s="1">
        <v>2</v>
      </c>
      <c r="F531" s="1">
        <v>200</v>
      </c>
      <c r="G531" s="1">
        <v>1</v>
      </c>
      <c r="H531" s="1" t="s">
        <v>91</v>
      </c>
      <c r="I531" s="1" t="s">
        <v>79</v>
      </c>
      <c r="J531" s="1" t="s">
        <v>81</v>
      </c>
      <c r="K531" s="1" t="s">
        <v>74</v>
      </c>
      <c r="L531" s="1" t="s">
        <v>72</v>
      </c>
      <c r="M531" s="1" t="s">
        <v>75</v>
      </c>
      <c r="N531" s="1" t="s">
        <v>76</v>
      </c>
      <c r="O531" s="1" t="s">
        <v>77</v>
      </c>
      <c r="P531" s="1" t="s">
        <v>27</v>
      </c>
      <c r="Q531" s="1" t="s">
        <v>86</v>
      </c>
      <c r="R531" s="1" t="s">
        <v>94</v>
      </c>
      <c r="S531" s="1" t="s">
        <v>87</v>
      </c>
      <c r="T531" s="1" t="s">
        <v>88</v>
      </c>
      <c r="X531" s="1" t="s">
        <v>73</v>
      </c>
      <c r="Z531" s="1" t="s">
        <v>70</v>
      </c>
      <c r="AA531" s="1" t="s">
        <v>95</v>
      </c>
      <c r="AB531" s="1">
        <v>5</v>
      </c>
      <c r="AC531" s="1">
        <v>748818.89</v>
      </c>
      <c r="AD531" s="1">
        <v>8930505.8100000005</v>
      </c>
      <c r="AE531" s="1">
        <v>210.26</v>
      </c>
      <c r="AF531" s="1">
        <v>748818.89</v>
      </c>
      <c r="AG531" s="1">
        <v>8930505.8100000005</v>
      </c>
      <c r="AH531" s="1">
        <v>199.4</v>
      </c>
      <c r="AI531" s="1">
        <v>10.86</v>
      </c>
      <c r="AJ531" s="1">
        <v>0.6</v>
      </c>
      <c r="AK531" s="1">
        <v>2.97</v>
      </c>
      <c r="AL531" s="1">
        <v>2.58</v>
      </c>
      <c r="AM531" s="1">
        <v>0</v>
      </c>
      <c r="AN531" s="1">
        <v>0</v>
      </c>
      <c r="AO531" s="1">
        <v>279.95422539999998</v>
      </c>
      <c r="AP531" s="1">
        <v>3.29</v>
      </c>
      <c r="AQ531" s="1">
        <v>0.7</v>
      </c>
      <c r="AR531" s="1">
        <v>0.11</v>
      </c>
      <c r="AS531" s="1">
        <v>0.08</v>
      </c>
      <c r="AT531" s="1">
        <v>19.59</v>
      </c>
      <c r="AU531" s="1">
        <v>5.27</v>
      </c>
      <c r="AV531" s="1">
        <v>0.38</v>
      </c>
      <c r="AW531" s="1">
        <v>1.85</v>
      </c>
      <c r="AX531" s="1">
        <v>6.63</v>
      </c>
      <c r="AY531" s="1">
        <v>0</v>
      </c>
      <c r="AZ531" s="1">
        <v>107.16200000000001</v>
      </c>
      <c r="BA531" s="1">
        <v>0</v>
      </c>
      <c r="BB531" s="1">
        <v>0</v>
      </c>
      <c r="BC531" s="1">
        <v>0</v>
      </c>
      <c r="BD531" s="1">
        <v>0</v>
      </c>
    </row>
    <row r="532" spans="1:56">
      <c r="A532" s="18">
        <v>46192</v>
      </c>
      <c r="B532" s="1">
        <v>531</v>
      </c>
      <c r="C532" s="1" t="s">
        <v>89</v>
      </c>
      <c r="D532" s="1" t="s">
        <v>90</v>
      </c>
      <c r="E532" s="1">
        <v>2</v>
      </c>
      <c r="F532" s="1">
        <v>200</v>
      </c>
      <c r="G532" s="1">
        <v>1</v>
      </c>
      <c r="H532" s="1" t="s">
        <v>91</v>
      </c>
      <c r="I532" s="1" t="s">
        <v>79</v>
      </c>
      <c r="J532" s="1" t="s">
        <v>81</v>
      </c>
      <c r="K532" s="1" t="s">
        <v>74</v>
      </c>
      <c r="L532" s="1" t="s">
        <v>72</v>
      </c>
      <c r="M532" s="1" t="s">
        <v>75</v>
      </c>
      <c r="N532" s="1" t="s">
        <v>76</v>
      </c>
      <c r="O532" s="1" t="s">
        <v>77</v>
      </c>
      <c r="P532" s="1" t="s">
        <v>27</v>
      </c>
      <c r="Q532" s="1" t="s">
        <v>86</v>
      </c>
      <c r="R532" s="1" t="s">
        <v>94</v>
      </c>
      <c r="S532" s="1" t="s">
        <v>87</v>
      </c>
      <c r="T532" s="1" t="s">
        <v>88</v>
      </c>
      <c r="X532" s="1" t="s">
        <v>73</v>
      </c>
      <c r="Z532" s="1" t="s">
        <v>70</v>
      </c>
      <c r="AA532" s="1" t="s">
        <v>95</v>
      </c>
      <c r="AB532" s="1">
        <v>5</v>
      </c>
      <c r="AC532" s="1">
        <v>748817.29</v>
      </c>
      <c r="AD532" s="1">
        <v>8930508.3100000005</v>
      </c>
      <c r="AE532" s="1">
        <v>210.31</v>
      </c>
      <c r="AF532" s="1">
        <v>748817.29</v>
      </c>
      <c r="AG532" s="1">
        <v>8930508.3100000005</v>
      </c>
      <c r="AH532" s="1">
        <v>199.4</v>
      </c>
      <c r="AI532" s="1">
        <v>10.91</v>
      </c>
      <c r="AJ532" s="1">
        <v>0.6</v>
      </c>
      <c r="AK532" s="1">
        <v>2.97</v>
      </c>
      <c r="AL532" s="1">
        <v>2.58</v>
      </c>
      <c r="AM532" s="1">
        <v>0</v>
      </c>
      <c r="AN532" s="1">
        <v>0</v>
      </c>
      <c r="AO532" s="1">
        <v>279.95422539999998</v>
      </c>
      <c r="AP532" s="1">
        <v>3.32</v>
      </c>
      <c r="AQ532" s="1">
        <v>0.7</v>
      </c>
      <c r="AR532" s="1">
        <v>0.11</v>
      </c>
      <c r="AS532" s="1">
        <v>0.08</v>
      </c>
      <c r="AT532" s="1">
        <v>19.61</v>
      </c>
      <c r="AU532" s="1">
        <v>5.18</v>
      </c>
      <c r="AV532" s="1">
        <v>0.38</v>
      </c>
      <c r="AW532" s="1">
        <v>1.86</v>
      </c>
      <c r="AX532" s="1">
        <v>8.0500000000000007</v>
      </c>
      <c r="AY532" s="1">
        <v>0</v>
      </c>
      <c r="AZ532" s="1">
        <v>107.89</v>
      </c>
      <c r="BA532" s="1">
        <v>0</v>
      </c>
      <c r="BB532" s="1">
        <v>0</v>
      </c>
      <c r="BC532" s="1">
        <v>0</v>
      </c>
      <c r="BD532" s="1">
        <v>0</v>
      </c>
    </row>
    <row r="533" spans="1:56">
      <c r="A533" s="18">
        <v>46192</v>
      </c>
      <c r="B533" s="1">
        <v>532</v>
      </c>
      <c r="C533" s="1" t="s">
        <v>89</v>
      </c>
      <c r="D533" s="1" t="s">
        <v>90</v>
      </c>
      <c r="E533" s="1">
        <v>2</v>
      </c>
      <c r="F533" s="1">
        <v>200</v>
      </c>
      <c r="G533" s="1">
        <v>1</v>
      </c>
      <c r="H533" s="1" t="s">
        <v>91</v>
      </c>
      <c r="I533" s="1" t="s">
        <v>79</v>
      </c>
      <c r="J533" s="1" t="s">
        <v>80</v>
      </c>
      <c r="K533" s="1" t="s">
        <v>74</v>
      </c>
      <c r="L533" s="1" t="s">
        <v>72</v>
      </c>
      <c r="M533" s="1" t="s">
        <v>75</v>
      </c>
      <c r="N533" s="1" t="s">
        <v>82</v>
      </c>
      <c r="O533" s="1" t="s">
        <v>77</v>
      </c>
      <c r="P533" s="1" t="s">
        <v>27</v>
      </c>
      <c r="Q533" s="1" t="s">
        <v>86</v>
      </c>
      <c r="R533" s="1" t="s">
        <v>94</v>
      </c>
      <c r="S533" s="1" t="s">
        <v>87</v>
      </c>
      <c r="T533" s="1" t="s">
        <v>88</v>
      </c>
      <c r="X533" s="1" t="s">
        <v>73</v>
      </c>
      <c r="Z533" s="1" t="s">
        <v>70</v>
      </c>
      <c r="AA533" s="1" t="s">
        <v>95</v>
      </c>
      <c r="AB533" s="1">
        <v>5</v>
      </c>
      <c r="AC533" s="1">
        <v>748815.69</v>
      </c>
      <c r="AD533" s="1">
        <v>8930510.8100000005</v>
      </c>
      <c r="AE533" s="1">
        <v>210.15</v>
      </c>
      <c r="AF533" s="1">
        <v>748815.69</v>
      </c>
      <c r="AG533" s="1">
        <v>8930510.8100000005</v>
      </c>
      <c r="AH533" s="1">
        <v>199.4</v>
      </c>
      <c r="AI533" s="1">
        <v>10.75</v>
      </c>
      <c r="AJ533" s="1">
        <v>0.6</v>
      </c>
      <c r="AK533" s="1">
        <v>2.97</v>
      </c>
      <c r="AL533" s="1">
        <v>2.58</v>
      </c>
      <c r="AM533" s="1">
        <v>0</v>
      </c>
      <c r="AN533" s="1">
        <v>0</v>
      </c>
      <c r="AO533" s="1">
        <v>279.95422539999998</v>
      </c>
      <c r="AP533" s="1">
        <v>3.53</v>
      </c>
      <c r="AQ533" s="1">
        <v>0.65</v>
      </c>
      <c r="AR533" s="1">
        <v>0.1</v>
      </c>
      <c r="AS533" s="1">
        <v>7.0000000000000007E-2</v>
      </c>
      <c r="AT533" s="1">
        <v>18.170000000000002</v>
      </c>
      <c r="AU533" s="1">
        <v>4.9400000000000004</v>
      </c>
      <c r="AV533" s="1">
        <v>0.39</v>
      </c>
      <c r="AW533" s="1">
        <v>1.68</v>
      </c>
      <c r="AX533" s="1">
        <v>8.27</v>
      </c>
      <c r="AY533" s="1">
        <v>0</v>
      </c>
      <c r="AZ533" s="1">
        <v>105.56</v>
      </c>
      <c r="BA533" s="1">
        <v>0</v>
      </c>
      <c r="BB533" s="1">
        <v>0</v>
      </c>
      <c r="BC533" s="1">
        <v>0</v>
      </c>
      <c r="BD533" s="1">
        <v>0</v>
      </c>
    </row>
    <row r="534" spans="1:56">
      <c r="A534" s="18">
        <v>46192</v>
      </c>
      <c r="B534" s="1">
        <v>533</v>
      </c>
      <c r="C534" s="1" t="s">
        <v>89</v>
      </c>
      <c r="D534" s="1" t="s">
        <v>90</v>
      </c>
      <c r="E534" s="1">
        <v>2</v>
      </c>
      <c r="F534" s="1">
        <v>200</v>
      </c>
      <c r="G534" s="1">
        <v>1</v>
      </c>
      <c r="H534" s="1" t="s">
        <v>91</v>
      </c>
      <c r="I534" s="1" t="s">
        <v>79</v>
      </c>
      <c r="J534" s="1" t="s">
        <v>80</v>
      </c>
      <c r="K534" s="1" t="s">
        <v>74</v>
      </c>
      <c r="L534" s="1" t="s">
        <v>72</v>
      </c>
      <c r="M534" s="1" t="s">
        <v>75</v>
      </c>
      <c r="N534" s="1" t="s">
        <v>82</v>
      </c>
      <c r="O534" s="1" t="s">
        <v>77</v>
      </c>
      <c r="P534" s="1" t="s">
        <v>27</v>
      </c>
      <c r="Q534" s="1" t="s">
        <v>86</v>
      </c>
      <c r="R534" s="1" t="s">
        <v>94</v>
      </c>
      <c r="S534" s="1" t="s">
        <v>87</v>
      </c>
      <c r="T534" s="1" t="s">
        <v>88</v>
      </c>
      <c r="X534" s="1" t="s">
        <v>73</v>
      </c>
      <c r="Z534" s="1" t="s">
        <v>70</v>
      </c>
      <c r="AA534" s="1" t="s">
        <v>95</v>
      </c>
      <c r="AB534" s="1">
        <v>5</v>
      </c>
      <c r="AC534" s="1">
        <v>748814.08</v>
      </c>
      <c r="AD534" s="1">
        <v>8930513.3100000005</v>
      </c>
      <c r="AE534" s="1">
        <v>210.02</v>
      </c>
      <c r="AF534" s="1">
        <v>748814.08</v>
      </c>
      <c r="AG534" s="1">
        <v>8930513.3100000005</v>
      </c>
      <c r="AH534" s="1">
        <v>199.4</v>
      </c>
      <c r="AI534" s="1">
        <v>10.62</v>
      </c>
      <c r="AJ534" s="1">
        <v>0.6</v>
      </c>
      <c r="AK534" s="1">
        <v>2.97</v>
      </c>
      <c r="AL534" s="1">
        <v>2.58</v>
      </c>
      <c r="AM534" s="1">
        <v>0</v>
      </c>
      <c r="AN534" s="1">
        <v>0</v>
      </c>
      <c r="AO534" s="1">
        <v>279.95422539999998</v>
      </c>
      <c r="AP534" s="1">
        <v>3.61</v>
      </c>
      <c r="AQ534" s="1">
        <v>0.63</v>
      </c>
      <c r="AR534" s="1">
        <v>0.09</v>
      </c>
      <c r="AS534" s="1">
        <v>7.0000000000000007E-2</v>
      </c>
      <c r="AT534" s="1">
        <v>17.66</v>
      </c>
      <c r="AU534" s="1">
        <v>4.84</v>
      </c>
      <c r="AV534" s="1">
        <v>0.39</v>
      </c>
      <c r="AW534" s="1">
        <v>1.62</v>
      </c>
      <c r="AX534" s="1">
        <v>8.34</v>
      </c>
      <c r="AY534" s="1">
        <v>0</v>
      </c>
      <c r="AZ534" s="1">
        <v>103.667</v>
      </c>
      <c r="BA534" s="1">
        <v>0</v>
      </c>
      <c r="BB534" s="1">
        <v>0</v>
      </c>
      <c r="BC534" s="1">
        <v>0</v>
      </c>
      <c r="BD534" s="1">
        <v>0</v>
      </c>
    </row>
    <row r="535" spans="1:56">
      <c r="A535" s="18">
        <v>46192</v>
      </c>
      <c r="B535" s="1">
        <v>534</v>
      </c>
      <c r="C535" s="1" t="s">
        <v>89</v>
      </c>
      <c r="D535" s="1" t="s">
        <v>90</v>
      </c>
      <c r="E535" s="1">
        <v>2</v>
      </c>
      <c r="F535" s="1">
        <v>200</v>
      </c>
      <c r="G535" s="1">
        <v>1</v>
      </c>
      <c r="H535" s="1" t="s">
        <v>91</v>
      </c>
      <c r="I535" s="1" t="s">
        <v>79</v>
      </c>
      <c r="J535" s="1" t="s">
        <v>80</v>
      </c>
      <c r="K535" s="1" t="s">
        <v>74</v>
      </c>
      <c r="L535" s="1" t="s">
        <v>72</v>
      </c>
      <c r="M535" s="1" t="s">
        <v>75</v>
      </c>
      <c r="N535" s="1" t="s">
        <v>82</v>
      </c>
      <c r="O535" s="1" t="s">
        <v>77</v>
      </c>
      <c r="P535" s="1" t="s">
        <v>27</v>
      </c>
      <c r="Q535" s="1" t="s">
        <v>86</v>
      </c>
      <c r="R535" s="1" t="s">
        <v>94</v>
      </c>
      <c r="S535" s="1" t="s">
        <v>87</v>
      </c>
      <c r="T535" s="1" t="s">
        <v>88</v>
      </c>
      <c r="X535" s="1" t="s">
        <v>73</v>
      </c>
      <c r="Z535" s="1" t="s">
        <v>70</v>
      </c>
      <c r="AA535" s="1" t="s">
        <v>95</v>
      </c>
      <c r="AB535" s="1">
        <v>5</v>
      </c>
      <c r="AC535" s="1">
        <v>748812.48</v>
      </c>
      <c r="AD535" s="1">
        <v>8930515.8100000005</v>
      </c>
      <c r="AE535" s="1">
        <v>209.97</v>
      </c>
      <c r="AF535" s="1">
        <v>748812.48</v>
      </c>
      <c r="AG535" s="1">
        <v>8930515.8100000005</v>
      </c>
      <c r="AH535" s="1">
        <v>199.4</v>
      </c>
      <c r="AI535" s="1">
        <v>10.57</v>
      </c>
      <c r="AJ535" s="1">
        <v>0.6</v>
      </c>
      <c r="AK535" s="1">
        <v>2.97</v>
      </c>
      <c r="AL535" s="1">
        <v>2.58</v>
      </c>
      <c r="AM535" s="1">
        <v>0</v>
      </c>
      <c r="AN535" s="1">
        <v>0</v>
      </c>
      <c r="AO535" s="1">
        <v>279.95422539999998</v>
      </c>
      <c r="AP535" s="1">
        <v>3.61</v>
      </c>
      <c r="AQ535" s="1">
        <v>0.63</v>
      </c>
      <c r="AR535" s="1">
        <v>0.09</v>
      </c>
      <c r="AS535" s="1">
        <v>7.0000000000000007E-2</v>
      </c>
      <c r="AT535" s="1">
        <v>17.66</v>
      </c>
      <c r="AU535" s="1">
        <v>4.84</v>
      </c>
      <c r="AV535" s="1">
        <v>0.39</v>
      </c>
      <c r="AW535" s="1">
        <v>1.62</v>
      </c>
      <c r="AX535" s="1">
        <v>8.34</v>
      </c>
      <c r="AY535" s="1">
        <v>0</v>
      </c>
      <c r="AZ535" s="1">
        <v>102.93899999999999</v>
      </c>
      <c r="BA535" s="1">
        <v>0</v>
      </c>
      <c r="BB535" s="1">
        <v>0</v>
      </c>
      <c r="BC535" s="1">
        <v>0</v>
      </c>
      <c r="BD535" s="1">
        <v>0</v>
      </c>
    </row>
    <row r="536" spans="1:56">
      <c r="A536" s="18">
        <v>46192</v>
      </c>
      <c r="B536" s="1">
        <v>535</v>
      </c>
      <c r="C536" s="1" t="s">
        <v>89</v>
      </c>
      <c r="D536" s="1" t="s">
        <v>90</v>
      </c>
      <c r="E536" s="1">
        <v>2</v>
      </c>
      <c r="F536" s="1">
        <v>200</v>
      </c>
      <c r="G536" s="1">
        <v>1</v>
      </c>
      <c r="H536" s="1" t="s">
        <v>91</v>
      </c>
      <c r="I536" s="1" t="s">
        <v>79</v>
      </c>
      <c r="J536" s="1" t="s">
        <v>80</v>
      </c>
      <c r="K536" s="1" t="s">
        <v>74</v>
      </c>
      <c r="L536" s="1" t="s">
        <v>72</v>
      </c>
      <c r="M536" s="1" t="s">
        <v>75</v>
      </c>
      <c r="N536" s="1" t="s">
        <v>82</v>
      </c>
      <c r="O536" s="1" t="s">
        <v>77</v>
      </c>
      <c r="P536" s="1" t="s">
        <v>27</v>
      </c>
      <c r="Q536" s="1" t="s">
        <v>86</v>
      </c>
      <c r="R536" s="1" t="s">
        <v>94</v>
      </c>
      <c r="S536" s="1" t="s">
        <v>87</v>
      </c>
      <c r="T536" s="1" t="s">
        <v>88</v>
      </c>
      <c r="X536" s="1" t="s">
        <v>73</v>
      </c>
      <c r="Z536" s="1" t="s">
        <v>70</v>
      </c>
      <c r="AA536" s="1" t="s">
        <v>95</v>
      </c>
      <c r="AB536" s="1">
        <v>5</v>
      </c>
      <c r="AC536" s="1">
        <v>748810.88</v>
      </c>
      <c r="AD536" s="1">
        <v>8930518.3100000005</v>
      </c>
      <c r="AE536" s="1">
        <v>209.91</v>
      </c>
      <c r="AF536" s="1">
        <v>748810.88</v>
      </c>
      <c r="AG536" s="1">
        <v>8930518.3100000005</v>
      </c>
      <c r="AH536" s="1">
        <v>199.4</v>
      </c>
      <c r="AI536" s="1">
        <v>10.51</v>
      </c>
      <c r="AJ536" s="1">
        <v>0.6</v>
      </c>
      <c r="AK536" s="1">
        <v>2.97</v>
      </c>
      <c r="AL536" s="1">
        <v>2.58</v>
      </c>
      <c r="AM536" s="1">
        <v>0</v>
      </c>
      <c r="AN536" s="1">
        <v>0</v>
      </c>
      <c r="AO536" s="1">
        <v>279.95422539999998</v>
      </c>
      <c r="AP536" s="1">
        <v>3.57</v>
      </c>
      <c r="AQ536" s="1">
        <v>0.66</v>
      </c>
      <c r="AR536" s="1">
        <v>0.09</v>
      </c>
      <c r="AS536" s="1">
        <v>7.0000000000000007E-2</v>
      </c>
      <c r="AT536" s="1">
        <v>18.510000000000002</v>
      </c>
      <c r="AU536" s="1">
        <v>5.23</v>
      </c>
      <c r="AV536" s="1">
        <v>0.4</v>
      </c>
      <c r="AW536" s="1">
        <v>1.65</v>
      </c>
      <c r="AX536" s="1">
        <v>7.86</v>
      </c>
      <c r="AY536" s="1">
        <v>0</v>
      </c>
      <c r="AZ536" s="1">
        <v>102.066</v>
      </c>
      <c r="BA536" s="1">
        <v>0</v>
      </c>
      <c r="BB536" s="1">
        <v>0</v>
      </c>
      <c r="BC536" s="1">
        <v>0</v>
      </c>
      <c r="BD536" s="1">
        <v>0</v>
      </c>
    </row>
    <row r="537" spans="1:56">
      <c r="A537" s="18">
        <v>46192</v>
      </c>
      <c r="B537" s="1">
        <v>536</v>
      </c>
      <c r="C537" s="1" t="s">
        <v>89</v>
      </c>
      <c r="D537" s="1" t="s">
        <v>90</v>
      </c>
      <c r="E537" s="1">
        <v>2</v>
      </c>
      <c r="F537" s="1">
        <v>200</v>
      </c>
      <c r="G537" s="1">
        <v>1</v>
      </c>
      <c r="H537" s="1" t="s">
        <v>91</v>
      </c>
      <c r="I537" s="1" t="s">
        <v>79</v>
      </c>
      <c r="J537" s="1" t="s">
        <v>81</v>
      </c>
      <c r="K537" s="1" t="s">
        <v>74</v>
      </c>
      <c r="L537" s="1" t="s">
        <v>72</v>
      </c>
      <c r="M537" s="1" t="s">
        <v>75</v>
      </c>
      <c r="N537" s="1" t="s">
        <v>82</v>
      </c>
      <c r="O537" s="1" t="s">
        <v>77</v>
      </c>
      <c r="P537" s="1" t="s">
        <v>27</v>
      </c>
      <c r="Q537" s="1" t="s">
        <v>86</v>
      </c>
      <c r="R537" s="1" t="s">
        <v>94</v>
      </c>
      <c r="S537" s="1" t="s">
        <v>87</v>
      </c>
      <c r="T537" s="1" t="s">
        <v>88</v>
      </c>
      <c r="X537" s="1" t="s">
        <v>73</v>
      </c>
      <c r="Z537" s="1" t="s">
        <v>70</v>
      </c>
      <c r="AA537" s="1" t="s">
        <v>95</v>
      </c>
      <c r="AB537" s="1">
        <v>5</v>
      </c>
      <c r="AC537" s="1">
        <v>748809.28</v>
      </c>
      <c r="AD537" s="1">
        <v>8930520.8100000005</v>
      </c>
      <c r="AE537" s="1">
        <v>209.89</v>
      </c>
      <c r="AF537" s="1">
        <v>748809.28</v>
      </c>
      <c r="AG537" s="1">
        <v>8930520.8100000005</v>
      </c>
      <c r="AH537" s="1">
        <v>199.4</v>
      </c>
      <c r="AI537" s="1">
        <v>10.49</v>
      </c>
      <c r="AJ537" s="1">
        <v>0.6</v>
      </c>
      <c r="AK537" s="1">
        <v>2.97</v>
      </c>
      <c r="AL537" s="1">
        <v>2.58</v>
      </c>
      <c r="AM537" s="1">
        <v>0</v>
      </c>
      <c r="AN537" s="1">
        <v>0</v>
      </c>
      <c r="AO537" s="1">
        <v>279.95422539999998</v>
      </c>
      <c r="AP537" s="1">
        <v>3.26</v>
      </c>
      <c r="AQ537" s="1">
        <v>0.73</v>
      </c>
      <c r="AR537" s="1">
        <v>7.0000000000000007E-2</v>
      </c>
      <c r="AS537" s="1">
        <v>0.09</v>
      </c>
      <c r="AT537" s="1">
        <v>18.170000000000002</v>
      </c>
      <c r="AU537" s="1">
        <v>5.83</v>
      </c>
      <c r="AV537" s="1">
        <v>0.44</v>
      </c>
      <c r="AW537" s="1">
        <v>1.68</v>
      </c>
      <c r="AX537" s="1">
        <v>7.52</v>
      </c>
      <c r="AY537" s="1">
        <v>0</v>
      </c>
      <c r="AZ537" s="1">
        <v>101.774</v>
      </c>
      <c r="BA537" s="1">
        <v>0</v>
      </c>
      <c r="BB537" s="1">
        <v>0</v>
      </c>
      <c r="BC537" s="1">
        <v>0</v>
      </c>
      <c r="BD537" s="1">
        <v>0</v>
      </c>
    </row>
    <row r="538" spans="1:56">
      <c r="A538" s="18">
        <v>46192</v>
      </c>
      <c r="B538" s="1">
        <v>537</v>
      </c>
      <c r="C538" s="1" t="s">
        <v>89</v>
      </c>
      <c r="D538" s="1" t="s">
        <v>90</v>
      </c>
      <c r="E538" s="1">
        <v>2</v>
      </c>
      <c r="F538" s="1">
        <v>200</v>
      </c>
      <c r="G538" s="1">
        <v>1</v>
      </c>
      <c r="H538" s="1" t="s">
        <v>91</v>
      </c>
      <c r="I538" s="1" t="s">
        <v>79</v>
      </c>
      <c r="J538" s="1" t="s">
        <v>81</v>
      </c>
      <c r="K538" s="1" t="s">
        <v>74</v>
      </c>
      <c r="L538" s="1" t="s">
        <v>72</v>
      </c>
      <c r="M538" s="1" t="s">
        <v>75</v>
      </c>
      <c r="N538" s="1" t="s">
        <v>82</v>
      </c>
      <c r="O538" s="1" t="s">
        <v>77</v>
      </c>
      <c r="P538" s="1" t="s">
        <v>27</v>
      </c>
      <c r="Q538" s="1" t="s">
        <v>86</v>
      </c>
      <c r="R538" s="1" t="s">
        <v>94</v>
      </c>
      <c r="S538" s="1" t="s">
        <v>87</v>
      </c>
      <c r="T538" s="1" t="s">
        <v>88</v>
      </c>
      <c r="X538" s="1" t="s">
        <v>73</v>
      </c>
      <c r="Z538" s="1" t="s">
        <v>70</v>
      </c>
      <c r="AA538" s="1" t="s">
        <v>95</v>
      </c>
      <c r="AB538" s="1">
        <v>5</v>
      </c>
      <c r="AC538" s="1">
        <v>748807.67</v>
      </c>
      <c r="AD538" s="1">
        <v>8930523.3100000005</v>
      </c>
      <c r="AE538" s="1">
        <v>209.98</v>
      </c>
      <c r="AF538" s="1">
        <v>748807.67</v>
      </c>
      <c r="AG538" s="1">
        <v>8930523.3100000005</v>
      </c>
      <c r="AH538" s="1">
        <v>199.4</v>
      </c>
      <c r="AI538" s="1">
        <v>10.58</v>
      </c>
      <c r="AJ538" s="1">
        <v>0.6</v>
      </c>
      <c r="AK538" s="1">
        <v>2.97</v>
      </c>
      <c r="AL538" s="1">
        <v>2.58</v>
      </c>
      <c r="AM538" s="1">
        <v>0</v>
      </c>
      <c r="AN538" s="1">
        <v>0</v>
      </c>
      <c r="AO538" s="1">
        <v>279.95422539999998</v>
      </c>
      <c r="AP538" s="1">
        <v>3.16</v>
      </c>
      <c r="AQ538" s="1">
        <v>0.73</v>
      </c>
      <c r="AR538" s="1">
        <v>7.0000000000000007E-2</v>
      </c>
      <c r="AS538" s="1">
        <v>0.09</v>
      </c>
      <c r="AT538" s="1">
        <v>17.41</v>
      </c>
      <c r="AU538" s="1">
        <v>5.77</v>
      </c>
      <c r="AV538" s="1">
        <v>0.47</v>
      </c>
      <c r="AW538" s="1">
        <v>1.55</v>
      </c>
      <c r="AX538" s="1">
        <v>8.0299999999999994</v>
      </c>
      <c r="AY538" s="1">
        <v>0</v>
      </c>
      <c r="AZ538" s="1">
        <v>103.08499999999999</v>
      </c>
      <c r="BA538" s="1">
        <v>0</v>
      </c>
      <c r="BB538" s="1">
        <v>0</v>
      </c>
      <c r="BC538" s="1">
        <v>0</v>
      </c>
      <c r="BD538" s="1">
        <v>0</v>
      </c>
    </row>
    <row r="539" spans="1:56">
      <c r="A539" s="18">
        <v>46192</v>
      </c>
      <c r="B539" s="1">
        <v>538</v>
      </c>
      <c r="C539" s="1" t="s">
        <v>89</v>
      </c>
      <c r="D539" s="1" t="s">
        <v>90</v>
      </c>
      <c r="E539" s="1">
        <v>2</v>
      </c>
      <c r="F539" s="1">
        <v>200</v>
      </c>
      <c r="G539" s="1">
        <v>1</v>
      </c>
      <c r="H539" s="1" t="s">
        <v>91</v>
      </c>
      <c r="I539" s="1" t="s">
        <v>79</v>
      </c>
      <c r="J539" s="1" t="s">
        <v>81</v>
      </c>
      <c r="K539" s="1" t="s">
        <v>74</v>
      </c>
      <c r="L539" s="1" t="s">
        <v>72</v>
      </c>
      <c r="M539" s="1" t="s">
        <v>75</v>
      </c>
      <c r="N539" s="1" t="s">
        <v>82</v>
      </c>
      <c r="O539" s="1" t="s">
        <v>77</v>
      </c>
      <c r="P539" s="1" t="s">
        <v>27</v>
      </c>
      <c r="Q539" s="1" t="s">
        <v>86</v>
      </c>
      <c r="R539" s="1" t="s">
        <v>94</v>
      </c>
      <c r="S539" s="1" t="s">
        <v>87</v>
      </c>
      <c r="T539" s="1" t="s">
        <v>88</v>
      </c>
      <c r="X539" s="1" t="s">
        <v>73</v>
      </c>
      <c r="Z539" s="1" t="s">
        <v>70</v>
      </c>
      <c r="AA539" s="1" t="s">
        <v>95</v>
      </c>
      <c r="AB539" s="1">
        <v>5</v>
      </c>
      <c r="AC539" s="1">
        <v>748806.07</v>
      </c>
      <c r="AD539" s="1">
        <v>8930525.8100000005</v>
      </c>
      <c r="AE539" s="1">
        <v>210.05</v>
      </c>
      <c r="AF539" s="1">
        <v>748806.07</v>
      </c>
      <c r="AG539" s="1">
        <v>8930525.8100000005</v>
      </c>
      <c r="AH539" s="1">
        <v>199.4</v>
      </c>
      <c r="AI539" s="1">
        <v>10.65</v>
      </c>
      <c r="AJ539" s="1">
        <v>0.6</v>
      </c>
      <c r="AK539" s="1">
        <v>2.97</v>
      </c>
      <c r="AL539" s="1">
        <v>2.58</v>
      </c>
      <c r="AM539" s="1">
        <v>0</v>
      </c>
      <c r="AN539" s="1">
        <v>0</v>
      </c>
      <c r="AO539" s="1">
        <v>279.95422539999998</v>
      </c>
      <c r="AP539" s="1">
        <v>3.16</v>
      </c>
      <c r="AQ539" s="1">
        <v>0.73</v>
      </c>
      <c r="AR539" s="1">
        <v>7.0000000000000007E-2</v>
      </c>
      <c r="AS539" s="1">
        <v>0.09</v>
      </c>
      <c r="AT539" s="1">
        <v>17.420000000000002</v>
      </c>
      <c r="AU539" s="1">
        <v>5.77</v>
      </c>
      <c r="AV539" s="1">
        <v>0.47</v>
      </c>
      <c r="AW539" s="1">
        <v>1.56</v>
      </c>
      <c r="AX539" s="1">
        <v>8.0299999999999994</v>
      </c>
      <c r="AY539" s="1">
        <v>0</v>
      </c>
      <c r="AZ539" s="1">
        <v>104.104</v>
      </c>
      <c r="BA539" s="1">
        <v>0</v>
      </c>
      <c r="BB539" s="1">
        <v>0</v>
      </c>
      <c r="BC539" s="1">
        <v>0</v>
      </c>
      <c r="BD539" s="1">
        <v>0</v>
      </c>
    </row>
    <row r="540" spans="1:56">
      <c r="A540" s="18">
        <v>46192</v>
      </c>
      <c r="B540" s="1">
        <v>539</v>
      </c>
      <c r="C540" s="1" t="s">
        <v>89</v>
      </c>
      <c r="D540" s="1" t="s">
        <v>90</v>
      </c>
      <c r="E540" s="1">
        <v>2</v>
      </c>
      <c r="F540" s="1">
        <v>200</v>
      </c>
      <c r="G540" s="1">
        <v>1</v>
      </c>
      <c r="H540" s="1" t="s">
        <v>91</v>
      </c>
      <c r="I540" s="1" t="s">
        <v>79</v>
      </c>
      <c r="J540" s="1" t="s">
        <v>81</v>
      </c>
      <c r="K540" s="1" t="s">
        <v>74</v>
      </c>
      <c r="L540" s="1" t="s">
        <v>72</v>
      </c>
      <c r="M540" s="1" t="s">
        <v>75</v>
      </c>
      <c r="N540" s="1" t="s">
        <v>82</v>
      </c>
      <c r="O540" s="1" t="s">
        <v>77</v>
      </c>
      <c r="P540" s="1" t="s">
        <v>27</v>
      </c>
      <c r="Q540" s="1" t="s">
        <v>86</v>
      </c>
      <c r="R540" s="1" t="s">
        <v>94</v>
      </c>
      <c r="S540" s="1" t="s">
        <v>87</v>
      </c>
      <c r="T540" s="1" t="s">
        <v>88</v>
      </c>
      <c r="X540" s="1" t="s">
        <v>73</v>
      </c>
      <c r="Z540" s="1" t="s">
        <v>70</v>
      </c>
      <c r="AA540" s="1" t="s">
        <v>95</v>
      </c>
      <c r="AB540" s="1">
        <v>5</v>
      </c>
      <c r="AC540" s="1">
        <v>748804.47</v>
      </c>
      <c r="AD540" s="1">
        <v>8930528.3100000005</v>
      </c>
      <c r="AE540" s="1">
        <v>210.02</v>
      </c>
      <c r="AF540" s="1">
        <v>748804.47</v>
      </c>
      <c r="AG540" s="1">
        <v>8930528.3100000005</v>
      </c>
      <c r="AH540" s="1">
        <v>199.4</v>
      </c>
      <c r="AI540" s="1">
        <v>10.62</v>
      </c>
      <c r="AJ540" s="1">
        <v>0.6</v>
      </c>
      <c r="AK540" s="1">
        <v>2.97</v>
      </c>
      <c r="AL540" s="1">
        <v>2.58</v>
      </c>
      <c r="AM540" s="1">
        <v>0</v>
      </c>
      <c r="AN540" s="1">
        <v>0</v>
      </c>
      <c r="AO540" s="1">
        <v>279.95422539999998</v>
      </c>
      <c r="AP540" s="1">
        <v>3.16</v>
      </c>
      <c r="AQ540" s="1">
        <v>0.72</v>
      </c>
      <c r="AR540" s="1">
        <v>7.0000000000000007E-2</v>
      </c>
      <c r="AS540" s="1">
        <v>0.09</v>
      </c>
      <c r="AT540" s="1">
        <v>17.329999999999998</v>
      </c>
      <c r="AU540" s="1">
        <v>5.77</v>
      </c>
      <c r="AV540" s="1">
        <v>0.47</v>
      </c>
      <c r="AW540" s="1">
        <v>1.54</v>
      </c>
      <c r="AX540" s="1">
        <v>7.99</v>
      </c>
      <c r="AY540" s="1">
        <v>0</v>
      </c>
      <c r="AZ540" s="1">
        <v>103.667</v>
      </c>
      <c r="BA540" s="1">
        <v>0</v>
      </c>
      <c r="BB540" s="1">
        <v>0</v>
      </c>
      <c r="BC540" s="1">
        <v>0</v>
      </c>
      <c r="BD540" s="1">
        <v>0</v>
      </c>
    </row>
    <row r="541" spans="1:56">
      <c r="A541" s="18">
        <v>46192</v>
      </c>
      <c r="B541" s="1">
        <v>540</v>
      </c>
      <c r="C541" s="1" t="s">
        <v>89</v>
      </c>
      <c r="D541" s="1" t="s">
        <v>90</v>
      </c>
      <c r="E541" s="1">
        <v>2</v>
      </c>
      <c r="F541" s="1">
        <v>200</v>
      </c>
      <c r="G541" s="1">
        <v>1</v>
      </c>
      <c r="H541" s="1" t="s">
        <v>91</v>
      </c>
      <c r="I541" s="1" t="s">
        <v>79</v>
      </c>
      <c r="J541" s="1" t="s">
        <v>80</v>
      </c>
      <c r="K541" s="1" t="s">
        <v>74</v>
      </c>
      <c r="L541" s="1" t="s">
        <v>72</v>
      </c>
      <c r="M541" s="1" t="s">
        <v>75</v>
      </c>
      <c r="N541" s="1" t="s">
        <v>76</v>
      </c>
      <c r="O541" s="1" t="s">
        <v>77</v>
      </c>
      <c r="P541" s="1" t="s">
        <v>27</v>
      </c>
      <c r="Q541" s="1" t="s">
        <v>86</v>
      </c>
      <c r="R541" s="1" t="s">
        <v>94</v>
      </c>
      <c r="S541" s="1" t="s">
        <v>87</v>
      </c>
      <c r="T541" s="1" t="s">
        <v>88</v>
      </c>
      <c r="X541" s="1" t="s">
        <v>73</v>
      </c>
      <c r="Z541" s="1" t="s">
        <v>70</v>
      </c>
      <c r="AA541" s="1" t="s">
        <v>95</v>
      </c>
      <c r="AB541" s="1">
        <v>5</v>
      </c>
      <c r="AC541" s="1">
        <v>748802.86</v>
      </c>
      <c r="AD541" s="1">
        <v>8930530.8100000005</v>
      </c>
      <c r="AE541" s="1">
        <v>209.94</v>
      </c>
      <c r="AF541" s="1">
        <v>748802.86</v>
      </c>
      <c r="AG541" s="1">
        <v>8930530.8100000005</v>
      </c>
      <c r="AH541" s="1">
        <v>199.4</v>
      </c>
      <c r="AI541" s="1">
        <v>10.54</v>
      </c>
      <c r="AJ541" s="1">
        <v>0.6</v>
      </c>
      <c r="AK541" s="1">
        <v>2.97</v>
      </c>
      <c r="AL541" s="1">
        <v>2.58</v>
      </c>
      <c r="AM541" s="1">
        <v>0</v>
      </c>
      <c r="AN541" s="1">
        <v>0</v>
      </c>
      <c r="AO541" s="1">
        <v>279.95422539999998</v>
      </c>
      <c r="AP541" s="1">
        <v>3.14</v>
      </c>
      <c r="AQ541" s="1">
        <v>0.62</v>
      </c>
      <c r="AR541" s="1">
        <v>7.0000000000000007E-2</v>
      </c>
      <c r="AS541" s="1">
        <v>0.08</v>
      </c>
      <c r="AT541" s="1">
        <v>16.079999999999998</v>
      </c>
      <c r="AU541" s="1">
        <v>5.88</v>
      </c>
      <c r="AV541" s="1">
        <v>0.46</v>
      </c>
      <c r="AW541" s="1">
        <v>1.34</v>
      </c>
      <c r="AX541" s="1">
        <v>7.39</v>
      </c>
      <c r="AY541" s="1">
        <v>0</v>
      </c>
      <c r="AZ541" s="1">
        <v>102.502</v>
      </c>
      <c r="BA541" s="1">
        <v>0</v>
      </c>
      <c r="BB541" s="1">
        <v>0</v>
      </c>
      <c r="BC541" s="1">
        <v>0</v>
      </c>
      <c r="BD541" s="1">
        <v>0</v>
      </c>
    </row>
    <row r="542" spans="1:56">
      <c r="A542" s="18">
        <v>46192</v>
      </c>
      <c r="B542" s="1">
        <v>541</v>
      </c>
      <c r="C542" s="1" t="s">
        <v>89</v>
      </c>
      <c r="D542" s="1" t="s">
        <v>90</v>
      </c>
      <c r="E542" s="1">
        <v>2</v>
      </c>
      <c r="F542" s="1">
        <v>200</v>
      </c>
      <c r="G542" s="1">
        <v>1</v>
      </c>
      <c r="H542" s="1" t="s">
        <v>91</v>
      </c>
      <c r="I542" s="1" t="s">
        <v>79</v>
      </c>
      <c r="J542" s="1" t="s">
        <v>80</v>
      </c>
      <c r="K542" s="1" t="s">
        <v>74</v>
      </c>
      <c r="L542" s="1" t="s">
        <v>72</v>
      </c>
      <c r="M542" s="1" t="s">
        <v>75</v>
      </c>
      <c r="N542" s="1" t="s">
        <v>76</v>
      </c>
      <c r="O542" s="1" t="s">
        <v>77</v>
      </c>
      <c r="P542" s="1" t="s">
        <v>27</v>
      </c>
      <c r="Q542" s="1" t="s">
        <v>86</v>
      </c>
      <c r="R542" s="1" t="s">
        <v>94</v>
      </c>
      <c r="S542" s="1" t="s">
        <v>87</v>
      </c>
      <c r="T542" s="1" t="s">
        <v>88</v>
      </c>
      <c r="X542" s="1" t="s">
        <v>73</v>
      </c>
      <c r="Z542" s="1" t="s">
        <v>70</v>
      </c>
      <c r="AA542" s="1" t="s">
        <v>95</v>
      </c>
      <c r="AB542" s="1">
        <v>5</v>
      </c>
      <c r="AC542" s="1">
        <v>748801.26</v>
      </c>
      <c r="AD542" s="1">
        <v>8930533.3100000005</v>
      </c>
      <c r="AE542" s="1">
        <v>209.92</v>
      </c>
      <c r="AF542" s="1">
        <v>748801.26</v>
      </c>
      <c r="AG542" s="1">
        <v>8930533.3100000005</v>
      </c>
      <c r="AH542" s="1">
        <v>199.4</v>
      </c>
      <c r="AI542" s="1">
        <v>10.52</v>
      </c>
      <c r="AJ542" s="1">
        <v>0.6</v>
      </c>
      <c r="AK542" s="1">
        <v>2.97</v>
      </c>
      <c r="AL542" s="1">
        <v>2.58</v>
      </c>
      <c r="AM542" s="1">
        <v>0</v>
      </c>
      <c r="AN542" s="1">
        <v>0</v>
      </c>
      <c r="AO542" s="1">
        <v>279.95422539999998</v>
      </c>
      <c r="AP542" s="1">
        <v>3.15</v>
      </c>
      <c r="AQ542" s="1">
        <v>0.56000000000000005</v>
      </c>
      <c r="AR542" s="1">
        <v>7.0000000000000007E-2</v>
      </c>
      <c r="AS542" s="1">
        <v>7.0000000000000007E-2</v>
      </c>
      <c r="AT542" s="1">
        <v>15.68</v>
      </c>
      <c r="AU542" s="1">
        <v>5.97</v>
      </c>
      <c r="AV542" s="1">
        <v>0.44</v>
      </c>
      <c r="AW542" s="1">
        <v>1.27</v>
      </c>
      <c r="AX542" s="1">
        <v>7.36</v>
      </c>
      <c r="AY542" s="1">
        <v>0</v>
      </c>
      <c r="AZ542" s="1">
        <v>102.211</v>
      </c>
      <c r="BA542" s="1">
        <v>0</v>
      </c>
      <c r="BB542" s="1">
        <v>0</v>
      </c>
      <c r="BC542" s="1">
        <v>0</v>
      </c>
      <c r="BD542" s="1">
        <v>0</v>
      </c>
    </row>
    <row r="543" spans="1:56">
      <c r="A543" s="18">
        <v>46192</v>
      </c>
      <c r="B543" s="1">
        <v>542</v>
      </c>
      <c r="C543" s="1" t="s">
        <v>89</v>
      </c>
      <c r="D543" s="1" t="s">
        <v>90</v>
      </c>
      <c r="E543" s="1">
        <v>2</v>
      </c>
      <c r="F543" s="1">
        <v>200</v>
      </c>
      <c r="G543" s="1">
        <v>1</v>
      </c>
      <c r="H543" s="1" t="s">
        <v>91</v>
      </c>
      <c r="I543" s="1" t="s">
        <v>79</v>
      </c>
      <c r="J543" s="1" t="s">
        <v>80</v>
      </c>
      <c r="K543" s="1" t="s">
        <v>74</v>
      </c>
      <c r="L543" s="1" t="s">
        <v>72</v>
      </c>
      <c r="M543" s="1" t="s">
        <v>75</v>
      </c>
      <c r="N543" s="1" t="s">
        <v>76</v>
      </c>
      <c r="O543" s="1" t="s">
        <v>77</v>
      </c>
      <c r="P543" s="1" t="s">
        <v>27</v>
      </c>
      <c r="Q543" s="1" t="s">
        <v>86</v>
      </c>
      <c r="R543" s="1" t="s">
        <v>94</v>
      </c>
      <c r="S543" s="1" t="s">
        <v>87</v>
      </c>
      <c r="T543" s="1" t="s">
        <v>88</v>
      </c>
      <c r="X543" s="1" t="s">
        <v>73</v>
      </c>
      <c r="Z543" s="1" t="s">
        <v>70</v>
      </c>
      <c r="AA543" s="1" t="s">
        <v>95</v>
      </c>
      <c r="AB543" s="1">
        <v>5</v>
      </c>
      <c r="AC543" s="1">
        <v>748799.66</v>
      </c>
      <c r="AD543" s="1">
        <v>8930535.8100000005</v>
      </c>
      <c r="AE543" s="1">
        <v>209.95</v>
      </c>
      <c r="AF543" s="1">
        <v>748799.66</v>
      </c>
      <c r="AG543" s="1">
        <v>8930535.8100000005</v>
      </c>
      <c r="AH543" s="1">
        <v>199.4</v>
      </c>
      <c r="AI543" s="1">
        <v>10.55</v>
      </c>
      <c r="AJ543" s="1">
        <v>0.6</v>
      </c>
      <c r="AK543" s="1">
        <v>2.97</v>
      </c>
      <c r="AL543" s="1">
        <v>2.58</v>
      </c>
      <c r="AM543" s="1">
        <v>0</v>
      </c>
      <c r="AN543" s="1">
        <v>0</v>
      </c>
      <c r="AO543" s="1">
        <v>279.95422539999998</v>
      </c>
      <c r="AP543" s="1">
        <v>3.18</v>
      </c>
      <c r="AQ543" s="1">
        <v>0.51</v>
      </c>
      <c r="AR543" s="1">
        <v>7.0000000000000007E-2</v>
      </c>
      <c r="AS543" s="1">
        <v>7.0000000000000007E-2</v>
      </c>
      <c r="AT543" s="1">
        <v>15.89</v>
      </c>
      <c r="AU543" s="1">
        <v>6.11</v>
      </c>
      <c r="AV543" s="1">
        <v>0.39</v>
      </c>
      <c r="AW543" s="1">
        <v>1.31</v>
      </c>
      <c r="AX543" s="1">
        <v>7.97</v>
      </c>
      <c r="AY543" s="1">
        <v>0</v>
      </c>
      <c r="AZ543" s="1">
        <v>102.648</v>
      </c>
      <c r="BA543" s="1">
        <v>0</v>
      </c>
      <c r="BB543" s="1">
        <v>0</v>
      </c>
      <c r="BC543" s="1">
        <v>0</v>
      </c>
      <c r="BD543" s="1">
        <v>0</v>
      </c>
    </row>
    <row r="544" spans="1:56">
      <c r="A544" s="18">
        <v>46192</v>
      </c>
      <c r="B544" s="1">
        <v>543</v>
      </c>
      <c r="C544" s="1" t="s">
        <v>89</v>
      </c>
      <c r="D544" s="1" t="s">
        <v>90</v>
      </c>
      <c r="E544" s="1">
        <v>2</v>
      </c>
      <c r="F544" s="1">
        <v>200</v>
      </c>
      <c r="G544" s="1">
        <v>1</v>
      </c>
      <c r="H544" s="1" t="s">
        <v>91</v>
      </c>
      <c r="I544" s="1" t="s">
        <v>79</v>
      </c>
      <c r="J544" s="1" t="s">
        <v>80</v>
      </c>
      <c r="K544" s="1" t="s">
        <v>74</v>
      </c>
      <c r="L544" s="1" t="s">
        <v>72</v>
      </c>
      <c r="M544" s="1" t="s">
        <v>75</v>
      </c>
      <c r="N544" s="1" t="s">
        <v>82</v>
      </c>
      <c r="O544" s="1" t="s">
        <v>77</v>
      </c>
      <c r="P544" s="1" t="s">
        <v>27</v>
      </c>
      <c r="Q544" s="1" t="s">
        <v>86</v>
      </c>
      <c r="R544" s="1" t="s">
        <v>94</v>
      </c>
      <c r="S544" s="1" t="s">
        <v>87</v>
      </c>
      <c r="T544" s="1" t="s">
        <v>88</v>
      </c>
      <c r="X544" s="1" t="s">
        <v>73</v>
      </c>
      <c r="Z544" s="1" t="s">
        <v>70</v>
      </c>
      <c r="AA544" s="1" t="s">
        <v>95</v>
      </c>
      <c r="AB544" s="1">
        <v>5</v>
      </c>
      <c r="AC544" s="1">
        <v>748798.06</v>
      </c>
      <c r="AD544" s="1">
        <v>8930538.3100000005</v>
      </c>
      <c r="AE544" s="1">
        <v>209.81</v>
      </c>
      <c r="AF544" s="1">
        <v>748798.06</v>
      </c>
      <c r="AG544" s="1">
        <v>8930538.3100000005</v>
      </c>
      <c r="AH544" s="1">
        <v>199.4</v>
      </c>
      <c r="AI544" s="1">
        <v>10.41</v>
      </c>
      <c r="AJ544" s="1">
        <v>0.6</v>
      </c>
      <c r="AK544" s="1">
        <v>2.97</v>
      </c>
      <c r="AL544" s="1">
        <v>2.58</v>
      </c>
      <c r="AM544" s="1">
        <v>0</v>
      </c>
      <c r="AN544" s="1">
        <v>0</v>
      </c>
      <c r="AO544" s="1">
        <v>279.95422539999998</v>
      </c>
      <c r="AP544" s="1">
        <v>3.2</v>
      </c>
      <c r="AQ544" s="1">
        <v>0.47</v>
      </c>
      <c r="AR544" s="1">
        <v>7.0000000000000007E-2</v>
      </c>
      <c r="AS544" s="1">
        <v>7.0000000000000007E-2</v>
      </c>
      <c r="AT544" s="1">
        <v>15.98</v>
      </c>
      <c r="AU544" s="1">
        <v>6.16</v>
      </c>
      <c r="AV544" s="1">
        <v>0.35</v>
      </c>
      <c r="AW544" s="1">
        <v>1.36</v>
      </c>
      <c r="AX544" s="1">
        <v>8.4600000000000009</v>
      </c>
      <c r="AY544" s="1">
        <v>0</v>
      </c>
      <c r="AZ544" s="1">
        <v>100.61</v>
      </c>
      <c r="BA544" s="1">
        <v>0</v>
      </c>
      <c r="BB544" s="1">
        <v>0</v>
      </c>
      <c r="BC544" s="1">
        <v>0</v>
      </c>
      <c r="BD544" s="1">
        <v>0</v>
      </c>
    </row>
    <row r="545" spans="1:56">
      <c r="A545" s="18">
        <v>46192</v>
      </c>
      <c r="B545" s="1">
        <v>544</v>
      </c>
      <c r="C545" s="1" t="s">
        <v>89</v>
      </c>
      <c r="D545" s="1" t="s">
        <v>90</v>
      </c>
      <c r="E545" s="1">
        <v>2</v>
      </c>
      <c r="F545" s="1">
        <v>200</v>
      </c>
      <c r="G545" s="1">
        <v>1</v>
      </c>
      <c r="H545" s="1" t="s">
        <v>91</v>
      </c>
      <c r="I545" s="1" t="s">
        <v>79</v>
      </c>
      <c r="J545" s="1" t="s">
        <v>84</v>
      </c>
      <c r="K545" s="1" t="s">
        <v>74</v>
      </c>
      <c r="L545" s="1" t="s">
        <v>72</v>
      </c>
      <c r="M545" s="1" t="s">
        <v>75</v>
      </c>
      <c r="N545" s="1" t="s">
        <v>82</v>
      </c>
      <c r="O545" s="1" t="s">
        <v>77</v>
      </c>
      <c r="P545" s="1" t="s">
        <v>27</v>
      </c>
      <c r="Q545" s="1" t="s">
        <v>86</v>
      </c>
      <c r="R545" s="1" t="s">
        <v>94</v>
      </c>
      <c r="S545" s="1" t="s">
        <v>87</v>
      </c>
      <c r="T545" s="1" t="s">
        <v>88</v>
      </c>
      <c r="X545" s="1" t="s">
        <v>73</v>
      </c>
      <c r="Z545" s="1" t="s">
        <v>70</v>
      </c>
      <c r="AA545" s="1" t="s">
        <v>95</v>
      </c>
      <c r="AB545" s="1">
        <v>5</v>
      </c>
      <c r="AC545" s="1">
        <v>748796.45</v>
      </c>
      <c r="AD545" s="1">
        <v>8930540.8100000005</v>
      </c>
      <c r="AE545" s="1">
        <v>209.65</v>
      </c>
      <c r="AF545" s="1">
        <v>748796.45</v>
      </c>
      <c r="AG545" s="1">
        <v>8930540.8100000005</v>
      </c>
      <c r="AH545" s="1">
        <v>199.4</v>
      </c>
      <c r="AI545" s="1">
        <v>10.25</v>
      </c>
      <c r="AJ545" s="1">
        <v>0.6</v>
      </c>
      <c r="AK545" s="1">
        <v>2.97</v>
      </c>
      <c r="AL545" s="1">
        <v>2.58</v>
      </c>
      <c r="AM545" s="1">
        <v>0</v>
      </c>
      <c r="AN545" s="1">
        <v>0</v>
      </c>
      <c r="AO545" s="1">
        <v>279.95422539999998</v>
      </c>
      <c r="AP545" s="1">
        <v>3.17</v>
      </c>
      <c r="AQ545" s="1">
        <v>0.41</v>
      </c>
      <c r="AR545" s="1">
        <v>0.05</v>
      </c>
      <c r="AS545" s="1">
        <v>0.06</v>
      </c>
      <c r="AT545" s="1">
        <v>14.87</v>
      </c>
      <c r="AU545" s="1">
        <v>5.3</v>
      </c>
      <c r="AV545" s="1">
        <v>0.27</v>
      </c>
      <c r="AW545" s="1">
        <v>1.52</v>
      </c>
      <c r="AX545" s="1">
        <v>8.26</v>
      </c>
      <c r="AY545" s="1">
        <v>0</v>
      </c>
      <c r="AZ545" s="1">
        <v>98.28</v>
      </c>
      <c r="BA545" s="1">
        <v>0</v>
      </c>
      <c r="BB545" s="1">
        <v>0</v>
      </c>
      <c r="BC545" s="1">
        <v>0</v>
      </c>
      <c r="BD545" s="1">
        <v>0</v>
      </c>
    </row>
    <row r="546" spans="1:56">
      <c r="A546" s="18">
        <v>46192</v>
      </c>
      <c r="B546" s="1">
        <v>545</v>
      </c>
      <c r="C546" s="1" t="s">
        <v>89</v>
      </c>
      <c r="D546" s="1" t="s">
        <v>90</v>
      </c>
      <c r="E546" s="1">
        <v>2</v>
      </c>
      <c r="F546" s="1">
        <v>200</v>
      </c>
      <c r="G546" s="1">
        <v>1</v>
      </c>
      <c r="H546" s="1" t="s">
        <v>91</v>
      </c>
      <c r="I546" s="1" t="s">
        <v>79</v>
      </c>
      <c r="J546" s="1" t="s">
        <v>84</v>
      </c>
      <c r="K546" s="1" t="s">
        <v>74</v>
      </c>
      <c r="L546" s="1" t="s">
        <v>72</v>
      </c>
      <c r="M546" s="1" t="s">
        <v>75</v>
      </c>
      <c r="N546" s="1" t="s">
        <v>82</v>
      </c>
      <c r="O546" s="1" t="s">
        <v>77</v>
      </c>
      <c r="P546" s="1" t="s">
        <v>27</v>
      </c>
      <c r="Q546" s="1" t="s">
        <v>86</v>
      </c>
      <c r="R546" s="1" t="s">
        <v>94</v>
      </c>
      <c r="S546" s="1" t="s">
        <v>87</v>
      </c>
      <c r="T546" s="1" t="s">
        <v>88</v>
      </c>
      <c r="X546" s="1" t="s">
        <v>73</v>
      </c>
      <c r="Z546" s="1" t="s">
        <v>70</v>
      </c>
      <c r="AA546" s="1" t="s">
        <v>95</v>
      </c>
      <c r="AB546" s="1">
        <v>5</v>
      </c>
      <c r="AC546" s="1">
        <v>748794.85</v>
      </c>
      <c r="AD546" s="1">
        <v>8930543.3100000005</v>
      </c>
      <c r="AE546" s="1">
        <v>209.62</v>
      </c>
      <c r="AF546" s="1">
        <v>748794.85</v>
      </c>
      <c r="AG546" s="1">
        <v>8930543.3100000005</v>
      </c>
      <c r="AH546" s="1">
        <v>199.4</v>
      </c>
      <c r="AI546" s="1">
        <v>10.220000000000001</v>
      </c>
      <c r="AJ546" s="1">
        <v>0.6</v>
      </c>
      <c r="AK546" s="1">
        <v>2.97</v>
      </c>
      <c r="AL546" s="1">
        <v>2.58</v>
      </c>
      <c r="AM546" s="1">
        <v>0</v>
      </c>
      <c r="AN546" s="1">
        <v>0</v>
      </c>
      <c r="AO546" s="1">
        <v>279.95422539999998</v>
      </c>
      <c r="AP546" s="1">
        <v>3.16</v>
      </c>
      <c r="AQ546" s="1">
        <v>0.38</v>
      </c>
      <c r="AR546" s="1">
        <v>0.04</v>
      </c>
      <c r="AS546" s="1">
        <v>0.05</v>
      </c>
      <c r="AT546" s="1">
        <v>14.45</v>
      </c>
      <c r="AU546" s="1">
        <v>4.97</v>
      </c>
      <c r="AV546" s="1">
        <v>0.24</v>
      </c>
      <c r="AW546" s="1">
        <v>1.59</v>
      </c>
      <c r="AX546" s="1">
        <v>8.18</v>
      </c>
      <c r="AY546" s="1">
        <v>0</v>
      </c>
      <c r="AZ546" s="1">
        <v>97.843000000000004</v>
      </c>
      <c r="BA546" s="1">
        <v>0</v>
      </c>
      <c r="BB546" s="1">
        <v>0</v>
      </c>
      <c r="BC546" s="1">
        <v>0</v>
      </c>
      <c r="BD546" s="1">
        <v>0</v>
      </c>
    </row>
    <row r="547" spans="1:56">
      <c r="A547" s="18">
        <v>46192</v>
      </c>
      <c r="B547" s="1">
        <v>546</v>
      </c>
      <c r="C547" s="1" t="s">
        <v>89</v>
      </c>
      <c r="D547" s="1" t="s">
        <v>90</v>
      </c>
      <c r="E547" s="1">
        <v>2</v>
      </c>
      <c r="F547" s="1">
        <v>200</v>
      </c>
      <c r="G547" s="1">
        <v>1</v>
      </c>
      <c r="H547" s="1" t="s">
        <v>91</v>
      </c>
      <c r="I547" s="1" t="s">
        <v>79</v>
      </c>
      <c r="J547" s="1" t="s">
        <v>84</v>
      </c>
      <c r="K547" s="1" t="s">
        <v>74</v>
      </c>
      <c r="L547" s="1" t="s">
        <v>72</v>
      </c>
      <c r="M547" s="1" t="s">
        <v>75</v>
      </c>
      <c r="N547" s="1" t="s">
        <v>82</v>
      </c>
      <c r="O547" s="1" t="s">
        <v>77</v>
      </c>
      <c r="P547" s="1" t="s">
        <v>27</v>
      </c>
      <c r="Q547" s="1" t="s">
        <v>86</v>
      </c>
      <c r="R547" s="1" t="s">
        <v>94</v>
      </c>
      <c r="S547" s="1" t="s">
        <v>87</v>
      </c>
      <c r="T547" s="1" t="s">
        <v>88</v>
      </c>
      <c r="X547" s="1" t="s">
        <v>73</v>
      </c>
      <c r="Z547" s="1" t="s">
        <v>70</v>
      </c>
      <c r="AA547" s="1" t="s">
        <v>95</v>
      </c>
      <c r="AB547" s="1">
        <v>5</v>
      </c>
      <c r="AC547" s="1">
        <v>748793.21</v>
      </c>
      <c r="AD547" s="1">
        <v>8930545.7899999991</v>
      </c>
      <c r="AE547" s="1">
        <v>209.77</v>
      </c>
      <c r="AF547" s="1">
        <v>748793.21</v>
      </c>
      <c r="AG547" s="1">
        <v>8930545.7899999991</v>
      </c>
      <c r="AH547" s="1">
        <v>199.4</v>
      </c>
      <c r="AI547" s="1">
        <v>10.37</v>
      </c>
      <c r="AJ547" s="1">
        <v>0.6</v>
      </c>
      <c r="AK547" s="1">
        <v>2.97</v>
      </c>
      <c r="AL547" s="1">
        <v>2.58</v>
      </c>
      <c r="AM547" s="1">
        <v>0</v>
      </c>
      <c r="AN547" s="1">
        <v>0</v>
      </c>
      <c r="AO547" s="1">
        <v>279.95422539999998</v>
      </c>
      <c r="AP547" s="1">
        <v>3.16</v>
      </c>
      <c r="AQ547" s="1">
        <v>0.38</v>
      </c>
      <c r="AR547" s="1">
        <v>0.04</v>
      </c>
      <c r="AS547" s="1">
        <v>0.05</v>
      </c>
      <c r="AT547" s="1">
        <v>14.44</v>
      </c>
      <c r="AU547" s="1">
        <v>4.97</v>
      </c>
      <c r="AV547" s="1">
        <v>0.24</v>
      </c>
      <c r="AW547" s="1">
        <v>1.59</v>
      </c>
      <c r="AX547" s="1">
        <v>8.19</v>
      </c>
      <c r="AY547" s="1">
        <v>0</v>
      </c>
      <c r="AZ547" s="1">
        <v>100.027</v>
      </c>
      <c r="BA547" s="1">
        <v>0</v>
      </c>
      <c r="BB547" s="1">
        <v>0</v>
      </c>
      <c r="BC547" s="1">
        <v>0</v>
      </c>
      <c r="BD547" s="1">
        <v>0</v>
      </c>
    </row>
    <row r="548" spans="1:56">
      <c r="A548" s="18">
        <v>46192</v>
      </c>
      <c r="B548" s="1">
        <v>547</v>
      </c>
      <c r="C548" s="1" t="s">
        <v>89</v>
      </c>
      <c r="D548" s="1" t="s">
        <v>90</v>
      </c>
      <c r="E548" s="1">
        <v>2</v>
      </c>
      <c r="F548" s="1">
        <v>200</v>
      </c>
      <c r="G548" s="1">
        <v>1</v>
      </c>
      <c r="H548" s="1" t="s">
        <v>91</v>
      </c>
      <c r="I548" s="1" t="s">
        <v>79</v>
      </c>
      <c r="J548" s="1" t="s">
        <v>84</v>
      </c>
      <c r="K548" s="1" t="s">
        <v>74</v>
      </c>
      <c r="L548" s="1" t="s">
        <v>72</v>
      </c>
      <c r="M548" s="1" t="s">
        <v>75</v>
      </c>
      <c r="N548" s="1" t="s">
        <v>82</v>
      </c>
      <c r="O548" s="1" t="s">
        <v>77</v>
      </c>
      <c r="P548" s="1" t="s">
        <v>27</v>
      </c>
      <c r="Q548" s="1" t="s">
        <v>86</v>
      </c>
      <c r="R548" s="1" t="s">
        <v>94</v>
      </c>
      <c r="S548" s="1" t="s">
        <v>87</v>
      </c>
      <c r="T548" s="1" t="s">
        <v>88</v>
      </c>
      <c r="X548" s="1" t="s">
        <v>73</v>
      </c>
      <c r="Z548" s="1" t="s">
        <v>70</v>
      </c>
      <c r="AA548" s="1" t="s">
        <v>95</v>
      </c>
      <c r="AB548" s="1">
        <v>5</v>
      </c>
      <c r="AC548" s="1">
        <v>748791.35</v>
      </c>
      <c r="AD548" s="1">
        <v>8930548.0500000007</v>
      </c>
      <c r="AE548" s="1">
        <v>209.9</v>
      </c>
      <c r="AF548" s="1">
        <v>748791.35</v>
      </c>
      <c r="AG548" s="1">
        <v>8930548.0500000007</v>
      </c>
      <c r="AH548" s="1">
        <v>199.4</v>
      </c>
      <c r="AI548" s="1">
        <v>10.5</v>
      </c>
      <c r="AJ548" s="1">
        <v>0.6</v>
      </c>
      <c r="AK548" s="1">
        <v>2.97</v>
      </c>
      <c r="AL548" s="1">
        <v>2.58</v>
      </c>
      <c r="AM548" s="1">
        <v>0</v>
      </c>
      <c r="AN548" s="1">
        <v>0</v>
      </c>
      <c r="AO548" s="1">
        <v>279.95422539999998</v>
      </c>
      <c r="AP548" s="1">
        <v>3.17</v>
      </c>
      <c r="AQ548" s="1">
        <v>0.39</v>
      </c>
      <c r="AR548" s="1">
        <v>0.04</v>
      </c>
      <c r="AS548" s="1">
        <v>0.06</v>
      </c>
      <c r="AT548" s="1">
        <v>14.66</v>
      </c>
      <c r="AU548" s="1">
        <v>4.99</v>
      </c>
      <c r="AV548" s="1">
        <v>0.24</v>
      </c>
      <c r="AW548" s="1">
        <v>1.61</v>
      </c>
      <c r="AX548" s="1">
        <v>8.2899999999999991</v>
      </c>
      <c r="AY548" s="1">
        <v>0</v>
      </c>
      <c r="AZ548" s="1">
        <v>101.92</v>
      </c>
      <c r="BA548" s="1">
        <v>0</v>
      </c>
      <c r="BB548" s="1">
        <v>0</v>
      </c>
      <c r="BC548" s="1">
        <v>0</v>
      </c>
      <c r="BD548" s="1">
        <v>0</v>
      </c>
    </row>
    <row r="549" spans="1:56">
      <c r="A549" s="18">
        <v>46192</v>
      </c>
      <c r="B549" s="1">
        <v>548</v>
      </c>
      <c r="C549" s="1" t="s">
        <v>89</v>
      </c>
      <c r="D549" s="1" t="s">
        <v>90</v>
      </c>
      <c r="E549" s="1">
        <v>2</v>
      </c>
      <c r="F549" s="1">
        <v>200</v>
      </c>
      <c r="G549" s="1">
        <v>1</v>
      </c>
      <c r="H549" s="1" t="s">
        <v>91</v>
      </c>
      <c r="I549" s="1" t="s">
        <v>79</v>
      </c>
      <c r="J549" s="1" t="s">
        <v>80</v>
      </c>
      <c r="K549" s="1" t="s">
        <v>74</v>
      </c>
      <c r="L549" s="1" t="s">
        <v>72</v>
      </c>
      <c r="M549" s="1" t="s">
        <v>75</v>
      </c>
      <c r="N549" s="1" t="s">
        <v>76</v>
      </c>
      <c r="O549" s="1" t="s">
        <v>77</v>
      </c>
      <c r="P549" s="1" t="s">
        <v>27</v>
      </c>
      <c r="Q549" s="1" t="s">
        <v>86</v>
      </c>
      <c r="R549" s="1" t="s">
        <v>94</v>
      </c>
      <c r="S549" s="1" t="s">
        <v>87</v>
      </c>
      <c r="T549" s="1" t="s">
        <v>88</v>
      </c>
      <c r="X549" s="1" t="s">
        <v>73</v>
      </c>
      <c r="Z549" s="1" t="s">
        <v>70</v>
      </c>
      <c r="AA549" s="1" t="s">
        <v>95</v>
      </c>
      <c r="AB549" s="1">
        <v>5</v>
      </c>
      <c r="AC549" s="1">
        <v>748789.1</v>
      </c>
      <c r="AD549" s="1">
        <v>8930549.9900000002</v>
      </c>
      <c r="AE549" s="1">
        <v>210.03</v>
      </c>
      <c r="AF549" s="1">
        <v>748789.1</v>
      </c>
      <c r="AG549" s="1">
        <v>8930549.9900000002</v>
      </c>
      <c r="AH549" s="1">
        <v>199.4</v>
      </c>
      <c r="AI549" s="1">
        <v>10.63</v>
      </c>
      <c r="AJ549" s="1">
        <v>0.6</v>
      </c>
      <c r="AK549" s="1">
        <v>2.97</v>
      </c>
      <c r="AL549" s="1">
        <v>2.58</v>
      </c>
      <c r="AM549" s="1">
        <v>0</v>
      </c>
      <c r="AN549" s="1">
        <v>0</v>
      </c>
      <c r="AO549" s="1">
        <v>279.95422539999998</v>
      </c>
      <c r="AP549" s="1">
        <v>3.27</v>
      </c>
      <c r="AQ549" s="1">
        <v>0.42</v>
      </c>
      <c r="AR549" s="1">
        <v>0.08</v>
      </c>
      <c r="AS549" s="1">
        <v>0.06</v>
      </c>
      <c r="AT549" s="1">
        <v>15.81</v>
      </c>
      <c r="AU549" s="1">
        <v>4.84</v>
      </c>
      <c r="AV549" s="1">
        <v>0.23</v>
      </c>
      <c r="AW549" s="1">
        <v>1.87</v>
      </c>
      <c r="AX549" s="1">
        <v>8.69</v>
      </c>
      <c r="AY549" s="1">
        <v>0</v>
      </c>
      <c r="AZ549" s="1">
        <v>103.813</v>
      </c>
      <c r="BA549" s="1">
        <v>0</v>
      </c>
      <c r="BB549" s="1">
        <v>0</v>
      </c>
      <c r="BC549" s="1">
        <v>0</v>
      </c>
      <c r="BD549" s="1">
        <v>0</v>
      </c>
    </row>
    <row r="550" spans="1:56">
      <c r="A550" s="18">
        <v>46192</v>
      </c>
      <c r="B550" s="1">
        <v>549</v>
      </c>
      <c r="C550" s="1" t="s">
        <v>89</v>
      </c>
      <c r="D550" s="1" t="s">
        <v>90</v>
      </c>
      <c r="E550" s="1">
        <v>2</v>
      </c>
      <c r="F550" s="1">
        <v>200</v>
      </c>
      <c r="G550" s="1">
        <v>1</v>
      </c>
      <c r="H550" s="1" t="s">
        <v>91</v>
      </c>
      <c r="I550" s="1" t="s">
        <v>79</v>
      </c>
      <c r="J550" s="1" t="s">
        <v>80</v>
      </c>
      <c r="K550" s="1" t="s">
        <v>74</v>
      </c>
      <c r="L550" s="1" t="s">
        <v>72</v>
      </c>
      <c r="M550" s="1" t="s">
        <v>75</v>
      </c>
      <c r="N550" s="1" t="s">
        <v>76</v>
      </c>
      <c r="O550" s="1" t="s">
        <v>77</v>
      </c>
      <c r="P550" s="1" t="s">
        <v>27</v>
      </c>
      <c r="Q550" s="1" t="s">
        <v>86</v>
      </c>
      <c r="R550" s="1" t="s">
        <v>94</v>
      </c>
      <c r="S550" s="1" t="s">
        <v>87</v>
      </c>
      <c r="T550" s="1" t="s">
        <v>88</v>
      </c>
      <c r="X550" s="1" t="s">
        <v>73</v>
      </c>
      <c r="Z550" s="1" t="s">
        <v>70</v>
      </c>
      <c r="AA550" s="1" t="s">
        <v>95</v>
      </c>
      <c r="AB550" s="1">
        <v>5</v>
      </c>
      <c r="AC550" s="1">
        <v>748786.84</v>
      </c>
      <c r="AD550" s="1">
        <v>8930551.9299999997</v>
      </c>
      <c r="AE550" s="1">
        <v>210.14</v>
      </c>
      <c r="AF550" s="1">
        <v>748786.84</v>
      </c>
      <c r="AG550" s="1">
        <v>8930551.9299999997</v>
      </c>
      <c r="AH550" s="1">
        <v>199.4</v>
      </c>
      <c r="AI550" s="1">
        <v>10.74</v>
      </c>
      <c r="AJ550" s="1">
        <v>0.6</v>
      </c>
      <c r="AK550" s="1">
        <v>2.97</v>
      </c>
      <c r="AL550" s="1">
        <v>2.58</v>
      </c>
      <c r="AM550" s="1">
        <v>0</v>
      </c>
      <c r="AN550" s="1">
        <v>0</v>
      </c>
      <c r="AO550" s="1">
        <v>279.95422539999998</v>
      </c>
      <c r="AP550" s="1">
        <v>3.31</v>
      </c>
      <c r="AQ550" s="1">
        <v>0.42</v>
      </c>
      <c r="AR550" s="1">
        <v>0.09</v>
      </c>
      <c r="AS550" s="1">
        <v>7.0000000000000007E-2</v>
      </c>
      <c r="AT550" s="1">
        <v>16.5</v>
      </c>
      <c r="AU550" s="1">
        <v>4.57</v>
      </c>
      <c r="AV550" s="1">
        <v>0.21</v>
      </c>
      <c r="AW550" s="1">
        <v>2.06</v>
      </c>
      <c r="AX550" s="1">
        <v>8.65</v>
      </c>
      <c r="AY550" s="1">
        <v>0</v>
      </c>
      <c r="AZ550" s="1">
        <v>105.414</v>
      </c>
      <c r="BA550" s="1">
        <v>0</v>
      </c>
      <c r="BB550" s="1">
        <v>0</v>
      </c>
      <c r="BC550" s="1">
        <v>0</v>
      </c>
      <c r="BD550" s="1">
        <v>0</v>
      </c>
    </row>
    <row r="551" spans="1:56">
      <c r="A551" s="18">
        <v>46192</v>
      </c>
      <c r="B551" s="1">
        <v>550</v>
      </c>
      <c r="C551" s="1" t="s">
        <v>89</v>
      </c>
      <c r="D551" s="1" t="s">
        <v>90</v>
      </c>
      <c r="E551" s="1">
        <v>2</v>
      </c>
      <c r="F551" s="1">
        <v>200</v>
      </c>
      <c r="G551" s="1">
        <v>1</v>
      </c>
      <c r="H551" s="1" t="s">
        <v>91</v>
      </c>
      <c r="I551" s="1" t="s">
        <v>79</v>
      </c>
      <c r="J551" s="1" t="s">
        <v>80</v>
      </c>
      <c r="K551" s="1" t="s">
        <v>74</v>
      </c>
      <c r="L551" s="1" t="s">
        <v>72</v>
      </c>
      <c r="M551" s="1" t="s">
        <v>75</v>
      </c>
      <c r="N551" s="1" t="s">
        <v>76</v>
      </c>
      <c r="O551" s="1" t="s">
        <v>77</v>
      </c>
      <c r="P551" s="1" t="s">
        <v>27</v>
      </c>
      <c r="Q551" s="1" t="s">
        <v>86</v>
      </c>
      <c r="R551" s="1" t="s">
        <v>94</v>
      </c>
      <c r="S551" s="1" t="s">
        <v>87</v>
      </c>
      <c r="T551" s="1" t="s">
        <v>88</v>
      </c>
      <c r="X551" s="1" t="s">
        <v>73</v>
      </c>
      <c r="Z551" s="1" t="s">
        <v>70</v>
      </c>
      <c r="AA551" s="1" t="s">
        <v>95</v>
      </c>
      <c r="AB551" s="1">
        <v>5</v>
      </c>
      <c r="AC551" s="1">
        <v>748784.59</v>
      </c>
      <c r="AD551" s="1">
        <v>8930553.8699999992</v>
      </c>
      <c r="AE551" s="1">
        <v>210.18</v>
      </c>
      <c r="AF551" s="1">
        <v>748784.59</v>
      </c>
      <c r="AG551" s="1">
        <v>8930553.8699999992</v>
      </c>
      <c r="AH551" s="1">
        <v>199.4</v>
      </c>
      <c r="AI551" s="1">
        <v>10.78</v>
      </c>
      <c r="AJ551" s="1">
        <v>0.6</v>
      </c>
      <c r="AK551" s="1">
        <v>2.97</v>
      </c>
      <c r="AL551" s="1">
        <v>2.58</v>
      </c>
      <c r="AM551" s="1">
        <v>0</v>
      </c>
      <c r="AN551" s="1">
        <v>0</v>
      </c>
      <c r="AO551" s="1">
        <v>279.95422539999998</v>
      </c>
      <c r="AP551" s="1">
        <v>3.31</v>
      </c>
      <c r="AQ551" s="1">
        <v>0.42</v>
      </c>
      <c r="AR551" s="1">
        <v>0.09</v>
      </c>
      <c r="AS551" s="1">
        <v>7.0000000000000007E-2</v>
      </c>
      <c r="AT551" s="1">
        <v>16.510000000000002</v>
      </c>
      <c r="AU551" s="1">
        <v>4.57</v>
      </c>
      <c r="AV551" s="1">
        <v>0.2</v>
      </c>
      <c r="AW551" s="1">
        <v>2.0699999999999998</v>
      </c>
      <c r="AX551" s="1">
        <v>8.66</v>
      </c>
      <c r="AY551" s="1">
        <v>0</v>
      </c>
      <c r="AZ551" s="1">
        <v>105.997</v>
      </c>
      <c r="BA551" s="1">
        <v>0</v>
      </c>
      <c r="BB551" s="1">
        <v>0</v>
      </c>
      <c r="BC551" s="1">
        <v>0</v>
      </c>
      <c r="BD551" s="1">
        <v>0</v>
      </c>
    </row>
    <row r="552" spans="1:56">
      <c r="A552" s="18">
        <v>46192</v>
      </c>
      <c r="B552" s="1">
        <v>551</v>
      </c>
      <c r="C552" s="1" t="s">
        <v>89</v>
      </c>
      <c r="D552" s="1" t="s">
        <v>90</v>
      </c>
      <c r="E552" s="1">
        <v>2</v>
      </c>
      <c r="F552" s="1">
        <v>200</v>
      </c>
      <c r="G552" s="1">
        <v>1</v>
      </c>
      <c r="H552" s="1" t="s">
        <v>91</v>
      </c>
      <c r="I552" s="1" t="s">
        <v>79</v>
      </c>
      <c r="J552" s="1" t="s">
        <v>80</v>
      </c>
      <c r="K552" s="1" t="s">
        <v>74</v>
      </c>
      <c r="L552" s="1" t="s">
        <v>72</v>
      </c>
      <c r="M552" s="1" t="s">
        <v>75</v>
      </c>
      <c r="N552" s="1" t="s">
        <v>76</v>
      </c>
      <c r="O552" s="1" t="s">
        <v>77</v>
      </c>
      <c r="P552" s="1" t="s">
        <v>27</v>
      </c>
      <c r="Q552" s="1" t="s">
        <v>86</v>
      </c>
      <c r="R552" s="1" t="s">
        <v>94</v>
      </c>
      <c r="S552" s="1" t="s">
        <v>87</v>
      </c>
      <c r="T552" s="1" t="s">
        <v>88</v>
      </c>
      <c r="X552" s="1" t="s">
        <v>73</v>
      </c>
      <c r="Z552" s="1" t="s">
        <v>70</v>
      </c>
      <c r="AA552" s="1" t="s">
        <v>95</v>
      </c>
      <c r="AB552" s="1">
        <v>5</v>
      </c>
      <c r="AC552" s="1">
        <v>748782.34</v>
      </c>
      <c r="AD552" s="1">
        <v>8930555.8100000005</v>
      </c>
      <c r="AE552" s="1">
        <v>210.28</v>
      </c>
      <c r="AF552" s="1">
        <v>748782.34</v>
      </c>
      <c r="AG552" s="1">
        <v>8930555.8100000005</v>
      </c>
      <c r="AH552" s="1">
        <v>199.4</v>
      </c>
      <c r="AI552" s="1">
        <v>10.88</v>
      </c>
      <c r="AJ552" s="1">
        <v>0.6</v>
      </c>
      <c r="AK552" s="1">
        <v>2.97</v>
      </c>
      <c r="AL552" s="1">
        <v>2.58</v>
      </c>
      <c r="AM552" s="1">
        <v>0</v>
      </c>
      <c r="AN552" s="1">
        <v>0</v>
      </c>
      <c r="AO552" s="1">
        <v>279.95422539999998</v>
      </c>
      <c r="AP552" s="1">
        <v>3.31</v>
      </c>
      <c r="AQ552" s="1">
        <v>0.42</v>
      </c>
      <c r="AR552" s="1">
        <v>0.09</v>
      </c>
      <c r="AS552" s="1">
        <v>7.0000000000000007E-2</v>
      </c>
      <c r="AT552" s="1">
        <v>16.510000000000002</v>
      </c>
      <c r="AU552" s="1">
        <v>4.57</v>
      </c>
      <c r="AV552" s="1">
        <v>0.2</v>
      </c>
      <c r="AW552" s="1">
        <v>2.0699999999999998</v>
      </c>
      <c r="AX552" s="1">
        <v>8.67</v>
      </c>
      <c r="AY552" s="1">
        <v>0</v>
      </c>
      <c r="AZ552" s="1">
        <v>107.453</v>
      </c>
      <c r="BA552" s="1">
        <v>0</v>
      </c>
      <c r="BB552" s="1">
        <v>0</v>
      </c>
      <c r="BC552" s="1">
        <v>0</v>
      </c>
      <c r="BD552" s="1">
        <v>0</v>
      </c>
    </row>
    <row r="553" spans="1:56">
      <c r="A553" s="18">
        <v>46192</v>
      </c>
      <c r="B553" s="1">
        <v>552</v>
      </c>
      <c r="C553" s="1" t="s">
        <v>89</v>
      </c>
      <c r="D553" s="1" t="s">
        <v>90</v>
      </c>
      <c r="E553" s="1">
        <v>2</v>
      </c>
      <c r="F553" s="1">
        <v>200</v>
      </c>
      <c r="G553" s="1">
        <v>1</v>
      </c>
      <c r="H553" s="1" t="s">
        <v>91</v>
      </c>
      <c r="I553" s="1" t="s">
        <v>79</v>
      </c>
      <c r="J553" s="1" t="s">
        <v>80</v>
      </c>
      <c r="K553" s="1" t="s">
        <v>74</v>
      </c>
      <c r="L553" s="1" t="s">
        <v>72</v>
      </c>
      <c r="M553" s="1" t="s">
        <v>75</v>
      </c>
      <c r="N553" s="1" t="s">
        <v>76</v>
      </c>
      <c r="O553" s="1" t="s">
        <v>77</v>
      </c>
      <c r="P553" s="1" t="s">
        <v>27</v>
      </c>
      <c r="Q553" s="1" t="s">
        <v>86</v>
      </c>
      <c r="R553" s="1" t="s">
        <v>94</v>
      </c>
      <c r="S553" s="1" t="s">
        <v>87</v>
      </c>
      <c r="T553" s="1" t="s">
        <v>88</v>
      </c>
      <c r="X553" s="1" t="s">
        <v>73</v>
      </c>
      <c r="Z553" s="1" t="s">
        <v>70</v>
      </c>
      <c r="AA553" s="1" t="s">
        <v>95</v>
      </c>
      <c r="AB553" s="1">
        <v>5</v>
      </c>
      <c r="AC553" s="1">
        <v>748780.09</v>
      </c>
      <c r="AD553" s="1">
        <v>8930557.7400000002</v>
      </c>
      <c r="AE553" s="1">
        <v>210.27</v>
      </c>
      <c r="AF553" s="1">
        <v>748780.09</v>
      </c>
      <c r="AG553" s="1">
        <v>8930557.7400000002</v>
      </c>
      <c r="AH553" s="1">
        <v>199.4</v>
      </c>
      <c r="AI553" s="1">
        <v>10.87</v>
      </c>
      <c r="AJ553" s="1">
        <v>0.6</v>
      </c>
      <c r="AK553" s="1">
        <v>2.97</v>
      </c>
      <c r="AL553" s="1">
        <v>2.58</v>
      </c>
      <c r="AM553" s="1">
        <v>0</v>
      </c>
      <c r="AN553" s="1">
        <v>0</v>
      </c>
      <c r="AO553" s="1">
        <v>279.95422539999998</v>
      </c>
      <c r="AP553" s="1">
        <v>3.33</v>
      </c>
      <c r="AQ553" s="1">
        <v>0.53</v>
      </c>
      <c r="AR553" s="1">
        <v>0.1</v>
      </c>
      <c r="AS553" s="1">
        <v>0.08</v>
      </c>
      <c r="AT553" s="1">
        <v>18.559999999999999</v>
      </c>
      <c r="AU553" s="1">
        <v>5.16</v>
      </c>
      <c r="AV553" s="1">
        <v>0.27</v>
      </c>
      <c r="AW553" s="1">
        <v>2.02</v>
      </c>
      <c r="AX553" s="1">
        <v>9.27</v>
      </c>
      <c r="AY553" s="1">
        <v>0</v>
      </c>
      <c r="AZ553" s="1">
        <v>107.307</v>
      </c>
      <c r="BA553" s="1">
        <v>0</v>
      </c>
      <c r="BB553" s="1">
        <v>0</v>
      </c>
      <c r="BC553" s="1">
        <v>0</v>
      </c>
      <c r="BD553" s="1">
        <v>0</v>
      </c>
    </row>
    <row r="554" spans="1:56">
      <c r="A554" s="18">
        <v>46192</v>
      </c>
      <c r="B554" s="1">
        <v>553</v>
      </c>
      <c r="C554" s="1" t="s">
        <v>89</v>
      </c>
      <c r="D554" s="1" t="s">
        <v>90</v>
      </c>
      <c r="E554" s="1">
        <v>2</v>
      </c>
      <c r="F554" s="1">
        <v>200</v>
      </c>
      <c r="G554" s="1">
        <v>1</v>
      </c>
      <c r="H554" s="1" t="s">
        <v>91</v>
      </c>
      <c r="I554" s="1" t="s">
        <v>79</v>
      </c>
      <c r="J554" s="1" t="s">
        <v>80</v>
      </c>
      <c r="K554" s="1" t="s">
        <v>74</v>
      </c>
      <c r="L554" s="1" t="s">
        <v>72</v>
      </c>
      <c r="M554" s="1" t="s">
        <v>75</v>
      </c>
      <c r="N554" s="1" t="s">
        <v>76</v>
      </c>
      <c r="O554" s="1" t="s">
        <v>77</v>
      </c>
      <c r="P554" s="1" t="s">
        <v>27</v>
      </c>
      <c r="Q554" s="1" t="s">
        <v>86</v>
      </c>
      <c r="R554" s="1" t="s">
        <v>94</v>
      </c>
      <c r="S554" s="1" t="s">
        <v>87</v>
      </c>
      <c r="T554" s="1" t="s">
        <v>88</v>
      </c>
      <c r="X554" s="1" t="s">
        <v>73</v>
      </c>
      <c r="Z554" s="1" t="s">
        <v>70</v>
      </c>
      <c r="AA554" s="1" t="s">
        <v>95</v>
      </c>
      <c r="AB554" s="1">
        <v>5</v>
      </c>
      <c r="AC554" s="1">
        <v>748777.84</v>
      </c>
      <c r="AD554" s="1">
        <v>8930559.6799999997</v>
      </c>
      <c r="AE554" s="1">
        <v>210.14</v>
      </c>
      <c r="AF554" s="1">
        <v>748777.84</v>
      </c>
      <c r="AG554" s="1">
        <v>8930559.6799999997</v>
      </c>
      <c r="AH554" s="1">
        <v>199.4</v>
      </c>
      <c r="AI554" s="1">
        <v>10.74</v>
      </c>
      <c r="AJ554" s="1">
        <v>0.6</v>
      </c>
      <c r="AK554" s="1">
        <v>2.97</v>
      </c>
      <c r="AL554" s="1">
        <v>2.58</v>
      </c>
      <c r="AM554" s="1">
        <v>0</v>
      </c>
      <c r="AN554" s="1">
        <v>0</v>
      </c>
      <c r="AO554" s="1">
        <v>279.95422539999998</v>
      </c>
      <c r="AP554" s="1">
        <v>3.35</v>
      </c>
      <c r="AQ554" s="1">
        <v>0.72</v>
      </c>
      <c r="AR554" s="1">
        <v>0.13</v>
      </c>
      <c r="AS554" s="1">
        <v>0.11</v>
      </c>
      <c r="AT554" s="1">
        <v>21.92</v>
      </c>
      <c r="AU554" s="1">
        <v>5.95</v>
      </c>
      <c r="AV554" s="1">
        <v>0.34</v>
      </c>
      <c r="AW554" s="1">
        <v>2.14</v>
      </c>
      <c r="AX554" s="1">
        <v>9.11</v>
      </c>
      <c r="AY554" s="1">
        <v>0</v>
      </c>
      <c r="AZ554" s="1">
        <v>105.414</v>
      </c>
      <c r="BA554" s="1">
        <v>0</v>
      </c>
      <c r="BB554" s="1">
        <v>0</v>
      </c>
      <c r="BC554" s="1">
        <v>0</v>
      </c>
      <c r="BD554" s="1">
        <v>0</v>
      </c>
    </row>
    <row r="555" spans="1:56">
      <c r="A555" s="18">
        <v>46192</v>
      </c>
      <c r="B555" s="1">
        <v>554</v>
      </c>
      <c r="C555" s="1" t="s">
        <v>89</v>
      </c>
      <c r="D555" s="1" t="s">
        <v>90</v>
      </c>
      <c r="E555" s="1">
        <v>2</v>
      </c>
      <c r="F555" s="1">
        <v>200</v>
      </c>
      <c r="G555" s="1">
        <v>1</v>
      </c>
      <c r="H555" s="1" t="s">
        <v>91</v>
      </c>
      <c r="I555" s="1" t="s">
        <v>79</v>
      </c>
      <c r="J555" s="1" t="s">
        <v>81</v>
      </c>
      <c r="K555" s="1" t="s">
        <v>74</v>
      </c>
      <c r="L555" s="1" t="s">
        <v>72</v>
      </c>
      <c r="M555" s="1" t="s">
        <v>75</v>
      </c>
      <c r="N555" s="1" t="s">
        <v>76</v>
      </c>
      <c r="O555" s="1" t="s">
        <v>77</v>
      </c>
      <c r="P555" s="1" t="s">
        <v>27</v>
      </c>
      <c r="Q555" s="1" t="s">
        <v>86</v>
      </c>
      <c r="R555" s="1" t="s">
        <v>94</v>
      </c>
      <c r="S555" s="1" t="s">
        <v>87</v>
      </c>
      <c r="T555" s="1" t="s">
        <v>88</v>
      </c>
      <c r="X555" s="1" t="s">
        <v>73</v>
      </c>
      <c r="Z555" s="1" t="s">
        <v>70</v>
      </c>
      <c r="AA555" s="1" t="s">
        <v>95</v>
      </c>
      <c r="AB555" s="1">
        <v>5</v>
      </c>
      <c r="AC555" s="1">
        <v>748775.59</v>
      </c>
      <c r="AD555" s="1">
        <v>8930561.6199999992</v>
      </c>
      <c r="AE555" s="1">
        <v>210.18</v>
      </c>
      <c r="AF555" s="1">
        <v>748775.59</v>
      </c>
      <c r="AG555" s="1">
        <v>8930561.6199999992</v>
      </c>
      <c r="AH555" s="1">
        <v>199.4</v>
      </c>
      <c r="AI555" s="1">
        <v>10.78</v>
      </c>
      <c r="AJ555" s="1">
        <v>0.6</v>
      </c>
      <c r="AK555" s="1">
        <v>2.97</v>
      </c>
      <c r="AL555" s="1">
        <v>2.58</v>
      </c>
      <c r="AM555" s="1">
        <v>0</v>
      </c>
      <c r="AN555" s="1">
        <v>0</v>
      </c>
      <c r="AO555" s="1">
        <v>279.95422539999998</v>
      </c>
      <c r="AP555" s="1">
        <v>3.34</v>
      </c>
      <c r="AQ555" s="1">
        <v>0.8</v>
      </c>
      <c r="AR555" s="1">
        <v>0.14000000000000001</v>
      </c>
      <c r="AS555" s="1">
        <v>0.12</v>
      </c>
      <c r="AT555" s="1">
        <v>23.37</v>
      </c>
      <c r="AU555" s="1">
        <v>6.14</v>
      </c>
      <c r="AV555" s="1">
        <v>0.34</v>
      </c>
      <c r="AW555" s="1">
        <v>2.38</v>
      </c>
      <c r="AX555" s="1">
        <v>8.02</v>
      </c>
      <c r="AY555" s="1">
        <v>0</v>
      </c>
      <c r="AZ555" s="1">
        <v>105.997</v>
      </c>
      <c r="BA555" s="1">
        <v>0</v>
      </c>
      <c r="BB555" s="1">
        <v>0</v>
      </c>
      <c r="BC555" s="1">
        <v>0</v>
      </c>
      <c r="BD555" s="1">
        <v>0</v>
      </c>
    </row>
    <row r="556" spans="1:56">
      <c r="A556" s="18">
        <v>46192</v>
      </c>
      <c r="B556" s="1">
        <v>555</v>
      </c>
      <c r="C556" s="1" t="s">
        <v>89</v>
      </c>
      <c r="D556" s="1" t="s">
        <v>90</v>
      </c>
      <c r="E556" s="1">
        <v>2</v>
      </c>
      <c r="F556" s="1">
        <v>200</v>
      </c>
      <c r="G556" s="1">
        <v>1</v>
      </c>
      <c r="H556" s="1" t="s">
        <v>91</v>
      </c>
      <c r="I556" s="1" t="s">
        <v>79</v>
      </c>
      <c r="J556" s="1" t="s">
        <v>81</v>
      </c>
      <c r="K556" s="1" t="s">
        <v>74</v>
      </c>
      <c r="L556" s="1" t="s">
        <v>72</v>
      </c>
      <c r="M556" s="1" t="s">
        <v>75</v>
      </c>
      <c r="N556" s="1" t="s">
        <v>76</v>
      </c>
      <c r="O556" s="1" t="s">
        <v>77</v>
      </c>
      <c r="P556" s="1" t="s">
        <v>27</v>
      </c>
      <c r="Q556" s="1" t="s">
        <v>86</v>
      </c>
      <c r="R556" s="1" t="s">
        <v>94</v>
      </c>
      <c r="S556" s="1" t="s">
        <v>87</v>
      </c>
      <c r="T556" s="1" t="s">
        <v>88</v>
      </c>
      <c r="X556" s="1" t="s">
        <v>73</v>
      </c>
      <c r="Z556" s="1" t="s">
        <v>70</v>
      </c>
      <c r="AA556" s="1" t="s">
        <v>95</v>
      </c>
      <c r="AB556" s="1">
        <v>5</v>
      </c>
      <c r="AC556" s="1">
        <v>748773.34</v>
      </c>
      <c r="AD556" s="1">
        <v>8930563.5600000005</v>
      </c>
      <c r="AE556" s="1">
        <v>210.17</v>
      </c>
      <c r="AF556" s="1">
        <v>748773.34</v>
      </c>
      <c r="AG556" s="1">
        <v>8930563.5600000005</v>
      </c>
      <c r="AH556" s="1">
        <v>199.4</v>
      </c>
      <c r="AI556" s="1">
        <v>10.77</v>
      </c>
      <c r="AJ556" s="1">
        <v>0.6</v>
      </c>
      <c r="AK556" s="1">
        <v>2.97</v>
      </c>
      <c r="AL556" s="1">
        <v>2.58</v>
      </c>
      <c r="AM556" s="1">
        <v>0</v>
      </c>
      <c r="AN556" s="1">
        <v>0</v>
      </c>
      <c r="AO556" s="1">
        <v>279.95422539999998</v>
      </c>
      <c r="AP556" s="1">
        <v>3.34</v>
      </c>
      <c r="AQ556" s="1">
        <v>0.81</v>
      </c>
      <c r="AR556" s="1">
        <v>0.14000000000000001</v>
      </c>
      <c r="AS556" s="1">
        <v>0.12</v>
      </c>
      <c r="AT556" s="1">
        <v>23.54</v>
      </c>
      <c r="AU556" s="1">
        <v>6.16</v>
      </c>
      <c r="AV556" s="1">
        <v>0.34</v>
      </c>
      <c r="AW556" s="1">
        <v>2.41</v>
      </c>
      <c r="AX556" s="1">
        <v>7.89</v>
      </c>
      <c r="AY556" s="1">
        <v>0</v>
      </c>
      <c r="AZ556" s="1">
        <v>105.851</v>
      </c>
      <c r="BA556" s="1">
        <v>0</v>
      </c>
      <c r="BB556" s="1">
        <v>0</v>
      </c>
      <c r="BC556" s="1">
        <v>0</v>
      </c>
      <c r="BD556" s="1">
        <v>0</v>
      </c>
    </row>
    <row r="557" spans="1:56">
      <c r="A557" s="18">
        <v>46192</v>
      </c>
      <c r="B557" s="1">
        <v>556</v>
      </c>
      <c r="C557" s="1" t="s">
        <v>89</v>
      </c>
      <c r="D557" s="1" t="s">
        <v>90</v>
      </c>
      <c r="E557" s="1">
        <v>2</v>
      </c>
      <c r="F557" s="1">
        <v>200</v>
      </c>
      <c r="G557" s="1">
        <v>1</v>
      </c>
      <c r="H557" s="1" t="s">
        <v>91</v>
      </c>
      <c r="I557" s="1" t="s">
        <v>79</v>
      </c>
      <c r="J557" s="1" t="s">
        <v>81</v>
      </c>
      <c r="K557" s="1" t="s">
        <v>74</v>
      </c>
      <c r="L557" s="1" t="s">
        <v>72</v>
      </c>
      <c r="M557" s="1" t="s">
        <v>75</v>
      </c>
      <c r="N557" s="1" t="s">
        <v>76</v>
      </c>
      <c r="O557" s="1" t="s">
        <v>77</v>
      </c>
      <c r="P557" s="1" t="s">
        <v>27</v>
      </c>
      <c r="Q557" s="1" t="s">
        <v>86</v>
      </c>
      <c r="R557" s="1" t="s">
        <v>94</v>
      </c>
      <c r="S557" s="1" t="s">
        <v>87</v>
      </c>
      <c r="T557" s="1" t="s">
        <v>88</v>
      </c>
      <c r="X557" s="1" t="s">
        <v>73</v>
      </c>
      <c r="Z557" s="1" t="s">
        <v>70</v>
      </c>
      <c r="AA557" s="1" t="s">
        <v>95</v>
      </c>
      <c r="AB557" s="1">
        <v>5</v>
      </c>
      <c r="AC557" s="1">
        <v>748771.09</v>
      </c>
      <c r="AD557" s="1">
        <v>8930565.5</v>
      </c>
      <c r="AE557" s="1">
        <v>210.03</v>
      </c>
      <c r="AF557" s="1">
        <v>748771.09</v>
      </c>
      <c r="AG557" s="1">
        <v>8930565.5</v>
      </c>
      <c r="AH557" s="1">
        <v>199.4</v>
      </c>
      <c r="AI557" s="1">
        <v>10.63</v>
      </c>
      <c r="AJ557" s="1">
        <v>0.6</v>
      </c>
      <c r="AK557" s="1">
        <v>2.97</v>
      </c>
      <c r="AL557" s="1">
        <v>2.58</v>
      </c>
      <c r="AM557" s="1">
        <v>0</v>
      </c>
      <c r="AN557" s="1">
        <v>0</v>
      </c>
      <c r="AO557" s="1">
        <v>279.95422539999998</v>
      </c>
      <c r="AP557" s="1">
        <v>3.34</v>
      </c>
      <c r="AQ557" s="1">
        <v>0.82</v>
      </c>
      <c r="AR557" s="1">
        <v>0.14000000000000001</v>
      </c>
      <c r="AS557" s="1">
        <v>0.12</v>
      </c>
      <c r="AT557" s="1">
        <v>23.91</v>
      </c>
      <c r="AU557" s="1">
        <v>6.15</v>
      </c>
      <c r="AV557" s="1">
        <v>0.34</v>
      </c>
      <c r="AW557" s="1">
        <v>2.39</v>
      </c>
      <c r="AX557" s="1">
        <v>7.87</v>
      </c>
      <c r="AY557" s="1">
        <v>0</v>
      </c>
      <c r="AZ557" s="1">
        <v>103.813</v>
      </c>
      <c r="BA557" s="1">
        <v>0</v>
      </c>
      <c r="BB557" s="1">
        <v>0</v>
      </c>
      <c r="BC557" s="1">
        <v>0</v>
      </c>
      <c r="BD557" s="1">
        <v>0</v>
      </c>
    </row>
    <row r="558" spans="1:56">
      <c r="A558" s="18">
        <v>46192</v>
      </c>
      <c r="B558" s="1">
        <v>557</v>
      </c>
      <c r="C558" s="1" t="s">
        <v>89</v>
      </c>
      <c r="D558" s="1" t="s">
        <v>90</v>
      </c>
      <c r="E558" s="1">
        <v>2</v>
      </c>
      <c r="F558" s="1">
        <v>200</v>
      </c>
      <c r="G558" s="1">
        <v>1</v>
      </c>
      <c r="H558" s="1" t="s">
        <v>91</v>
      </c>
      <c r="I558" s="1" t="s">
        <v>79</v>
      </c>
      <c r="J558" s="1" t="s">
        <v>81</v>
      </c>
      <c r="K558" s="1" t="s">
        <v>74</v>
      </c>
      <c r="L558" s="1" t="s">
        <v>72</v>
      </c>
      <c r="M558" s="1" t="s">
        <v>75</v>
      </c>
      <c r="N558" s="1" t="s">
        <v>76</v>
      </c>
      <c r="O558" s="1" t="s">
        <v>77</v>
      </c>
      <c r="P558" s="1" t="s">
        <v>27</v>
      </c>
      <c r="Q558" s="1" t="s">
        <v>86</v>
      </c>
      <c r="R558" s="1" t="s">
        <v>94</v>
      </c>
      <c r="S558" s="1" t="s">
        <v>87</v>
      </c>
      <c r="T558" s="1" t="s">
        <v>88</v>
      </c>
      <c r="X558" s="1" t="s">
        <v>73</v>
      </c>
      <c r="Z558" s="1" t="s">
        <v>70</v>
      </c>
      <c r="AA558" s="1" t="s">
        <v>95</v>
      </c>
      <c r="AB558" s="1">
        <v>5</v>
      </c>
      <c r="AC558" s="1">
        <v>748768.79</v>
      </c>
      <c r="AD558" s="1">
        <v>8930567.3800000008</v>
      </c>
      <c r="AE558" s="1">
        <v>209.88</v>
      </c>
      <c r="AF558" s="1">
        <v>748768.79</v>
      </c>
      <c r="AG558" s="1">
        <v>8930567.3800000008</v>
      </c>
      <c r="AH558" s="1">
        <v>199.4</v>
      </c>
      <c r="AI558" s="1">
        <v>10.48</v>
      </c>
      <c r="AJ558" s="1">
        <v>0.6</v>
      </c>
      <c r="AK558" s="1">
        <v>2.97</v>
      </c>
      <c r="AL558" s="1">
        <v>2.58</v>
      </c>
      <c r="AM558" s="1">
        <v>0</v>
      </c>
      <c r="AN558" s="1">
        <v>0</v>
      </c>
      <c r="AO558" s="1">
        <v>279.95422539999998</v>
      </c>
      <c r="AP558" s="1">
        <v>3.36</v>
      </c>
      <c r="AQ558" s="1">
        <v>0.85</v>
      </c>
      <c r="AR558" s="1">
        <v>0.15</v>
      </c>
      <c r="AS558" s="1">
        <v>0.13</v>
      </c>
      <c r="AT558" s="1">
        <v>25.24</v>
      </c>
      <c r="AU558" s="1">
        <v>6.11</v>
      </c>
      <c r="AV558" s="1">
        <v>0.37</v>
      </c>
      <c r="AW558" s="1">
        <v>2.2999999999999998</v>
      </c>
      <c r="AX558" s="1">
        <v>7.8</v>
      </c>
      <c r="AY558" s="1">
        <v>0</v>
      </c>
      <c r="AZ558" s="1">
        <v>101.629</v>
      </c>
      <c r="BA558" s="1">
        <v>0</v>
      </c>
      <c r="BB558" s="1">
        <v>0</v>
      </c>
      <c r="BC558" s="1">
        <v>0</v>
      </c>
      <c r="BD558" s="1">
        <v>0</v>
      </c>
    </row>
    <row r="559" spans="1:56">
      <c r="A559" s="18">
        <v>46192</v>
      </c>
      <c r="B559" s="1">
        <v>558</v>
      </c>
      <c r="C559" s="1" t="s">
        <v>89</v>
      </c>
      <c r="D559" s="1" t="s">
        <v>90</v>
      </c>
      <c r="E559" s="1">
        <v>2</v>
      </c>
      <c r="F559" s="1">
        <v>200</v>
      </c>
      <c r="G559" s="1">
        <v>1</v>
      </c>
      <c r="H559" s="1" t="s">
        <v>91</v>
      </c>
      <c r="I559" s="1" t="s">
        <v>79</v>
      </c>
      <c r="J559" s="1" t="s">
        <v>81</v>
      </c>
      <c r="K559" s="1" t="s">
        <v>74</v>
      </c>
      <c r="L559" s="1" t="s">
        <v>72</v>
      </c>
      <c r="M559" s="1" t="s">
        <v>75</v>
      </c>
      <c r="N559" s="1" t="s">
        <v>76</v>
      </c>
      <c r="O559" s="1" t="s">
        <v>77</v>
      </c>
      <c r="P559" s="1" t="s">
        <v>27</v>
      </c>
      <c r="Q559" s="1" t="s">
        <v>86</v>
      </c>
      <c r="R559" s="1" t="s">
        <v>94</v>
      </c>
      <c r="S559" s="1" t="s">
        <v>87</v>
      </c>
      <c r="T559" s="1" t="s">
        <v>88</v>
      </c>
      <c r="X559" s="1" t="s">
        <v>73</v>
      </c>
      <c r="Z559" s="1" t="s">
        <v>70</v>
      </c>
      <c r="AA559" s="1" t="s">
        <v>95</v>
      </c>
      <c r="AB559" s="1">
        <v>5</v>
      </c>
      <c r="AC559" s="1">
        <v>748766.47</v>
      </c>
      <c r="AD559" s="1">
        <v>8930569.2200000007</v>
      </c>
      <c r="AE559" s="1">
        <v>209.79</v>
      </c>
      <c r="AF559" s="1">
        <v>748766.47</v>
      </c>
      <c r="AG559" s="1">
        <v>8930569.2200000007</v>
      </c>
      <c r="AH559" s="1">
        <v>199.4</v>
      </c>
      <c r="AI559" s="1">
        <v>10.39</v>
      </c>
      <c r="AJ559" s="1">
        <v>0.6</v>
      </c>
      <c r="AK559" s="1">
        <v>2.97</v>
      </c>
      <c r="AL559" s="1">
        <v>2.58</v>
      </c>
      <c r="AM559" s="1">
        <v>0</v>
      </c>
      <c r="AN559" s="1">
        <v>0</v>
      </c>
      <c r="AO559" s="1">
        <v>279.95422539999998</v>
      </c>
      <c r="AP559" s="1">
        <v>3.37</v>
      </c>
      <c r="AQ559" s="1">
        <v>0.85</v>
      </c>
      <c r="AR559" s="1">
        <v>0.15</v>
      </c>
      <c r="AS559" s="1">
        <v>0.13</v>
      </c>
      <c r="AT559" s="1">
        <v>25.68</v>
      </c>
      <c r="AU559" s="1">
        <v>6.07</v>
      </c>
      <c r="AV559" s="1">
        <v>0.37</v>
      </c>
      <c r="AW559" s="1">
        <v>2.31</v>
      </c>
      <c r="AX559" s="1">
        <v>7.73</v>
      </c>
      <c r="AY559" s="1">
        <v>0</v>
      </c>
      <c r="AZ559" s="1">
        <v>100.318</v>
      </c>
      <c r="BA559" s="1">
        <v>0</v>
      </c>
      <c r="BB559" s="1">
        <v>0</v>
      </c>
      <c r="BC559" s="1">
        <v>0</v>
      </c>
      <c r="BD559" s="1">
        <v>0</v>
      </c>
    </row>
    <row r="560" spans="1:56">
      <c r="A560" s="18">
        <v>46192</v>
      </c>
      <c r="B560" s="1">
        <v>559</v>
      </c>
      <c r="C560" s="1" t="s">
        <v>89</v>
      </c>
      <c r="D560" s="1" t="s">
        <v>90</v>
      </c>
      <c r="E560" s="1">
        <v>2</v>
      </c>
      <c r="F560" s="1">
        <v>200</v>
      </c>
      <c r="G560" s="1">
        <v>1</v>
      </c>
      <c r="H560" s="1" t="s">
        <v>91</v>
      </c>
      <c r="I560" s="1" t="s">
        <v>79</v>
      </c>
      <c r="J560" s="1" t="s">
        <v>81</v>
      </c>
      <c r="K560" s="1" t="s">
        <v>74</v>
      </c>
      <c r="L560" s="1" t="s">
        <v>72</v>
      </c>
      <c r="M560" s="1" t="s">
        <v>75</v>
      </c>
      <c r="N560" s="1" t="s">
        <v>76</v>
      </c>
      <c r="O560" s="1" t="s">
        <v>77</v>
      </c>
      <c r="P560" s="1" t="s">
        <v>27</v>
      </c>
      <c r="Q560" s="1" t="s">
        <v>86</v>
      </c>
      <c r="R560" s="1" t="s">
        <v>94</v>
      </c>
      <c r="S560" s="1" t="s">
        <v>87</v>
      </c>
      <c r="T560" s="1" t="s">
        <v>88</v>
      </c>
      <c r="X560" s="1" t="s">
        <v>73</v>
      </c>
      <c r="Z560" s="1" t="s">
        <v>70</v>
      </c>
      <c r="AA560" s="1" t="s">
        <v>95</v>
      </c>
      <c r="AB560" s="1">
        <v>5</v>
      </c>
      <c r="AC560" s="1">
        <v>748764.14</v>
      </c>
      <c r="AD560" s="1">
        <v>8930571.0700000003</v>
      </c>
      <c r="AE560" s="1">
        <v>209.82</v>
      </c>
      <c r="AF560" s="1">
        <v>748764.14</v>
      </c>
      <c r="AG560" s="1">
        <v>8930571.0700000003</v>
      </c>
      <c r="AH560" s="1">
        <v>199.4</v>
      </c>
      <c r="AI560" s="1">
        <v>10.42</v>
      </c>
      <c r="AJ560" s="1">
        <v>0.6</v>
      </c>
      <c r="AK560" s="1">
        <v>2.97</v>
      </c>
      <c r="AL560" s="1">
        <v>2.58</v>
      </c>
      <c r="AM560" s="1">
        <v>0</v>
      </c>
      <c r="AN560" s="1">
        <v>0</v>
      </c>
      <c r="AO560" s="1">
        <v>279.95422539999998</v>
      </c>
      <c r="AP560" s="1">
        <v>3.37</v>
      </c>
      <c r="AQ560" s="1">
        <v>0.85</v>
      </c>
      <c r="AR560" s="1">
        <v>0.15</v>
      </c>
      <c r="AS560" s="1">
        <v>0.13</v>
      </c>
      <c r="AT560" s="1">
        <v>25.94</v>
      </c>
      <c r="AU560" s="1">
        <v>6.01</v>
      </c>
      <c r="AV560" s="1">
        <v>0.36</v>
      </c>
      <c r="AW560" s="1">
        <v>2.37</v>
      </c>
      <c r="AX560" s="1">
        <v>7.63</v>
      </c>
      <c r="AY560" s="1">
        <v>0</v>
      </c>
      <c r="AZ560" s="1">
        <v>100.755</v>
      </c>
      <c r="BA560" s="1">
        <v>0</v>
      </c>
      <c r="BB560" s="1">
        <v>0</v>
      </c>
      <c r="BC560" s="1">
        <v>0</v>
      </c>
      <c r="BD560" s="1">
        <v>0</v>
      </c>
    </row>
    <row r="561" spans="1:56">
      <c r="A561" s="18">
        <v>46192</v>
      </c>
      <c r="B561" s="1">
        <v>560</v>
      </c>
      <c r="C561" s="1" t="s">
        <v>89</v>
      </c>
      <c r="D561" s="1" t="s">
        <v>90</v>
      </c>
      <c r="E561" s="1">
        <v>2</v>
      </c>
      <c r="F561" s="1">
        <v>200</v>
      </c>
      <c r="G561" s="1">
        <v>1</v>
      </c>
      <c r="H561" s="1" t="s">
        <v>91</v>
      </c>
      <c r="I561" s="1" t="s">
        <v>79</v>
      </c>
      <c r="J561" s="1" t="s">
        <v>81</v>
      </c>
      <c r="K561" s="1" t="s">
        <v>74</v>
      </c>
      <c r="L561" s="1" t="s">
        <v>72</v>
      </c>
      <c r="M561" s="1" t="s">
        <v>75</v>
      </c>
      <c r="N561" s="1" t="s">
        <v>76</v>
      </c>
      <c r="O561" s="1" t="s">
        <v>77</v>
      </c>
      <c r="P561" s="1" t="s">
        <v>27</v>
      </c>
      <c r="Q561" s="1" t="s">
        <v>86</v>
      </c>
      <c r="R561" s="1" t="s">
        <v>94</v>
      </c>
      <c r="S561" s="1" t="s">
        <v>87</v>
      </c>
      <c r="T561" s="1" t="s">
        <v>88</v>
      </c>
      <c r="X561" s="1" t="s">
        <v>73</v>
      </c>
      <c r="Z561" s="1" t="s">
        <v>70</v>
      </c>
      <c r="AA561" s="1" t="s">
        <v>95</v>
      </c>
      <c r="AB561" s="1">
        <v>5</v>
      </c>
      <c r="AC561" s="1">
        <v>748761.82</v>
      </c>
      <c r="AD561" s="1">
        <v>8930572.9199999999</v>
      </c>
      <c r="AE561" s="1">
        <v>209.81</v>
      </c>
      <c r="AF561" s="1">
        <v>748761.82</v>
      </c>
      <c r="AG561" s="1">
        <v>8930572.9199999999</v>
      </c>
      <c r="AH561" s="1">
        <v>199.4</v>
      </c>
      <c r="AI561" s="1">
        <v>10.41</v>
      </c>
      <c r="AJ561" s="1">
        <v>0.6</v>
      </c>
      <c r="AK561" s="1">
        <v>2.97</v>
      </c>
      <c r="AL561" s="1">
        <v>2.58</v>
      </c>
      <c r="AM561" s="1">
        <v>0</v>
      </c>
      <c r="AN561" s="1">
        <v>0</v>
      </c>
      <c r="AO561" s="1">
        <v>279.95422539999998</v>
      </c>
      <c r="AP561" s="1">
        <v>3.37</v>
      </c>
      <c r="AQ561" s="1">
        <v>0.85</v>
      </c>
      <c r="AR561" s="1">
        <v>0.15</v>
      </c>
      <c r="AS561" s="1">
        <v>0.13</v>
      </c>
      <c r="AT561" s="1">
        <v>25.95</v>
      </c>
      <c r="AU561" s="1">
        <v>5.99</v>
      </c>
      <c r="AV561" s="1">
        <v>0.36</v>
      </c>
      <c r="AW561" s="1">
        <v>2.39</v>
      </c>
      <c r="AX561" s="1">
        <v>7.64</v>
      </c>
      <c r="AY561" s="1">
        <v>0</v>
      </c>
      <c r="AZ561" s="1">
        <v>100.61</v>
      </c>
      <c r="BA561" s="1">
        <v>0</v>
      </c>
      <c r="BB561" s="1">
        <v>0</v>
      </c>
      <c r="BC561" s="1">
        <v>0</v>
      </c>
      <c r="BD561" s="1">
        <v>0</v>
      </c>
    </row>
    <row r="562" spans="1:56">
      <c r="A562" s="18">
        <v>46192</v>
      </c>
      <c r="B562" s="1">
        <v>561</v>
      </c>
      <c r="C562" s="1" t="s">
        <v>89</v>
      </c>
      <c r="D562" s="1" t="s">
        <v>90</v>
      </c>
      <c r="E562" s="1">
        <v>2</v>
      </c>
      <c r="F562" s="1">
        <v>200</v>
      </c>
      <c r="G562" s="1">
        <v>1</v>
      </c>
      <c r="H562" s="1" t="s">
        <v>91</v>
      </c>
      <c r="I562" s="1" t="s">
        <v>79</v>
      </c>
      <c r="J562" s="1" t="s">
        <v>81</v>
      </c>
      <c r="K562" s="1" t="s">
        <v>74</v>
      </c>
      <c r="L562" s="1" t="s">
        <v>72</v>
      </c>
      <c r="M562" s="1" t="s">
        <v>75</v>
      </c>
      <c r="N562" s="1" t="s">
        <v>76</v>
      </c>
      <c r="O562" s="1" t="s">
        <v>77</v>
      </c>
      <c r="P562" s="1" t="s">
        <v>27</v>
      </c>
      <c r="Q562" s="1" t="s">
        <v>86</v>
      </c>
      <c r="R562" s="1" t="s">
        <v>94</v>
      </c>
      <c r="S562" s="1" t="s">
        <v>87</v>
      </c>
      <c r="T562" s="1" t="s">
        <v>88</v>
      </c>
      <c r="X562" s="1" t="s">
        <v>73</v>
      </c>
      <c r="Z562" s="1" t="s">
        <v>70</v>
      </c>
      <c r="AA562" s="1" t="s">
        <v>95</v>
      </c>
      <c r="AB562" s="1">
        <v>5</v>
      </c>
      <c r="AC562" s="1">
        <v>748759.43</v>
      </c>
      <c r="AD562" s="1">
        <v>8930574.6600000001</v>
      </c>
      <c r="AE562" s="1">
        <v>209.86</v>
      </c>
      <c r="AF562" s="1">
        <v>748759.43</v>
      </c>
      <c r="AG562" s="1">
        <v>8930574.6600000001</v>
      </c>
      <c r="AH562" s="1">
        <v>199.4</v>
      </c>
      <c r="AI562" s="1">
        <v>10.46</v>
      </c>
      <c r="AJ562" s="1">
        <v>0.6</v>
      </c>
      <c r="AK562" s="1">
        <v>2.97</v>
      </c>
      <c r="AL562" s="1">
        <v>2.58</v>
      </c>
      <c r="AM562" s="1">
        <v>0</v>
      </c>
      <c r="AN562" s="1">
        <v>0</v>
      </c>
      <c r="AO562" s="1">
        <v>279.95422539999998</v>
      </c>
      <c r="AP562" s="1">
        <v>3.41</v>
      </c>
      <c r="AQ562" s="1">
        <v>0.75</v>
      </c>
      <c r="AR562" s="1">
        <v>0.14000000000000001</v>
      </c>
      <c r="AS562" s="1">
        <v>0.12</v>
      </c>
      <c r="AT562" s="1">
        <v>24.21</v>
      </c>
      <c r="AU562" s="1">
        <v>6.03</v>
      </c>
      <c r="AV562" s="1">
        <v>0.32</v>
      </c>
      <c r="AW562" s="1">
        <v>2.35</v>
      </c>
      <c r="AX562" s="1">
        <v>8.42</v>
      </c>
      <c r="AY562" s="1">
        <v>0</v>
      </c>
      <c r="AZ562" s="1">
        <v>101.33799999999999</v>
      </c>
      <c r="BA562" s="1">
        <v>0</v>
      </c>
      <c r="BB562" s="1">
        <v>0</v>
      </c>
      <c r="BC562" s="1">
        <v>0</v>
      </c>
      <c r="BD562" s="1">
        <v>0</v>
      </c>
    </row>
    <row r="563" spans="1:56">
      <c r="A563" s="18">
        <v>46192</v>
      </c>
      <c r="B563" s="1">
        <v>562</v>
      </c>
      <c r="C563" s="1" t="s">
        <v>89</v>
      </c>
      <c r="D563" s="1" t="s">
        <v>90</v>
      </c>
      <c r="E563" s="1">
        <v>2</v>
      </c>
      <c r="F563" s="1">
        <v>200</v>
      </c>
      <c r="G563" s="1">
        <v>1</v>
      </c>
      <c r="H563" s="1" t="s">
        <v>91</v>
      </c>
      <c r="I563" s="1" t="s">
        <v>79</v>
      </c>
      <c r="J563" s="1" t="s">
        <v>81</v>
      </c>
      <c r="K563" s="1" t="s">
        <v>74</v>
      </c>
      <c r="L563" s="1" t="s">
        <v>72</v>
      </c>
      <c r="M563" s="1" t="s">
        <v>75</v>
      </c>
      <c r="N563" s="1" t="s">
        <v>76</v>
      </c>
      <c r="O563" s="1" t="s">
        <v>77</v>
      </c>
      <c r="P563" s="1" t="s">
        <v>27</v>
      </c>
      <c r="Q563" s="1" t="s">
        <v>86</v>
      </c>
      <c r="R563" s="1" t="s">
        <v>94</v>
      </c>
      <c r="S563" s="1" t="s">
        <v>87</v>
      </c>
      <c r="T563" s="1" t="s">
        <v>88</v>
      </c>
      <c r="X563" s="1" t="s">
        <v>73</v>
      </c>
      <c r="Z563" s="1" t="s">
        <v>70</v>
      </c>
      <c r="AA563" s="1" t="s">
        <v>95</v>
      </c>
      <c r="AB563" s="1">
        <v>5</v>
      </c>
      <c r="AC563" s="1">
        <v>748756.62</v>
      </c>
      <c r="AD563" s="1">
        <v>8930575.6099999994</v>
      </c>
      <c r="AE563" s="1">
        <v>209.93</v>
      </c>
      <c r="AF563" s="1">
        <v>748756.62</v>
      </c>
      <c r="AG563" s="1">
        <v>8930575.6099999994</v>
      </c>
      <c r="AH563" s="1">
        <v>199.4</v>
      </c>
      <c r="AI563" s="1">
        <v>10.53</v>
      </c>
      <c r="AJ563" s="1">
        <v>0.6</v>
      </c>
      <c r="AK563" s="1">
        <v>2.97</v>
      </c>
      <c r="AL563" s="1">
        <v>2.58</v>
      </c>
      <c r="AM563" s="1">
        <v>0</v>
      </c>
      <c r="AN563" s="1">
        <v>0</v>
      </c>
      <c r="AO563" s="1">
        <v>279.95422539999998</v>
      </c>
      <c r="AP563" s="1">
        <v>3.43</v>
      </c>
      <c r="AQ563" s="1">
        <v>0.71</v>
      </c>
      <c r="AR563" s="1">
        <v>0.13</v>
      </c>
      <c r="AS563" s="1">
        <v>0.11</v>
      </c>
      <c r="AT563" s="1">
        <v>23.33</v>
      </c>
      <c r="AU563" s="1">
        <v>6.05</v>
      </c>
      <c r="AV563" s="1">
        <v>0.31</v>
      </c>
      <c r="AW563" s="1">
        <v>2.3199999999999998</v>
      </c>
      <c r="AX563" s="1">
        <v>8.82</v>
      </c>
      <c r="AY563" s="1">
        <v>0</v>
      </c>
      <c r="AZ563" s="1">
        <v>102.357</v>
      </c>
      <c r="BA563" s="1">
        <v>0</v>
      </c>
      <c r="BB563" s="1">
        <v>0</v>
      </c>
      <c r="BC563" s="1">
        <v>0</v>
      </c>
      <c r="BD563" s="1">
        <v>0</v>
      </c>
    </row>
    <row r="564" spans="1:56">
      <c r="A564" s="18">
        <v>46192</v>
      </c>
      <c r="B564" s="1">
        <v>563</v>
      </c>
      <c r="C564" s="1" t="s">
        <v>89</v>
      </c>
      <c r="D564" s="1" t="s">
        <v>90</v>
      </c>
      <c r="E564" s="1">
        <v>2</v>
      </c>
      <c r="F564" s="1">
        <v>200</v>
      </c>
      <c r="G564" s="1">
        <v>1</v>
      </c>
      <c r="H564" s="1" t="s">
        <v>91</v>
      </c>
      <c r="I564" s="1" t="s">
        <v>79</v>
      </c>
      <c r="J564" s="1" t="s">
        <v>81</v>
      </c>
      <c r="K564" s="1" t="s">
        <v>74</v>
      </c>
      <c r="L564" s="1" t="s">
        <v>72</v>
      </c>
      <c r="M564" s="1" t="s">
        <v>75</v>
      </c>
      <c r="N564" s="1" t="s">
        <v>76</v>
      </c>
      <c r="O564" s="1" t="s">
        <v>77</v>
      </c>
      <c r="P564" s="1" t="s">
        <v>27</v>
      </c>
      <c r="Q564" s="1" t="s">
        <v>86</v>
      </c>
      <c r="R564" s="1" t="s">
        <v>94</v>
      </c>
      <c r="S564" s="1" t="s">
        <v>87</v>
      </c>
      <c r="T564" s="1" t="s">
        <v>88</v>
      </c>
      <c r="X564" s="1" t="s">
        <v>73</v>
      </c>
      <c r="Z564" s="1" t="s">
        <v>70</v>
      </c>
      <c r="AA564" s="1" t="s">
        <v>95</v>
      </c>
      <c r="AB564" s="1">
        <v>5</v>
      </c>
      <c r="AC564" s="1">
        <v>748753.81</v>
      </c>
      <c r="AD564" s="1">
        <v>8930576.5600000005</v>
      </c>
      <c r="AE564" s="1">
        <v>210.09</v>
      </c>
      <c r="AF564" s="1">
        <v>748753.81</v>
      </c>
      <c r="AG564" s="1">
        <v>8930576.5600000005</v>
      </c>
      <c r="AH564" s="1">
        <v>199.4</v>
      </c>
      <c r="AI564" s="1">
        <v>10.69</v>
      </c>
      <c r="AJ564" s="1">
        <v>0.6</v>
      </c>
      <c r="AK564" s="1">
        <v>2.97</v>
      </c>
      <c r="AL564" s="1">
        <v>2.58</v>
      </c>
      <c r="AM564" s="1">
        <v>0</v>
      </c>
      <c r="AN564" s="1">
        <v>0</v>
      </c>
      <c r="AO564" s="1">
        <v>279.95422539999998</v>
      </c>
      <c r="AP564" s="1">
        <v>3.43</v>
      </c>
      <c r="AQ564" s="1">
        <v>0.71</v>
      </c>
      <c r="AR564" s="1">
        <v>0.13</v>
      </c>
      <c r="AS564" s="1">
        <v>0.11</v>
      </c>
      <c r="AT564" s="1">
        <v>23.34</v>
      </c>
      <c r="AU564" s="1">
        <v>6.05</v>
      </c>
      <c r="AV564" s="1">
        <v>0.31</v>
      </c>
      <c r="AW564" s="1">
        <v>2.3199999999999998</v>
      </c>
      <c r="AX564" s="1">
        <v>8.83</v>
      </c>
      <c r="AY564" s="1">
        <v>0</v>
      </c>
      <c r="AZ564" s="1">
        <v>104.68600000000001</v>
      </c>
      <c r="BA564" s="1">
        <v>0</v>
      </c>
      <c r="BB564" s="1">
        <v>0</v>
      </c>
      <c r="BC564" s="1">
        <v>0</v>
      </c>
      <c r="BD564" s="1">
        <v>0</v>
      </c>
    </row>
    <row r="565" spans="1:56">
      <c r="A565" s="18">
        <v>46192</v>
      </c>
      <c r="B565" s="1">
        <v>564</v>
      </c>
      <c r="C565" s="1" t="s">
        <v>89</v>
      </c>
      <c r="D565" s="1" t="s">
        <v>96</v>
      </c>
      <c r="E565" s="1">
        <v>2</v>
      </c>
      <c r="F565" s="1">
        <v>200</v>
      </c>
      <c r="G565" s="1">
        <v>1</v>
      </c>
      <c r="H565" s="1" t="s">
        <v>91</v>
      </c>
      <c r="I565" s="1" t="s">
        <v>79</v>
      </c>
      <c r="J565" s="1" t="s">
        <v>81</v>
      </c>
      <c r="K565" s="1" t="s">
        <v>74</v>
      </c>
      <c r="L565" s="1" t="s">
        <v>72</v>
      </c>
      <c r="M565" s="1" t="s">
        <v>75</v>
      </c>
      <c r="N565" s="1" t="s">
        <v>76</v>
      </c>
      <c r="O565" s="1" t="s">
        <v>77</v>
      </c>
      <c r="P565" s="1" t="s">
        <v>27</v>
      </c>
      <c r="Q565" s="1" t="s">
        <v>86</v>
      </c>
      <c r="R565" s="1" t="s">
        <v>94</v>
      </c>
      <c r="S565" s="1" t="s">
        <v>87</v>
      </c>
      <c r="T565" s="1" t="s">
        <v>88</v>
      </c>
      <c r="X565" s="1" t="s">
        <v>73</v>
      </c>
      <c r="Z565" s="1" t="s">
        <v>70</v>
      </c>
      <c r="AA565" s="1" t="s">
        <v>95</v>
      </c>
      <c r="AB565" s="1">
        <v>5</v>
      </c>
      <c r="AC565" s="1">
        <v>748750.99</v>
      </c>
      <c r="AD565" s="1">
        <v>8930577.5099999998</v>
      </c>
      <c r="AE565" s="1">
        <v>210.24</v>
      </c>
      <c r="AF565" s="1">
        <v>748750.99</v>
      </c>
      <c r="AG565" s="1">
        <v>8930577.5099999998</v>
      </c>
      <c r="AH565" s="1">
        <v>199.4</v>
      </c>
      <c r="AI565" s="1">
        <v>10.84</v>
      </c>
      <c r="AJ565" s="1">
        <v>0.6</v>
      </c>
      <c r="AK565" s="1">
        <v>2.97</v>
      </c>
      <c r="AL565" s="1">
        <v>2.58</v>
      </c>
      <c r="AM565" s="1">
        <v>0</v>
      </c>
      <c r="AN565" s="1">
        <v>0</v>
      </c>
      <c r="AO565" s="1">
        <v>279.95422539999998</v>
      </c>
      <c r="AP565" s="1">
        <v>3.43</v>
      </c>
      <c r="AQ565" s="1">
        <v>0.73</v>
      </c>
      <c r="AR565" s="1">
        <v>0.13</v>
      </c>
      <c r="AS565" s="1">
        <v>0.11</v>
      </c>
      <c r="AT565" s="1">
        <v>23.82</v>
      </c>
      <c r="AU565" s="1">
        <v>5.97</v>
      </c>
      <c r="AV565" s="1">
        <v>0.3</v>
      </c>
      <c r="AW565" s="1">
        <v>2.4300000000000002</v>
      </c>
      <c r="AX565" s="1">
        <v>8.41</v>
      </c>
      <c r="AY565" s="1">
        <v>0</v>
      </c>
      <c r="AZ565" s="1">
        <v>106.87</v>
      </c>
      <c r="BA565" s="1">
        <v>0</v>
      </c>
      <c r="BB565" s="1">
        <v>0</v>
      </c>
      <c r="BC565" s="1">
        <v>0</v>
      </c>
      <c r="BD565" s="1">
        <v>0</v>
      </c>
    </row>
    <row r="566" spans="1:56">
      <c r="A566" s="18">
        <v>46192</v>
      </c>
      <c r="B566" s="1">
        <v>565</v>
      </c>
      <c r="C566" s="1" t="s">
        <v>89</v>
      </c>
      <c r="D566" s="1" t="s">
        <v>96</v>
      </c>
      <c r="E566" s="1">
        <v>2</v>
      </c>
      <c r="F566" s="1">
        <v>200</v>
      </c>
      <c r="G566" s="1">
        <v>1</v>
      </c>
      <c r="H566" s="1" t="s">
        <v>91</v>
      </c>
      <c r="I566" s="1" t="s">
        <v>79</v>
      </c>
      <c r="J566" s="1" t="s">
        <v>81</v>
      </c>
      <c r="K566" s="1" t="s">
        <v>74</v>
      </c>
      <c r="L566" s="1" t="s">
        <v>72</v>
      </c>
      <c r="M566" s="1" t="s">
        <v>75</v>
      </c>
      <c r="N566" s="1" t="s">
        <v>76</v>
      </c>
      <c r="O566" s="1" t="s">
        <v>77</v>
      </c>
      <c r="P566" s="1" t="s">
        <v>27</v>
      </c>
      <c r="Q566" s="1" t="s">
        <v>86</v>
      </c>
      <c r="R566" s="1" t="s">
        <v>94</v>
      </c>
      <c r="S566" s="1" t="s">
        <v>87</v>
      </c>
      <c r="T566" s="1" t="s">
        <v>88</v>
      </c>
      <c r="X566" s="1" t="s">
        <v>73</v>
      </c>
      <c r="Z566" s="1" t="s">
        <v>70</v>
      </c>
      <c r="AA566" s="1" t="s">
        <v>95</v>
      </c>
      <c r="AB566" s="1">
        <v>5</v>
      </c>
      <c r="AC566" s="1">
        <v>748750.17</v>
      </c>
      <c r="AD566" s="1">
        <v>8930575.0700000003</v>
      </c>
      <c r="AE566" s="1">
        <v>210.03</v>
      </c>
      <c r="AF566" s="1">
        <v>748750.17</v>
      </c>
      <c r="AG566" s="1">
        <v>8930575.0700000003</v>
      </c>
      <c r="AH566" s="1">
        <v>199.4</v>
      </c>
      <c r="AI566" s="1">
        <v>10.63</v>
      </c>
      <c r="AJ566" s="1">
        <v>0.6</v>
      </c>
      <c r="AK566" s="1">
        <v>2.97</v>
      </c>
      <c r="AL566" s="1">
        <v>2.58</v>
      </c>
      <c r="AM566" s="1">
        <v>0</v>
      </c>
      <c r="AN566" s="1">
        <v>0</v>
      </c>
      <c r="AO566" s="1">
        <v>279.95422539999998</v>
      </c>
      <c r="AP566" s="1">
        <v>3.43</v>
      </c>
      <c r="AQ566" s="1">
        <v>0.76</v>
      </c>
      <c r="AR566" s="1">
        <v>0.13</v>
      </c>
      <c r="AS566" s="1">
        <v>0.12</v>
      </c>
      <c r="AT566" s="1">
        <v>24.33</v>
      </c>
      <c r="AU566" s="1">
        <v>5.88</v>
      </c>
      <c r="AV566" s="1">
        <v>0.3</v>
      </c>
      <c r="AW566" s="1">
        <v>2.5499999999999998</v>
      </c>
      <c r="AX566" s="1">
        <v>7.91</v>
      </c>
      <c r="AY566" s="1">
        <v>0</v>
      </c>
      <c r="AZ566" s="1">
        <v>103.813</v>
      </c>
      <c r="BA566" s="1">
        <v>0</v>
      </c>
      <c r="BB566" s="1">
        <v>0</v>
      </c>
      <c r="BC566" s="1">
        <v>0</v>
      </c>
      <c r="BD566" s="1">
        <v>0</v>
      </c>
    </row>
    <row r="567" spans="1:56">
      <c r="A567" s="18">
        <v>46192</v>
      </c>
      <c r="B567" s="1">
        <v>566</v>
      </c>
      <c r="C567" s="1" t="s">
        <v>89</v>
      </c>
      <c r="D567" s="1" t="s">
        <v>90</v>
      </c>
      <c r="E567" s="1">
        <v>2</v>
      </c>
      <c r="F567" s="1">
        <v>200</v>
      </c>
      <c r="G567" s="1">
        <v>1</v>
      </c>
      <c r="H567" s="1" t="s">
        <v>91</v>
      </c>
      <c r="I567" s="1" t="s">
        <v>79</v>
      </c>
      <c r="J567" s="1" t="s">
        <v>81</v>
      </c>
      <c r="K567" s="1" t="s">
        <v>74</v>
      </c>
      <c r="L567" s="1" t="s">
        <v>72</v>
      </c>
      <c r="M567" s="1" t="s">
        <v>75</v>
      </c>
      <c r="N567" s="1" t="s">
        <v>76</v>
      </c>
      <c r="O567" s="1" t="s">
        <v>77</v>
      </c>
      <c r="P567" s="1" t="s">
        <v>27</v>
      </c>
      <c r="Q567" s="1" t="s">
        <v>86</v>
      </c>
      <c r="R567" s="1" t="s">
        <v>94</v>
      </c>
      <c r="S567" s="1" t="s">
        <v>87</v>
      </c>
      <c r="T567" s="1" t="s">
        <v>88</v>
      </c>
      <c r="X567" s="1" t="s">
        <v>73</v>
      </c>
      <c r="Z567" s="1" t="s">
        <v>70</v>
      </c>
      <c r="AA567" s="1" t="s">
        <v>95</v>
      </c>
      <c r="AB567" s="1">
        <v>5</v>
      </c>
      <c r="AC567" s="1">
        <v>748752.98</v>
      </c>
      <c r="AD567" s="1">
        <v>8930574.1199999992</v>
      </c>
      <c r="AE567" s="1">
        <v>210.07</v>
      </c>
      <c r="AF567" s="1">
        <v>748752.98</v>
      </c>
      <c r="AG567" s="1">
        <v>8930574.1199999992</v>
      </c>
      <c r="AH567" s="1">
        <v>199.4</v>
      </c>
      <c r="AI567" s="1">
        <v>10.67</v>
      </c>
      <c r="AJ567" s="1">
        <v>0.6</v>
      </c>
      <c r="AK567" s="1">
        <v>2.97</v>
      </c>
      <c r="AL567" s="1">
        <v>2.58</v>
      </c>
      <c r="AM567" s="1">
        <v>0</v>
      </c>
      <c r="AN567" s="1">
        <v>0</v>
      </c>
      <c r="AO567" s="1">
        <v>279.95422539999998</v>
      </c>
      <c r="AP567" s="1">
        <v>3.43</v>
      </c>
      <c r="AQ567" s="1">
        <v>0.71</v>
      </c>
      <c r="AR567" s="1">
        <v>0.13</v>
      </c>
      <c r="AS567" s="1">
        <v>0.11</v>
      </c>
      <c r="AT567" s="1">
        <v>23.34</v>
      </c>
      <c r="AU567" s="1">
        <v>6.05</v>
      </c>
      <c r="AV567" s="1">
        <v>0.31</v>
      </c>
      <c r="AW567" s="1">
        <v>2.3199999999999998</v>
      </c>
      <c r="AX567" s="1">
        <v>8.83</v>
      </c>
      <c r="AY567" s="1">
        <v>0</v>
      </c>
      <c r="AZ567" s="1">
        <v>104.395</v>
      </c>
      <c r="BA567" s="1">
        <v>0</v>
      </c>
      <c r="BB567" s="1">
        <v>0</v>
      </c>
      <c r="BC567" s="1">
        <v>0</v>
      </c>
      <c r="BD567" s="1">
        <v>0</v>
      </c>
    </row>
    <row r="568" spans="1:56">
      <c r="A568" s="18">
        <v>46192</v>
      </c>
      <c r="B568" s="1">
        <v>567</v>
      </c>
      <c r="C568" s="1" t="s">
        <v>89</v>
      </c>
      <c r="D568" s="1" t="s">
        <v>90</v>
      </c>
      <c r="E568" s="1">
        <v>2</v>
      </c>
      <c r="F568" s="1">
        <v>200</v>
      </c>
      <c r="G568" s="1">
        <v>1</v>
      </c>
      <c r="H568" s="1" t="s">
        <v>91</v>
      </c>
      <c r="I568" s="1" t="s">
        <v>79</v>
      </c>
      <c r="J568" s="1" t="s">
        <v>81</v>
      </c>
      <c r="K568" s="1" t="s">
        <v>74</v>
      </c>
      <c r="L568" s="1" t="s">
        <v>72</v>
      </c>
      <c r="M568" s="1" t="s">
        <v>75</v>
      </c>
      <c r="N568" s="1" t="s">
        <v>76</v>
      </c>
      <c r="O568" s="1" t="s">
        <v>77</v>
      </c>
      <c r="P568" s="1" t="s">
        <v>27</v>
      </c>
      <c r="Q568" s="1" t="s">
        <v>86</v>
      </c>
      <c r="R568" s="1" t="s">
        <v>94</v>
      </c>
      <c r="S568" s="1" t="s">
        <v>87</v>
      </c>
      <c r="T568" s="1" t="s">
        <v>88</v>
      </c>
      <c r="X568" s="1" t="s">
        <v>73</v>
      </c>
      <c r="Z568" s="1" t="s">
        <v>70</v>
      </c>
      <c r="AA568" s="1" t="s">
        <v>95</v>
      </c>
      <c r="AB568" s="1">
        <v>5</v>
      </c>
      <c r="AC568" s="1">
        <v>748755.8</v>
      </c>
      <c r="AD568" s="1">
        <v>8930573.1699999999</v>
      </c>
      <c r="AE568" s="1">
        <v>210.03</v>
      </c>
      <c r="AF568" s="1">
        <v>748755.8</v>
      </c>
      <c r="AG568" s="1">
        <v>8930573.1699999999</v>
      </c>
      <c r="AH568" s="1">
        <v>199.4</v>
      </c>
      <c r="AI568" s="1">
        <v>10.63</v>
      </c>
      <c r="AJ568" s="1">
        <v>0.6</v>
      </c>
      <c r="AK568" s="1">
        <v>2.97</v>
      </c>
      <c r="AL568" s="1">
        <v>2.58</v>
      </c>
      <c r="AM568" s="1">
        <v>0</v>
      </c>
      <c r="AN568" s="1">
        <v>0</v>
      </c>
      <c r="AO568" s="1">
        <v>279.95422539999998</v>
      </c>
      <c r="AP568" s="1">
        <v>3.43</v>
      </c>
      <c r="AQ568" s="1">
        <v>0.71</v>
      </c>
      <c r="AR568" s="1">
        <v>0.13</v>
      </c>
      <c r="AS568" s="1">
        <v>0.11</v>
      </c>
      <c r="AT568" s="1">
        <v>23.33</v>
      </c>
      <c r="AU568" s="1">
        <v>6.05</v>
      </c>
      <c r="AV568" s="1">
        <v>0.31</v>
      </c>
      <c r="AW568" s="1">
        <v>2.3199999999999998</v>
      </c>
      <c r="AX568" s="1">
        <v>8.82</v>
      </c>
      <c r="AY568" s="1">
        <v>0</v>
      </c>
      <c r="AZ568" s="1">
        <v>103.813</v>
      </c>
      <c r="BA568" s="1">
        <v>0</v>
      </c>
      <c r="BB568" s="1">
        <v>0</v>
      </c>
      <c r="BC568" s="1">
        <v>0</v>
      </c>
      <c r="BD568" s="1">
        <v>0</v>
      </c>
    </row>
    <row r="569" spans="1:56">
      <c r="A569" s="18">
        <v>46192</v>
      </c>
      <c r="B569" s="1">
        <v>568</v>
      </c>
      <c r="C569" s="1" t="s">
        <v>89</v>
      </c>
      <c r="D569" s="1" t="s">
        <v>90</v>
      </c>
      <c r="E569" s="1">
        <v>2</v>
      </c>
      <c r="F569" s="1">
        <v>200</v>
      </c>
      <c r="G569" s="1">
        <v>1</v>
      </c>
      <c r="H569" s="1" t="s">
        <v>91</v>
      </c>
      <c r="I569" s="1" t="s">
        <v>79</v>
      </c>
      <c r="J569" s="1" t="s">
        <v>81</v>
      </c>
      <c r="K569" s="1" t="s">
        <v>74</v>
      </c>
      <c r="L569" s="1" t="s">
        <v>72</v>
      </c>
      <c r="M569" s="1" t="s">
        <v>75</v>
      </c>
      <c r="N569" s="1" t="s">
        <v>76</v>
      </c>
      <c r="O569" s="1" t="s">
        <v>77</v>
      </c>
      <c r="P569" s="1" t="s">
        <v>27</v>
      </c>
      <c r="Q569" s="1" t="s">
        <v>86</v>
      </c>
      <c r="R569" s="1" t="s">
        <v>94</v>
      </c>
      <c r="S569" s="1" t="s">
        <v>87</v>
      </c>
      <c r="T569" s="1" t="s">
        <v>88</v>
      </c>
      <c r="X569" s="1" t="s">
        <v>73</v>
      </c>
      <c r="Z569" s="1" t="s">
        <v>70</v>
      </c>
      <c r="AA569" s="1" t="s">
        <v>95</v>
      </c>
      <c r="AB569" s="1">
        <v>5</v>
      </c>
      <c r="AC569" s="1">
        <v>748758.59</v>
      </c>
      <c r="AD569" s="1">
        <v>8930572.1799999997</v>
      </c>
      <c r="AE569" s="1">
        <v>210</v>
      </c>
      <c r="AF569" s="1">
        <v>748758.59</v>
      </c>
      <c r="AG569" s="1">
        <v>8930572.1799999997</v>
      </c>
      <c r="AH569" s="1">
        <v>199.4</v>
      </c>
      <c r="AI569" s="1">
        <v>10.6</v>
      </c>
      <c r="AJ569" s="1">
        <v>0.6</v>
      </c>
      <c r="AK569" s="1">
        <v>2.97</v>
      </c>
      <c r="AL569" s="1">
        <v>2.58</v>
      </c>
      <c r="AM569" s="1">
        <v>0</v>
      </c>
      <c r="AN569" s="1">
        <v>0</v>
      </c>
      <c r="AO569" s="1">
        <v>279.95422539999998</v>
      </c>
      <c r="AP569" s="1">
        <v>3.43</v>
      </c>
      <c r="AQ569" s="1">
        <v>0.72</v>
      </c>
      <c r="AR569" s="1">
        <v>0.13</v>
      </c>
      <c r="AS569" s="1">
        <v>0.11</v>
      </c>
      <c r="AT569" s="1">
        <v>23.61</v>
      </c>
      <c r="AU569" s="1">
        <v>6.04</v>
      </c>
      <c r="AV569" s="1">
        <v>0.31</v>
      </c>
      <c r="AW569" s="1">
        <v>2.33</v>
      </c>
      <c r="AX569" s="1">
        <v>8.6999999999999993</v>
      </c>
      <c r="AY569" s="1">
        <v>0</v>
      </c>
      <c r="AZ569" s="1">
        <v>103.376</v>
      </c>
      <c r="BA569" s="1">
        <v>0</v>
      </c>
      <c r="BB569" s="1">
        <v>0</v>
      </c>
      <c r="BC569" s="1">
        <v>0</v>
      </c>
      <c r="BD569" s="1">
        <v>0</v>
      </c>
    </row>
    <row r="570" spans="1:56">
      <c r="A570" s="18">
        <v>46192</v>
      </c>
      <c r="B570" s="1">
        <v>569</v>
      </c>
      <c r="C570" s="1" t="s">
        <v>89</v>
      </c>
      <c r="D570" s="1" t="s">
        <v>90</v>
      </c>
      <c r="E570" s="1">
        <v>2</v>
      </c>
      <c r="F570" s="1">
        <v>200</v>
      </c>
      <c r="G570" s="1">
        <v>1</v>
      </c>
      <c r="H570" s="1" t="s">
        <v>91</v>
      </c>
      <c r="I570" s="1" t="s">
        <v>79</v>
      </c>
      <c r="J570" s="1" t="s">
        <v>81</v>
      </c>
      <c r="K570" s="1" t="s">
        <v>74</v>
      </c>
      <c r="L570" s="1" t="s">
        <v>72</v>
      </c>
      <c r="M570" s="1" t="s">
        <v>75</v>
      </c>
      <c r="N570" s="1" t="s">
        <v>76</v>
      </c>
      <c r="O570" s="1" t="s">
        <v>77</v>
      </c>
      <c r="P570" s="1" t="s">
        <v>27</v>
      </c>
      <c r="Q570" s="1" t="s">
        <v>86</v>
      </c>
      <c r="R570" s="1" t="s">
        <v>94</v>
      </c>
      <c r="S570" s="1" t="s">
        <v>87</v>
      </c>
      <c r="T570" s="1" t="s">
        <v>88</v>
      </c>
      <c r="X570" s="1" t="s">
        <v>73</v>
      </c>
      <c r="Z570" s="1" t="s">
        <v>70</v>
      </c>
      <c r="AA570" s="1" t="s">
        <v>95</v>
      </c>
      <c r="AB570" s="1">
        <v>5</v>
      </c>
      <c r="AC570" s="1">
        <v>748760.92</v>
      </c>
      <c r="AD570" s="1">
        <v>8930570.3399999999</v>
      </c>
      <c r="AE570" s="1">
        <v>209.87</v>
      </c>
      <c r="AF570" s="1">
        <v>748760.92</v>
      </c>
      <c r="AG570" s="1">
        <v>8930570.3399999999</v>
      </c>
      <c r="AH570" s="1">
        <v>199.4</v>
      </c>
      <c r="AI570" s="1">
        <v>10.47</v>
      </c>
      <c r="AJ570" s="1">
        <v>0.6</v>
      </c>
      <c r="AK570" s="1">
        <v>2.97</v>
      </c>
      <c r="AL570" s="1">
        <v>2.58</v>
      </c>
      <c r="AM570" s="1">
        <v>0</v>
      </c>
      <c r="AN570" s="1">
        <v>0</v>
      </c>
      <c r="AO570" s="1">
        <v>279.95422539999998</v>
      </c>
      <c r="AP570" s="1">
        <v>3.38</v>
      </c>
      <c r="AQ570" s="1">
        <v>0.82</v>
      </c>
      <c r="AR570" s="1">
        <v>0.15</v>
      </c>
      <c r="AS570" s="1">
        <v>0.13</v>
      </c>
      <c r="AT570" s="1">
        <v>25.43</v>
      </c>
      <c r="AU570" s="1">
        <v>6</v>
      </c>
      <c r="AV570" s="1">
        <v>0.35</v>
      </c>
      <c r="AW570" s="1">
        <v>2.34</v>
      </c>
      <c r="AX570" s="1">
        <v>7.94</v>
      </c>
      <c r="AY570" s="1">
        <v>0</v>
      </c>
      <c r="AZ570" s="1">
        <v>101.483</v>
      </c>
      <c r="BA570" s="1">
        <v>0</v>
      </c>
      <c r="BB570" s="1">
        <v>0</v>
      </c>
      <c r="BC570" s="1">
        <v>0</v>
      </c>
      <c r="BD570" s="1">
        <v>0</v>
      </c>
    </row>
    <row r="571" spans="1:56">
      <c r="A571" s="18">
        <v>46192</v>
      </c>
      <c r="B571" s="1">
        <v>570</v>
      </c>
      <c r="C571" s="1" t="s">
        <v>89</v>
      </c>
      <c r="D571" s="1" t="s">
        <v>90</v>
      </c>
      <c r="E571" s="1">
        <v>2</v>
      </c>
      <c r="F571" s="1">
        <v>200</v>
      </c>
      <c r="G571" s="1">
        <v>1</v>
      </c>
      <c r="H571" s="1" t="s">
        <v>91</v>
      </c>
      <c r="I571" s="1" t="s">
        <v>79</v>
      </c>
      <c r="J571" s="1" t="s">
        <v>81</v>
      </c>
      <c r="K571" s="1" t="s">
        <v>74</v>
      </c>
      <c r="L571" s="1" t="s">
        <v>72</v>
      </c>
      <c r="M571" s="1" t="s">
        <v>75</v>
      </c>
      <c r="N571" s="1" t="s">
        <v>76</v>
      </c>
      <c r="O571" s="1" t="s">
        <v>77</v>
      </c>
      <c r="P571" s="1" t="s">
        <v>27</v>
      </c>
      <c r="Q571" s="1" t="s">
        <v>86</v>
      </c>
      <c r="R571" s="1" t="s">
        <v>94</v>
      </c>
      <c r="S571" s="1" t="s">
        <v>87</v>
      </c>
      <c r="T571" s="1" t="s">
        <v>88</v>
      </c>
      <c r="X571" s="1" t="s">
        <v>73</v>
      </c>
      <c r="Z571" s="1" t="s">
        <v>70</v>
      </c>
      <c r="AA571" s="1" t="s">
        <v>95</v>
      </c>
      <c r="AB571" s="1">
        <v>5</v>
      </c>
      <c r="AC571" s="1">
        <v>748763.24</v>
      </c>
      <c r="AD571" s="1">
        <v>8930568.4900000002</v>
      </c>
      <c r="AE571" s="1">
        <v>209.86</v>
      </c>
      <c r="AF571" s="1">
        <v>748763.24</v>
      </c>
      <c r="AG571" s="1">
        <v>8930568.4900000002</v>
      </c>
      <c r="AH571" s="1">
        <v>199.4</v>
      </c>
      <c r="AI571" s="1">
        <v>10.46</v>
      </c>
      <c r="AJ571" s="1">
        <v>0.6</v>
      </c>
      <c r="AK571" s="1">
        <v>2.97</v>
      </c>
      <c r="AL571" s="1">
        <v>2.58</v>
      </c>
      <c r="AM571" s="1">
        <v>0</v>
      </c>
      <c r="AN571" s="1">
        <v>0</v>
      </c>
      <c r="AO571" s="1">
        <v>279.95422539999998</v>
      </c>
      <c r="AP571" s="1">
        <v>3.37</v>
      </c>
      <c r="AQ571" s="1">
        <v>0.85</v>
      </c>
      <c r="AR571" s="1">
        <v>0.15</v>
      </c>
      <c r="AS571" s="1">
        <v>0.13</v>
      </c>
      <c r="AT571" s="1">
        <v>25.6</v>
      </c>
      <c r="AU571" s="1">
        <v>6.1</v>
      </c>
      <c r="AV571" s="1">
        <v>0.37</v>
      </c>
      <c r="AW571" s="1">
        <v>2.29</v>
      </c>
      <c r="AX571" s="1">
        <v>7.76</v>
      </c>
      <c r="AY571" s="1">
        <v>0</v>
      </c>
      <c r="AZ571" s="1">
        <v>101.33799999999999</v>
      </c>
      <c r="BA571" s="1">
        <v>0</v>
      </c>
      <c r="BB571" s="1">
        <v>0</v>
      </c>
      <c r="BC571" s="1">
        <v>0</v>
      </c>
      <c r="BD571" s="1">
        <v>0</v>
      </c>
    </row>
    <row r="572" spans="1:56">
      <c r="A572" s="18">
        <v>46192</v>
      </c>
      <c r="B572" s="1">
        <v>571</v>
      </c>
      <c r="C572" s="1" t="s">
        <v>89</v>
      </c>
      <c r="D572" s="1" t="s">
        <v>90</v>
      </c>
      <c r="E572" s="1">
        <v>2</v>
      </c>
      <c r="F572" s="1">
        <v>200</v>
      </c>
      <c r="G572" s="1">
        <v>1</v>
      </c>
      <c r="H572" s="1" t="s">
        <v>91</v>
      </c>
      <c r="I572" s="1" t="s">
        <v>79</v>
      </c>
      <c r="J572" s="1" t="s">
        <v>81</v>
      </c>
      <c r="K572" s="1" t="s">
        <v>74</v>
      </c>
      <c r="L572" s="1" t="s">
        <v>72</v>
      </c>
      <c r="M572" s="1" t="s">
        <v>75</v>
      </c>
      <c r="N572" s="1" t="s">
        <v>76</v>
      </c>
      <c r="O572" s="1" t="s">
        <v>77</v>
      </c>
      <c r="P572" s="1" t="s">
        <v>27</v>
      </c>
      <c r="Q572" s="1" t="s">
        <v>86</v>
      </c>
      <c r="R572" s="1" t="s">
        <v>94</v>
      </c>
      <c r="S572" s="1" t="s">
        <v>87</v>
      </c>
      <c r="T572" s="1" t="s">
        <v>88</v>
      </c>
      <c r="X572" s="1" t="s">
        <v>73</v>
      </c>
      <c r="Z572" s="1" t="s">
        <v>70</v>
      </c>
      <c r="AA572" s="1" t="s">
        <v>95</v>
      </c>
      <c r="AB572" s="1">
        <v>5</v>
      </c>
      <c r="AC572" s="1">
        <v>748765.57</v>
      </c>
      <c r="AD572" s="1">
        <v>8930566.6400000006</v>
      </c>
      <c r="AE572" s="1">
        <v>209.89</v>
      </c>
      <c r="AF572" s="1">
        <v>748765.57</v>
      </c>
      <c r="AG572" s="1">
        <v>8930566.6400000006</v>
      </c>
      <c r="AH572" s="1">
        <v>199.4</v>
      </c>
      <c r="AI572" s="1">
        <v>10.49</v>
      </c>
      <c r="AJ572" s="1">
        <v>0.6</v>
      </c>
      <c r="AK572" s="1">
        <v>2.97</v>
      </c>
      <c r="AL572" s="1">
        <v>2.58</v>
      </c>
      <c r="AM572" s="1">
        <v>0</v>
      </c>
      <c r="AN572" s="1">
        <v>0</v>
      </c>
      <c r="AO572" s="1">
        <v>279.95422539999998</v>
      </c>
      <c r="AP572" s="1">
        <v>3.36</v>
      </c>
      <c r="AQ572" s="1">
        <v>0.85</v>
      </c>
      <c r="AR572" s="1">
        <v>0.15</v>
      </c>
      <c r="AS572" s="1">
        <v>0.13</v>
      </c>
      <c r="AT572" s="1">
        <v>25.56</v>
      </c>
      <c r="AU572" s="1">
        <v>6.11</v>
      </c>
      <c r="AV572" s="1">
        <v>0.38</v>
      </c>
      <c r="AW572" s="1">
        <v>2.2799999999999998</v>
      </c>
      <c r="AX572" s="1">
        <v>7.78</v>
      </c>
      <c r="AY572" s="1">
        <v>0</v>
      </c>
      <c r="AZ572" s="1">
        <v>101.774</v>
      </c>
      <c r="BA572" s="1">
        <v>0</v>
      </c>
      <c r="BB572" s="1">
        <v>0</v>
      </c>
      <c r="BC572" s="1">
        <v>0</v>
      </c>
      <c r="BD572" s="1">
        <v>0</v>
      </c>
    </row>
    <row r="573" spans="1:56">
      <c r="A573" s="18">
        <v>46192</v>
      </c>
      <c r="B573" s="1">
        <v>572</v>
      </c>
      <c r="C573" s="1" t="s">
        <v>89</v>
      </c>
      <c r="D573" s="1" t="s">
        <v>90</v>
      </c>
      <c r="E573" s="1">
        <v>2</v>
      </c>
      <c r="F573" s="1">
        <v>200</v>
      </c>
      <c r="G573" s="1">
        <v>1</v>
      </c>
      <c r="H573" s="1" t="s">
        <v>91</v>
      </c>
      <c r="I573" s="1" t="s">
        <v>79</v>
      </c>
      <c r="J573" s="1" t="s">
        <v>81</v>
      </c>
      <c r="K573" s="1" t="s">
        <v>74</v>
      </c>
      <c r="L573" s="1" t="s">
        <v>72</v>
      </c>
      <c r="M573" s="1" t="s">
        <v>75</v>
      </c>
      <c r="N573" s="1" t="s">
        <v>76</v>
      </c>
      <c r="O573" s="1" t="s">
        <v>77</v>
      </c>
      <c r="P573" s="1" t="s">
        <v>27</v>
      </c>
      <c r="Q573" s="1" t="s">
        <v>86</v>
      </c>
      <c r="R573" s="1" t="s">
        <v>94</v>
      </c>
      <c r="S573" s="1" t="s">
        <v>87</v>
      </c>
      <c r="T573" s="1" t="s">
        <v>88</v>
      </c>
      <c r="X573" s="1" t="s">
        <v>73</v>
      </c>
      <c r="Z573" s="1" t="s">
        <v>70</v>
      </c>
      <c r="AA573" s="1" t="s">
        <v>95</v>
      </c>
      <c r="AB573" s="1">
        <v>5</v>
      </c>
      <c r="AC573" s="1">
        <v>748767.9</v>
      </c>
      <c r="AD573" s="1">
        <v>8930564.8000000007</v>
      </c>
      <c r="AE573" s="1">
        <v>209.89</v>
      </c>
      <c r="AF573" s="1">
        <v>748767.9</v>
      </c>
      <c r="AG573" s="1">
        <v>8930564.8000000007</v>
      </c>
      <c r="AH573" s="1">
        <v>199.4</v>
      </c>
      <c r="AI573" s="1">
        <v>10.49</v>
      </c>
      <c r="AJ573" s="1">
        <v>0.6</v>
      </c>
      <c r="AK573" s="1">
        <v>2.97</v>
      </c>
      <c r="AL573" s="1">
        <v>2.58</v>
      </c>
      <c r="AM573" s="1">
        <v>0</v>
      </c>
      <c r="AN573" s="1">
        <v>0</v>
      </c>
      <c r="AO573" s="1">
        <v>279.95422539999998</v>
      </c>
      <c r="AP573" s="1">
        <v>3.36</v>
      </c>
      <c r="AQ573" s="1">
        <v>0.85</v>
      </c>
      <c r="AR573" s="1">
        <v>0.15</v>
      </c>
      <c r="AS573" s="1">
        <v>0.13</v>
      </c>
      <c r="AT573" s="1">
        <v>25.56</v>
      </c>
      <c r="AU573" s="1">
        <v>6.11</v>
      </c>
      <c r="AV573" s="1">
        <v>0.38</v>
      </c>
      <c r="AW573" s="1">
        <v>2.2799999999999998</v>
      </c>
      <c r="AX573" s="1">
        <v>7.78</v>
      </c>
      <c r="AY573" s="1">
        <v>0</v>
      </c>
      <c r="AZ573" s="1">
        <v>101.774</v>
      </c>
      <c r="BA573" s="1">
        <v>0</v>
      </c>
      <c r="BB573" s="1">
        <v>0</v>
      </c>
      <c r="BC573" s="1">
        <v>0</v>
      </c>
      <c r="BD573" s="1">
        <v>0</v>
      </c>
    </row>
    <row r="574" spans="1:56">
      <c r="A574" s="18">
        <v>46192</v>
      </c>
      <c r="B574" s="1">
        <v>573</v>
      </c>
      <c r="C574" s="1" t="s">
        <v>89</v>
      </c>
      <c r="D574" s="1" t="s">
        <v>90</v>
      </c>
      <c r="E574" s="1">
        <v>2</v>
      </c>
      <c r="F574" s="1">
        <v>200</v>
      </c>
      <c r="G574" s="1">
        <v>1</v>
      </c>
      <c r="H574" s="1" t="s">
        <v>91</v>
      </c>
      <c r="I574" s="1" t="s">
        <v>79</v>
      </c>
      <c r="J574" s="1" t="s">
        <v>81</v>
      </c>
      <c r="K574" s="1" t="s">
        <v>74</v>
      </c>
      <c r="L574" s="1" t="s">
        <v>72</v>
      </c>
      <c r="M574" s="1" t="s">
        <v>75</v>
      </c>
      <c r="N574" s="1" t="s">
        <v>76</v>
      </c>
      <c r="O574" s="1" t="s">
        <v>77</v>
      </c>
      <c r="P574" s="1" t="s">
        <v>27</v>
      </c>
      <c r="Q574" s="1" t="s">
        <v>86</v>
      </c>
      <c r="R574" s="1" t="s">
        <v>94</v>
      </c>
      <c r="S574" s="1" t="s">
        <v>87</v>
      </c>
      <c r="T574" s="1" t="s">
        <v>88</v>
      </c>
      <c r="X574" s="1" t="s">
        <v>73</v>
      </c>
      <c r="Z574" s="1" t="s">
        <v>70</v>
      </c>
      <c r="AA574" s="1" t="s">
        <v>95</v>
      </c>
      <c r="AB574" s="1">
        <v>5</v>
      </c>
      <c r="AC574" s="1">
        <v>748770.17</v>
      </c>
      <c r="AD574" s="1">
        <v>8930562.8900000006</v>
      </c>
      <c r="AE574" s="1">
        <v>210.03</v>
      </c>
      <c r="AF574" s="1">
        <v>748770.17</v>
      </c>
      <c r="AG574" s="1">
        <v>8930562.8900000006</v>
      </c>
      <c r="AH574" s="1">
        <v>199.4</v>
      </c>
      <c r="AI574" s="1">
        <v>10.63</v>
      </c>
      <c r="AJ574" s="1">
        <v>0.6</v>
      </c>
      <c r="AK574" s="1">
        <v>2.97</v>
      </c>
      <c r="AL574" s="1">
        <v>2.58</v>
      </c>
      <c r="AM574" s="1">
        <v>0</v>
      </c>
      <c r="AN574" s="1">
        <v>0</v>
      </c>
      <c r="AO574" s="1">
        <v>279.95422539999998</v>
      </c>
      <c r="AP574" s="1">
        <v>3.35</v>
      </c>
      <c r="AQ574" s="1">
        <v>0.83</v>
      </c>
      <c r="AR574" s="1">
        <v>0.14000000000000001</v>
      </c>
      <c r="AS574" s="1">
        <v>0.12</v>
      </c>
      <c r="AT574" s="1">
        <v>24.45</v>
      </c>
      <c r="AU574" s="1">
        <v>6.14</v>
      </c>
      <c r="AV574" s="1">
        <v>0.35</v>
      </c>
      <c r="AW574" s="1">
        <v>2.35</v>
      </c>
      <c r="AX574" s="1">
        <v>7.84</v>
      </c>
      <c r="AY574" s="1">
        <v>0</v>
      </c>
      <c r="AZ574" s="1">
        <v>103.813</v>
      </c>
      <c r="BA574" s="1">
        <v>0</v>
      </c>
      <c r="BB574" s="1">
        <v>0</v>
      </c>
      <c r="BC574" s="1">
        <v>0</v>
      </c>
      <c r="BD574" s="1">
        <v>0</v>
      </c>
    </row>
    <row r="575" spans="1:56">
      <c r="A575" s="18">
        <v>46192</v>
      </c>
      <c r="B575" s="1">
        <v>574</v>
      </c>
      <c r="C575" s="1" t="s">
        <v>89</v>
      </c>
      <c r="D575" s="1" t="s">
        <v>90</v>
      </c>
      <c r="E575" s="1">
        <v>2</v>
      </c>
      <c r="F575" s="1">
        <v>200</v>
      </c>
      <c r="G575" s="1">
        <v>1</v>
      </c>
      <c r="H575" s="1" t="s">
        <v>91</v>
      </c>
      <c r="I575" s="1" t="s">
        <v>79</v>
      </c>
      <c r="J575" s="1" t="s">
        <v>81</v>
      </c>
      <c r="K575" s="1" t="s">
        <v>74</v>
      </c>
      <c r="L575" s="1" t="s">
        <v>72</v>
      </c>
      <c r="M575" s="1" t="s">
        <v>75</v>
      </c>
      <c r="N575" s="1" t="s">
        <v>76</v>
      </c>
      <c r="O575" s="1" t="s">
        <v>77</v>
      </c>
      <c r="P575" s="1" t="s">
        <v>27</v>
      </c>
      <c r="Q575" s="1" t="s">
        <v>86</v>
      </c>
      <c r="R575" s="1" t="s">
        <v>94</v>
      </c>
      <c r="S575" s="1" t="s">
        <v>87</v>
      </c>
      <c r="T575" s="1" t="s">
        <v>88</v>
      </c>
      <c r="X575" s="1" t="s">
        <v>73</v>
      </c>
      <c r="Z575" s="1" t="s">
        <v>70</v>
      </c>
      <c r="AA575" s="1" t="s">
        <v>95</v>
      </c>
      <c r="AB575" s="1">
        <v>5</v>
      </c>
      <c r="AC575" s="1">
        <v>748772.42</v>
      </c>
      <c r="AD575" s="1">
        <v>8930560.9499999993</v>
      </c>
      <c r="AE575" s="1">
        <v>210.17</v>
      </c>
      <c r="AF575" s="1">
        <v>748772.42</v>
      </c>
      <c r="AG575" s="1">
        <v>8930560.9499999993</v>
      </c>
      <c r="AH575" s="1">
        <v>199.4</v>
      </c>
      <c r="AI575" s="1">
        <v>10.77</v>
      </c>
      <c r="AJ575" s="1">
        <v>0.6</v>
      </c>
      <c r="AK575" s="1">
        <v>2.97</v>
      </c>
      <c r="AL575" s="1">
        <v>2.58</v>
      </c>
      <c r="AM575" s="1">
        <v>0</v>
      </c>
      <c r="AN575" s="1">
        <v>0</v>
      </c>
      <c r="AO575" s="1">
        <v>279.95422539999998</v>
      </c>
      <c r="AP575" s="1">
        <v>3.34</v>
      </c>
      <c r="AQ575" s="1">
        <v>0.78</v>
      </c>
      <c r="AR575" s="1">
        <v>0.14000000000000001</v>
      </c>
      <c r="AS575" s="1">
        <v>0.11</v>
      </c>
      <c r="AT575" s="1">
        <v>22.93</v>
      </c>
      <c r="AU575" s="1">
        <v>6.08</v>
      </c>
      <c r="AV575" s="1">
        <v>0.34</v>
      </c>
      <c r="AW575" s="1">
        <v>2.31</v>
      </c>
      <c r="AX575" s="1">
        <v>8.35</v>
      </c>
      <c r="AY575" s="1">
        <v>0</v>
      </c>
      <c r="AZ575" s="1">
        <v>105.851</v>
      </c>
      <c r="BA575" s="1">
        <v>0</v>
      </c>
      <c r="BB575" s="1">
        <v>0</v>
      </c>
      <c r="BC575" s="1">
        <v>0</v>
      </c>
      <c r="BD575" s="1">
        <v>0</v>
      </c>
    </row>
    <row r="576" spans="1:56">
      <c r="A576" s="18">
        <v>46192</v>
      </c>
      <c r="B576" s="1">
        <v>575</v>
      </c>
      <c r="C576" s="1" t="s">
        <v>89</v>
      </c>
      <c r="D576" s="1" t="s">
        <v>90</v>
      </c>
      <c r="E576" s="1">
        <v>2</v>
      </c>
      <c r="F576" s="1">
        <v>200</v>
      </c>
      <c r="G576" s="1">
        <v>1</v>
      </c>
      <c r="H576" s="1" t="s">
        <v>91</v>
      </c>
      <c r="I576" s="1" t="s">
        <v>79</v>
      </c>
      <c r="J576" s="1" t="s">
        <v>80</v>
      </c>
      <c r="K576" s="1" t="s">
        <v>74</v>
      </c>
      <c r="L576" s="1" t="s">
        <v>72</v>
      </c>
      <c r="M576" s="1" t="s">
        <v>75</v>
      </c>
      <c r="N576" s="1" t="s">
        <v>76</v>
      </c>
      <c r="O576" s="1" t="s">
        <v>77</v>
      </c>
      <c r="P576" s="1" t="s">
        <v>27</v>
      </c>
      <c r="Q576" s="1" t="s">
        <v>86</v>
      </c>
      <c r="R576" s="1" t="s">
        <v>94</v>
      </c>
      <c r="S576" s="1" t="s">
        <v>87</v>
      </c>
      <c r="T576" s="1" t="s">
        <v>88</v>
      </c>
      <c r="X576" s="1" t="s">
        <v>73</v>
      </c>
      <c r="Z576" s="1" t="s">
        <v>70</v>
      </c>
      <c r="AA576" s="1" t="s">
        <v>95</v>
      </c>
      <c r="AB576" s="1">
        <v>5</v>
      </c>
      <c r="AC576" s="1">
        <v>748774.67</v>
      </c>
      <c r="AD576" s="1">
        <v>8930559.0199999996</v>
      </c>
      <c r="AE576" s="1">
        <v>210.13</v>
      </c>
      <c r="AF576" s="1">
        <v>748774.67</v>
      </c>
      <c r="AG576" s="1">
        <v>8930559.0199999996</v>
      </c>
      <c r="AH576" s="1">
        <v>199.4</v>
      </c>
      <c r="AI576" s="1">
        <v>10.73</v>
      </c>
      <c r="AJ576" s="1">
        <v>0.6</v>
      </c>
      <c r="AK576" s="1">
        <v>2.97</v>
      </c>
      <c r="AL576" s="1">
        <v>2.58</v>
      </c>
      <c r="AM576" s="1">
        <v>0</v>
      </c>
      <c r="AN576" s="1">
        <v>0</v>
      </c>
      <c r="AO576" s="1">
        <v>279.95422539999998</v>
      </c>
      <c r="AP576" s="1">
        <v>3.35</v>
      </c>
      <c r="AQ576" s="1">
        <v>0.69</v>
      </c>
      <c r="AR576" s="1">
        <v>0.12</v>
      </c>
      <c r="AS576" s="1">
        <v>0.11</v>
      </c>
      <c r="AT576" s="1">
        <v>21.4</v>
      </c>
      <c r="AU576" s="1">
        <v>5.89</v>
      </c>
      <c r="AV576" s="1">
        <v>0.34</v>
      </c>
      <c r="AW576" s="1">
        <v>2.06</v>
      </c>
      <c r="AX576" s="1">
        <v>9.5</v>
      </c>
      <c r="AY576" s="1">
        <v>0</v>
      </c>
      <c r="AZ576" s="1">
        <v>105.26900000000001</v>
      </c>
      <c r="BA576" s="1">
        <v>0</v>
      </c>
      <c r="BB576" s="1">
        <v>0</v>
      </c>
      <c r="BC576" s="1">
        <v>0</v>
      </c>
      <c r="BD576" s="1">
        <v>0</v>
      </c>
    </row>
    <row r="577" spans="1:56">
      <c r="A577" s="18">
        <v>46192</v>
      </c>
      <c r="B577" s="1">
        <v>576</v>
      </c>
      <c r="C577" s="1" t="s">
        <v>89</v>
      </c>
      <c r="D577" s="1" t="s">
        <v>90</v>
      </c>
      <c r="E577" s="1">
        <v>2</v>
      </c>
      <c r="F577" s="1">
        <v>200</v>
      </c>
      <c r="G577" s="1">
        <v>1</v>
      </c>
      <c r="H577" s="1" t="s">
        <v>91</v>
      </c>
      <c r="I577" s="1" t="s">
        <v>79</v>
      </c>
      <c r="J577" s="1" t="s">
        <v>80</v>
      </c>
      <c r="K577" s="1" t="s">
        <v>74</v>
      </c>
      <c r="L577" s="1" t="s">
        <v>72</v>
      </c>
      <c r="M577" s="1" t="s">
        <v>75</v>
      </c>
      <c r="N577" s="1" t="s">
        <v>76</v>
      </c>
      <c r="O577" s="1" t="s">
        <v>77</v>
      </c>
      <c r="P577" s="1" t="s">
        <v>27</v>
      </c>
      <c r="Q577" s="1" t="s">
        <v>86</v>
      </c>
      <c r="R577" s="1" t="s">
        <v>94</v>
      </c>
      <c r="S577" s="1" t="s">
        <v>87</v>
      </c>
      <c r="T577" s="1" t="s">
        <v>88</v>
      </c>
      <c r="X577" s="1" t="s">
        <v>73</v>
      </c>
      <c r="Z577" s="1" t="s">
        <v>70</v>
      </c>
      <c r="AA577" s="1" t="s">
        <v>95</v>
      </c>
      <c r="AB577" s="1">
        <v>5</v>
      </c>
      <c r="AC577" s="1">
        <v>748776.93</v>
      </c>
      <c r="AD577" s="1">
        <v>8930557.0800000001</v>
      </c>
      <c r="AE577" s="1">
        <v>210.13</v>
      </c>
      <c r="AF577" s="1">
        <v>748776.93</v>
      </c>
      <c r="AG577" s="1">
        <v>8930557.0800000001</v>
      </c>
      <c r="AH577" s="1">
        <v>199.4</v>
      </c>
      <c r="AI577" s="1">
        <v>10.73</v>
      </c>
      <c r="AJ577" s="1">
        <v>0.6</v>
      </c>
      <c r="AK577" s="1">
        <v>2.97</v>
      </c>
      <c r="AL577" s="1">
        <v>2.58</v>
      </c>
      <c r="AM577" s="1">
        <v>0</v>
      </c>
      <c r="AN577" s="1">
        <v>0</v>
      </c>
      <c r="AO577" s="1">
        <v>279.95422539999998</v>
      </c>
      <c r="AP577" s="1">
        <v>3.36</v>
      </c>
      <c r="AQ577" s="1">
        <v>0.66</v>
      </c>
      <c r="AR577" s="1">
        <v>0.12</v>
      </c>
      <c r="AS577" s="1">
        <v>0.1</v>
      </c>
      <c r="AT577" s="1">
        <v>20.82</v>
      </c>
      <c r="AU577" s="1">
        <v>5.81</v>
      </c>
      <c r="AV577" s="1">
        <v>0.34</v>
      </c>
      <c r="AW577" s="1">
        <v>1.96</v>
      </c>
      <c r="AX577" s="1">
        <v>9.93</v>
      </c>
      <c r="AY577" s="1">
        <v>0</v>
      </c>
      <c r="AZ577" s="1">
        <v>105.26900000000001</v>
      </c>
      <c r="BA577" s="1">
        <v>0</v>
      </c>
      <c r="BB577" s="1">
        <v>0</v>
      </c>
      <c r="BC577" s="1">
        <v>0</v>
      </c>
      <c r="BD577" s="1">
        <v>0</v>
      </c>
    </row>
    <row r="578" spans="1:56">
      <c r="A578" s="18">
        <v>46192</v>
      </c>
      <c r="B578" s="1">
        <v>577</v>
      </c>
      <c r="C578" s="1" t="s">
        <v>89</v>
      </c>
      <c r="D578" s="1" t="s">
        <v>90</v>
      </c>
      <c r="E578" s="1">
        <v>2</v>
      </c>
      <c r="F578" s="1">
        <v>200</v>
      </c>
      <c r="G578" s="1">
        <v>1</v>
      </c>
      <c r="H578" s="1" t="s">
        <v>91</v>
      </c>
      <c r="I578" s="1" t="s">
        <v>79</v>
      </c>
      <c r="J578" s="1" t="s">
        <v>80</v>
      </c>
      <c r="K578" s="1" t="s">
        <v>74</v>
      </c>
      <c r="L578" s="1" t="s">
        <v>72</v>
      </c>
      <c r="M578" s="1" t="s">
        <v>75</v>
      </c>
      <c r="N578" s="1" t="s">
        <v>76</v>
      </c>
      <c r="O578" s="1" t="s">
        <v>77</v>
      </c>
      <c r="P578" s="1" t="s">
        <v>27</v>
      </c>
      <c r="Q578" s="1" t="s">
        <v>86</v>
      </c>
      <c r="R578" s="1" t="s">
        <v>94</v>
      </c>
      <c r="S578" s="1" t="s">
        <v>87</v>
      </c>
      <c r="T578" s="1" t="s">
        <v>88</v>
      </c>
      <c r="X578" s="1" t="s">
        <v>73</v>
      </c>
      <c r="Z578" s="1" t="s">
        <v>70</v>
      </c>
      <c r="AA578" s="1" t="s">
        <v>95</v>
      </c>
      <c r="AB578" s="1">
        <v>5</v>
      </c>
      <c r="AC578" s="1">
        <v>748779.18</v>
      </c>
      <c r="AD578" s="1">
        <v>8930555.1400000006</v>
      </c>
      <c r="AE578" s="1">
        <v>210.2</v>
      </c>
      <c r="AF578" s="1">
        <v>748779.18</v>
      </c>
      <c r="AG578" s="1">
        <v>8930555.1400000006</v>
      </c>
      <c r="AH578" s="1">
        <v>199.4</v>
      </c>
      <c r="AI578" s="1">
        <v>10.8</v>
      </c>
      <c r="AJ578" s="1">
        <v>0.6</v>
      </c>
      <c r="AK578" s="1">
        <v>2.97</v>
      </c>
      <c r="AL578" s="1">
        <v>2.58</v>
      </c>
      <c r="AM578" s="1">
        <v>0</v>
      </c>
      <c r="AN578" s="1">
        <v>0</v>
      </c>
      <c r="AO578" s="1">
        <v>279.95422539999998</v>
      </c>
      <c r="AP578" s="1">
        <v>3.34</v>
      </c>
      <c r="AQ578" s="1">
        <v>0.6</v>
      </c>
      <c r="AR578" s="1">
        <v>0.11</v>
      </c>
      <c r="AS578" s="1">
        <v>0.09</v>
      </c>
      <c r="AT578" s="1">
        <v>19.72</v>
      </c>
      <c r="AU578" s="1">
        <v>5.5</v>
      </c>
      <c r="AV578" s="1">
        <v>0.3</v>
      </c>
      <c r="AW578" s="1">
        <v>1.99</v>
      </c>
      <c r="AX578" s="1">
        <v>9.61</v>
      </c>
      <c r="AY578" s="1">
        <v>0</v>
      </c>
      <c r="AZ578" s="1">
        <v>106.288</v>
      </c>
      <c r="BA578" s="1">
        <v>0</v>
      </c>
      <c r="BB578" s="1">
        <v>0</v>
      </c>
      <c r="BC578" s="1">
        <v>0</v>
      </c>
      <c r="BD578" s="1">
        <v>0</v>
      </c>
    </row>
    <row r="579" spans="1:56">
      <c r="A579" s="18">
        <v>46192</v>
      </c>
      <c r="B579" s="1">
        <v>578</v>
      </c>
      <c r="C579" s="1" t="s">
        <v>89</v>
      </c>
      <c r="D579" s="1" t="s">
        <v>90</v>
      </c>
      <c r="E579" s="1">
        <v>2</v>
      </c>
      <c r="F579" s="1">
        <v>200</v>
      </c>
      <c r="G579" s="1">
        <v>1</v>
      </c>
      <c r="H579" s="1" t="s">
        <v>91</v>
      </c>
      <c r="I579" s="1" t="s">
        <v>79</v>
      </c>
      <c r="J579" s="1" t="s">
        <v>80</v>
      </c>
      <c r="K579" s="1" t="s">
        <v>74</v>
      </c>
      <c r="L579" s="1" t="s">
        <v>72</v>
      </c>
      <c r="M579" s="1" t="s">
        <v>75</v>
      </c>
      <c r="N579" s="1" t="s">
        <v>76</v>
      </c>
      <c r="O579" s="1" t="s">
        <v>77</v>
      </c>
      <c r="P579" s="1" t="s">
        <v>27</v>
      </c>
      <c r="Q579" s="1" t="s">
        <v>86</v>
      </c>
      <c r="R579" s="1" t="s">
        <v>94</v>
      </c>
      <c r="S579" s="1" t="s">
        <v>87</v>
      </c>
      <c r="T579" s="1" t="s">
        <v>88</v>
      </c>
      <c r="X579" s="1" t="s">
        <v>73</v>
      </c>
      <c r="Z579" s="1" t="s">
        <v>70</v>
      </c>
      <c r="AA579" s="1" t="s">
        <v>95</v>
      </c>
      <c r="AB579" s="1">
        <v>5</v>
      </c>
      <c r="AC579" s="1">
        <v>748781.43</v>
      </c>
      <c r="AD579" s="1">
        <v>8930553.1999999993</v>
      </c>
      <c r="AE579" s="1">
        <v>210.2</v>
      </c>
      <c r="AF579" s="1">
        <v>748781.43</v>
      </c>
      <c r="AG579" s="1">
        <v>8930553.1999999993</v>
      </c>
      <c r="AH579" s="1">
        <v>199.4</v>
      </c>
      <c r="AI579" s="1">
        <v>10.8</v>
      </c>
      <c r="AJ579" s="1">
        <v>0.6</v>
      </c>
      <c r="AK579" s="1">
        <v>2.97</v>
      </c>
      <c r="AL579" s="1">
        <v>2.58</v>
      </c>
      <c r="AM579" s="1">
        <v>0</v>
      </c>
      <c r="AN579" s="1">
        <v>0</v>
      </c>
      <c r="AO579" s="1">
        <v>279.95422539999998</v>
      </c>
      <c r="AP579" s="1">
        <v>3.31</v>
      </c>
      <c r="AQ579" s="1">
        <v>0.45</v>
      </c>
      <c r="AR579" s="1">
        <v>0.09</v>
      </c>
      <c r="AS579" s="1">
        <v>7.0000000000000007E-2</v>
      </c>
      <c r="AT579" s="1">
        <v>16.96</v>
      </c>
      <c r="AU579" s="1">
        <v>4.7</v>
      </c>
      <c r="AV579" s="1">
        <v>0.22</v>
      </c>
      <c r="AW579" s="1">
        <v>2.06</v>
      </c>
      <c r="AX579" s="1">
        <v>8.7899999999999991</v>
      </c>
      <c r="AY579" s="1">
        <v>0</v>
      </c>
      <c r="AZ579" s="1">
        <v>106.288</v>
      </c>
      <c r="BA579" s="1">
        <v>0</v>
      </c>
      <c r="BB579" s="1">
        <v>0</v>
      </c>
      <c r="BC579" s="1">
        <v>0</v>
      </c>
      <c r="BD579" s="1">
        <v>0</v>
      </c>
    </row>
    <row r="580" spans="1:56">
      <c r="A580" s="18">
        <v>46192</v>
      </c>
      <c r="B580" s="1">
        <v>579</v>
      </c>
      <c r="C580" s="1" t="s">
        <v>89</v>
      </c>
      <c r="D580" s="1" t="s">
        <v>90</v>
      </c>
      <c r="E580" s="1">
        <v>2</v>
      </c>
      <c r="F580" s="1">
        <v>200</v>
      </c>
      <c r="G580" s="1">
        <v>1</v>
      </c>
      <c r="H580" s="1" t="s">
        <v>91</v>
      </c>
      <c r="I580" s="1" t="s">
        <v>79</v>
      </c>
      <c r="J580" s="1" t="s">
        <v>80</v>
      </c>
      <c r="K580" s="1" t="s">
        <v>74</v>
      </c>
      <c r="L580" s="1" t="s">
        <v>72</v>
      </c>
      <c r="M580" s="1" t="s">
        <v>75</v>
      </c>
      <c r="N580" s="1" t="s">
        <v>76</v>
      </c>
      <c r="O580" s="1" t="s">
        <v>77</v>
      </c>
      <c r="P580" s="1" t="s">
        <v>27</v>
      </c>
      <c r="Q580" s="1" t="s">
        <v>86</v>
      </c>
      <c r="R580" s="1" t="s">
        <v>94</v>
      </c>
      <c r="S580" s="1" t="s">
        <v>87</v>
      </c>
      <c r="T580" s="1" t="s">
        <v>88</v>
      </c>
      <c r="X580" s="1" t="s">
        <v>73</v>
      </c>
      <c r="Z580" s="1" t="s">
        <v>70</v>
      </c>
      <c r="AA580" s="1" t="s">
        <v>95</v>
      </c>
      <c r="AB580" s="1">
        <v>5</v>
      </c>
      <c r="AC580" s="1">
        <v>748783.68</v>
      </c>
      <c r="AD580" s="1">
        <v>8930551.2699999996</v>
      </c>
      <c r="AE580" s="1">
        <v>210.1</v>
      </c>
      <c r="AF580" s="1">
        <v>748783.68</v>
      </c>
      <c r="AG580" s="1">
        <v>8930551.2699999996</v>
      </c>
      <c r="AH580" s="1">
        <v>199.4</v>
      </c>
      <c r="AI580" s="1">
        <v>10.7</v>
      </c>
      <c r="AJ580" s="1">
        <v>0.6</v>
      </c>
      <c r="AK580" s="1">
        <v>2.97</v>
      </c>
      <c r="AL580" s="1">
        <v>2.58</v>
      </c>
      <c r="AM580" s="1">
        <v>0</v>
      </c>
      <c r="AN580" s="1">
        <v>0</v>
      </c>
      <c r="AO580" s="1">
        <v>279.95422539999998</v>
      </c>
      <c r="AP580" s="1">
        <v>3.3</v>
      </c>
      <c r="AQ580" s="1">
        <v>0.43</v>
      </c>
      <c r="AR580" s="1">
        <v>0.09</v>
      </c>
      <c r="AS580" s="1">
        <v>7.0000000000000007E-2</v>
      </c>
      <c r="AT580" s="1">
        <v>16.47</v>
      </c>
      <c r="AU580" s="1">
        <v>4.6500000000000004</v>
      </c>
      <c r="AV580" s="1">
        <v>0.21</v>
      </c>
      <c r="AW580" s="1">
        <v>2.02</v>
      </c>
      <c r="AX580" s="1">
        <v>8.68</v>
      </c>
      <c r="AY580" s="1">
        <v>0</v>
      </c>
      <c r="AZ580" s="1">
        <v>104.83199999999999</v>
      </c>
      <c r="BA580" s="1">
        <v>0</v>
      </c>
      <c r="BB580" s="1">
        <v>0</v>
      </c>
      <c r="BC580" s="1">
        <v>0</v>
      </c>
      <c r="BD580" s="1">
        <v>0</v>
      </c>
    </row>
    <row r="581" spans="1:56">
      <c r="A581" s="18">
        <v>46192</v>
      </c>
      <c r="B581" s="1">
        <v>580</v>
      </c>
      <c r="C581" s="1" t="s">
        <v>89</v>
      </c>
      <c r="D581" s="1" t="s">
        <v>90</v>
      </c>
      <c r="E581" s="1">
        <v>2</v>
      </c>
      <c r="F581" s="1">
        <v>200</v>
      </c>
      <c r="G581" s="1">
        <v>1</v>
      </c>
      <c r="H581" s="1" t="s">
        <v>91</v>
      </c>
      <c r="I581" s="1" t="s">
        <v>79</v>
      </c>
      <c r="J581" s="1" t="s">
        <v>80</v>
      </c>
      <c r="K581" s="1" t="s">
        <v>74</v>
      </c>
      <c r="L581" s="1" t="s">
        <v>72</v>
      </c>
      <c r="M581" s="1" t="s">
        <v>75</v>
      </c>
      <c r="N581" s="1" t="s">
        <v>76</v>
      </c>
      <c r="O581" s="1" t="s">
        <v>77</v>
      </c>
      <c r="P581" s="1" t="s">
        <v>27</v>
      </c>
      <c r="Q581" s="1" t="s">
        <v>86</v>
      </c>
      <c r="R581" s="1" t="s">
        <v>94</v>
      </c>
      <c r="S581" s="1" t="s">
        <v>87</v>
      </c>
      <c r="T581" s="1" t="s">
        <v>88</v>
      </c>
      <c r="X581" s="1" t="s">
        <v>73</v>
      </c>
      <c r="Z581" s="1" t="s">
        <v>70</v>
      </c>
      <c r="AA581" s="1" t="s">
        <v>95</v>
      </c>
      <c r="AB581" s="1">
        <v>5</v>
      </c>
      <c r="AC581" s="1">
        <v>748785.93</v>
      </c>
      <c r="AD581" s="1">
        <v>8930549.3300000001</v>
      </c>
      <c r="AE581" s="1">
        <v>210.16</v>
      </c>
      <c r="AF581" s="1">
        <v>748785.93</v>
      </c>
      <c r="AG581" s="1">
        <v>8930549.3300000001</v>
      </c>
      <c r="AH581" s="1">
        <v>199.4</v>
      </c>
      <c r="AI581" s="1">
        <v>10.76</v>
      </c>
      <c r="AJ581" s="1">
        <v>0.6</v>
      </c>
      <c r="AK581" s="1">
        <v>2.97</v>
      </c>
      <c r="AL581" s="1">
        <v>2.58</v>
      </c>
      <c r="AM581" s="1">
        <v>0</v>
      </c>
      <c r="AN581" s="1">
        <v>0</v>
      </c>
      <c r="AO581" s="1">
        <v>279.95422539999998</v>
      </c>
      <c r="AP581" s="1">
        <v>3.26</v>
      </c>
      <c r="AQ581" s="1">
        <v>0.45</v>
      </c>
      <c r="AR581" s="1">
        <v>0.09</v>
      </c>
      <c r="AS581" s="1">
        <v>7.0000000000000007E-2</v>
      </c>
      <c r="AT581" s="1">
        <v>16.34</v>
      </c>
      <c r="AU581" s="1">
        <v>4.9800000000000004</v>
      </c>
      <c r="AV581" s="1">
        <v>0.25</v>
      </c>
      <c r="AW581" s="1">
        <v>1.83</v>
      </c>
      <c r="AX581" s="1">
        <v>8.84</v>
      </c>
      <c r="AY581" s="1">
        <v>0</v>
      </c>
      <c r="AZ581" s="1">
        <v>105.706</v>
      </c>
      <c r="BA581" s="1">
        <v>0</v>
      </c>
      <c r="BB581" s="1">
        <v>0</v>
      </c>
      <c r="BC581" s="1">
        <v>0</v>
      </c>
      <c r="BD581" s="1">
        <v>0</v>
      </c>
    </row>
    <row r="582" spans="1:56">
      <c r="A582" s="18">
        <v>46192</v>
      </c>
      <c r="B582" s="1">
        <v>581</v>
      </c>
      <c r="C582" s="1" t="s">
        <v>89</v>
      </c>
      <c r="D582" s="1" t="s">
        <v>90</v>
      </c>
      <c r="E582" s="1">
        <v>2</v>
      </c>
      <c r="F582" s="1">
        <v>200</v>
      </c>
      <c r="G582" s="1">
        <v>1</v>
      </c>
      <c r="H582" s="1" t="s">
        <v>91</v>
      </c>
      <c r="I582" s="1" t="s">
        <v>79</v>
      </c>
      <c r="J582" s="1" t="s">
        <v>80</v>
      </c>
      <c r="K582" s="1" t="s">
        <v>74</v>
      </c>
      <c r="L582" s="1" t="s">
        <v>72</v>
      </c>
      <c r="M582" s="1" t="s">
        <v>75</v>
      </c>
      <c r="N582" s="1" t="s">
        <v>76</v>
      </c>
      <c r="O582" s="1" t="s">
        <v>77</v>
      </c>
      <c r="P582" s="1" t="s">
        <v>27</v>
      </c>
      <c r="Q582" s="1" t="s">
        <v>86</v>
      </c>
      <c r="R582" s="1" t="s">
        <v>94</v>
      </c>
      <c r="S582" s="1" t="s">
        <v>87</v>
      </c>
      <c r="T582" s="1" t="s">
        <v>88</v>
      </c>
      <c r="X582" s="1" t="s">
        <v>73</v>
      </c>
      <c r="Z582" s="1" t="s">
        <v>70</v>
      </c>
      <c r="AA582" s="1" t="s">
        <v>95</v>
      </c>
      <c r="AB582" s="1">
        <v>5</v>
      </c>
      <c r="AC582" s="1">
        <v>748788.18</v>
      </c>
      <c r="AD582" s="1">
        <v>8930547.3900000006</v>
      </c>
      <c r="AE582" s="1">
        <v>210.03</v>
      </c>
      <c r="AF582" s="1">
        <v>748788.18</v>
      </c>
      <c r="AG582" s="1">
        <v>8930547.3900000006</v>
      </c>
      <c r="AH582" s="1">
        <v>199.4</v>
      </c>
      <c r="AI582" s="1">
        <v>10.63</v>
      </c>
      <c r="AJ582" s="1">
        <v>0.6</v>
      </c>
      <c r="AK582" s="1">
        <v>2.97</v>
      </c>
      <c r="AL582" s="1">
        <v>2.58</v>
      </c>
      <c r="AM582" s="1">
        <v>0</v>
      </c>
      <c r="AN582" s="1">
        <v>0</v>
      </c>
      <c r="AO582" s="1">
        <v>279.95422539999998</v>
      </c>
      <c r="AP582" s="1">
        <v>3.23</v>
      </c>
      <c r="AQ582" s="1">
        <v>0.47</v>
      </c>
      <c r="AR582" s="1">
        <v>0.08</v>
      </c>
      <c r="AS582" s="1">
        <v>0.06</v>
      </c>
      <c r="AT582" s="1">
        <v>16.22</v>
      </c>
      <c r="AU582" s="1">
        <v>5.14</v>
      </c>
      <c r="AV582" s="1">
        <v>0.27</v>
      </c>
      <c r="AW582" s="1">
        <v>1.72</v>
      </c>
      <c r="AX582" s="1">
        <v>8.89</v>
      </c>
      <c r="AY582" s="1">
        <v>0</v>
      </c>
      <c r="AZ582" s="1">
        <v>103.813</v>
      </c>
      <c r="BA582" s="1">
        <v>0</v>
      </c>
      <c r="BB582" s="1">
        <v>0</v>
      </c>
      <c r="BC582" s="1">
        <v>0</v>
      </c>
      <c r="BD582" s="1">
        <v>0</v>
      </c>
    </row>
    <row r="583" spans="1:56">
      <c r="A583" s="18">
        <v>46192</v>
      </c>
      <c r="B583" s="1">
        <v>582</v>
      </c>
      <c r="C583" s="1" t="s">
        <v>89</v>
      </c>
      <c r="D583" s="1" t="s">
        <v>90</v>
      </c>
      <c r="E583" s="1">
        <v>2</v>
      </c>
      <c r="F583" s="1">
        <v>200</v>
      </c>
      <c r="G583" s="1">
        <v>1</v>
      </c>
      <c r="H583" s="1" t="s">
        <v>91</v>
      </c>
      <c r="I583" s="1" t="s">
        <v>79</v>
      </c>
      <c r="J583" s="1" t="s">
        <v>84</v>
      </c>
      <c r="K583" s="1" t="s">
        <v>74</v>
      </c>
      <c r="L583" s="1" t="s">
        <v>72</v>
      </c>
      <c r="M583" s="1" t="s">
        <v>75</v>
      </c>
      <c r="N583" s="1" t="s">
        <v>82</v>
      </c>
      <c r="O583" s="1" t="s">
        <v>77</v>
      </c>
      <c r="P583" s="1" t="s">
        <v>27</v>
      </c>
      <c r="Q583" s="1" t="s">
        <v>86</v>
      </c>
      <c r="R583" s="1" t="s">
        <v>94</v>
      </c>
      <c r="S583" s="1" t="s">
        <v>87</v>
      </c>
      <c r="T583" s="1" t="s">
        <v>88</v>
      </c>
      <c r="X583" s="1" t="s">
        <v>73</v>
      </c>
      <c r="Z583" s="1" t="s">
        <v>70</v>
      </c>
      <c r="AA583" s="1" t="s">
        <v>95</v>
      </c>
      <c r="AB583" s="1">
        <v>5</v>
      </c>
      <c r="AC583" s="1">
        <v>748790.42</v>
      </c>
      <c r="AD583" s="1">
        <v>8930545.4399999995</v>
      </c>
      <c r="AE583" s="1">
        <v>209.77</v>
      </c>
      <c r="AF583" s="1">
        <v>748790.42</v>
      </c>
      <c r="AG583" s="1">
        <v>8930545.4399999995</v>
      </c>
      <c r="AH583" s="1">
        <v>199.4</v>
      </c>
      <c r="AI583" s="1">
        <v>10.37</v>
      </c>
      <c r="AJ583" s="1">
        <v>0.6</v>
      </c>
      <c r="AK583" s="1">
        <v>2.97</v>
      </c>
      <c r="AL583" s="1">
        <v>2.58</v>
      </c>
      <c r="AM583" s="1">
        <v>0</v>
      </c>
      <c r="AN583" s="1">
        <v>0</v>
      </c>
      <c r="AO583" s="1">
        <v>279.95422539999998</v>
      </c>
      <c r="AP583" s="1">
        <v>3.19</v>
      </c>
      <c r="AQ583" s="1">
        <v>0.42</v>
      </c>
      <c r="AR583" s="1">
        <v>0.06</v>
      </c>
      <c r="AS583" s="1">
        <v>0.06</v>
      </c>
      <c r="AT583" s="1">
        <v>15.14</v>
      </c>
      <c r="AU583" s="1">
        <v>5.03</v>
      </c>
      <c r="AV583" s="1">
        <v>0.25</v>
      </c>
      <c r="AW583" s="1">
        <v>1.64</v>
      </c>
      <c r="AX583" s="1">
        <v>8.4600000000000009</v>
      </c>
      <c r="AY583" s="1">
        <v>0</v>
      </c>
      <c r="AZ583" s="1">
        <v>100.027</v>
      </c>
      <c r="BA583" s="1">
        <v>0</v>
      </c>
      <c r="BB583" s="1">
        <v>0</v>
      </c>
      <c r="BC583" s="1">
        <v>0</v>
      </c>
      <c r="BD583" s="1">
        <v>0</v>
      </c>
    </row>
    <row r="584" spans="1:56">
      <c r="A584" s="18">
        <v>46192</v>
      </c>
      <c r="B584" s="1">
        <v>583</v>
      </c>
      <c r="C584" s="1" t="s">
        <v>89</v>
      </c>
      <c r="D584" s="1" t="s">
        <v>90</v>
      </c>
      <c r="E584" s="1">
        <v>2</v>
      </c>
      <c r="F584" s="1">
        <v>200</v>
      </c>
      <c r="G584" s="1">
        <v>1</v>
      </c>
      <c r="H584" s="1" t="s">
        <v>91</v>
      </c>
      <c r="I584" s="1" t="s">
        <v>79</v>
      </c>
      <c r="J584" s="1" t="s">
        <v>84</v>
      </c>
      <c r="K584" s="1" t="s">
        <v>74</v>
      </c>
      <c r="L584" s="1" t="s">
        <v>72</v>
      </c>
      <c r="M584" s="1" t="s">
        <v>75</v>
      </c>
      <c r="N584" s="1" t="s">
        <v>82</v>
      </c>
      <c r="O584" s="1" t="s">
        <v>77</v>
      </c>
      <c r="P584" s="1" t="s">
        <v>27</v>
      </c>
      <c r="Q584" s="1" t="s">
        <v>86</v>
      </c>
      <c r="R584" s="1" t="s">
        <v>94</v>
      </c>
      <c r="S584" s="1" t="s">
        <v>87</v>
      </c>
      <c r="T584" s="1" t="s">
        <v>88</v>
      </c>
      <c r="X584" s="1" t="s">
        <v>73</v>
      </c>
      <c r="Z584" s="1" t="s">
        <v>70</v>
      </c>
      <c r="AA584" s="1" t="s">
        <v>95</v>
      </c>
      <c r="AB584" s="1">
        <v>5</v>
      </c>
      <c r="AC584" s="1">
        <v>748792.02</v>
      </c>
      <c r="AD584" s="1">
        <v>8930542.9399999995</v>
      </c>
      <c r="AE584" s="1">
        <v>209.62</v>
      </c>
      <c r="AF584" s="1">
        <v>748792.02</v>
      </c>
      <c r="AG584" s="1">
        <v>8930542.9399999995</v>
      </c>
      <c r="AH584" s="1">
        <v>199.4</v>
      </c>
      <c r="AI584" s="1">
        <v>10.220000000000001</v>
      </c>
      <c r="AJ584" s="1">
        <v>0.6</v>
      </c>
      <c r="AK584" s="1">
        <v>2.97</v>
      </c>
      <c r="AL584" s="1">
        <v>2.58</v>
      </c>
      <c r="AM584" s="1">
        <v>0</v>
      </c>
      <c r="AN584" s="1">
        <v>0</v>
      </c>
      <c r="AO584" s="1">
        <v>279.95422539999998</v>
      </c>
      <c r="AP584" s="1">
        <v>3.16</v>
      </c>
      <c r="AQ584" s="1">
        <v>0.38</v>
      </c>
      <c r="AR584" s="1">
        <v>0.04</v>
      </c>
      <c r="AS584" s="1">
        <v>0.05</v>
      </c>
      <c r="AT584" s="1">
        <v>14.45</v>
      </c>
      <c r="AU584" s="1">
        <v>4.97</v>
      </c>
      <c r="AV584" s="1">
        <v>0.24</v>
      </c>
      <c r="AW584" s="1">
        <v>1.59</v>
      </c>
      <c r="AX584" s="1">
        <v>8.19</v>
      </c>
      <c r="AY584" s="1">
        <v>0</v>
      </c>
      <c r="AZ584" s="1">
        <v>97.843000000000004</v>
      </c>
      <c r="BA584" s="1">
        <v>0</v>
      </c>
      <c r="BB584" s="1">
        <v>0</v>
      </c>
      <c r="BC584" s="1">
        <v>0</v>
      </c>
      <c r="BD584" s="1">
        <v>0</v>
      </c>
    </row>
    <row r="585" spans="1:56">
      <c r="A585" s="18">
        <v>46192</v>
      </c>
      <c r="B585" s="1">
        <v>584</v>
      </c>
      <c r="C585" s="1" t="s">
        <v>89</v>
      </c>
      <c r="D585" s="1" t="s">
        <v>90</v>
      </c>
      <c r="E585" s="1">
        <v>2</v>
      </c>
      <c r="F585" s="1">
        <v>200</v>
      </c>
      <c r="G585" s="1">
        <v>1</v>
      </c>
      <c r="H585" s="1" t="s">
        <v>91</v>
      </c>
      <c r="I585" s="1" t="s">
        <v>79</v>
      </c>
      <c r="J585" s="1" t="s">
        <v>84</v>
      </c>
      <c r="K585" s="1" t="s">
        <v>74</v>
      </c>
      <c r="L585" s="1" t="s">
        <v>72</v>
      </c>
      <c r="M585" s="1" t="s">
        <v>75</v>
      </c>
      <c r="N585" s="1" t="s">
        <v>82</v>
      </c>
      <c r="O585" s="1" t="s">
        <v>77</v>
      </c>
      <c r="P585" s="1" t="s">
        <v>27</v>
      </c>
      <c r="Q585" s="1" t="s">
        <v>86</v>
      </c>
      <c r="R585" s="1" t="s">
        <v>94</v>
      </c>
      <c r="S585" s="1" t="s">
        <v>87</v>
      </c>
      <c r="T585" s="1" t="s">
        <v>88</v>
      </c>
      <c r="X585" s="1" t="s">
        <v>73</v>
      </c>
      <c r="Z585" s="1" t="s">
        <v>70</v>
      </c>
      <c r="AA585" s="1" t="s">
        <v>95</v>
      </c>
      <c r="AB585" s="1">
        <v>5</v>
      </c>
      <c r="AC585" s="1">
        <v>748793.62</v>
      </c>
      <c r="AD585" s="1">
        <v>8930540.4399999995</v>
      </c>
      <c r="AE585" s="1">
        <v>209.53</v>
      </c>
      <c r="AF585" s="1">
        <v>748793.62</v>
      </c>
      <c r="AG585" s="1">
        <v>8930540.4399999995</v>
      </c>
      <c r="AH585" s="1">
        <v>199.4</v>
      </c>
      <c r="AI585" s="1">
        <v>10.130000000000001</v>
      </c>
      <c r="AJ585" s="1">
        <v>0.6</v>
      </c>
      <c r="AK585" s="1">
        <v>2.97</v>
      </c>
      <c r="AL585" s="1">
        <v>2.58</v>
      </c>
      <c r="AM585" s="1">
        <v>0</v>
      </c>
      <c r="AN585" s="1">
        <v>0</v>
      </c>
      <c r="AO585" s="1">
        <v>279.95422539999998</v>
      </c>
      <c r="AP585" s="1">
        <v>3.18</v>
      </c>
      <c r="AQ585" s="1">
        <v>0.42</v>
      </c>
      <c r="AR585" s="1">
        <v>0.05</v>
      </c>
      <c r="AS585" s="1">
        <v>0.06</v>
      </c>
      <c r="AT585" s="1">
        <v>15.05</v>
      </c>
      <c r="AU585" s="1">
        <v>5.43</v>
      </c>
      <c r="AV585" s="1">
        <v>0.28000000000000003</v>
      </c>
      <c r="AW585" s="1">
        <v>1.5</v>
      </c>
      <c r="AX585" s="1">
        <v>8.2899999999999991</v>
      </c>
      <c r="AY585" s="1">
        <v>0</v>
      </c>
      <c r="AZ585" s="1">
        <v>96.533000000000001</v>
      </c>
      <c r="BA585" s="1">
        <v>0</v>
      </c>
      <c r="BB585" s="1">
        <v>0</v>
      </c>
      <c r="BC585" s="1">
        <v>0</v>
      </c>
      <c r="BD585" s="1">
        <v>0</v>
      </c>
    </row>
    <row r="586" spans="1:56">
      <c r="A586" s="18">
        <v>46192</v>
      </c>
      <c r="B586" s="1">
        <v>585</v>
      </c>
      <c r="C586" s="1" t="s">
        <v>89</v>
      </c>
      <c r="D586" s="1" t="s">
        <v>90</v>
      </c>
      <c r="E586" s="1">
        <v>2</v>
      </c>
      <c r="F586" s="1">
        <v>200</v>
      </c>
      <c r="G586" s="1">
        <v>1</v>
      </c>
      <c r="H586" s="1" t="s">
        <v>91</v>
      </c>
      <c r="I586" s="1" t="s">
        <v>79</v>
      </c>
      <c r="J586" s="1" t="s">
        <v>80</v>
      </c>
      <c r="K586" s="1" t="s">
        <v>74</v>
      </c>
      <c r="L586" s="1" t="s">
        <v>72</v>
      </c>
      <c r="M586" s="1" t="s">
        <v>75</v>
      </c>
      <c r="N586" s="1" t="s">
        <v>82</v>
      </c>
      <c r="O586" s="1" t="s">
        <v>77</v>
      </c>
      <c r="P586" s="1" t="s">
        <v>27</v>
      </c>
      <c r="Q586" s="1" t="s">
        <v>86</v>
      </c>
      <c r="R586" s="1" t="s">
        <v>94</v>
      </c>
      <c r="S586" s="1" t="s">
        <v>87</v>
      </c>
      <c r="T586" s="1" t="s">
        <v>88</v>
      </c>
      <c r="X586" s="1" t="s">
        <v>73</v>
      </c>
      <c r="Z586" s="1" t="s">
        <v>70</v>
      </c>
      <c r="AA586" s="1" t="s">
        <v>95</v>
      </c>
      <c r="AB586" s="1">
        <v>5</v>
      </c>
      <c r="AC586" s="1">
        <v>748795.23</v>
      </c>
      <c r="AD586" s="1">
        <v>8930537.9399999995</v>
      </c>
      <c r="AE586" s="1">
        <v>209.63</v>
      </c>
      <c r="AF586" s="1">
        <v>748795.23</v>
      </c>
      <c r="AG586" s="1">
        <v>8930537.9399999995</v>
      </c>
      <c r="AH586" s="1">
        <v>199.4</v>
      </c>
      <c r="AI586" s="1">
        <v>10.23</v>
      </c>
      <c r="AJ586" s="1">
        <v>0.6</v>
      </c>
      <c r="AK586" s="1">
        <v>2.97</v>
      </c>
      <c r="AL586" s="1">
        <v>2.58</v>
      </c>
      <c r="AM586" s="1">
        <v>0</v>
      </c>
      <c r="AN586" s="1">
        <v>0</v>
      </c>
      <c r="AO586" s="1">
        <v>279.95422539999998</v>
      </c>
      <c r="AP586" s="1">
        <v>3.2</v>
      </c>
      <c r="AQ586" s="1">
        <v>0.47</v>
      </c>
      <c r="AR586" s="1">
        <v>7.0000000000000007E-2</v>
      </c>
      <c r="AS586" s="1">
        <v>7.0000000000000007E-2</v>
      </c>
      <c r="AT586" s="1">
        <v>16.07</v>
      </c>
      <c r="AU586" s="1">
        <v>6.22</v>
      </c>
      <c r="AV586" s="1">
        <v>0.35</v>
      </c>
      <c r="AW586" s="1">
        <v>1.35</v>
      </c>
      <c r="AX586" s="1">
        <v>8.48</v>
      </c>
      <c r="AY586" s="1">
        <v>0</v>
      </c>
      <c r="AZ586" s="1">
        <v>97.989000000000004</v>
      </c>
      <c r="BA586" s="1">
        <v>0</v>
      </c>
      <c r="BB586" s="1">
        <v>0</v>
      </c>
      <c r="BC586" s="1">
        <v>0</v>
      </c>
      <c r="BD586" s="1">
        <v>0</v>
      </c>
    </row>
    <row r="587" spans="1:56">
      <c r="A587" s="18">
        <v>46192</v>
      </c>
      <c r="B587" s="1">
        <v>586</v>
      </c>
      <c r="C587" s="1" t="s">
        <v>89</v>
      </c>
      <c r="D587" s="1" t="s">
        <v>90</v>
      </c>
      <c r="E587" s="1">
        <v>2</v>
      </c>
      <c r="F587" s="1">
        <v>200</v>
      </c>
      <c r="G587" s="1">
        <v>1</v>
      </c>
      <c r="H587" s="1" t="s">
        <v>91</v>
      </c>
      <c r="I587" s="1" t="s">
        <v>79</v>
      </c>
      <c r="J587" s="1" t="s">
        <v>80</v>
      </c>
      <c r="K587" s="1" t="s">
        <v>74</v>
      </c>
      <c r="L587" s="1" t="s">
        <v>72</v>
      </c>
      <c r="M587" s="1" t="s">
        <v>75</v>
      </c>
      <c r="N587" s="1" t="s">
        <v>82</v>
      </c>
      <c r="O587" s="1" t="s">
        <v>77</v>
      </c>
      <c r="P587" s="1" t="s">
        <v>27</v>
      </c>
      <c r="Q587" s="1" t="s">
        <v>86</v>
      </c>
      <c r="R587" s="1" t="s">
        <v>94</v>
      </c>
      <c r="S587" s="1" t="s">
        <v>87</v>
      </c>
      <c r="T587" s="1" t="s">
        <v>88</v>
      </c>
      <c r="X587" s="1" t="s">
        <v>73</v>
      </c>
      <c r="Z587" s="1" t="s">
        <v>70</v>
      </c>
      <c r="AA587" s="1" t="s">
        <v>95</v>
      </c>
      <c r="AB587" s="1">
        <v>5</v>
      </c>
      <c r="AC587" s="1">
        <v>748796.83</v>
      </c>
      <c r="AD587" s="1">
        <v>8930535.4399999995</v>
      </c>
      <c r="AE587" s="1">
        <v>209.71</v>
      </c>
      <c r="AF587" s="1">
        <v>748796.83</v>
      </c>
      <c r="AG587" s="1">
        <v>8930535.4399999995</v>
      </c>
      <c r="AH587" s="1">
        <v>199.4</v>
      </c>
      <c r="AI587" s="1">
        <v>10.31</v>
      </c>
      <c r="AJ587" s="1">
        <v>0.6</v>
      </c>
      <c r="AK587" s="1">
        <v>2.97</v>
      </c>
      <c r="AL587" s="1">
        <v>2.58</v>
      </c>
      <c r="AM587" s="1">
        <v>0</v>
      </c>
      <c r="AN587" s="1">
        <v>0</v>
      </c>
      <c r="AO587" s="1">
        <v>279.95422539999998</v>
      </c>
      <c r="AP587" s="1">
        <v>3.2</v>
      </c>
      <c r="AQ587" s="1">
        <v>0.47</v>
      </c>
      <c r="AR587" s="1">
        <v>7.0000000000000007E-2</v>
      </c>
      <c r="AS587" s="1">
        <v>7.0000000000000007E-2</v>
      </c>
      <c r="AT587" s="1">
        <v>16.07</v>
      </c>
      <c r="AU587" s="1">
        <v>6.22</v>
      </c>
      <c r="AV587" s="1">
        <v>0.35</v>
      </c>
      <c r="AW587" s="1">
        <v>1.35</v>
      </c>
      <c r="AX587" s="1">
        <v>8.49</v>
      </c>
      <c r="AY587" s="1">
        <v>0</v>
      </c>
      <c r="AZ587" s="1">
        <v>99.153999999999996</v>
      </c>
      <c r="BA587" s="1">
        <v>0</v>
      </c>
      <c r="BB587" s="1">
        <v>0</v>
      </c>
      <c r="BC587" s="1">
        <v>0</v>
      </c>
      <c r="BD587" s="1">
        <v>0</v>
      </c>
    </row>
    <row r="588" spans="1:56">
      <c r="A588" s="18">
        <v>46192</v>
      </c>
      <c r="B588" s="1">
        <v>587</v>
      </c>
      <c r="C588" s="1" t="s">
        <v>89</v>
      </c>
      <c r="D588" s="1" t="s">
        <v>90</v>
      </c>
      <c r="E588" s="1">
        <v>2</v>
      </c>
      <c r="F588" s="1">
        <v>200</v>
      </c>
      <c r="G588" s="1">
        <v>1</v>
      </c>
      <c r="H588" s="1" t="s">
        <v>91</v>
      </c>
      <c r="I588" s="1" t="s">
        <v>79</v>
      </c>
      <c r="J588" s="1" t="s">
        <v>80</v>
      </c>
      <c r="K588" s="1" t="s">
        <v>74</v>
      </c>
      <c r="L588" s="1" t="s">
        <v>72</v>
      </c>
      <c r="M588" s="1" t="s">
        <v>75</v>
      </c>
      <c r="N588" s="1" t="s">
        <v>82</v>
      </c>
      <c r="O588" s="1" t="s">
        <v>77</v>
      </c>
      <c r="P588" s="1" t="s">
        <v>27</v>
      </c>
      <c r="Q588" s="1" t="s">
        <v>86</v>
      </c>
      <c r="R588" s="1" t="s">
        <v>94</v>
      </c>
      <c r="S588" s="1" t="s">
        <v>87</v>
      </c>
      <c r="T588" s="1" t="s">
        <v>88</v>
      </c>
      <c r="X588" s="1" t="s">
        <v>73</v>
      </c>
      <c r="Z588" s="1" t="s">
        <v>70</v>
      </c>
      <c r="AA588" s="1" t="s">
        <v>95</v>
      </c>
      <c r="AB588" s="1">
        <v>5</v>
      </c>
      <c r="AC588" s="1">
        <v>748798.43</v>
      </c>
      <c r="AD588" s="1">
        <v>8930532.9399999995</v>
      </c>
      <c r="AE588" s="1">
        <v>209.76</v>
      </c>
      <c r="AF588" s="1">
        <v>748798.43</v>
      </c>
      <c r="AG588" s="1">
        <v>8930532.9399999995</v>
      </c>
      <c r="AH588" s="1">
        <v>199.4</v>
      </c>
      <c r="AI588" s="1">
        <v>10.36</v>
      </c>
      <c r="AJ588" s="1">
        <v>0.6</v>
      </c>
      <c r="AK588" s="1">
        <v>2.97</v>
      </c>
      <c r="AL588" s="1">
        <v>2.58</v>
      </c>
      <c r="AM588" s="1">
        <v>0</v>
      </c>
      <c r="AN588" s="1">
        <v>0</v>
      </c>
      <c r="AO588" s="1">
        <v>279.95422539999998</v>
      </c>
      <c r="AP588" s="1">
        <v>3.2</v>
      </c>
      <c r="AQ588" s="1">
        <v>0.48</v>
      </c>
      <c r="AR588" s="1">
        <v>7.0000000000000007E-2</v>
      </c>
      <c r="AS588" s="1">
        <v>7.0000000000000007E-2</v>
      </c>
      <c r="AT588" s="1">
        <v>16.04</v>
      </c>
      <c r="AU588" s="1">
        <v>6.2</v>
      </c>
      <c r="AV588" s="1">
        <v>0.36</v>
      </c>
      <c r="AW588" s="1">
        <v>1.34</v>
      </c>
      <c r="AX588" s="1">
        <v>8.39</v>
      </c>
      <c r="AY588" s="1">
        <v>0</v>
      </c>
      <c r="AZ588" s="1">
        <v>99.882000000000005</v>
      </c>
      <c r="BA588" s="1">
        <v>0</v>
      </c>
      <c r="BB588" s="1">
        <v>0</v>
      </c>
      <c r="BC588" s="1">
        <v>0</v>
      </c>
      <c r="BD588" s="1">
        <v>0</v>
      </c>
    </row>
    <row r="589" spans="1:56">
      <c r="A589" s="18">
        <v>46192</v>
      </c>
      <c r="B589" s="1">
        <v>588</v>
      </c>
      <c r="C589" s="1" t="s">
        <v>89</v>
      </c>
      <c r="D589" s="1" t="s">
        <v>90</v>
      </c>
      <c r="E589" s="1">
        <v>2</v>
      </c>
      <c r="F589" s="1">
        <v>200</v>
      </c>
      <c r="G589" s="1">
        <v>1</v>
      </c>
      <c r="H589" s="1" t="s">
        <v>91</v>
      </c>
      <c r="I589" s="1" t="s">
        <v>79</v>
      </c>
      <c r="J589" s="1" t="s">
        <v>80</v>
      </c>
      <c r="K589" s="1" t="s">
        <v>74</v>
      </c>
      <c r="L589" s="1" t="s">
        <v>72</v>
      </c>
      <c r="M589" s="1" t="s">
        <v>75</v>
      </c>
      <c r="N589" s="1" t="s">
        <v>82</v>
      </c>
      <c r="O589" s="1" t="s">
        <v>77</v>
      </c>
      <c r="P589" s="1" t="s">
        <v>27</v>
      </c>
      <c r="Q589" s="1" t="s">
        <v>86</v>
      </c>
      <c r="R589" s="1" t="s">
        <v>94</v>
      </c>
      <c r="S589" s="1" t="s">
        <v>87</v>
      </c>
      <c r="T589" s="1" t="s">
        <v>88</v>
      </c>
      <c r="X589" s="1" t="s">
        <v>73</v>
      </c>
      <c r="Z589" s="1" t="s">
        <v>70</v>
      </c>
      <c r="AA589" s="1" t="s">
        <v>95</v>
      </c>
      <c r="AB589" s="1">
        <v>5</v>
      </c>
      <c r="AC589" s="1">
        <v>748800.04</v>
      </c>
      <c r="AD589" s="1">
        <v>8930530.4399999995</v>
      </c>
      <c r="AE589" s="1">
        <v>209.75</v>
      </c>
      <c r="AF589" s="1">
        <v>748800.04</v>
      </c>
      <c r="AG589" s="1">
        <v>8930530.4399999995</v>
      </c>
      <c r="AH589" s="1">
        <v>199.4</v>
      </c>
      <c r="AI589" s="1">
        <v>10.35</v>
      </c>
      <c r="AJ589" s="1">
        <v>0.6</v>
      </c>
      <c r="AK589" s="1">
        <v>2.97</v>
      </c>
      <c r="AL589" s="1">
        <v>2.58</v>
      </c>
      <c r="AM589" s="1">
        <v>0</v>
      </c>
      <c r="AN589" s="1">
        <v>0</v>
      </c>
      <c r="AO589" s="1">
        <v>279.95422539999998</v>
      </c>
      <c r="AP589" s="1">
        <v>3.16</v>
      </c>
      <c r="AQ589" s="1">
        <v>0.59</v>
      </c>
      <c r="AR589" s="1">
        <v>7.0000000000000007E-2</v>
      </c>
      <c r="AS589" s="1">
        <v>0.08</v>
      </c>
      <c r="AT589" s="1">
        <v>16.690000000000001</v>
      </c>
      <c r="AU589" s="1">
        <v>6.21</v>
      </c>
      <c r="AV589" s="1">
        <v>0.42</v>
      </c>
      <c r="AW589" s="1">
        <v>1.41</v>
      </c>
      <c r="AX589" s="1">
        <v>7.91</v>
      </c>
      <c r="AY589" s="1">
        <v>0</v>
      </c>
      <c r="AZ589" s="1">
        <v>99.736000000000004</v>
      </c>
      <c r="BA589" s="1">
        <v>0</v>
      </c>
      <c r="BB589" s="1">
        <v>0</v>
      </c>
      <c r="BC589" s="1">
        <v>0</v>
      </c>
      <c r="BD589" s="1">
        <v>0</v>
      </c>
    </row>
    <row r="590" spans="1:56">
      <c r="A590" s="18">
        <v>46192</v>
      </c>
      <c r="B590" s="1">
        <v>589</v>
      </c>
      <c r="C590" s="1" t="s">
        <v>89</v>
      </c>
      <c r="D590" s="1" t="s">
        <v>90</v>
      </c>
      <c r="E590" s="1">
        <v>2</v>
      </c>
      <c r="F590" s="1">
        <v>200</v>
      </c>
      <c r="G590" s="1">
        <v>1</v>
      </c>
      <c r="H590" s="1" t="s">
        <v>91</v>
      </c>
      <c r="I590" s="1" t="s">
        <v>79</v>
      </c>
      <c r="J590" s="1" t="s">
        <v>81</v>
      </c>
      <c r="K590" s="1" t="s">
        <v>74</v>
      </c>
      <c r="L590" s="1" t="s">
        <v>72</v>
      </c>
      <c r="M590" s="1" t="s">
        <v>75</v>
      </c>
      <c r="N590" s="1" t="s">
        <v>82</v>
      </c>
      <c r="O590" s="1" t="s">
        <v>77</v>
      </c>
      <c r="P590" s="1" t="s">
        <v>27</v>
      </c>
      <c r="Q590" s="1" t="s">
        <v>86</v>
      </c>
      <c r="R590" s="1" t="s">
        <v>94</v>
      </c>
      <c r="S590" s="1" t="s">
        <v>87</v>
      </c>
      <c r="T590" s="1" t="s">
        <v>88</v>
      </c>
      <c r="X590" s="1" t="s">
        <v>73</v>
      </c>
      <c r="Z590" s="1" t="s">
        <v>70</v>
      </c>
      <c r="AA590" s="1" t="s">
        <v>95</v>
      </c>
      <c r="AB590" s="1">
        <v>5</v>
      </c>
      <c r="AC590" s="1">
        <v>748801.64</v>
      </c>
      <c r="AD590" s="1">
        <v>8930527.9399999995</v>
      </c>
      <c r="AE590" s="1">
        <v>209.78</v>
      </c>
      <c r="AF590" s="1">
        <v>748801.64</v>
      </c>
      <c r="AG590" s="1">
        <v>8930527.9399999995</v>
      </c>
      <c r="AH590" s="1">
        <v>199.4</v>
      </c>
      <c r="AI590" s="1">
        <v>10.38</v>
      </c>
      <c r="AJ590" s="1">
        <v>0.6</v>
      </c>
      <c r="AK590" s="1">
        <v>2.97</v>
      </c>
      <c r="AL590" s="1">
        <v>2.58</v>
      </c>
      <c r="AM590" s="1">
        <v>0</v>
      </c>
      <c r="AN590" s="1">
        <v>0</v>
      </c>
      <c r="AO590" s="1">
        <v>279.95422539999998</v>
      </c>
      <c r="AP590" s="1">
        <v>3.16</v>
      </c>
      <c r="AQ590" s="1">
        <v>0.73</v>
      </c>
      <c r="AR590" s="1">
        <v>7.0000000000000007E-2</v>
      </c>
      <c r="AS590" s="1">
        <v>0.09</v>
      </c>
      <c r="AT590" s="1">
        <v>17.5</v>
      </c>
      <c r="AU590" s="1">
        <v>5.85</v>
      </c>
      <c r="AV590" s="1">
        <v>0.46</v>
      </c>
      <c r="AW590" s="1">
        <v>1.56</v>
      </c>
      <c r="AX590" s="1">
        <v>8.0299999999999994</v>
      </c>
      <c r="AY590" s="1">
        <v>0</v>
      </c>
      <c r="AZ590" s="1">
        <v>100.173</v>
      </c>
      <c r="BA590" s="1">
        <v>0</v>
      </c>
      <c r="BB590" s="1">
        <v>0</v>
      </c>
      <c r="BC590" s="1">
        <v>0</v>
      </c>
      <c r="BD590" s="1">
        <v>0</v>
      </c>
    </row>
    <row r="591" spans="1:56">
      <c r="A591" s="18">
        <v>46192</v>
      </c>
      <c r="B591" s="1">
        <v>590</v>
      </c>
      <c r="C591" s="1" t="s">
        <v>89</v>
      </c>
      <c r="D591" s="1" t="s">
        <v>90</v>
      </c>
      <c r="E591" s="1">
        <v>2</v>
      </c>
      <c r="F591" s="1">
        <v>200</v>
      </c>
      <c r="G591" s="1">
        <v>1</v>
      </c>
      <c r="H591" s="1" t="s">
        <v>91</v>
      </c>
      <c r="I591" s="1" t="s">
        <v>79</v>
      </c>
      <c r="J591" s="1" t="s">
        <v>81</v>
      </c>
      <c r="K591" s="1" t="s">
        <v>74</v>
      </c>
      <c r="L591" s="1" t="s">
        <v>72</v>
      </c>
      <c r="M591" s="1" t="s">
        <v>75</v>
      </c>
      <c r="N591" s="1" t="s">
        <v>82</v>
      </c>
      <c r="O591" s="1" t="s">
        <v>77</v>
      </c>
      <c r="P591" s="1" t="s">
        <v>27</v>
      </c>
      <c r="Q591" s="1" t="s">
        <v>86</v>
      </c>
      <c r="R591" s="1" t="s">
        <v>94</v>
      </c>
      <c r="S591" s="1" t="s">
        <v>87</v>
      </c>
      <c r="T591" s="1" t="s">
        <v>88</v>
      </c>
      <c r="X591" s="1" t="s">
        <v>73</v>
      </c>
      <c r="Z591" s="1" t="s">
        <v>70</v>
      </c>
      <c r="AA591" s="1" t="s">
        <v>95</v>
      </c>
      <c r="AB591" s="1">
        <v>5</v>
      </c>
      <c r="AC591" s="1">
        <v>748803.24</v>
      </c>
      <c r="AD591" s="1">
        <v>8930525.4399999995</v>
      </c>
      <c r="AE591" s="1">
        <v>209.82</v>
      </c>
      <c r="AF591" s="1">
        <v>748803.24</v>
      </c>
      <c r="AG591" s="1">
        <v>8930525.4399999995</v>
      </c>
      <c r="AH591" s="1">
        <v>199.4</v>
      </c>
      <c r="AI591" s="1">
        <v>10.42</v>
      </c>
      <c r="AJ591" s="1">
        <v>0.6</v>
      </c>
      <c r="AK591" s="1">
        <v>2.97</v>
      </c>
      <c r="AL591" s="1">
        <v>2.58</v>
      </c>
      <c r="AM591" s="1">
        <v>0</v>
      </c>
      <c r="AN591" s="1">
        <v>0</v>
      </c>
      <c r="AO591" s="1">
        <v>279.95422539999998</v>
      </c>
      <c r="AP591" s="1">
        <v>3.16</v>
      </c>
      <c r="AQ591" s="1">
        <v>0.73</v>
      </c>
      <c r="AR591" s="1">
        <v>7.0000000000000007E-2</v>
      </c>
      <c r="AS591" s="1">
        <v>0.09</v>
      </c>
      <c r="AT591" s="1">
        <v>17.41</v>
      </c>
      <c r="AU591" s="1">
        <v>5.77</v>
      </c>
      <c r="AV591" s="1">
        <v>0.47</v>
      </c>
      <c r="AW591" s="1">
        <v>1.55</v>
      </c>
      <c r="AX591" s="1">
        <v>8.0299999999999994</v>
      </c>
      <c r="AY591" s="1">
        <v>0</v>
      </c>
      <c r="AZ591" s="1">
        <v>100.755</v>
      </c>
      <c r="BA591" s="1">
        <v>0</v>
      </c>
      <c r="BB591" s="1">
        <v>0</v>
      </c>
      <c r="BC591" s="1">
        <v>0</v>
      </c>
      <c r="BD591" s="1">
        <v>0</v>
      </c>
    </row>
    <row r="592" spans="1:56">
      <c r="A592" s="18">
        <v>46192</v>
      </c>
      <c r="B592" s="1">
        <v>591</v>
      </c>
      <c r="C592" s="1" t="s">
        <v>89</v>
      </c>
      <c r="D592" s="1" t="s">
        <v>90</v>
      </c>
      <c r="E592" s="1">
        <v>2</v>
      </c>
      <c r="F592" s="1">
        <v>200</v>
      </c>
      <c r="G592" s="1">
        <v>1</v>
      </c>
      <c r="H592" s="1" t="s">
        <v>91</v>
      </c>
      <c r="I592" s="1" t="s">
        <v>79</v>
      </c>
      <c r="J592" s="1" t="s">
        <v>81</v>
      </c>
      <c r="K592" s="1" t="s">
        <v>74</v>
      </c>
      <c r="L592" s="1" t="s">
        <v>72</v>
      </c>
      <c r="M592" s="1" t="s">
        <v>75</v>
      </c>
      <c r="N592" s="1" t="s">
        <v>82</v>
      </c>
      <c r="O592" s="1" t="s">
        <v>77</v>
      </c>
      <c r="P592" s="1" t="s">
        <v>27</v>
      </c>
      <c r="Q592" s="1" t="s">
        <v>86</v>
      </c>
      <c r="R592" s="1" t="s">
        <v>94</v>
      </c>
      <c r="S592" s="1" t="s">
        <v>87</v>
      </c>
      <c r="T592" s="1" t="s">
        <v>88</v>
      </c>
      <c r="X592" s="1" t="s">
        <v>73</v>
      </c>
      <c r="Z592" s="1" t="s">
        <v>70</v>
      </c>
      <c r="AA592" s="1" t="s">
        <v>95</v>
      </c>
      <c r="AB592" s="1">
        <v>5</v>
      </c>
      <c r="AC592" s="1">
        <v>748804.84</v>
      </c>
      <c r="AD592" s="1">
        <v>8930522.9399999995</v>
      </c>
      <c r="AE592" s="1">
        <v>209.97</v>
      </c>
      <c r="AF592" s="1">
        <v>748804.84</v>
      </c>
      <c r="AG592" s="1">
        <v>8930522.9399999995</v>
      </c>
      <c r="AH592" s="1">
        <v>199.4</v>
      </c>
      <c r="AI592" s="1">
        <v>10.57</v>
      </c>
      <c r="AJ592" s="1">
        <v>0.6</v>
      </c>
      <c r="AK592" s="1">
        <v>2.97</v>
      </c>
      <c r="AL592" s="1">
        <v>2.58</v>
      </c>
      <c r="AM592" s="1">
        <v>0</v>
      </c>
      <c r="AN592" s="1">
        <v>0</v>
      </c>
      <c r="AO592" s="1">
        <v>279.95422539999998</v>
      </c>
      <c r="AP592" s="1">
        <v>3.16</v>
      </c>
      <c r="AQ592" s="1">
        <v>0.73</v>
      </c>
      <c r="AR592" s="1">
        <v>7.0000000000000007E-2</v>
      </c>
      <c r="AS592" s="1">
        <v>0.09</v>
      </c>
      <c r="AT592" s="1">
        <v>17.41</v>
      </c>
      <c r="AU592" s="1">
        <v>5.77</v>
      </c>
      <c r="AV592" s="1">
        <v>0.47</v>
      </c>
      <c r="AW592" s="1">
        <v>1.55</v>
      </c>
      <c r="AX592" s="1">
        <v>8.0299999999999994</v>
      </c>
      <c r="AY592" s="1">
        <v>0</v>
      </c>
      <c r="AZ592" s="1">
        <v>102.93899999999999</v>
      </c>
      <c r="BA592" s="1">
        <v>0</v>
      </c>
      <c r="BB592" s="1">
        <v>0</v>
      </c>
      <c r="BC592" s="1">
        <v>0</v>
      </c>
      <c r="BD592" s="1">
        <v>0</v>
      </c>
    </row>
    <row r="593" spans="1:56">
      <c r="A593" s="18">
        <v>46192</v>
      </c>
      <c r="B593" s="1">
        <v>592</v>
      </c>
      <c r="C593" s="1" t="s">
        <v>89</v>
      </c>
      <c r="D593" s="1" t="s">
        <v>90</v>
      </c>
      <c r="E593" s="1">
        <v>2</v>
      </c>
      <c r="F593" s="1">
        <v>200</v>
      </c>
      <c r="G593" s="1">
        <v>1</v>
      </c>
      <c r="H593" s="1" t="s">
        <v>91</v>
      </c>
      <c r="I593" s="1" t="s">
        <v>79</v>
      </c>
      <c r="J593" s="1" t="s">
        <v>81</v>
      </c>
      <c r="K593" s="1" t="s">
        <v>74</v>
      </c>
      <c r="L593" s="1" t="s">
        <v>72</v>
      </c>
      <c r="M593" s="1" t="s">
        <v>75</v>
      </c>
      <c r="N593" s="1" t="s">
        <v>82</v>
      </c>
      <c r="O593" s="1" t="s">
        <v>77</v>
      </c>
      <c r="P593" s="1" t="s">
        <v>27</v>
      </c>
      <c r="Q593" s="1" t="s">
        <v>86</v>
      </c>
      <c r="R593" s="1" t="s">
        <v>94</v>
      </c>
      <c r="S593" s="1" t="s">
        <v>87</v>
      </c>
      <c r="T593" s="1" t="s">
        <v>88</v>
      </c>
      <c r="X593" s="1" t="s">
        <v>73</v>
      </c>
      <c r="Z593" s="1" t="s">
        <v>70</v>
      </c>
      <c r="AA593" s="1" t="s">
        <v>95</v>
      </c>
      <c r="AB593" s="1">
        <v>5</v>
      </c>
      <c r="AC593" s="1">
        <v>748806.45</v>
      </c>
      <c r="AD593" s="1">
        <v>8930520.4399999995</v>
      </c>
      <c r="AE593" s="1">
        <v>209.91</v>
      </c>
      <c r="AF593" s="1">
        <v>748806.45</v>
      </c>
      <c r="AG593" s="1">
        <v>8930520.4399999995</v>
      </c>
      <c r="AH593" s="1">
        <v>199.4</v>
      </c>
      <c r="AI593" s="1">
        <v>10.51</v>
      </c>
      <c r="AJ593" s="1">
        <v>0.6</v>
      </c>
      <c r="AK593" s="1">
        <v>2.97</v>
      </c>
      <c r="AL593" s="1">
        <v>2.58</v>
      </c>
      <c r="AM593" s="1">
        <v>0</v>
      </c>
      <c r="AN593" s="1">
        <v>0</v>
      </c>
      <c r="AO593" s="1">
        <v>279.95422539999998</v>
      </c>
      <c r="AP593" s="1">
        <v>3.3</v>
      </c>
      <c r="AQ593" s="1">
        <v>0.73</v>
      </c>
      <c r="AR593" s="1">
        <v>0.08</v>
      </c>
      <c r="AS593" s="1">
        <v>0.09</v>
      </c>
      <c r="AT593" s="1">
        <v>18.98</v>
      </c>
      <c r="AU593" s="1">
        <v>5.97</v>
      </c>
      <c r="AV593" s="1">
        <v>0.45</v>
      </c>
      <c r="AW593" s="1">
        <v>1.61</v>
      </c>
      <c r="AX593" s="1">
        <v>7.46</v>
      </c>
      <c r="AY593" s="1">
        <v>0</v>
      </c>
      <c r="AZ593" s="1">
        <v>102.066</v>
      </c>
      <c r="BA593" s="1">
        <v>0</v>
      </c>
      <c r="BB593" s="1">
        <v>0</v>
      </c>
      <c r="BC593" s="1">
        <v>0</v>
      </c>
      <c r="BD593" s="1">
        <v>0</v>
      </c>
    </row>
    <row r="594" spans="1:56">
      <c r="A594" s="18">
        <v>46192</v>
      </c>
      <c r="B594" s="1">
        <v>593</v>
      </c>
      <c r="C594" s="1" t="s">
        <v>89</v>
      </c>
      <c r="D594" s="1" t="s">
        <v>90</v>
      </c>
      <c r="E594" s="1">
        <v>2</v>
      </c>
      <c r="F594" s="1">
        <v>200</v>
      </c>
      <c r="G594" s="1">
        <v>1</v>
      </c>
      <c r="H594" s="1" t="s">
        <v>91</v>
      </c>
      <c r="I594" s="1" t="s">
        <v>79</v>
      </c>
      <c r="J594" s="1" t="s">
        <v>81</v>
      </c>
      <c r="K594" s="1" t="s">
        <v>74</v>
      </c>
      <c r="L594" s="1" t="s">
        <v>72</v>
      </c>
      <c r="M594" s="1" t="s">
        <v>75</v>
      </c>
      <c r="N594" s="1" t="s">
        <v>82</v>
      </c>
      <c r="O594" s="1" t="s">
        <v>77</v>
      </c>
      <c r="P594" s="1" t="s">
        <v>27</v>
      </c>
      <c r="Q594" s="1" t="s">
        <v>86</v>
      </c>
      <c r="R594" s="1" t="s">
        <v>94</v>
      </c>
      <c r="S594" s="1" t="s">
        <v>87</v>
      </c>
      <c r="T594" s="1" t="s">
        <v>88</v>
      </c>
      <c r="X594" s="1" t="s">
        <v>73</v>
      </c>
      <c r="Z594" s="1" t="s">
        <v>70</v>
      </c>
      <c r="AA594" s="1" t="s">
        <v>95</v>
      </c>
      <c r="AB594" s="1">
        <v>5</v>
      </c>
      <c r="AC594" s="1">
        <v>748808.05</v>
      </c>
      <c r="AD594" s="1">
        <v>8930517.9399999995</v>
      </c>
      <c r="AE594" s="1">
        <v>209.81</v>
      </c>
      <c r="AF594" s="1">
        <v>748808.05</v>
      </c>
      <c r="AG594" s="1">
        <v>8930517.9399999995</v>
      </c>
      <c r="AH594" s="1">
        <v>199.4</v>
      </c>
      <c r="AI594" s="1">
        <v>10.41</v>
      </c>
      <c r="AJ594" s="1">
        <v>0.6</v>
      </c>
      <c r="AK594" s="1">
        <v>2.97</v>
      </c>
      <c r="AL594" s="1">
        <v>2.58</v>
      </c>
      <c r="AM594" s="1">
        <v>0</v>
      </c>
      <c r="AN594" s="1">
        <v>0</v>
      </c>
      <c r="AO594" s="1">
        <v>279.95422539999998</v>
      </c>
      <c r="AP594" s="1">
        <v>3.53</v>
      </c>
      <c r="AQ594" s="1">
        <v>0.74</v>
      </c>
      <c r="AR594" s="1">
        <v>0.08</v>
      </c>
      <c r="AS594" s="1">
        <v>0.1</v>
      </c>
      <c r="AT594" s="1">
        <v>21.33</v>
      </c>
      <c r="AU594" s="1">
        <v>6.26</v>
      </c>
      <c r="AV594" s="1">
        <v>0.44</v>
      </c>
      <c r="AW594" s="1">
        <v>1.69</v>
      </c>
      <c r="AX594" s="1">
        <v>6.59</v>
      </c>
      <c r="AY594" s="1">
        <v>0</v>
      </c>
      <c r="AZ594" s="1">
        <v>100.61</v>
      </c>
      <c r="BA594" s="1">
        <v>0</v>
      </c>
      <c r="BB594" s="1">
        <v>0</v>
      </c>
      <c r="BC594" s="1">
        <v>0</v>
      </c>
      <c r="BD594" s="1">
        <v>0</v>
      </c>
    </row>
    <row r="595" spans="1:56">
      <c r="A595" s="18">
        <v>46192</v>
      </c>
      <c r="B595" s="1">
        <v>594</v>
      </c>
      <c r="C595" s="1" t="s">
        <v>89</v>
      </c>
      <c r="D595" s="1" t="s">
        <v>90</v>
      </c>
      <c r="E595" s="1">
        <v>2</v>
      </c>
      <c r="F595" s="1">
        <v>200</v>
      </c>
      <c r="G595" s="1">
        <v>1</v>
      </c>
      <c r="H595" s="1" t="s">
        <v>91</v>
      </c>
      <c r="I595" s="1" t="s">
        <v>79</v>
      </c>
      <c r="J595" s="1" t="s">
        <v>81</v>
      </c>
      <c r="K595" s="1" t="s">
        <v>74</v>
      </c>
      <c r="L595" s="1" t="s">
        <v>72</v>
      </c>
      <c r="M595" s="1" t="s">
        <v>75</v>
      </c>
      <c r="N595" s="1" t="s">
        <v>82</v>
      </c>
      <c r="O595" s="1" t="s">
        <v>77</v>
      </c>
      <c r="P595" s="1" t="s">
        <v>27</v>
      </c>
      <c r="Q595" s="1" t="s">
        <v>86</v>
      </c>
      <c r="R595" s="1" t="s">
        <v>94</v>
      </c>
      <c r="S595" s="1" t="s">
        <v>87</v>
      </c>
      <c r="T595" s="1" t="s">
        <v>88</v>
      </c>
      <c r="X595" s="1" t="s">
        <v>73</v>
      </c>
      <c r="Z595" s="1" t="s">
        <v>70</v>
      </c>
      <c r="AA595" s="1" t="s">
        <v>95</v>
      </c>
      <c r="AB595" s="1">
        <v>5</v>
      </c>
      <c r="AC595" s="1">
        <v>748809.65</v>
      </c>
      <c r="AD595" s="1">
        <v>8930515.4399999995</v>
      </c>
      <c r="AE595" s="1">
        <v>209.96</v>
      </c>
      <c r="AF595" s="1">
        <v>748809.65</v>
      </c>
      <c r="AG595" s="1">
        <v>8930515.4399999995</v>
      </c>
      <c r="AH595" s="1">
        <v>199.4</v>
      </c>
      <c r="AI595" s="1">
        <v>10.56</v>
      </c>
      <c r="AJ595" s="1">
        <v>0.6</v>
      </c>
      <c r="AK595" s="1">
        <v>2.97</v>
      </c>
      <c r="AL595" s="1">
        <v>2.58</v>
      </c>
      <c r="AM595" s="1">
        <v>0</v>
      </c>
      <c r="AN595" s="1">
        <v>0</v>
      </c>
      <c r="AO595" s="1">
        <v>279.95422539999998</v>
      </c>
      <c r="AP595" s="1">
        <v>3.56</v>
      </c>
      <c r="AQ595" s="1">
        <v>0.69</v>
      </c>
      <c r="AR595" s="1">
        <v>0.08</v>
      </c>
      <c r="AS595" s="1">
        <v>0.09</v>
      </c>
      <c r="AT595" s="1">
        <v>19.89</v>
      </c>
      <c r="AU595" s="1">
        <v>5.7</v>
      </c>
      <c r="AV595" s="1">
        <v>0.42</v>
      </c>
      <c r="AW595" s="1">
        <v>1.66</v>
      </c>
      <c r="AX595" s="1">
        <v>7.28</v>
      </c>
      <c r="AY595" s="1">
        <v>0</v>
      </c>
      <c r="AZ595" s="1">
        <v>102.794</v>
      </c>
      <c r="BA595" s="1">
        <v>0</v>
      </c>
      <c r="BB595" s="1">
        <v>0</v>
      </c>
      <c r="BC595" s="1">
        <v>0</v>
      </c>
      <c r="BD595" s="1">
        <v>0</v>
      </c>
    </row>
    <row r="596" spans="1:56">
      <c r="A596" s="18">
        <v>46192</v>
      </c>
      <c r="B596" s="1">
        <v>595</v>
      </c>
      <c r="C596" s="1" t="s">
        <v>89</v>
      </c>
      <c r="D596" s="1" t="s">
        <v>90</v>
      </c>
      <c r="E596" s="1">
        <v>2</v>
      </c>
      <c r="F596" s="1">
        <v>200</v>
      </c>
      <c r="G596" s="1">
        <v>1</v>
      </c>
      <c r="H596" s="1" t="s">
        <v>91</v>
      </c>
      <c r="I596" s="1" t="s">
        <v>79</v>
      </c>
      <c r="J596" s="1" t="s">
        <v>80</v>
      </c>
      <c r="K596" s="1" t="s">
        <v>74</v>
      </c>
      <c r="L596" s="1" t="s">
        <v>72</v>
      </c>
      <c r="M596" s="1" t="s">
        <v>75</v>
      </c>
      <c r="N596" s="1" t="s">
        <v>82</v>
      </c>
      <c r="O596" s="1" t="s">
        <v>77</v>
      </c>
      <c r="P596" s="1" t="s">
        <v>27</v>
      </c>
      <c r="Q596" s="1" t="s">
        <v>86</v>
      </c>
      <c r="R596" s="1" t="s">
        <v>94</v>
      </c>
      <c r="S596" s="1" t="s">
        <v>87</v>
      </c>
      <c r="T596" s="1" t="s">
        <v>88</v>
      </c>
      <c r="X596" s="1" t="s">
        <v>73</v>
      </c>
      <c r="Z596" s="1" t="s">
        <v>70</v>
      </c>
      <c r="AA596" s="1" t="s">
        <v>95</v>
      </c>
      <c r="AB596" s="1">
        <v>5</v>
      </c>
      <c r="AC596" s="1">
        <v>748811.26</v>
      </c>
      <c r="AD596" s="1">
        <v>8930512.9399999995</v>
      </c>
      <c r="AE596" s="1">
        <v>210.06</v>
      </c>
      <c r="AF596" s="1">
        <v>748811.26</v>
      </c>
      <c r="AG596" s="1">
        <v>8930512.9399999995</v>
      </c>
      <c r="AH596" s="1">
        <v>199.4</v>
      </c>
      <c r="AI596" s="1">
        <v>10.66</v>
      </c>
      <c r="AJ596" s="1">
        <v>0.6</v>
      </c>
      <c r="AK596" s="1">
        <v>2.97</v>
      </c>
      <c r="AL596" s="1">
        <v>2.58</v>
      </c>
      <c r="AM596" s="1">
        <v>0</v>
      </c>
      <c r="AN596" s="1">
        <v>0</v>
      </c>
      <c r="AO596" s="1">
        <v>279.95422539999998</v>
      </c>
      <c r="AP596" s="1">
        <v>3.6</v>
      </c>
      <c r="AQ596" s="1">
        <v>0.64</v>
      </c>
      <c r="AR596" s="1">
        <v>0.09</v>
      </c>
      <c r="AS596" s="1">
        <v>7.0000000000000007E-2</v>
      </c>
      <c r="AT596" s="1">
        <v>18.18</v>
      </c>
      <c r="AU596" s="1">
        <v>5.05</v>
      </c>
      <c r="AV596" s="1">
        <v>0.39</v>
      </c>
      <c r="AW596" s="1">
        <v>1.63</v>
      </c>
      <c r="AX596" s="1">
        <v>8.1</v>
      </c>
      <c r="AY596" s="1">
        <v>0</v>
      </c>
      <c r="AZ596" s="1">
        <v>104.25</v>
      </c>
      <c r="BA596" s="1">
        <v>0</v>
      </c>
      <c r="BB596" s="1">
        <v>0</v>
      </c>
      <c r="BC596" s="1">
        <v>0</v>
      </c>
      <c r="BD596" s="1">
        <v>0</v>
      </c>
    </row>
    <row r="597" spans="1:56">
      <c r="A597" s="18">
        <v>46192</v>
      </c>
      <c r="B597" s="1">
        <v>596</v>
      </c>
      <c r="C597" s="1" t="s">
        <v>89</v>
      </c>
      <c r="D597" s="1" t="s">
        <v>90</v>
      </c>
      <c r="E597" s="1">
        <v>2</v>
      </c>
      <c r="F597" s="1">
        <v>200</v>
      </c>
      <c r="G597" s="1">
        <v>1</v>
      </c>
      <c r="H597" s="1" t="s">
        <v>91</v>
      </c>
      <c r="I597" s="1" t="s">
        <v>79</v>
      </c>
      <c r="J597" s="1" t="s">
        <v>80</v>
      </c>
      <c r="K597" s="1" t="s">
        <v>74</v>
      </c>
      <c r="L597" s="1" t="s">
        <v>72</v>
      </c>
      <c r="M597" s="1" t="s">
        <v>75</v>
      </c>
      <c r="N597" s="1" t="s">
        <v>82</v>
      </c>
      <c r="O597" s="1" t="s">
        <v>77</v>
      </c>
      <c r="P597" s="1" t="s">
        <v>27</v>
      </c>
      <c r="Q597" s="1" t="s">
        <v>86</v>
      </c>
      <c r="R597" s="1" t="s">
        <v>94</v>
      </c>
      <c r="S597" s="1" t="s">
        <v>87</v>
      </c>
      <c r="T597" s="1" t="s">
        <v>88</v>
      </c>
      <c r="X597" s="1" t="s">
        <v>73</v>
      </c>
      <c r="Z597" s="1" t="s">
        <v>70</v>
      </c>
      <c r="AA597" s="1" t="s">
        <v>95</v>
      </c>
      <c r="AB597" s="1">
        <v>5</v>
      </c>
      <c r="AC597" s="1">
        <v>748812.86</v>
      </c>
      <c r="AD597" s="1">
        <v>8930510.4399999995</v>
      </c>
      <c r="AE597" s="1">
        <v>210.16</v>
      </c>
      <c r="AF597" s="1">
        <v>748812.86</v>
      </c>
      <c r="AG597" s="1">
        <v>8930510.4399999995</v>
      </c>
      <c r="AH597" s="1">
        <v>199.4</v>
      </c>
      <c r="AI597" s="1">
        <v>10.76</v>
      </c>
      <c r="AJ597" s="1">
        <v>0.6</v>
      </c>
      <c r="AK597" s="1">
        <v>2.97</v>
      </c>
      <c r="AL597" s="1">
        <v>2.58</v>
      </c>
      <c r="AM597" s="1">
        <v>0</v>
      </c>
      <c r="AN597" s="1">
        <v>0</v>
      </c>
      <c r="AO597" s="1">
        <v>279.95422539999998</v>
      </c>
      <c r="AP597" s="1">
        <v>3.49</v>
      </c>
      <c r="AQ597" s="1">
        <v>0.66</v>
      </c>
      <c r="AR597" s="1">
        <v>0.1</v>
      </c>
      <c r="AS597" s="1">
        <v>7.0000000000000007E-2</v>
      </c>
      <c r="AT597" s="1">
        <v>18.38</v>
      </c>
      <c r="AU597" s="1">
        <v>4.97</v>
      </c>
      <c r="AV597" s="1">
        <v>0.38</v>
      </c>
      <c r="AW597" s="1">
        <v>1.71</v>
      </c>
      <c r="AX597" s="1">
        <v>8.23</v>
      </c>
      <c r="AY597" s="1">
        <v>0</v>
      </c>
      <c r="AZ597" s="1">
        <v>105.706</v>
      </c>
      <c r="BA597" s="1">
        <v>0</v>
      </c>
      <c r="BB597" s="1">
        <v>0</v>
      </c>
      <c r="BC597" s="1">
        <v>0</v>
      </c>
      <c r="BD597" s="1">
        <v>0</v>
      </c>
    </row>
    <row r="598" spans="1:56">
      <c r="A598" s="18">
        <v>46192</v>
      </c>
      <c r="B598" s="1">
        <v>597</v>
      </c>
      <c r="C598" s="1" t="s">
        <v>89</v>
      </c>
      <c r="D598" s="1" t="s">
        <v>90</v>
      </c>
      <c r="E598" s="1">
        <v>2</v>
      </c>
      <c r="F598" s="1">
        <v>200</v>
      </c>
      <c r="G598" s="1">
        <v>1</v>
      </c>
      <c r="H598" s="1" t="s">
        <v>91</v>
      </c>
      <c r="I598" s="1" t="s">
        <v>79</v>
      </c>
      <c r="J598" s="1" t="s">
        <v>81</v>
      </c>
      <c r="K598" s="1" t="s">
        <v>74</v>
      </c>
      <c r="L598" s="1" t="s">
        <v>72</v>
      </c>
      <c r="M598" s="1" t="s">
        <v>75</v>
      </c>
      <c r="N598" s="1" t="s">
        <v>82</v>
      </c>
      <c r="O598" s="1" t="s">
        <v>77</v>
      </c>
      <c r="P598" s="1" t="s">
        <v>27</v>
      </c>
      <c r="Q598" s="1" t="s">
        <v>86</v>
      </c>
      <c r="R598" s="1" t="s">
        <v>94</v>
      </c>
      <c r="S598" s="1" t="s">
        <v>87</v>
      </c>
      <c r="T598" s="1" t="s">
        <v>88</v>
      </c>
      <c r="X598" s="1" t="s">
        <v>73</v>
      </c>
      <c r="Z598" s="1" t="s">
        <v>70</v>
      </c>
      <c r="AA598" s="1" t="s">
        <v>95</v>
      </c>
      <c r="AB598" s="1">
        <v>5</v>
      </c>
      <c r="AC598" s="1">
        <v>748814.46</v>
      </c>
      <c r="AD598" s="1">
        <v>8930507.9399999995</v>
      </c>
      <c r="AE598" s="1">
        <v>210.33</v>
      </c>
      <c r="AF598" s="1">
        <v>748814.46</v>
      </c>
      <c r="AG598" s="1">
        <v>8930507.9399999995</v>
      </c>
      <c r="AH598" s="1">
        <v>199.4</v>
      </c>
      <c r="AI598" s="1">
        <v>10.93</v>
      </c>
      <c r="AJ598" s="1">
        <v>0.6</v>
      </c>
      <c r="AK598" s="1">
        <v>2.97</v>
      </c>
      <c r="AL598" s="1">
        <v>2.58</v>
      </c>
      <c r="AM598" s="1">
        <v>0</v>
      </c>
      <c r="AN598" s="1">
        <v>0</v>
      </c>
      <c r="AO598" s="1">
        <v>279.95422539999998</v>
      </c>
      <c r="AP598" s="1">
        <v>3.3</v>
      </c>
      <c r="AQ598" s="1">
        <v>0.71</v>
      </c>
      <c r="AR598" s="1">
        <v>0.11</v>
      </c>
      <c r="AS598" s="1">
        <v>0.08</v>
      </c>
      <c r="AT598" s="1">
        <v>19.72</v>
      </c>
      <c r="AU598" s="1">
        <v>5.2</v>
      </c>
      <c r="AV598" s="1">
        <v>0.38</v>
      </c>
      <c r="AW598" s="1">
        <v>1.88</v>
      </c>
      <c r="AX598" s="1">
        <v>8.0399999999999991</v>
      </c>
      <c r="AY598" s="1">
        <v>0</v>
      </c>
      <c r="AZ598" s="1">
        <v>108.181</v>
      </c>
      <c r="BA598" s="1">
        <v>0</v>
      </c>
      <c r="BB598" s="1">
        <v>0</v>
      </c>
      <c r="BC598" s="1">
        <v>0</v>
      </c>
      <c r="BD598" s="1">
        <v>0</v>
      </c>
    </row>
    <row r="599" spans="1:56">
      <c r="A599" s="18">
        <v>46192</v>
      </c>
      <c r="B599" s="1">
        <v>598</v>
      </c>
      <c r="C599" s="1" t="s">
        <v>89</v>
      </c>
      <c r="D599" s="1" t="s">
        <v>90</v>
      </c>
      <c r="E599" s="1">
        <v>2</v>
      </c>
      <c r="F599" s="1">
        <v>200</v>
      </c>
      <c r="G599" s="1">
        <v>1</v>
      </c>
      <c r="H599" s="1" t="s">
        <v>91</v>
      </c>
      <c r="I599" s="1" t="s">
        <v>79</v>
      </c>
      <c r="J599" s="1" t="s">
        <v>81</v>
      </c>
      <c r="K599" s="1" t="s">
        <v>74</v>
      </c>
      <c r="L599" s="1" t="s">
        <v>72</v>
      </c>
      <c r="M599" s="1" t="s">
        <v>75</v>
      </c>
      <c r="N599" s="1" t="s">
        <v>76</v>
      </c>
      <c r="O599" s="1" t="s">
        <v>77</v>
      </c>
      <c r="P599" s="1" t="s">
        <v>27</v>
      </c>
      <c r="Q599" s="1" t="s">
        <v>86</v>
      </c>
      <c r="R599" s="1" t="s">
        <v>94</v>
      </c>
      <c r="S599" s="1" t="s">
        <v>87</v>
      </c>
      <c r="T599" s="1" t="s">
        <v>88</v>
      </c>
      <c r="X599" s="1" t="s">
        <v>73</v>
      </c>
      <c r="Z599" s="1" t="s">
        <v>70</v>
      </c>
      <c r="AA599" s="1" t="s">
        <v>95</v>
      </c>
      <c r="AB599" s="1">
        <v>5</v>
      </c>
      <c r="AC599" s="1">
        <v>748816.07</v>
      </c>
      <c r="AD599" s="1">
        <v>8930505.4399999995</v>
      </c>
      <c r="AE599" s="1">
        <v>210.27</v>
      </c>
      <c r="AF599" s="1">
        <v>748816.07</v>
      </c>
      <c r="AG599" s="1">
        <v>8930505.4399999995</v>
      </c>
      <c r="AH599" s="1">
        <v>199.4</v>
      </c>
      <c r="AI599" s="1">
        <v>10.87</v>
      </c>
      <c r="AJ599" s="1">
        <v>0.6</v>
      </c>
      <c r="AK599" s="1">
        <v>2.97</v>
      </c>
      <c r="AL599" s="1">
        <v>2.58</v>
      </c>
      <c r="AM599" s="1">
        <v>0</v>
      </c>
      <c r="AN599" s="1">
        <v>0</v>
      </c>
      <c r="AO599" s="1">
        <v>279.95422539999998</v>
      </c>
      <c r="AP599" s="1">
        <v>3.3</v>
      </c>
      <c r="AQ599" s="1">
        <v>0.71</v>
      </c>
      <c r="AR599" s="1">
        <v>0.11</v>
      </c>
      <c r="AS599" s="1">
        <v>0.08</v>
      </c>
      <c r="AT599" s="1">
        <v>19.72</v>
      </c>
      <c r="AU599" s="1">
        <v>5.2</v>
      </c>
      <c r="AV599" s="1">
        <v>0.38</v>
      </c>
      <c r="AW599" s="1">
        <v>1.88</v>
      </c>
      <c r="AX599" s="1">
        <v>8.02</v>
      </c>
      <c r="AY599" s="1">
        <v>0</v>
      </c>
      <c r="AZ599" s="1">
        <v>107.307</v>
      </c>
      <c r="BA599" s="1">
        <v>0</v>
      </c>
      <c r="BB599" s="1">
        <v>0</v>
      </c>
      <c r="BC599" s="1">
        <v>0</v>
      </c>
      <c r="BD599" s="1">
        <v>0</v>
      </c>
    </row>
    <row r="600" spans="1:56">
      <c r="A600" s="18">
        <v>46192</v>
      </c>
      <c r="B600" s="1">
        <v>599</v>
      </c>
      <c r="C600" s="1" t="s">
        <v>89</v>
      </c>
      <c r="D600" s="1" t="s">
        <v>90</v>
      </c>
      <c r="E600" s="1">
        <v>2</v>
      </c>
      <c r="F600" s="1">
        <v>200</v>
      </c>
      <c r="G600" s="1">
        <v>1</v>
      </c>
      <c r="H600" s="1" t="s">
        <v>91</v>
      </c>
      <c r="I600" s="1" t="s">
        <v>79</v>
      </c>
      <c r="J600" s="1" t="s">
        <v>81</v>
      </c>
      <c r="K600" s="1" t="s">
        <v>74</v>
      </c>
      <c r="L600" s="1" t="s">
        <v>72</v>
      </c>
      <c r="M600" s="1" t="s">
        <v>75</v>
      </c>
      <c r="N600" s="1" t="s">
        <v>76</v>
      </c>
      <c r="O600" s="1" t="s">
        <v>77</v>
      </c>
      <c r="P600" s="1" t="s">
        <v>27</v>
      </c>
      <c r="Q600" s="1" t="s">
        <v>86</v>
      </c>
      <c r="R600" s="1" t="s">
        <v>94</v>
      </c>
      <c r="S600" s="1" t="s">
        <v>87</v>
      </c>
      <c r="T600" s="1" t="s">
        <v>88</v>
      </c>
      <c r="X600" s="1" t="s">
        <v>73</v>
      </c>
      <c r="Z600" s="1" t="s">
        <v>70</v>
      </c>
      <c r="AA600" s="1" t="s">
        <v>95</v>
      </c>
      <c r="AB600" s="1">
        <v>5</v>
      </c>
      <c r="AC600" s="1">
        <v>748817.67</v>
      </c>
      <c r="AD600" s="1">
        <v>8930502.9399999995</v>
      </c>
      <c r="AE600" s="1">
        <v>210.15</v>
      </c>
      <c r="AF600" s="1">
        <v>748817.67</v>
      </c>
      <c r="AG600" s="1">
        <v>8930502.9399999995</v>
      </c>
      <c r="AH600" s="1">
        <v>199.4</v>
      </c>
      <c r="AI600" s="1">
        <v>10.75</v>
      </c>
      <c r="AJ600" s="1">
        <v>0.6</v>
      </c>
      <c r="AK600" s="1">
        <v>2.97</v>
      </c>
      <c r="AL600" s="1">
        <v>2.58</v>
      </c>
      <c r="AM600" s="1">
        <v>0</v>
      </c>
      <c r="AN600" s="1">
        <v>0</v>
      </c>
      <c r="AO600" s="1">
        <v>279.95422539999998</v>
      </c>
      <c r="AP600" s="1">
        <v>3.3</v>
      </c>
      <c r="AQ600" s="1">
        <v>0.71</v>
      </c>
      <c r="AR600" s="1">
        <v>0.11</v>
      </c>
      <c r="AS600" s="1">
        <v>0.08</v>
      </c>
      <c r="AT600" s="1">
        <v>19.72</v>
      </c>
      <c r="AU600" s="1">
        <v>5.19</v>
      </c>
      <c r="AV600" s="1">
        <v>0.38</v>
      </c>
      <c r="AW600" s="1">
        <v>1.88</v>
      </c>
      <c r="AX600" s="1">
        <v>7.99</v>
      </c>
      <c r="AY600" s="1">
        <v>0</v>
      </c>
      <c r="AZ600" s="1">
        <v>105.56</v>
      </c>
      <c r="BA600" s="1">
        <v>0</v>
      </c>
      <c r="BB600" s="1">
        <v>0</v>
      </c>
      <c r="BC600" s="1">
        <v>0</v>
      </c>
      <c r="BD600" s="1">
        <v>0</v>
      </c>
    </row>
    <row r="601" spans="1:56">
      <c r="A601" s="18">
        <v>46192</v>
      </c>
      <c r="B601" s="1">
        <v>600</v>
      </c>
      <c r="C601" s="1" t="s">
        <v>89</v>
      </c>
      <c r="D601" s="1" t="s">
        <v>90</v>
      </c>
      <c r="E601" s="1">
        <v>2</v>
      </c>
      <c r="F601" s="1">
        <v>200</v>
      </c>
      <c r="G601" s="1">
        <v>1</v>
      </c>
      <c r="H601" s="1" t="s">
        <v>91</v>
      </c>
      <c r="I601" s="1" t="s">
        <v>79</v>
      </c>
      <c r="J601" s="1" t="s">
        <v>80</v>
      </c>
      <c r="K601" s="1" t="s">
        <v>74</v>
      </c>
      <c r="L601" s="1" t="s">
        <v>72</v>
      </c>
      <c r="M601" s="1" t="s">
        <v>75</v>
      </c>
      <c r="N601" s="1" t="s">
        <v>76</v>
      </c>
      <c r="O601" s="1" t="s">
        <v>77</v>
      </c>
      <c r="P601" s="1" t="s">
        <v>27</v>
      </c>
      <c r="Q601" s="1" t="s">
        <v>86</v>
      </c>
      <c r="R601" s="1" t="s">
        <v>94</v>
      </c>
      <c r="S601" s="1" t="s">
        <v>87</v>
      </c>
      <c r="T601" s="1" t="s">
        <v>88</v>
      </c>
      <c r="X601" s="1" t="s">
        <v>73</v>
      </c>
      <c r="Z601" s="1" t="s">
        <v>70</v>
      </c>
      <c r="AA601" s="1" t="s">
        <v>95</v>
      </c>
      <c r="AB601" s="1">
        <v>5</v>
      </c>
      <c r="AC601" s="1">
        <v>748819.27</v>
      </c>
      <c r="AD601" s="1">
        <v>8930500.4399999995</v>
      </c>
      <c r="AE601" s="1">
        <v>210.32</v>
      </c>
      <c r="AF601" s="1">
        <v>748819.27</v>
      </c>
      <c r="AG601" s="1">
        <v>8930500.4399999995</v>
      </c>
      <c r="AH601" s="1">
        <v>199.4</v>
      </c>
      <c r="AI601" s="1">
        <v>10.92</v>
      </c>
      <c r="AJ601" s="1">
        <v>0.6</v>
      </c>
      <c r="AK601" s="1">
        <v>2.97</v>
      </c>
      <c r="AL601" s="1">
        <v>2.58</v>
      </c>
      <c r="AM601" s="1">
        <v>0</v>
      </c>
      <c r="AN601" s="1">
        <v>0</v>
      </c>
      <c r="AO601" s="1">
        <v>279.95422539999998</v>
      </c>
      <c r="AP601" s="1">
        <v>3.34</v>
      </c>
      <c r="AQ601" s="1">
        <v>0.68</v>
      </c>
      <c r="AR601" s="1">
        <v>0.11</v>
      </c>
      <c r="AS601" s="1">
        <v>0.08</v>
      </c>
      <c r="AT601" s="1">
        <v>18.98</v>
      </c>
      <c r="AU601" s="1">
        <v>5.58</v>
      </c>
      <c r="AV601" s="1">
        <v>0.37</v>
      </c>
      <c r="AW601" s="1">
        <v>1.82</v>
      </c>
      <c r="AX601" s="1">
        <v>6.35</v>
      </c>
      <c r="AY601" s="1">
        <v>0</v>
      </c>
      <c r="AZ601" s="1">
        <v>108.035</v>
      </c>
      <c r="BA601" s="1">
        <v>0</v>
      </c>
      <c r="BB601" s="1">
        <v>0</v>
      </c>
      <c r="BC601" s="1">
        <v>0</v>
      </c>
      <c r="BD601" s="1">
        <v>0</v>
      </c>
    </row>
    <row r="602" spans="1:56">
      <c r="A602" s="18">
        <v>46192</v>
      </c>
      <c r="B602" s="1">
        <v>601</v>
      </c>
      <c r="C602" s="1" t="s">
        <v>89</v>
      </c>
      <c r="D602" s="1" t="s">
        <v>90</v>
      </c>
      <c r="E602" s="1">
        <v>2</v>
      </c>
      <c r="F602" s="1">
        <v>200</v>
      </c>
      <c r="G602" s="1">
        <v>1</v>
      </c>
      <c r="H602" s="1" t="s">
        <v>91</v>
      </c>
      <c r="I602" s="1" t="s">
        <v>79</v>
      </c>
      <c r="J602" s="1" t="s">
        <v>80</v>
      </c>
      <c r="K602" s="1" t="s">
        <v>74</v>
      </c>
      <c r="L602" s="1" t="s">
        <v>72</v>
      </c>
      <c r="M602" s="1" t="s">
        <v>75</v>
      </c>
      <c r="N602" s="1" t="s">
        <v>76</v>
      </c>
      <c r="O602" s="1" t="s">
        <v>77</v>
      </c>
      <c r="P602" s="1" t="s">
        <v>27</v>
      </c>
      <c r="Q602" s="1" t="s">
        <v>86</v>
      </c>
      <c r="R602" s="1" t="s">
        <v>94</v>
      </c>
      <c r="S602" s="1" t="s">
        <v>87</v>
      </c>
      <c r="T602" s="1" t="s">
        <v>88</v>
      </c>
      <c r="X602" s="1" t="s">
        <v>73</v>
      </c>
      <c r="Z602" s="1" t="s">
        <v>70</v>
      </c>
      <c r="AA602" s="1" t="s">
        <v>95</v>
      </c>
      <c r="AB602" s="1">
        <v>5</v>
      </c>
      <c r="AC602" s="1">
        <v>748820.87</v>
      </c>
      <c r="AD602" s="1">
        <v>8930497.9399999995</v>
      </c>
      <c r="AE602" s="1">
        <v>210.33</v>
      </c>
      <c r="AF602" s="1">
        <v>748820.87</v>
      </c>
      <c r="AG602" s="1">
        <v>8930497.9399999995</v>
      </c>
      <c r="AH602" s="1">
        <v>199.4</v>
      </c>
      <c r="AI602" s="1">
        <v>10.93</v>
      </c>
      <c r="AJ602" s="1">
        <v>0.6</v>
      </c>
      <c r="AK602" s="1">
        <v>2.97</v>
      </c>
      <c r="AL602" s="1">
        <v>2.58</v>
      </c>
      <c r="AM602" s="1">
        <v>0</v>
      </c>
      <c r="AN602" s="1">
        <v>0</v>
      </c>
      <c r="AO602" s="1">
        <v>279.95422539999998</v>
      </c>
      <c r="AP602" s="1">
        <v>3.37</v>
      </c>
      <c r="AQ602" s="1">
        <v>0.65</v>
      </c>
      <c r="AR602" s="1">
        <v>0.1</v>
      </c>
      <c r="AS602" s="1">
        <v>7.0000000000000007E-2</v>
      </c>
      <c r="AT602" s="1">
        <v>18.059999999999999</v>
      </c>
      <c r="AU602" s="1">
        <v>6.11</v>
      </c>
      <c r="AV602" s="1">
        <v>0.37</v>
      </c>
      <c r="AW602" s="1">
        <v>1.76</v>
      </c>
      <c r="AX602" s="1">
        <v>2.66</v>
      </c>
      <c r="AY602" s="1">
        <v>0</v>
      </c>
      <c r="AZ602" s="1">
        <v>108.181</v>
      </c>
      <c r="BA602" s="1">
        <v>0</v>
      </c>
      <c r="BB602" s="1">
        <v>0</v>
      </c>
      <c r="BC602" s="1">
        <v>0</v>
      </c>
      <c r="BD602" s="1">
        <v>0</v>
      </c>
    </row>
    <row r="603" spans="1:56">
      <c r="A603" s="18">
        <v>46192</v>
      </c>
      <c r="B603" s="1">
        <v>602</v>
      </c>
      <c r="C603" s="1" t="s">
        <v>89</v>
      </c>
      <c r="D603" s="1" t="s">
        <v>90</v>
      </c>
      <c r="E603" s="1">
        <v>2</v>
      </c>
      <c r="F603" s="1">
        <v>200</v>
      </c>
      <c r="G603" s="1">
        <v>1</v>
      </c>
      <c r="H603" s="1" t="s">
        <v>91</v>
      </c>
      <c r="I603" s="1" t="s">
        <v>79</v>
      </c>
      <c r="J603" s="1" t="s">
        <v>80</v>
      </c>
      <c r="K603" s="1" t="s">
        <v>74</v>
      </c>
      <c r="L603" s="1" t="s">
        <v>72</v>
      </c>
      <c r="M603" s="1" t="s">
        <v>75</v>
      </c>
      <c r="N603" s="1" t="s">
        <v>76</v>
      </c>
      <c r="O603" s="1" t="s">
        <v>77</v>
      </c>
      <c r="P603" s="1" t="s">
        <v>27</v>
      </c>
      <c r="Q603" s="1" t="s">
        <v>86</v>
      </c>
      <c r="R603" s="1" t="s">
        <v>94</v>
      </c>
      <c r="S603" s="1" t="s">
        <v>87</v>
      </c>
      <c r="T603" s="1" t="s">
        <v>88</v>
      </c>
      <c r="X603" s="1" t="s">
        <v>73</v>
      </c>
      <c r="Z603" s="1" t="s">
        <v>70</v>
      </c>
      <c r="AA603" s="1" t="s">
        <v>95</v>
      </c>
      <c r="AB603" s="1">
        <v>5</v>
      </c>
      <c r="AC603" s="1">
        <v>748822.48</v>
      </c>
      <c r="AD603" s="1">
        <v>8930495.4399999995</v>
      </c>
      <c r="AE603" s="1">
        <v>210.27</v>
      </c>
      <c r="AF603" s="1">
        <v>748822.48</v>
      </c>
      <c r="AG603" s="1">
        <v>8930495.4399999995</v>
      </c>
      <c r="AH603" s="1">
        <v>199.4</v>
      </c>
      <c r="AI603" s="1">
        <v>10.87</v>
      </c>
      <c r="AJ603" s="1">
        <v>0.6</v>
      </c>
      <c r="AK603" s="1">
        <v>2.97</v>
      </c>
      <c r="AL603" s="1">
        <v>2.58</v>
      </c>
      <c r="AM603" s="1">
        <v>0</v>
      </c>
      <c r="AN603" s="1">
        <v>0</v>
      </c>
      <c r="AO603" s="1">
        <v>279.95422539999998</v>
      </c>
      <c r="AP603" s="1">
        <v>3.35</v>
      </c>
      <c r="AQ603" s="1">
        <v>0.64</v>
      </c>
      <c r="AR603" s="1">
        <v>0.09</v>
      </c>
      <c r="AS603" s="1">
        <v>7.0000000000000007E-2</v>
      </c>
      <c r="AT603" s="1">
        <v>18.04</v>
      </c>
      <c r="AU603" s="1">
        <v>6.17</v>
      </c>
      <c r="AV603" s="1">
        <v>0.37</v>
      </c>
      <c r="AW603" s="1">
        <v>1.74</v>
      </c>
      <c r="AX603" s="1">
        <v>0.27</v>
      </c>
      <c r="AY603" s="1">
        <v>0</v>
      </c>
      <c r="AZ603" s="1">
        <v>107.307</v>
      </c>
      <c r="BA603" s="1">
        <v>0</v>
      </c>
      <c r="BB603" s="1">
        <v>0</v>
      </c>
      <c r="BC603" s="1">
        <v>0</v>
      </c>
      <c r="BD603" s="1">
        <v>0</v>
      </c>
    </row>
    <row r="604" spans="1:56">
      <c r="A604" s="18">
        <v>46192</v>
      </c>
      <c r="B604" s="1">
        <v>603</v>
      </c>
      <c r="C604" s="1" t="s">
        <v>89</v>
      </c>
      <c r="D604" s="1" t="s">
        <v>90</v>
      </c>
      <c r="E604" s="1">
        <v>2</v>
      </c>
      <c r="F604" s="1">
        <v>200</v>
      </c>
      <c r="G604" s="1">
        <v>1</v>
      </c>
      <c r="H604" s="1" t="s">
        <v>91</v>
      </c>
      <c r="I604" s="1" t="s">
        <v>79</v>
      </c>
      <c r="J604" s="1" t="s">
        <v>80</v>
      </c>
      <c r="K604" s="1" t="s">
        <v>74</v>
      </c>
      <c r="L604" s="1" t="s">
        <v>72</v>
      </c>
      <c r="M604" s="1" t="s">
        <v>75</v>
      </c>
      <c r="N604" s="1" t="s">
        <v>76</v>
      </c>
      <c r="O604" s="1" t="s">
        <v>77</v>
      </c>
      <c r="P604" s="1" t="s">
        <v>27</v>
      </c>
      <c r="Q604" s="1" t="s">
        <v>86</v>
      </c>
      <c r="R604" s="1" t="s">
        <v>94</v>
      </c>
      <c r="S604" s="1" t="s">
        <v>87</v>
      </c>
      <c r="T604" s="1" t="s">
        <v>88</v>
      </c>
      <c r="X604" s="1" t="s">
        <v>73</v>
      </c>
      <c r="Z604" s="1" t="s">
        <v>70</v>
      </c>
      <c r="AA604" s="1" t="s">
        <v>95</v>
      </c>
      <c r="AB604" s="1">
        <v>5</v>
      </c>
      <c r="AC604" s="1">
        <v>748824.08</v>
      </c>
      <c r="AD604" s="1">
        <v>8930492.9399999995</v>
      </c>
      <c r="AE604" s="1">
        <v>210.27</v>
      </c>
      <c r="AF604" s="1">
        <v>748824.08</v>
      </c>
      <c r="AG604" s="1">
        <v>8930492.9399999995</v>
      </c>
      <c r="AH604" s="1">
        <v>199.4</v>
      </c>
      <c r="AI604" s="1">
        <v>10.87</v>
      </c>
      <c r="AJ604" s="1">
        <v>0.6</v>
      </c>
      <c r="AK604" s="1">
        <v>2.97</v>
      </c>
      <c r="AL604" s="1">
        <v>2.58</v>
      </c>
      <c r="AM604" s="1">
        <v>0</v>
      </c>
      <c r="AN604" s="1">
        <v>0</v>
      </c>
      <c r="AO604" s="1">
        <v>279.95422539999998</v>
      </c>
      <c r="AP604" s="1">
        <v>3.35</v>
      </c>
      <c r="AQ604" s="1">
        <v>0.64</v>
      </c>
      <c r="AR604" s="1">
        <v>0.09</v>
      </c>
      <c r="AS604" s="1">
        <v>7.0000000000000007E-2</v>
      </c>
      <c r="AT604" s="1">
        <v>18.04</v>
      </c>
      <c r="AU604" s="1">
        <v>6.17</v>
      </c>
      <c r="AV604" s="1">
        <v>0.37</v>
      </c>
      <c r="AW604" s="1">
        <v>1.74</v>
      </c>
      <c r="AX604" s="1">
        <v>0.27</v>
      </c>
      <c r="AY604" s="1">
        <v>0</v>
      </c>
      <c r="AZ604" s="1">
        <v>107.307</v>
      </c>
      <c r="BA604" s="1">
        <v>0</v>
      </c>
      <c r="BB604" s="1">
        <v>0</v>
      </c>
      <c r="BC604" s="1">
        <v>0</v>
      </c>
      <c r="BD604" s="1">
        <v>0</v>
      </c>
    </row>
    <row r="605" spans="1:56">
      <c r="A605" s="18">
        <v>46192</v>
      </c>
      <c r="B605" s="1">
        <v>604</v>
      </c>
      <c r="C605" s="1" t="s">
        <v>89</v>
      </c>
      <c r="D605" s="1" t="s">
        <v>90</v>
      </c>
      <c r="E605" s="1">
        <v>2</v>
      </c>
      <c r="F605" s="1">
        <v>200</v>
      </c>
      <c r="G605" s="1">
        <v>1</v>
      </c>
      <c r="H605" s="1" t="s">
        <v>91</v>
      </c>
      <c r="I605" s="1" t="s">
        <v>79</v>
      </c>
      <c r="J605" s="1" t="s">
        <v>80</v>
      </c>
      <c r="K605" s="1" t="s">
        <v>74</v>
      </c>
      <c r="L605" s="1" t="s">
        <v>72</v>
      </c>
      <c r="M605" s="1" t="s">
        <v>75</v>
      </c>
      <c r="N605" s="1" t="s">
        <v>76</v>
      </c>
      <c r="O605" s="1" t="s">
        <v>77</v>
      </c>
      <c r="P605" s="1" t="s">
        <v>27</v>
      </c>
      <c r="Q605" s="1" t="s">
        <v>86</v>
      </c>
      <c r="R605" s="1" t="s">
        <v>94</v>
      </c>
      <c r="S605" s="1" t="s">
        <v>87</v>
      </c>
      <c r="T605" s="1" t="s">
        <v>88</v>
      </c>
      <c r="X605" s="1" t="s">
        <v>73</v>
      </c>
      <c r="Z605" s="1" t="s">
        <v>70</v>
      </c>
      <c r="AA605" s="1" t="s">
        <v>95</v>
      </c>
      <c r="AB605" s="1">
        <v>5</v>
      </c>
      <c r="AC605" s="1">
        <v>748825.68</v>
      </c>
      <c r="AD605" s="1">
        <v>8930490.4399999995</v>
      </c>
      <c r="AE605" s="1">
        <v>210.3</v>
      </c>
      <c r="AF605" s="1">
        <v>748825.68</v>
      </c>
      <c r="AG605" s="1">
        <v>8930490.4399999995</v>
      </c>
      <c r="AH605" s="1">
        <v>199.4</v>
      </c>
      <c r="AI605" s="1">
        <v>10.9</v>
      </c>
      <c r="AJ605" s="1">
        <v>0.6</v>
      </c>
      <c r="AK605" s="1">
        <v>2.97</v>
      </c>
      <c r="AL605" s="1">
        <v>2.58</v>
      </c>
      <c r="AM605" s="1">
        <v>0</v>
      </c>
      <c r="AN605" s="1">
        <v>0</v>
      </c>
      <c r="AO605" s="1">
        <v>279.95422539999998</v>
      </c>
      <c r="AP605" s="1">
        <v>3.36</v>
      </c>
      <c r="AQ605" s="1">
        <v>0.64</v>
      </c>
      <c r="AR605" s="1">
        <v>0.09</v>
      </c>
      <c r="AS605" s="1">
        <v>7.0000000000000007E-2</v>
      </c>
      <c r="AT605" s="1">
        <v>18.100000000000001</v>
      </c>
      <c r="AU605" s="1">
        <v>6.12</v>
      </c>
      <c r="AV605" s="1">
        <v>0.36</v>
      </c>
      <c r="AW605" s="1">
        <v>1.79</v>
      </c>
      <c r="AX605" s="1">
        <v>3.71</v>
      </c>
      <c r="AY605" s="1">
        <v>0</v>
      </c>
      <c r="AZ605" s="1">
        <v>107.744</v>
      </c>
      <c r="BA605" s="1">
        <v>0</v>
      </c>
      <c r="BB605" s="1">
        <v>0</v>
      </c>
      <c r="BC605" s="1">
        <v>0</v>
      </c>
      <c r="BD605" s="1">
        <v>0</v>
      </c>
    </row>
    <row r="606" spans="1:56">
      <c r="A606" s="18">
        <v>46192</v>
      </c>
      <c r="B606" s="1">
        <v>605</v>
      </c>
      <c r="C606" s="1" t="s">
        <v>89</v>
      </c>
      <c r="D606" s="1" t="s">
        <v>90</v>
      </c>
      <c r="E606" s="1">
        <v>2</v>
      </c>
      <c r="F606" s="1">
        <v>200</v>
      </c>
      <c r="G606" s="1">
        <v>1</v>
      </c>
      <c r="H606" s="1" t="s">
        <v>91</v>
      </c>
      <c r="I606" s="1" t="s">
        <v>79</v>
      </c>
      <c r="J606" s="1" t="s">
        <v>80</v>
      </c>
      <c r="K606" s="1" t="s">
        <v>74</v>
      </c>
      <c r="L606" s="1" t="s">
        <v>72</v>
      </c>
      <c r="M606" s="1" t="s">
        <v>75</v>
      </c>
      <c r="N606" s="1" t="s">
        <v>76</v>
      </c>
      <c r="O606" s="1" t="s">
        <v>77</v>
      </c>
      <c r="P606" s="1" t="s">
        <v>27</v>
      </c>
      <c r="Q606" s="1" t="s">
        <v>86</v>
      </c>
      <c r="R606" s="1" t="s">
        <v>94</v>
      </c>
      <c r="S606" s="1" t="s">
        <v>87</v>
      </c>
      <c r="T606" s="1" t="s">
        <v>88</v>
      </c>
      <c r="X606" s="1" t="s">
        <v>73</v>
      </c>
      <c r="Z606" s="1" t="s">
        <v>70</v>
      </c>
      <c r="AA606" s="1" t="s">
        <v>95</v>
      </c>
      <c r="AB606" s="1">
        <v>5</v>
      </c>
      <c r="AC606" s="1">
        <v>748827.29</v>
      </c>
      <c r="AD606" s="1">
        <v>8930487.9399999995</v>
      </c>
      <c r="AE606" s="1">
        <v>210.41</v>
      </c>
      <c r="AF606" s="1">
        <v>748827.29</v>
      </c>
      <c r="AG606" s="1">
        <v>8930487.9399999995</v>
      </c>
      <c r="AH606" s="1">
        <v>199.4</v>
      </c>
      <c r="AI606" s="1">
        <v>11.01</v>
      </c>
      <c r="AJ606" s="1">
        <v>0.6</v>
      </c>
      <c r="AK606" s="1">
        <v>2.97</v>
      </c>
      <c r="AL606" s="1">
        <v>2.58</v>
      </c>
      <c r="AM606" s="1">
        <v>0</v>
      </c>
      <c r="AN606" s="1">
        <v>0</v>
      </c>
      <c r="AO606" s="1">
        <v>279.95422539999998</v>
      </c>
      <c r="AP606" s="1">
        <v>3.39</v>
      </c>
      <c r="AQ606" s="1">
        <v>0.63</v>
      </c>
      <c r="AR606" s="1">
        <v>0.08</v>
      </c>
      <c r="AS606" s="1">
        <v>0.08</v>
      </c>
      <c r="AT606" s="1">
        <v>18.16</v>
      </c>
      <c r="AU606" s="1">
        <v>6.04</v>
      </c>
      <c r="AV606" s="1">
        <v>0.34</v>
      </c>
      <c r="AW606" s="1">
        <v>1.87</v>
      </c>
      <c r="AX606" s="1">
        <v>9.4499999999999993</v>
      </c>
      <c r="AY606" s="1">
        <v>0</v>
      </c>
      <c r="AZ606" s="1">
        <v>109.346</v>
      </c>
      <c r="BA606" s="1">
        <v>0</v>
      </c>
      <c r="BB606" s="1">
        <v>0</v>
      </c>
      <c r="BC606" s="1">
        <v>0</v>
      </c>
      <c r="BD606" s="1">
        <v>0</v>
      </c>
    </row>
    <row r="607" spans="1:56">
      <c r="A607" s="18">
        <v>46192</v>
      </c>
      <c r="B607" s="1">
        <v>606</v>
      </c>
      <c r="C607" s="1" t="s">
        <v>89</v>
      </c>
      <c r="D607" s="1" t="s">
        <v>90</v>
      </c>
      <c r="E607" s="1">
        <v>2</v>
      </c>
      <c r="F607" s="1">
        <v>200</v>
      </c>
      <c r="G607" s="1">
        <v>1</v>
      </c>
      <c r="H607" s="1" t="s">
        <v>91</v>
      </c>
      <c r="I607" s="1" t="s">
        <v>79</v>
      </c>
      <c r="J607" s="1" t="s">
        <v>80</v>
      </c>
      <c r="K607" s="1" t="s">
        <v>74</v>
      </c>
      <c r="L607" s="1" t="s">
        <v>72</v>
      </c>
      <c r="M607" s="1" t="s">
        <v>75</v>
      </c>
      <c r="N607" s="1" t="s">
        <v>76</v>
      </c>
      <c r="O607" s="1" t="s">
        <v>77</v>
      </c>
      <c r="P607" s="1" t="s">
        <v>27</v>
      </c>
      <c r="Q607" s="1" t="s">
        <v>86</v>
      </c>
      <c r="R607" s="1" t="s">
        <v>94</v>
      </c>
      <c r="S607" s="1" t="s">
        <v>87</v>
      </c>
      <c r="T607" s="1" t="s">
        <v>88</v>
      </c>
      <c r="X607" s="1" t="s">
        <v>73</v>
      </c>
      <c r="Z607" s="1" t="s">
        <v>70</v>
      </c>
      <c r="AA607" s="1" t="s">
        <v>95</v>
      </c>
      <c r="AB607" s="1">
        <v>5</v>
      </c>
      <c r="AC607" s="1">
        <v>748828.89</v>
      </c>
      <c r="AD607" s="1">
        <v>8930485.4399999995</v>
      </c>
      <c r="AE607" s="1">
        <v>210.41</v>
      </c>
      <c r="AF607" s="1">
        <v>748828.89</v>
      </c>
      <c r="AG607" s="1">
        <v>8930485.4399999995</v>
      </c>
      <c r="AH607" s="1">
        <v>199.4</v>
      </c>
      <c r="AI607" s="1">
        <v>11.01</v>
      </c>
      <c r="AJ607" s="1">
        <v>0.6</v>
      </c>
      <c r="AK607" s="1">
        <v>2.97</v>
      </c>
      <c r="AL607" s="1">
        <v>2.58</v>
      </c>
      <c r="AM607" s="1">
        <v>0</v>
      </c>
      <c r="AN607" s="1">
        <v>0</v>
      </c>
      <c r="AO607" s="1">
        <v>279.95422539999998</v>
      </c>
      <c r="AP607" s="1">
        <v>3.34</v>
      </c>
      <c r="AQ607" s="1">
        <v>0.57999999999999996</v>
      </c>
      <c r="AR607" s="1">
        <v>0.08</v>
      </c>
      <c r="AS607" s="1">
        <v>7.0000000000000007E-2</v>
      </c>
      <c r="AT607" s="1">
        <v>17.03</v>
      </c>
      <c r="AU607" s="1">
        <v>5.72</v>
      </c>
      <c r="AV607" s="1">
        <v>0.31</v>
      </c>
      <c r="AW607" s="1">
        <v>1.73</v>
      </c>
      <c r="AX607" s="1">
        <v>7.89</v>
      </c>
      <c r="AY607" s="1">
        <v>0</v>
      </c>
      <c r="AZ607" s="1">
        <v>109.346</v>
      </c>
      <c r="BA607" s="1">
        <v>0</v>
      </c>
      <c r="BB607" s="1">
        <v>0</v>
      </c>
      <c r="BC607" s="1">
        <v>0</v>
      </c>
      <c r="BD607" s="1">
        <v>0</v>
      </c>
    </row>
    <row r="608" spans="1:56">
      <c r="A608" s="18">
        <v>46192</v>
      </c>
      <c r="B608" s="1">
        <v>607</v>
      </c>
      <c r="C608" s="1" t="s">
        <v>89</v>
      </c>
      <c r="D608" s="1" t="s">
        <v>90</v>
      </c>
      <c r="E608" s="1">
        <v>2</v>
      </c>
      <c r="F608" s="1">
        <v>200</v>
      </c>
      <c r="G608" s="1">
        <v>1</v>
      </c>
      <c r="H608" s="1" t="s">
        <v>91</v>
      </c>
      <c r="I608" s="1" t="s">
        <v>79</v>
      </c>
      <c r="J608" s="1" t="s">
        <v>80</v>
      </c>
      <c r="K608" s="1" t="s">
        <v>74</v>
      </c>
      <c r="L608" s="1" t="s">
        <v>72</v>
      </c>
      <c r="M608" s="1" t="s">
        <v>75</v>
      </c>
      <c r="N608" s="1" t="s">
        <v>76</v>
      </c>
      <c r="O608" s="1" t="s">
        <v>77</v>
      </c>
      <c r="P608" s="1" t="s">
        <v>27</v>
      </c>
      <c r="Q608" s="1" t="s">
        <v>86</v>
      </c>
      <c r="R608" s="1" t="s">
        <v>94</v>
      </c>
      <c r="S608" s="1" t="s">
        <v>87</v>
      </c>
      <c r="T608" s="1" t="s">
        <v>88</v>
      </c>
      <c r="X608" s="1" t="s">
        <v>73</v>
      </c>
      <c r="Z608" s="1" t="s">
        <v>70</v>
      </c>
      <c r="AA608" s="1" t="s">
        <v>95</v>
      </c>
      <c r="AB608" s="1">
        <v>5</v>
      </c>
      <c r="AC608" s="1">
        <v>748830.49</v>
      </c>
      <c r="AD608" s="1">
        <v>8930482.9399999995</v>
      </c>
      <c r="AE608" s="1">
        <v>210.42</v>
      </c>
      <c r="AF608" s="1">
        <v>748830.49</v>
      </c>
      <c r="AG608" s="1">
        <v>8930482.9399999995</v>
      </c>
      <c r="AH608" s="1">
        <v>199.4</v>
      </c>
      <c r="AI608" s="1">
        <v>11.02</v>
      </c>
      <c r="AJ608" s="1">
        <v>0.6</v>
      </c>
      <c r="AK608" s="1">
        <v>2.97</v>
      </c>
      <c r="AL608" s="1">
        <v>2.58</v>
      </c>
      <c r="AM608" s="1">
        <v>0</v>
      </c>
      <c r="AN608" s="1">
        <v>0</v>
      </c>
      <c r="AO608" s="1">
        <v>279.95422539999998</v>
      </c>
      <c r="AP608" s="1">
        <v>3.15</v>
      </c>
      <c r="AQ608" s="1">
        <v>0.38</v>
      </c>
      <c r="AR608" s="1">
        <v>0.05</v>
      </c>
      <c r="AS608" s="1">
        <v>0.05</v>
      </c>
      <c r="AT608" s="1">
        <v>11.45</v>
      </c>
      <c r="AU608" s="1">
        <v>3.95</v>
      </c>
      <c r="AV608" s="1">
        <v>0.21</v>
      </c>
      <c r="AW608" s="1">
        <v>1.1399999999999999</v>
      </c>
      <c r="AX608" s="1">
        <v>3.6</v>
      </c>
      <c r="AY608" s="1">
        <v>0</v>
      </c>
      <c r="AZ608" s="1">
        <v>109.491</v>
      </c>
      <c r="BA608" s="1">
        <v>0</v>
      </c>
      <c r="BB608" s="1">
        <v>0</v>
      </c>
      <c r="BC608" s="1">
        <v>0</v>
      </c>
      <c r="BD608" s="1">
        <v>0</v>
      </c>
    </row>
    <row r="609" spans="1:56">
      <c r="A609" s="18">
        <v>46192</v>
      </c>
      <c r="B609" s="1">
        <v>608</v>
      </c>
      <c r="C609" s="1" t="s">
        <v>89</v>
      </c>
      <c r="D609" s="1" t="s">
        <v>90</v>
      </c>
      <c r="E609" s="1">
        <v>2</v>
      </c>
      <c r="F609" s="1">
        <v>200</v>
      </c>
      <c r="G609" s="1">
        <v>1</v>
      </c>
      <c r="H609" s="1" t="s">
        <v>91</v>
      </c>
      <c r="I609" s="1" t="s">
        <v>79</v>
      </c>
      <c r="J609" s="1" t="s">
        <v>80</v>
      </c>
      <c r="K609" s="1" t="s">
        <v>74</v>
      </c>
      <c r="L609" s="1" t="s">
        <v>72</v>
      </c>
      <c r="M609" s="1" t="s">
        <v>75</v>
      </c>
      <c r="N609" s="1" t="s">
        <v>76</v>
      </c>
      <c r="O609" s="1" t="s">
        <v>77</v>
      </c>
      <c r="P609" s="1" t="s">
        <v>27</v>
      </c>
      <c r="Q609" s="1" t="s">
        <v>86</v>
      </c>
      <c r="R609" s="1" t="s">
        <v>94</v>
      </c>
      <c r="S609" s="1" t="s">
        <v>87</v>
      </c>
      <c r="T609" s="1" t="s">
        <v>88</v>
      </c>
      <c r="X609" s="1" t="s">
        <v>73</v>
      </c>
      <c r="Z609" s="1" t="s">
        <v>70</v>
      </c>
      <c r="AA609" s="1" t="s">
        <v>95</v>
      </c>
      <c r="AB609" s="1">
        <v>5</v>
      </c>
      <c r="AC609" s="1">
        <v>748829.28</v>
      </c>
      <c r="AD609" s="1">
        <v>8930480.0399999991</v>
      </c>
      <c r="AE609" s="1">
        <v>210.49</v>
      </c>
      <c r="AF609" s="1">
        <v>748829.28</v>
      </c>
      <c r="AG609" s="1">
        <v>8930480.0399999991</v>
      </c>
      <c r="AH609" s="1">
        <v>199.4</v>
      </c>
      <c r="AI609" s="1">
        <v>11.09</v>
      </c>
      <c r="AJ609" s="1">
        <v>0.6</v>
      </c>
      <c r="AK609" s="1">
        <v>2.97</v>
      </c>
      <c r="AL609" s="1">
        <v>2.58</v>
      </c>
      <c r="AM609" s="1">
        <v>0</v>
      </c>
      <c r="AN609" s="1">
        <v>0</v>
      </c>
      <c r="AO609" s="1">
        <v>279.95422539999998</v>
      </c>
      <c r="AP609" s="1">
        <v>3.32</v>
      </c>
      <c r="AQ609" s="1">
        <v>0.49</v>
      </c>
      <c r="AR609" s="1">
        <v>7.0000000000000007E-2</v>
      </c>
      <c r="AS609" s="1">
        <v>0.06</v>
      </c>
      <c r="AT609" s="1">
        <v>15.47</v>
      </c>
      <c r="AU609" s="1">
        <v>5.3</v>
      </c>
      <c r="AV609" s="1">
        <v>0.28999999999999998</v>
      </c>
      <c r="AW609" s="1">
        <v>1.46</v>
      </c>
      <c r="AX609" s="1">
        <v>6.56</v>
      </c>
      <c r="AY609" s="1">
        <v>0</v>
      </c>
      <c r="AZ609" s="1">
        <v>110.51</v>
      </c>
      <c r="BA609" s="1">
        <v>0</v>
      </c>
      <c r="BB609" s="1">
        <v>0</v>
      </c>
      <c r="BC609" s="1">
        <v>0</v>
      </c>
      <c r="BD609" s="1">
        <v>0</v>
      </c>
    </row>
    <row r="610" spans="1:56">
      <c r="A610" s="18">
        <v>46192</v>
      </c>
      <c r="B610" s="1">
        <v>609</v>
      </c>
      <c r="C610" s="1" t="s">
        <v>89</v>
      </c>
      <c r="D610" s="1" t="s">
        <v>90</v>
      </c>
      <c r="E610" s="1">
        <v>2</v>
      </c>
      <c r="F610" s="1">
        <v>200</v>
      </c>
      <c r="G610" s="1">
        <v>1</v>
      </c>
      <c r="H610" s="1" t="s">
        <v>91</v>
      </c>
      <c r="I610" s="1" t="s">
        <v>79</v>
      </c>
      <c r="J610" s="1" t="s">
        <v>80</v>
      </c>
      <c r="K610" s="1" t="s">
        <v>74</v>
      </c>
      <c r="L610" s="1" t="s">
        <v>72</v>
      </c>
      <c r="M610" s="1" t="s">
        <v>75</v>
      </c>
      <c r="N610" s="1" t="s">
        <v>76</v>
      </c>
      <c r="O610" s="1" t="s">
        <v>77</v>
      </c>
      <c r="P610" s="1" t="s">
        <v>27</v>
      </c>
      <c r="Q610" s="1" t="s">
        <v>86</v>
      </c>
      <c r="R610" s="1" t="s">
        <v>94</v>
      </c>
      <c r="S610" s="1" t="s">
        <v>87</v>
      </c>
      <c r="T610" s="1" t="s">
        <v>88</v>
      </c>
      <c r="X610" s="1" t="s">
        <v>73</v>
      </c>
      <c r="Z610" s="1" t="s">
        <v>70</v>
      </c>
      <c r="AA610" s="1" t="s">
        <v>95</v>
      </c>
      <c r="AB610" s="1">
        <v>5</v>
      </c>
      <c r="AC610" s="1">
        <v>748827.68</v>
      </c>
      <c r="AD610" s="1">
        <v>8930482.5500000007</v>
      </c>
      <c r="AE610" s="1">
        <v>210.43</v>
      </c>
      <c r="AF610" s="1">
        <v>748827.68</v>
      </c>
      <c r="AG610" s="1">
        <v>8930482.5500000007</v>
      </c>
      <c r="AH610" s="1">
        <v>199.4</v>
      </c>
      <c r="AI610" s="1">
        <v>11.03</v>
      </c>
      <c r="AJ610" s="1">
        <v>0.6</v>
      </c>
      <c r="AK610" s="1">
        <v>2.97</v>
      </c>
      <c r="AL610" s="1">
        <v>2.58</v>
      </c>
      <c r="AM610" s="1">
        <v>0</v>
      </c>
      <c r="AN610" s="1">
        <v>0</v>
      </c>
      <c r="AO610" s="1">
        <v>279.95422539999998</v>
      </c>
      <c r="AP610" s="1">
        <v>3.39</v>
      </c>
      <c r="AQ610" s="1">
        <v>0.63</v>
      </c>
      <c r="AR610" s="1">
        <v>0.08</v>
      </c>
      <c r="AS610" s="1">
        <v>0.08</v>
      </c>
      <c r="AT610" s="1">
        <v>18.2</v>
      </c>
      <c r="AU610" s="1">
        <v>6.05</v>
      </c>
      <c r="AV610" s="1">
        <v>0.34</v>
      </c>
      <c r="AW610" s="1">
        <v>1.87</v>
      </c>
      <c r="AX610" s="1">
        <v>9.49</v>
      </c>
      <c r="AY610" s="1">
        <v>0</v>
      </c>
      <c r="AZ610" s="1">
        <v>109.637</v>
      </c>
      <c r="BA610" s="1">
        <v>0</v>
      </c>
      <c r="BB610" s="1">
        <v>0</v>
      </c>
      <c r="BC610" s="1">
        <v>0</v>
      </c>
      <c r="BD610" s="1">
        <v>0</v>
      </c>
    </row>
    <row r="611" spans="1:56">
      <c r="A611" s="18">
        <v>46192</v>
      </c>
      <c r="B611" s="1">
        <v>610</v>
      </c>
      <c r="C611" s="1" t="s">
        <v>89</v>
      </c>
      <c r="D611" s="1" t="s">
        <v>90</v>
      </c>
      <c r="E611" s="1">
        <v>2</v>
      </c>
      <c r="F611" s="1">
        <v>200</v>
      </c>
      <c r="G611" s="1">
        <v>1</v>
      </c>
      <c r="H611" s="1" t="s">
        <v>91</v>
      </c>
      <c r="I611" s="1" t="s">
        <v>79</v>
      </c>
      <c r="J611" s="1" t="s">
        <v>80</v>
      </c>
      <c r="K611" s="1" t="s">
        <v>74</v>
      </c>
      <c r="L611" s="1" t="s">
        <v>72</v>
      </c>
      <c r="M611" s="1" t="s">
        <v>75</v>
      </c>
      <c r="N611" s="1" t="s">
        <v>76</v>
      </c>
      <c r="O611" s="1" t="s">
        <v>77</v>
      </c>
      <c r="P611" s="1" t="s">
        <v>27</v>
      </c>
      <c r="Q611" s="1" t="s">
        <v>86</v>
      </c>
      <c r="R611" s="1" t="s">
        <v>94</v>
      </c>
      <c r="S611" s="1" t="s">
        <v>87</v>
      </c>
      <c r="T611" s="1" t="s">
        <v>88</v>
      </c>
      <c r="X611" s="1" t="s">
        <v>73</v>
      </c>
      <c r="Z611" s="1" t="s">
        <v>70</v>
      </c>
      <c r="AA611" s="1" t="s">
        <v>95</v>
      </c>
      <c r="AB611" s="1">
        <v>5</v>
      </c>
      <c r="AC611" s="1">
        <v>748826.07</v>
      </c>
      <c r="AD611" s="1">
        <v>8930485.0500000007</v>
      </c>
      <c r="AE611" s="1">
        <v>210.4</v>
      </c>
      <c r="AF611" s="1">
        <v>748826.07</v>
      </c>
      <c r="AG611" s="1">
        <v>8930485.0500000007</v>
      </c>
      <c r="AH611" s="1">
        <v>199.4</v>
      </c>
      <c r="AI611" s="1">
        <v>11</v>
      </c>
      <c r="AJ611" s="1">
        <v>0.6</v>
      </c>
      <c r="AK611" s="1">
        <v>2.97</v>
      </c>
      <c r="AL611" s="1">
        <v>2.58</v>
      </c>
      <c r="AM611" s="1">
        <v>0</v>
      </c>
      <c r="AN611" s="1">
        <v>0</v>
      </c>
      <c r="AO611" s="1">
        <v>279.95422539999998</v>
      </c>
      <c r="AP611" s="1">
        <v>3.39</v>
      </c>
      <c r="AQ611" s="1">
        <v>0.63</v>
      </c>
      <c r="AR611" s="1">
        <v>0.08</v>
      </c>
      <c r="AS611" s="1">
        <v>0.08</v>
      </c>
      <c r="AT611" s="1">
        <v>18.2</v>
      </c>
      <c r="AU611" s="1">
        <v>6.05</v>
      </c>
      <c r="AV611" s="1">
        <v>0.34</v>
      </c>
      <c r="AW611" s="1">
        <v>1.87</v>
      </c>
      <c r="AX611" s="1">
        <v>9.48</v>
      </c>
      <c r="AY611" s="1">
        <v>0</v>
      </c>
      <c r="AZ611" s="1">
        <v>109.2</v>
      </c>
      <c r="BA611" s="1">
        <v>0</v>
      </c>
      <c r="BB611" s="1">
        <v>0</v>
      </c>
      <c r="BC611" s="1">
        <v>0</v>
      </c>
      <c r="BD611" s="1">
        <v>0</v>
      </c>
    </row>
    <row r="612" spans="1:56">
      <c r="A612" s="18">
        <v>46192</v>
      </c>
      <c r="B612" s="1">
        <v>611</v>
      </c>
      <c r="C612" s="1" t="s">
        <v>89</v>
      </c>
      <c r="D612" s="1" t="s">
        <v>90</v>
      </c>
      <c r="E612" s="1">
        <v>2</v>
      </c>
      <c r="F612" s="1">
        <v>200</v>
      </c>
      <c r="G612" s="1">
        <v>1</v>
      </c>
      <c r="H612" s="1" t="s">
        <v>91</v>
      </c>
      <c r="I612" s="1" t="s">
        <v>79</v>
      </c>
      <c r="J612" s="1" t="s">
        <v>80</v>
      </c>
      <c r="K612" s="1" t="s">
        <v>74</v>
      </c>
      <c r="L612" s="1" t="s">
        <v>72</v>
      </c>
      <c r="M612" s="1" t="s">
        <v>75</v>
      </c>
      <c r="N612" s="1" t="s">
        <v>76</v>
      </c>
      <c r="O612" s="1" t="s">
        <v>77</v>
      </c>
      <c r="P612" s="1" t="s">
        <v>27</v>
      </c>
      <c r="Q612" s="1" t="s">
        <v>86</v>
      </c>
      <c r="R612" s="1" t="s">
        <v>94</v>
      </c>
      <c r="S612" s="1" t="s">
        <v>87</v>
      </c>
      <c r="T612" s="1" t="s">
        <v>88</v>
      </c>
      <c r="X612" s="1" t="s">
        <v>73</v>
      </c>
      <c r="Z612" s="1" t="s">
        <v>70</v>
      </c>
      <c r="AA612" s="1" t="s">
        <v>95</v>
      </c>
      <c r="AB612" s="1">
        <v>5</v>
      </c>
      <c r="AC612" s="1">
        <v>748824.47</v>
      </c>
      <c r="AD612" s="1">
        <v>8930487.5500000007</v>
      </c>
      <c r="AE612" s="1">
        <v>210.48</v>
      </c>
      <c r="AF612" s="1">
        <v>748824.47</v>
      </c>
      <c r="AG612" s="1">
        <v>8930487.5500000007</v>
      </c>
      <c r="AH612" s="1">
        <v>199.4</v>
      </c>
      <c r="AI612" s="1">
        <v>11.08</v>
      </c>
      <c r="AJ612" s="1">
        <v>0.6</v>
      </c>
      <c r="AK612" s="1">
        <v>2.97</v>
      </c>
      <c r="AL612" s="1">
        <v>2.58</v>
      </c>
      <c r="AM612" s="1">
        <v>0</v>
      </c>
      <c r="AN612" s="1">
        <v>0</v>
      </c>
      <c r="AO612" s="1">
        <v>279.95422539999998</v>
      </c>
      <c r="AP612" s="1">
        <v>3.39</v>
      </c>
      <c r="AQ612" s="1">
        <v>0.63</v>
      </c>
      <c r="AR612" s="1">
        <v>0.08</v>
      </c>
      <c r="AS612" s="1">
        <v>0.08</v>
      </c>
      <c r="AT612" s="1">
        <v>18.2</v>
      </c>
      <c r="AU612" s="1">
        <v>6.05</v>
      </c>
      <c r="AV612" s="1">
        <v>0.34</v>
      </c>
      <c r="AW612" s="1">
        <v>1.87</v>
      </c>
      <c r="AX612" s="1">
        <v>9.49</v>
      </c>
      <c r="AY612" s="1">
        <v>0</v>
      </c>
      <c r="AZ612" s="1">
        <v>110.36499999999999</v>
      </c>
      <c r="BA612" s="1">
        <v>0</v>
      </c>
      <c r="BB612" s="1">
        <v>0</v>
      </c>
      <c r="BC612" s="1">
        <v>0</v>
      </c>
      <c r="BD612" s="1">
        <v>0</v>
      </c>
    </row>
    <row r="613" spans="1:56">
      <c r="A613" s="18">
        <v>46192</v>
      </c>
      <c r="B613" s="1">
        <v>612</v>
      </c>
      <c r="C613" s="1" t="s">
        <v>89</v>
      </c>
      <c r="D613" s="1" t="s">
        <v>90</v>
      </c>
      <c r="E613" s="1">
        <v>2</v>
      </c>
      <c r="F613" s="1">
        <v>200</v>
      </c>
      <c r="G613" s="1">
        <v>1</v>
      </c>
      <c r="H613" s="1" t="s">
        <v>91</v>
      </c>
      <c r="I613" s="1" t="s">
        <v>79</v>
      </c>
      <c r="J613" s="1" t="s">
        <v>80</v>
      </c>
      <c r="K613" s="1" t="s">
        <v>74</v>
      </c>
      <c r="L613" s="1" t="s">
        <v>72</v>
      </c>
      <c r="M613" s="1" t="s">
        <v>75</v>
      </c>
      <c r="N613" s="1" t="s">
        <v>76</v>
      </c>
      <c r="O613" s="1" t="s">
        <v>77</v>
      </c>
      <c r="P613" s="1" t="s">
        <v>27</v>
      </c>
      <c r="Q613" s="1" t="s">
        <v>86</v>
      </c>
      <c r="R613" s="1" t="s">
        <v>94</v>
      </c>
      <c r="S613" s="1" t="s">
        <v>87</v>
      </c>
      <c r="T613" s="1" t="s">
        <v>88</v>
      </c>
      <c r="X613" s="1" t="s">
        <v>73</v>
      </c>
      <c r="Z613" s="1" t="s">
        <v>70</v>
      </c>
      <c r="AA613" s="1" t="s">
        <v>95</v>
      </c>
      <c r="AB613" s="1">
        <v>5</v>
      </c>
      <c r="AC613" s="1">
        <v>748822.87</v>
      </c>
      <c r="AD613" s="1">
        <v>8930490.0500000007</v>
      </c>
      <c r="AE613" s="1">
        <v>210.36</v>
      </c>
      <c r="AF613" s="1">
        <v>748822.87</v>
      </c>
      <c r="AG613" s="1">
        <v>8930490.0500000007</v>
      </c>
      <c r="AH613" s="1">
        <v>199.4</v>
      </c>
      <c r="AI613" s="1">
        <v>10.96</v>
      </c>
      <c r="AJ613" s="1">
        <v>0.6</v>
      </c>
      <c r="AK613" s="1">
        <v>2.97</v>
      </c>
      <c r="AL613" s="1">
        <v>2.58</v>
      </c>
      <c r="AM613" s="1">
        <v>0</v>
      </c>
      <c r="AN613" s="1">
        <v>0</v>
      </c>
      <c r="AO613" s="1">
        <v>279.95422539999998</v>
      </c>
      <c r="AP613" s="1">
        <v>3.37</v>
      </c>
      <c r="AQ613" s="1">
        <v>0.64</v>
      </c>
      <c r="AR613" s="1">
        <v>0.09</v>
      </c>
      <c r="AS613" s="1">
        <v>7.0000000000000007E-2</v>
      </c>
      <c r="AT613" s="1">
        <v>18.11</v>
      </c>
      <c r="AU613" s="1">
        <v>6.11</v>
      </c>
      <c r="AV613" s="1">
        <v>0.35</v>
      </c>
      <c r="AW613" s="1">
        <v>1.8</v>
      </c>
      <c r="AX613" s="1">
        <v>4.82</v>
      </c>
      <c r="AY613" s="1">
        <v>0</v>
      </c>
      <c r="AZ613" s="1">
        <v>108.61799999999999</v>
      </c>
      <c r="BA613" s="1">
        <v>0</v>
      </c>
      <c r="BB613" s="1">
        <v>0</v>
      </c>
      <c r="BC613" s="1">
        <v>0</v>
      </c>
      <c r="BD613" s="1">
        <v>0</v>
      </c>
    </row>
    <row r="614" spans="1:56">
      <c r="A614" s="18">
        <v>46192</v>
      </c>
      <c r="B614" s="1">
        <v>613</v>
      </c>
      <c r="C614" s="1" t="s">
        <v>89</v>
      </c>
      <c r="D614" s="1" t="s">
        <v>90</v>
      </c>
      <c r="E614" s="1">
        <v>2</v>
      </c>
      <c r="F614" s="1">
        <v>200</v>
      </c>
      <c r="G614" s="1">
        <v>1</v>
      </c>
      <c r="H614" s="1" t="s">
        <v>91</v>
      </c>
      <c r="I614" s="1" t="s">
        <v>79</v>
      </c>
      <c r="J614" s="1" t="s">
        <v>80</v>
      </c>
      <c r="K614" s="1" t="s">
        <v>74</v>
      </c>
      <c r="L614" s="1" t="s">
        <v>72</v>
      </c>
      <c r="M614" s="1" t="s">
        <v>75</v>
      </c>
      <c r="N614" s="1" t="s">
        <v>76</v>
      </c>
      <c r="O614" s="1" t="s">
        <v>77</v>
      </c>
      <c r="P614" s="1" t="s">
        <v>27</v>
      </c>
      <c r="Q614" s="1" t="s">
        <v>86</v>
      </c>
      <c r="R614" s="1" t="s">
        <v>94</v>
      </c>
      <c r="S614" s="1" t="s">
        <v>87</v>
      </c>
      <c r="T614" s="1" t="s">
        <v>88</v>
      </c>
      <c r="X614" s="1" t="s">
        <v>73</v>
      </c>
      <c r="Z614" s="1" t="s">
        <v>70</v>
      </c>
      <c r="AA614" s="1" t="s">
        <v>95</v>
      </c>
      <c r="AB614" s="1">
        <v>5</v>
      </c>
      <c r="AC614" s="1">
        <v>748821.27</v>
      </c>
      <c r="AD614" s="1">
        <v>8930492.5500000007</v>
      </c>
      <c r="AE614" s="1">
        <v>210.32</v>
      </c>
      <c r="AF614" s="1">
        <v>748821.27</v>
      </c>
      <c r="AG614" s="1">
        <v>8930492.5500000007</v>
      </c>
      <c r="AH614" s="1">
        <v>199.4</v>
      </c>
      <c r="AI614" s="1">
        <v>10.92</v>
      </c>
      <c r="AJ614" s="1">
        <v>0.6</v>
      </c>
      <c r="AK614" s="1">
        <v>2.97</v>
      </c>
      <c r="AL614" s="1">
        <v>2.58</v>
      </c>
      <c r="AM614" s="1">
        <v>0</v>
      </c>
      <c r="AN614" s="1">
        <v>0</v>
      </c>
      <c r="AO614" s="1">
        <v>279.95422539999998</v>
      </c>
      <c r="AP614" s="1">
        <v>3.36</v>
      </c>
      <c r="AQ614" s="1">
        <v>0.65</v>
      </c>
      <c r="AR614" s="1">
        <v>0.1</v>
      </c>
      <c r="AS614" s="1">
        <v>7.0000000000000007E-2</v>
      </c>
      <c r="AT614" s="1">
        <v>18.05</v>
      </c>
      <c r="AU614" s="1">
        <v>6.14</v>
      </c>
      <c r="AV614" s="1">
        <v>0.37</v>
      </c>
      <c r="AW614" s="1">
        <v>1.75</v>
      </c>
      <c r="AX614" s="1">
        <v>1.68</v>
      </c>
      <c r="AY614" s="1">
        <v>0</v>
      </c>
      <c r="AZ614" s="1">
        <v>108.035</v>
      </c>
      <c r="BA614" s="1">
        <v>0</v>
      </c>
      <c r="BB614" s="1">
        <v>0</v>
      </c>
      <c r="BC614" s="1">
        <v>0</v>
      </c>
      <c r="BD614" s="1">
        <v>0</v>
      </c>
    </row>
    <row r="615" spans="1:56">
      <c r="A615" s="18">
        <v>46192</v>
      </c>
      <c r="B615" s="1">
        <v>614</v>
      </c>
      <c r="C615" s="1" t="s">
        <v>89</v>
      </c>
      <c r="D615" s="1" t="s">
        <v>90</v>
      </c>
      <c r="E615" s="1">
        <v>2</v>
      </c>
      <c r="F615" s="1">
        <v>200</v>
      </c>
      <c r="G615" s="1">
        <v>1</v>
      </c>
      <c r="H615" s="1" t="s">
        <v>91</v>
      </c>
      <c r="I615" s="1" t="s">
        <v>79</v>
      </c>
      <c r="J615" s="1" t="s">
        <v>80</v>
      </c>
      <c r="K615" s="1" t="s">
        <v>74</v>
      </c>
      <c r="L615" s="1" t="s">
        <v>72</v>
      </c>
      <c r="M615" s="1" t="s">
        <v>75</v>
      </c>
      <c r="N615" s="1" t="s">
        <v>76</v>
      </c>
      <c r="O615" s="1" t="s">
        <v>77</v>
      </c>
      <c r="P615" s="1" t="s">
        <v>27</v>
      </c>
      <c r="Q615" s="1" t="s">
        <v>86</v>
      </c>
      <c r="R615" s="1" t="s">
        <v>94</v>
      </c>
      <c r="S615" s="1" t="s">
        <v>87</v>
      </c>
      <c r="T615" s="1" t="s">
        <v>88</v>
      </c>
      <c r="X615" s="1" t="s">
        <v>73</v>
      </c>
      <c r="Z615" s="1" t="s">
        <v>70</v>
      </c>
      <c r="AA615" s="1" t="s">
        <v>95</v>
      </c>
      <c r="AB615" s="1">
        <v>5</v>
      </c>
      <c r="AC615" s="1">
        <v>748819.66</v>
      </c>
      <c r="AD615" s="1">
        <v>8930495.0500000007</v>
      </c>
      <c r="AE615" s="1">
        <v>210.24</v>
      </c>
      <c r="AF615" s="1">
        <v>748819.66</v>
      </c>
      <c r="AG615" s="1">
        <v>8930495.0500000007</v>
      </c>
      <c r="AH615" s="1">
        <v>199.4</v>
      </c>
      <c r="AI615" s="1">
        <v>10.84</v>
      </c>
      <c r="AJ615" s="1">
        <v>0.6</v>
      </c>
      <c r="AK615" s="1">
        <v>2.97</v>
      </c>
      <c r="AL615" s="1">
        <v>2.58</v>
      </c>
      <c r="AM615" s="1">
        <v>0</v>
      </c>
      <c r="AN615" s="1">
        <v>0</v>
      </c>
      <c r="AO615" s="1">
        <v>279.95422539999998</v>
      </c>
      <c r="AP615" s="1">
        <v>3.41</v>
      </c>
      <c r="AQ615" s="1">
        <v>0.65</v>
      </c>
      <c r="AR615" s="1">
        <v>0.1</v>
      </c>
      <c r="AS615" s="1">
        <v>0.08</v>
      </c>
      <c r="AT615" s="1">
        <v>18.12</v>
      </c>
      <c r="AU615" s="1">
        <v>6.04</v>
      </c>
      <c r="AV615" s="1">
        <v>0.37</v>
      </c>
      <c r="AW615" s="1">
        <v>1.79</v>
      </c>
      <c r="AX615" s="1">
        <v>6</v>
      </c>
      <c r="AY615" s="1">
        <v>0</v>
      </c>
      <c r="AZ615" s="1">
        <v>106.87</v>
      </c>
      <c r="BA615" s="1">
        <v>0</v>
      </c>
      <c r="BB615" s="1">
        <v>0</v>
      </c>
      <c r="BC615" s="1">
        <v>0</v>
      </c>
      <c r="BD615" s="1">
        <v>0</v>
      </c>
    </row>
    <row r="616" spans="1:56">
      <c r="A616" s="18">
        <v>46192</v>
      </c>
      <c r="B616" s="1">
        <v>615</v>
      </c>
      <c r="C616" s="1" t="s">
        <v>89</v>
      </c>
      <c r="D616" s="1" t="s">
        <v>90</v>
      </c>
      <c r="E616" s="1">
        <v>2</v>
      </c>
      <c r="F616" s="1">
        <v>200</v>
      </c>
      <c r="G616" s="1">
        <v>1</v>
      </c>
      <c r="H616" s="1" t="s">
        <v>91</v>
      </c>
      <c r="I616" s="1" t="s">
        <v>79</v>
      </c>
      <c r="J616" s="1" t="s">
        <v>80</v>
      </c>
      <c r="K616" s="1" t="s">
        <v>74</v>
      </c>
      <c r="L616" s="1" t="s">
        <v>72</v>
      </c>
      <c r="M616" s="1" t="s">
        <v>75</v>
      </c>
      <c r="N616" s="1" t="s">
        <v>76</v>
      </c>
      <c r="O616" s="1" t="s">
        <v>77</v>
      </c>
      <c r="P616" s="1" t="s">
        <v>27</v>
      </c>
      <c r="Q616" s="1" t="s">
        <v>86</v>
      </c>
      <c r="R616" s="1" t="s">
        <v>94</v>
      </c>
      <c r="S616" s="1" t="s">
        <v>87</v>
      </c>
      <c r="T616" s="1" t="s">
        <v>88</v>
      </c>
      <c r="X616" s="1" t="s">
        <v>73</v>
      </c>
      <c r="Z616" s="1" t="s">
        <v>70</v>
      </c>
      <c r="AA616" s="1" t="s">
        <v>95</v>
      </c>
      <c r="AB616" s="1">
        <v>5</v>
      </c>
      <c r="AC616" s="1">
        <v>748818.06</v>
      </c>
      <c r="AD616" s="1">
        <v>8930497.5500000007</v>
      </c>
      <c r="AE616" s="1">
        <v>210.29</v>
      </c>
      <c r="AF616" s="1">
        <v>748818.06</v>
      </c>
      <c r="AG616" s="1">
        <v>8930497.5500000007</v>
      </c>
      <c r="AH616" s="1">
        <v>199.4</v>
      </c>
      <c r="AI616" s="1">
        <v>10.89</v>
      </c>
      <c r="AJ616" s="1">
        <v>0.6</v>
      </c>
      <c r="AK616" s="1">
        <v>2.97</v>
      </c>
      <c r="AL616" s="1">
        <v>2.58</v>
      </c>
      <c r="AM616" s="1">
        <v>0</v>
      </c>
      <c r="AN616" s="1">
        <v>0</v>
      </c>
      <c r="AO616" s="1">
        <v>279.95422539999998</v>
      </c>
      <c r="AP616" s="1">
        <v>3.45</v>
      </c>
      <c r="AQ616" s="1">
        <v>0.66</v>
      </c>
      <c r="AR616" s="1">
        <v>0.1</v>
      </c>
      <c r="AS616" s="1">
        <v>0.08</v>
      </c>
      <c r="AT616" s="1">
        <v>18.149999999999999</v>
      </c>
      <c r="AU616" s="1">
        <v>5.96</v>
      </c>
      <c r="AV616" s="1">
        <v>0.36</v>
      </c>
      <c r="AW616" s="1">
        <v>1.82</v>
      </c>
      <c r="AX616" s="1">
        <v>9.59</v>
      </c>
      <c r="AY616" s="1">
        <v>0</v>
      </c>
      <c r="AZ616" s="1">
        <v>107.598</v>
      </c>
      <c r="BA616" s="1">
        <v>0</v>
      </c>
      <c r="BB616" s="1">
        <v>0</v>
      </c>
      <c r="BC616" s="1">
        <v>0</v>
      </c>
      <c r="BD616" s="1">
        <v>0</v>
      </c>
    </row>
    <row r="617" spans="1:56">
      <c r="A617" s="18">
        <v>46192</v>
      </c>
      <c r="B617" s="1">
        <v>616</v>
      </c>
      <c r="C617" s="1" t="s">
        <v>89</v>
      </c>
      <c r="D617" s="1" t="s">
        <v>90</v>
      </c>
      <c r="E617" s="1">
        <v>2</v>
      </c>
      <c r="F617" s="1">
        <v>200</v>
      </c>
      <c r="G617" s="1">
        <v>1</v>
      </c>
      <c r="H617" s="1" t="s">
        <v>91</v>
      </c>
      <c r="I617" s="1" t="s">
        <v>79</v>
      </c>
      <c r="J617" s="1" t="s">
        <v>80</v>
      </c>
      <c r="K617" s="1" t="s">
        <v>74</v>
      </c>
      <c r="L617" s="1" t="s">
        <v>72</v>
      </c>
      <c r="M617" s="1" t="s">
        <v>75</v>
      </c>
      <c r="N617" s="1" t="s">
        <v>76</v>
      </c>
      <c r="O617" s="1" t="s">
        <v>77</v>
      </c>
      <c r="P617" s="1" t="s">
        <v>27</v>
      </c>
      <c r="Q617" s="1" t="s">
        <v>86</v>
      </c>
      <c r="R617" s="1" t="s">
        <v>94</v>
      </c>
      <c r="S617" s="1" t="s">
        <v>87</v>
      </c>
      <c r="T617" s="1" t="s">
        <v>88</v>
      </c>
      <c r="X617" s="1" t="s">
        <v>73</v>
      </c>
      <c r="Z617" s="1" t="s">
        <v>70</v>
      </c>
      <c r="AA617" s="1" t="s">
        <v>95</v>
      </c>
      <c r="AB617" s="1">
        <v>5</v>
      </c>
      <c r="AC617" s="1">
        <v>748816.46</v>
      </c>
      <c r="AD617" s="1">
        <v>8930500.0500000007</v>
      </c>
      <c r="AE617" s="1">
        <v>210.15</v>
      </c>
      <c r="AF617" s="1">
        <v>748816.46</v>
      </c>
      <c r="AG617" s="1">
        <v>8930500.0500000007</v>
      </c>
      <c r="AH617" s="1">
        <v>199.4</v>
      </c>
      <c r="AI617" s="1">
        <v>10.75</v>
      </c>
      <c r="AJ617" s="1">
        <v>0.6</v>
      </c>
      <c r="AK617" s="1">
        <v>2.97</v>
      </c>
      <c r="AL617" s="1">
        <v>2.58</v>
      </c>
      <c r="AM617" s="1">
        <v>0</v>
      </c>
      <c r="AN617" s="1">
        <v>0</v>
      </c>
      <c r="AO617" s="1">
        <v>279.95422539999998</v>
      </c>
      <c r="AP617" s="1">
        <v>3.37</v>
      </c>
      <c r="AQ617" s="1">
        <v>0.68</v>
      </c>
      <c r="AR617" s="1">
        <v>0.11</v>
      </c>
      <c r="AS617" s="1">
        <v>0.08</v>
      </c>
      <c r="AT617" s="1">
        <v>18.96</v>
      </c>
      <c r="AU617" s="1">
        <v>5.57</v>
      </c>
      <c r="AV617" s="1">
        <v>0.37</v>
      </c>
      <c r="AW617" s="1">
        <v>1.85</v>
      </c>
      <c r="AX617" s="1">
        <v>8.83</v>
      </c>
      <c r="AY617" s="1">
        <v>0</v>
      </c>
      <c r="AZ617" s="1">
        <v>105.56</v>
      </c>
      <c r="BA617" s="1">
        <v>0</v>
      </c>
      <c r="BB617" s="1">
        <v>0</v>
      </c>
      <c r="BC617" s="1">
        <v>0</v>
      </c>
      <c r="BD617" s="1">
        <v>0</v>
      </c>
    </row>
    <row r="618" spans="1:56">
      <c r="A618" s="18">
        <v>46192</v>
      </c>
      <c r="B618" s="1">
        <v>617</v>
      </c>
      <c r="C618" s="1" t="s">
        <v>89</v>
      </c>
      <c r="D618" s="1" t="s">
        <v>90</v>
      </c>
      <c r="E618" s="1">
        <v>2</v>
      </c>
      <c r="F618" s="1">
        <v>200</v>
      </c>
      <c r="G618" s="1">
        <v>1</v>
      </c>
      <c r="H618" s="1" t="s">
        <v>91</v>
      </c>
      <c r="I618" s="1" t="s">
        <v>79</v>
      </c>
      <c r="J618" s="1" t="s">
        <v>81</v>
      </c>
      <c r="K618" s="1" t="s">
        <v>74</v>
      </c>
      <c r="L618" s="1" t="s">
        <v>72</v>
      </c>
      <c r="M618" s="1" t="s">
        <v>75</v>
      </c>
      <c r="N618" s="1" t="s">
        <v>76</v>
      </c>
      <c r="O618" s="1" t="s">
        <v>77</v>
      </c>
      <c r="P618" s="1" t="s">
        <v>27</v>
      </c>
      <c r="Q618" s="1" t="s">
        <v>86</v>
      </c>
      <c r="R618" s="1" t="s">
        <v>94</v>
      </c>
      <c r="S618" s="1" t="s">
        <v>87</v>
      </c>
      <c r="T618" s="1" t="s">
        <v>88</v>
      </c>
      <c r="X618" s="1" t="s">
        <v>73</v>
      </c>
      <c r="Z618" s="1" t="s">
        <v>70</v>
      </c>
      <c r="AA618" s="1" t="s">
        <v>95</v>
      </c>
      <c r="AB618" s="1">
        <v>5</v>
      </c>
      <c r="AC618" s="1">
        <v>748814.85</v>
      </c>
      <c r="AD618" s="1">
        <v>8930502.5500000007</v>
      </c>
      <c r="AE618" s="1">
        <v>210.12</v>
      </c>
      <c r="AF618" s="1">
        <v>748814.85</v>
      </c>
      <c r="AG618" s="1">
        <v>8930502.5500000007</v>
      </c>
      <c r="AH618" s="1">
        <v>199.4</v>
      </c>
      <c r="AI618" s="1">
        <v>10.72</v>
      </c>
      <c r="AJ618" s="1">
        <v>0.6</v>
      </c>
      <c r="AK618" s="1">
        <v>2.97</v>
      </c>
      <c r="AL618" s="1">
        <v>2.58</v>
      </c>
      <c r="AM618" s="1">
        <v>0</v>
      </c>
      <c r="AN618" s="1">
        <v>0</v>
      </c>
      <c r="AO618" s="1">
        <v>279.95422539999998</v>
      </c>
      <c r="AP618" s="1">
        <v>3.3</v>
      </c>
      <c r="AQ618" s="1">
        <v>0.71</v>
      </c>
      <c r="AR618" s="1">
        <v>0.11</v>
      </c>
      <c r="AS618" s="1">
        <v>0.08</v>
      </c>
      <c r="AT618" s="1">
        <v>19.72</v>
      </c>
      <c r="AU618" s="1">
        <v>5.18</v>
      </c>
      <c r="AV618" s="1">
        <v>0.38</v>
      </c>
      <c r="AW618" s="1">
        <v>1.88</v>
      </c>
      <c r="AX618" s="1">
        <v>7.98</v>
      </c>
      <c r="AY618" s="1">
        <v>0</v>
      </c>
      <c r="AZ618" s="1">
        <v>105.123</v>
      </c>
      <c r="BA618" s="1">
        <v>0</v>
      </c>
      <c r="BB618" s="1">
        <v>0</v>
      </c>
      <c r="BC618" s="1">
        <v>0</v>
      </c>
      <c r="BD618" s="1">
        <v>0</v>
      </c>
    </row>
    <row r="619" spans="1:56">
      <c r="A619" s="18">
        <v>46192</v>
      </c>
      <c r="B619" s="1">
        <v>618</v>
      </c>
      <c r="C619" s="1" t="s">
        <v>89</v>
      </c>
      <c r="D619" s="1" t="s">
        <v>90</v>
      </c>
      <c r="E619" s="1">
        <v>2</v>
      </c>
      <c r="F619" s="1">
        <v>200</v>
      </c>
      <c r="G619" s="1">
        <v>1</v>
      </c>
      <c r="H619" s="1" t="s">
        <v>91</v>
      </c>
      <c r="I619" s="1" t="s">
        <v>79</v>
      </c>
      <c r="J619" s="1" t="s">
        <v>81</v>
      </c>
      <c r="K619" s="1" t="s">
        <v>74</v>
      </c>
      <c r="L619" s="1" t="s">
        <v>72</v>
      </c>
      <c r="M619" s="1" t="s">
        <v>75</v>
      </c>
      <c r="N619" s="1" t="s">
        <v>82</v>
      </c>
      <c r="O619" s="1" t="s">
        <v>77</v>
      </c>
      <c r="P619" s="1" t="s">
        <v>27</v>
      </c>
      <c r="Q619" s="1" t="s">
        <v>86</v>
      </c>
      <c r="R619" s="1" t="s">
        <v>94</v>
      </c>
      <c r="S619" s="1" t="s">
        <v>87</v>
      </c>
      <c r="T619" s="1" t="s">
        <v>88</v>
      </c>
      <c r="X619" s="1" t="s">
        <v>73</v>
      </c>
      <c r="Z619" s="1" t="s">
        <v>70</v>
      </c>
      <c r="AA619" s="1" t="s">
        <v>95</v>
      </c>
      <c r="AB619" s="1">
        <v>5</v>
      </c>
      <c r="AC619" s="1">
        <v>748813.25</v>
      </c>
      <c r="AD619" s="1">
        <v>8930505.0500000007</v>
      </c>
      <c r="AE619" s="1">
        <v>210.31</v>
      </c>
      <c r="AF619" s="1">
        <v>748813.25</v>
      </c>
      <c r="AG619" s="1">
        <v>8930505.0500000007</v>
      </c>
      <c r="AH619" s="1">
        <v>199.4</v>
      </c>
      <c r="AI619" s="1">
        <v>10.91</v>
      </c>
      <c r="AJ619" s="1">
        <v>0.6</v>
      </c>
      <c r="AK619" s="1">
        <v>2.97</v>
      </c>
      <c r="AL619" s="1">
        <v>2.58</v>
      </c>
      <c r="AM619" s="1">
        <v>0</v>
      </c>
      <c r="AN619" s="1">
        <v>0</v>
      </c>
      <c r="AO619" s="1">
        <v>279.95422539999998</v>
      </c>
      <c r="AP619" s="1">
        <v>3.3</v>
      </c>
      <c r="AQ619" s="1">
        <v>0.71</v>
      </c>
      <c r="AR619" s="1">
        <v>0.11</v>
      </c>
      <c r="AS619" s="1">
        <v>0.08</v>
      </c>
      <c r="AT619" s="1">
        <v>19.72</v>
      </c>
      <c r="AU619" s="1">
        <v>5.2</v>
      </c>
      <c r="AV619" s="1">
        <v>0.38</v>
      </c>
      <c r="AW619" s="1">
        <v>1.88</v>
      </c>
      <c r="AX619" s="1">
        <v>8.0299999999999994</v>
      </c>
      <c r="AY619" s="1">
        <v>0</v>
      </c>
      <c r="AZ619" s="1">
        <v>107.89</v>
      </c>
      <c r="BA619" s="1">
        <v>0</v>
      </c>
      <c r="BB619" s="1">
        <v>0</v>
      </c>
      <c r="BC619" s="1">
        <v>0</v>
      </c>
      <c r="BD619" s="1">
        <v>0</v>
      </c>
    </row>
    <row r="620" spans="1:56">
      <c r="A620" s="18">
        <v>46192</v>
      </c>
      <c r="B620" s="1">
        <v>619</v>
      </c>
      <c r="C620" s="1" t="s">
        <v>89</v>
      </c>
      <c r="D620" s="1" t="s">
        <v>90</v>
      </c>
      <c r="E620" s="1">
        <v>2</v>
      </c>
      <c r="F620" s="1">
        <v>200</v>
      </c>
      <c r="G620" s="1">
        <v>1</v>
      </c>
      <c r="H620" s="1" t="s">
        <v>91</v>
      </c>
      <c r="I620" s="1" t="s">
        <v>79</v>
      </c>
      <c r="J620" s="1" t="s">
        <v>81</v>
      </c>
      <c r="K620" s="1" t="s">
        <v>74</v>
      </c>
      <c r="L620" s="1" t="s">
        <v>72</v>
      </c>
      <c r="M620" s="1" t="s">
        <v>75</v>
      </c>
      <c r="N620" s="1" t="s">
        <v>82</v>
      </c>
      <c r="O620" s="1" t="s">
        <v>77</v>
      </c>
      <c r="P620" s="1" t="s">
        <v>27</v>
      </c>
      <c r="Q620" s="1" t="s">
        <v>86</v>
      </c>
      <c r="R620" s="1" t="s">
        <v>94</v>
      </c>
      <c r="S620" s="1" t="s">
        <v>87</v>
      </c>
      <c r="T620" s="1" t="s">
        <v>88</v>
      </c>
      <c r="X620" s="1" t="s">
        <v>73</v>
      </c>
      <c r="Z620" s="1" t="s">
        <v>70</v>
      </c>
      <c r="AA620" s="1" t="s">
        <v>95</v>
      </c>
      <c r="AB620" s="1">
        <v>5</v>
      </c>
      <c r="AC620" s="1">
        <v>748811.65</v>
      </c>
      <c r="AD620" s="1">
        <v>8930507.5500000007</v>
      </c>
      <c r="AE620" s="1">
        <v>210.32</v>
      </c>
      <c r="AF620" s="1">
        <v>748811.65</v>
      </c>
      <c r="AG620" s="1">
        <v>8930507.5500000007</v>
      </c>
      <c r="AH620" s="1">
        <v>199.4</v>
      </c>
      <c r="AI620" s="1">
        <v>10.92</v>
      </c>
      <c r="AJ620" s="1">
        <v>0.6</v>
      </c>
      <c r="AK620" s="1">
        <v>2.97</v>
      </c>
      <c r="AL620" s="1">
        <v>2.58</v>
      </c>
      <c r="AM620" s="1">
        <v>0</v>
      </c>
      <c r="AN620" s="1">
        <v>0</v>
      </c>
      <c r="AO620" s="1">
        <v>279.95422539999998</v>
      </c>
      <c r="AP620" s="1">
        <v>3.31</v>
      </c>
      <c r="AQ620" s="1">
        <v>0.71</v>
      </c>
      <c r="AR620" s="1">
        <v>0.11</v>
      </c>
      <c r="AS620" s="1">
        <v>0.08</v>
      </c>
      <c r="AT620" s="1">
        <v>19.77</v>
      </c>
      <c r="AU620" s="1">
        <v>5.21</v>
      </c>
      <c r="AV620" s="1">
        <v>0.38</v>
      </c>
      <c r="AW620" s="1">
        <v>1.86</v>
      </c>
      <c r="AX620" s="1">
        <v>8.01</v>
      </c>
      <c r="AY620" s="1">
        <v>0</v>
      </c>
      <c r="AZ620" s="1">
        <v>108.035</v>
      </c>
      <c r="BA620" s="1">
        <v>0</v>
      </c>
      <c r="BB620" s="1">
        <v>0</v>
      </c>
      <c r="BC620" s="1">
        <v>0</v>
      </c>
      <c r="BD620" s="1">
        <v>0</v>
      </c>
    </row>
    <row r="621" spans="1:56">
      <c r="A621" s="18">
        <v>46192</v>
      </c>
      <c r="B621" s="1">
        <v>620</v>
      </c>
      <c r="C621" s="1" t="s">
        <v>89</v>
      </c>
      <c r="D621" s="1" t="s">
        <v>90</v>
      </c>
      <c r="E621" s="1">
        <v>2</v>
      </c>
      <c r="F621" s="1">
        <v>200</v>
      </c>
      <c r="G621" s="1">
        <v>1</v>
      </c>
      <c r="H621" s="1" t="s">
        <v>91</v>
      </c>
      <c r="I621" s="1" t="s">
        <v>79</v>
      </c>
      <c r="J621" s="1" t="s">
        <v>80</v>
      </c>
      <c r="K621" s="1" t="s">
        <v>74</v>
      </c>
      <c r="L621" s="1" t="s">
        <v>72</v>
      </c>
      <c r="M621" s="1" t="s">
        <v>75</v>
      </c>
      <c r="N621" s="1" t="s">
        <v>82</v>
      </c>
      <c r="O621" s="1" t="s">
        <v>77</v>
      </c>
      <c r="P621" s="1" t="s">
        <v>27</v>
      </c>
      <c r="Q621" s="1" t="s">
        <v>86</v>
      </c>
      <c r="R621" s="1" t="s">
        <v>94</v>
      </c>
      <c r="S621" s="1" t="s">
        <v>87</v>
      </c>
      <c r="T621" s="1" t="s">
        <v>88</v>
      </c>
      <c r="X621" s="1" t="s">
        <v>73</v>
      </c>
      <c r="Z621" s="1" t="s">
        <v>70</v>
      </c>
      <c r="AA621" s="1" t="s">
        <v>95</v>
      </c>
      <c r="AB621" s="1">
        <v>5</v>
      </c>
      <c r="AC621" s="1">
        <v>748810.04</v>
      </c>
      <c r="AD621" s="1">
        <v>8930510.0500000007</v>
      </c>
      <c r="AE621" s="1">
        <v>210.07</v>
      </c>
      <c r="AF621" s="1">
        <v>748810.04</v>
      </c>
      <c r="AG621" s="1">
        <v>8930510.0500000007</v>
      </c>
      <c r="AH621" s="1">
        <v>199.4</v>
      </c>
      <c r="AI621" s="1">
        <v>10.67</v>
      </c>
      <c r="AJ621" s="1">
        <v>0.6</v>
      </c>
      <c r="AK621" s="1">
        <v>2.97</v>
      </c>
      <c r="AL621" s="1">
        <v>2.58</v>
      </c>
      <c r="AM621" s="1">
        <v>0</v>
      </c>
      <c r="AN621" s="1">
        <v>0</v>
      </c>
      <c r="AO621" s="1">
        <v>279.95422539999998</v>
      </c>
      <c r="AP621" s="1">
        <v>3.47</v>
      </c>
      <c r="AQ621" s="1">
        <v>0.68</v>
      </c>
      <c r="AR621" s="1">
        <v>0.1</v>
      </c>
      <c r="AS621" s="1">
        <v>0.08</v>
      </c>
      <c r="AT621" s="1">
        <v>19.75</v>
      </c>
      <c r="AU621" s="1">
        <v>5.42</v>
      </c>
      <c r="AV621" s="1">
        <v>0.4</v>
      </c>
      <c r="AW621" s="1">
        <v>1.69</v>
      </c>
      <c r="AX621" s="1">
        <v>7.63</v>
      </c>
      <c r="AY621" s="1">
        <v>0</v>
      </c>
      <c r="AZ621" s="1">
        <v>104.395</v>
      </c>
      <c r="BA621" s="1">
        <v>0</v>
      </c>
      <c r="BB621" s="1">
        <v>0</v>
      </c>
      <c r="BC621" s="1">
        <v>0</v>
      </c>
      <c r="BD621" s="1">
        <v>0</v>
      </c>
    </row>
    <row r="622" spans="1:56">
      <c r="A622" s="18">
        <v>46192</v>
      </c>
      <c r="B622" s="1">
        <v>621</v>
      </c>
      <c r="C622" s="1" t="s">
        <v>89</v>
      </c>
      <c r="D622" s="1" t="s">
        <v>90</v>
      </c>
      <c r="E622" s="1">
        <v>2</v>
      </c>
      <c r="F622" s="1">
        <v>200</v>
      </c>
      <c r="G622" s="1">
        <v>1</v>
      </c>
      <c r="H622" s="1" t="s">
        <v>91</v>
      </c>
      <c r="I622" s="1" t="s">
        <v>79</v>
      </c>
      <c r="J622" s="1" t="s">
        <v>81</v>
      </c>
      <c r="K622" s="1" t="s">
        <v>74</v>
      </c>
      <c r="L622" s="1" t="s">
        <v>72</v>
      </c>
      <c r="M622" s="1" t="s">
        <v>75</v>
      </c>
      <c r="N622" s="1" t="s">
        <v>82</v>
      </c>
      <c r="O622" s="1" t="s">
        <v>77</v>
      </c>
      <c r="P622" s="1" t="s">
        <v>27</v>
      </c>
      <c r="Q622" s="1" t="s">
        <v>86</v>
      </c>
      <c r="R622" s="1" t="s">
        <v>94</v>
      </c>
      <c r="S622" s="1" t="s">
        <v>87</v>
      </c>
      <c r="T622" s="1" t="s">
        <v>88</v>
      </c>
      <c r="X622" s="1" t="s">
        <v>73</v>
      </c>
      <c r="Z622" s="1" t="s">
        <v>70</v>
      </c>
      <c r="AA622" s="1" t="s">
        <v>95</v>
      </c>
      <c r="AB622" s="1">
        <v>5</v>
      </c>
      <c r="AC622" s="1">
        <v>748808.44</v>
      </c>
      <c r="AD622" s="1">
        <v>8930512.5500000007</v>
      </c>
      <c r="AE622" s="1">
        <v>209.98</v>
      </c>
      <c r="AF622" s="1">
        <v>748808.44</v>
      </c>
      <c r="AG622" s="1">
        <v>8930512.5500000007</v>
      </c>
      <c r="AH622" s="1">
        <v>199.4</v>
      </c>
      <c r="AI622" s="1">
        <v>10.58</v>
      </c>
      <c r="AJ622" s="1">
        <v>0.6</v>
      </c>
      <c r="AK622" s="1">
        <v>2.97</v>
      </c>
      <c r="AL622" s="1">
        <v>2.58</v>
      </c>
      <c r="AM622" s="1">
        <v>0</v>
      </c>
      <c r="AN622" s="1">
        <v>0</v>
      </c>
      <c r="AO622" s="1">
        <v>279.95422539999998</v>
      </c>
      <c r="AP622" s="1">
        <v>3.54</v>
      </c>
      <c r="AQ622" s="1">
        <v>0.73</v>
      </c>
      <c r="AR622" s="1">
        <v>0.08</v>
      </c>
      <c r="AS622" s="1">
        <v>0.1</v>
      </c>
      <c r="AT622" s="1">
        <v>21.1</v>
      </c>
      <c r="AU622" s="1">
        <v>6.17</v>
      </c>
      <c r="AV622" s="1">
        <v>0.43</v>
      </c>
      <c r="AW622" s="1">
        <v>1.69</v>
      </c>
      <c r="AX622" s="1">
        <v>6.71</v>
      </c>
      <c r="AY622" s="1">
        <v>0</v>
      </c>
      <c r="AZ622" s="1">
        <v>103.08499999999999</v>
      </c>
      <c r="BA622" s="1">
        <v>0</v>
      </c>
      <c r="BB622" s="1">
        <v>0</v>
      </c>
      <c r="BC622" s="1">
        <v>0</v>
      </c>
      <c r="BD622" s="1">
        <v>0</v>
      </c>
    </row>
    <row r="623" spans="1:56">
      <c r="A623" s="18">
        <v>46192</v>
      </c>
      <c r="B623" s="1">
        <v>622</v>
      </c>
      <c r="C623" s="1" t="s">
        <v>89</v>
      </c>
      <c r="D623" s="1" t="s">
        <v>90</v>
      </c>
      <c r="E623" s="1">
        <v>2</v>
      </c>
      <c r="F623" s="1">
        <v>200</v>
      </c>
      <c r="G623" s="1">
        <v>1</v>
      </c>
      <c r="H623" s="1" t="s">
        <v>91</v>
      </c>
      <c r="I623" s="1" t="s">
        <v>79</v>
      </c>
      <c r="J623" s="1" t="s">
        <v>81</v>
      </c>
      <c r="K623" s="1" t="s">
        <v>74</v>
      </c>
      <c r="L623" s="1" t="s">
        <v>72</v>
      </c>
      <c r="M623" s="1" t="s">
        <v>75</v>
      </c>
      <c r="N623" s="1" t="s">
        <v>82</v>
      </c>
      <c r="O623" s="1" t="s">
        <v>77</v>
      </c>
      <c r="P623" s="1" t="s">
        <v>27</v>
      </c>
      <c r="Q623" s="1" t="s">
        <v>86</v>
      </c>
      <c r="R623" s="1" t="s">
        <v>94</v>
      </c>
      <c r="S623" s="1" t="s">
        <v>87</v>
      </c>
      <c r="T623" s="1" t="s">
        <v>88</v>
      </c>
      <c r="X623" s="1" t="s">
        <v>73</v>
      </c>
      <c r="Z623" s="1" t="s">
        <v>70</v>
      </c>
      <c r="AA623" s="1" t="s">
        <v>95</v>
      </c>
      <c r="AB623" s="1">
        <v>5</v>
      </c>
      <c r="AC623" s="1">
        <v>748806.84</v>
      </c>
      <c r="AD623" s="1">
        <v>8930515.0500000007</v>
      </c>
      <c r="AE623" s="1">
        <v>209.86</v>
      </c>
      <c r="AF623" s="1">
        <v>748806.84</v>
      </c>
      <c r="AG623" s="1">
        <v>8930515.0500000007</v>
      </c>
      <c r="AH623" s="1">
        <v>199.4</v>
      </c>
      <c r="AI623" s="1">
        <v>10.46</v>
      </c>
      <c r="AJ623" s="1">
        <v>0.6</v>
      </c>
      <c r="AK623" s="1">
        <v>2.97</v>
      </c>
      <c r="AL623" s="1">
        <v>2.58</v>
      </c>
      <c r="AM623" s="1">
        <v>0</v>
      </c>
      <c r="AN623" s="1">
        <v>0</v>
      </c>
      <c r="AO623" s="1">
        <v>279.95422539999998</v>
      </c>
      <c r="AP623" s="1">
        <v>3.53</v>
      </c>
      <c r="AQ623" s="1">
        <v>0.74</v>
      </c>
      <c r="AR623" s="1">
        <v>0.08</v>
      </c>
      <c r="AS623" s="1">
        <v>0.1</v>
      </c>
      <c r="AT623" s="1">
        <v>21.38</v>
      </c>
      <c r="AU623" s="1">
        <v>6.28</v>
      </c>
      <c r="AV623" s="1">
        <v>0.44</v>
      </c>
      <c r="AW623" s="1">
        <v>1.69</v>
      </c>
      <c r="AX623" s="1">
        <v>6.57</v>
      </c>
      <c r="AY623" s="1">
        <v>0</v>
      </c>
      <c r="AZ623" s="1">
        <v>101.33799999999999</v>
      </c>
      <c r="BA623" s="1">
        <v>0</v>
      </c>
      <c r="BB623" s="1">
        <v>0</v>
      </c>
      <c r="BC623" s="1">
        <v>0</v>
      </c>
      <c r="BD623" s="1">
        <v>0</v>
      </c>
    </row>
    <row r="624" spans="1:56">
      <c r="A624" s="18">
        <v>46192</v>
      </c>
      <c r="B624" s="1">
        <v>623</v>
      </c>
      <c r="C624" s="1" t="s">
        <v>89</v>
      </c>
      <c r="D624" s="1" t="s">
        <v>90</v>
      </c>
      <c r="E624" s="1">
        <v>2</v>
      </c>
      <c r="F624" s="1">
        <v>200</v>
      </c>
      <c r="G624" s="1">
        <v>1</v>
      </c>
      <c r="H624" s="1" t="s">
        <v>91</v>
      </c>
      <c r="I624" s="1" t="s">
        <v>79</v>
      </c>
      <c r="J624" s="1" t="s">
        <v>81</v>
      </c>
      <c r="K624" s="1" t="s">
        <v>74</v>
      </c>
      <c r="L624" s="1" t="s">
        <v>72</v>
      </c>
      <c r="M624" s="1" t="s">
        <v>75</v>
      </c>
      <c r="N624" s="1" t="s">
        <v>82</v>
      </c>
      <c r="O624" s="1" t="s">
        <v>77</v>
      </c>
      <c r="P624" s="1" t="s">
        <v>27</v>
      </c>
      <c r="Q624" s="1" t="s">
        <v>86</v>
      </c>
      <c r="R624" s="1" t="s">
        <v>94</v>
      </c>
      <c r="S624" s="1" t="s">
        <v>87</v>
      </c>
      <c r="T624" s="1" t="s">
        <v>88</v>
      </c>
      <c r="X624" s="1" t="s">
        <v>73</v>
      </c>
      <c r="Z624" s="1" t="s">
        <v>70</v>
      </c>
      <c r="AA624" s="1" t="s">
        <v>95</v>
      </c>
      <c r="AB624" s="1">
        <v>5</v>
      </c>
      <c r="AC624" s="1">
        <v>748805.24</v>
      </c>
      <c r="AD624" s="1">
        <v>8930517.5500000007</v>
      </c>
      <c r="AE624" s="1">
        <v>209.84</v>
      </c>
      <c r="AF624" s="1">
        <v>748805.24</v>
      </c>
      <c r="AG624" s="1">
        <v>8930517.5500000007</v>
      </c>
      <c r="AH624" s="1">
        <v>199.4</v>
      </c>
      <c r="AI624" s="1">
        <v>10.44</v>
      </c>
      <c r="AJ624" s="1">
        <v>0.6</v>
      </c>
      <c r="AK624" s="1">
        <v>2.97</v>
      </c>
      <c r="AL624" s="1">
        <v>2.58</v>
      </c>
      <c r="AM624" s="1">
        <v>0</v>
      </c>
      <c r="AN624" s="1">
        <v>0</v>
      </c>
      <c r="AO624" s="1">
        <v>279.95422539999998</v>
      </c>
      <c r="AP624" s="1">
        <v>3.53</v>
      </c>
      <c r="AQ624" s="1">
        <v>0.74</v>
      </c>
      <c r="AR624" s="1">
        <v>0.08</v>
      </c>
      <c r="AS624" s="1">
        <v>0.1</v>
      </c>
      <c r="AT624" s="1">
        <v>21.38</v>
      </c>
      <c r="AU624" s="1">
        <v>6.28</v>
      </c>
      <c r="AV624" s="1">
        <v>0.44</v>
      </c>
      <c r="AW624" s="1">
        <v>1.69</v>
      </c>
      <c r="AX624" s="1">
        <v>6.57</v>
      </c>
      <c r="AY624" s="1">
        <v>0</v>
      </c>
      <c r="AZ624" s="1">
        <v>101.04600000000001</v>
      </c>
      <c r="BA624" s="1">
        <v>0</v>
      </c>
      <c r="BB624" s="1">
        <v>0</v>
      </c>
      <c r="BC624" s="1">
        <v>0</v>
      </c>
      <c r="BD624" s="1">
        <v>0</v>
      </c>
    </row>
    <row r="625" spans="1:56">
      <c r="A625" s="18">
        <v>46192</v>
      </c>
      <c r="B625" s="1">
        <v>624</v>
      </c>
      <c r="C625" s="1" t="s">
        <v>89</v>
      </c>
      <c r="D625" s="1" t="s">
        <v>90</v>
      </c>
      <c r="E625" s="1">
        <v>2</v>
      </c>
      <c r="F625" s="1">
        <v>200</v>
      </c>
      <c r="G625" s="1">
        <v>1</v>
      </c>
      <c r="H625" s="1" t="s">
        <v>91</v>
      </c>
      <c r="I625" s="1" t="s">
        <v>79</v>
      </c>
      <c r="J625" s="1" t="s">
        <v>81</v>
      </c>
      <c r="K625" s="1" t="s">
        <v>74</v>
      </c>
      <c r="L625" s="1" t="s">
        <v>72</v>
      </c>
      <c r="M625" s="1" t="s">
        <v>75</v>
      </c>
      <c r="N625" s="1" t="s">
        <v>82</v>
      </c>
      <c r="O625" s="1" t="s">
        <v>77</v>
      </c>
      <c r="P625" s="1" t="s">
        <v>27</v>
      </c>
      <c r="Q625" s="1" t="s">
        <v>86</v>
      </c>
      <c r="R625" s="1" t="s">
        <v>94</v>
      </c>
      <c r="S625" s="1" t="s">
        <v>87</v>
      </c>
      <c r="T625" s="1" t="s">
        <v>88</v>
      </c>
      <c r="X625" s="1" t="s">
        <v>73</v>
      </c>
      <c r="Z625" s="1" t="s">
        <v>70</v>
      </c>
      <c r="AA625" s="1" t="s">
        <v>95</v>
      </c>
      <c r="AB625" s="1">
        <v>5</v>
      </c>
      <c r="AC625" s="1">
        <v>748803.63</v>
      </c>
      <c r="AD625" s="1">
        <v>8930520.0500000007</v>
      </c>
      <c r="AE625" s="1">
        <v>209.91</v>
      </c>
      <c r="AF625" s="1">
        <v>748803.63</v>
      </c>
      <c r="AG625" s="1">
        <v>8930520.0500000007</v>
      </c>
      <c r="AH625" s="1">
        <v>199.4</v>
      </c>
      <c r="AI625" s="1">
        <v>10.51</v>
      </c>
      <c r="AJ625" s="1">
        <v>0.6</v>
      </c>
      <c r="AK625" s="1">
        <v>2.97</v>
      </c>
      <c r="AL625" s="1">
        <v>2.58</v>
      </c>
      <c r="AM625" s="1">
        <v>0</v>
      </c>
      <c r="AN625" s="1">
        <v>0</v>
      </c>
      <c r="AO625" s="1">
        <v>279.95422539999998</v>
      </c>
      <c r="AP625" s="1">
        <v>3.34</v>
      </c>
      <c r="AQ625" s="1">
        <v>0.73</v>
      </c>
      <c r="AR625" s="1">
        <v>0.08</v>
      </c>
      <c r="AS625" s="1">
        <v>0.09</v>
      </c>
      <c r="AT625" s="1">
        <v>19.45</v>
      </c>
      <c r="AU625" s="1">
        <v>6.03</v>
      </c>
      <c r="AV625" s="1">
        <v>0.45</v>
      </c>
      <c r="AW625" s="1">
        <v>1.63</v>
      </c>
      <c r="AX625" s="1">
        <v>7.28</v>
      </c>
      <c r="AY625" s="1">
        <v>0</v>
      </c>
      <c r="AZ625" s="1">
        <v>102.066</v>
      </c>
      <c r="BA625" s="1">
        <v>0</v>
      </c>
      <c r="BB625" s="1">
        <v>0</v>
      </c>
      <c r="BC625" s="1">
        <v>0</v>
      </c>
      <c r="BD625" s="1">
        <v>0</v>
      </c>
    </row>
    <row r="626" spans="1:56">
      <c r="A626" s="18">
        <v>46192</v>
      </c>
      <c r="B626" s="1">
        <v>625</v>
      </c>
      <c r="C626" s="1" t="s">
        <v>89</v>
      </c>
      <c r="D626" s="1" t="s">
        <v>90</v>
      </c>
      <c r="E626" s="1">
        <v>2</v>
      </c>
      <c r="F626" s="1">
        <v>200</v>
      </c>
      <c r="G626" s="1">
        <v>1</v>
      </c>
      <c r="H626" s="1" t="s">
        <v>91</v>
      </c>
      <c r="I626" s="1" t="s">
        <v>79</v>
      </c>
      <c r="J626" s="1" t="s">
        <v>81</v>
      </c>
      <c r="K626" s="1" t="s">
        <v>74</v>
      </c>
      <c r="L626" s="1" t="s">
        <v>72</v>
      </c>
      <c r="M626" s="1" t="s">
        <v>75</v>
      </c>
      <c r="N626" s="1" t="s">
        <v>82</v>
      </c>
      <c r="O626" s="1" t="s">
        <v>77</v>
      </c>
      <c r="P626" s="1" t="s">
        <v>27</v>
      </c>
      <c r="Q626" s="1" t="s">
        <v>86</v>
      </c>
      <c r="R626" s="1" t="s">
        <v>94</v>
      </c>
      <c r="S626" s="1" t="s">
        <v>87</v>
      </c>
      <c r="T626" s="1" t="s">
        <v>88</v>
      </c>
      <c r="X626" s="1" t="s">
        <v>73</v>
      </c>
      <c r="Z626" s="1" t="s">
        <v>70</v>
      </c>
      <c r="AA626" s="1" t="s">
        <v>95</v>
      </c>
      <c r="AB626" s="1">
        <v>5</v>
      </c>
      <c r="AC626" s="1">
        <v>748802.03</v>
      </c>
      <c r="AD626" s="1">
        <v>8930522.5500000007</v>
      </c>
      <c r="AE626" s="1">
        <v>209.87</v>
      </c>
      <c r="AF626" s="1">
        <v>748802.03</v>
      </c>
      <c r="AG626" s="1">
        <v>8930522.5500000007</v>
      </c>
      <c r="AH626" s="1">
        <v>199.4</v>
      </c>
      <c r="AI626" s="1">
        <v>10.47</v>
      </c>
      <c r="AJ626" s="1">
        <v>0.6</v>
      </c>
      <c r="AK626" s="1">
        <v>2.97</v>
      </c>
      <c r="AL626" s="1">
        <v>2.58</v>
      </c>
      <c r="AM626" s="1">
        <v>0</v>
      </c>
      <c r="AN626" s="1">
        <v>0</v>
      </c>
      <c r="AO626" s="1">
        <v>279.95422539999998</v>
      </c>
      <c r="AP626" s="1">
        <v>3.16</v>
      </c>
      <c r="AQ626" s="1">
        <v>0.73</v>
      </c>
      <c r="AR626" s="1">
        <v>7.0000000000000007E-2</v>
      </c>
      <c r="AS626" s="1">
        <v>0.09</v>
      </c>
      <c r="AT626" s="1">
        <v>17.420000000000002</v>
      </c>
      <c r="AU626" s="1">
        <v>5.77</v>
      </c>
      <c r="AV626" s="1">
        <v>0.47</v>
      </c>
      <c r="AW626" s="1">
        <v>1.55</v>
      </c>
      <c r="AX626" s="1">
        <v>8.0299999999999994</v>
      </c>
      <c r="AY626" s="1">
        <v>0</v>
      </c>
      <c r="AZ626" s="1">
        <v>101.483</v>
      </c>
      <c r="BA626" s="1">
        <v>0</v>
      </c>
      <c r="BB626" s="1">
        <v>0</v>
      </c>
      <c r="BC626" s="1">
        <v>0</v>
      </c>
      <c r="BD626" s="1">
        <v>0</v>
      </c>
    </row>
    <row r="627" spans="1:56">
      <c r="A627" s="18">
        <v>46192</v>
      </c>
      <c r="B627" s="1">
        <v>626</v>
      </c>
      <c r="C627" s="1" t="s">
        <v>89</v>
      </c>
      <c r="D627" s="1" t="s">
        <v>90</v>
      </c>
      <c r="E627" s="1">
        <v>2</v>
      </c>
      <c r="F627" s="1">
        <v>200</v>
      </c>
      <c r="G627" s="1">
        <v>1</v>
      </c>
      <c r="H627" s="1" t="s">
        <v>91</v>
      </c>
      <c r="I627" s="1" t="s">
        <v>79</v>
      </c>
      <c r="J627" s="1" t="s">
        <v>81</v>
      </c>
      <c r="K627" s="1" t="s">
        <v>74</v>
      </c>
      <c r="L627" s="1" t="s">
        <v>72</v>
      </c>
      <c r="M627" s="1" t="s">
        <v>75</v>
      </c>
      <c r="N627" s="1" t="s">
        <v>82</v>
      </c>
      <c r="O627" s="1" t="s">
        <v>77</v>
      </c>
      <c r="P627" s="1" t="s">
        <v>27</v>
      </c>
      <c r="Q627" s="1" t="s">
        <v>86</v>
      </c>
      <c r="R627" s="1" t="s">
        <v>94</v>
      </c>
      <c r="S627" s="1" t="s">
        <v>87</v>
      </c>
      <c r="T627" s="1" t="s">
        <v>88</v>
      </c>
      <c r="X627" s="1" t="s">
        <v>73</v>
      </c>
      <c r="Z627" s="1" t="s">
        <v>70</v>
      </c>
      <c r="AA627" s="1" t="s">
        <v>95</v>
      </c>
      <c r="AB627" s="1">
        <v>5</v>
      </c>
      <c r="AC627" s="1">
        <v>748800.43</v>
      </c>
      <c r="AD627" s="1">
        <v>8930525.0500000007</v>
      </c>
      <c r="AE627" s="1">
        <v>209.79</v>
      </c>
      <c r="AF627" s="1">
        <v>748800.43</v>
      </c>
      <c r="AG627" s="1">
        <v>8930525.0500000007</v>
      </c>
      <c r="AH627" s="1">
        <v>199.4</v>
      </c>
      <c r="AI627" s="1">
        <v>10.39</v>
      </c>
      <c r="AJ627" s="1">
        <v>0.6</v>
      </c>
      <c r="AK627" s="1">
        <v>2.97</v>
      </c>
      <c r="AL627" s="1">
        <v>2.58</v>
      </c>
      <c r="AM627" s="1">
        <v>0</v>
      </c>
      <c r="AN627" s="1">
        <v>0</v>
      </c>
      <c r="AO627" s="1">
        <v>279.95422539999998</v>
      </c>
      <c r="AP627" s="1">
        <v>3.16</v>
      </c>
      <c r="AQ627" s="1">
        <v>0.72</v>
      </c>
      <c r="AR627" s="1">
        <v>7.0000000000000007E-2</v>
      </c>
      <c r="AS627" s="1">
        <v>0.09</v>
      </c>
      <c r="AT627" s="1">
        <v>17.989999999999998</v>
      </c>
      <c r="AU627" s="1">
        <v>6.29</v>
      </c>
      <c r="AV627" s="1">
        <v>0.45</v>
      </c>
      <c r="AW627" s="1">
        <v>1.59</v>
      </c>
      <c r="AX627" s="1">
        <v>8.07</v>
      </c>
      <c r="AY627" s="1">
        <v>0</v>
      </c>
      <c r="AZ627" s="1">
        <v>100.318</v>
      </c>
      <c r="BA627" s="1">
        <v>0</v>
      </c>
      <c r="BB627" s="1">
        <v>0</v>
      </c>
      <c r="BC627" s="1">
        <v>0</v>
      </c>
      <c r="BD627" s="1">
        <v>0</v>
      </c>
    </row>
    <row r="628" spans="1:56">
      <c r="A628" s="18">
        <v>46192</v>
      </c>
      <c r="B628" s="1">
        <v>627</v>
      </c>
      <c r="C628" s="1" t="s">
        <v>89</v>
      </c>
      <c r="D628" s="1" t="s">
        <v>90</v>
      </c>
      <c r="E628" s="1">
        <v>2</v>
      </c>
      <c r="F628" s="1">
        <v>200</v>
      </c>
      <c r="G628" s="1">
        <v>1</v>
      </c>
      <c r="H628" s="1" t="s">
        <v>91</v>
      </c>
      <c r="I628" s="1" t="s">
        <v>79</v>
      </c>
      <c r="J628" s="1" t="s">
        <v>81</v>
      </c>
      <c r="K628" s="1" t="s">
        <v>74</v>
      </c>
      <c r="L628" s="1" t="s">
        <v>72</v>
      </c>
      <c r="M628" s="1" t="s">
        <v>75</v>
      </c>
      <c r="N628" s="1" t="s">
        <v>82</v>
      </c>
      <c r="O628" s="1" t="s">
        <v>77</v>
      </c>
      <c r="P628" s="1" t="s">
        <v>27</v>
      </c>
      <c r="Q628" s="1" t="s">
        <v>86</v>
      </c>
      <c r="R628" s="1" t="s">
        <v>94</v>
      </c>
      <c r="S628" s="1" t="s">
        <v>87</v>
      </c>
      <c r="T628" s="1" t="s">
        <v>88</v>
      </c>
      <c r="X628" s="1" t="s">
        <v>73</v>
      </c>
      <c r="Z628" s="1" t="s">
        <v>70</v>
      </c>
      <c r="AA628" s="1" t="s">
        <v>95</v>
      </c>
      <c r="AB628" s="1">
        <v>5</v>
      </c>
      <c r="AC628" s="1">
        <v>748798.82</v>
      </c>
      <c r="AD628" s="1">
        <v>8930527.5500000007</v>
      </c>
      <c r="AE628" s="1">
        <v>209.76</v>
      </c>
      <c r="AF628" s="1">
        <v>748798.82</v>
      </c>
      <c r="AG628" s="1">
        <v>8930527.5500000007</v>
      </c>
      <c r="AH628" s="1">
        <v>199.4</v>
      </c>
      <c r="AI628" s="1">
        <v>10.36</v>
      </c>
      <c r="AJ628" s="1">
        <v>0.6</v>
      </c>
      <c r="AK628" s="1">
        <v>2.97</v>
      </c>
      <c r="AL628" s="1">
        <v>2.58</v>
      </c>
      <c r="AM628" s="1">
        <v>0</v>
      </c>
      <c r="AN628" s="1">
        <v>0</v>
      </c>
      <c r="AO628" s="1">
        <v>279.95422539999998</v>
      </c>
      <c r="AP628" s="1">
        <v>3.16</v>
      </c>
      <c r="AQ628" s="1">
        <v>0.7</v>
      </c>
      <c r="AR628" s="1">
        <v>0.08</v>
      </c>
      <c r="AS628" s="1">
        <v>0.09</v>
      </c>
      <c r="AT628" s="1">
        <v>18.71</v>
      </c>
      <c r="AU628" s="1">
        <v>6.95</v>
      </c>
      <c r="AV628" s="1">
        <v>0.43</v>
      </c>
      <c r="AW628" s="1">
        <v>1.63</v>
      </c>
      <c r="AX628" s="1">
        <v>8.1199999999999992</v>
      </c>
      <c r="AY628" s="1">
        <v>0</v>
      </c>
      <c r="AZ628" s="1">
        <v>99.882000000000005</v>
      </c>
      <c r="BA628" s="1">
        <v>0</v>
      </c>
      <c r="BB628" s="1">
        <v>0</v>
      </c>
      <c r="BC628" s="1">
        <v>0</v>
      </c>
      <c r="BD628" s="1">
        <v>0</v>
      </c>
    </row>
    <row r="629" spans="1:56">
      <c r="A629" s="18">
        <v>46192</v>
      </c>
      <c r="B629" s="1">
        <v>628</v>
      </c>
      <c r="C629" s="1" t="s">
        <v>89</v>
      </c>
      <c r="D629" s="1" t="s">
        <v>90</v>
      </c>
      <c r="E629" s="1">
        <v>2</v>
      </c>
      <c r="F629" s="1">
        <v>200</v>
      </c>
      <c r="G629" s="1">
        <v>1</v>
      </c>
      <c r="H629" s="1" t="s">
        <v>91</v>
      </c>
      <c r="I629" s="1" t="s">
        <v>79</v>
      </c>
      <c r="J629" s="1" t="s">
        <v>80</v>
      </c>
      <c r="K629" s="1" t="s">
        <v>74</v>
      </c>
      <c r="L629" s="1" t="s">
        <v>72</v>
      </c>
      <c r="M629" s="1" t="s">
        <v>75</v>
      </c>
      <c r="N629" s="1" t="s">
        <v>82</v>
      </c>
      <c r="O629" s="1" t="s">
        <v>77</v>
      </c>
      <c r="P629" s="1" t="s">
        <v>27</v>
      </c>
      <c r="Q629" s="1" t="s">
        <v>86</v>
      </c>
      <c r="R629" s="1" t="s">
        <v>94</v>
      </c>
      <c r="S629" s="1" t="s">
        <v>87</v>
      </c>
      <c r="T629" s="1" t="s">
        <v>88</v>
      </c>
      <c r="X629" s="1" t="s">
        <v>73</v>
      </c>
      <c r="Z629" s="1" t="s">
        <v>70</v>
      </c>
      <c r="AA629" s="1" t="s">
        <v>95</v>
      </c>
      <c r="AB629" s="1">
        <v>5</v>
      </c>
      <c r="AC629" s="1">
        <v>748797.22</v>
      </c>
      <c r="AD629" s="1">
        <v>8930530.0500000007</v>
      </c>
      <c r="AE629" s="1">
        <v>209.73</v>
      </c>
      <c r="AF629" s="1">
        <v>748797.22</v>
      </c>
      <c r="AG629" s="1">
        <v>8930530.0500000007</v>
      </c>
      <c r="AH629" s="1">
        <v>199.4</v>
      </c>
      <c r="AI629" s="1">
        <v>10.33</v>
      </c>
      <c r="AJ629" s="1">
        <v>0.6</v>
      </c>
      <c r="AK629" s="1">
        <v>2.97</v>
      </c>
      <c r="AL629" s="1">
        <v>2.58</v>
      </c>
      <c r="AM629" s="1">
        <v>0</v>
      </c>
      <c r="AN629" s="1">
        <v>0</v>
      </c>
      <c r="AO629" s="1">
        <v>279.95422539999998</v>
      </c>
      <c r="AP629" s="1">
        <v>3.18</v>
      </c>
      <c r="AQ629" s="1">
        <v>0.57999999999999996</v>
      </c>
      <c r="AR629" s="1">
        <v>0.08</v>
      </c>
      <c r="AS629" s="1">
        <v>0.08</v>
      </c>
      <c r="AT629" s="1">
        <v>17.46</v>
      </c>
      <c r="AU629" s="1">
        <v>6.68</v>
      </c>
      <c r="AV629" s="1">
        <v>0.39</v>
      </c>
      <c r="AW629" s="1">
        <v>1.49</v>
      </c>
      <c r="AX629" s="1">
        <v>8.32</v>
      </c>
      <c r="AY629" s="1">
        <v>0</v>
      </c>
      <c r="AZ629" s="1">
        <v>99.444999999999993</v>
      </c>
      <c r="BA629" s="1">
        <v>0</v>
      </c>
      <c r="BB629" s="1">
        <v>0</v>
      </c>
      <c r="BC629" s="1">
        <v>0</v>
      </c>
      <c r="BD629" s="1">
        <v>0</v>
      </c>
    </row>
    <row r="630" spans="1:56">
      <c r="A630" s="18">
        <v>46192</v>
      </c>
      <c r="B630" s="1">
        <v>629</v>
      </c>
      <c r="C630" s="1" t="s">
        <v>89</v>
      </c>
      <c r="D630" s="1" t="s">
        <v>90</v>
      </c>
      <c r="E630" s="1">
        <v>2</v>
      </c>
      <c r="F630" s="1">
        <v>200</v>
      </c>
      <c r="G630" s="1">
        <v>1</v>
      </c>
      <c r="H630" s="1" t="s">
        <v>91</v>
      </c>
      <c r="I630" s="1" t="s">
        <v>79</v>
      </c>
      <c r="J630" s="1" t="s">
        <v>80</v>
      </c>
      <c r="K630" s="1" t="s">
        <v>74</v>
      </c>
      <c r="L630" s="1" t="s">
        <v>72</v>
      </c>
      <c r="M630" s="1" t="s">
        <v>75</v>
      </c>
      <c r="N630" s="1" t="s">
        <v>82</v>
      </c>
      <c r="O630" s="1" t="s">
        <v>77</v>
      </c>
      <c r="P630" s="1" t="s">
        <v>27</v>
      </c>
      <c r="Q630" s="1" t="s">
        <v>86</v>
      </c>
      <c r="R630" s="1" t="s">
        <v>94</v>
      </c>
      <c r="S630" s="1" t="s">
        <v>87</v>
      </c>
      <c r="T630" s="1" t="s">
        <v>88</v>
      </c>
      <c r="X630" s="1" t="s">
        <v>73</v>
      </c>
      <c r="Z630" s="1" t="s">
        <v>70</v>
      </c>
      <c r="AA630" s="1" t="s">
        <v>95</v>
      </c>
      <c r="AB630" s="1">
        <v>5</v>
      </c>
      <c r="AC630" s="1">
        <v>748795.62</v>
      </c>
      <c r="AD630" s="1">
        <v>8930532.5500000007</v>
      </c>
      <c r="AE630" s="1">
        <v>209.73</v>
      </c>
      <c r="AF630" s="1">
        <v>748795.62</v>
      </c>
      <c r="AG630" s="1">
        <v>8930532.5500000007</v>
      </c>
      <c r="AH630" s="1">
        <v>199.4</v>
      </c>
      <c r="AI630" s="1">
        <v>10.33</v>
      </c>
      <c r="AJ630" s="1">
        <v>0.6</v>
      </c>
      <c r="AK630" s="1">
        <v>2.97</v>
      </c>
      <c r="AL630" s="1">
        <v>2.58</v>
      </c>
      <c r="AM630" s="1">
        <v>0</v>
      </c>
      <c r="AN630" s="1">
        <v>0</v>
      </c>
      <c r="AO630" s="1">
        <v>279.95422539999998</v>
      </c>
      <c r="AP630" s="1">
        <v>3.2</v>
      </c>
      <c r="AQ630" s="1">
        <v>0.47</v>
      </c>
      <c r="AR630" s="1">
        <v>7.0000000000000007E-2</v>
      </c>
      <c r="AS630" s="1">
        <v>7.0000000000000007E-2</v>
      </c>
      <c r="AT630" s="1">
        <v>16.07</v>
      </c>
      <c r="AU630" s="1">
        <v>6.22</v>
      </c>
      <c r="AV630" s="1">
        <v>0.35</v>
      </c>
      <c r="AW630" s="1">
        <v>1.35</v>
      </c>
      <c r="AX630" s="1">
        <v>8.49</v>
      </c>
      <c r="AY630" s="1">
        <v>0</v>
      </c>
      <c r="AZ630" s="1">
        <v>99.444999999999993</v>
      </c>
      <c r="BA630" s="1">
        <v>0</v>
      </c>
      <c r="BB630" s="1">
        <v>0</v>
      </c>
      <c r="BC630" s="1">
        <v>0</v>
      </c>
      <c r="BD630" s="1">
        <v>0</v>
      </c>
    </row>
    <row r="631" spans="1:56">
      <c r="A631" s="18">
        <v>46192</v>
      </c>
      <c r="B631" s="1">
        <v>630</v>
      </c>
      <c r="C631" s="1" t="s">
        <v>89</v>
      </c>
      <c r="D631" s="1" t="s">
        <v>90</v>
      </c>
      <c r="E631" s="1">
        <v>2</v>
      </c>
      <c r="F631" s="1">
        <v>200</v>
      </c>
      <c r="G631" s="1">
        <v>1</v>
      </c>
      <c r="H631" s="1" t="s">
        <v>91</v>
      </c>
      <c r="I631" s="1" t="s">
        <v>79</v>
      </c>
      <c r="J631" s="1" t="s">
        <v>80</v>
      </c>
      <c r="K631" s="1" t="s">
        <v>74</v>
      </c>
      <c r="L631" s="1" t="s">
        <v>72</v>
      </c>
      <c r="M631" s="1" t="s">
        <v>75</v>
      </c>
      <c r="N631" s="1" t="s">
        <v>82</v>
      </c>
      <c r="O631" s="1" t="s">
        <v>77</v>
      </c>
      <c r="P631" s="1" t="s">
        <v>27</v>
      </c>
      <c r="Q631" s="1" t="s">
        <v>86</v>
      </c>
      <c r="R631" s="1" t="s">
        <v>94</v>
      </c>
      <c r="S631" s="1" t="s">
        <v>87</v>
      </c>
      <c r="T631" s="1" t="s">
        <v>88</v>
      </c>
      <c r="X631" s="1" t="s">
        <v>73</v>
      </c>
      <c r="Z631" s="1" t="s">
        <v>70</v>
      </c>
      <c r="AA631" s="1" t="s">
        <v>95</v>
      </c>
      <c r="AB631" s="1">
        <v>5</v>
      </c>
      <c r="AC631" s="1">
        <v>748794.01</v>
      </c>
      <c r="AD631" s="1">
        <v>8930535.0500000007</v>
      </c>
      <c r="AE631" s="1">
        <v>209.61</v>
      </c>
      <c r="AF631" s="1">
        <v>748794.01</v>
      </c>
      <c r="AG631" s="1">
        <v>8930535.0500000007</v>
      </c>
      <c r="AH631" s="1">
        <v>199.4</v>
      </c>
      <c r="AI631" s="1">
        <v>10.210000000000001</v>
      </c>
      <c r="AJ631" s="1">
        <v>0.6</v>
      </c>
      <c r="AK631" s="1">
        <v>2.97</v>
      </c>
      <c r="AL631" s="1">
        <v>2.58</v>
      </c>
      <c r="AM631" s="1">
        <v>0</v>
      </c>
      <c r="AN631" s="1">
        <v>0</v>
      </c>
      <c r="AO631" s="1">
        <v>279.95422539999998</v>
      </c>
      <c r="AP631" s="1">
        <v>3.2</v>
      </c>
      <c r="AQ631" s="1">
        <v>0.47</v>
      </c>
      <c r="AR631" s="1">
        <v>7.0000000000000007E-2</v>
      </c>
      <c r="AS631" s="1">
        <v>7.0000000000000007E-2</v>
      </c>
      <c r="AT631" s="1">
        <v>16.07</v>
      </c>
      <c r="AU631" s="1">
        <v>6.22</v>
      </c>
      <c r="AV631" s="1">
        <v>0.35</v>
      </c>
      <c r="AW631" s="1">
        <v>1.35</v>
      </c>
      <c r="AX631" s="1">
        <v>8.48</v>
      </c>
      <c r="AY631" s="1">
        <v>0</v>
      </c>
      <c r="AZ631" s="1">
        <v>97.697999999999993</v>
      </c>
      <c r="BA631" s="1">
        <v>0</v>
      </c>
      <c r="BB631" s="1">
        <v>0</v>
      </c>
      <c r="BC631" s="1">
        <v>0</v>
      </c>
      <c r="BD631" s="1">
        <v>0</v>
      </c>
    </row>
    <row r="632" spans="1:56">
      <c r="A632" s="18">
        <v>46192</v>
      </c>
      <c r="B632" s="1">
        <v>631</v>
      </c>
      <c r="C632" s="1" t="s">
        <v>89</v>
      </c>
      <c r="D632" s="1" t="s">
        <v>90</v>
      </c>
      <c r="E632" s="1">
        <v>2</v>
      </c>
      <c r="F632" s="1">
        <v>200</v>
      </c>
      <c r="G632" s="1">
        <v>1</v>
      </c>
      <c r="H632" s="1" t="s">
        <v>91</v>
      </c>
      <c r="I632" s="1" t="s">
        <v>79</v>
      </c>
      <c r="J632" s="1" t="s">
        <v>80</v>
      </c>
      <c r="K632" s="1" t="s">
        <v>74</v>
      </c>
      <c r="L632" s="1" t="s">
        <v>72</v>
      </c>
      <c r="M632" s="1" t="s">
        <v>75</v>
      </c>
      <c r="N632" s="1" t="s">
        <v>82</v>
      </c>
      <c r="O632" s="1" t="s">
        <v>77</v>
      </c>
      <c r="P632" s="1" t="s">
        <v>27</v>
      </c>
      <c r="Q632" s="1" t="s">
        <v>86</v>
      </c>
      <c r="R632" s="1" t="s">
        <v>94</v>
      </c>
      <c r="S632" s="1" t="s">
        <v>87</v>
      </c>
      <c r="T632" s="1" t="s">
        <v>88</v>
      </c>
      <c r="X632" s="1" t="s">
        <v>73</v>
      </c>
      <c r="Z632" s="1" t="s">
        <v>70</v>
      </c>
      <c r="AA632" s="1" t="s">
        <v>95</v>
      </c>
      <c r="AB632" s="1">
        <v>5</v>
      </c>
      <c r="AC632" s="1">
        <v>748792.41</v>
      </c>
      <c r="AD632" s="1">
        <v>8930537.5500000007</v>
      </c>
      <c r="AE632" s="1">
        <v>209.58</v>
      </c>
      <c r="AF632" s="1">
        <v>748792.41</v>
      </c>
      <c r="AG632" s="1">
        <v>8930537.5500000007</v>
      </c>
      <c r="AH632" s="1">
        <v>199.4</v>
      </c>
      <c r="AI632" s="1">
        <v>10.18</v>
      </c>
      <c r="AJ632" s="1">
        <v>0.6</v>
      </c>
      <c r="AK632" s="1">
        <v>2.97</v>
      </c>
      <c r="AL632" s="1">
        <v>2.58</v>
      </c>
      <c r="AM632" s="1">
        <v>0</v>
      </c>
      <c r="AN632" s="1">
        <v>0</v>
      </c>
      <c r="AO632" s="1">
        <v>279.95422539999998</v>
      </c>
      <c r="AP632" s="1">
        <v>3.2</v>
      </c>
      <c r="AQ632" s="1">
        <v>0.47</v>
      </c>
      <c r="AR632" s="1">
        <v>7.0000000000000007E-2</v>
      </c>
      <c r="AS632" s="1">
        <v>7.0000000000000007E-2</v>
      </c>
      <c r="AT632" s="1">
        <v>16.07</v>
      </c>
      <c r="AU632" s="1">
        <v>6.22</v>
      </c>
      <c r="AV632" s="1">
        <v>0.35</v>
      </c>
      <c r="AW632" s="1">
        <v>1.35</v>
      </c>
      <c r="AX632" s="1">
        <v>8.48</v>
      </c>
      <c r="AY632" s="1">
        <v>0</v>
      </c>
      <c r="AZ632" s="1">
        <v>97.260999999999996</v>
      </c>
      <c r="BA632" s="1">
        <v>0</v>
      </c>
      <c r="BB632" s="1">
        <v>0</v>
      </c>
      <c r="BC632" s="1">
        <v>0</v>
      </c>
      <c r="BD632" s="1">
        <v>0</v>
      </c>
    </row>
    <row r="633" spans="1:56">
      <c r="A633" s="18">
        <v>46192</v>
      </c>
      <c r="B633" s="1">
        <v>632</v>
      </c>
      <c r="C633" s="1" t="s">
        <v>89</v>
      </c>
      <c r="D633" s="1" t="s">
        <v>90</v>
      </c>
      <c r="E633" s="1">
        <v>2</v>
      </c>
      <c r="F633" s="1">
        <v>200</v>
      </c>
      <c r="G633" s="1">
        <v>1</v>
      </c>
      <c r="H633" s="1" t="s">
        <v>91</v>
      </c>
      <c r="I633" s="1" t="s">
        <v>79</v>
      </c>
      <c r="J633" s="1" t="s">
        <v>80</v>
      </c>
      <c r="K633" s="1" t="s">
        <v>74</v>
      </c>
      <c r="L633" s="1" t="s">
        <v>72</v>
      </c>
      <c r="M633" s="1" t="s">
        <v>75</v>
      </c>
      <c r="N633" s="1" t="s">
        <v>82</v>
      </c>
      <c r="O633" s="1" t="s">
        <v>77</v>
      </c>
      <c r="P633" s="1" t="s">
        <v>27</v>
      </c>
      <c r="Q633" s="1" t="s">
        <v>86</v>
      </c>
      <c r="R633" s="1" t="s">
        <v>94</v>
      </c>
      <c r="S633" s="1" t="s">
        <v>87</v>
      </c>
      <c r="T633" s="1" t="s">
        <v>88</v>
      </c>
      <c r="X633" s="1" t="s">
        <v>73</v>
      </c>
      <c r="Z633" s="1" t="s">
        <v>70</v>
      </c>
      <c r="AA633" s="1" t="s">
        <v>95</v>
      </c>
      <c r="AB633" s="1">
        <v>5</v>
      </c>
      <c r="AC633" s="1">
        <v>748790.81</v>
      </c>
      <c r="AD633" s="1">
        <v>8930540.0500000007</v>
      </c>
      <c r="AE633" s="1">
        <v>209.59</v>
      </c>
      <c r="AF633" s="1">
        <v>748790.81</v>
      </c>
      <c r="AG633" s="1">
        <v>8930540.0500000007</v>
      </c>
      <c r="AH633" s="1">
        <v>199.4</v>
      </c>
      <c r="AI633" s="1">
        <v>10.19</v>
      </c>
      <c r="AJ633" s="1">
        <v>0.6</v>
      </c>
      <c r="AK633" s="1">
        <v>2.97</v>
      </c>
      <c r="AL633" s="1">
        <v>2.58</v>
      </c>
      <c r="AM633" s="1">
        <v>0</v>
      </c>
      <c r="AN633" s="1">
        <v>0</v>
      </c>
      <c r="AO633" s="1">
        <v>279.95422539999998</v>
      </c>
      <c r="AP633" s="1">
        <v>3.19</v>
      </c>
      <c r="AQ633" s="1">
        <v>0.46</v>
      </c>
      <c r="AR633" s="1">
        <v>0.06</v>
      </c>
      <c r="AS633" s="1">
        <v>0.06</v>
      </c>
      <c r="AT633" s="1">
        <v>15.62</v>
      </c>
      <c r="AU633" s="1">
        <v>5.64</v>
      </c>
      <c r="AV633" s="1">
        <v>0.3</v>
      </c>
      <c r="AW633" s="1">
        <v>1.54</v>
      </c>
      <c r="AX633" s="1">
        <v>8.26</v>
      </c>
      <c r="AY633" s="1">
        <v>0</v>
      </c>
      <c r="AZ633" s="1">
        <v>97.406000000000006</v>
      </c>
      <c r="BA633" s="1">
        <v>0</v>
      </c>
      <c r="BB633" s="1">
        <v>0</v>
      </c>
      <c r="BC633" s="1">
        <v>0</v>
      </c>
      <c r="BD633" s="1">
        <v>0</v>
      </c>
    </row>
    <row r="634" spans="1:56">
      <c r="A634" s="18">
        <v>46192</v>
      </c>
      <c r="B634" s="1">
        <v>633</v>
      </c>
      <c r="C634" s="1" t="s">
        <v>89</v>
      </c>
      <c r="D634" s="1" t="s">
        <v>90</v>
      </c>
      <c r="E634" s="1">
        <v>2</v>
      </c>
      <c r="F634" s="1">
        <v>200</v>
      </c>
      <c r="G634" s="1">
        <v>1</v>
      </c>
      <c r="H634" s="1" t="s">
        <v>91</v>
      </c>
      <c r="I634" s="1" t="s">
        <v>79</v>
      </c>
      <c r="J634" s="1" t="s">
        <v>80</v>
      </c>
      <c r="K634" s="1" t="s">
        <v>74</v>
      </c>
      <c r="L634" s="1" t="s">
        <v>72</v>
      </c>
      <c r="M634" s="1" t="s">
        <v>75</v>
      </c>
      <c r="N634" s="1" t="s">
        <v>76</v>
      </c>
      <c r="O634" s="1" t="s">
        <v>77</v>
      </c>
      <c r="P634" s="1" t="s">
        <v>27</v>
      </c>
      <c r="Q634" s="1" t="s">
        <v>86</v>
      </c>
      <c r="R634" s="1" t="s">
        <v>94</v>
      </c>
      <c r="S634" s="1" t="s">
        <v>87</v>
      </c>
      <c r="T634" s="1" t="s">
        <v>88</v>
      </c>
      <c r="X634" s="1" t="s">
        <v>73</v>
      </c>
      <c r="Z634" s="1" t="s">
        <v>70</v>
      </c>
      <c r="AA634" s="1" t="s">
        <v>95</v>
      </c>
      <c r="AB634" s="1">
        <v>5</v>
      </c>
      <c r="AC634" s="1">
        <v>748789.14</v>
      </c>
      <c r="AD634" s="1">
        <v>8930542.5099999998</v>
      </c>
      <c r="AE634" s="1">
        <v>209.63</v>
      </c>
      <c r="AF634" s="1">
        <v>748789.14</v>
      </c>
      <c r="AG634" s="1">
        <v>8930542.5099999998</v>
      </c>
      <c r="AH634" s="1">
        <v>199.4</v>
      </c>
      <c r="AI634" s="1">
        <v>10.23</v>
      </c>
      <c r="AJ634" s="1">
        <v>0.6</v>
      </c>
      <c r="AK634" s="1">
        <v>2.97</v>
      </c>
      <c r="AL634" s="1">
        <v>2.58</v>
      </c>
      <c r="AM634" s="1">
        <v>0</v>
      </c>
      <c r="AN634" s="1">
        <v>0</v>
      </c>
      <c r="AO634" s="1">
        <v>279.95422539999998</v>
      </c>
      <c r="AP634" s="1">
        <v>3.22</v>
      </c>
      <c r="AQ634" s="1">
        <v>0.45</v>
      </c>
      <c r="AR634" s="1">
        <v>7.0000000000000007E-2</v>
      </c>
      <c r="AS634" s="1">
        <v>0.06</v>
      </c>
      <c r="AT634" s="1">
        <v>15.84</v>
      </c>
      <c r="AU634" s="1">
        <v>5.0999999999999996</v>
      </c>
      <c r="AV634" s="1">
        <v>0.26</v>
      </c>
      <c r="AW634" s="1">
        <v>1.69</v>
      </c>
      <c r="AX634" s="1">
        <v>8.7200000000000006</v>
      </c>
      <c r="AY634" s="1">
        <v>0</v>
      </c>
      <c r="AZ634" s="1">
        <v>97.989000000000004</v>
      </c>
      <c r="BA634" s="1">
        <v>0</v>
      </c>
      <c r="BB634" s="1">
        <v>0</v>
      </c>
      <c r="BC634" s="1">
        <v>0</v>
      </c>
      <c r="BD634" s="1">
        <v>0</v>
      </c>
    </row>
    <row r="635" spans="1:56">
      <c r="A635" s="18">
        <v>46192</v>
      </c>
      <c r="B635" s="1">
        <v>634</v>
      </c>
      <c r="C635" s="1" t="s">
        <v>89</v>
      </c>
      <c r="D635" s="1" t="s">
        <v>90</v>
      </c>
      <c r="E635" s="1">
        <v>2</v>
      </c>
      <c r="F635" s="1">
        <v>200</v>
      </c>
      <c r="G635" s="1">
        <v>1</v>
      </c>
      <c r="H635" s="1" t="s">
        <v>91</v>
      </c>
      <c r="I635" s="1" t="s">
        <v>79</v>
      </c>
      <c r="J635" s="1" t="s">
        <v>80</v>
      </c>
      <c r="K635" s="1" t="s">
        <v>74</v>
      </c>
      <c r="L635" s="1" t="s">
        <v>72</v>
      </c>
      <c r="M635" s="1" t="s">
        <v>75</v>
      </c>
      <c r="N635" s="1" t="s">
        <v>76</v>
      </c>
      <c r="O635" s="1" t="s">
        <v>77</v>
      </c>
      <c r="P635" s="1" t="s">
        <v>27</v>
      </c>
      <c r="Q635" s="1" t="s">
        <v>86</v>
      </c>
      <c r="R635" s="1" t="s">
        <v>94</v>
      </c>
      <c r="S635" s="1" t="s">
        <v>87</v>
      </c>
      <c r="T635" s="1" t="s">
        <v>88</v>
      </c>
      <c r="X635" s="1" t="s">
        <v>73</v>
      </c>
      <c r="Z635" s="1" t="s">
        <v>70</v>
      </c>
      <c r="AA635" s="1" t="s">
        <v>95</v>
      </c>
      <c r="AB635" s="1">
        <v>5</v>
      </c>
      <c r="AC635" s="1">
        <v>748787.25</v>
      </c>
      <c r="AD635" s="1">
        <v>8930544.7699999996</v>
      </c>
      <c r="AE635" s="1">
        <v>209.87</v>
      </c>
      <c r="AF635" s="1">
        <v>748787.25</v>
      </c>
      <c r="AG635" s="1">
        <v>8930544.7699999996</v>
      </c>
      <c r="AH635" s="1">
        <v>199.4</v>
      </c>
      <c r="AI635" s="1">
        <v>10.47</v>
      </c>
      <c r="AJ635" s="1">
        <v>0.6</v>
      </c>
      <c r="AK635" s="1">
        <v>2.97</v>
      </c>
      <c r="AL635" s="1">
        <v>2.58</v>
      </c>
      <c r="AM635" s="1">
        <v>0</v>
      </c>
      <c r="AN635" s="1">
        <v>0</v>
      </c>
      <c r="AO635" s="1">
        <v>279.95422539999998</v>
      </c>
      <c r="AP635" s="1">
        <v>3.24</v>
      </c>
      <c r="AQ635" s="1">
        <v>0.47</v>
      </c>
      <c r="AR635" s="1">
        <v>0.08</v>
      </c>
      <c r="AS635" s="1">
        <v>7.0000000000000007E-2</v>
      </c>
      <c r="AT635" s="1">
        <v>16.28</v>
      </c>
      <c r="AU635" s="1">
        <v>5.14</v>
      </c>
      <c r="AV635" s="1">
        <v>0.27</v>
      </c>
      <c r="AW635" s="1">
        <v>1.73</v>
      </c>
      <c r="AX635" s="1">
        <v>8.9</v>
      </c>
      <c r="AY635" s="1">
        <v>0</v>
      </c>
      <c r="AZ635" s="1">
        <v>101.483</v>
      </c>
      <c r="BA635" s="1">
        <v>0</v>
      </c>
      <c r="BB635" s="1">
        <v>0</v>
      </c>
      <c r="BC635" s="1">
        <v>0</v>
      </c>
      <c r="BD635" s="1">
        <v>0</v>
      </c>
    </row>
    <row r="636" spans="1:56">
      <c r="A636" s="18">
        <v>46192</v>
      </c>
      <c r="B636" s="1">
        <v>635</v>
      </c>
      <c r="C636" s="1" t="s">
        <v>89</v>
      </c>
      <c r="D636" s="1" t="s">
        <v>90</v>
      </c>
      <c r="E636" s="1">
        <v>2</v>
      </c>
      <c r="F636" s="1">
        <v>200</v>
      </c>
      <c r="G636" s="1">
        <v>1</v>
      </c>
      <c r="H636" s="1" t="s">
        <v>91</v>
      </c>
      <c r="I636" s="1" t="s">
        <v>79</v>
      </c>
      <c r="J636" s="1" t="s">
        <v>80</v>
      </c>
      <c r="K636" s="1" t="s">
        <v>74</v>
      </c>
      <c r="L636" s="1" t="s">
        <v>72</v>
      </c>
      <c r="M636" s="1" t="s">
        <v>75</v>
      </c>
      <c r="N636" s="1" t="s">
        <v>76</v>
      </c>
      <c r="O636" s="1" t="s">
        <v>77</v>
      </c>
      <c r="P636" s="1" t="s">
        <v>27</v>
      </c>
      <c r="Q636" s="1" t="s">
        <v>86</v>
      </c>
      <c r="R636" s="1" t="s">
        <v>94</v>
      </c>
      <c r="S636" s="1" t="s">
        <v>87</v>
      </c>
      <c r="T636" s="1" t="s">
        <v>88</v>
      </c>
      <c r="X636" s="1" t="s">
        <v>73</v>
      </c>
      <c r="Z636" s="1" t="s">
        <v>70</v>
      </c>
      <c r="AA636" s="1" t="s">
        <v>95</v>
      </c>
      <c r="AB636" s="1">
        <v>5</v>
      </c>
      <c r="AC636" s="1">
        <v>748785</v>
      </c>
      <c r="AD636" s="1">
        <v>8930546.7100000009</v>
      </c>
      <c r="AE636" s="1">
        <v>210.15</v>
      </c>
      <c r="AF636" s="1">
        <v>748785</v>
      </c>
      <c r="AG636" s="1">
        <v>8930546.7100000009</v>
      </c>
      <c r="AH636" s="1">
        <v>199.4</v>
      </c>
      <c r="AI636" s="1">
        <v>10.75</v>
      </c>
      <c r="AJ636" s="1">
        <v>0.6</v>
      </c>
      <c r="AK636" s="1">
        <v>2.97</v>
      </c>
      <c r="AL636" s="1">
        <v>2.58</v>
      </c>
      <c r="AM636" s="1">
        <v>0</v>
      </c>
      <c r="AN636" s="1">
        <v>0</v>
      </c>
      <c r="AO636" s="1">
        <v>279.95422539999998</v>
      </c>
      <c r="AP636" s="1">
        <v>3.24</v>
      </c>
      <c r="AQ636" s="1">
        <v>0.47</v>
      </c>
      <c r="AR636" s="1">
        <v>0.08</v>
      </c>
      <c r="AS636" s="1">
        <v>7.0000000000000007E-2</v>
      </c>
      <c r="AT636" s="1">
        <v>16.27</v>
      </c>
      <c r="AU636" s="1">
        <v>5.16</v>
      </c>
      <c r="AV636" s="1">
        <v>0.27</v>
      </c>
      <c r="AW636" s="1">
        <v>1.73</v>
      </c>
      <c r="AX636" s="1">
        <v>8.92</v>
      </c>
      <c r="AY636" s="1">
        <v>0</v>
      </c>
      <c r="AZ636" s="1">
        <v>105.56</v>
      </c>
      <c r="BA636" s="1">
        <v>0</v>
      </c>
      <c r="BB636" s="1">
        <v>0</v>
      </c>
      <c r="BC636" s="1">
        <v>0</v>
      </c>
      <c r="BD636" s="1">
        <v>0</v>
      </c>
    </row>
    <row r="637" spans="1:56">
      <c r="A637" s="18">
        <v>46192</v>
      </c>
      <c r="B637" s="1">
        <v>636</v>
      </c>
      <c r="C637" s="1" t="s">
        <v>89</v>
      </c>
      <c r="D637" s="1" t="s">
        <v>90</v>
      </c>
      <c r="E637" s="1">
        <v>2</v>
      </c>
      <c r="F637" s="1">
        <v>200</v>
      </c>
      <c r="G637" s="1">
        <v>1</v>
      </c>
      <c r="H637" s="1" t="s">
        <v>91</v>
      </c>
      <c r="I637" s="1" t="s">
        <v>79</v>
      </c>
      <c r="J637" s="1" t="s">
        <v>80</v>
      </c>
      <c r="K637" s="1" t="s">
        <v>74</v>
      </c>
      <c r="L637" s="1" t="s">
        <v>72</v>
      </c>
      <c r="M637" s="1" t="s">
        <v>75</v>
      </c>
      <c r="N637" s="1" t="s">
        <v>76</v>
      </c>
      <c r="O637" s="1" t="s">
        <v>77</v>
      </c>
      <c r="P637" s="1" t="s">
        <v>27</v>
      </c>
      <c r="Q637" s="1" t="s">
        <v>86</v>
      </c>
      <c r="R637" s="1" t="s">
        <v>94</v>
      </c>
      <c r="S637" s="1" t="s">
        <v>87</v>
      </c>
      <c r="T637" s="1" t="s">
        <v>88</v>
      </c>
      <c r="X637" s="1" t="s">
        <v>73</v>
      </c>
      <c r="Z637" s="1" t="s">
        <v>70</v>
      </c>
      <c r="AA637" s="1" t="s">
        <v>95</v>
      </c>
      <c r="AB637" s="1">
        <v>5</v>
      </c>
      <c r="AC637" s="1">
        <v>748782.75</v>
      </c>
      <c r="AD637" s="1">
        <v>8930548.6500000004</v>
      </c>
      <c r="AE637" s="1">
        <v>210.08</v>
      </c>
      <c r="AF637" s="1">
        <v>748782.75</v>
      </c>
      <c r="AG637" s="1">
        <v>8930548.6500000004</v>
      </c>
      <c r="AH637" s="1">
        <v>199.4</v>
      </c>
      <c r="AI637" s="1">
        <v>10.68</v>
      </c>
      <c r="AJ637" s="1">
        <v>0.6</v>
      </c>
      <c r="AK637" s="1">
        <v>2.97</v>
      </c>
      <c r="AL637" s="1">
        <v>2.58</v>
      </c>
      <c r="AM637" s="1">
        <v>0</v>
      </c>
      <c r="AN637" s="1">
        <v>0</v>
      </c>
      <c r="AO637" s="1">
        <v>279.95422539999998</v>
      </c>
      <c r="AP637" s="1">
        <v>3.25</v>
      </c>
      <c r="AQ637" s="1">
        <v>0.46</v>
      </c>
      <c r="AR637" s="1">
        <v>0.09</v>
      </c>
      <c r="AS637" s="1">
        <v>7.0000000000000007E-2</v>
      </c>
      <c r="AT637" s="1">
        <v>16.3</v>
      </c>
      <c r="AU637" s="1">
        <v>5.08</v>
      </c>
      <c r="AV637" s="1">
        <v>0.26</v>
      </c>
      <c r="AW637" s="1">
        <v>1.77</v>
      </c>
      <c r="AX637" s="1">
        <v>8.8800000000000008</v>
      </c>
      <c r="AY637" s="1">
        <v>0</v>
      </c>
      <c r="AZ637" s="1">
        <v>104.541</v>
      </c>
      <c r="BA637" s="1">
        <v>0</v>
      </c>
      <c r="BB637" s="1">
        <v>0</v>
      </c>
      <c r="BC637" s="1">
        <v>0</v>
      </c>
      <c r="BD637" s="1">
        <v>0</v>
      </c>
    </row>
    <row r="638" spans="1:56">
      <c r="A638" s="18">
        <v>46192</v>
      </c>
      <c r="B638" s="1">
        <v>637</v>
      </c>
      <c r="C638" s="1" t="s">
        <v>89</v>
      </c>
      <c r="D638" s="1" t="s">
        <v>90</v>
      </c>
      <c r="E638" s="1">
        <v>2</v>
      </c>
      <c r="F638" s="1">
        <v>200</v>
      </c>
      <c r="G638" s="1">
        <v>1</v>
      </c>
      <c r="H638" s="1" t="s">
        <v>91</v>
      </c>
      <c r="I638" s="1" t="s">
        <v>79</v>
      </c>
      <c r="J638" s="1" t="s">
        <v>80</v>
      </c>
      <c r="K638" s="1" t="s">
        <v>74</v>
      </c>
      <c r="L638" s="1" t="s">
        <v>72</v>
      </c>
      <c r="M638" s="1" t="s">
        <v>75</v>
      </c>
      <c r="N638" s="1" t="s">
        <v>76</v>
      </c>
      <c r="O638" s="1" t="s">
        <v>77</v>
      </c>
      <c r="P638" s="1" t="s">
        <v>27</v>
      </c>
      <c r="Q638" s="1" t="s">
        <v>86</v>
      </c>
      <c r="R638" s="1" t="s">
        <v>94</v>
      </c>
      <c r="S638" s="1" t="s">
        <v>87</v>
      </c>
      <c r="T638" s="1" t="s">
        <v>88</v>
      </c>
      <c r="X638" s="1" t="s">
        <v>73</v>
      </c>
      <c r="Z638" s="1" t="s">
        <v>70</v>
      </c>
      <c r="AA638" s="1" t="s">
        <v>95</v>
      </c>
      <c r="AB638" s="1">
        <v>5</v>
      </c>
      <c r="AC638" s="1">
        <v>748780.5</v>
      </c>
      <c r="AD638" s="1">
        <v>8930550.5899999999</v>
      </c>
      <c r="AE638" s="1">
        <v>210.14</v>
      </c>
      <c r="AF638" s="1">
        <v>748780.5</v>
      </c>
      <c r="AG638" s="1">
        <v>8930550.5899999999</v>
      </c>
      <c r="AH638" s="1">
        <v>199.4</v>
      </c>
      <c r="AI638" s="1">
        <v>10.74</v>
      </c>
      <c r="AJ638" s="1">
        <v>0.6</v>
      </c>
      <c r="AK638" s="1">
        <v>2.97</v>
      </c>
      <c r="AL638" s="1">
        <v>2.58</v>
      </c>
      <c r="AM638" s="1">
        <v>0</v>
      </c>
      <c r="AN638" s="1">
        <v>0</v>
      </c>
      <c r="AO638" s="1">
        <v>279.95422539999998</v>
      </c>
      <c r="AP638" s="1">
        <v>3.3</v>
      </c>
      <c r="AQ638" s="1">
        <v>0.51</v>
      </c>
      <c r="AR638" s="1">
        <v>0.09</v>
      </c>
      <c r="AS638" s="1">
        <v>0.08</v>
      </c>
      <c r="AT638" s="1">
        <v>17.829999999999998</v>
      </c>
      <c r="AU638" s="1">
        <v>5.17</v>
      </c>
      <c r="AV638" s="1">
        <v>0.27</v>
      </c>
      <c r="AW638" s="1">
        <v>1.93</v>
      </c>
      <c r="AX638" s="1">
        <v>9.0399999999999991</v>
      </c>
      <c r="AY638" s="1">
        <v>0</v>
      </c>
      <c r="AZ638" s="1">
        <v>105.414</v>
      </c>
      <c r="BA638" s="1">
        <v>0</v>
      </c>
      <c r="BB638" s="1">
        <v>0</v>
      </c>
      <c r="BC638" s="1">
        <v>0</v>
      </c>
      <c r="BD638" s="1">
        <v>0</v>
      </c>
    </row>
    <row r="639" spans="1:56">
      <c r="A639" s="18">
        <v>46192</v>
      </c>
      <c r="B639" s="1">
        <v>638</v>
      </c>
      <c r="C639" s="1" t="s">
        <v>89</v>
      </c>
      <c r="D639" s="1" t="s">
        <v>90</v>
      </c>
      <c r="E639" s="1">
        <v>2</v>
      </c>
      <c r="F639" s="1">
        <v>200</v>
      </c>
      <c r="G639" s="1">
        <v>1</v>
      </c>
      <c r="H639" s="1" t="s">
        <v>91</v>
      </c>
      <c r="I639" s="1" t="s">
        <v>79</v>
      </c>
      <c r="J639" s="1" t="s">
        <v>80</v>
      </c>
      <c r="K639" s="1" t="s">
        <v>74</v>
      </c>
      <c r="L639" s="1" t="s">
        <v>72</v>
      </c>
      <c r="M639" s="1" t="s">
        <v>75</v>
      </c>
      <c r="N639" s="1" t="s">
        <v>76</v>
      </c>
      <c r="O639" s="1" t="s">
        <v>77</v>
      </c>
      <c r="P639" s="1" t="s">
        <v>27</v>
      </c>
      <c r="Q639" s="1" t="s">
        <v>86</v>
      </c>
      <c r="R639" s="1" t="s">
        <v>94</v>
      </c>
      <c r="S639" s="1" t="s">
        <v>87</v>
      </c>
      <c r="T639" s="1" t="s">
        <v>88</v>
      </c>
      <c r="X639" s="1" t="s">
        <v>73</v>
      </c>
      <c r="Z639" s="1" t="s">
        <v>70</v>
      </c>
      <c r="AA639" s="1" t="s">
        <v>95</v>
      </c>
      <c r="AB639" s="1">
        <v>5</v>
      </c>
      <c r="AC639" s="1">
        <v>748778.25</v>
      </c>
      <c r="AD639" s="1">
        <v>8930552.5199999996</v>
      </c>
      <c r="AE639" s="1">
        <v>210.14</v>
      </c>
      <c r="AF639" s="1">
        <v>748778.25</v>
      </c>
      <c r="AG639" s="1">
        <v>8930552.5199999996</v>
      </c>
      <c r="AH639" s="1">
        <v>199.4</v>
      </c>
      <c r="AI639" s="1">
        <v>10.74</v>
      </c>
      <c r="AJ639" s="1">
        <v>0.6</v>
      </c>
      <c r="AK639" s="1">
        <v>2.97</v>
      </c>
      <c r="AL639" s="1">
        <v>2.58</v>
      </c>
      <c r="AM639" s="1">
        <v>0</v>
      </c>
      <c r="AN639" s="1">
        <v>0</v>
      </c>
      <c r="AO639" s="1">
        <v>279.95422539999998</v>
      </c>
      <c r="AP639" s="1">
        <v>3.35</v>
      </c>
      <c r="AQ639" s="1">
        <v>0.65</v>
      </c>
      <c r="AR639" s="1">
        <v>0.12</v>
      </c>
      <c r="AS639" s="1">
        <v>0.1</v>
      </c>
      <c r="AT639" s="1">
        <v>20.66</v>
      </c>
      <c r="AU639" s="1">
        <v>5.76</v>
      </c>
      <c r="AV639" s="1">
        <v>0.33</v>
      </c>
      <c r="AW639" s="1">
        <v>1.97</v>
      </c>
      <c r="AX639" s="1">
        <v>9.8800000000000008</v>
      </c>
      <c r="AY639" s="1">
        <v>0</v>
      </c>
      <c r="AZ639" s="1">
        <v>105.414</v>
      </c>
      <c r="BA639" s="1">
        <v>0</v>
      </c>
      <c r="BB639" s="1">
        <v>0</v>
      </c>
      <c r="BC639" s="1">
        <v>0</v>
      </c>
      <c r="BD639" s="1">
        <v>0</v>
      </c>
    </row>
    <row r="640" spans="1:56">
      <c r="A640" s="18">
        <v>46192</v>
      </c>
      <c r="B640" s="1">
        <v>639</v>
      </c>
      <c r="C640" s="1" t="s">
        <v>89</v>
      </c>
      <c r="D640" s="1" t="s">
        <v>90</v>
      </c>
      <c r="E640" s="1">
        <v>2</v>
      </c>
      <c r="F640" s="1">
        <v>200</v>
      </c>
      <c r="G640" s="1">
        <v>1</v>
      </c>
      <c r="H640" s="1" t="s">
        <v>91</v>
      </c>
      <c r="I640" s="1" t="s">
        <v>79</v>
      </c>
      <c r="J640" s="1" t="s">
        <v>80</v>
      </c>
      <c r="K640" s="1" t="s">
        <v>74</v>
      </c>
      <c r="L640" s="1" t="s">
        <v>72</v>
      </c>
      <c r="M640" s="1" t="s">
        <v>75</v>
      </c>
      <c r="N640" s="1" t="s">
        <v>76</v>
      </c>
      <c r="O640" s="1" t="s">
        <v>77</v>
      </c>
      <c r="P640" s="1" t="s">
        <v>27</v>
      </c>
      <c r="Q640" s="1" t="s">
        <v>86</v>
      </c>
      <c r="R640" s="1" t="s">
        <v>94</v>
      </c>
      <c r="S640" s="1" t="s">
        <v>87</v>
      </c>
      <c r="T640" s="1" t="s">
        <v>88</v>
      </c>
      <c r="X640" s="1" t="s">
        <v>73</v>
      </c>
      <c r="Z640" s="1" t="s">
        <v>70</v>
      </c>
      <c r="AA640" s="1" t="s">
        <v>95</v>
      </c>
      <c r="AB640" s="1">
        <v>5</v>
      </c>
      <c r="AC640" s="1">
        <v>748776</v>
      </c>
      <c r="AD640" s="1">
        <v>8930554.4600000009</v>
      </c>
      <c r="AE640" s="1">
        <v>210.12</v>
      </c>
      <c r="AF640" s="1">
        <v>748776</v>
      </c>
      <c r="AG640" s="1">
        <v>8930554.4600000009</v>
      </c>
      <c r="AH640" s="1">
        <v>199.4</v>
      </c>
      <c r="AI640" s="1">
        <v>10.72</v>
      </c>
      <c r="AJ640" s="1">
        <v>0.6</v>
      </c>
      <c r="AK640" s="1">
        <v>2.97</v>
      </c>
      <c r="AL640" s="1">
        <v>2.58</v>
      </c>
      <c r="AM640" s="1">
        <v>0</v>
      </c>
      <c r="AN640" s="1">
        <v>0</v>
      </c>
      <c r="AO640" s="1">
        <v>279.95422539999998</v>
      </c>
      <c r="AP640" s="1">
        <v>3.36</v>
      </c>
      <c r="AQ640" s="1">
        <v>0.66</v>
      </c>
      <c r="AR640" s="1">
        <v>0.12</v>
      </c>
      <c r="AS640" s="1">
        <v>0.1</v>
      </c>
      <c r="AT640" s="1">
        <v>20.82</v>
      </c>
      <c r="AU640" s="1">
        <v>5.81</v>
      </c>
      <c r="AV640" s="1">
        <v>0.34</v>
      </c>
      <c r="AW640" s="1">
        <v>1.96</v>
      </c>
      <c r="AX640" s="1">
        <v>9.93</v>
      </c>
      <c r="AY640" s="1">
        <v>0</v>
      </c>
      <c r="AZ640" s="1">
        <v>105.123</v>
      </c>
      <c r="BA640" s="1">
        <v>0</v>
      </c>
      <c r="BB640" s="1">
        <v>0</v>
      </c>
      <c r="BC640" s="1">
        <v>0</v>
      </c>
      <c r="BD640" s="1">
        <v>0</v>
      </c>
    </row>
    <row r="641" spans="1:56">
      <c r="A641" s="18">
        <v>46192</v>
      </c>
      <c r="B641" s="1">
        <v>640</v>
      </c>
      <c r="C641" s="1" t="s">
        <v>89</v>
      </c>
      <c r="D641" s="1" t="s">
        <v>90</v>
      </c>
      <c r="E641" s="1">
        <v>2</v>
      </c>
      <c r="F641" s="1">
        <v>200</v>
      </c>
      <c r="G641" s="1">
        <v>1</v>
      </c>
      <c r="H641" s="1" t="s">
        <v>91</v>
      </c>
      <c r="I641" s="1" t="s">
        <v>79</v>
      </c>
      <c r="J641" s="1" t="s">
        <v>80</v>
      </c>
      <c r="K641" s="1" t="s">
        <v>74</v>
      </c>
      <c r="L641" s="1" t="s">
        <v>72</v>
      </c>
      <c r="M641" s="1" t="s">
        <v>75</v>
      </c>
      <c r="N641" s="1" t="s">
        <v>76</v>
      </c>
      <c r="O641" s="1" t="s">
        <v>77</v>
      </c>
      <c r="P641" s="1" t="s">
        <v>27</v>
      </c>
      <c r="Q641" s="1" t="s">
        <v>86</v>
      </c>
      <c r="R641" s="1" t="s">
        <v>94</v>
      </c>
      <c r="S641" s="1" t="s">
        <v>87</v>
      </c>
      <c r="T641" s="1" t="s">
        <v>88</v>
      </c>
      <c r="X641" s="1" t="s">
        <v>73</v>
      </c>
      <c r="Z641" s="1" t="s">
        <v>70</v>
      </c>
      <c r="AA641" s="1" t="s">
        <v>95</v>
      </c>
      <c r="AB641" s="1">
        <v>5</v>
      </c>
      <c r="AC641" s="1">
        <v>748773.75</v>
      </c>
      <c r="AD641" s="1">
        <v>8930556.4000000004</v>
      </c>
      <c r="AE641" s="1">
        <v>210.04</v>
      </c>
      <c r="AF641" s="1">
        <v>748773.75</v>
      </c>
      <c r="AG641" s="1">
        <v>8930556.4000000004</v>
      </c>
      <c r="AH641" s="1">
        <v>199.4</v>
      </c>
      <c r="AI641" s="1">
        <v>10.64</v>
      </c>
      <c r="AJ641" s="1">
        <v>0.6</v>
      </c>
      <c r="AK641" s="1">
        <v>2.97</v>
      </c>
      <c r="AL641" s="1">
        <v>2.58</v>
      </c>
      <c r="AM641" s="1">
        <v>0</v>
      </c>
      <c r="AN641" s="1">
        <v>0</v>
      </c>
      <c r="AO641" s="1">
        <v>279.95422539999998</v>
      </c>
      <c r="AP641" s="1">
        <v>3.36</v>
      </c>
      <c r="AQ641" s="1">
        <v>0.66</v>
      </c>
      <c r="AR641" s="1">
        <v>0.12</v>
      </c>
      <c r="AS641" s="1">
        <v>0.1</v>
      </c>
      <c r="AT641" s="1">
        <v>20.83</v>
      </c>
      <c r="AU641" s="1">
        <v>5.81</v>
      </c>
      <c r="AV641" s="1">
        <v>0.34</v>
      </c>
      <c r="AW641" s="1">
        <v>1.96</v>
      </c>
      <c r="AX641" s="1">
        <v>9.93</v>
      </c>
      <c r="AY641" s="1">
        <v>0</v>
      </c>
      <c r="AZ641" s="1">
        <v>103.958</v>
      </c>
      <c r="BA641" s="1">
        <v>0</v>
      </c>
      <c r="BB641" s="1">
        <v>0</v>
      </c>
      <c r="BC641" s="1">
        <v>0</v>
      </c>
      <c r="BD641" s="1">
        <v>0</v>
      </c>
    </row>
    <row r="642" spans="1:56">
      <c r="A642" s="18">
        <v>46192</v>
      </c>
      <c r="B642" s="1">
        <v>641</v>
      </c>
      <c r="C642" s="1" t="s">
        <v>89</v>
      </c>
      <c r="D642" s="1" t="s">
        <v>90</v>
      </c>
      <c r="E642" s="1">
        <v>2</v>
      </c>
      <c r="F642" s="1">
        <v>200</v>
      </c>
      <c r="G642" s="1">
        <v>1</v>
      </c>
      <c r="H642" s="1" t="s">
        <v>91</v>
      </c>
      <c r="I642" s="1" t="s">
        <v>79</v>
      </c>
      <c r="J642" s="1" t="s">
        <v>80</v>
      </c>
      <c r="K642" s="1" t="s">
        <v>74</v>
      </c>
      <c r="L642" s="1" t="s">
        <v>72</v>
      </c>
      <c r="M642" s="1" t="s">
        <v>75</v>
      </c>
      <c r="N642" s="1" t="s">
        <v>76</v>
      </c>
      <c r="O642" s="1" t="s">
        <v>77</v>
      </c>
      <c r="P642" s="1" t="s">
        <v>27</v>
      </c>
      <c r="Q642" s="1" t="s">
        <v>86</v>
      </c>
      <c r="R642" s="1" t="s">
        <v>94</v>
      </c>
      <c r="S642" s="1" t="s">
        <v>87</v>
      </c>
      <c r="T642" s="1" t="s">
        <v>88</v>
      </c>
      <c r="X642" s="1" t="s">
        <v>73</v>
      </c>
      <c r="Z642" s="1" t="s">
        <v>70</v>
      </c>
      <c r="AA642" s="1" t="s">
        <v>95</v>
      </c>
      <c r="AB642" s="1">
        <v>5</v>
      </c>
      <c r="AC642" s="1">
        <v>748771.5</v>
      </c>
      <c r="AD642" s="1">
        <v>8930558.3399999999</v>
      </c>
      <c r="AE642" s="1">
        <v>210.1</v>
      </c>
      <c r="AF642" s="1">
        <v>748771.5</v>
      </c>
      <c r="AG642" s="1">
        <v>8930558.3399999999</v>
      </c>
      <c r="AH642" s="1">
        <v>199.4</v>
      </c>
      <c r="AI642" s="1">
        <v>10.7</v>
      </c>
      <c r="AJ642" s="1">
        <v>0.6</v>
      </c>
      <c r="AK642" s="1">
        <v>2.97</v>
      </c>
      <c r="AL642" s="1">
        <v>2.58</v>
      </c>
      <c r="AM642" s="1">
        <v>0</v>
      </c>
      <c r="AN642" s="1">
        <v>0</v>
      </c>
      <c r="AO642" s="1">
        <v>279.95422539999998</v>
      </c>
      <c r="AP642" s="1">
        <v>3.35</v>
      </c>
      <c r="AQ642" s="1">
        <v>0.66</v>
      </c>
      <c r="AR642" s="1">
        <v>0.12</v>
      </c>
      <c r="AS642" s="1">
        <v>0.11</v>
      </c>
      <c r="AT642" s="1">
        <v>21.09</v>
      </c>
      <c r="AU642" s="1">
        <v>5.88</v>
      </c>
      <c r="AV642" s="1">
        <v>0.34</v>
      </c>
      <c r="AW642" s="1">
        <v>1.97</v>
      </c>
      <c r="AX642" s="1">
        <v>10.039999999999999</v>
      </c>
      <c r="AY642" s="1">
        <v>0</v>
      </c>
      <c r="AZ642" s="1">
        <v>104.83199999999999</v>
      </c>
      <c r="BA642" s="1">
        <v>0</v>
      </c>
      <c r="BB642" s="1">
        <v>0</v>
      </c>
      <c r="BC642" s="1">
        <v>0</v>
      </c>
      <c r="BD642" s="1">
        <v>0</v>
      </c>
    </row>
    <row r="643" spans="1:56">
      <c r="A643" s="18">
        <v>46192</v>
      </c>
      <c r="B643" s="1">
        <v>642</v>
      </c>
      <c r="C643" s="1" t="s">
        <v>89</v>
      </c>
      <c r="D643" s="1" t="s">
        <v>90</v>
      </c>
      <c r="E643" s="1">
        <v>2</v>
      </c>
      <c r="F643" s="1">
        <v>200</v>
      </c>
      <c r="G643" s="1">
        <v>1</v>
      </c>
      <c r="H643" s="1" t="s">
        <v>91</v>
      </c>
      <c r="I643" s="1" t="s">
        <v>79</v>
      </c>
      <c r="J643" s="1" t="s">
        <v>81</v>
      </c>
      <c r="K643" s="1" t="s">
        <v>74</v>
      </c>
      <c r="L643" s="1" t="s">
        <v>72</v>
      </c>
      <c r="M643" s="1" t="s">
        <v>75</v>
      </c>
      <c r="N643" s="1" t="s">
        <v>76</v>
      </c>
      <c r="O643" s="1" t="s">
        <v>77</v>
      </c>
      <c r="P643" s="1" t="s">
        <v>27</v>
      </c>
      <c r="Q643" s="1" t="s">
        <v>86</v>
      </c>
      <c r="R643" s="1" t="s">
        <v>94</v>
      </c>
      <c r="S643" s="1" t="s">
        <v>87</v>
      </c>
      <c r="T643" s="1" t="s">
        <v>88</v>
      </c>
      <c r="X643" s="1" t="s">
        <v>73</v>
      </c>
      <c r="Z643" s="1" t="s">
        <v>70</v>
      </c>
      <c r="AA643" s="1" t="s">
        <v>95</v>
      </c>
      <c r="AB643" s="1">
        <v>5</v>
      </c>
      <c r="AC643" s="1">
        <v>748769.25</v>
      </c>
      <c r="AD643" s="1">
        <v>8930560.2799999993</v>
      </c>
      <c r="AE643" s="1">
        <v>210.02</v>
      </c>
      <c r="AF643" s="1">
        <v>748769.25</v>
      </c>
      <c r="AG643" s="1">
        <v>8930560.2799999993</v>
      </c>
      <c r="AH643" s="1">
        <v>199.4</v>
      </c>
      <c r="AI643" s="1">
        <v>10.62</v>
      </c>
      <c r="AJ643" s="1">
        <v>0.6</v>
      </c>
      <c r="AK643" s="1">
        <v>2.97</v>
      </c>
      <c r="AL643" s="1">
        <v>2.58</v>
      </c>
      <c r="AM643" s="1">
        <v>0</v>
      </c>
      <c r="AN643" s="1">
        <v>0</v>
      </c>
      <c r="AO643" s="1">
        <v>279.95422539999998</v>
      </c>
      <c r="AP643" s="1">
        <v>3.35</v>
      </c>
      <c r="AQ643" s="1">
        <v>0.75</v>
      </c>
      <c r="AR643" s="1">
        <v>0.13</v>
      </c>
      <c r="AS643" s="1">
        <v>0.12</v>
      </c>
      <c r="AT643" s="1">
        <v>23.67</v>
      </c>
      <c r="AU643" s="1">
        <v>6.17</v>
      </c>
      <c r="AV643" s="1">
        <v>0.35</v>
      </c>
      <c r="AW643" s="1">
        <v>2.13</v>
      </c>
      <c r="AX643" s="1">
        <v>9.4600000000000009</v>
      </c>
      <c r="AY643" s="1">
        <v>0</v>
      </c>
      <c r="AZ643" s="1">
        <v>103.667</v>
      </c>
      <c r="BA643" s="1">
        <v>0</v>
      </c>
      <c r="BB643" s="1">
        <v>0</v>
      </c>
      <c r="BC643" s="1">
        <v>0</v>
      </c>
      <c r="BD643" s="1">
        <v>0</v>
      </c>
    </row>
    <row r="644" spans="1:56">
      <c r="A644" s="18">
        <v>46192</v>
      </c>
      <c r="B644" s="1">
        <v>643</v>
      </c>
      <c r="C644" s="1" t="s">
        <v>89</v>
      </c>
      <c r="D644" s="1" t="s">
        <v>90</v>
      </c>
      <c r="E644" s="1">
        <v>2</v>
      </c>
      <c r="F644" s="1">
        <v>200</v>
      </c>
      <c r="G644" s="1">
        <v>1</v>
      </c>
      <c r="H644" s="1" t="s">
        <v>91</v>
      </c>
      <c r="I644" s="1" t="s">
        <v>79</v>
      </c>
      <c r="J644" s="1" t="s">
        <v>81</v>
      </c>
      <c r="K644" s="1" t="s">
        <v>74</v>
      </c>
      <c r="L644" s="1" t="s">
        <v>72</v>
      </c>
      <c r="M644" s="1" t="s">
        <v>75</v>
      </c>
      <c r="N644" s="1" t="s">
        <v>76</v>
      </c>
      <c r="O644" s="1" t="s">
        <v>77</v>
      </c>
      <c r="P644" s="1" t="s">
        <v>27</v>
      </c>
      <c r="Q644" s="1" t="s">
        <v>86</v>
      </c>
      <c r="R644" s="1" t="s">
        <v>94</v>
      </c>
      <c r="S644" s="1" t="s">
        <v>87</v>
      </c>
      <c r="T644" s="1" t="s">
        <v>88</v>
      </c>
      <c r="X644" s="1" t="s">
        <v>73</v>
      </c>
      <c r="Z644" s="1" t="s">
        <v>70</v>
      </c>
      <c r="AA644" s="1" t="s">
        <v>95</v>
      </c>
      <c r="AB644" s="1">
        <v>5</v>
      </c>
      <c r="AC644" s="1">
        <v>748767</v>
      </c>
      <c r="AD644" s="1">
        <v>8930562.2200000007</v>
      </c>
      <c r="AE644" s="1">
        <v>209.94</v>
      </c>
      <c r="AF644" s="1">
        <v>748767</v>
      </c>
      <c r="AG644" s="1">
        <v>8930562.2200000007</v>
      </c>
      <c r="AH644" s="1">
        <v>199.4</v>
      </c>
      <c r="AI644" s="1">
        <v>10.54</v>
      </c>
      <c r="AJ644" s="1">
        <v>0.6</v>
      </c>
      <c r="AK644" s="1">
        <v>2.97</v>
      </c>
      <c r="AL644" s="1">
        <v>2.58</v>
      </c>
      <c r="AM644" s="1">
        <v>0</v>
      </c>
      <c r="AN644" s="1">
        <v>0</v>
      </c>
      <c r="AO644" s="1">
        <v>279.95422539999998</v>
      </c>
      <c r="AP644" s="1">
        <v>3.36</v>
      </c>
      <c r="AQ644" s="1">
        <v>0.85</v>
      </c>
      <c r="AR644" s="1">
        <v>0.15</v>
      </c>
      <c r="AS644" s="1">
        <v>0.13</v>
      </c>
      <c r="AT644" s="1">
        <v>25.56</v>
      </c>
      <c r="AU644" s="1">
        <v>6.11</v>
      </c>
      <c r="AV644" s="1">
        <v>0.38</v>
      </c>
      <c r="AW644" s="1">
        <v>2.2799999999999998</v>
      </c>
      <c r="AX644" s="1">
        <v>7.78</v>
      </c>
      <c r="AY644" s="1">
        <v>0</v>
      </c>
      <c r="AZ644" s="1">
        <v>102.502</v>
      </c>
      <c r="BA644" s="1">
        <v>0</v>
      </c>
      <c r="BB644" s="1">
        <v>0</v>
      </c>
      <c r="BC644" s="1">
        <v>0</v>
      </c>
      <c r="BD644" s="1">
        <v>0</v>
      </c>
    </row>
    <row r="645" spans="1:56">
      <c r="A645" s="18">
        <v>46192</v>
      </c>
      <c r="B645" s="1">
        <v>644</v>
      </c>
      <c r="C645" s="1" t="s">
        <v>89</v>
      </c>
      <c r="D645" s="1" t="s">
        <v>90</v>
      </c>
      <c r="E645" s="1">
        <v>2</v>
      </c>
      <c r="F645" s="1">
        <v>200</v>
      </c>
      <c r="G645" s="1">
        <v>1</v>
      </c>
      <c r="H645" s="1" t="s">
        <v>91</v>
      </c>
      <c r="I645" s="1" t="s">
        <v>79</v>
      </c>
      <c r="J645" s="1" t="s">
        <v>81</v>
      </c>
      <c r="K645" s="1" t="s">
        <v>74</v>
      </c>
      <c r="L645" s="1" t="s">
        <v>72</v>
      </c>
      <c r="M645" s="1" t="s">
        <v>75</v>
      </c>
      <c r="N645" s="1" t="s">
        <v>76</v>
      </c>
      <c r="O645" s="1" t="s">
        <v>77</v>
      </c>
      <c r="P645" s="1" t="s">
        <v>27</v>
      </c>
      <c r="Q645" s="1" t="s">
        <v>86</v>
      </c>
      <c r="R645" s="1" t="s">
        <v>94</v>
      </c>
      <c r="S645" s="1" t="s">
        <v>87</v>
      </c>
      <c r="T645" s="1" t="s">
        <v>88</v>
      </c>
      <c r="X645" s="1" t="s">
        <v>73</v>
      </c>
      <c r="Z645" s="1" t="s">
        <v>70</v>
      </c>
      <c r="AA645" s="1" t="s">
        <v>95</v>
      </c>
      <c r="AB645" s="1">
        <v>5</v>
      </c>
      <c r="AC645" s="1">
        <v>748764.67</v>
      </c>
      <c r="AD645" s="1">
        <v>8930564.0600000005</v>
      </c>
      <c r="AE645" s="1">
        <v>209.93</v>
      </c>
      <c r="AF645" s="1">
        <v>748764.67</v>
      </c>
      <c r="AG645" s="1">
        <v>8930564.0600000005</v>
      </c>
      <c r="AH645" s="1">
        <v>199.4</v>
      </c>
      <c r="AI645" s="1">
        <v>10.53</v>
      </c>
      <c r="AJ645" s="1">
        <v>0.6</v>
      </c>
      <c r="AK645" s="1">
        <v>2.97</v>
      </c>
      <c r="AL645" s="1">
        <v>2.58</v>
      </c>
      <c r="AM645" s="1">
        <v>0</v>
      </c>
      <c r="AN645" s="1">
        <v>0</v>
      </c>
      <c r="AO645" s="1">
        <v>279.95422539999998</v>
      </c>
      <c r="AP645" s="1">
        <v>3.36</v>
      </c>
      <c r="AQ645" s="1">
        <v>0.85</v>
      </c>
      <c r="AR645" s="1">
        <v>0.15</v>
      </c>
      <c r="AS645" s="1">
        <v>0.13</v>
      </c>
      <c r="AT645" s="1">
        <v>25.56</v>
      </c>
      <c r="AU645" s="1">
        <v>6.11</v>
      </c>
      <c r="AV645" s="1">
        <v>0.38</v>
      </c>
      <c r="AW645" s="1">
        <v>2.2799999999999998</v>
      </c>
      <c r="AX645" s="1">
        <v>7.78</v>
      </c>
      <c r="AY645" s="1">
        <v>0</v>
      </c>
      <c r="AZ645" s="1">
        <v>102.357</v>
      </c>
      <c r="BA645" s="1">
        <v>0</v>
      </c>
      <c r="BB645" s="1">
        <v>0</v>
      </c>
      <c r="BC645" s="1">
        <v>0</v>
      </c>
      <c r="BD645" s="1">
        <v>0</v>
      </c>
    </row>
    <row r="646" spans="1:56">
      <c r="A646" s="18">
        <v>46192</v>
      </c>
      <c r="B646" s="1">
        <v>645</v>
      </c>
      <c r="C646" s="1" t="s">
        <v>89</v>
      </c>
      <c r="D646" s="1" t="s">
        <v>90</v>
      </c>
      <c r="E646" s="1">
        <v>2</v>
      </c>
      <c r="F646" s="1">
        <v>200</v>
      </c>
      <c r="G646" s="1">
        <v>1</v>
      </c>
      <c r="H646" s="1" t="s">
        <v>91</v>
      </c>
      <c r="I646" s="1" t="s">
        <v>79</v>
      </c>
      <c r="J646" s="1" t="s">
        <v>81</v>
      </c>
      <c r="K646" s="1" t="s">
        <v>74</v>
      </c>
      <c r="L646" s="1" t="s">
        <v>72</v>
      </c>
      <c r="M646" s="1" t="s">
        <v>75</v>
      </c>
      <c r="N646" s="1" t="s">
        <v>76</v>
      </c>
      <c r="O646" s="1" t="s">
        <v>77</v>
      </c>
      <c r="P646" s="1" t="s">
        <v>27</v>
      </c>
      <c r="Q646" s="1" t="s">
        <v>86</v>
      </c>
      <c r="R646" s="1" t="s">
        <v>94</v>
      </c>
      <c r="S646" s="1" t="s">
        <v>87</v>
      </c>
      <c r="T646" s="1" t="s">
        <v>88</v>
      </c>
      <c r="X646" s="1" t="s">
        <v>73</v>
      </c>
      <c r="Z646" s="1" t="s">
        <v>70</v>
      </c>
      <c r="AA646" s="1" t="s">
        <v>95</v>
      </c>
      <c r="AB646" s="1">
        <v>5</v>
      </c>
      <c r="AC646" s="1">
        <v>748762.35</v>
      </c>
      <c r="AD646" s="1">
        <v>8930565.9100000001</v>
      </c>
      <c r="AE646" s="1">
        <v>209.87</v>
      </c>
      <c r="AF646" s="1">
        <v>748762.35</v>
      </c>
      <c r="AG646" s="1">
        <v>8930565.9100000001</v>
      </c>
      <c r="AH646" s="1">
        <v>199.4</v>
      </c>
      <c r="AI646" s="1">
        <v>10.47</v>
      </c>
      <c r="AJ646" s="1">
        <v>0.6</v>
      </c>
      <c r="AK646" s="1">
        <v>2.97</v>
      </c>
      <c r="AL646" s="1">
        <v>2.58</v>
      </c>
      <c r="AM646" s="1">
        <v>0</v>
      </c>
      <c r="AN646" s="1">
        <v>0</v>
      </c>
      <c r="AO646" s="1">
        <v>279.95422539999998</v>
      </c>
      <c r="AP646" s="1">
        <v>3.36</v>
      </c>
      <c r="AQ646" s="1">
        <v>0.85</v>
      </c>
      <c r="AR646" s="1">
        <v>0.15</v>
      </c>
      <c r="AS646" s="1">
        <v>0.13</v>
      </c>
      <c r="AT646" s="1">
        <v>25.56</v>
      </c>
      <c r="AU646" s="1">
        <v>6.11</v>
      </c>
      <c r="AV646" s="1">
        <v>0.38</v>
      </c>
      <c r="AW646" s="1">
        <v>2.2799999999999998</v>
      </c>
      <c r="AX646" s="1">
        <v>7.78</v>
      </c>
      <c r="AY646" s="1">
        <v>0</v>
      </c>
      <c r="AZ646" s="1">
        <v>101.483</v>
      </c>
      <c r="BA646" s="1">
        <v>0</v>
      </c>
      <c r="BB646" s="1">
        <v>0</v>
      </c>
      <c r="BC646" s="1">
        <v>0</v>
      </c>
      <c r="BD646" s="1">
        <v>0</v>
      </c>
    </row>
    <row r="647" spans="1:56">
      <c r="A647" s="18">
        <v>46192</v>
      </c>
      <c r="B647" s="1">
        <v>646</v>
      </c>
      <c r="C647" s="1" t="s">
        <v>89</v>
      </c>
      <c r="D647" s="1" t="s">
        <v>90</v>
      </c>
      <c r="E647" s="1">
        <v>2</v>
      </c>
      <c r="F647" s="1">
        <v>200</v>
      </c>
      <c r="G647" s="1">
        <v>1</v>
      </c>
      <c r="H647" s="1" t="s">
        <v>91</v>
      </c>
      <c r="I647" s="1" t="s">
        <v>79</v>
      </c>
      <c r="J647" s="1" t="s">
        <v>81</v>
      </c>
      <c r="K647" s="1" t="s">
        <v>74</v>
      </c>
      <c r="L647" s="1" t="s">
        <v>72</v>
      </c>
      <c r="M647" s="1" t="s">
        <v>75</v>
      </c>
      <c r="N647" s="1" t="s">
        <v>76</v>
      </c>
      <c r="O647" s="1" t="s">
        <v>77</v>
      </c>
      <c r="P647" s="1" t="s">
        <v>27</v>
      </c>
      <c r="Q647" s="1" t="s">
        <v>86</v>
      </c>
      <c r="R647" s="1" t="s">
        <v>94</v>
      </c>
      <c r="S647" s="1" t="s">
        <v>87</v>
      </c>
      <c r="T647" s="1" t="s">
        <v>88</v>
      </c>
      <c r="X647" s="1" t="s">
        <v>73</v>
      </c>
      <c r="Z647" s="1" t="s">
        <v>70</v>
      </c>
      <c r="AA647" s="1" t="s">
        <v>95</v>
      </c>
      <c r="AB647" s="1">
        <v>5</v>
      </c>
      <c r="AC647" s="1">
        <v>748760.02</v>
      </c>
      <c r="AD647" s="1">
        <v>8930567.75</v>
      </c>
      <c r="AE647" s="1">
        <v>209.82</v>
      </c>
      <c r="AF647" s="1">
        <v>748760.02</v>
      </c>
      <c r="AG647" s="1">
        <v>8930567.75</v>
      </c>
      <c r="AH647" s="1">
        <v>199.4</v>
      </c>
      <c r="AI647" s="1">
        <v>10.42</v>
      </c>
      <c r="AJ647" s="1">
        <v>0.6</v>
      </c>
      <c r="AK647" s="1">
        <v>2.97</v>
      </c>
      <c r="AL647" s="1">
        <v>2.58</v>
      </c>
      <c r="AM647" s="1">
        <v>0</v>
      </c>
      <c r="AN647" s="1">
        <v>0</v>
      </c>
      <c r="AO647" s="1">
        <v>279.95422539999998</v>
      </c>
      <c r="AP647" s="1">
        <v>3.37</v>
      </c>
      <c r="AQ647" s="1">
        <v>0.81</v>
      </c>
      <c r="AR647" s="1">
        <v>0.15</v>
      </c>
      <c r="AS647" s="1">
        <v>0.12</v>
      </c>
      <c r="AT647" s="1">
        <v>25.46</v>
      </c>
      <c r="AU647" s="1">
        <v>5.83</v>
      </c>
      <c r="AV647" s="1">
        <v>0.35</v>
      </c>
      <c r="AW647" s="1">
        <v>2.2999999999999998</v>
      </c>
      <c r="AX647" s="1">
        <v>8.2899999999999991</v>
      </c>
      <c r="AY647" s="1">
        <v>0</v>
      </c>
      <c r="AZ647" s="1">
        <v>100.755</v>
      </c>
      <c r="BA647" s="1">
        <v>0</v>
      </c>
      <c r="BB647" s="1">
        <v>0</v>
      </c>
      <c r="BC647" s="1">
        <v>0</v>
      </c>
      <c r="BD647" s="1">
        <v>0</v>
      </c>
    </row>
    <row r="648" spans="1:56">
      <c r="A648" s="18">
        <v>46192</v>
      </c>
      <c r="B648" s="1">
        <v>647</v>
      </c>
      <c r="C648" s="1" t="s">
        <v>89</v>
      </c>
      <c r="D648" s="1" t="s">
        <v>90</v>
      </c>
      <c r="E648" s="1">
        <v>2</v>
      </c>
      <c r="F648" s="1">
        <v>200</v>
      </c>
      <c r="G648" s="1">
        <v>1</v>
      </c>
      <c r="H648" s="1" t="s">
        <v>91</v>
      </c>
      <c r="I648" s="1" t="s">
        <v>79</v>
      </c>
      <c r="J648" s="1" t="s">
        <v>81</v>
      </c>
      <c r="K648" s="1" t="s">
        <v>74</v>
      </c>
      <c r="L648" s="1" t="s">
        <v>72</v>
      </c>
      <c r="M648" s="1" t="s">
        <v>75</v>
      </c>
      <c r="N648" s="1" t="s">
        <v>76</v>
      </c>
      <c r="O648" s="1" t="s">
        <v>77</v>
      </c>
      <c r="P648" s="1" t="s">
        <v>27</v>
      </c>
      <c r="Q648" s="1" t="s">
        <v>86</v>
      </c>
      <c r="R648" s="1" t="s">
        <v>94</v>
      </c>
      <c r="S648" s="1" t="s">
        <v>87</v>
      </c>
      <c r="T648" s="1" t="s">
        <v>88</v>
      </c>
      <c r="X648" s="1" t="s">
        <v>73</v>
      </c>
      <c r="Z648" s="1" t="s">
        <v>70</v>
      </c>
      <c r="AA648" s="1" t="s">
        <v>95</v>
      </c>
      <c r="AB648" s="1">
        <v>5</v>
      </c>
      <c r="AC648" s="1">
        <v>748757.69</v>
      </c>
      <c r="AD648" s="1">
        <v>8930569.5999999996</v>
      </c>
      <c r="AE648" s="1">
        <v>210</v>
      </c>
      <c r="AF648" s="1">
        <v>748757.69</v>
      </c>
      <c r="AG648" s="1">
        <v>8930569.5999999996</v>
      </c>
      <c r="AH648" s="1">
        <v>199.4</v>
      </c>
      <c r="AI648" s="1">
        <v>10.6</v>
      </c>
      <c r="AJ648" s="1">
        <v>0.6</v>
      </c>
      <c r="AK648" s="1">
        <v>2.97</v>
      </c>
      <c r="AL648" s="1">
        <v>2.58</v>
      </c>
      <c r="AM648" s="1">
        <v>0</v>
      </c>
      <c r="AN648" s="1">
        <v>0</v>
      </c>
      <c r="AO648" s="1">
        <v>279.95422539999998</v>
      </c>
      <c r="AP648" s="1">
        <v>3.4</v>
      </c>
      <c r="AQ648" s="1">
        <v>0.74</v>
      </c>
      <c r="AR648" s="1">
        <v>0.15</v>
      </c>
      <c r="AS648" s="1">
        <v>0.12</v>
      </c>
      <c r="AT648" s="1">
        <v>24.59</v>
      </c>
      <c r="AU648" s="1">
        <v>5.74</v>
      </c>
      <c r="AV648" s="1">
        <v>0.32</v>
      </c>
      <c r="AW648" s="1">
        <v>2.3199999999999998</v>
      </c>
      <c r="AX648" s="1">
        <v>8.81</v>
      </c>
      <c r="AY648" s="1">
        <v>0</v>
      </c>
      <c r="AZ648" s="1">
        <v>103.376</v>
      </c>
      <c r="BA648" s="1">
        <v>0</v>
      </c>
      <c r="BB648" s="1">
        <v>0</v>
      </c>
      <c r="BC648" s="1">
        <v>0</v>
      </c>
      <c r="BD648" s="1">
        <v>0</v>
      </c>
    </row>
    <row r="649" spans="1:56">
      <c r="A649" s="18">
        <v>46192</v>
      </c>
      <c r="B649" s="1">
        <v>648</v>
      </c>
      <c r="C649" s="1" t="s">
        <v>89</v>
      </c>
      <c r="D649" s="1" t="s">
        <v>90</v>
      </c>
      <c r="E649" s="1">
        <v>2</v>
      </c>
      <c r="F649" s="1">
        <v>200</v>
      </c>
      <c r="G649" s="1">
        <v>1</v>
      </c>
      <c r="H649" s="1" t="s">
        <v>91</v>
      </c>
      <c r="I649" s="1" t="s">
        <v>79</v>
      </c>
      <c r="J649" s="1" t="s">
        <v>81</v>
      </c>
      <c r="K649" s="1" t="s">
        <v>74</v>
      </c>
      <c r="L649" s="1" t="s">
        <v>72</v>
      </c>
      <c r="M649" s="1" t="s">
        <v>75</v>
      </c>
      <c r="N649" s="1" t="s">
        <v>76</v>
      </c>
      <c r="O649" s="1" t="s">
        <v>77</v>
      </c>
      <c r="P649" s="1" t="s">
        <v>27</v>
      </c>
      <c r="Q649" s="1" t="s">
        <v>86</v>
      </c>
      <c r="R649" s="1" t="s">
        <v>94</v>
      </c>
      <c r="S649" s="1" t="s">
        <v>87</v>
      </c>
      <c r="T649" s="1" t="s">
        <v>88</v>
      </c>
      <c r="X649" s="1" t="s">
        <v>73</v>
      </c>
      <c r="Z649" s="1" t="s">
        <v>70</v>
      </c>
      <c r="AA649" s="1" t="s">
        <v>95</v>
      </c>
      <c r="AB649" s="1">
        <v>5</v>
      </c>
      <c r="AC649" s="1">
        <v>748754.97</v>
      </c>
      <c r="AD649" s="1">
        <v>8930570.7200000007</v>
      </c>
      <c r="AE649" s="1">
        <v>210.08</v>
      </c>
      <c r="AF649" s="1">
        <v>748754.97</v>
      </c>
      <c r="AG649" s="1">
        <v>8930570.7200000007</v>
      </c>
      <c r="AH649" s="1">
        <v>199.4</v>
      </c>
      <c r="AI649" s="1">
        <v>10.68</v>
      </c>
      <c r="AJ649" s="1">
        <v>0.6</v>
      </c>
      <c r="AK649" s="1">
        <v>2.97</v>
      </c>
      <c r="AL649" s="1">
        <v>2.58</v>
      </c>
      <c r="AM649" s="1">
        <v>0</v>
      </c>
      <c r="AN649" s="1">
        <v>0</v>
      </c>
      <c r="AO649" s="1">
        <v>279.95422539999998</v>
      </c>
      <c r="AP649" s="1">
        <v>3.42</v>
      </c>
      <c r="AQ649" s="1">
        <v>0.72</v>
      </c>
      <c r="AR649" s="1">
        <v>0.14000000000000001</v>
      </c>
      <c r="AS649" s="1">
        <v>0.11</v>
      </c>
      <c r="AT649" s="1">
        <v>23.91</v>
      </c>
      <c r="AU649" s="1">
        <v>5.91</v>
      </c>
      <c r="AV649" s="1">
        <v>0.31</v>
      </c>
      <c r="AW649" s="1">
        <v>2.3199999999999998</v>
      </c>
      <c r="AX649" s="1">
        <v>8.82</v>
      </c>
      <c r="AY649" s="1">
        <v>0</v>
      </c>
      <c r="AZ649" s="1">
        <v>104.541</v>
      </c>
      <c r="BA649" s="1">
        <v>0</v>
      </c>
      <c r="BB649" s="1">
        <v>0</v>
      </c>
      <c r="BC649" s="1">
        <v>0</v>
      </c>
      <c r="BD649" s="1">
        <v>0</v>
      </c>
    </row>
    <row r="650" spans="1:56">
      <c r="A650" s="18">
        <v>46192</v>
      </c>
      <c r="B650" s="1">
        <v>649</v>
      </c>
      <c r="C650" s="1" t="s">
        <v>89</v>
      </c>
      <c r="D650" s="1" t="s">
        <v>96</v>
      </c>
      <c r="E650" s="1">
        <v>2</v>
      </c>
      <c r="F650" s="1">
        <v>200</v>
      </c>
      <c r="G650" s="1">
        <v>1</v>
      </c>
      <c r="H650" s="1" t="s">
        <v>91</v>
      </c>
      <c r="I650" s="1" t="s">
        <v>79</v>
      </c>
      <c r="J650" s="1" t="s">
        <v>81</v>
      </c>
      <c r="K650" s="1" t="s">
        <v>74</v>
      </c>
      <c r="L650" s="1" t="s">
        <v>72</v>
      </c>
      <c r="M650" s="1" t="s">
        <v>75</v>
      </c>
      <c r="N650" s="1" t="s">
        <v>76</v>
      </c>
      <c r="O650" s="1" t="s">
        <v>77</v>
      </c>
      <c r="P650" s="1" t="s">
        <v>27</v>
      </c>
      <c r="Q650" s="1" t="s">
        <v>86</v>
      </c>
      <c r="R650" s="1" t="s">
        <v>94</v>
      </c>
      <c r="S650" s="1" t="s">
        <v>87</v>
      </c>
      <c r="T650" s="1" t="s">
        <v>88</v>
      </c>
      <c r="X650" s="1" t="s">
        <v>73</v>
      </c>
      <c r="Z650" s="1" t="s">
        <v>70</v>
      </c>
      <c r="AA650" s="1" t="s">
        <v>95</v>
      </c>
      <c r="AB650" s="1">
        <v>5</v>
      </c>
      <c r="AC650" s="1">
        <v>748752.16</v>
      </c>
      <c r="AD650" s="1">
        <v>8930571.6699999999</v>
      </c>
      <c r="AE650" s="1">
        <v>210.02</v>
      </c>
      <c r="AF650" s="1">
        <v>748752.16</v>
      </c>
      <c r="AG650" s="1">
        <v>8930571.6699999999</v>
      </c>
      <c r="AH650" s="1">
        <v>199.4</v>
      </c>
      <c r="AI650" s="1">
        <v>10.62</v>
      </c>
      <c r="AJ650" s="1">
        <v>0.6</v>
      </c>
      <c r="AK650" s="1">
        <v>2.97</v>
      </c>
      <c r="AL650" s="1">
        <v>2.58</v>
      </c>
      <c r="AM650" s="1">
        <v>0</v>
      </c>
      <c r="AN650" s="1">
        <v>0</v>
      </c>
      <c r="AO650" s="1">
        <v>279.95422539999998</v>
      </c>
      <c r="AP650" s="1">
        <v>3.43</v>
      </c>
      <c r="AQ650" s="1">
        <v>0.71</v>
      </c>
      <c r="AR650" s="1">
        <v>0.13</v>
      </c>
      <c r="AS650" s="1">
        <v>0.11</v>
      </c>
      <c r="AT650" s="1">
        <v>23.44</v>
      </c>
      <c r="AU650" s="1">
        <v>6.02</v>
      </c>
      <c r="AV650" s="1">
        <v>0.31</v>
      </c>
      <c r="AW650" s="1">
        <v>2.3199999999999998</v>
      </c>
      <c r="AX650" s="1">
        <v>8.82</v>
      </c>
      <c r="AY650" s="1">
        <v>0</v>
      </c>
      <c r="AZ650" s="1">
        <v>103.667</v>
      </c>
      <c r="BA650" s="1">
        <v>0</v>
      </c>
      <c r="BB650" s="1">
        <v>0</v>
      </c>
      <c r="BC650" s="1">
        <v>0</v>
      </c>
      <c r="BD650" s="1">
        <v>0</v>
      </c>
    </row>
    <row r="651" spans="1:56">
      <c r="A651" s="18">
        <v>46192</v>
      </c>
      <c r="B651" s="1">
        <v>650</v>
      </c>
      <c r="C651" s="1" t="s">
        <v>89</v>
      </c>
      <c r="D651" s="1" t="s">
        <v>96</v>
      </c>
      <c r="E651" s="1">
        <v>2</v>
      </c>
      <c r="F651" s="1">
        <v>200</v>
      </c>
      <c r="G651" s="1">
        <v>1</v>
      </c>
      <c r="H651" s="1" t="s">
        <v>91</v>
      </c>
      <c r="I651" s="1" t="s">
        <v>79</v>
      </c>
      <c r="J651" s="1" t="s">
        <v>81</v>
      </c>
      <c r="K651" s="1" t="s">
        <v>74</v>
      </c>
      <c r="L651" s="1" t="s">
        <v>72</v>
      </c>
      <c r="M651" s="1" t="s">
        <v>75</v>
      </c>
      <c r="N651" s="1" t="s">
        <v>76</v>
      </c>
      <c r="O651" s="1" t="s">
        <v>77</v>
      </c>
      <c r="P651" s="1" t="s">
        <v>27</v>
      </c>
      <c r="Q651" s="1" t="s">
        <v>86</v>
      </c>
      <c r="R651" s="1" t="s">
        <v>94</v>
      </c>
      <c r="S651" s="1" t="s">
        <v>87</v>
      </c>
      <c r="T651" s="1" t="s">
        <v>88</v>
      </c>
      <c r="X651" s="1" t="s">
        <v>73</v>
      </c>
      <c r="Z651" s="1" t="s">
        <v>70</v>
      </c>
      <c r="AA651" s="1" t="s">
        <v>95</v>
      </c>
      <c r="AB651" s="1">
        <v>5</v>
      </c>
      <c r="AC651" s="1">
        <v>748749.34</v>
      </c>
      <c r="AD651" s="1">
        <v>8930572.6199999992</v>
      </c>
      <c r="AE651" s="1">
        <v>209.99</v>
      </c>
      <c r="AF651" s="1">
        <v>748749.34</v>
      </c>
      <c r="AG651" s="1">
        <v>8930572.6199999992</v>
      </c>
      <c r="AH651" s="1">
        <v>199.4</v>
      </c>
      <c r="AI651" s="1">
        <v>10.59</v>
      </c>
      <c r="AJ651" s="1">
        <v>0.6</v>
      </c>
      <c r="AK651" s="1">
        <v>2.97</v>
      </c>
      <c r="AL651" s="1">
        <v>2.58</v>
      </c>
      <c r="AM651" s="1">
        <v>0</v>
      </c>
      <c r="AN651" s="1">
        <v>0</v>
      </c>
      <c r="AO651" s="1">
        <v>279.95422539999998</v>
      </c>
      <c r="AP651" s="1">
        <v>3.43</v>
      </c>
      <c r="AQ651" s="1">
        <v>0.78</v>
      </c>
      <c r="AR651" s="1">
        <v>0.14000000000000001</v>
      </c>
      <c r="AS651" s="1">
        <v>0.12</v>
      </c>
      <c r="AT651" s="1">
        <v>24.87</v>
      </c>
      <c r="AU651" s="1">
        <v>5.78</v>
      </c>
      <c r="AV651" s="1">
        <v>0.28999999999999998</v>
      </c>
      <c r="AW651" s="1">
        <v>2.67</v>
      </c>
      <c r="AX651" s="1">
        <v>7.41</v>
      </c>
      <c r="AY651" s="1">
        <v>0</v>
      </c>
      <c r="AZ651" s="1">
        <v>103.23</v>
      </c>
      <c r="BA651" s="1">
        <v>0</v>
      </c>
      <c r="BB651" s="1">
        <v>0</v>
      </c>
      <c r="BC651" s="1">
        <v>0</v>
      </c>
      <c r="BD651" s="1">
        <v>0</v>
      </c>
    </row>
    <row r="652" spans="1:56">
      <c r="A652" s="18">
        <v>46192</v>
      </c>
      <c r="B652" s="1">
        <v>651</v>
      </c>
      <c r="C652" s="1" t="s">
        <v>89</v>
      </c>
      <c r="D652" s="1" t="s">
        <v>96</v>
      </c>
      <c r="E652" s="1">
        <v>2</v>
      </c>
      <c r="F652" s="1">
        <v>200</v>
      </c>
      <c r="G652" s="1">
        <v>1</v>
      </c>
      <c r="H652" s="1" t="s">
        <v>91</v>
      </c>
      <c r="I652" s="1" t="s">
        <v>79</v>
      </c>
      <c r="J652" s="1" t="s">
        <v>81</v>
      </c>
      <c r="K652" s="1" t="s">
        <v>74</v>
      </c>
      <c r="L652" s="1" t="s">
        <v>72</v>
      </c>
      <c r="M652" s="1" t="s">
        <v>75</v>
      </c>
      <c r="N652" s="1" t="s">
        <v>76</v>
      </c>
      <c r="O652" s="1" t="s">
        <v>77</v>
      </c>
      <c r="P652" s="1" t="s">
        <v>27</v>
      </c>
      <c r="Q652" s="1" t="s">
        <v>86</v>
      </c>
      <c r="R652" s="1" t="s">
        <v>94</v>
      </c>
      <c r="S652" s="1" t="s">
        <v>87</v>
      </c>
      <c r="T652" s="1" t="s">
        <v>88</v>
      </c>
      <c r="X652" s="1" t="s">
        <v>73</v>
      </c>
      <c r="Z652" s="1" t="s">
        <v>70</v>
      </c>
      <c r="AA652" s="1" t="s">
        <v>95</v>
      </c>
      <c r="AB652" s="1">
        <v>5</v>
      </c>
      <c r="AC652" s="1">
        <v>748746.53</v>
      </c>
      <c r="AD652" s="1">
        <v>8930573.5700000003</v>
      </c>
      <c r="AE652" s="1">
        <v>210</v>
      </c>
      <c r="AF652" s="1">
        <v>748746.53</v>
      </c>
      <c r="AG652" s="1">
        <v>8930573.5700000003</v>
      </c>
      <c r="AH652" s="1">
        <v>199.4</v>
      </c>
      <c r="AI652" s="1">
        <v>10.6</v>
      </c>
      <c r="AJ652" s="1">
        <v>0.6</v>
      </c>
      <c r="AK652" s="1">
        <v>2.97</v>
      </c>
      <c r="AL652" s="1">
        <v>2.58</v>
      </c>
      <c r="AM652" s="1">
        <v>0</v>
      </c>
      <c r="AN652" s="1">
        <v>0</v>
      </c>
      <c r="AO652" s="1">
        <v>279.95422539999998</v>
      </c>
      <c r="AP652" s="1">
        <v>3.43</v>
      </c>
      <c r="AQ652" s="1">
        <v>0.81</v>
      </c>
      <c r="AR652" s="1">
        <v>0.14000000000000001</v>
      </c>
      <c r="AS652" s="1">
        <v>0.13</v>
      </c>
      <c r="AT652" s="1">
        <v>25.36</v>
      </c>
      <c r="AU652" s="1">
        <v>5.63</v>
      </c>
      <c r="AV652" s="1">
        <v>0.28999999999999998</v>
      </c>
      <c r="AW652" s="1">
        <v>2.8</v>
      </c>
      <c r="AX652" s="1">
        <v>6.74</v>
      </c>
      <c r="AY652" s="1">
        <v>0</v>
      </c>
      <c r="AZ652" s="1">
        <v>103.376</v>
      </c>
      <c r="BA652" s="1">
        <v>0</v>
      </c>
      <c r="BB652" s="1">
        <v>0</v>
      </c>
      <c r="BC652" s="1">
        <v>0</v>
      </c>
      <c r="BD652" s="1">
        <v>0</v>
      </c>
    </row>
    <row r="653" spans="1:56">
      <c r="A653" s="18">
        <v>46192</v>
      </c>
      <c r="B653" s="1">
        <v>652</v>
      </c>
      <c r="C653" s="1" t="s">
        <v>89</v>
      </c>
      <c r="D653" s="1" t="s">
        <v>96</v>
      </c>
      <c r="E653" s="1">
        <v>2</v>
      </c>
      <c r="F653" s="1">
        <v>200</v>
      </c>
      <c r="G653" s="1">
        <v>1</v>
      </c>
      <c r="H653" s="1" t="s">
        <v>91</v>
      </c>
      <c r="I653" s="1" t="s">
        <v>79</v>
      </c>
      <c r="J653" s="1" t="s">
        <v>81</v>
      </c>
      <c r="K653" s="1" t="s">
        <v>74</v>
      </c>
      <c r="L653" s="1" t="s">
        <v>72</v>
      </c>
      <c r="M653" s="1" t="s">
        <v>75</v>
      </c>
      <c r="N653" s="1" t="s">
        <v>76</v>
      </c>
      <c r="O653" s="1" t="s">
        <v>77</v>
      </c>
      <c r="P653" s="1" t="s">
        <v>27</v>
      </c>
      <c r="Q653" s="1" t="s">
        <v>86</v>
      </c>
      <c r="R653" s="1" t="s">
        <v>94</v>
      </c>
      <c r="S653" s="1" t="s">
        <v>87</v>
      </c>
      <c r="T653" s="1" t="s">
        <v>88</v>
      </c>
      <c r="X653" s="1" t="s">
        <v>73</v>
      </c>
      <c r="Z653" s="1" t="s">
        <v>70</v>
      </c>
      <c r="AA653" s="1" t="s">
        <v>95</v>
      </c>
      <c r="AB653" s="1">
        <v>5</v>
      </c>
      <c r="AC653" s="1">
        <v>748748.52</v>
      </c>
      <c r="AD653" s="1">
        <v>8930570.1799999997</v>
      </c>
      <c r="AE653" s="1">
        <v>209.99</v>
      </c>
      <c r="AF653" s="1">
        <v>748748.52</v>
      </c>
      <c r="AG653" s="1">
        <v>8930570.1799999997</v>
      </c>
      <c r="AH653" s="1">
        <v>199.4</v>
      </c>
      <c r="AI653" s="1">
        <v>10.59</v>
      </c>
      <c r="AJ653" s="1">
        <v>0.6</v>
      </c>
      <c r="AK653" s="1">
        <v>2.97</v>
      </c>
      <c r="AL653" s="1">
        <v>2.58</v>
      </c>
      <c r="AM653" s="1">
        <v>0</v>
      </c>
      <c r="AN653" s="1">
        <v>0</v>
      </c>
      <c r="AO653" s="1">
        <v>279.95422539999998</v>
      </c>
      <c r="AP653" s="1">
        <v>3.46</v>
      </c>
      <c r="AQ653" s="1">
        <v>0.79</v>
      </c>
      <c r="AR653" s="1">
        <v>0.15</v>
      </c>
      <c r="AS653" s="1">
        <v>0.12</v>
      </c>
      <c r="AT653" s="1">
        <v>25.65</v>
      </c>
      <c r="AU653" s="1">
        <v>5.58</v>
      </c>
      <c r="AV653" s="1">
        <v>0.3</v>
      </c>
      <c r="AW653" s="1">
        <v>2.69</v>
      </c>
      <c r="AX653" s="1">
        <v>7.32</v>
      </c>
      <c r="AY653" s="1">
        <v>0</v>
      </c>
      <c r="AZ653" s="1">
        <v>103.23</v>
      </c>
      <c r="BA653" s="1">
        <v>0</v>
      </c>
      <c r="BB653" s="1">
        <v>0</v>
      </c>
      <c r="BC653" s="1">
        <v>0</v>
      </c>
      <c r="BD653" s="1">
        <v>0</v>
      </c>
    </row>
    <row r="654" spans="1:56">
      <c r="A654" s="18">
        <v>46192</v>
      </c>
      <c r="B654" s="1">
        <v>653</v>
      </c>
      <c r="C654" s="1" t="s">
        <v>89</v>
      </c>
      <c r="D654" s="1" t="s">
        <v>96</v>
      </c>
      <c r="E654" s="1">
        <v>2</v>
      </c>
      <c r="F654" s="1">
        <v>200</v>
      </c>
      <c r="G654" s="1">
        <v>1</v>
      </c>
      <c r="H654" s="1" t="s">
        <v>91</v>
      </c>
      <c r="I654" s="1" t="s">
        <v>79</v>
      </c>
      <c r="J654" s="1" t="s">
        <v>81</v>
      </c>
      <c r="K654" s="1" t="s">
        <v>74</v>
      </c>
      <c r="L654" s="1" t="s">
        <v>72</v>
      </c>
      <c r="M654" s="1" t="s">
        <v>75</v>
      </c>
      <c r="N654" s="1" t="s">
        <v>76</v>
      </c>
      <c r="O654" s="1" t="s">
        <v>77</v>
      </c>
      <c r="P654" s="1" t="s">
        <v>27</v>
      </c>
      <c r="Q654" s="1" t="s">
        <v>86</v>
      </c>
      <c r="R654" s="1" t="s">
        <v>94</v>
      </c>
      <c r="S654" s="1" t="s">
        <v>87</v>
      </c>
      <c r="T654" s="1" t="s">
        <v>88</v>
      </c>
      <c r="X654" s="1" t="s">
        <v>73</v>
      </c>
      <c r="Z654" s="1" t="s">
        <v>70</v>
      </c>
      <c r="AA654" s="1" t="s">
        <v>95</v>
      </c>
      <c r="AB654" s="1">
        <v>5</v>
      </c>
      <c r="AC654" s="1">
        <v>748751.33</v>
      </c>
      <c r="AD654" s="1">
        <v>8930569.2300000004</v>
      </c>
      <c r="AE654" s="1">
        <v>209.95</v>
      </c>
      <c r="AF654" s="1">
        <v>748751.33</v>
      </c>
      <c r="AG654" s="1">
        <v>8930569.2300000004</v>
      </c>
      <c r="AH654" s="1">
        <v>199.4</v>
      </c>
      <c r="AI654" s="1">
        <v>10.55</v>
      </c>
      <c r="AJ654" s="1">
        <v>0.6</v>
      </c>
      <c r="AK654" s="1">
        <v>2.97</v>
      </c>
      <c r="AL654" s="1">
        <v>2.58</v>
      </c>
      <c r="AM654" s="1">
        <v>0</v>
      </c>
      <c r="AN654" s="1">
        <v>0</v>
      </c>
      <c r="AO654" s="1">
        <v>279.95422539999998</v>
      </c>
      <c r="AP654" s="1">
        <v>3.41</v>
      </c>
      <c r="AQ654" s="1">
        <v>0.75</v>
      </c>
      <c r="AR654" s="1">
        <v>0.15</v>
      </c>
      <c r="AS654" s="1">
        <v>0.12</v>
      </c>
      <c r="AT654" s="1">
        <v>24.94</v>
      </c>
      <c r="AU654" s="1">
        <v>5.66</v>
      </c>
      <c r="AV654" s="1">
        <v>0.32</v>
      </c>
      <c r="AW654" s="1">
        <v>2.37</v>
      </c>
      <c r="AX654" s="1">
        <v>8.64</v>
      </c>
      <c r="AY654" s="1">
        <v>0</v>
      </c>
      <c r="AZ654" s="1">
        <v>102.648</v>
      </c>
      <c r="BA654" s="1">
        <v>0</v>
      </c>
      <c r="BB654" s="1">
        <v>0</v>
      </c>
      <c r="BC654" s="1">
        <v>0</v>
      </c>
      <c r="BD654" s="1">
        <v>0</v>
      </c>
    </row>
    <row r="655" spans="1:56">
      <c r="A655" s="18">
        <v>46192</v>
      </c>
      <c r="B655" s="1">
        <v>654</v>
      </c>
      <c r="C655" s="1" t="s">
        <v>89</v>
      </c>
      <c r="D655" s="1" t="s">
        <v>90</v>
      </c>
      <c r="E655" s="1">
        <v>2</v>
      </c>
      <c r="F655" s="1">
        <v>200</v>
      </c>
      <c r="G655" s="1">
        <v>1</v>
      </c>
      <c r="H655" s="1" t="s">
        <v>91</v>
      </c>
      <c r="I655" s="1" t="s">
        <v>79</v>
      </c>
      <c r="J655" s="1" t="s">
        <v>81</v>
      </c>
      <c r="K655" s="1" t="s">
        <v>74</v>
      </c>
      <c r="L655" s="1" t="s">
        <v>72</v>
      </c>
      <c r="M655" s="1" t="s">
        <v>75</v>
      </c>
      <c r="N655" s="1" t="s">
        <v>76</v>
      </c>
      <c r="O655" s="1" t="s">
        <v>77</v>
      </c>
      <c r="P655" s="1" t="s">
        <v>27</v>
      </c>
      <c r="Q655" s="1" t="s">
        <v>86</v>
      </c>
      <c r="R655" s="1" t="s">
        <v>94</v>
      </c>
      <c r="S655" s="1" t="s">
        <v>87</v>
      </c>
      <c r="T655" s="1" t="s">
        <v>88</v>
      </c>
      <c r="X655" s="1" t="s">
        <v>73</v>
      </c>
      <c r="Z655" s="1" t="s">
        <v>70</v>
      </c>
      <c r="AA655" s="1" t="s">
        <v>95</v>
      </c>
      <c r="AB655" s="1">
        <v>5</v>
      </c>
      <c r="AC655" s="1">
        <v>748754.15</v>
      </c>
      <c r="AD655" s="1">
        <v>8930568.2799999993</v>
      </c>
      <c r="AE655" s="1">
        <v>210</v>
      </c>
      <c r="AF655" s="1">
        <v>748754.15</v>
      </c>
      <c r="AG655" s="1">
        <v>8930568.2799999993</v>
      </c>
      <c r="AH655" s="1">
        <v>199.4</v>
      </c>
      <c r="AI655" s="1">
        <v>10.6</v>
      </c>
      <c r="AJ655" s="1">
        <v>0.6</v>
      </c>
      <c r="AK655" s="1">
        <v>2.97</v>
      </c>
      <c r="AL655" s="1">
        <v>2.58</v>
      </c>
      <c r="AM655" s="1">
        <v>0</v>
      </c>
      <c r="AN655" s="1">
        <v>0</v>
      </c>
      <c r="AO655" s="1">
        <v>279.95422539999998</v>
      </c>
      <c r="AP655" s="1">
        <v>3.38</v>
      </c>
      <c r="AQ655" s="1">
        <v>0.76</v>
      </c>
      <c r="AR655" s="1">
        <v>0.15</v>
      </c>
      <c r="AS655" s="1">
        <v>0.12</v>
      </c>
      <c r="AT655" s="1">
        <v>25.28</v>
      </c>
      <c r="AU655" s="1">
        <v>5.57</v>
      </c>
      <c r="AV655" s="1">
        <v>0.33</v>
      </c>
      <c r="AW655" s="1">
        <v>2.33</v>
      </c>
      <c r="AX655" s="1">
        <v>8.81</v>
      </c>
      <c r="AY655" s="1">
        <v>0</v>
      </c>
      <c r="AZ655" s="1">
        <v>103.376</v>
      </c>
      <c r="BA655" s="1">
        <v>0</v>
      </c>
      <c r="BB655" s="1">
        <v>0</v>
      </c>
      <c r="BC655" s="1">
        <v>0</v>
      </c>
      <c r="BD655" s="1">
        <v>0</v>
      </c>
    </row>
    <row r="656" spans="1:56">
      <c r="A656" s="18">
        <v>46192</v>
      </c>
      <c r="B656" s="1">
        <v>655</v>
      </c>
      <c r="C656" s="1" t="s">
        <v>89</v>
      </c>
      <c r="D656" s="1" t="s">
        <v>90</v>
      </c>
      <c r="E656" s="1">
        <v>2</v>
      </c>
      <c r="F656" s="1">
        <v>200</v>
      </c>
      <c r="G656" s="1">
        <v>1</v>
      </c>
      <c r="H656" s="1" t="s">
        <v>91</v>
      </c>
      <c r="I656" s="1" t="s">
        <v>79</v>
      </c>
      <c r="J656" s="1" t="s">
        <v>81</v>
      </c>
      <c r="K656" s="1" t="s">
        <v>74</v>
      </c>
      <c r="L656" s="1" t="s">
        <v>72</v>
      </c>
      <c r="M656" s="1" t="s">
        <v>75</v>
      </c>
      <c r="N656" s="1" t="s">
        <v>76</v>
      </c>
      <c r="O656" s="1" t="s">
        <v>77</v>
      </c>
      <c r="P656" s="1" t="s">
        <v>27</v>
      </c>
      <c r="Q656" s="1" t="s">
        <v>86</v>
      </c>
      <c r="R656" s="1" t="s">
        <v>94</v>
      </c>
      <c r="S656" s="1" t="s">
        <v>87</v>
      </c>
      <c r="T656" s="1" t="s">
        <v>88</v>
      </c>
      <c r="X656" s="1" t="s">
        <v>73</v>
      </c>
      <c r="Z656" s="1" t="s">
        <v>70</v>
      </c>
      <c r="AA656" s="1" t="s">
        <v>95</v>
      </c>
      <c r="AB656" s="1">
        <v>5</v>
      </c>
      <c r="AC656" s="1">
        <v>748756.79</v>
      </c>
      <c r="AD656" s="1">
        <v>8930567.0199999996</v>
      </c>
      <c r="AE656" s="1">
        <v>209.95</v>
      </c>
      <c r="AF656" s="1">
        <v>748756.79</v>
      </c>
      <c r="AG656" s="1">
        <v>8930567.0199999996</v>
      </c>
      <c r="AH656" s="1">
        <v>199.4</v>
      </c>
      <c r="AI656" s="1">
        <v>10.55</v>
      </c>
      <c r="AJ656" s="1">
        <v>0.6</v>
      </c>
      <c r="AK656" s="1">
        <v>2.97</v>
      </c>
      <c r="AL656" s="1">
        <v>2.58</v>
      </c>
      <c r="AM656" s="1">
        <v>0</v>
      </c>
      <c r="AN656" s="1">
        <v>0</v>
      </c>
      <c r="AO656" s="1">
        <v>279.95422539999998</v>
      </c>
      <c r="AP656" s="1">
        <v>3.38</v>
      </c>
      <c r="AQ656" s="1">
        <v>0.76</v>
      </c>
      <c r="AR656" s="1">
        <v>0.15</v>
      </c>
      <c r="AS656" s="1">
        <v>0.12</v>
      </c>
      <c r="AT656" s="1">
        <v>25.37</v>
      </c>
      <c r="AU656" s="1">
        <v>5.54</v>
      </c>
      <c r="AV656" s="1">
        <v>0.33</v>
      </c>
      <c r="AW656" s="1">
        <v>2.33</v>
      </c>
      <c r="AX656" s="1">
        <v>8.81</v>
      </c>
      <c r="AY656" s="1">
        <v>0</v>
      </c>
      <c r="AZ656" s="1">
        <v>102.648</v>
      </c>
      <c r="BA656" s="1">
        <v>0</v>
      </c>
      <c r="BB656" s="1">
        <v>0</v>
      </c>
      <c r="BC656" s="1">
        <v>0</v>
      </c>
      <c r="BD656" s="1">
        <v>0</v>
      </c>
    </row>
    <row r="657" spans="1:56">
      <c r="A657" s="18">
        <v>46192</v>
      </c>
      <c r="B657" s="1">
        <v>656</v>
      </c>
      <c r="C657" s="1" t="s">
        <v>89</v>
      </c>
      <c r="D657" s="1" t="s">
        <v>90</v>
      </c>
      <c r="E657" s="1">
        <v>2</v>
      </c>
      <c r="F657" s="1">
        <v>200</v>
      </c>
      <c r="G657" s="1">
        <v>1</v>
      </c>
      <c r="H657" s="1" t="s">
        <v>91</v>
      </c>
      <c r="I657" s="1" t="s">
        <v>79</v>
      </c>
      <c r="J657" s="1" t="s">
        <v>81</v>
      </c>
      <c r="K657" s="1" t="s">
        <v>74</v>
      </c>
      <c r="L657" s="1" t="s">
        <v>72</v>
      </c>
      <c r="M657" s="1" t="s">
        <v>75</v>
      </c>
      <c r="N657" s="1" t="s">
        <v>76</v>
      </c>
      <c r="O657" s="1" t="s">
        <v>77</v>
      </c>
      <c r="P657" s="1" t="s">
        <v>27</v>
      </c>
      <c r="Q657" s="1" t="s">
        <v>86</v>
      </c>
      <c r="R657" s="1" t="s">
        <v>94</v>
      </c>
      <c r="S657" s="1" t="s">
        <v>87</v>
      </c>
      <c r="T657" s="1" t="s">
        <v>88</v>
      </c>
      <c r="X657" s="1" t="s">
        <v>73</v>
      </c>
      <c r="Z657" s="1" t="s">
        <v>70</v>
      </c>
      <c r="AA657" s="1" t="s">
        <v>95</v>
      </c>
      <c r="AB657" s="1">
        <v>5</v>
      </c>
      <c r="AC657" s="1">
        <v>748759.12</v>
      </c>
      <c r="AD657" s="1">
        <v>8930565.1699999999</v>
      </c>
      <c r="AE657" s="1">
        <v>209.85</v>
      </c>
      <c r="AF657" s="1">
        <v>748759.12</v>
      </c>
      <c r="AG657" s="1">
        <v>8930565.1699999999</v>
      </c>
      <c r="AH657" s="1">
        <v>199.4</v>
      </c>
      <c r="AI657" s="1">
        <v>10.45</v>
      </c>
      <c r="AJ657" s="1">
        <v>0.6</v>
      </c>
      <c r="AK657" s="1">
        <v>2.97</v>
      </c>
      <c r="AL657" s="1">
        <v>2.58</v>
      </c>
      <c r="AM657" s="1">
        <v>0</v>
      </c>
      <c r="AN657" s="1">
        <v>0</v>
      </c>
      <c r="AO657" s="1">
        <v>279.95422539999998</v>
      </c>
      <c r="AP657" s="1">
        <v>3.38</v>
      </c>
      <c r="AQ657" s="1">
        <v>0.78</v>
      </c>
      <c r="AR657" s="1">
        <v>0.15</v>
      </c>
      <c r="AS657" s="1">
        <v>0.12</v>
      </c>
      <c r="AT657" s="1">
        <v>25.42</v>
      </c>
      <c r="AU657" s="1">
        <v>5.68</v>
      </c>
      <c r="AV657" s="1">
        <v>0.34</v>
      </c>
      <c r="AW657" s="1">
        <v>2.3199999999999998</v>
      </c>
      <c r="AX657" s="1">
        <v>8.56</v>
      </c>
      <c r="AY657" s="1">
        <v>0</v>
      </c>
      <c r="AZ657" s="1">
        <v>101.19199999999999</v>
      </c>
      <c r="BA657" s="1">
        <v>0</v>
      </c>
      <c r="BB657" s="1">
        <v>0</v>
      </c>
      <c r="BC657" s="1">
        <v>0</v>
      </c>
      <c r="BD657" s="1">
        <v>0</v>
      </c>
    </row>
    <row r="658" spans="1:56">
      <c r="A658" s="18">
        <v>46192</v>
      </c>
      <c r="B658" s="1">
        <v>657</v>
      </c>
      <c r="C658" s="1" t="s">
        <v>89</v>
      </c>
      <c r="D658" s="1" t="s">
        <v>90</v>
      </c>
      <c r="E658" s="1">
        <v>2</v>
      </c>
      <c r="F658" s="1">
        <v>200</v>
      </c>
      <c r="G658" s="1">
        <v>1</v>
      </c>
      <c r="H658" s="1" t="s">
        <v>91</v>
      </c>
      <c r="I658" s="1" t="s">
        <v>79</v>
      </c>
      <c r="J658" s="1" t="s">
        <v>81</v>
      </c>
      <c r="K658" s="1" t="s">
        <v>74</v>
      </c>
      <c r="L658" s="1" t="s">
        <v>72</v>
      </c>
      <c r="M658" s="1" t="s">
        <v>75</v>
      </c>
      <c r="N658" s="1" t="s">
        <v>76</v>
      </c>
      <c r="O658" s="1" t="s">
        <v>77</v>
      </c>
      <c r="P658" s="1" t="s">
        <v>27</v>
      </c>
      <c r="Q658" s="1" t="s">
        <v>86</v>
      </c>
      <c r="R658" s="1" t="s">
        <v>94</v>
      </c>
      <c r="S658" s="1" t="s">
        <v>87</v>
      </c>
      <c r="T658" s="1" t="s">
        <v>88</v>
      </c>
      <c r="X658" s="1" t="s">
        <v>73</v>
      </c>
      <c r="Z658" s="1" t="s">
        <v>70</v>
      </c>
      <c r="AA658" s="1" t="s">
        <v>95</v>
      </c>
      <c r="AB658" s="1">
        <v>5</v>
      </c>
      <c r="AC658" s="1">
        <v>748761.45</v>
      </c>
      <c r="AD658" s="1">
        <v>8930563.3300000001</v>
      </c>
      <c r="AE658" s="1">
        <v>209.9</v>
      </c>
      <c r="AF658" s="1">
        <v>748761.45</v>
      </c>
      <c r="AG658" s="1">
        <v>8930563.3300000001</v>
      </c>
      <c r="AH658" s="1">
        <v>199.4</v>
      </c>
      <c r="AI658" s="1">
        <v>10.5</v>
      </c>
      <c r="AJ658" s="1">
        <v>0.6</v>
      </c>
      <c r="AK658" s="1">
        <v>2.97</v>
      </c>
      <c r="AL658" s="1">
        <v>2.58</v>
      </c>
      <c r="AM658" s="1">
        <v>0</v>
      </c>
      <c r="AN658" s="1">
        <v>0</v>
      </c>
      <c r="AO658" s="1">
        <v>279.95422539999998</v>
      </c>
      <c r="AP658" s="1">
        <v>3.37</v>
      </c>
      <c r="AQ658" s="1">
        <v>0.84</v>
      </c>
      <c r="AR658" s="1">
        <v>0.15</v>
      </c>
      <c r="AS658" s="1">
        <v>0.13</v>
      </c>
      <c r="AT658" s="1">
        <v>25.54</v>
      </c>
      <c r="AU658" s="1">
        <v>6.05</v>
      </c>
      <c r="AV658" s="1">
        <v>0.37</v>
      </c>
      <c r="AW658" s="1">
        <v>2.29</v>
      </c>
      <c r="AX658" s="1">
        <v>7.88</v>
      </c>
      <c r="AY658" s="1">
        <v>0</v>
      </c>
      <c r="AZ658" s="1">
        <v>101.92</v>
      </c>
      <c r="BA658" s="1">
        <v>0</v>
      </c>
      <c r="BB658" s="1">
        <v>0</v>
      </c>
      <c r="BC658" s="1">
        <v>0</v>
      </c>
      <c r="BD658" s="1">
        <v>0</v>
      </c>
    </row>
    <row r="659" spans="1:56">
      <c r="A659" s="18">
        <v>46192</v>
      </c>
      <c r="B659" s="1">
        <v>658</v>
      </c>
      <c r="C659" s="1" t="s">
        <v>89</v>
      </c>
      <c r="D659" s="1" t="s">
        <v>90</v>
      </c>
      <c r="E659" s="1">
        <v>2</v>
      </c>
      <c r="F659" s="1">
        <v>200</v>
      </c>
      <c r="G659" s="1">
        <v>1</v>
      </c>
      <c r="H659" s="1" t="s">
        <v>91</v>
      </c>
      <c r="I659" s="1" t="s">
        <v>79</v>
      </c>
      <c r="J659" s="1" t="s">
        <v>81</v>
      </c>
      <c r="K659" s="1" t="s">
        <v>74</v>
      </c>
      <c r="L659" s="1" t="s">
        <v>72</v>
      </c>
      <c r="M659" s="1" t="s">
        <v>75</v>
      </c>
      <c r="N659" s="1" t="s">
        <v>76</v>
      </c>
      <c r="O659" s="1" t="s">
        <v>77</v>
      </c>
      <c r="P659" s="1" t="s">
        <v>27</v>
      </c>
      <c r="Q659" s="1" t="s">
        <v>86</v>
      </c>
      <c r="R659" s="1" t="s">
        <v>94</v>
      </c>
      <c r="S659" s="1" t="s">
        <v>87</v>
      </c>
      <c r="T659" s="1" t="s">
        <v>88</v>
      </c>
      <c r="X659" s="1" t="s">
        <v>73</v>
      </c>
      <c r="Z659" s="1" t="s">
        <v>70</v>
      </c>
      <c r="AA659" s="1" t="s">
        <v>95</v>
      </c>
      <c r="AB659" s="1">
        <v>5</v>
      </c>
      <c r="AC659" s="1">
        <v>748763.77</v>
      </c>
      <c r="AD659" s="1">
        <v>8930561.4800000004</v>
      </c>
      <c r="AE659" s="1">
        <v>209.98</v>
      </c>
      <c r="AF659" s="1">
        <v>748763.77</v>
      </c>
      <c r="AG659" s="1">
        <v>8930561.4800000004</v>
      </c>
      <c r="AH659" s="1">
        <v>199.4</v>
      </c>
      <c r="AI659" s="1">
        <v>10.58</v>
      </c>
      <c r="AJ659" s="1">
        <v>0.6</v>
      </c>
      <c r="AK659" s="1">
        <v>2.97</v>
      </c>
      <c r="AL659" s="1">
        <v>2.58</v>
      </c>
      <c r="AM659" s="1">
        <v>0</v>
      </c>
      <c r="AN659" s="1">
        <v>0</v>
      </c>
      <c r="AO659" s="1">
        <v>279.95422539999998</v>
      </c>
      <c r="AP659" s="1">
        <v>3.36</v>
      </c>
      <c r="AQ659" s="1">
        <v>0.83</v>
      </c>
      <c r="AR659" s="1">
        <v>0.14000000000000001</v>
      </c>
      <c r="AS659" s="1">
        <v>0.12</v>
      </c>
      <c r="AT659" s="1">
        <v>25.25</v>
      </c>
      <c r="AU659" s="1">
        <v>6.13</v>
      </c>
      <c r="AV659" s="1">
        <v>0.37</v>
      </c>
      <c r="AW659" s="1">
        <v>2.2400000000000002</v>
      </c>
      <c r="AX659" s="1">
        <v>8.2100000000000009</v>
      </c>
      <c r="AY659" s="1">
        <v>0</v>
      </c>
      <c r="AZ659" s="1">
        <v>103.08499999999999</v>
      </c>
      <c r="BA659" s="1">
        <v>0</v>
      </c>
      <c r="BB659" s="1">
        <v>0</v>
      </c>
      <c r="BC659" s="1">
        <v>0</v>
      </c>
      <c r="BD659" s="1">
        <v>0</v>
      </c>
    </row>
    <row r="660" spans="1:56">
      <c r="A660" s="18">
        <v>46192</v>
      </c>
      <c r="B660" s="1">
        <v>659</v>
      </c>
      <c r="C660" s="1" t="s">
        <v>89</v>
      </c>
      <c r="D660" s="1" t="s">
        <v>90</v>
      </c>
      <c r="E660" s="1">
        <v>2</v>
      </c>
      <c r="F660" s="1">
        <v>200</v>
      </c>
      <c r="G660" s="1">
        <v>1</v>
      </c>
      <c r="H660" s="1" t="s">
        <v>91</v>
      </c>
      <c r="I660" s="1" t="s">
        <v>79</v>
      </c>
      <c r="J660" s="1" t="s">
        <v>80</v>
      </c>
      <c r="K660" s="1" t="s">
        <v>74</v>
      </c>
      <c r="L660" s="1" t="s">
        <v>72</v>
      </c>
      <c r="M660" s="1" t="s">
        <v>75</v>
      </c>
      <c r="N660" s="1" t="s">
        <v>76</v>
      </c>
      <c r="O660" s="1" t="s">
        <v>77</v>
      </c>
      <c r="P660" s="1" t="s">
        <v>27</v>
      </c>
      <c r="Q660" s="1" t="s">
        <v>86</v>
      </c>
      <c r="R660" s="1" t="s">
        <v>94</v>
      </c>
      <c r="S660" s="1" t="s">
        <v>87</v>
      </c>
      <c r="T660" s="1" t="s">
        <v>88</v>
      </c>
      <c r="X660" s="1" t="s">
        <v>73</v>
      </c>
      <c r="Z660" s="1" t="s">
        <v>70</v>
      </c>
      <c r="AA660" s="1" t="s">
        <v>95</v>
      </c>
      <c r="AB660" s="1">
        <v>5</v>
      </c>
      <c r="AC660" s="1">
        <v>748766.07</v>
      </c>
      <c r="AD660" s="1">
        <v>8930559.6099999994</v>
      </c>
      <c r="AE660" s="1">
        <v>209.96</v>
      </c>
      <c r="AF660" s="1">
        <v>748766.07</v>
      </c>
      <c r="AG660" s="1">
        <v>8930559.6099999994</v>
      </c>
      <c r="AH660" s="1">
        <v>199.4</v>
      </c>
      <c r="AI660" s="1">
        <v>10.56</v>
      </c>
      <c r="AJ660" s="1">
        <v>0.6</v>
      </c>
      <c r="AK660" s="1">
        <v>2.97</v>
      </c>
      <c r="AL660" s="1">
        <v>2.58</v>
      </c>
      <c r="AM660" s="1">
        <v>0</v>
      </c>
      <c r="AN660" s="1">
        <v>0</v>
      </c>
      <c r="AO660" s="1">
        <v>279.95422539999998</v>
      </c>
      <c r="AP660" s="1">
        <v>3.35</v>
      </c>
      <c r="AQ660" s="1">
        <v>0.7</v>
      </c>
      <c r="AR660" s="1">
        <v>0.12</v>
      </c>
      <c r="AS660" s="1">
        <v>0.11</v>
      </c>
      <c r="AT660" s="1">
        <v>23.47</v>
      </c>
      <c r="AU660" s="1">
        <v>6.28</v>
      </c>
      <c r="AV660" s="1">
        <v>0.35</v>
      </c>
      <c r="AW660" s="1">
        <v>2</v>
      </c>
      <c r="AX660" s="1">
        <v>10.68</v>
      </c>
      <c r="AY660" s="1">
        <v>0</v>
      </c>
      <c r="AZ660" s="1">
        <v>102.794</v>
      </c>
      <c r="BA660" s="1">
        <v>0</v>
      </c>
      <c r="BB660" s="1">
        <v>0</v>
      </c>
      <c r="BC660" s="1">
        <v>0</v>
      </c>
      <c r="BD660" s="1">
        <v>0</v>
      </c>
    </row>
    <row r="661" spans="1:56">
      <c r="A661" s="18">
        <v>46192</v>
      </c>
      <c r="B661" s="1">
        <v>660</v>
      </c>
      <c r="C661" s="1" t="s">
        <v>89</v>
      </c>
      <c r="D661" s="1" t="s">
        <v>90</v>
      </c>
      <c r="E661" s="1">
        <v>2</v>
      </c>
      <c r="F661" s="1">
        <v>200</v>
      </c>
      <c r="G661" s="1">
        <v>1</v>
      </c>
      <c r="H661" s="1" t="s">
        <v>91</v>
      </c>
      <c r="I661" s="1" t="s">
        <v>79</v>
      </c>
      <c r="J661" s="1" t="s">
        <v>80</v>
      </c>
      <c r="K661" s="1" t="s">
        <v>74</v>
      </c>
      <c r="L661" s="1" t="s">
        <v>72</v>
      </c>
      <c r="M661" s="1" t="s">
        <v>75</v>
      </c>
      <c r="N661" s="1" t="s">
        <v>76</v>
      </c>
      <c r="O661" s="1" t="s">
        <v>77</v>
      </c>
      <c r="P661" s="1" t="s">
        <v>27</v>
      </c>
      <c r="Q661" s="1" t="s">
        <v>86</v>
      </c>
      <c r="R661" s="1" t="s">
        <v>94</v>
      </c>
      <c r="S661" s="1" t="s">
        <v>87</v>
      </c>
      <c r="T661" s="1" t="s">
        <v>88</v>
      </c>
      <c r="X661" s="1" t="s">
        <v>73</v>
      </c>
      <c r="Z661" s="1" t="s">
        <v>70</v>
      </c>
      <c r="AA661" s="1" t="s">
        <v>95</v>
      </c>
      <c r="AB661" s="1">
        <v>5</v>
      </c>
      <c r="AC661" s="1">
        <v>748768.33</v>
      </c>
      <c r="AD661" s="1">
        <v>8930557.6699999999</v>
      </c>
      <c r="AE661" s="1">
        <v>209.96</v>
      </c>
      <c r="AF661" s="1">
        <v>748768.33</v>
      </c>
      <c r="AG661" s="1">
        <v>8930557.6699999999</v>
      </c>
      <c r="AH661" s="1">
        <v>199.4</v>
      </c>
      <c r="AI661" s="1">
        <v>10.56</v>
      </c>
      <c r="AJ661" s="1">
        <v>0.6</v>
      </c>
      <c r="AK661" s="1">
        <v>2.97</v>
      </c>
      <c r="AL661" s="1">
        <v>2.58</v>
      </c>
      <c r="AM661" s="1">
        <v>0</v>
      </c>
      <c r="AN661" s="1">
        <v>0</v>
      </c>
      <c r="AO661" s="1">
        <v>279.95422539999998</v>
      </c>
      <c r="AP661" s="1">
        <v>3.35</v>
      </c>
      <c r="AQ661" s="1">
        <v>0.61</v>
      </c>
      <c r="AR661" s="1">
        <v>0.11</v>
      </c>
      <c r="AS661" s="1">
        <v>0.11</v>
      </c>
      <c r="AT661" s="1">
        <v>22.11</v>
      </c>
      <c r="AU661" s="1">
        <v>6.36</v>
      </c>
      <c r="AV661" s="1">
        <v>0.34</v>
      </c>
      <c r="AW661" s="1">
        <v>1.83</v>
      </c>
      <c r="AX661" s="1">
        <v>12.33</v>
      </c>
      <c r="AY661" s="1">
        <v>0</v>
      </c>
      <c r="AZ661" s="1">
        <v>102.794</v>
      </c>
      <c r="BA661" s="1">
        <v>0</v>
      </c>
      <c r="BB661" s="1">
        <v>0</v>
      </c>
      <c r="BC661" s="1">
        <v>0</v>
      </c>
      <c r="BD661" s="1">
        <v>0</v>
      </c>
    </row>
    <row r="662" spans="1:56">
      <c r="A662" s="18">
        <v>46192</v>
      </c>
      <c r="B662" s="1">
        <v>661</v>
      </c>
      <c r="C662" s="1" t="s">
        <v>89</v>
      </c>
      <c r="D662" s="1" t="s">
        <v>90</v>
      </c>
      <c r="E662" s="1">
        <v>2</v>
      </c>
      <c r="F662" s="1">
        <v>200</v>
      </c>
      <c r="G662" s="1">
        <v>1</v>
      </c>
      <c r="H662" s="1" t="s">
        <v>91</v>
      </c>
      <c r="I662" s="1" t="s">
        <v>79</v>
      </c>
      <c r="J662" s="1" t="s">
        <v>80</v>
      </c>
      <c r="K662" s="1" t="s">
        <v>74</v>
      </c>
      <c r="L662" s="1" t="s">
        <v>72</v>
      </c>
      <c r="M662" s="1" t="s">
        <v>75</v>
      </c>
      <c r="N662" s="1" t="s">
        <v>76</v>
      </c>
      <c r="O662" s="1" t="s">
        <v>77</v>
      </c>
      <c r="P662" s="1" t="s">
        <v>27</v>
      </c>
      <c r="Q662" s="1" t="s">
        <v>86</v>
      </c>
      <c r="R662" s="1" t="s">
        <v>94</v>
      </c>
      <c r="S662" s="1" t="s">
        <v>87</v>
      </c>
      <c r="T662" s="1" t="s">
        <v>88</v>
      </c>
      <c r="X662" s="1" t="s">
        <v>73</v>
      </c>
      <c r="Z662" s="1" t="s">
        <v>70</v>
      </c>
      <c r="AA662" s="1" t="s">
        <v>95</v>
      </c>
      <c r="AB662" s="1">
        <v>5</v>
      </c>
      <c r="AC662" s="1">
        <v>748770.58</v>
      </c>
      <c r="AD662" s="1">
        <v>8930555.7300000004</v>
      </c>
      <c r="AE662" s="1">
        <v>210.01</v>
      </c>
      <c r="AF662" s="1">
        <v>748770.58</v>
      </c>
      <c r="AG662" s="1">
        <v>8930555.7300000004</v>
      </c>
      <c r="AH662" s="1">
        <v>199.4</v>
      </c>
      <c r="AI662" s="1">
        <v>10.61</v>
      </c>
      <c r="AJ662" s="1">
        <v>0.6</v>
      </c>
      <c r="AK662" s="1">
        <v>2.97</v>
      </c>
      <c r="AL662" s="1">
        <v>2.58</v>
      </c>
      <c r="AM662" s="1">
        <v>0</v>
      </c>
      <c r="AN662" s="1">
        <v>0</v>
      </c>
      <c r="AO662" s="1">
        <v>279.95422539999998</v>
      </c>
      <c r="AP662" s="1">
        <v>3.35</v>
      </c>
      <c r="AQ662" s="1">
        <v>0.64</v>
      </c>
      <c r="AR662" s="1">
        <v>0.11</v>
      </c>
      <c r="AS662" s="1">
        <v>0.11</v>
      </c>
      <c r="AT662" s="1">
        <v>21.27</v>
      </c>
      <c r="AU662" s="1">
        <v>6</v>
      </c>
      <c r="AV662" s="1">
        <v>0.34</v>
      </c>
      <c r="AW662" s="1">
        <v>1.92</v>
      </c>
      <c r="AX662" s="1">
        <v>10.76</v>
      </c>
      <c r="AY662" s="1">
        <v>0</v>
      </c>
      <c r="AZ662" s="1">
        <v>103.52200000000001</v>
      </c>
      <c r="BA662" s="1">
        <v>0</v>
      </c>
      <c r="BB662" s="1">
        <v>0</v>
      </c>
      <c r="BC662" s="1">
        <v>0</v>
      </c>
      <c r="BD662" s="1">
        <v>0</v>
      </c>
    </row>
    <row r="663" spans="1:56">
      <c r="A663" s="18">
        <v>46192</v>
      </c>
      <c r="B663" s="1">
        <v>662</v>
      </c>
      <c r="C663" s="1" t="s">
        <v>89</v>
      </c>
      <c r="D663" s="1" t="s">
        <v>90</v>
      </c>
      <c r="E663" s="1">
        <v>2</v>
      </c>
      <c r="F663" s="1">
        <v>200</v>
      </c>
      <c r="G663" s="1">
        <v>1</v>
      </c>
      <c r="H663" s="1" t="s">
        <v>91</v>
      </c>
      <c r="I663" s="1" t="s">
        <v>79</v>
      </c>
      <c r="J663" s="1" t="s">
        <v>80</v>
      </c>
      <c r="K663" s="1" t="s">
        <v>74</v>
      </c>
      <c r="L663" s="1" t="s">
        <v>72</v>
      </c>
      <c r="M663" s="1" t="s">
        <v>75</v>
      </c>
      <c r="N663" s="1" t="s">
        <v>76</v>
      </c>
      <c r="O663" s="1" t="s">
        <v>77</v>
      </c>
      <c r="P663" s="1" t="s">
        <v>27</v>
      </c>
      <c r="Q663" s="1" t="s">
        <v>86</v>
      </c>
      <c r="R663" s="1" t="s">
        <v>94</v>
      </c>
      <c r="S663" s="1" t="s">
        <v>87</v>
      </c>
      <c r="T663" s="1" t="s">
        <v>88</v>
      </c>
      <c r="X663" s="1" t="s">
        <v>73</v>
      </c>
      <c r="Z663" s="1" t="s">
        <v>70</v>
      </c>
      <c r="AA663" s="1" t="s">
        <v>95</v>
      </c>
      <c r="AB663" s="1">
        <v>5</v>
      </c>
      <c r="AC663" s="1">
        <v>748772.83</v>
      </c>
      <c r="AD663" s="1">
        <v>8930553.7899999991</v>
      </c>
      <c r="AE663" s="1">
        <v>210.04</v>
      </c>
      <c r="AF663" s="1">
        <v>748772.83</v>
      </c>
      <c r="AG663" s="1">
        <v>8930553.7899999991</v>
      </c>
      <c r="AH663" s="1">
        <v>199.4</v>
      </c>
      <c r="AI663" s="1">
        <v>10.64</v>
      </c>
      <c r="AJ663" s="1">
        <v>0.6</v>
      </c>
      <c r="AK663" s="1">
        <v>2.97</v>
      </c>
      <c r="AL663" s="1">
        <v>2.58</v>
      </c>
      <c r="AM663" s="1">
        <v>0</v>
      </c>
      <c r="AN663" s="1">
        <v>0</v>
      </c>
      <c r="AO663" s="1">
        <v>279.95422539999998</v>
      </c>
      <c r="AP663" s="1">
        <v>3.36</v>
      </c>
      <c r="AQ663" s="1">
        <v>0.66</v>
      </c>
      <c r="AR663" s="1">
        <v>0.12</v>
      </c>
      <c r="AS663" s="1">
        <v>0.1</v>
      </c>
      <c r="AT663" s="1">
        <v>20.83</v>
      </c>
      <c r="AU663" s="1">
        <v>5.81</v>
      </c>
      <c r="AV663" s="1">
        <v>0.34</v>
      </c>
      <c r="AW663" s="1">
        <v>1.96</v>
      </c>
      <c r="AX663" s="1">
        <v>9.93</v>
      </c>
      <c r="AY663" s="1">
        <v>0</v>
      </c>
      <c r="AZ663" s="1">
        <v>103.958</v>
      </c>
      <c r="BA663" s="1">
        <v>0</v>
      </c>
      <c r="BB663" s="1">
        <v>0</v>
      </c>
      <c r="BC663" s="1">
        <v>0</v>
      </c>
      <c r="BD663" s="1">
        <v>0</v>
      </c>
    </row>
    <row r="664" spans="1:56">
      <c r="A664" s="18">
        <v>46192</v>
      </c>
      <c r="B664" s="1">
        <v>663</v>
      </c>
      <c r="C664" s="1" t="s">
        <v>89</v>
      </c>
      <c r="D664" s="1" t="s">
        <v>90</v>
      </c>
      <c r="E664" s="1">
        <v>2</v>
      </c>
      <c r="F664" s="1">
        <v>200</v>
      </c>
      <c r="G664" s="1">
        <v>1</v>
      </c>
      <c r="H664" s="1" t="s">
        <v>91</v>
      </c>
      <c r="I664" s="1" t="s">
        <v>79</v>
      </c>
      <c r="J664" s="1" t="s">
        <v>80</v>
      </c>
      <c r="K664" s="1" t="s">
        <v>74</v>
      </c>
      <c r="L664" s="1" t="s">
        <v>72</v>
      </c>
      <c r="M664" s="1" t="s">
        <v>75</v>
      </c>
      <c r="N664" s="1" t="s">
        <v>76</v>
      </c>
      <c r="O664" s="1" t="s">
        <v>77</v>
      </c>
      <c r="P664" s="1" t="s">
        <v>27</v>
      </c>
      <c r="Q664" s="1" t="s">
        <v>86</v>
      </c>
      <c r="R664" s="1" t="s">
        <v>94</v>
      </c>
      <c r="S664" s="1" t="s">
        <v>87</v>
      </c>
      <c r="T664" s="1" t="s">
        <v>88</v>
      </c>
      <c r="X664" s="1" t="s">
        <v>73</v>
      </c>
      <c r="Z664" s="1" t="s">
        <v>70</v>
      </c>
      <c r="AA664" s="1" t="s">
        <v>95</v>
      </c>
      <c r="AB664" s="1">
        <v>5</v>
      </c>
      <c r="AC664" s="1">
        <v>748775.08</v>
      </c>
      <c r="AD664" s="1">
        <v>8930551.8499999996</v>
      </c>
      <c r="AE664" s="1">
        <v>210.11</v>
      </c>
      <c r="AF664" s="1">
        <v>748775.08</v>
      </c>
      <c r="AG664" s="1">
        <v>8930551.8499999996</v>
      </c>
      <c r="AH664" s="1">
        <v>199.4</v>
      </c>
      <c r="AI664" s="1">
        <v>10.71</v>
      </c>
      <c r="AJ664" s="1">
        <v>0.6</v>
      </c>
      <c r="AK664" s="1">
        <v>2.97</v>
      </c>
      <c r="AL664" s="1">
        <v>2.58</v>
      </c>
      <c r="AM664" s="1">
        <v>0</v>
      </c>
      <c r="AN664" s="1">
        <v>0</v>
      </c>
      <c r="AO664" s="1">
        <v>279.95422539999998</v>
      </c>
      <c r="AP664" s="1">
        <v>3.35</v>
      </c>
      <c r="AQ664" s="1">
        <v>0.66</v>
      </c>
      <c r="AR664" s="1">
        <v>0.12</v>
      </c>
      <c r="AS664" s="1">
        <v>0.1</v>
      </c>
      <c r="AT664" s="1">
        <v>20.79</v>
      </c>
      <c r="AU664" s="1">
        <v>5.82</v>
      </c>
      <c r="AV664" s="1">
        <v>0.34</v>
      </c>
      <c r="AW664" s="1">
        <v>1.96</v>
      </c>
      <c r="AX664" s="1">
        <v>9.91</v>
      </c>
      <c r="AY664" s="1">
        <v>0</v>
      </c>
      <c r="AZ664" s="1">
        <v>104.97799999999999</v>
      </c>
      <c r="BA664" s="1">
        <v>0</v>
      </c>
      <c r="BB664" s="1">
        <v>0</v>
      </c>
      <c r="BC664" s="1">
        <v>0</v>
      </c>
      <c r="BD664" s="1">
        <v>0</v>
      </c>
    </row>
    <row r="665" spans="1:56">
      <c r="A665" s="18">
        <v>46192</v>
      </c>
      <c r="B665" s="1">
        <v>664</v>
      </c>
      <c r="C665" s="1" t="s">
        <v>89</v>
      </c>
      <c r="D665" s="1" t="s">
        <v>90</v>
      </c>
      <c r="E665" s="1">
        <v>2</v>
      </c>
      <c r="F665" s="1">
        <v>200</v>
      </c>
      <c r="G665" s="1">
        <v>1</v>
      </c>
      <c r="H665" s="1" t="s">
        <v>91</v>
      </c>
      <c r="I665" s="1" t="s">
        <v>79</v>
      </c>
      <c r="J665" s="1" t="s">
        <v>80</v>
      </c>
      <c r="K665" s="1" t="s">
        <v>74</v>
      </c>
      <c r="L665" s="1" t="s">
        <v>72</v>
      </c>
      <c r="M665" s="1" t="s">
        <v>75</v>
      </c>
      <c r="N665" s="1" t="s">
        <v>76</v>
      </c>
      <c r="O665" s="1" t="s">
        <v>77</v>
      </c>
      <c r="P665" s="1" t="s">
        <v>27</v>
      </c>
      <c r="Q665" s="1" t="s">
        <v>86</v>
      </c>
      <c r="R665" s="1" t="s">
        <v>94</v>
      </c>
      <c r="S665" s="1" t="s">
        <v>87</v>
      </c>
      <c r="T665" s="1" t="s">
        <v>88</v>
      </c>
      <c r="X665" s="1" t="s">
        <v>73</v>
      </c>
      <c r="Z665" s="1" t="s">
        <v>70</v>
      </c>
      <c r="AA665" s="1" t="s">
        <v>95</v>
      </c>
      <c r="AB665" s="1">
        <v>5</v>
      </c>
      <c r="AC665" s="1">
        <v>748777.33</v>
      </c>
      <c r="AD665" s="1">
        <v>8930549.9100000001</v>
      </c>
      <c r="AE665" s="1">
        <v>210.1</v>
      </c>
      <c r="AF665" s="1">
        <v>748777.33</v>
      </c>
      <c r="AG665" s="1">
        <v>8930549.9100000001</v>
      </c>
      <c r="AH665" s="1">
        <v>199.4</v>
      </c>
      <c r="AI665" s="1">
        <v>10.7</v>
      </c>
      <c r="AJ665" s="1">
        <v>0.6</v>
      </c>
      <c r="AK665" s="1">
        <v>2.97</v>
      </c>
      <c r="AL665" s="1">
        <v>2.58</v>
      </c>
      <c r="AM665" s="1">
        <v>0</v>
      </c>
      <c r="AN665" s="1">
        <v>0</v>
      </c>
      <c r="AO665" s="1">
        <v>279.95422539999998</v>
      </c>
      <c r="AP665" s="1">
        <v>3.31</v>
      </c>
      <c r="AQ665" s="1">
        <v>0.63</v>
      </c>
      <c r="AR665" s="1">
        <v>0.1</v>
      </c>
      <c r="AS665" s="1">
        <v>0.1</v>
      </c>
      <c r="AT665" s="1">
        <v>20.12</v>
      </c>
      <c r="AU665" s="1">
        <v>6.02</v>
      </c>
      <c r="AV665" s="1">
        <v>0.35</v>
      </c>
      <c r="AW665" s="1">
        <v>1.81</v>
      </c>
      <c r="AX665" s="1">
        <v>9.3699999999999992</v>
      </c>
      <c r="AY665" s="1">
        <v>0</v>
      </c>
      <c r="AZ665" s="1">
        <v>104.83199999999999</v>
      </c>
      <c r="BA665" s="1">
        <v>0</v>
      </c>
      <c r="BB665" s="1">
        <v>0</v>
      </c>
      <c r="BC665" s="1">
        <v>0</v>
      </c>
      <c r="BD665" s="1">
        <v>0</v>
      </c>
    </row>
    <row r="666" spans="1:56">
      <c r="A666" s="18">
        <v>46192</v>
      </c>
      <c r="B666" s="1">
        <v>665</v>
      </c>
      <c r="C666" s="1" t="s">
        <v>89</v>
      </c>
      <c r="D666" s="1" t="s">
        <v>90</v>
      </c>
      <c r="E666" s="1">
        <v>2</v>
      </c>
      <c r="F666" s="1">
        <v>200</v>
      </c>
      <c r="G666" s="1">
        <v>1</v>
      </c>
      <c r="H666" s="1" t="s">
        <v>91</v>
      </c>
      <c r="I666" s="1" t="s">
        <v>79</v>
      </c>
      <c r="J666" s="1" t="s">
        <v>80</v>
      </c>
      <c r="K666" s="1" t="s">
        <v>74</v>
      </c>
      <c r="L666" s="1" t="s">
        <v>72</v>
      </c>
      <c r="M666" s="1" t="s">
        <v>75</v>
      </c>
      <c r="N666" s="1" t="s">
        <v>76</v>
      </c>
      <c r="O666" s="1" t="s">
        <v>77</v>
      </c>
      <c r="P666" s="1" t="s">
        <v>27</v>
      </c>
      <c r="Q666" s="1" t="s">
        <v>86</v>
      </c>
      <c r="R666" s="1" t="s">
        <v>94</v>
      </c>
      <c r="S666" s="1" t="s">
        <v>87</v>
      </c>
      <c r="T666" s="1" t="s">
        <v>88</v>
      </c>
      <c r="X666" s="1" t="s">
        <v>73</v>
      </c>
      <c r="Z666" s="1" t="s">
        <v>70</v>
      </c>
      <c r="AA666" s="1" t="s">
        <v>95</v>
      </c>
      <c r="AB666" s="1">
        <v>5</v>
      </c>
      <c r="AC666" s="1">
        <v>748779.58</v>
      </c>
      <c r="AD666" s="1">
        <v>8930547.9800000004</v>
      </c>
      <c r="AE666" s="1">
        <v>210.1</v>
      </c>
      <c r="AF666" s="1">
        <v>748779.58</v>
      </c>
      <c r="AG666" s="1">
        <v>8930547.9800000004</v>
      </c>
      <c r="AH666" s="1">
        <v>199.4</v>
      </c>
      <c r="AI666" s="1">
        <v>10.7</v>
      </c>
      <c r="AJ666" s="1">
        <v>0.6</v>
      </c>
      <c r="AK666" s="1">
        <v>2.97</v>
      </c>
      <c r="AL666" s="1">
        <v>2.58</v>
      </c>
      <c r="AM666" s="1">
        <v>0</v>
      </c>
      <c r="AN666" s="1">
        <v>0</v>
      </c>
      <c r="AO666" s="1">
        <v>279.95422539999998</v>
      </c>
      <c r="AP666" s="1">
        <v>3.26</v>
      </c>
      <c r="AQ666" s="1">
        <v>0.55000000000000004</v>
      </c>
      <c r="AR666" s="1">
        <v>0.09</v>
      </c>
      <c r="AS666" s="1">
        <v>0.08</v>
      </c>
      <c r="AT666" s="1">
        <v>18.29</v>
      </c>
      <c r="AU666" s="1">
        <v>5.82</v>
      </c>
      <c r="AV666" s="1">
        <v>0.33</v>
      </c>
      <c r="AW666" s="1">
        <v>1.7</v>
      </c>
      <c r="AX666" s="1">
        <v>8.8800000000000008</v>
      </c>
      <c r="AY666" s="1">
        <v>0</v>
      </c>
      <c r="AZ666" s="1">
        <v>104.83199999999999</v>
      </c>
      <c r="BA666" s="1">
        <v>0</v>
      </c>
      <c r="BB666" s="1">
        <v>0</v>
      </c>
      <c r="BC666" s="1">
        <v>0</v>
      </c>
      <c r="BD666" s="1">
        <v>0</v>
      </c>
    </row>
    <row r="667" spans="1:56">
      <c r="A667" s="18">
        <v>46192</v>
      </c>
      <c r="B667" s="1">
        <v>666</v>
      </c>
      <c r="C667" s="1" t="s">
        <v>89</v>
      </c>
      <c r="D667" s="1" t="s">
        <v>90</v>
      </c>
      <c r="E667" s="1">
        <v>2</v>
      </c>
      <c r="F667" s="1">
        <v>200</v>
      </c>
      <c r="G667" s="1">
        <v>1</v>
      </c>
      <c r="H667" s="1" t="s">
        <v>91</v>
      </c>
      <c r="I667" s="1" t="s">
        <v>79</v>
      </c>
      <c r="J667" s="1" t="s">
        <v>80</v>
      </c>
      <c r="K667" s="1" t="s">
        <v>74</v>
      </c>
      <c r="L667" s="1" t="s">
        <v>72</v>
      </c>
      <c r="M667" s="1" t="s">
        <v>75</v>
      </c>
      <c r="N667" s="1" t="s">
        <v>76</v>
      </c>
      <c r="O667" s="1" t="s">
        <v>77</v>
      </c>
      <c r="P667" s="1" t="s">
        <v>27</v>
      </c>
      <c r="Q667" s="1" t="s">
        <v>86</v>
      </c>
      <c r="R667" s="1" t="s">
        <v>94</v>
      </c>
      <c r="S667" s="1" t="s">
        <v>87</v>
      </c>
      <c r="T667" s="1" t="s">
        <v>88</v>
      </c>
      <c r="X667" s="1" t="s">
        <v>73</v>
      </c>
      <c r="Z667" s="1" t="s">
        <v>70</v>
      </c>
      <c r="AA667" s="1" t="s">
        <v>95</v>
      </c>
      <c r="AB667" s="1">
        <v>5</v>
      </c>
      <c r="AC667" s="1">
        <v>748781.83</v>
      </c>
      <c r="AD667" s="1">
        <v>8930546.0399999991</v>
      </c>
      <c r="AE667" s="1">
        <v>210.03</v>
      </c>
      <c r="AF667" s="1">
        <v>748781.83</v>
      </c>
      <c r="AG667" s="1">
        <v>8930546.0399999991</v>
      </c>
      <c r="AH667" s="1">
        <v>199.4</v>
      </c>
      <c r="AI667" s="1">
        <v>10.63</v>
      </c>
      <c r="AJ667" s="1">
        <v>0.6</v>
      </c>
      <c r="AK667" s="1">
        <v>2.97</v>
      </c>
      <c r="AL667" s="1">
        <v>2.58</v>
      </c>
      <c r="AM667" s="1">
        <v>0</v>
      </c>
      <c r="AN667" s="1">
        <v>0</v>
      </c>
      <c r="AO667" s="1">
        <v>279.95422539999998</v>
      </c>
      <c r="AP667" s="1">
        <v>3.24</v>
      </c>
      <c r="AQ667" s="1">
        <v>0.47</v>
      </c>
      <c r="AR667" s="1">
        <v>0.08</v>
      </c>
      <c r="AS667" s="1">
        <v>7.0000000000000007E-2</v>
      </c>
      <c r="AT667" s="1">
        <v>16.36</v>
      </c>
      <c r="AU667" s="1">
        <v>5.17</v>
      </c>
      <c r="AV667" s="1">
        <v>0.27</v>
      </c>
      <c r="AW667" s="1">
        <v>1.73</v>
      </c>
      <c r="AX667" s="1">
        <v>8.91</v>
      </c>
      <c r="AY667" s="1">
        <v>0</v>
      </c>
      <c r="AZ667" s="1">
        <v>103.813</v>
      </c>
      <c r="BA667" s="1">
        <v>0</v>
      </c>
      <c r="BB667" s="1">
        <v>0</v>
      </c>
      <c r="BC667" s="1">
        <v>0</v>
      </c>
      <c r="BD667" s="1">
        <v>0</v>
      </c>
    </row>
    <row r="668" spans="1:56">
      <c r="A668" s="18">
        <v>46192</v>
      </c>
      <c r="B668" s="1">
        <v>667</v>
      </c>
      <c r="C668" s="1" t="s">
        <v>89</v>
      </c>
      <c r="D668" s="1" t="s">
        <v>90</v>
      </c>
      <c r="E668" s="1">
        <v>2</v>
      </c>
      <c r="F668" s="1">
        <v>200</v>
      </c>
      <c r="G668" s="1">
        <v>1</v>
      </c>
      <c r="H668" s="1" t="s">
        <v>91</v>
      </c>
      <c r="I668" s="1" t="s">
        <v>79</v>
      </c>
      <c r="J668" s="1" t="s">
        <v>80</v>
      </c>
      <c r="K668" s="1" t="s">
        <v>74</v>
      </c>
      <c r="L668" s="1" t="s">
        <v>72</v>
      </c>
      <c r="M668" s="1" t="s">
        <v>75</v>
      </c>
      <c r="N668" s="1" t="s">
        <v>76</v>
      </c>
      <c r="O668" s="1" t="s">
        <v>77</v>
      </c>
      <c r="P668" s="1" t="s">
        <v>27</v>
      </c>
      <c r="Q668" s="1" t="s">
        <v>86</v>
      </c>
      <c r="R668" s="1" t="s">
        <v>94</v>
      </c>
      <c r="S668" s="1" t="s">
        <v>87</v>
      </c>
      <c r="T668" s="1" t="s">
        <v>88</v>
      </c>
      <c r="X668" s="1" t="s">
        <v>73</v>
      </c>
      <c r="Z668" s="1" t="s">
        <v>70</v>
      </c>
      <c r="AA668" s="1" t="s">
        <v>95</v>
      </c>
      <c r="AB668" s="1">
        <v>5</v>
      </c>
      <c r="AC668" s="1">
        <v>748784.08</v>
      </c>
      <c r="AD668" s="1">
        <v>8930544.0999999996</v>
      </c>
      <c r="AE668" s="1">
        <v>209.98</v>
      </c>
      <c r="AF668" s="1">
        <v>748784.08</v>
      </c>
      <c r="AG668" s="1">
        <v>8930544.0999999996</v>
      </c>
      <c r="AH668" s="1">
        <v>199.4</v>
      </c>
      <c r="AI668" s="1">
        <v>10.58</v>
      </c>
      <c r="AJ668" s="1">
        <v>0.6</v>
      </c>
      <c r="AK668" s="1">
        <v>2.97</v>
      </c>
      <c r="AL668" s="1">
        <v>2.58</v>
      </c>
      <c r="AM668" s="1">
        <v>0</v>
      </c>
      <c r="AN668" s="1">
        <v>0</v>
      </c>
      <c r="AO668" s="1">
        <v>279.95422539999998</v>
      </c>
      <c r="AP668" s="1">
        <v>3.24</v>
      </c>
      <c r="AQ668" s="1">
        <v>0.47</v>
      </c>
      <c r="AR668" s="1">
        <v>0.08</v>
      </c>
      <c r="AS668" s="1">
        <v>7.0000000000000007E-2</v>
      </c>
      <c r="AT668" s="1">
        <v>16.28</v>
      </c>
      <c r="AU668" s="1">
        <v>5.14</v>
      </c>
      <c r="AV668" s="1">
        <v>0.27</v>
      </c>
      <c r="AW668" s="1">
        <v>1.73</v>
      </c>
      <c r="AX668" s="1">
        <v>8.91</v>
      </c>
      <c r="AY668" s="1">
        <v>0</v>
      </c>
      <c r="AZ668" s="1">
        <v>103.08499999999999</v>
      </c>
      <c r="BA668" s="1">
        <v>0</v>
      </c>
      <c r="BB668" s="1">
        <v>0</v>
      </c>
      <c r="BC668" s="1">
        <v>0</v>
      </c>
      <c r="BD668" s="1">
        <v>0</v>
      </c>
    </row>
    <row r="669" spans="1:56">
      <c r="A669" s="18">
        <v>46192</v>
      </c>
      <c r="B669" s="1">
        <v>668</v>
      </c>
      <c r="C669" s="1" t="s">
        <v>89</v>
      </c>
      <c r="D669" s="1" t="s">
        <v>90</v>
      </c>
      <c r="E669" s="1">
        <v>2</v>
      </c>
      <c r="F669" s="1">
        <v>200</v>
      </c>
      <c r="G669" s="1">
        <v>1</v>
      </c>
      <c r="H669" s="1" t="s">
        <v>91</v>
      </c>
      <c r="I669" s="1" t="s">
        <v>79</v>
      </c>
      <c r="J669" s="1" t="s">
        <v>80</v>
      </c>
      <c r="K669" s="1" t="s">
        <v>74</v>
      </c>
      <c r="L669" s="1" t="s">
        <v>72</v>
      </c>
      <c r="M669" s="1" t="s">
        <v>75</v>
      </c>
      <c r="N669" s="1" t="s">
        <v>76</v>
      </c>
      <c r="O669" s="1" t="s">
        <v>77</v>
      </c>
      <c r="P669" s="1" t="s">
        <v>27</v>
      </c>
      <c r="Q669" s="1" t="s">
        <v>86</v>
      </c>
      <c r="R669" s="1" t="s">
        <v>94</v>
      </c>
      <c r="S669" s="1" t="s">
        <v>87</v>
      </c>
      <c r="T669" s="1" t="s">
        <v>88</v>
      </c>
      <c r="X669" s="1" t="s">
        <v>73</v>
      </c>
      <c r="Z669" s="1" t="s">
        <v>70</v>
      </c>
      <c r="AA669" s="1" t="s">
        <v>95</v>
      </c>
      <c r="AB669" s="1">
        <v>5</v>
      </c>
      <c r="AC669" s="1">
        <v>748786.27</v>
      </c>
      <c r="AD669" s="1">
        <v>8930542.1099999994</v>
      </c>
      <c r="AE669" s="1">
        <v>209.81</v>
      </c>
      <c r="AF669" s="1">
        <v>748786.27</v>
      </c>
      <c r="AG669" s="1">
        <v>8930542.1099999994</v>
      </c>
      <c r="AH669" s="1">
        <v>199.4</v>
      </c>
      <c r="AI669" s="1">
        <v>10.41</v>
      </c>
      <c r="AJ669" s="1">
        <v>0.6</v>
      </c>
      <c r="AK669" s="1">
        <v>2.97</v>
      </c>
      <c r="AL669" s="1">
        <v>2.58</v>
      </c>
      <c r="AM669" s="1">
        <v>0</v>
      </c>
      <c r="AN669" s="1">
        <v>0</v>
      </c>
      <c r="AO669" s="1">
        <v>279.95422539999998</v>
      </c>
      <c r="AP669" s="1">
        <v>3.24</v>
      </c>
      <c r="AQ669" s="1">
        <v>0.47</v>
      </c>
      <c r="AR669" s="1">
        <v>0.08</v>
      </c>
      <c r="AS669" s="1">
        <v>7.0000000000000007E-2</v>
      </c>
      <c r="AT669" s="1">
        <v>16.28</v>
      </c>
      <c r="AU669" s="1">
        <v>5.14</v>
      </c>
      <c r="AV669" s="1">
        <v>0.27</v>
      </c>
      <c r="AW669" s="1">
        <v>1.73</v>
      </c>
      <c r="AX669" s="1">
        <v>8.9</v>
      </c>
      <c r="AY669" s="1">
        <v>0</v>
      </c>
      <c r="AZ669" s="1">
        <v>100.61</v>
      </c>
      <c r="BA669" s="1">
        <v>0</v>
      </c>
      <c r="BB669" s="1">
        <v>0</v>
      </c>
      <c r="BC669" s="1">
        <v>0</v>
      </c>
      <c r="BD669" s="1">
        <v>0</v>
      </c>
    </row>
    <row r="670" spans="1:56">
      <c r="A670" s="18">
        <v>46192</v>
      </c>
      <c r="B670" s="1">
        <v>669</v>
      </c>
      <c r="C670" s="1" t="s">
        <v>89</v>
      </c>
      <c r="D670" s="1" t="s">
        <v>90</v>
      </c>
      <c r="E670" s="1">
        <v>2</v>
      </c>
      <c r="F670" s="1">
        <v>200</v>
      </c>
      <c r="G670" s="1">
        <v>1</v>
      </c>
      <c r="H670" s="1" t="s">
        <v>91</v>
      </c>
      <c r="I670" s="1" t="s">
        <v>79</v>
      </c>
      <c r="J670" s="1" t="s">
        <v>80</v>
      </c>
      <c r="K670" s="1" t="s">
        <v>74</v>
      </c>
      <c r="L670" s="1" t="s">
        <v>72</v>
      </c>
      <c r="M670" s="1" t="s">
        <v>75</v>
      </c>
      <c r="N670" s="1" t="s">
        <v>76</v>
      </c>
      <c r="O670" s="1" t="s">
        <v>77</v>
      </c>
      <c r="P670" s="1" t="s">
        <v>27</v>
      </c>
      <c r="Q670" s="1" t="s">
        <v>86</v>
      </c>
      <c r="R670" s="1" t="s">
        <v>94</v>
      </c>
      <c r="S670" s="1" t="s">
        <v>87</v>
      </c>
      <c r="T670" s="1" t="s">
        <v>88</v>
      </c>
      <c r="X670" s="1" t="s">
        <v>73</v>
      </c>
      <c r="Z670" s="1" t="s">
        <v>70</v>
      </c>
      <c r="AA670" s="1" t="s">
        <v>95</v>
      </c>
      <c r="AB670" s="1">
        <v>5</v>
      </c>
      <c r="AC670" s="1">
        <v>748787.97</v>
      </c>
      <c r="AD670" s="1">
        <v>8930539.6699999999</v>
      </c>
      <c r="AE670" s="1">
        <v>209.77</v>
      </c>
      <c r="AF670" s="1">
        <v>748787.97</v>
      </c>
      <c r="AG670" s="1">
        <v>8930539.6699999999</v>
      </c>
      <c r="AH670" s="1">
        <v>199.4</v>
      </c>
      <c r="AI670" s="1">
        <v>10.37</v>
      </c>
      <c r="AJ670" s="1">
        <v>0.6</v>
      </c>
      <c r="AK670" s="1">
        <v>2.97</v>
      </c>
      <c r="AL670" s="1">
        <v>2.58</v>
      </c>
      <c r="AM670" s="1">
        <v>0</v>
      </c>
      <c r="AN670" s="1">
        <v>0</v>
      </c>
      <c r="AO670" s="1">
        <v>279.95422539999998</v>
      </c>
      <c r="AP670" s="1">
        <v>3.2</v>
      </c>
      <c r="AQ670" s="1">
        <v>0.56000000000000005</v>
      </c>
      <c r="AR670" s="1">
        <v>0.08</v>
      </c>
      <c r="AS670" s="1">
        <v>7.0000000000000007E-2</v>
      </c>
      <c r="AT670" s="1">
        <v>16.78</v>
      </c>
      <c r="AU670" s="1">
        <v>5.94</v>
      </c>
      <c r="AV670" s="1">
        <v>0.32</v>
      </c>
      <c r="AW670" s="1">
        <v>1.75</v>
      </c>
      <c r="AX670" s="1">
        <v>7.89</v>
      </c>
      <c r="AY670" s="1">
        <v>0</v>
      </c>
      <c r="AZ670" s="1">
        <v>100.027</v>
      </c>
      <c r="BA670" s="1">
        <v>0</v>
      </c>
      <c r="BB670" s="1">
        <v>0</v>
      </c>
      <c r="BC670" s="1">
        <v>0</v>
      </c>
      <c r="BD670" s="1">
        <v>0</v>
      </c>
    </row>
    <row r="671" spans="1:56">
      <c r="A671" s="18">
        <v>46192</v>
      </c>
      <c r="B671" s="1">
        <v>670</v>
      </c>
      <c r="C671" s="1" t="s">
        <v>89</v>
      </c>
      <c r="D671" s="1" t="s">
        <v>90</v>
      </c>
      <c r="E671" s="1">
        <v>2</v>
      </c>
      <c r="F671" s="1">
        <v>200</v>
      </c>
      <c r="G671" s="1">
        <v>1</v>
      </c>
      <c r="H671" s="1" t="s">
        <v>91</v>
      </c>
      <c r="I671" s="1" t="s">
        <v>79</v>
      </c>
      <c r="J671" s="1" t="s">
        <v>80</v>
      </c>
      <c r="K671" s="1" t="s">
        <v>74</v>
      </c>
      <c r="L671" s="1" t="s">
        <v>72</v>
      </c>
      <c r="M671" s="1" t="s">
        <v>75</v>
      </c>
      <c r="N671" s="1" t="s">
        <v>76</v>
      </c>
      <c r="O671" s="1" t="s">
        <v>77</v>
      </c>
      <c r="P671" s="1" t="s">
        <v>27</v>
      </c>
      <c r="Q671" s="1" t="s">
        <v>86</v>
      </c>
      <c r="R671" s="1" t="s">
        <v>94</v>
      </c>
      <c r="S671" s="1" t="s">
        <v>87</v>
      </c>
      <c r="T671" s="1" t="s">
        <v>88</v>
      </c>
      <c r="X671" s="1" t="s">
        <v>73</v>
      </c>
      <c r="Z671" s="1" t="s">
        <v>70</v>
      </c>
      <c r="AA671" s="1" t="s">
        <v>95</v>
      </c>
      <c r="AB671" s="1">
        <v>5</v>
      </c>
      <c r="AC671" s="1">
        <v>748789.58</v>
      </c>
      <c r="AD671" s="1">
        <v>8930537.1799999997</v>
      </c>
      <c r="AE671" s="1">
        <v>209.71</v>
      </c>
      <c r="AF671" s="1">
        <v>748789.58</v>
      </c>
      <c r="AG671" s="1">
        <v>8930537.1799999997</v>
      </c>
      <c r="AH671" s="1">
        <v>199.4</v>
      </c>
      <c r="AI671" s="1">
        <v>10.31</v>
      </c>
      <c r="AJ671" s="1">
        <v>0.6</v>
      </c>
      <c r="AK671" s="1">
        <v>2.97</v>
      </c>
      <c r="AL671" s="1">
        <v>2.58</v>
      </c>
      <c r="AM671" s="1">
        <v>0</v>
      </c>
      <c r="AN671" s="1">
        <v>0</v>
      </c>
      <c r="AO671" s="1">
        <v>279.95422539999998</v>
      </c>
      <c r="AP671" s="1">
        <v>3.19</v>
      </c>
      <c r="AQ671" s="1">
        <v>0.56999999999999995</v>
      </c>
      <c r="AR671" s="1">
        <v>0.08</v>
      </c>
      <c r="AS671" s="1">
        <v>7.0000000000000007E-2</v>
      </c>
      <c r="AT671" s="1">
        <v>16.73</v>
      </c>
      <c r="AU671" s="1">
        <v>6.39</v>
      </c>
      <c r="AV671" s="1">
        <v>0.35</v>
      </c>
      <c r="AW671" s="1">
        <v>1.61</v>
      </c>
      <c r="AX671" s="1">
        <v>7.68</v>
      </c>
      <c r="AY671" s="1">
        <v>0</v>
      </c>
      <c r="AZ671" s="1">
        <v>99.153999999999996</v>
      </c>
      <c r="BA671" s="1">
        <v>0</v>
      </c>
      <c r="BB671" s="1">
        <v>0</v>
      </c>
      <c r="BC671" s="1">
        <v>0</v>
      </c>
      <c r="BD671" s="1">
        <v>0</v>
      </c>
    </row>
    <row r="672" spans="1:56">
      <c r="A672" s="18">
        <v>46192</v>
      </c>
      <c r="B672" s="1">
        <v>671</v>
      </c>
      <c r="C672" s="1" t="s">
        <v>89</v>
      </c>
      <c r="D672" s="1" t="s">
        <v>90</v>
      </c>
      <c r="E672" s="1">
        <v>2</v>
      </c>
      <c r="F672" s="1">
        <v>200</v>
      </c>
      <c r="G672" s="1">
        <v>1</v>
      </c>
      <c r="H672" s="1" t="s">
        <v>91</v>
      </c>
      <c r="I672" s="1" t="s">
        <v>79</v>
      </c>
      <c r="J672" s="1" t="s">
        <v>80</v>
      </c>
      <c r="K672" s="1" t="s">
        <v>74</v>
      </c>
      <c r="L672" s="1" t="s">
        <v>72</v>
      </c>
      <c r="M672" s="1" t="s">
        <v>75</v>
      </c>
      <c r="N672" s="1" t="s">
        <v>82</v>
      </c>
      <c r="O672" s="1" t="s">
        <v>77</v>
      </c>
      <c r="P672" s="1" t="s">
        <v>27</v>
      </c>
      <c r="Q672" s="1" t="s">
        <v>86</v>
      </c>
      <c r="R672" s="1" t="s">
        <v>94</v>
      </c>
      <c r="S672" s="1" t="s">
        <v>87</v>
      </c>
      <c r="T672" s="1" t="s">
        <v>88</v>
      </c>
      <c r="X672" s="1" t="s">
        <v>73</v>
      </c>
      <c r="Z672" s="1" t="s">
        <v>70</v>
      </c>
      <c r="AA672" s="1" t="s">
        <v>95</v>
      </c>
      <c r="AB672" s="1">
        <v>5</v>
      </c>
      <c r="AC672" s="1">
        <v>748791.19</v>
      </c>
      <c r="AD672" s="1">
        <v>8930534.6799999997</v>
      </c>
      <c r="AE672" s="1">
        <v>209.64</v>
      </c>
      <c r="AF672" s="1">
        <v>748791.19</v>
      </c>
      <c r="AG672" s="1">
        <v>8930534.6799999997</v>
      </c>
      <c r="AH672" s="1">
        <v>199.4</v>
      </c>
      <c r="AI672" s="1">
        <v>10.24</v>
      </c>
      <c r="AJ672" s="1">
        <v>0.6</v>
      </c>
      <c r="AK672" s="1">
        <v>2.97</v>
      </c>
      <c r="AL672" s="1">
        <v>2.58</v>
      </c>
      <c r="AM672" s="1">
        <v>0</v>
      </c>
      <c r="AN672" s="1">
        <v>0</v>
      </c>
      <c r="AO672" s="1">
        <v>279.95422539999998</v>
      </c>
      <c r="AP672" s="1">
        <v>3.2</v>
      </c>
      <c r="AQ672" s="1">
        <v>0.5</v>
      </c>
      <c r="AR672" s="1">
        <v>7.0000000000000007E-2</v>
      </c>
      <c r="AS672" s="1">
        <v>7.0000000000000007E-2</v>
      </c>
      <c r="AT672" s="1">
        <v>16.239999999999998</v>
      </c>
      <c r="AU672" s="1">
        <v>6.27</v>
      </c>
      <c r="AV672" s="1">
        <v>0.35</v>
      </c>
      <c r="AW672" s="1">
        <v>1.41</v>
      </c>
      <c r="AX672" s="1">
        <v>8.2799999999999994</v>
      </c>
      <c r="AY672" s="1">
        <v>0</v>
      </c>
      <c r="AZ672" s="1">
        <v>98.134</v>
      </c>
      <c r="BA672" s="1">
        <v>0</v>
      </c>
      <c r="BB672" s="1">
        <v>0</v>
      </c>
      <c r="BC672" s="1">
        <v>0</v>
      </c>
      <c r="BD672" s="1">
        <v>0</v>
      </c>
    </row>
    <row r="673" spans="1:56">
      <c r="A673" s="18">
        <v>46192</v>
      </c>
      <c r="B673" s="1">
        <v>672</v>
      </c>
      <c r="C673" s="1" t="s">
        <v>89</v>
      </c>
      <c r="D673" s="1" t="s">
        <v>90</v>
      </c>
      <c r="E673" s="1">
        <v>2</v>
      </c>
      <c r="F673" s="1">
        <v>200</v>
      </c>
      <c r="G673" s="1">
        <v>1</v>
      </c>
      <c r="H673" s="1" t="s">
        <v>91</v>
      </c>
      <c r="I673" s="1" t="s">
        <v>79</v>
      </c>
      <c r="J673" s="1" t="s">
        <v>80</v>
      </c>
      <c r="K673" s="1" t="s">
        <v>74</v>
      </c>
      <c r="L673" s="1" t="s">
        <v>72</v>
      </c>
      <c r="M673" s="1" t="s">
        <v>75</v>
      </c>
      <c r="N673" s="1" t="s">
        <v>82</v>
      </c>
      <c r="O673" s="1" t="s">
        <v>77</v>
      </c>
      <c r="P673" s="1" t="s">
        <v>27</v>
      </c>
      <c r="Q673" s="1" t="s">
        <v>86</v>
      </c>
      <c r="R673" s="1" t="s">
        <v>94</v>
      </c>
      <c r="S673" s="1" t="s">
        <v>87</v>
      </c>
      <c r="T673" s="1" t="s">
        <v>88</v>
      </c>
      <c r="X673" s="1" t="s">
        <v>73</v>
      </c>
      <c r="Z673" s="1" t="s">
        <v>70</v>
      </c>
      <c r="AA673" s="1" t="s">
        <v>95</v>
      </c>
      <c r="AB673" s="1">
        <v>5</v>
      </c>
      <c r="AC673" s="1">
        <v>748792.79</v>
      </c>
      <c r="AD673" s="1">
        <v>8930532.1799999997</v>
      </c>
      <c r="AE673" s="1">
        <v>209.59</v>
      </c>
      <c r="AF673" s="1">
        <v>748792.79</v>
      </c>
      <c r="AG673" s="1">
        <v>8930532.1799999997</v>
      </c>
      <c r="AH673" s="1">
        <v>199.4</v>
      </c>
      <c r="AI673" s="1">
        <v>10.19</v>
      </c>
      <c r="AJ673" s="1">
        <v>0.6</v>
      </c>
      <c r="AK673" s="1">
        <v>2.97</v>
      </c>
      <c r="AL673" s="1">
        <v>2.58</v>
      </c>
      <c r="AM673" s="1">
        <v>0</v>
      </c>
      <c r="AN673" s="1">
        <v>0</v>
      </c>
      <c r="AO673" s="1">
        <v>279.95422539999998</v>
      </c>
      <c r="AP673" s="1">
        <v>3.2</v>
      </c>
      <c r="AQ673" s="1">
        <v>0.47</v>
      </c>
      <c r="AR673" s="1">
        <v>7.0000000000000007E-2</v>
      </c>
      <c r="AS673" s="1">
        <v>7.0000000000000007E-2</v>
      </c>
      <c r="AT673" s="1">
        <v>16.07</v>
      </c>
      <c r="AU673" s="1">
        <v>6.22</v>
      </c>
      <c r="AV673" s="1">
        <v>0.35</v>
      </c>
      <c r="AW673" s="1">
        <v>1.35</v>
      </c>
      <c r="AX673" s="1">
        <v>8.48</v>
      </c>
      <c r="AY673" s="1">
        <v>0</v>
      </c>
      <c r="AZ673" s="1">
        <v>97.406000000000006</v>
      </c>
      <c r="BA673" s="1">
        <v>0</v>
      </c>
      <c r="BB673" s="1">
        <v>0</v>
      </c>
      <c r="BC673" s="1">
        <v>0</v>
      </c>
      <c r="BD673" s="1">
        <v>0</v>
      </c>
    </row>
    <row r="674" spans="1:56">
      <c r="A674" s="18">
        <v>46192</v>
      </c>
      <c r="B674" s="1">
        <v>673</v>
      </c>
      <c r="C674" s="1" t="s">
        <v>89</v>
      </c>
      <c r="D674" s="1" t="s">
        <v>90</v>
      </c>
      <c r="E674" s="1">
        <v>2</v>
      </c>
      <c r="F674" s="1">
        <v>200</v>
      </c>
      <c r="G674" s="1">
        <v>1</v>
      </c>
      <c r="H674" s="1" t="s">
        <v>91</v>
      </c>
      <c r="I674" s="1" t="s">
        <v>79</v>
      </c>
      <c r="J674" s="1" t="s">
        <v>81</v>
      </c>
      <c r="K674" s="1" t="s">
        <v>74</v>
      </c>
      <c r="L674" s="1" t="s">
        <v>72</v>
      </c>
      <c r="M674" s="1" t="s">
        <v>75</v>
      </c>
      <c r="N674" s="1" t="s">
        <v>82</v>
      </c>
      <c r="O674" s="1" t="s">
        <v>77</v>
      </c>
      <c r="P674" s="1" t="s">
        <v>27</v>
      </c>
      <c r="Q674" s="1" t="s">
        <v>86</v>
      </c>
      <c r="R674" s="1" t="s">
        <v>94</v>
      </c>
      <c r="S674" s="1" t="s">
        <v>87</v>
      </c>
      <c r="T674" s="1" t="s">
        <v>88</v>
      </c>
      <c r="X674" s="1" t="s">
        <v>73</v>
      </c>
      <c r="Z674" s="1" t="s">
        <v>70</v>
      </c>
      <c r="AA674" s="1" t="s">
        <v>95</v>
      </c>
      <c r="AB674" s="1">
        <v>5</v>
      </c>
      <c r="AC674" s="1">
        <v>748794.39</v>
      </c>
      <c r="AD674" s="1">
        <v>8930529.6799999997</v>
      </c>
      <c r="AE674" s="1">
        <v>209.69</v>
      </c>
      <c r="AF674" s="1">
        <v>748794.39</v>
      </c>
      <c r="AG674" s="1">
        <v>8930529.6799999997</v>
      </c>
      <c r="AH674" s="1">
        <v>199.4</v>
      </c>
      <c r="AI674" s="1">
        <v>10.29</v>
      </c>
      <c r="AJ674" s="1">
        <v>0.6</v>
      </c>
      <c r="AK674" s="1">
        <v>2.97</v>
      </c>
      <c r="AL674" s="1">
        <v>2.58</v>
      </c>
      <c r="AM674" s="1">
        <v>0</v>
      </c>
      <c r="AN674" s="1">
        <v>0</v>
      </c>
      <c r="AO674" s="1">
        <v>279.95422539999998</v>
      </c>
      <c r="AP674" s="1">
        <v>3.18</v>
      </c>
      <c r="AQ674" s="1">
        <v>0.6</v>
      </c>
      <c r="AR674" s="1">
        <v>0.08</v>
      </c>
      <c r="AS674" s="1">
        <v>0.08</v>
      </c>
      <c r="AT674" s="1">
        <v>17.78</v>
      </c>
      <c r="AU674" s="1">
        <v>6.79</v>
      </c>
      <c r="AV674" s="1">
        <v>0.39</v>
      </c>
      <c r="AW674" s="1">
        <v>1.52</v>
      </c>
      <c r="AX674" s="1">
        <v>8.2799999999999994</v>
      </c>
      <c r="AY674" s="1">
        <v>0</v>
      </c>
      <c r="AZ674" s="1">
        <v>98.861999999999995</v>
      </c>
      <c r="BA674" s="1">
        <v>0</v>
      </c>
      <c r="BB674" s="1">
        <v>0</v>
      </c>
      <c r="BC674" s="1">
        <v>0</v>
      </c>
      <c r="BD674" s="1">
        <v>0</v>
      </c>
    </row>
    <row r="675" spans="1:56">
      <c r="A675" s="18">
        <v>46192</v>
      </c>
      <c r="B675" s="1">
        <v>674</v>
      </c>
      <c r="C675" s="1" t="s">
        <v>89</v>
      </c>
      <c r="D675" s="1" t="s">
        <v>90</v>
      </c>
      <c r="E675" s="1">
        <v>2</v>
      </c>
      <c r="F675" s="1">
        <v>200</v>
      </c>
      <c r="G675" s="1">
        <v>1</v>
      </c>
      <c r="H675" s="1" t="s">
        <v>91</v>
      </c>
      <c r="I675" s="1" t="s">
        <v>79</v>
      </c>
      <c r="J675" s="1" t="s">
        <v>81</v>
      </c>
      <c r="K675" s="1" t="s">
        <v>74</v>
      </c>
      <c r="L675" s="1" t="s">
        <v>72</v>
      </c>
      <c r="M675" s="1" t="s">
        <v>75</v>
      </c>
      <c r="N675" s="1" t="s">
        <v>82</v>
      </c>
      <c r="O675" s="1" t="s">
        <v>77</v>
      </c>
      <c r="P675" s="1" t="s">
        <v>27</v>
      </c>
      <c r="Q675" s="1" t="s">
        <v>86</v>
      </c>
      <c r="R675" s="1" t="s">
        <v>94</v>
      </c>
      <c r="S675" s="1" t="s">
        <v>87</v>
      </c>
      <c r="T675" s="1" t="s">
        <v>88</v>
      </c>
      <c r="X675" s="1" t="s">
        <v>73</v>
      </c>
      <c r="Z675" s="1" t="s">
        <v>70</v>
      </c>
      <c r="AA675" s="1" t="s">
        <v>95</v>
      </c>
      <c r="AB675" s="1">
        <v>5</v>
      </c>
      <c r="AC675" s="1">
        <v>748796</v>
      </c>
      <c r="AD675" s="1">
        <v>8930527.1799999997</v>
      </c>
      <c r="AE675" s="1">
        <v>209.75</v>
      </c>
      <c r="AF675" s="1">
        <v>748796</v>
      </c>
      <c r="AG675" s="1">
        <v>8930527.1799999997</v>
      </c>
      <c r="AH675" s="1">
        <v>199.4</v>
      </c>
      <c r="AI675" s="1">
        <v>10.35</v>
      </c>
      <c r="AJ675" s="1">
        <v>0.6</v>
      </c>
      <c r="AK675" s="1">
        <v>2.97</v>
      </c>
      <c r="AL675" s="1">
        <v>2.58</v>
      </c>
      <c r="AM675" s="1">
        <v>0</v>
      </c>
      <c r="AN675" s="1">
        <v>0</v>
      </c>
      <c r="AO675" s="1">
        <v>279.95422539999998</v>
      </c>
      <c r="AP675" s="1">
        <v>3.16</v>
      </c>
      <c r="AQ675" s="1">
        <v>0.7</v>
      </c>
      <c r="AR675" s="1">
        <v>0.08</v>
      </c>
      <c r="AS675" s="1">
        <v>0.09</v>
      </c>
      <c r="AT675" s="1">
        <v>18.96</v>
      </c>
      <c r="AU675" s="1">
        <v>7.18</v>
      </c>
      <c r="AV675" s="1">
        <v>0.42</v>
      </c>
      <c r="AW675" s="1">
        <v>1.64</v>
      </c>
      <c r="AX675" s="1">
        <v>8.14</v>
      </c>
      <c r="AY675" s="1">
        <v>0</v>
      </c>
      <c r="AZ675" s="1">
        <v>99.736000000000004</v>
      </c>
      <c r="BA675" s="1">
        <v>0</v>
      </c>
      <c r="BB675" s="1">
        <v>0</v>
      </c>
      <c r="BC675" s="1">
        <v>0</v>
      </c>
      <c r="BD675" s="1">
        <v>0</v>
      </c>
    </row>
    <row r="676" spans="1:56">
      <c r="A676" s="18">
        <v>46192</v>
      </c>
      <c r="B676" s="1">
        <v>675</v>
      </c>
      <c r="C676" s="1" t="s">
        <v>89</v>
      </c>
      <c r="D676" s="1" t="s">
        <v>90</v>
      </c>
      <c r="E676" s="1">
        <v>2</v>
      </c>
      <c r="F676" s="1">
        <v>200</v>
      </c>
      <c r="G676" s="1">
        <v>1</v>
      </c>
      <c r="H676" s="1" t="s">
        <v>91</v>
      </c>
      <c r="I676" s="1" t="s">
        <v>79</v>
      </c>
      <c r="J676" s="1" t="s">
        <v>81</v>
      </c>
      <c r="K676" s="1" t="s">
        <v>74</v>
      </c>
      <c r="L676" s="1" t="s">
        <v>72</v>
      </c>
      <c r="M676" s="1" t="s">
        <v>75</v>
      </c>
      <c r="N676" s="1" t="s">
        <v>82</v>
      </c>
      <c r="O676" s="1" t="s">
        <v>77</v>
      </c>
      <c r="P676" s="1" t="s">
        <v>27</v>
      </c>
      <c r="Q676" s="1" t="s">
        <v>86</v>
      </c>
      <c r="R676" s="1" t="s">
        <v>94</v>
      </c>
      <c r="S676" s="1" t="s">
        <v>87</v>
      </c>
      <c r="T676" s="1" t="s">
        <v>88</v>
      </c>
      <c r="X676" s="1" t="s">
        <v>73</v>
      </c>
      <c r="Z676" s="1" t="s">
        <v>70</v>
      </c>
      <c r="AA676" s="1" t="s">
        <v>95</v>
      </c>
      <c r="AB676" s="1">
        <v>5</v>
      </c>
      <c r="AC676" s="1">
        <v>748797.6</v>
      </c>
      <c r="AD676" s="1">
        <v>8930524.6799999997</v>
      </c>
      <c r="AE676" s="1">
        <v>209.67</v>
      </c>
      <c r="AF676" s="1">
        <v>748797.6</v>
      </c>
      <c r="AG676" s="1">
        <v>8930524.6799999997</v>
      </c>
      <c r="AH676" s="1">
        <v>199.4</v>
      </c>
      <c r="AI676" s="1">
        <v>10.27</v>
      </c>
      <c r="AJ676" s="1">
        <v>0.6</v>
      </c>
      <c r="AK676" s="1">
        <v>2.97</v>
      </c>
      <c r="AL676" s="1">
        <v>2.58</v>
      </c>
      <c r="AM676" s="1">
        <v>0</v>
      </c>
      <c r="AN676" s="1">
        <v>0</v>
      </c>
      <c r="AO676" s="1">
        <v>279.95422539999998</v>
      </c>
      <c r="AP676" s="1">
        <v>3.16</v>
      </c>
      <c r="AQ676" s="1">
        <v>0.7</v>
      </c>
      <c r="AR676" s="1">
        <v>0.08</v>
      </c>
      <c r="AS676" s="1">
        <v>0.09</v>
      </c>
      <c r="AT676" s="1">
        <v>18.96</v>
      </c>
      <c r="AU676" s="1">
        <v>7.18</v>
      </c>
      <c r="AV676" s="1">
        <v>0.42</v>
      </c>
      <c r="AW676" s="1">
        <v>1.64</v>
      </c>
      <c r="AX676" s="1">
        <v>8.14</v>
      </c>
      <c r="AY676" s="1">
        <v>0</v>
      </c>
      <c r="AZ676" s="1">
        <v>98.570999999999998</v>
      </c>
      <c r="BA676" s="1">
        <v>0</v>
      </c>
      <c r="BB676" s="1">
        <v>0</v>
      </c>
      <c r="BC676" s="1">
        <v>0</v>
      </c>
      <c r="BD676" s="1">
        <v>0</v>
      </c>
    </row>
    <row r="677" spans="1:56">
      <c r="A677" s="18">
        <v>46192</v>
      </c>
      <c r="B677" s="1">
        <v>676</v>
      </c>
      <c r="C677" s="1" t="s">
        <v>89</v>
      </c>
      <c r="D677" s="1" t="s">
        <v>90</v>
      </c>
      <c r="E677" s="1">
        <v>2</v>
      </c>
      <c r="F677" s="1">
        <v>200</v>
      </c>
      <c r="G677" s="1">
        <v>1</v>
      </c>
      <c r="H677" s="1" t="s">
        <v>91</v>
      </c>
      <c r="I677" s="1" t="s">
        <v>79</v>
      </c>
      <c r="J677" s="1" t="s">
        <v>81</v>
      </c>
      <c r="K677" s="1" t="s">
        <v>74</v>
      </c>
      <c r="L677" s="1" t="s">
        <v>72</v>
      </c>
      <c r="M677" s="1" t="s">
        <v>75</v>
      </c>
      <c r="N677" s="1" t="s">
        <v>82</v>
      </c>
      <c r="O677" s="1" t="s">
        <v>77</v>
      </c>
      <c r="P677" s="1" t="s">
        <v>27</v>
      </c>
      <c r="Q677" s="1" t="s">
        <v>86</v>
      </c>
      <c r="R677" s="1" t="s">
        <v>94</v>
      </c>
      <c r="S677" s="1" t="s">
        <v>87</v>
      </c>
      <c r="T677" s="1" t="s">
        <v>88</v>
      </c>
      <c r="X677" s="1" t="s">
        <v>73</v>
      </c>
      <c r="Z677" s="1" t="s">
        <v>70</v>
      </c>
      <c r="AA677" s="1" t="s">
        <v>95</v>
      </c>
      <c r="AB677" s="1">
        <v>5</v>
      </c>
      <c r="AC677" s="1">
        <v>748799.2</v>
      </c>
      <c r="AD677" s="1">
        <v>8930522.1799999997</v>
      </c>
      <c r="AE677" s="1">
        <v>209.86</v>
      </c>
      <c r="AF677" s="1">
        <v>748799.2</v>
      </c>
      <c r="AG677" s="1">
        <v>8930522.1799999997</v>
      </c>
      <c r="AH677" s="1">
        <v>199.4</v>
      </c>
      <c r="AI677" s="1">
        <v>10.46</v>
      </c>
      <c r="AJ677" s="1">
        <v>0.6</v>
      </c>
      <c r="AK677" s="1">
        <v>2.97</v>
      </c>
      <c r="AL677" s="1">
        <v>2.58</v>
      </c>
      <c r="AM677" s="1">
        <v>0</v>
      </c>
      <c r="AN677" s="1">
        <v>0</v>
      </c>
      <c r="AO677" s="1">
        <v>279.95422539999998</v>
      </c>
      <c r="AP677" s="1">
        <v>3.16</v>
      </c>
      <c r="AQ677" s="1">
        <v>0.7</v>
      </c>
      <c r="AR677" s="1">
        <v>0.08</v>
      </c>
      <c r="AS677" s="1">
        <v>0.09</v>
      </c>
      <c r="AT677" s="1">
        <v>18.55</v>
      </c>
      <c r="AU677" s="1">
        <v>6.81</v>
      </c>
      <c r="AV677" s="1">
        <v>0.43</v>
      </c>
      <c r="AW677" s="1">
        <v>1.62</v>
      </c>
      <c r="AX677" s="1">
        <v>8.1199999999999992</v>
      </c>
      <c r="AY677" s="1">
        <v>0</v>
      </c>
      <c r="AZ677" s="1">
        <v>101.33799999999999</v>
      </c>
      <c r="BA677" s="1">
        <v>0</v>
      </c>
      <c r="BB677" s="1">
        <v>0</v>
      </c>
      <c r="BC677" s="1">
        <v>0</v>
      </c>
      <c r="BD677" s="1">
        <v>0</v>
      </c>
    </row>
    <row r="678" spans="1:56">
      <c r="A678" s="18">
        <v>46192</v>
      </c>
      <c r="B678" s="1">
        <v>677</v>
      </c>
      <c r="C678" s="1" t="s">
        <v>89</v>
      </c>
      <c r="D678" s="1" t="s">
        <v>90</v>
      </c>
      <c r="E678" s="1">
        <v>2</v>
      </c>
      <c r="F678" s="1">
        <v>200</v>
      </c>
      <c r="G678" s="1">
        <v>1</v>
      </c>
      <c r="H678" s="1" t="s">
        <v>91</v>
      </c>
      <c r="I678" s="1" t="s">
        <v>79</v>
      </c>
      <c r="J678" s="1" t="s">
        <v>81</v>
      </c>
      <c r="K678" s="1" t="s">
        <v>74</v>
      </c>
      <c r="L678" s="1" t="s">
        <v>72</v>
      </c>
      <c r="M678" s="1" t="s">
        <v>75</v>
      </c>
      <c r="N678" s="1" t="s">
        <v>82</v>
      </c>
      <c r="O678" s="1" t="s">
        <v>77</v>
      </c>
      <c r="P678" s="1" t="s">
        <v>27</v>
      </c>
      <c r="Q678" s="1" t="s">
        <v>86</v>
      </c>
      <c r="R678" s="1" t="s">
        <v>94</v>
      </c>
      <c r="S678" s="1" t="s">
        <v>87</v>
      </c>
      <c r="T678" s="1" t="s">
        <v>88</v>
      </c>
      <c r="X678" s="1" t="s">
        <v>73</v>
      </c>
      <c r="Z678" s="1" t="s">
        <v>70</v>
      </c>
      <c r="AA678" s="1" t="s">
        <v>95</v>
      </c>
      <c r="AB678" s="1">
        <v>5</v>
      </c>
      <c r="AC678" s="1">
        <v>748800.81</v>
      </c>
      <c r="AD678" s="1">
        <v>8930519.6799999997</v>
      </c>
      <c r="AE678" s="1">
        <v>209.99</v>
      </c>
      <c r="AF678" s="1">
        <v>748800.81</v>
      </c>
      <c r="AG678" s="1">
        <v>8930519.6799999997</v>
      </c>
      <c r="AH678" s="1">
        <v>199.4</v>
      </c>
      <c r="AI678" s="1">
        <v>10.59</v>
      </c>
      <c r="AJ678" s="1">
        <v>0.6</v>
      </c>
      <c r="AK678" s="1">
        <v>2.97</v>
      </c>
      <c r="AL678" s="1">
        <v>2.58</v>
      </c>
      <c r="AM678" s="1">
        <v>0</v>
      </c>
      <c r="AN678" s="1">
        <v>0</v>
      </c>
      <c r="AO678" s="1">
        <v>279.95422539999998</v>
      </c>
      <c r="AP678" s="1">
        <v>3.37</v>
      </c>
      <c r="AQ678" s="1">
        <v>0.72</v>
      </c>
      <c r="AR678" s="1">
        <v>0.08</v>
      </c>
      <c r="AS678" s="1">
        <v>0.09</v>
      </c>
      <c r="AT678" s="1">
        <v>19.93</v>
      </c>
      <c r="AU678" s="1">
        <v>6.24</v>
      </c>
      <c r="AV678" s="1">
        <v>0.44</v>
      </c>
      <c r="AW678" s="1">
        <v>1.64</v>
      </c>
      <c r="AX678" s="1">
        <v>7.37</v>
      </c>
      <c r="AY678" s="1">
        <v>0</v>
      </c>
      <c r="AZ678" s="1">
        <v>103.23</v>
      </c>
      <c r="BA678" s="1">
        <v>0</v>
      </c>
      <c r="BB678" s="1">
        <v>0</v>
      </c>
      <c r="BC678" s="1">
        <v>0</v>
      </c>
      <c r="BD678" s="1">
        <v>0</v>
      </c>
    </row>
    <row r="679" spans="1:56">
      <c r="A679" s="18">
        <v>46192</v>
      </c>
      <c r="B679" s="1">
        <v>678</v>
      </c>
      <c r="C679" s="1" t="s">
        <v>89</v>
      </c>
      <c r="D679" s="1" t="s">
        <v>90</v>
      </c>
      <c r="E679" s="1">
        <v>2</v>
      </c>
      <c r="F679" s="1">
        <v>200</v>
      </c>
      <c r="G679" s="1">
        <v>1</v>
      </c>
      <c r="H679" s="1" t="s">
        <v>91</v>
      </c>
      <c r="I679" s="1" t="s">
        <v>79</v>
      </c>
      <c r="J679" s="1" t="s">
        <v>81</v>
      </c>
      <c r="K679" s="1" t="s">
        <v>74</v>
      </c>
      <c r="L679" s="1" t="s">
        <v>72</v>
      </c>
      <c r="M679" s="1" t="s">
        <v>75</v>
      </c>
      <c r="N679" s="1" t="s">
        <v>82</v>
      </c>
      <c r="O679" s="1" t="s">
        <v>77</v>
      </c>
      <c r="P679" s="1" t="s">
        <v>27</v>
      </c>
      <c r="Q679" s="1" t="s">
        <v>86</v>
      </c>
      <c r="R679" s="1" t="s">
        <v>94</v>
      </c>
      <c r="S679" s="1" t="s">
        <v>87</v>
      </c>
      <c r="T679" s="1" t="s">
        <v>88</v>
      </c>
      <c r="X679" s="1" t="s">
        <v>73</v>
      </c>
      <c r="Z679" s="1" t="s">
        <v>70</v>
      </c>
      <c r="AA679" s="1" t="s">
        <v>95</v>
      </c>
      <c r="AB679" s="1">
        <v>5</v>
      </c>
      <c r="AC679" s="1">
        <v>748802.41</v>
      </c>
      <c r="AD679" s="1">
        <v>8930517.1799999997</v>
      </c>
      <c r="AE679" s="1">
        <v>209.94</v>
      </c>
      <c r="AF679" s="1">
        <v>748802.41</v>
      </c>
      <c r="AG679" s="1">
        <v>8930517.1799999997</v>
      </c>
      <c r="AH679" s="1">
        <v>199.4</v>
      </c>
      <c r="AI679" s="1">
        <v>10.54</v>
      </c>
      <c r="AJ679" s="1">
        <v>0.6</v>
      </c>
      <c r="AK679" s="1">
        <v>2.97</v>
      </c>
      <c r="AL679" s="1">
        <v>2.58</v>
      </c>
      <c r="AM679" s="1">
        <v>0</v>
      </c>
      <c r="AN679" s="1">
        <v>0</v>
      </c>
      <c r="AO679" s="1">
        <v>279.95422539999998</v>
      </c>
      <c r="AP679" s="1">
        <v>3.53</v>
      </c>
      <c r="AQ679" s="1">
        <v>0.74</v>
      </c>
      <c r="AR679" s="1">
        <v>0.08</v>
      </c>
      <c r="AS679" s="1">
        <v>0.1</v>
      </c>
      <c r="AT679" s="1">
        <v>21.38</v>
      </c>
      <c r="AU679" s="1">
        <v>6.28</v>
      </c>
      <c r="AV679" s="1">
        <v>0.44</v>
      </c>
      <c r="AW679" s="1">
        <v>1.69</v>
      </c>
      <c r="AX679" s="1">
        <v>6.58</v>
      </c>
      <c r="AY679" s="1">
        <v>0</v>
      </c>
      <c r="AZ679" s="1">
        <v>102.502</v>
      </c>
      <c r="BA679" s="1">
        <v>0</v>
      </c>
      <c r="BB679" s="1">
        <v>0</v>
      </c>
      <c r="BC679" s="1">
        <v>0</v>
      </c>
      <c r="BD679" s="1">
        <v>0</v>
      </c>
    </row>
    <row r="680" spans="1:56">
      <c r="A680" s="18">
        <v>46192</v>
      </c>
      <c r="B680" s="1">
        <v>679</v>
      </c>
      <c r="C680" s="1" t="s">
        <v>89</v>
      </c>
      <c r="D680" s="1" t="s">
        <v>90</v>
      </c>
      <c r="E680" s="1">
        <v>2</v>
      </c>
      <c r="F680" s="1">
        <v>200</v>
      </c>
      <c r="G680" s="1">
        <v>1</v>
      </c>
      <c r="H680" s="1" t="s">
        <v>91</v>
      </c>
      <c r="I680" s="1" t="s">
        <v>79</v>
      </c>
      <c r="J680" s="1" t="s">
        <v>81</v>
      </c>
      <c r="K680" s="1" t="s">
        <v>74</v>
      </c>
      <c r="L680" s="1" t="s">
        <v>72</v>
      </c>
      <c r="M680" s="1" t="s">
        <v>75</v>
      </c>
      <c r="N680" s="1" t="s">
        <v>82</v>
      </c>
      <c r="O680" s="1" t="s">
        <v>77</v>
      </c>
      <c r="P680" s="1" t="s">
        <v>27</v>
      </c>
      <c r="Q680" s="1" t="s">
        <v>86</v>
      </c>
      <c r="R680" s="1" t="s">
        <v>94</v>
      </c>
      <c r="S680" s="1" t="s">
        <v>87</v>
      </c>
      <c r="T680" s="1" t="s">
        <v>88</v>
      </c>
      <c r="X680" s="1" t="s">
        <v>73</v>
      </c>
      <c r="Z680" s="1" t="s">
        <v>70</v>
      </c>
      <c r="AA680" s="1" t="s">
        <v>95</v>
      </c>
      <c r="AB680" s="1">
        <v>5</v>
      </c>
      <c r="AC680" s="1">
        <v>748804.01</v>
      </c>
      <c r="AD680" s="1">
        <v>8930514.6799999997</v>
      </c>
      <c r="AE680" s="1">
        <v>209.87</v>
      </c>
      <c r="AF680" s="1">
        <v>748804.01</v>
      </c>
      <c r="AG680" s="1">
        <v>8930514.6799999997</v>
      </c>
      <c r="AH680" s="1">
        <v>199.4</v>
      </c>
      <c r="AI680" s="1">
        <v>10.47</v>
      </c>
      <c r="AJ680" s="1">
        <v>0.6</v>
      </c>
      <c r="AK680" s="1">
        <v>2.97</v>
      </c>
      <c r="AL680" s="1">
        <v>2.58</v>
      </c>
      <c r="AM680" s="1">
        <v>0</v>
      </c>
      <c r="AN680" s="1">
        <v>0</v>
      </c>
      <c r="AO680" s="1">
        <v>279.95422539999998</v>
      </c>
      <c r="AP680" s="1">
        <v>3.53</v>
      </c>
      <c r="AQ680" s="1">
        <v>0.74</v>
      </c>
      <c r="AR680" s="1">
        <v>0.08</v>
      </c>
      <c r="AS680" s="1">
        <v>0.1</v>
      </c>
      <c r="AT680" s="1">
        <v>21.38</v>
      </c>
      <c r="AU680" s="1">
        <v>6.28</v>
      </c>
      <c r="AV680" s="1">
        <v>0.44</v>
      </c>
      <c r="AW680" s="1">
        <v>1.69</v>
      </c>
      <c r="AX680" s="1">
        <v>6.57</v>
      </c>
      <c r="AY680" s="1">
        <v>0</v>
      </c>
      <c r="AZ680" s="1">
        <v>101.483</v>
      </c>
      <c r="BA680" s="1">
        <v>0</v>
      </c>
      <c r="BB680" s="1">
        <v>0</v>
      </c>
      <c r="BC680" s="1">
        <v>0</v>
      </c>
      <c r="BD680" s="1">
        <v>0</v>
      </c>
    </row>
    <row r="681" spans="1:56">
      <c r="A681" s="18">
        <v>46192</v>
      </c>
      <c r="B681" s="1">
        <v>680</v>
      </c>
      <c r="C681" s="1" t="s">
        <v>89</v>
      </c>
      <c r="D681" s="1" t="s">
        <v>90</v>
      </c>
      <c r="E681" s="1">
        <v>2</v>
      </c>
      <c r="F681" s="1">
        <v>200</v>
      </c>
      <c r="G681" s="1">
        <v>1</v>
      </c>
      <c r="H681" s="1" t="s">
        <v>91</v>
      </c>
      <c r="I681" s="1" t="s">
        <v>79</v>
      </c>
      <c r="J681" s="1" t="s">
        <v>81</v>
      </c>
      <c r="K681" s="1" t="s">
        <v>74</v>
      </c>
      <c r="L681" s="1" t="s">
        <v>72</v>
      </c>
      <c r="M681" s="1" t="s">
        <v>75</v>
      </c>
      <c r="N681" s="1" t="s">
        <v>82</v>
      </c>
      <c r="O681" s="1" t="s">
        <v>77</v>
      </c>
      <c r="P681" s="1" t="s">
        <v>27</v>
      </c>
      <c r="Q681" s="1" t="s">
        <v>86</v>
      </c>
      <c r="R681" s="1" t="s">
        <v>94</v>
      </c>
      <c r="S681" s="1" t="s">
        <v>87</v>
      </c>
      <c r="T681" s="1" t="s">
        <v>88</v>
      </c>
      <c r="X681" s="1" t="s">
        <v>73</v>
      </c>
      <c r="Z681" s="1" t="s">
        <v>70</v>
      </c>
      <c r="AA681" s="1" t="s">
        <v>95</v>
      </c>
      <c r="AB681" s="1">
        <v>5</v>
      </c>
      <c r="AC681" s="1">
        <v>748805.61</v>
      </c>
      <c r="AD681" s="1">
        <v>8930512.1799999997</v>
      </c>
      <c r="AE681" s="1">
        <v>209.95</v>
      </c>
      <c r="AF681" s="1">
        <v>748805.61</v>
      </c>
      <c r="AG681" s="1">
        <v>8930512.1799999997</v>
      </c>
      <c r="AH681" s="1">
        <v>199.4</v>
      </c>
      <c r="AI681" s="1">
        <v>10.55</v>
      </c>
      <c r="AJ681" s="1">
        <v>0.6</v>
      </c>
      <c r="AK681" s="1">
        <v>2.97</v>
      </c>
      <c r="AL681" s="1">
        <v>2.58</v>
      </c>
      <c r="AM681" s="1">
        <v>0</v>
      </c>
      <c r="AN681" s="1">
        <v>0</v>
      </c>
      <c r="AO681" s="1">
        <v>279.95422539999998</v>
      </c>
      <c r="AP681" s="1">
        <v>3.53</v>
      </c>
      <c r="AQ681" s="1">
        <v>0.74</v>
      </c>
      <c r="AR681" s="1">
        <v>0.08</v>
      </c>
      <c r="AS681" s="1">
        <v>0.1</v>
      </c>
      <c r="AT681" s="1">
        <v>21.38</v>
      </c>
      <c r="AU681" s="1">
        <v>6.28</v>
      </c>
      <c r="AV681" s="1">
        <v>0.44</v>
      </c>
      <c r="AW681" s="1">
        <v>1.69</v>
      </c>
      <c r="AX681" s="1">
        <v>6.58</v>
      </c>
      <c r="AY681" s="1">
        <v>0</v>
      </c>
      <c r="AZ681" s="1">
        <v>102.648</v>
      </c>
      <c r="BA681" s="1">
        <v>0</v>
      </c>
      <c r="BB681" s="1">
        <v>0</v>
      </c>
      <c r="BC681" s="1">
        <v>0</v>
      </c>
      <c r="BD681" s="1">
        <v>0</v>
      </c>
    </row>
    <row r="682" spans="1:56">
      <c r="A682" s="18">
        <v>46192</v>
      </c>
      <c r="B682" s="1">
        <v>681</v>
      </c>
      <c r="C682" s="1" t="s">
        <v>89</v>
      </c>
      <c r="D682" s="1" t="s">
        <v>90</v>
      </c>
      <c r="E682" s="1">
        <v>2</v>
      </c>
      <c r="F682" s="1">
        <v>200</v>
      </c>
      <c r="G682" s="1">
        <v>1</v>
      </c>
      <c r="H682" s="1" t="s">
        <v>91</v>
      </c>
      <c r="I682" s="1" t="s">
        <v>79</v>
      </c>
      <c r="J682" s="1" t="s">
        <v>80</v>
      </c>
      <c r="K682" s="1" t="s">
        <v>74</v>
      </c>
      <c r="L682" s="1" t="s">
        <v>72</v>
      </c>
      <c r="M682" s="1" t="s">
        <v>75</v>
      </c>
      <c r="N682" s="1" t="s">
        <v>82</v>
      </c>
      <c r="O682" s="1" t="s">
        <v>77</v>
      </c>
      <c r="P682" s="1" t="s">
        <v>27</v>
      </c>
      <c r="Q682" s="1" t="s">
        <v>86</v>
      </c>
      <c r="R682" s="1" t="s">
        <v>94</v>
      </c>
      <c r="S682" s="1" t="s">
        <v>87</v>
      </c>
      <c r="T682" s="1" t="s">
        <v>88</v>
      </c>
      <c r="X682" s="1" t="s">
        <v>73</v>
      </c>
      <c r="Z682" s="1" t="s">
        <v>70</v>
      </c>
      <c r="AA682" s="1" t="s">
        <v>95</v>
      </c>
      <c r="AB682" s="1">
        <v>5</v>
      </c>
      <c r="AC682" s="1">
        <v>748807.22</v>
      </c>
      <c r="AD682" s="1">
        <v>8930509.6799999997</v>
      </c>
      <c r="AE682" s="1">
        <v>210.14</v>
      </c>
      <c r="AF682" s="1">
        <v>748807.22</v>
      </c>
      <c r="AG682" s="1">
        <v>8930509.6799999997</v>
      </c>
      <c r="AH682" s="1">
        <v>199.4</v>
      </c>
      <c r="AI682" s="1">
        <v>10.74</v>
      </c>
      <c r="AJ682" s="1">
        <v>0.6</v>
      </c>
      <c r="AK682" s="1">
        <v>2.97</v>
      </c>
      <c r="AL682" s="1">
        <v>2.58</v>
      </c>
      <c r="AM682" s="1">
        <v>0</v>
      </c>
      <c r="AN682" s="1">
        <v>0</v>
      </c>
      <c r="AO682" s="1">
        <v>279.95422539999998</v>
      </c>
      <c r="AP682" s="1">
        <v>3.48</v>
      </c>
      <c r="AQ682" s="1">
        <v>0.69</v>
      </c>
      <c r="AR682" s="1">
        <v>0.1</v>
      </c>
      <c r="AS682" s="1">
        <v>0.09</v>
      </c>
      <c r="AT682" s="1">
        <v>20.82</v>
      </c>
      <c r="AU682" s="1">
        <v>5.77</v>
      </c>
      <c r="AV682" s="1">
        <v>0.43</v>
      </c>
      <c r="AW682" s="1">
        <v>1.63</v>
      </c>
      <c r="AX682" s="1">
        <v>7.18</v>
      </c>
      <c r="AY682" s="1">
        <v>0</v>
      </c>
      <c r="AZ682" s="1">
        <v>105.414</v>
      </c>
      <c r="BA682" s="1">
        <v>0</v>
      </c>
      <c r="BB682" s="1">
        <v>0</v>
      </c>
      <c r="BC682" s="1">
        <v>0</v>
      </c>
      <c r="BD682" s="1">
        <v>0</v>
      </c>
    </row>
    <row r="683" spans="1:56">
      <c r="A683" s="18">
        <v>46192</v>
      </c>
      <c r="B683" s="1">
        <v>682</v>
      </c>
      <c r="C683" s="1" t="s">
        <v>89</v>
      </c>
      <c r="D683" s="1" t="s">
        <v>90</v>
      </c>
      <c r="E683" s="1">
        <v>2</v>
      </c>
      <c r="F683" s="1">
        <v>200</v>
      </c>
      <c r="G683" s="1">
        <v>1</v>
      </c>
      <c r="H683" s="1" t="s">
        <v>91</v>
      </c>
      <c r="I683" s="1" t="s">
        <v>79</v>
      </c>
      <c r="J683" s="1" t="s">
        <v>80</v>
      </c>
      <c r="K683" s="1" t="s">
        <v>74</v>
      </c>
      <c r="L683" s="1" t="s">
        <v>72</v>
      </c>
      <c r="M683" s="1" t="s">
        <v>75</v>
      </c>
      <c r="N683" s="1" t="s">
        <v>82</v>
      </c>
      <c r="O683" s="1" t="s">
        <v>77</v>
      </c>
      <c r="P683" s="1" t="s">
        <v>27</v>
      </c>
      <c r="Q683" s="1" t="s">
        <v>86</v>
      </c>
      <c r="R683" s="1" t="s">
        <v>94</v>
      </c>
      <c r="S683" s="1" t="s">
        <v>87</v>
      </c>
      <c r="T683" s="1" t="s">
        <v>88</v>
      </c>
      <c r="X683" s="1" t="s">
        <v>73</v>
      </c>
      <c r="Z683" s="1" t="s">
        <v>70</v>
      </c>
      <c r="AA683" s="1" t="s">
        <v>95</v>
      </c>
      <c r="AB683" s="1">
        <v>5</v>
      </c>
      <c r="AC683" s="1">
        <v>748808.82</v>
      </c>
      <c r="AD683" s="1">
        <v>8930507.1799999997</v>
      </c>
      <c r="AE683" s="1">
        <v>210.12</v>
      </c>
      <c r="AF683" s="1">
        <v>748808.82</v>
      </c>
      <c r="AG683" s="1">
        <v>8930507.1799999997</v>
      </c>
      <c r="AH683" s="1">
        <v>199.4</v>
      </c>
      <c r="AI683" s="1">
        <v>10.72</v>
      </c>
      <c r="AJ683" s="1">
        <v>0.6</v>
      </c>
      <c r="AK683" s="1">
        <v>2.97</v>
      </c>
      <c r="AL683" s="1">
        <v>2.58</v>
      </c>
      <c r="AM683" s="1">
        <v>0</v>
      </c>
      <c r="AN683" s="1">
        <v>0</v>
      </c>
      <c r="AO683" s="1">
        <v>279.95422539999998</v>
      </c>
      <c r="AP683" s="1">
        <v>3.42</v>
      </c>
      <c r="AQ683" s="1">
        <v>0.67</v>
      </c>
      <c r="AR683" s="1">
        <v>0.12</v>
      </c>
      <c r="AS683" s="1">
        <v>0.08</v>
      </c>
      <c r="AT683" s="1">
        <v>20.329999999999998</v>
      </c>
      <c r="AU683" s="1">
        <v>5.39</v>
      </c>
      <c r="AV683" s="1">
        <v>0.41</v>
      </c>
      <c r="AW683" s="1">
        <v>1.63</v>
      </c>
      <c r="AX683" s="1">
        <v>7.65</v>
      </c>
      <c r="AY683" s="1">
        <v>0</v>
      </c>
      <c r="AZ683" s="1">
        <v>105.123</v>
      </c>
      <c r="BA683" s="1">
        <v>0</v>
      </c>
      <c r="BB683" s="1">
        <v>0</v>
      </c>
      <c r="BC683" s="1">
        <v>0</v>
      </c>
      <c r="BD683" s="1">
        <v>0</v>
      </c>
    </row>
    <row r="684" spans="1:56">
      <c r="A684" s="18">
        <v>46192</v>
      </c>
      <c r="B684" s="1">
        <v>683</v>
      </c>
      <c r="C684" s="1" t="s">
        <v>89</v>
      </c>
      <c r="D684" s="1" t="s">
        <v>90</v>
      </c>
      <c r="E684" s="1">
        <v>2</v>
      </c>
      <c r="F684" s="1">
        <v>200</v>
      </c>
      <c r="G684" s="1">
        <v>1</v>
      </c>
      <c r="H684" s="1" t="s">
        <v>91</v>
      </c>
      <c r="I684" s="1" t="s">
        <v>79</v>
      </c>
      <c r="J684" s="1" t="s">
        <v>81</v>
      </c>
      <c r="K684" s="1" t="s">
        <v>74</v>
      </c>
      <c r="L684" s="1" t="s">
        <v>72</v>
      </c>
      <c r="M684" s="1" t="s">
        <v>75</v>
      </c>
      <c r="N684" s="1" t="s">
        <v>82</v>
      </c>
      <c r="O684" s="1" t="s">
        <v>77</v>
      </c>
      <c r="P684" s="1" t="s">
        <v>27</v>
      </c>
      <c r="Q684" s="1" t="s">
        <v>86</v>
      </c>
      <c r="R684" s="1" t="s">
        <v>94</v>
      </c>
      <c r="S684" s="1" t="s">
        <v>87</v>
      </c>
      <c r="T684" s="1" t="s">
        <v>88</v>
      </c>
      <c r="X684" s="1" t="s">
        <v>73</v>
      </c>
      <c r="Z684" s="1" t="s">
        <v>70</v>
      </c>
      <c r="AA684" s="1" t="s">
        <v>95</v>
      </c>
      <c r="AB684" s="1">
        <v>5</v>
      </c>
      <c r="AC684" s="1">
        <v>748810.42</v>
      </c>
      <c r="AD684" s="1">
        <v>8930504.6799999997</v>
      </c>
      <c r="AE684" s="1">
        <v>210.22</v>
      </c>
      <c r="AF684" s="1">
        <v>748810.42</v>
      </c>
      <c r="AG684" s="1">
        <v>8930504.6799999997</v>
      </c>
      <c r="AH684" s="1">
        <v>199.4</v>
      </c>
      <c r="AI684" s="1">
        <v>10.82</v>
      </c>
      <c r="AJ684" s="1">
        <v>0.6</v>
      </c>
      <c r="AK684" s="1">
        <v>2.97</v>
      </c>
      <c r="AL684" s="1">
        <v>2.58</v>
      </c>
      <c r="AM684" s="1">
        <v>0</v>
      </c>
      <c r="AN684" s="1">
        <v>0</v>
      </c>
      <c r="AO684" s="1">
        <v>279.95422539999998</v>
      </c>
      <c r="AP684" s="1">
        <v>3.35</v>
      </c>
      <c r="AQ684" s="1">
        <v>0.69</v>
      </c>
      <c r="AR684" s="1">
        <v>0.11</v>
      </c>
      <c r="AS684" s="1">
        <v>0.08</v>
      </c>
      <c r="AT684" s="1">
        <v>19.989999999999998</v>
      </c>
      <c r="AU684" s="1">
        <v>5.28</v>
      </c>
      <c r="AV684" s="1">
        <v>0.39</v>
      </c>
      <c r="AW684" s="1">
        <v>1.77</v>
      </c>
      <c r="AX684" s="1">
        <v>7.85</v>
      </c>
      <c r="AY684" s="1">
        <v>0</v>
      </c>
      <c r="AZ684" s="1">
        <v>106.57899999999999</v>
      </c>
      <c r="BA684" s="1">
        <v>0</v>
      </c>
      <c r="BB684" s="1">
        <v>0</v>
      </c>
      <c r="BC684" s="1">
        <v>0</v>
      </c>
      <c r="BD684" s="1">
        <v>0</v>
      </c>
    </row>
    <row r="685" spans="1:56">
      <c r="A685" s="18">
        <v>46192</v>
      </c>
      <c r="B685" s="1">
        <v>684</v>
      </c>
      <c r="C685" s="1" t="s">
        <v>89</v>
      </c>
      <c r="D685" s="1" t="s">
        <v>90</v>
      </c>
      <c r="E685" s="1">
        <v>2</v>
      </c>
      <c r="F685" s="1">
        <v>200</v>
      </c>
      <c r="G685" s="1">
        <v>1</v>
      </c>
      <c r="H685" s="1" t="s">
        <v>91</v>
      </c>
      <c r="I685" s="1" t="s">
        <v>79</v>
      </c>
      <c r="J685" s="1" t="s">
        <v>81</v>
      </c>
      <c r="K685" s="1" t="s">
        <v>74</v>
      </c>
      <c r="L685" s="1" t="s">
        <v>72</v>
      </c>
      <c r="M685" s="1" t="s">
        <v>75</v>
      </c>
      <c r="N685" s="1" t="s">
        <v>82</v>
      </c>
      <c r="O685" s="1" t="s">
        <v>77</v>
      </c>
      <c r="P685" s="1" t="s">
        <v>27</v>
      </c>
      <c r="Q685" s="1" t="s">
        <v>86</v>
      </c>
      <c r="R685" s="1" t="s">
        <v>94</v>
      </c>
      <c r="S685" s="1" t="s">
        <v>87</v>
      </c>
      <c r="T685" s="1" t="s">
        <v>88</v>
      </c>
      <c r="X685" s="1" t="s">
        <v>73</v>
      </c>
      <c r="Z685" s="1" t="s">
        <v>70</v>
      </c>
      <c r="AA685" s="1" t="s">
        <v>95</v>
      </c>
      <c r="AB685" s="1">
        <v>5</v>
      </c>
      <c r="AC685" s="1">
        <v>748812.03</v>
      </c>
      <c r="AD685" s="1">
        <v>8930502.1799999997</v>
      </c>
      <c r="AE685" s="1">
        <v>210.07</v>
      </c>
      <c r="AF685" s="1">
        <v>748812.03</v>
      </c>
      <c r="AG685" s="1">
        <v>8930502.1799999997</v>
      </c>
      <c r="AH685" s="1">
        <v>199.4</v>
      </c>
      <c r="AI685" s="1">
        <v>10.67</v>
      </c>
      <c r="AJ685" s="1">
        <v>0.6</v>
      </c>
      <c r="AK685" s="1">
        <v>2.97</v>
      </c>
      <c r="AL685" s="1">
        <v>2.58</v>
      </c>
      <c r="AM685" s="1">
        <v>0</v>
      </c>
      <c r="AN685" s="1">
        <v>0</v>
      </c>
      <c r="AO685" s="1">
        <v>279.95422539999998</v>
      </c>
      <c r="AP685" s="1">
        <v>3.3</v>
      </c>
      <c r="AQ685" s="1">
        <v>0.71</v>
      </c>
      <c r="AR685" s="1">
        <v>0.11</v>
      </c>
      <c r="AS685" s="1">
        <v>0.08</v>
      </c>
      <c r="AT685" s="1">
        <v>19.72</v>
      </c>
      <c r="AU685" s="1">
        <v>5.18</v>
      </c>
      <c r="AV685" s="1">
        <v>0.38</v>
      </c>
      <c r="AW685" s="1">
        <v>1.88</v>
      </c>
      <c r="AX685" s="1">
        <v>7.96</v>
      </c>
      <c r="AY685" s="1">
        <v>0</v>
      </c>
      <c r="AZ685" s="1">
        <v>104.395</v>
      </c>
      <c r="BA685" s="1">
        <v>0</v>
      </c>
      <c r="BB685" s="1">
        <v>0</v>
      </c>
      <c r="BC685" s="1">
        <v>0</v>
      </c>
      <c r="BD685" s="1">
        <v>0</v>
      </c>
    </row>
    <row r="686" spans="1:56">
      <c r="A686" s="18">
        <v>46192</v>
      </c>
      <c r="B686" s="1">
        <v>685</v>
      </c>
      <c r="C686" s="1" t="s">
        <v>89</v>
      </c>
      <c r="D686" s="1" t="s">
        <v>90</v>
      </c>
      <c r="E686" s="1">
        <v>2</v>
      </c>
      <c r="F686" s="1">
        <v>200</v>
      </c>
      <c r="G686" s="1">
        <v>1</v>
      </c>
      <c r="H686" s="1" t="s">
        <v>91</v>
      </c>
      <c r="I686" s="1" t="s">
        <v>79</v>
      </c>
      <c r="J686" s="1" t="s">
        <v>80</v>
      </c>
      <c r="K686" s="1" t="s">
        <v>74</v>
      </c>
      <c r="L686" s="1" t="s">
        <v>72</v>
      </c>
      <c r="M686" s="1" t="s">
        <v>75</v>
      </c>
      <c r="N686" s="1" t="s">
        <v>76</v>
      </c>
      <c r="O686" s="1" t="s">
        <v>77</v>
      </c>
      <c r="P686" s="1" t="s">
        <v>27</v>
      </c>
      <c r="Q686" s="1" t="s">
        <v>86</v>
      </c>
      <c r="R686" s="1" t="s">
        <v>94</v>
      </c>
      <c r="S686" s="1" t="s">
        <v>87</v>
      </c>
      <c r="T686" s="1" t="s">
        <v>88</v>
      </c>
      <c r="X686" s="1" t="s">
        <v>73</v>
      </c>
      <c r="Z686" s="1" t="s">
        <v>70</v>
      </c>
      <c r="AA686" s="1" t="s">
        <v>95</v>
      </c>
      <c r="AB686" s="1">
        <v>5</v>
      </c>
      <c r="AC686" s="1">
        <v>748813.63</v>
      </c>
      <c r="AD686" s="1">
        <v>8930499.6799999997</v>
      </c>
      <c r="AE686" s="1">
        <v>210.15</v>
      </c>
      <c r="AF686" s="1">
        <v>748813.63</v>
      </c>
      <c r="AG686" s="1">
        <v>8930499.6799999997</v>
      </c>
      <c r="AH686" s="1">
        <v>199.4</v>
      </c>
      <c r="AI686" s="1">
        <v>10.75</v>
      </c>
      <c r="AJ686" s="1">
        <v>0.6</v>
      </c>
      <c r="AK686" s="1">
        <v>2.97</v>
      </c>
      <c r="AL686" s="1">
        <v>2.58</v>
      </c>
      <c r="AM686" s="1">
        <v>0</v>
      </c>
      <c r="AN686" s="1">
        <v>0</v>
      </c>
      <c r="AO686" s="1">
        <v>279.95422539999998</v>
      </c>
      <c r="AP686" s="1">
        <v>3.39</v>
      </c>
      <c r="AQ686" s="1">
        <v>0.68</v>
      </c>
      <c r="AR686" s="1">
        <v>0.11</v>
      </c>
      <c r="AS686" s="1">
        <v>0.08</v>
      </c>
      <c r="AT686" s="1">
        <v>18.8</v>
      </c>
      <c r="AU686" s="1">
        <v>5.66</v>
      </c>
      <c r="AV686" s="1">
        <v>0.37</v>
      </c>
      <c r="AW686" s="1">
        <v>1.84</v>
      </c>
      <c r="AX686" s="1">
        <v>9.02</v>
      </c>
      <c r="AY686" s="1">
        <v>0</v>
      </c>
      <c r="AZ686" s="1">
        <v>105.56</v>
      </c>
      <c r="BA686" s="1">
        <v>0</v>
      </c>
      <c r="BB686" s="1">
        <v>0</v>
      </c>
      <c r="BC686" s="1">
        <v>0</v>
      </c>
      <c r="BD686" s="1">
        <v>0</v>
      </c>
    </row>
    <row r="687" spans="1:56">
      <c r="A687" s="18">
        <v>46192</v>
      </c>
      <c r="B687" s="1">
        <v>686</v>
      </c>
      <c r="C687" s="1" t="s">
        <v>89</v>
      </c>
      <c r="D687" s="1" t="s">
        <v>90</v>
      </c>
      <c r="E687" s="1">
        <v>2</v>
      </c>
      <c r="F687" s="1">
        <v>200</v>
      </c>
      <c r="G687" s="1">
        <v>1</v>
      </c>
      <c r="H687" s="1" t="s">
        <v>91</v>
      </c>
      <c r="I687" s="1" t="s">
        <v>79</v>
      </c>
      <c r="J687" s="1" t="s">
        <v>80</v>
      </c>
      <c r="K687" s="1" t="s">
        <v>74</v>
      </c>
      <c r="L687" s="1" t="s">
        <v>72</v>
      </c>
      <c r="M687" s="1" t="s">
        <v>75</v>
      </c>
      <c r="N687" s="1" t="s">
        <v>76</v>
      </c>
      <c r="O687" s="1" t="s">
        <v>77</v>
      </c>
      <c r="P687" s="1" t="s">
        <v>27</v>
      </c>
      <c r="Q687" s="1" t="s">
        <v>86</v>
      </c>
      <c r="R687" s="1" t="s">
        <v>94</v>
      </c>
      <c r="S687" s="1" t="s">
        <v>87</v>
      </c>
      <c r="T687" s="1" t="s">
        <v>88</v>
      </c>
      <c r="X687" s="1" t="s">
        <v>73</v>
      </c>
      <c r="Z687" s="1" t="s">
        <v>70</v>
      </c>
      <c r="AA687" s="1" t="s">
        <v>95</v>
      </c>
      <c r="AB687" s="1">
        <v>5</v>
      </c>
      <c r="AC687" s="1">
        <v>748815.23</v>
      </c>
      <c r="AD687" s="1">
        <v>8930497.1799999997</v>
      </c>
      <c r="AE687" s="1">
        <v>210.24</v>
      </c>
      <c r="AF687" s="1">
        <v>748815.23</v>
      </c>
      <c r="AG687" s="1">
        <v>8930497.1799999997</v>
      </c>
      <c r="AH687" s="1">
        <v>199.4</v>
      </c>
      <c r="AI687" s="1">
        <v>10.84</v>
      </c>
      <c r="AJ687" s="1">
        <v>0.6</v>
      </c>
      <c r="AK687" s="1">
        <v>2.97</v>
      </c>
      <c r="AL687" s="1">
        <v>2.58</v>
      </c>
      <c r="AM687" s="1">
        <v>0</v>
      </c>
      <c r="AN687" s="1">
        <v>0</v>
      </c>
      <c r="AO687" s="1">
        <v>279.95422539999998</v>
      </c>
      <c r="AP687" s="1">
        <v>3.45</v>
      </c>
      <c r="AQ687" s="1">
        <v>0.66</v>
      </c>
      <c r="AR687" s="1">
        <v>0.11</v>
      </c>
      <c r="AS687" s="1">
        <v>0.08</v>
      </c>
      <c r="AT687" s="1">
        <v>18.170000000000002</v>
      </c>
      <c r="AU687" s="1">
        <v>5.96</v>
      </c>
      <c r="AV687" s="1">
        <v>0.36</v>
      </c>
      <c r="AW687" s="1">
        <v>1.82</v>
      </c>
      <c r="AX687" s="1">
        <v>9.6999999999999993</v>
      </c>
      <c r="AY687" s="1">
        <v>0</v>
      </c>
      <c r="AZ687" s="1">
        <v>106.87</v>
      </c>
      <c r="BA687" s="1">
        <v>0</v>
      </c>
      <c r="BB687" s="1">
        <v>0</v>
      </c>
      <c r="BC687" s="1">
        <v>0</v>
      </c>
      <c r="BD687" s="1">
        <v>0</v>
      </c>
    </row>
    <row r="688" spans="1:56">
      <c r="A688" s="18">
        <v>46192</v>
      </c>
      <c r="B688" s="1">
        <v>687</v>
      </c>
      <c r="C688" s="1" t="s">
        <v>89</v>
      </c>
      <c r="D688" s="1" t="s">
        <v>90</v>
      </c>
      <c r="E688" s="1">
        <v>2</v>
      </c>
      <c r="F688" s="1">
        <v>200</v>
      </c>
      <c r="G688" s="1">
        <v>1</v>
      </c>
      <c r="H688" s="1" t="s">
        <v>91</v>
      </c>
      <c r="I688" s="1" t="s">
        <v>79</v>
      </c>
      <c r="J688" s="1" t="s">
        <v>80</v>
      </c>
      <c r="K688" s="1" t="s">
        <v>74</v>
      </c>
      <c r="L688" s="1" t="s">
        <v>72</v>
      </c>
      <c r="M688" s="1" t="s">
        <v>75</v>
      </c>
      <c r="N688" s="1" t="s">
        <v>76</v>
      </c>
      <c r="O688" s="1" t="s">
        <v>77</v>
      </c>
      <c r="P688" s="1" t="s">
        <v>27</v>
      </c>
      <c r="Q688" s="1" t="s">
        <v>86</v>
      </c>
      <c r="R688" s="1" t="s">
        <v>94</v>
      </c>
      <c r="S688" s="1" t="s">
        <v>87</v>
      </c>
      <c r="T688" s="1" t="s">
        <v>88</v>
      </c>
      <c r="X688" s="1" t="s">
        <v>73</v>
      </c>
      <c r="Z688" s="1" t="s">
        <v>70</v>
      </c>
      <c r="AA688" s="1" t="s">
        <v>95</v>
      </c>
      <c r="AB688" s="1">
        <v>5</v>
      </c>
      <c r="AC688" s="1">
        <v>748816.84</v>
      </c>
      <c r="AD688" s="1">
        <v>8930494.6799999997</v>
      </c>
      <c r="AE688" s="1">
        <v>210.32</v>
      </c>
      <c r="AF688" s="1">
        <v>748816.84</v>
      </c>
      <c r="AG688" s="1">
        <v>8930494.6799999997</v>
      </c>
      <c r="AH688" s="1">
        <v>199.4</v>
      </c>
      <c r="AI688" s="1">
        <v>10.92</v>
      </c>
      <c r="AJ688" s="1">
        <v>0.6</v>
      </c>
      <c r="AK688" s="1">
        <v>2.97</v>
      </c>
      <c r="AL688" s="1">
        <v>2.58</v>
      </c>
      <c r="AM688" s="1">
        <v>0</v>
      </c>
      <c r="AN688" s="1">
        <v>0</v>
      </c>
      <c r="AO688" s="1">
        <v>279.95422539999998</v>
      </c>
      <c r="AP688" s="1">
        <v>3.45</v>
      </c>
      <c r="AQ688" s="1">
        <v>0.66</v>
      </c>
      <c r="AR688" s="1">
        <v>0.1</v>
      </c>
      <c r="AS688" s="1">
        <v>0.08</v>
      </c>
      <c r="AT688" s="1">
        <v>18.14</v>
      </c>
      <c r="AU688" s="1">
        <v>5.96</v>
      </c>
      <c r="AV688" s="1">
        <v>0.36</v>
      </c>
      <c r="AW688" s="1">
        <v>1.82</v>
      </c>
      <c r="AX688" s="1">
        <v>9.7100000000000009</v>
      </c>
      <c r="AY688" s="1">
        <v>0</v>
      </c>
      <c r="AZ688" s="1">
        <v>108.035</v>
      </c>
      <c r="BA688" s="1">
        <v>0</v>
      </c>
      <c r="BB688" s="1">
        <v>0</v>
      </c>
      <c r="BC688" s="1">
        <v>0</v>
      </c>
      <c r="BD688" s="1">
        <v>0</v>
      </c>
    </row>
    <row r="689" spans="1:56">
      <c r="A689" s="18">
        <v>46192</v>
      </c>
      <c r="B689" s="1">
        <v>688</v>
      </c>
      <c r="C689" s="1" t="s">
        <v>89</v>
      </c>
      <c r="D689" s="1" t="s">
        <v>90</v>
      </c>
      <c r="E689" s="1">
        <v>2</v>
      </c>
      <c r="F689" s="1">
        <v>200</v>
      </c>
      <c r="G689" s="1">
        <v>1</v>
      </c>
      <c r="H689" s="1" t="s">
        <v>91</v>
      </c>
      <c r="I689" s="1" t="s">
        <v>79</v>
      </c>
      <c r="J689" s="1" t="s">
        <v>80</v>
      </c>
      <c r="K689" s="1" t="s">
        <v>74</v>
      </c>
      <c r="L689" s="1" t="s">
        <v>72</v>
      </c>
      <c r="M689" s="1" t="s">
        <v>75</v>
      </c>
      <c r="N689" s="1" t="s">
        <v>76</v>
      </c>
      <c r="O689" s="1" t="s">
        <v>77</v>
      </c>
      <c r="P689" s="1" t="s">
        <v>27</v>
      </c>
      <c r="Q689" s="1" t="s">
        <v>86</v>
      </c>
      <c r="R689" s="1" t="s">
        <v>94</v>
      </c>
      <c r="S689" s="1" t="s">
        <v>87</v>
      </c>
      <c r="T689" s="1" t="s">
        <v>88</v>
      </c>
      <c r="X689" s="1" t="s">
        <v>73</v>
      </c>
      <c r="Z689" s="1" t="s">
        <v>70</v>
      </c>
      <c r="AA689" s="1" t="s">
        <v>95</v>
      </c>
      <c r="AB689" s="1">
        <v>5</v>
      </c>
      <c r="AC689" s="1">
        <v>748818.44</v>
      </c>
      <c r="AD689" s="1">
        <v>8930492.1799999997</v>
      </c>
      <c r="AE689" s="1">
        <v>210.39</v>
      </c>
      <c r="AF689" s="1">
        <v>748818.44</v>
      </c>
      <c r="AG689" s="1">
        <v>8930492.1799999997</v>
      </c>
      <c r="AH689" s="1">
        <v>199.4</v>
      </c>
      <c r="AI689" s="1">
        <v>10.99</v>
      </c>
      <c r="AJ689" s="1">
        <v>0.6</v>
      </c>
      <c r="AK689" s="1">
        <v>2.97</v>
      </c>
      <c r="AL689" s="1">
        <v>2.58</v>
      </c>
      <c r="AM689" s="1">
        <v>0</v>
      </c>
      <c r="AN689" s="1">
        <v>0</v>
      </c>
      <c r="AO689" s="1">
        <v>279.95422539999998</v>
      </c>
      <c r="AP689" s="1">
        <v>3.44</v>
      </c>
      <c r="AQ689" s="1">
        <v>0.66</v>
      </c>
      <c r="AR689" s="1">
        <v>0.1</v>
      </c>
      <c r="AS689" s="1">
        <v>0.08</v>
      </c>
      <c r="AT689" s="1">
        <v>18.11</v>
      </c>
      <c r="AU689" s="1">
        <v>5.97</v>
      </c>
      <c r="AV689" s="1">
        <v>0.36</v>
      </c>
      <c r="AW689" s="1">
        <v>1.82</v>
      </c>
      <c r="AX689" s="1">
        <v>9.0399999999999991</v>
      </c>
      <c r="AY689" s="1">
        <v>0</v>
      </c>
      <c r="AZ689" s="1">
        <v>109.054</v>
      </c>
      <c r="BA689" s="1">
        <v>0</v>
      </c>
      <c r="BB689" s="1">
        <v>0</v>
      </c>
      <c r="BC689" s="1">
        <v>0</v>
      </c>
      <c r="BD689" s="1">
        <v>0</v>
      </c>
    </row>
    <row r="690" spans="1:56">
      <c r="A690" s="18">
        <v>46192</v>
      </c>
      <c r="B690" s="1">
        <v>689</v>
      </c>
      <c r="C690" s="1" t="s">
        <v>89</v>
      </c>
      <c r="D690" s="1" t="s">
        <v>90</v>
      </c>
      <c r="E690" s="1">
        <v>2</v>
      </c>
      <c r="F690" s="1">
        <v>200</v>
      </c>
      <c r="G690" s="1">
        <v>1</v>
      </c>
      <c r="H690" s="1" t="s">
        <v>91</v>
      </c>
      <c r="I690" s="1" t="s">
        <v>79</v>
      </c>
      <c r="J690" s="1" t="s">
        <v>80</v>
      </c>
      <c r="K690" s="1" t="s">
        <v>74</v>
      </c>
      <c r="L690" s="1" t="s">
        <v>72</v>
      </c>
      <c r="M690" s="1" t="s">
        <v>75</v>
      </c>
      <c r="N690" s="1" t="s">
        <v>76</v>
      </c>
      <c r="O690" s="1" t="s">
        <v>77</v>
      </c>
      <c r="P690" s="1" t="s">
        <v>27</v>
      </c>
      <c r="Q690" s="1" t="s">
        <v>86</v>
      </c>
      <c r="R690" s="1" t="s">
        <v>94</v>
      </c>
      <c r="S690" s="1" t="s">
        <v>87</v>
      </c>
      <c r="T690" s="1" t="s">
        <v>88</v>
      </c>
      <c r="X690" s="1" t="s">
        <v>73</v>
      </c>
      <c r="Z690" s="1" t="s">
        <v>70</v>
      </c>
      <c r="AA690" s="1" t="s">
        <v>95</v>
      </c>
      <c r="AB690" s="1">
        <v>5</v>
      </c>
      <c r="AC690" s="1">
        <v>748820.04</v>
      </c>
      <c r="AD690" s="1">
        <v>8930489.6799999997</v>
      </c>
      <c r="AE690" s="1">
        <v>210.42</v>
      </c>
      <c r="AF690" s="1">
        <v>748820.04</v>
      </c>
      <c r="AG690" s="1">
        <v>8930489.6799999997</v>
      </c>
      <c r="AH690" s="1">
        <v>199.4</v>
      </c>
      <c r="AI690" s="1">
        <v>11.02</v>
      </c>
      <c r="AJ690" s="1">
        <v>0.6</v>
      </c>
      <c r="AK690" s="1">
        <v>2.97</v>
      </c>
      <c r="AL690" s="1">
        <v>2.58</v>
      </c>
      <c r="AM690" s="1">
        <v>0</v>
      </c>
      <c r="AN690" s="1">
        <v>0</v>
      </c>
      <c r="AO690" s="1">
        <v>279.95422539999998</v>
      </c>
      <c r="AP690" s="1">
        <v>3.39</v>
      </c>
      <c r="AQ690" s="1">
        <v>0.62</v>
      </c>
      <c r="AR690" s="1">
        <v>0.09</v>
      </c>
      <c r="AS690" s="1">
        <v>7.0000000000000007E-2</v>
      </c>
      <c r="AT690" s="1">
        <v>17.13</v>
      </c>
      <c r="AU690" s="1">
        <v>5.67</v>
      </c>
      <c r="AV690" s="1">
        <v>0.32</v>
      </c>
      <c r="AW690" s="1">
        <v>1.97</v>
      </c>
      <c r="AX690" s="1">
        <v>7.78</v>
      </c>
      <c r="AY690" s="1">
        <v>0</v>
      </c>
      <c r="AZ690" s="1">
        <v>109.491</v>
      </c>
      <c r="BA690" s="1">
        <v>0</v>
      </c>
      <c r="BB690" s="1">
        <v>0</v>
      </c>
      <c r="BC690" s="1">
        <v>0</v>
      </c>
      <c r="BD690" s="1">
        <v>0</v>
      </c>
    </row>
    <row r="691" spans="1:56">
      <c r="A691" s="18">
        <v>46192</v>
      </c>
      <c r="B691" s="1">
        <v>690</v>
      </c>
      <c r="C691" s="1" t="s">
        <v>89</v>
      </c>
      <c r="D691" s="1" t="s">
        <v>90</v>
      </c>
      <c r="E691" s="1">
        <v>2</v>
      </c>
      <c r="F691" s="1">
        <v>200</v>
      </c>
      <c r="G691" s="1">
        <v>1</v>
      </c>
      <c r="H691" s="1" t="s">
        <v>91</v>
      </c>
      <c r="I691" s="1" t="s">
        <v>79</v>
      </c>
      <c r="J691" s="1" t="s">
        <v>80</v>
      </c>
      <c r="K691" s="1" t="s">
        <v>74</v>
      </c>
      <c r="L691" s="1" t="s">
        <v>72</v>
      </c>
      <c r="M691" s="1" t="s">
        <v>75</v>
      </c>
      <c r="N691" s="1" t="s">
        <v>76</v>
      </c>
      <c r="O691" s="1" t="s">
        <v>77</v>
      </c>
      <c r="P691" s="1" t="s">
        <v>27</v>
      </c>
      <c r="Q691" s="1" t="s">
        <v>86</v>
      </c>
      <c r="R691" s="1" t="s">
        <v>94</v>
      </c>
      <c r="S691" s="1" t="s">
        <v>87</v>
      </c>
      <c r="T691" s="1" t="s">
        <v>88</v>
      </c>
      <c r="X691" s="1" t="s">
        <v>73</v>
      </c>
      <c r="Z691" s="1" t="s">
        <v>70</v>
      </c>
      <c r="AA691" s="1" t="s">
        <v>95</v>
      </c>
      <c r="AB691" s="1">
        <v>5</v>
      </c>
      <c r="AC691" s="1">
        <v>748821.64</v>
      </c>
      <c r="AD691" s="1">
        <v>8930487.1799999997</v>
      </c>
      <c r="AE691" s="1">
        <v>210.48</v>
      </c>
      <c r="AF691" s="1">
        <v>748821.64</v>
      </c>
      <c r="AG691" s="1">
        <v>8930487.1799999997</v>
      </c>
      <c r="AH691" s="1">
        <v>199.4</v>
      </c>
      <c r="AI691" s="1">
        <v>11.08</v>
      </c>
      <c r="AJ691" s="1">
        <v>0.6</v>
      </c>
      <c r="AK691" s="1">
        <v>2.97</v>
      </c>
      <c r="AL691" s="1">
        <v>2.58</v>
      </c>
      <c r="AM691" s="1">
        <v>0</v>
      </c>
      <c r="AN691" s="1">
        <v>0</v>
      </c>
      <c r="AO691" s="1">
        <v>279.95422539999998</v>
      </c>
      <c r="AP691" s="1">
        <v>3.39</v>
      </c>
      <c r="AQ691" s="1">
        <v>0.63</v>
      </c>
      <c r="AR691" s="1">
        <v>0.08</v>
      </c>
      <c r="AS691" s="1">
        <v>7.0000000000000007E-2</v>
      </c>
      <c r="AT691" s="1">
        <v>17.989999999999998</v>
      </c>
      <c r="AU691" s="1">
        <v>5.98</v>
      </c>
      <c r="AV691" s="1">
        <v>0.33</v>
      </c>
      <c r="AW691" s="1">
        <v>1.9</v>
      </c>
      <c r="AX691" s="1">
        <v>9.51</v>
      </c>
      <c r="AY691" s="1">
        <v>0</v>
      </c>
      <c r="AZ691" s="1">
        <v>110.36499999999999</v>
      </c>
      <c r="BA691" s="1">
        <v>0</v>
      </c>
      <c r="BB691" s="1">
        <v>0</v>
      </c>
      <c r="BC691" s="1">
        <v>0</v>
      </c>
      <c r="BD691" s="1">
        <v>0</v>
      </c>
    </row>
    <row r="692" spans="1:56">
      <c r="A692" s="18">
        <v>46192</v>
      </c>
      <c r="B692" s="1">
        <v>691</v>
      </c>
      <c r="C692" s="1" t="s">
        <v>89</v>
      </c>
      <c r="D692" s="1" t="s">
        <v>90</v>
      </c>
      <c r="E692" s="1">
        <v>2</v>
      </c>
      <c r="F692" s="1">
        <v>200</v>
      </c>
      <c r="G692" s="1">
        <v>1</v>
      </c>
      <c r="H692" s="1" t="s">
        <v>91</v>
      </c>
      <c r="I692" s="1" t="s">
        <v>79</v>
      </c>
      <c r="J692" s="1" t="s">
        <v>80</v>
      </c>
      <c r="K692" s="1" t="s">
        <v>74</v>
      </c>
      <c r="L692" s="1" t="s">
        <v>72</v>
      </c>
      <c r="M692" s="1" t="s">
        <v>75</v>
      </c>
      <c r="N692" s="1" t="s">
        <v>76</v>
      </c>
      <c r="O692" s="1" t="s">
        <v>77</v>
      </c>
      <c r="P692" s="1" t="s">
        <v>27</v>
      </c>
      <c r="Q692" s="1" t="s">
        <v>86</v>
      </c>
      <c r="R692" s="1" t="s">
        <v>94</v>
      </c>
      <c r="S692" s="1" t="s">
        <v>87</v>
      </c>
      <c r="T692" s="1" t="s">
        <v>88</v>
      </c>
      <c r="X692" s="1" t="s">
        <v>73</v>
      </c>
      <c r="Z692" s="1" t="s">
        <v>70</v>
      </c>
      <c r="AA692" s="1" t="s">
        <v>95</v>
      </c>
      <c r="AB692" s="1">
        <v>5</v>
      </c>
      <c r="AC692" s="1">
        <v>748823.25</v>
      </c>
      <c r="AD692" s="1">
        <v>8930484.6799999997</v>
      </c>
      <c r="AE692" s="1">
        <v>210.49</v>
      </c>
      <c r="AF692" s="1">
        <v>748823.25</v>
      </c>
      <c r="AG692" s="1">
        <v>8930484.6799999997</v>
      </c>
      <c r="AH692" s="1">
        <v>199.4</v>
      </c>
      <c r="AI692" s="1">
        <v>11.09</v>
      </c>
      <c r="AJ692" s="1">
        <v>0.6</v>
      </c>
      <c r="AK692" s="1">
        <v>2.97</v>
      </c>
      <c r="AL692" s="1">
        <v>2.58</v>
      </c>
      <c r="AM692" s="1">
        <v>0</v>
      </c>
      <c r="AN692" s="1">
        <v>0</v>
      </c>
      <c r="AO692" s="1">
        <v>279.95422539999998</v>
      </c>
      <c r="AP692" s="1">
        <v>3.39</v>
      </c>
      <c r="AQ692" s="1">
        <v>0.63</v>
      </c>
      <c r="AR692" s="1">
        <v>0.08</v>
      </c>
      <c r="AS692" s="1">
        <v>0.08</v>
      </c>
      <c r="AT692" s="1">
        <v>18.2</v>
      </c>
      <c r="AU692" s="1">
        <v>6.06</v>
      </c>
      <c r="AV692" s="1">
        <v>0.34</v>
      </c>
      <c r="AW692" s="1">
        <v>1.87</v>
      </c>
      <c r="AX692" s="1">
        <v>9.49</v>
      </c>
      <c r="AY692" s="1">
        <v>0</v>
      </c>
      <c r="AZ692" s="1">
        <v>110.51</v>
      </c>
      <c r="BA692" s="1">
        <v>0</v>
      </c>
      <c r="BB692" s="1">
        <v>0</v>
      </c>
      <c r="BC692" s="1">
        <v>0</v>
      </c>
      <c r="BD692" s="1">
        <v>0</v>
      </c>
    </row>
    <row r="693" spans="1:56">
      <c r="A693" s="18">
        <v>46192</v>
      </c>
      <c r="B693" s="1">
        <v>692</v>
      </c>
      <c r="C693" s="1" t="s">
        <v>89</v>
      </c>
      <c r="D693" s="1" t="s">
        <v>90</v>
      </c>
      <c r="E693" s="1">
        <v>2</v>
      </c>
      <c r="F693" s="1">
        <v>200</v>
      </c>
      <c r="G693" s="1">
        <v>1</v>
      </c>
      <c r="H693" s="1" t="s">
        <v>91</v>
      </c>
      <c r="I693" s="1" t="s">
        <v>79</v>
      </c>
      <c r="J693" s="1" t="s">
        <v>80</v>
      </c>
      <c r="K693" s="1" t="s">
        <v>74</v>
      </c>
      <c r="L693" s="1" t="s">
        <v>72</v>
      </c>
      <c r="M693" s="1" t="s">
        <v>75</v>
      </c>
      <c r="N693" s="1" t="s">
        <v>76</v>
      </c>
      <c r="O693" s="1" t="s">
        <v>77</v>
      </c>
      <c r="P693" s="1" t="s">
        <v>27</v>
      </c>
      <c r="Q693" s="1" t="s">
        <v>86</v>
      </c>
      <c r="R693" s="1" t="s">
        <v>94</v>
      </c>
      <c r="S693" s="1" t="s">
        <v>87</v>
      </c>
      <c r="T693" s="1" t="s">
        <v>88</v>
      </c>
      <c r="X693" s="1" t="s">
        <v>73</v>
      </c>
      <c r="Z693" s="1" t="s">
        <v>70</v>
      </c>
      <c r="AA693" s="1" t="s">
        <v>95</v>
      </c>
      <c r="AB693" s="1">
        <v>5</v>
      </c>
      <c r="AC693" s="1">
        <v>748824.85</v>
      </c>
      <c r="AD693" s="1">
        <v>8930482.1799999997</v>
      </c>
      <c r="AE693" s="1">
        <v>210.41</v>
      </c>
      <c r="AF693" s="1">
        <v>748824.85</v>
      </c>
      <c r="AG693" s="1">
        <v>8930482.1799999997</v>
      </c>
      <c r="AH693" s="1">
        <v>199.4</v>
      </c>
      <c r="AI693" s="1">
        <v>11.01</v>
      </c>
      <c r="AJ693" s="1">
        <v>0.6</v>
      </c>
      <c r="AK693" s="1">
        <v>2.97</v>
      </c>
      <c r="AL693" s="1">
        <v>2.58</v>
      </c>
      <c r="AM693" s="1">
        <v>0</v>
      </c>
      <c r="AN693" s="1">
        <v>0</v>
      </c>
      <c r="AO693" s="1">
        <v>279.95422539999998</v>
      </c>
      <c r="AP693" s="1">
        <v>3.39</v>
      </c>
      <c r="AQ693" s="1">
        <v>0.63</v>
      </c>
      <c r="AR693" s="1">
        <v>0.08</v>
      </c>
      <c r="AS693" s="1">
        <v>0.08</v>
      </c>
      <c r="AT693" s="1">
        <v>18.2</v>
      </c>
      <c r="AU693" s="1">
        <v>6.05</v>
      </c>
      <c r="AV693" s="1">
        <v>0.34</v>
      </c>
      <c r="AW693" s="1">
        <v>1.87</v>
      </c>
      <c r="AX693" s="1">
        <v>9.49</v>
      </c>
      <c r="AY693" s="1">
        <v>0</v>
      </c>
      <c r="AZ693" s="1">
        <v>109.346</v>
      </c>
      <c r="BA693" s="1">
        <v>0</v>
      </c>
      <c r="BB693" s="1">
        <v>0</v>
      </c>
      <c r="BC693" s="1">
        <v>0</v>
      </c>
      <c r="BD693" s="1">
        <v>0</v>
      </c>
    </row>
    <row r="694" spans="1:56">
      <c r="A694" s="18">
        <v>46192</v>
      </c>
      <c r="B694" s="1">
        <v>693</v>
      </c>
      <c r="C694" s="1" t="s">
        <v>89</v>
      </c>
      <c r="D694" s="1" t="s">
        <v>90</v>
      </c>
      <c r="E694" s="1">
        <v>2</v>
      </c>
      <c r="F694" s="1">
        <v>200</v>
      </c>
      <c r="G694" s="1">
        <v>1</v>
      </c>
      <c r="H694" s="1" t="s">
        <v>91</v>
      </c>
      <c r="I694" s="1" t="s">
        <v>79</v>
      </c>
      <c r="J694" s="1" t="s">
        <v>80</v>
      </c>
      <c r="K694" s="1" t="s">
        <v>74</v>
      </c>
      <c r="L694" s="1" t="s">
        <v>72</v>
      </c>
      <c r="M694" s="1" t="s">
        <v>75</v>
      </c>
      <c r="N694" s="1" t="s">
        <v>76</v>
      </c>
      <c r="O694" s="1" t="s">
        <v>77</v>
      </c>
      <c r="P694" s="1" t="s">
        <v>27</v>
      </c>
      <c r="Q694" s="1" t="s">
        <v>86</v>
      </c>
      <c r="R694" s="1" t="s">
        <v>94</v>
      </c>
      <c r="S694" s="1" t="s">
        <v>87</v>
      </c>
      <c r="T694" s="1" t="s">
        <v>88</v>
      </c>
      <c r="X694" s="1" t="s">
        <v>73</v>
      </c>
      <c r="Z694" s="1" t="s">
        <v>70</v>
      </c>
      <c r="AA694" s="1" t="s">
        <v>95</v>
      </c>
      <c r="AB694" s="1">
        <v>5</v>
      </c>
      <c r="AC694" s="1">
        <v>748826.45</v>
      </c>
      <c r="AD694" s="1">
        <v>8930479.6699999999</v>
      </c>
      <c r="AE694" s="1">
        <v>210.42</v>
      </c>
      <c r="AF694" s="1">
        <v>748826.45</v>
      </c>
      <c r="AG694" s="1">
        <v>8930479.6699999999</v>
      </c>
      <c r="AH694" s="1">
        <v>199.4</v>
      </c>
      <c r="AI694" s="1">
        <v>11.02</v>
      </c>
      <c r="AJ694" s="1">
        <v>0.6</v>
      </c>
      <c r="AK694" s="1">
        <v>2.97</v>
      </c>
      <c r="AL694" s="1">
        <v>2.58</v>
      </c>
      <c r="AM694" s="1">
        <v>0</v>
      </c>
      <c r="AN694" s="1">
        <v>0</v>
      </c>
      <c r="AO694" s="1">
        <v>279.95422539999998</v>
      </c>
      <c r="AP694" s="1">
        <v>3.45</v>
      </c>
      <c r="AQ694" s="1">
        <v>0.56000000000000005</v>
      </c>
      <c r="AR694" s="1">
        <v>0.08</v>
      </c>
      <c r="AS694" s="1">
        <v>0.08</v>
      </c>
      <c r="AT694" s="1">
        <v>18.02</v>
      </c>
      <c r="AU694" s="1">
        <v>6.16</v>
      </c>
      <c r="AV694" s="1">
        <v>0.34</v>
      </c>
      <c r="AW694" s="1">
        <v>1.68</v>
      </c>
      <c r="AX694" s="1">
        <v>8.74</v>
      </c>
      <c r="AY694" s="1">
        <v>0</v>
      </c>
      <c r="AZ694" s="1">
        <v>109.491</v>
      </c>
      <c r="BA694" s="1">
        <v>0</v>
      </c>
      <c r="BB694" s="1">
        <v>0</v>
      </c>
      <c r="BC694" s="1">
        <v>0</v>
      </c>
      <c r="BD694" s="1">
        <v>0</v>
      </c>
    </row>
    <row r="695" spans="1:56">
      <c r="A695" s="18">
        <v>46192</v>
      </c>
      <c r="B695" s="1">
        <v>694</v>
      </c>
      <c r="C695" s="1" t="s">
        <v>89</v>
      </c>
      <c r="D695" s="1" t="s">
        <v>90</v>
      </c>
      <c r="E695" s="1">
        <v>2</v>
      </c>
      <c r="F695" s="1">
        <v>200</v>
      </c>
      <c r="G695" s="1">
        <v>1</v>
      </c>
      <c r="H695" s="1" t="s">
        <v>91</v>
      </c>
      <c r="I695" s="1" t="s">
        <v>79</v>
      </c>
      <c r="J695" s="1" t="s">
        <v>80</v>
      </c>
      <c r="K695" s="1" t="s">
        <v>74</v>
      </c>
      <c r="L695" s="1" t="s">
        <v>72</v>
      </c>
      <c r="M695" s="1" t="s">
        <v>75</v>
      </c>
      <c r="N695" s="1" t="s">
        <v>76</v>
      </c>
      <c r="O695" s="1" t="s">
        <v>77</v>
      </c>
      <c r="P695" s="1" t="s">
        <v>27</v>
      </c>
      <c r="Q695" s="1" t="s">
        <v>86</v>
      </c>
      <c r="R695" s="1" t="s">
        <v>94</v>
      </c>
      <c r="S695" s="1" t="s">
        <v>87</v>
      </c>
      <c r="T695" s="1" t="s">
        <v>88</v>
      </c>
      <c r="X695" s="1" t="s">
        <v>73</v>
      </c>
      <c r="Z695" s="1" t="s">
        <v>70</v>
      </c>
      <c r="AA695" s="1" t="s">
        <v>95</v>
      </c>
      <c r="AB695" s="1">
        <v>5</v>
      </c>
      <c r="AC695" s="1">
        <v>748828.06</v>
      </c>
      <c r="AD695" s="1">
        <v>8930477.1699999999</v>
      </c>
      <c r="AE695" s="1">
        <v>210.54</v>
      </c>
      <c r="AF695" s="1">
        <v>748828.06</v>
      </c>
      <c r="AG695" s="1">
        <v>8930477.1699999999</v>
      </c>
      <c r="AH695" s="1">
        <v>199.4</v>
      </c>
      <c r="AI695" s="1">
        <v>11.14</v>
      </c>
      <c r="AJ695" s="1">
        <v>0.6</v>
      </c>
      <c r="AK695" s="1">
        <v>2.97</v>
      </c>
      <c r="AL695" s="1">
        <v>2.58</v>
      </c>
      <c r="AM695" s="1">
        <v>0</v>
      </c>
      <c r="AN695" s="1">
        <v>0</v>
      </c>
      <c r="AO695" s="1">
        <v>279.95422539999998</v>
      </c>
      <c r="AP695" s="1">
        <v>3.48</v>
      </c>
      <c r="AQ695" s="1">
        <v>0.51</v>
      </c>
      <c r="AR695" s="1">
        <v>0.08</v>
      </c>
      <c r="AS695" s="1">
        <v>0.08</v>
      </c>
      <c r="AT695" s="1">
        <v>17.7</v>
      </c>
      <c r="AU695" s="1">
        <v>6.16</v>
      </c>
      <c r="AV695" s="1">
        <v>0.33</v>
      </c>
      <c r="AW695" s="1">
        <v>1.53</v>
      </c>
      <c r="AX695" s="1">
        <v>8.16</v>
      </c>
      <c r="AY695" s="1">
        <v>0</v>
      </c>
      <c r="AZ695" s="1">
        <v>111.238</v>
      </c>
      <c r="BA695" s="1">
        <v>0</v>
      </c>
      <c r="BB695" s="1">
        <v>0</v>
      </c>
      <c r="BC695" s="1">
        <v>0</v>
      </c>
      <c r="BD695" s="1">
        <v>0</v>
      </c>
    </row>
    <row r="696" spans="1:56">
      <c r="A696" s="18">
        <v>46192</v>
      </c>
      <c r="B696" s="1">
        <v>695</v>
      </c>
      <c r="C696" s="1" t="s">
        <v>92</v>
      </c>
      <c r="D696" s="1" t="s">
        <v>90</v>
      </c>
      <c r="E696" s="1">
        <v>2</v>
      </c>
      <c r="F696" s="1">
        <v>200</v>
      </c>
      <c r="G696" s="1">
        <v>1</v>
      </c>
      <c r="H696" s="1" t="s">
        <v>93</v>
      </c>
      <c r="I696" s="1" t="s">
        <v>79</v>
      </c>
      <c r="J696" s="1" t="s">
        <v>80</v>
      </c>
      <c r="K696" s="1" t="s">
        <v>74</v>
      </c>
      <c r="L696" s="1" t="s">
        <v>72</v>
      </c>
      <c r="M696" s="1" t="s">
        <v>75</v>
      </c>
      <c r="N696" s="1" t="s">
        <v>76</v>
      </c>
      <c r="O696" s="1" t="s">
        <v>77</v>
      </c>
      <c r="P696" s="1" t="s">
        <v>27</v>
      </c>
      <c r="Q696" s="1" t="s">
        <v>86</v>
      </c>
      <c r="R696" s="1" t="s">
        <v>94</v>
      </c>
      <c r="S696" s="1" t="s">
        <v>87</v>
      </c>
      <c r="T696" s="1" t="s">
        <v>88</v>
      </c>
      <c r="X696" s="1" t="s">
        <v>73</v>
      </c>
      <c r="Z696" s="1" t="s">
        <v>70</v>
      </c>
      <c r="AA696" s="1" t="s">
        <v>95</v>
      </c>
      <c r="AB696" s="1">
        <v>5</v>
      </c>
      <c r="AC696" s="1">
        <v>748828.13</v>
      </c>
      <c r="AD696" s="1">
        <v>8930471.6799999997</v>
      </c>
      <c r="AE696" s="1">
        <v>210.7</v>
      </c>
      <c r="AF696" s="1">
        <v>748828.13</v>
      </c>
      <c r="AG696" s="1">
        <v>8930471.6799999997</v>
      </c>
      <c r="AH696" s="1">
        <v>199.4</v>
      </c>
      <c r="AI696" s="1">
        <v>11.3</v>
      </c>
      <c r="AJ696" s="1">
        <v>0.6</v>
      </c>
      <c r="AK696" s="1">
        <v>2.97</v>
      </c>
      <c r="AL696" s="1">
        <v>2.58</v>
      </c>
      <c r="AM696" s="1">
        <v>0</v>
      </c>
      <c r="AN696" s="1">
        <v>0</v>
      </c>
      <c r="AO696" s="1">
        <v>279.95422539999998</v>
      </c>
      <c r="AP696" s="1">
        <v>3.24</v>
      </c>
      <c r="AQ696" s="1">
        <v>0.37</v>
      </c>
      <c r="AR696" s="1">
        <v>0.06</v>
      </c>
      <c r="AS696" s="1">
        <v>0.05</v>
      </c>
      <c r="AT696" s="1">
        <v>12.67</v>
      </c>
      <c r="AU696" s="1">
        <v>4.41</v>
      </c>
      <c r="AV696" s="1">
        <v>0.24</v>
      </c>
      <c r="AW696" s="1">
        <v>1.1100000000000001</v>
      </c>
      <c r="AX696" s="1">
        <v>5.89</v>
      </c>
      <c r="AY696" s="1">
        <v>0</v>
      </c>
      <c r="AZ696" s="1">
        <v>113.568</v>
      </c>
      <c r="BA696" s="1">
        <v>0</v>
      </c>
      <c r="BB696" s="1">
        <v>0</v>
      </c>
      <c r="BC696" s="1">
        <v>0</v>
      </c>
      <c r="BD696" s="1">
        <v>0</v>
      </c>
    </row>
    <row r="697" spans="1:56">
      <c r="A697" s="18">
        <v>46192</v>
      </c>
      <c r="B697" s="1">
        <v>696</v>
      </c>
      <c r="C697" s="1" t="s">
        <v>89</v>
      </c>
      <c r="D697" s="1" t="s">
        <v>90</v>
      </c>
      <c r="E697" s="1">
        <v>2</v>
      </c>
      <c r="F697" s="1">
        <v>200</v>
      </c>
      <c r="G697" s="1">
        <v>1</v>
      </c>
      <c r="H697" s="1" t="s">
        <v>91</v>
      </c>
      <c r="I697" s="1" t="s">
        <v>79</v>
      </c>
      <c r="J697" s="1" t="s">
        <v>80</v>
      </c>
      <c r="K697" s="1" t="s">
        <v>74</v>
      </c>
      <c r="L697" s="1" t="s">
        <v>72</v>
      </c>
      <c r="M697" s="1" t="s">
        <v>75</v>
      </c>
      <c r="N697" s="1" t="s">
        <v>76</v>
      </c>
      <c r="O697" s="1" t="s">
        <v>77</v>
      </c>
      <c r="P697" s="1" t="s">
        <v>27</v>
      </c>
      <c r="Q697" s="1" t="s">
        <v>86</v>
      </c>
      <c r="R697" s="1" t="s">
        <v>94</v>
      </c>
      <c r="S697" s="1" t="s">
        <v>87</v>
      </c>
      <c r="T697" s="1" t="s">
        <v>88</v>
      </c>
      <c r="X697" s="1" t="s">
        <v>73</v>
      </c>
      <c r="Z697" s="1" t="s">
        <v>70</v>
      </c>
      <c r="AA697" s="1" t="s">
        <v>95</v>
      </c>
      <c r="AB697" s="1">
        <v>5</v>
      </c>
      <c r="AC697" s="1">
        <v>748826.83</v>
      </c>
      <c r="AD697" s="1">
        <v>8930474.3000000007</v>
      </c>
      <c r="AE697" s="1">
        <v>210.67</v>
      </c>
      <c r="AF697" s="1">
        <v>748826.83</v>
      </c>
      <c r="AG697" s="1">
        <v>8930474.3000000007</v>
      </c>
      <c r="AH697" s="1">
        <v>199.4</v>
      </c>
      <c r="AI697" s="1">
        <v>11.27</v>
      </c>
      <c r="AJ697" s="1">
        <v>0.6</v>
      </c>
      <c r="AK697" s="1">
        <v>2.97</v>
      </c>
      <c r="AL697" s="1">
        <v>2.58</v>
      </c>
      <c r="AM697" s="1">
        <v>0</v>
      </c>
      <c r="AN697" s="1">
        <v>0</v>
      </c>
      <c r="AO697" s="1">
        <v>279.95422539999998</v>
      </c>
      <c r="AP697" s="1">
        <v>3.48</v>
      </c>
      <c r="AQ697" s="1">
        <v>0.52</v>
      </c>
      <c r="AR697" s="1">
        <v>0.08</v>
      </c>
      <c r="AS697" s="1">
        <v>0.08</v>
      </c>
      <c r="AT697" s="1">
        <v>17.850000000000001</v>
      </c>
      <c r="AU697" s="1">
        <v>6.21</v>
      </c>
      <c r="AV697" s="1">
        <v>0.33</v>
      </c>
      <c r="AW697" s="1">
        <v>1.54</v>
      </c>
      <c r="AX697" s="1">
        <v>8.25</v>
      </c>
      <c r="AY697" s="1">
        <v>0</v>
      </c>
      <c r="AZ697" s="1">
        <v>113.131</v>
      </c>
      <c r="BA697" s="1">
        <v>0</v>
      </c>
      <c r="BB697" s="1">
        <v>0</v>
      </c>
      <c r="BC697" s="1">
        <v>0</v>
      </c>
      <c r="BD697" s="1">
        <v>0</v>
      </c>
    </row>
    <row r="698" spans="1:56">
      <c r="A698" s="18">
        <v>46192</v>
      </c>
      <c r="B698" s="1">
        <v>697</v>
      </c>
      <c r="C698" s="1" t="s">
        <v>89</v>
      </c>
      <c r="D698" s="1" t="s">
        <v>90</v>
      </c>
      <c r="E698" s="1">
        <v>2</v>
      </c>
      <c r="F698" s="1">
        <v>200</v>
      </c>
      <c r="G698" s="1">
        <v>1</v>
      </c>
      <c r="H698" s="1" t="s">
        <v>91</v>
      </c>
      <c r="I698" s="1" t="s">
        <v>79</v>
      </c>
      <c r="J698" s="1" t="s">
        <v>80</v>
      </c>
      <c r="K698" s="1" t="s">
        <v>74</v>
      </c>
      <c r="L698" s="1" t="s">
        <v>72</v>
      </c>
      <c r="M698" s="1" t="s">
        <v>75</v>
      </c>
      <c r="N698" s="1" t="s">
        <v>76</v>
      </c>
      <c r="O698" s="1" t="s">
        <v>77</v>
      </c>
      <c r="P698" s="1" t="s">
        <v>27</v>
      </c>
      <c r="Q698" s="1" t="s">
        <v>86</v>
      </c>
      <c r="R698" s="1" t="s">
        <v>94</v>
      </c>
      <c r="S698" s="1" t="s">
        <v>87</v>
      </c>
      <c r="T698" s="1" t="s">
        <v>88</v>
      </c>
      <c r="X698" s="1" t="s">
        <v>73</v>
      </c>
      <c r="Z698" s="1" t="s">
        <v>70</v>
      </c>
      <c r="AA698" s="1" t="s">
        <v>95</v>
      </c>
      <c r="AB698" s="1">
        <v>5</v>
      </c>
      <c r="AC698" s="1">
        <v>748825.23</v>
      </c>
      <c r="AD698" s="1">
        <v>8930476.8000000007</v>
      </c>
      <c r="AE698" s="1">
        <v>210.55</v>
      </c>
      <c r="AF698" s="1">
        <v>748825.23</v>
      </c>
      <c r="AG698" s="1">
        <v>8930476.8000000007</v>
      </c>
      <c r="AH698" s="1">
        <v>199.4</v>
      </c>
      <c r="AI698" s="1">
        <v>11.15</v>
      </c>
      <c r="AJ698" s="1">
        <v>0.6</v>
      </c>
      <c r="AK698" s="1">
        <v>2.97</v>
      </c>
      <c r="AL698" s="1">
        <v>2.58</v>
      </c>
      <c r="AM698" s="1">
        <v>0</v>
      </c>
      <c r="AN698" s="1">
        <v>0</v>
      </c>
      <c r="AO698" s="1">
        <v>279.95422539999998</v>
      </c>
      <c r="AP698" s="1">
        <v>3.49</v>
      </c>
      <c r="AQ698" s="1">
        <v>0.52</v>
      </c>
      <c r="AR698" s="1">
        <v>0.08</v>
      </c>
      <c r="AS698" s="1">
        <v>0.08</v>
      </c>
      <c r="AT698" s="1">
        <v>17.91</v>
      </c>
      <c r="AU698" s="1">
        <v>6.23</v>
      </c>
      <c r="AV698" s="1">
        <v>0.34</v>
      </c>
      <c r="AW698" s="1">
        <v>1.55</v>
      </c>
      <c r="AX698" s="1">
        <v>8.26</v>
      </c>
      <c r="AY698" s="1">
        <v>0</v>
      </c>
      <c r="AZ698" s="1">
        <v>111.384</v>
      </c>
      <c r="BA698" s="1">
        <v>0</v>
      </c>
      <c r="BB698" s="1">
        <v>0</v>
      </c>
      <c r="BC698" s="1">
        <v>0</v>
      </c>
      <c r="BD698" s="1">
        <v>0</v>
      </c>
    </row>
    <row r="699" spans="1:56">
      <c r="A699" s="18">
        <v>46192</v>
      </c>
      <c r="B699" s="1">
        <v>698</v>
      </c>
      <c r="C699" s="1" t="s">
        <v>89</v>
      </c>
      <c r="D699" s="1" t="s">
        <v>90</v>
      </c>
      <c r="E699" s="1">
        <v>2</v>
      </c>
      <c r="F699" s="1">
        <v>200</v>
      </c>
      <c r="G699" s="1">
        <v>1</v>
      </c>
      <c r="H699" s="1" t="s">
        <v>91</v>
      </c>
      <c r="I699" s="1" t="s">
        <v>79</v>
      </c>
      <c r="J699" s="1" t="s">
        <v>80</v>
      </c>
      <c r="K699" s="1" t="s">
        <v>74</v>
      </c>
      <c r="L699" s="1" t="s">
        <v>72</v>
      </c>
      <c r="M699" s="1" t="s">
        <v>75</v>
      </c>
      <c r="N699" s="1" t="s">
        <v>76</v>
      </c>
      <c r="O699" s="1" t="s">
        <v>77</v>
      </c>
      <c r="P699" s="1" t="s">
        <v>27</v>
      </c>
      <c r="Q699" s="1" t="s">
        <v>86</v>
      </c>
      <c r="R699" s="1" t="s">
        <v>94</v>
      </c>
      <c r="S699" s="1" t="s">
        <v>87</v>
      </c>
      <c r="T699" s="1" t="s">
        <v>88</v>
      </c>
      <c r="X699" s="1" t="s">
        <v>73</v>
      </c>
      <c r="Z699" s="1" t="s">
        <v>70</v>
      </c>
      <c r="AA699" s="1" t="s">
        <v>95</v>
      </c>
      <c r="AB699" s="1">
        <v>5</v>
      </c>
      <c r="AC699" s="1">
        <v>748823.63</v>
      </c>
      <c r="AD699" s="1">
        <v>8930479.3000000007</v>
      </c>
      <c r="AE699" s="1">
        <v>210.45</v>
      </c>
      <c r="AF699" s="1">
        <v>748823.63</v>
      </c>
      <c r="AG699" s="1">
        <v>8930479.3000000007</v>
      </c>
      <c r="AH699" s="1">
        <v>199.4</v>
      </c>
      <c r="AI699" s="1">
        <v>11.05</v>
      </c>
      <c r="AJ699" s="1">
        <v>0.6</v>
      </c>
      <c r="AK699" s="1">
        <v>2.97</v>
      </c>
      <c r="AL699" s="1">
        <v>2.58</v>
      </c>
      <c r="AM699" s="1">
        <v>0</v>
      </c>
      <c r="AN699" s="1">
        <v>0</v>
      </c>
      <c r="AO699" s="1">
        <v>279.95422539999998</v>
      </c>
      <c r="AP699" s="1">
        <v>3.46</v>
      </c>
      <c r="AQ699" s="1">
        <v>0.55000000000000004</v>
      </c>
      <c r="AR699" s="1">
        <v>0.08</v>
      </c>
      <c r="AS699" s="1">
        <v>0.08</v>
      </c>
      <c r="AT699" s="1">
        <v>17.989999999999998</v>
      </c>
      <c r="AU699" s="1">
        <v>6.18</v>
      </c>
      <c r="AV699" s="1">
        <v>0.34</v>
      </c>
      <c r="AW699" s="1">
        <v>1.64</v>
      </c>
      <c r="AX699" s="1">
        <v>8.61</v>
      </c>
      <c r="AY699" s="1">
        <v>0</v>
      </c>
      <c r="AZ699" s="1">
        <v>109.928</v>
      </c>
      <c r="BA699" s="1">
        <v>0</v>
      </c>
      <c r="BB699" s="1">
        <v>0</v>
      </c>
      <c r="BC699" s="1">
        <v>0</v>
      </c>
      <c r="BD699" s="1">
        <v>0</v>
      </c>
    </row>
    <row r="700" spans="1:56">
      <c r="A700" s="18">
        <v>46192</v>
      </c>
      <c r="B700" s="1">
        <v>699</v>
      </c>
      <c r="C700" s="1" t="s">
        <v>89</v>
      </c>
      <c r="D700" s="1" t="s">
        <v>90</v>
      </c>
      <c r="E700" s="1">
        <v>2</v>
      </c>
      <c r="F700" s="1">
        <v>200</v>
      </c>
      <c r="G700" s="1">
        <v>1</v>
      </c>
      <c r="H700" s="1" t="s">
        <v>91</v>
      </c>
      <c r="I700" s="1" t="s">
        <v>79</v>
      </c>
      <c r="J700" s="1" t="s">
        <v>80</v>
      </c>
      <c r="K700" s="1" t="s">
        <v>74</v>
      </c>
      <c r="L700" s="1" t="s">
        <v>72</v>
      </c>
      <c r="M700" s="1" t="s">
        <v>75</v>
      </c>
      <c r="N700" s="1" t="s">
        <v>82</v>
      </c>
      <c r="O700" s="1" t="s">
        <v>77</v>
      </c>
      <c r="P700" s="1" t="s">
        <v>27</v>
      </c>
      <c r="Q700" s="1" t="s">
        <v>86</v>
      </c>
      <c r="R700" s="1" t="s">
        <v>94</v>
      </c>
      <c r="S700" s="1" t="s">
        <v>87</v>
      </c>
      <c r="T700" s="1" t="s">
        <v>88</v>
      </c>
      <c r="X700" s="1" t="s">
        <v>73</v>
      </c>
      <c r="Z700" s="1" t="s">
        <v>70</v>
      </c>
      <c r="AA700" s="1" t="s">
        <v>95</v>
      </c>
      <c r="AB700" s="1">
        <v>5</v>
      </c>
      <c r="AC700" s="1">
        <v>748822.02</v>
      </c>
      <c r="AD700" s="1">
        <v>8930481.8100000005</v>
      </c>
      <c r="AE700" s="1">
        <v>210.43</v>
      </c>
      <c r="AF700" s="1">
        <v>748822.02</v>
      </c>
      <c r="AG700" s="1">
        <v>8930481.8100000005</v>
      </c>
      <c r="AH700" s="1">
        <v>199.4</v>
      </c>
      <c r="AI700" s="1">
        <v>11.03</v>
      </c>
      <c r="AJ700" s="1">
        <v>0.6</v>
      </c>
      <c r="AK700" s="1">
        <v>2.97</v>
      </c>
      <c r="AL700" s="1">
        <v>2.58</v>
      </c>
      <c r="AM700" s="1">
        <v>0</v>
      </c>
      <c r="AN700" s="1">
        <v>0</v>
      </c>
      <c r="AO700" s="1">
        <v>279.95422539999998</v>
      </c>
      <c r="AP700" s="1">
        <v>3.39</v>
      </c>
      <c r="AQ700" s="1">
        <v>0.63</v>
      </c>
      <c r="AR700" s="1">
        <v>0.08</v>
      </c>
      <c r="AS700" s="1">
        <v>0.08</v>
      </c>
      <c r="AT700" s="1">
        <v>18.18</v>
      </c>
      <c r="AU700" s="1">
        <v>6.05</v>
      </c>
      <c r="AV700" s="1">
        <v>0.34</v>
      </c>
      <c r="AW700" s="1">
        <v>1.86</v>
      </c>
      <c r="AX700" s="1">
        <v>9.4499999999999993</v>
      </c>
      <c r="AY700" s="1">
        <v>0</v>
      </c>
      <c r="AZ700" s="1">
        <v>109.637</v>
      </c>
      <c r="BA700" s="1">
        <v>0</v>
      </c>
      <c r="BB700" s="1">
        <v>0</v>
      </c>
      <c r="BC700" s="1">
        <v>0</v>
      </c>
      <c r="BD700" s="1">
        <v>0</v>
      </c>
    </row>
    <row r="701" spans="1:56">
      <c r="A701" s="18">
        <v>46192</v>
      </c>
      <c r="B701" s="1">
        <v>700</v>
      </c>
      <c r="C701" s="1" t="s">
        <v>89</v>
      </c>
      <c r="D701" s="1" t="s">
        <v>90</v>
      </c>
      <c r="E701" s="1">
        <v>2</v>
      </c>
      <c r="F701" s="1">
        <v>200</v>
      </c>
      <c r="G701" s="1">
        <v>1</v>
      </c>
      <c r="H701" s="1" t="s">
        <v>91</v>
      </c>
      <c r="I701" s="1" t="s">
        <v>79</v>
      </c>
      <c r="J701" s="1" t="s">
        <v>80</v>
      </c>
      <c r="K701" s="1" t="s">
        <v>74</v>
      </c>
      <c r="L701" s="1" t="s">
        <v>72</v>
      </c>
      <c r="M701" s="1" t="s">
        <v>75</v>
      </c>
      <c r="N701" s="1" t="s">
        <v>82</v>
      </c>
      <c r="O701" s="1" t="s">
        <v>77</v>
      </c>
      <c r="P701" s="1" t="s">
        <v>27</v>
      </c>
      <c r="Q701" s="1" t="s">
        <v>86</v>
      </c>
      <c r="R701" s="1" t="s">
        <v>94</v>
      </c>
      <c r="S701" s="1" t="s">
        <v>87</v>
      </c>
      <c r="T701" s="1" t="s">
        <v>88</v>
      </c>
      <c r="X701" s="1" t="s">
        <v>73</v>
      </c>
      <c r="Z701" s="1" t="s">
        <v>70</v>
      </c>
      <c r="AA701" s="1" t="s">
        <v>95</v>
      </c>
      <c r="AB701" s="1">
        <v>5</v>
      </c>
      <c r="AC701" s="1">
        <v>748820.42</v>
      </c>
      <c r="AD701" s="1">
        <v>8930484.3100000005</v>
      </c>
      <c r="AE701" s="1">
        <v>210.58</v>
      </c>
      <c r="AF701" s="1">
        <v>748820.42</v>
      </c>
      <c r="AG701" s="1">
        <v>8930484.3100000005</v>
      </c>
      <c r="AH701" s="1">
        <v>199.4</v>
      </c>
      <c r="AI701" s="1">
        <v>11.18</v>
      </c>
      <c r="AJ701" s="1">
        <v>0.6</v>
      </c>
      <c r="AK701" s="1">
        <v>2.97</v>
      </c>
      <c r="AL701" s="1">
        <v>2.58</v>
      </c>
      <c r="AM701" s="1">
        <v>0</v>
      </c>
      <c r="AN701" s="1">
        <v>0</v>
      </c>
      <c r="AO701" s="1">
        <v>279.95422539999998</v>
      </c>
      <c r="AP701" s="1">
        <v>3.39</v>
      </c>
      <c r="AQ701" s="1">
        <v>0.61</v>
      </c>
      <c r="AR701" s="1">
        <v>0.09</v>
      </c>
      <c r="AS701" s="1">
        <v>7.0000000000000007E-2</v>
      </c>
      <c r="AT701" s="1">
        <v>16.88</v>
      </c>
      <c r="AU701" s="1">
        <v>5.56</v>
      </c>
      <c r="AV701" s="1">
        <v>0.3</v>
      </c>
      <c r="AW701" s="1">
        <v>2.04</v>
      </c>
      <c r="AX701" s="1">
        <v>9.61</v>
      </c>
      <c r="AY701" s="1">
        <v>0</v>
      </c>
      <c r="AZ701" s="1">
        <v>111.821</v>
      </c>
      <c r="BA701" s="1">
        <v>0</v>
      </c>
      <c r="BB701" s="1">
        <v>0</v>
      </c>
      <c r="BC701" s="1">
        <v>0</v>
      </c>
      <c r="BD701" s="1">
        <v>0</v>
      </c>
    </row>
    <row r="702" spans="1:56">
      <c r="A702" s="18">
        <v>46192</v>
      </c>
      <c r="B702" s="1">
        <v>701</v>
      </c>
      <c r="C702" s="1" t="s">
        <v>89</v>
      </c>
      <c r="D702" s="1" t="s">
        <v>90</v>
      </c>
      <c r="E702" s="1">
        <v>2</v>
      </c>
      <c r="F702" s="1">
        <v>200</v>
      </c>
      <c r="G702" s="1">
        <v>1</v>
      </c>
      <c r="H702" s="1" t="s">
        <v>91</v>
      </c>
      <c r="I702" s="1" t="s">
        <v>79</v>
      </c>
      <c r="J702" s="1" t="s">
        <v>80</v>
      </c>
      <c r="K702" s="1" t="s">
        <v>74</v>
      </c>
      <c r="L702" s="1" t="s">
        <v>72</v>
      </c>
      <c r="M702" s="1" t="s">
        <v>75</v>
      </c>
      <c r="N702" s="1" t="s">
        <v>82</v>
      </c>
      <c r="O702" s="1" t="s">
        <v>77</v>
      </c>
      <c r="P702" s="1" t="s">
        <v>27</v>
      </c>
      <c r="Q702" s="1" t="s">
        <v>86</v>
      </c>
      <c r="R702" s="1" t="s">
        <v>94</v>
      </c>
      <c r="S702" s="1" t="s">
        <v>87</v>
      </c>
      <c r="T702" s="1" t="s">
        <v>88</v>
      </c>
      <c r="X702" s="1" t="s">
        <v>73</v>
      </c>
      <c r="Z702" s="1" t="s">
        <v>70</v>
      </c>
      <c r="AA702" s="1" t="s">
        <v>95</v>
      </c>
      <c r="AB702" s="1">
        <v>5</v>
      </c>
      <c r="AC702" s="1">
        <v>748818.82</v>
      </c>
      <c r="AD702" s="1">
        <v>8930486.8100000005</v>
      </c>
      <c r="AE702" s="1">
        <v>210.7</v>
      </c>
      <c r="AF702" s="1">
        <v>748818.82</v>
      </c>
      <c r="AG702" s="1">
        <v>8930486.8100000005</v>
      </c>
      <c r="AH702" s="1">
        <v>199.4</v>
      </c>
      <c r="AI702" s="1">
        <v>11.3</v>
      </c>
      <c r="AJ702" s="1">
        <v>0.6</v>
      </c>
      <c r="AK702" s="1">
        <v>2.97</v>
      </c>
      <c r="AL702" s="1">
        <v>2.58</v>
      </c>
      <c r="AM702" s="1">
        <v>0</v>
      </c>
      <c r="AN702" s="1">
        <v>0</v>
      </c>
      <c r="AO702" s="1">
        <v>279.95422539999998</v>
      </c>
      <c r="AP702" s="1">
        <v>3.38</v>
      </c>
      <c r="AQ702" s="1">
        <v>0.59</v>
      </c>
      <c r="AR702" s="1">
        <v>0.09</v>
      </c>
      <c r="AS702" s="1">
        <v>7.0000000000000007E-2</v>
      </c>
      <c r="AT702" s="1">
        <v>15.22</v>
      </c>
      <c r="AU702" s="1">
        <v>4.93</v>
      </c>
      <c r="AV702" s="1">
        <v>0.26</v>
      </c>
      <c r="AW702" s="1">
        <v>2.25</v>
      </c>
      <c r="AX702" s="1">
        <v>9.76</v>
      </c>
      <c r="AY702" s="1">
        <v>0</v>
      </c>
      <c r="AZ702" s="1">
        <v>113.568</v>
      </c>
      <c r="BA702" s="1">
        <v>0</v>
      </c>
      <c r="BB702" s="1">
        <v>0</v>
      </c>
      <c r="BC702" s="1">
        <v>0</v>
      </c>
      <c r="BD702" s="1">
        <v>0</v>
      </c>
    </row>
    <row r="703" spans="1:56">
      <c r="A703" s="18">
        <v>46192</v>
      </c>
      <c r="B703" s="1">
        <v>702</v>
      </c>
      <c r="C703" s="1" t="s">
        <v>89</v>
      </c>
      <c r="D703" s="1" t="s">
        <v>90</v>
      </c>
      <c r="E703" s="1">
        <v>2</v>
      </c>
      <c r="F703" s="1">
        <v>200</v>
      </c>
      <c r="G703" s="1">
        <v>1</v>
      </c>
      <c r="H703" s="1" t="s">
        <v>91</v>
      </c>
      <c r="I703" s="1" t="s">
        <v>79</v>
      </c>
      <c r="J703" s="1" t="s">
        <v>80</v>
      </c>
      <c r="K703" s="1" t="s">
        <v>74</v>
      </c>
      <c r="L703" s="1" t="s">
        <v>72</v>
      </c>
      <c r="M703" s="1" t="s">
        <v>75</v>
      </c>
      <c r="N703" s="1" t="s">
        <v>82</v>
      </c>
      <c r="O703" s="1" t="s">
        <v>77</v>
      </c>
      <c r="P703" s="1" t="s">
        <v>27</v>
      </c>
      <c r="Q703" s="1" t="s">
        <v>86</v>
      </c>
      <c r="R703" s="1" t="s">
        <v>94</v>
      </c>
      <c r="S703" s="1" t="s">
        <v>87</v>
      </c>
      <c r="T703" s="1" t="s">
        <v>88</v>
      </c>
      <c r="X703" s="1" t="s">
        <v>73</v>
      </c>
      <c r="Z703" s="1" t="s">
        <v>70</v>
      </c>
      <c r="AA703" s="1" t="s">
        <v>95</v>
      </c>
      <c r="AB703" s="1">
        <v>5</v>
      </c>
      <c r="AC703" s="1">
        <v>748817.21</v>
      </c>
      <c r="AD703" s="1">
        <v>8930489.3100000005</v>
      </c>
      <c r="AE703" s="1">
        <v>210.64</v>
      </c>
      <c r="AF703" s="1">
        <v>748817.21</v>
      </c>
      <c r="AG703" s="1">
        <v>8930489.3100000005</v>
      </c>
      <c r="AH703" s="1">
        <v>199.4</v>
      </c>
      <c r="AI703" s="1">
        <v>11.24</v>
      </c>
      <c r="AJ703" s="1">
        <v>0.6</v>
      </c>
      <c r="AK703" s="1">
        <v>2.97</v>
      </c>
      <c r="AL703" s="1">
        <v>2.58</v>
      </c>
      <c r="AM703" s="1">
        <v>0</v>
      </c>
      <c r="AN703" s="1">
        <v>0</v>
      </c>
      <c r="AO703" s="1">
        <v>279.95422539999998</v>
      </c>
      <c r="AP703" s="1">
        <v>3.4</v>
      </c>
      <c r="AQ703" s="1">
        <v>0.6</v>
      </c>
      <c r="AR703" s="1">
        <v>0.09</v>
      </c>
      <c r="AS703" s="1">
        <v>7.0000000000000007E-2</v>
      </c>
      <c r="AT703" s="1">
        <v>15.67</v>
      </c>
      <c r="AU703" s="1">
        <v>5.08</v>
      </c>
      <c r="AV703" s="1">
        <v>0.28000000000000003</v>
      </c>
      <c r="AW703" s="1">
        <v>2.1800000000000002</v>
      </c>
      <c r="AX703" s="1">
        <v>9.7899999999999991</v>
      </c>
      <c r="AY703" s="1">
        <v>0</v>
      </c>
      <c r="AZ703" s="1">
        <v>112.694</v>
      </c>
      <c r="BA703" s="1">
        <v>0</v>
      </c>
      <c r="BB703" s="1">
        <v>0</v>
      </c>
      <c r="BC703" s="1">
        <v>0</v>
      </c>
      <c r="BD703" s="1">
        <v>0</v>
      </c>
    </row>
    <row r="704" spans="1:56">
      <c r="A704" s="18">
        <v>46192</v>
      </c>
      <c r="B704" s="1">
        <v>703</v>
      </c>
      <c r="C704" s="1" t="s">
        <v>89</v>
      </c>
      <c r="D704" s="1" t="s">
        <v>90</v>
      </c>
      <c r="E704" s="1">
        <v>2</v>
      </c>
      <c r="F704" s="1">
        <v>200</v>
      </c>
      <c r="G704" s="1">
        <v>1</v>
      </c>
      <c r="H704" s="1" t="s">
        <v>91</v>
      </c>
      <c r="I704" s="1" t="s">
        <v>79</v>
      </c>
      <c r="J704" s="1" t="s">
        <v>80</v>
      </c>
      <c r="K704" s="1" t="s">
        <v>74</v>
      </c>
      <c r="L704" s="1" t="s">
        <v>72</v>
      </c>
      <c r="M704" s="1" t="s">
        <v>75</v>
      </c>
      <c r="N704" s="1" t="s">
        <v>82</v>
      </c>
      <c r="O704" s="1" t="s">
        <v>77</v>
      </c>
      <c r="P704" s="1" t="s">
        <v>27</v>
      </c>
      <c r="Q704" s="1" t="s">
        <v>86</v>
      </c>
      <c r="R704" s="1" t="s">
        <v>94</v>
      </c>
      <c r="S704" s="1" t="s">
        <v>87</v>
      </c>
      <c r="T704" s="1" t="s">
        <v>88</v>
      </c>
      <c r="X704" s="1" t="s">
        <v>73</v>
      </c>
      <c r="Z704" s="1" t="s">
        <v>70</v>
      </c>
      <c r="AA704" s="1" t="s">
        <v>95</v>
      </c>
      <c r="AB704" s="1">
        <v>5</v>
      </c>
      <c r="AC704" s="1">
        <v>748815.61</v>
      </c>
      <c r="AD704" s="1">
        <v>8930491.8100000005</v>
      </c>
      <c r="AE704" s="1">
        <v>210.48</v>
      </c>
      <c r="AF704" s="1">
        <v>748815.61</v>
      </c>
      <c r="AG704" s="1">
        <v>8930491.8100000005</v>
      </c>
      <c r="AH704" s="1">
        <v>199.4</v>
      </c>
      <c r="AI704" s="1">
        <v>11.08</v>
      </c>
      <c r="AJ704" s="1">
        <v>0.6</v>
      </c>
      <c r="AK704" s="1">
        <v>2.97</v>
      </c>
      <c r="AL704" s="1">
        <v>2.58</v>
      </c>
      <c r="AM704" s="1">
        <v>0</v>
      </c>
      <c r="AN704" s="1">
        <v>0</v>
      </c>
      <c r="AO704" s="1">
        <v>279.95422539999998</v>
      </c>
      <c r="AP704" s="1">
        <v>3.45</v>
      </c>
      <c r="AQ704" s="1">
        <v>0.65</v>
      </c>
      <c r="AR704" s="1">
        <v>0.1</v>
      </c>
      <c r="AS704" s="1">
        <v>0.08</v>
      </c>
      <c r="AT704" s="1">
        <v>17.98</v>
      </c>
      <c r="AU704" s="1">
        <v>5.91</v>
      </c>
      <c r="AV704" s="1">
        <v>0.36</v>
      </c>
      <c r="AW704" s="1">
        <v>1.84</v>
      </c>
      <c r="AX704" s="1">
        <v>9.74</v>
      </c>
      <c r="AY704" s="1">
        <v>0</v>
      </c>
      <c r="AZ704" s="1">
        <v>110.36499999999999</v>
      </c>
      <c r="BA704" s="1">
        <v>0</v>
      </c>
      <c r="BB704" s="1">
        <v>0</v>
      </c>
      <c r="BC704" s="1">
        <v>0</v>
      </c>
      <c r="BD704" s="1">
        <v>0</v>
      </c>
    </row>
    <row r="705" spans="1:56">
      <c r="A705" s="18">
        <v>46192</v>
      </c>
      <c r="B705" s="1">
        <v>704</v>
      </c>
      <c r="C705" s="1" t="s">
        <v>89</v>
      </c>
      <c r="D705" s="1" t="s">
        <v>90</v>
      </c>
      <c r="E705" s="1">
        <v>2</v>
      </c>
      <c r="F705" s="1">
        <v>200</v>
      </c>
      <c r="G705" s="1">
        <v>1</v>
      </c>
      <c r="H705" s="1" t="s">
        <v>91</v>
      </c>
      <c r="I705" s="1" t="s">
        <v>79</v>
      </c>
      <c r="J705" s="1" t="s">
        <v>80</v>
      </c>
      <c r="K705" s="1" t="s">
        <v>74</v>
      </c>
      <c r="L705" s="1" t="s">
        <v>72</v>
      </c>
      <c r="M705" s="1" t="s">
        <v>75</v>
      </c>
      <c r="N705" s="1" t="s">
        <v>82</v>
      </c>
      <c r="O705" s="1" t="s">
        <v>77</v>
      </c>
      <c r="P705" s="1" t="s">
        <v>27</v>
      </c>
      <c r="Q705" s="1" t="s">
        <v>86</v>
      </c>
      <c r="R705" s="1" t="s">
        <v>94</v>
      </c>
      <c r="S705" s="1" t="s">
        <v>87</v>
      </c>
      <c r="T705" s="1" t="s">
        <v>88</v>
      </c>
      <c r="X705" s="1" t="s">
        <v>73</v>
      </c>
      <c r="Z705" s="1" t="s">
        <v>70</v>
      </c>
      <c r="AA705" s="1" t="s">
        <v>95</v>
      </c>
      <c r="AB705" s="1">
        <v>5</v>
      </c>
      <c r="AC705" s="1">
        <v>748814.01</v>
      </c>
      <c r="AD705" s="1">
        <v>8930494.3100000005</v>
      </c>
      <c r="AE705" s="1">
        <v>210.29</v>
      </c>
      <c r="AF705" s="1">
        <v>748814.01</v>
      </c>
      <c r="AG705" s="1">
        <v>8930494.3100000005</v>
      </c>
      <c r="AH705" s="1">
        <v>199.4</v>
      </c>
      <c r="AI705" s="1">
        <v>10.89</v>
      </c>
      <c r="AJ705" s="1">
        <v>0.6</v>
      </c>
      <c r="AK705" s="1">
        <v>2.97</v>
      </c>
      <c r="AL705" s="1">
        <v>2.58</v>
      </c>
      <c r="AM705" s="1">
        <v>0</v>
      </c>
      <c r="AN705" s="1">
        <v>0</v>
      </c>
      <c r="AO705" s="1">
        <v>279.95422539999998</v>
      </c>
      <c r="AP705" s="1">
        <v>3.45</v>
      </c>
      <c r="AQ705" s="1">
        <v>0.66</v>
      </c>
      <c r="AR705" s="1">
        <v>0.11</v>
      </c>
      <c r="AS705" s="1">
        <v>0.08</v>
      </c>
      <c r="AT705" s="1">
        <v>18.149999999999999</v>
      </c>
      <c r="AU705" s="1">
        <v>5.96</v>
      </c>
      <c r="AV705" s="1">
        <v>0.36</v>
      </c>
      <c r="AW705" s="1">
        <v>1.82</v>
      </c>
      <c r="AX705" s="1">
        <v>9.6999999999999993</v>
      </c>
      <c r="AY705" s="1">
        <v>0</v>
      </c>
      <c r="AZ705" s="1">
        <v>107.598</v>
      </c>
      <c r="BA705" s="1">
        <v>0</v>
      </c>
      <c r="BB705" s="1">
        <v>0</v>
      </c>
      <c r="BC705" s="1">
        <v>0</v>
      </c>
      <c r="BD705" s="1">
        <v>0</v>
      </c>
    </row>
    <row r="706" spans="1:56">
      <c r="A706" s="18">
        <v>46192</v>
      </c>
      <c r="B706" s="1">
        <v>705</v>
      </c>
      <c r="C706" s="1" t="s">
        <v>89</v>
      </c>
      <c r="D706" s="1" t="s">
        <v>90</v>
      </c>
      <c r="E706" s="1">
        <v>2</v>
      </c>
      <c r="F706" s="1">
        <v>200</v>
      </c>
      <c r="G706" s="1">
        <v>1</v>
      </c>
      <c r="H706" s="1" t="s">
        <v>91</v>
      </c>
      <c r="I706" s="1" t="s">
        <v>79</v>
      </c>
      <c r="J706" s="1" t="s">
        <v>80</v>
      </c>
      <c r="K706" s="1" t="s">
        <v>74</v>
      </c>
      <c r="L706" s="1" t="s">
        <v>72</v>
      </c>
      <c r="M706" s="1" t="s">
        <v>75</v>
      </c>
      <c r="N706" s="1" t="s">
        <v>82</v>
      </c>
      <c r="O706" s="1" t="s">
        <v>77</v>
      </c>
      <c r="P706" s="1" t="s">
        <v>27</v>
      </c>
      <c r="Q706" s="1" t="s">
        <v>86</v>
      </c>
      <c r="R706" s="1" t="s">
        <v>94</v>
      </c>
      <c r="S706" s="1" t="s">
        <v>87</v>
      </c>
      <c r="T706" s="1" t="s">
        <v>88</v>
      </c>
      <c r="X706" s="1" t="s">
        <v>73</v>
      </c>
      <c r="Z706" s="1" t="s">
        <v>70</v>
      </c>
      <c r="AA706" s="1" t="s">
        <v>95</v>
      </c>
      <c r="AB706" s="1">
        <v>5</v>
      </c>
      <c r="AC706" s="1">
        <v>748812.4</v>
      </c>
      <c r="AD706" s="1">
        <v>8930496.8100000005</v>
      </c>
      <c r="AE706" s="1">
        <v>210.18</v>
      </c>
      <c r="AF706" s="1">
        <v>748812.4</v>
      </c>
      <c r="AG706" s="1">
        <v>8930496.8100000005</v>
      </c>
      <c r="AH706" s="1">
        <v>199.4</v>
      </c>
      <c r="AI706" s="1">
        <v>10.78</v>
      </c>
      <c r="AJ706" s="1">
        <v>0.6</v>
      </c>
      <c r="AK706" s="1">
        <v>2.97</v>
      </c>
      <c r="AL706" s="1">
        <v>2.58</v>
      </c>
      <c r="AM706" s="1">
        <v>0</v>
      </c>
      <c r="AN706" s="1">
        <v>0</v>
      </c>
      <c r="AO706" s="1">
        <v>279.95422539999998</v>
      </c>
      <c r="AP706" s="1">
        <v>3.45</v>
      </c>
      <c r="AQ706" s="1">
        <v>0.66</v>
      </c>
      <c r="AR706" s="1">
        <v>0.11</v>
      </c>
      <c r="AS706" s="1">
        <v>0.08</v>
      </c>
      <c r="AT706" s="1">
        <v>18.190000000000001</v>
      </c>
      <c r="AU706" s="1">
        <v>5.97</v>
      </c>
      <c r="AV706" s="1">
        <v>0.36</v>
      </c>
      <c r="AW706" s="1">
        <v>1.82</v>
      </c>
      <c r="AX706" s="1">
        <v>9.69</v>
      </c>
      <c r="AY706" s="1">
        <v>0</v>
      </c>
      <c r="AZ706" s="1">
        <v>105.997</v>
      </c>
      <c r="BA706" s="1">
        <v>0</v>
      </c>
      <c r="BB706" s="1">
        <v>0</v>
      </c>
      <c r="BC706" s="1">
        <v>0</v>
      </c>
      <c r="BD706" s="1">
        <v>0</v>
      </c>
    </row>
    <row r="707" spans="1:56">
      <c r="A707" s="18">
        <v>46192</v>
      </c>
      <c r="B707" s="1">
        <v>706</v>
      </c>
      <c r="C707" s="1" t="s">
        <v>89</v>
      </c>
      <c r="D707" s="1" t="s">
        <v>90</v>
      </c>
      <c r="E707" s="1">
        <v>2</v>
      </c>
      <c r="F707" s="1">
        <v>200</v>
      </c>
      <c r="G707" s="1">
        <v>1</v>
      </c>
      <c r="H707" s="1" t="s">
        <v>91</v>
      </c>
      <c r="I707" s="1" t="s">
        <v>79</v>
      </c>
      <c r="J707" s="1" t="s">
        <v>80</v>
      </c>
      <c r="K707" s="1" t="s">
        <v>74</v>
      </c>
      <c r="L707" s="1" t="s">
        <v>72</v>
      </c>
      <c r="M707" s="1" t="s">
        <v>75</v>
      </c>
      <c r="N707" s="1" t="s">
        <v>82</v>
      </c>
      <c r="O707" s="1" t="s">
        <v>77</v>
      </c>
      <c r="P707" s="1" t="s">
        <v>27</v>
      </c>
      <c r="Q707" s="1" t="s">
        <v>86</v>
      </c>
      <c r="R707" s="1" t="s">
        <v>94</v>
      </c>
      <c r="S707" s="1" t="s">
        <v>87</v>
      </c>
      <c r="T707" s="1" t="s">
        <v>88</v>
      </c>
      <c r="X707" s="1" t="s">
        <v>73</v>
      </c>
      <c r="Z707" s="1" t="s">
        <v>70</v>
      </c>
      <c r="AA707" s="1" t="s">
        <v>95</v>
      </c>
      <c r="AB707" s="1">
        <v>5</v>
      </c>
      <c r="AC707" s="1">
        <v>748810.8</v>
      </c>
      <c r="AD707" s="1">
        <v>8930499.3100000005</v>
      </c>
      <c r="AE707" s="1">
        <v>210.02</v>
      </c>
      <c r="AF707" s="1">
        <v>748810.8</v>
      </c>
      <c r="AG707" s="1">
        <v>8930499.3100000005</v>
      </c>
      <c r="AH707" s="1">
        <v>199.4</v>
      </c>
      <c r="AI707" s="1">
        <v>10.62</v>
      </c>
      <c r="AJ707" s="1">
        <v>0.6</v>
      </c>
      <c r="AK707" s="1">
        <v>2.97</v>
      </c>
      <c r="AL707" s="1">
        <v>2.58</v>
      </c>
      <c r="AM707" s="1">
        <v>0</v>
      </c>
      <c r="AN707" s="1">
        <v>0</v>
      </c>
      <c r="AO707" s="1">
        <v>279.95422539999998</v>
      </c>
      <c r="AP707" s="1">
        <v>3.42</v>
      </c>
      <c r="AQ707" s="1">
        <v>0.7</v>
      </c>
      <c r="AR707" s="1">
        <v>0.11</v>
      </c>
      <c r="AS707" s="1">
        <v>0.08</v>
      </c>
      <c r="AT707" s="1">
        <v>18.79</v>
      </c>
      <c r="AU707" s="1">
        <v>5.74</v>
      </c>
      <c r="AV707" s="1">
        <v>0.38</v>
      </c>
      <c r="AW707" s="1">
        <v>1.82</v>
      </c>
      <c r="AX707" s="1">
        <v>8.84</v>
      </c>
      <c r="AY707" s="1">
        <v>0</v>
      </c>
      <c r="AZ707" s="1">
        <v>103.667</v>
      </c>
      <c r="BA707" s="1">
        <v>0</v>
      </c>
      <c r="BB707" s="1">
        <v>0</v>
      </c>
      <c r="BC707" s="1">
        <v>0</v>
      </c>
      <c r="BD707" s="1">
        <v>0</v>
      </c>
    </row>
    <row r="708" spans="1:56">
      <c r="A708" s="18">
        <v>46192</v>
      </c>
      <c r="B708" s="1">
        <v>707</v>
      </c>
      <c r="C708" s="1" t="s">
        <v>89</v>
      </c>
      <c r="D708" s="1" t="s">
        <v>90</v>
      </c>
      <c r="E708" s="1">
        <v>2</v>
      </c>
      <c r="F708" s="1">
        <v>200</v>
      </c>
      <c r="G708" s="1">
        <v>1</v>
      </c>
      <c r="H708" s="1" t="s">
        <v>91</v>
      </c>
      <c r="I708" s="1" t="s">
        <v>79</v>
      </c>
      <c r="J708" s="1" t="s">
        <v>80</v>
      </c>
      <c r="K708" s="1" t="s">
        <v>74</v>
      </c>
      <c r="L708" s="1" t="s">
        <v>72</v>
      </c>
      <c r="M708" s="1" t="s">
        <v>75</v>
      </c>
      <c r="N708" s="1" t="s">
        <v>82</v>
      </c>
      <c r="O708" s="1" t="s">
        <v>77</v>
      </c>
      <c r="P708" s="1" t="s">
        <v>27</v>
      </c>
      <c r="Q708" s="1" t="s">
        <v>86</v>
      </c>
      <c r="R708" s="1" t="s">
        <v>94</v>
      </c>
      <c r="S708" s="1" t="s">
        <v>87</v>
      </c>
      <c r="T708" s="1" t="s">
        <v>88</v>
      </c>
      <c r="X708" s="1" t="s">
        <v>73</v>
      </c>
      <c r="Z708" s="1" t="s">
        <v>70</v>
      </c>
      <c r="AA708" s="1" t="s">
        <v>95</v>
      </c>
      <c r="AB708" s="1">
        <v>5</v>
      </c>
      <c r="AC708" s="1">
        <v>748809.2</v>
      </c>
      <c r="AD708" s="1">
        <v>8930501.8100000005</v>
      </c>
      <c r="AE708" s="1">
        <v>209.88</v>
      </c>
      <c r="AF708" s="1">
        <v>748809.2</v>
      </c>
      <c r="AG708" s="1">
        <v>8930501.8100000005</v>
      </c>
      <c r="AH708" s="1">
        <v>199.4</v>
      </c>
      <c r="AI708" s="1">
        <v>10.48</v>
      </c>
      <c r="AJ708" s="1">
        <v>0.6</v>
      </c>
      <c r="AK708" s="1">
        <v>2.97</v>
      </c>
      <c r="AL708" s="1">
        <v>2.58</v>
      </c>
      <c r="AM708" s="1">
        <v>0</v>
      </c>
      <c r="AN708" s="1">
        <v>0</v>
      </c>
      <c r="AO708" s="1">
        <v>279.95422539999998</v>
      </c>
      <c r="AP708" s="1">
        <v>3.41</v>
      </c>
      <c r="AQ708" s="1">
        <v>0.68</v>
      </c>
      <c r="AR708" s="1">
        <v>0.12</v>
      </c>
      <c r="AS708" s="1">
        <v>0.08</v>
      </c>
      <c r="AT708" s="1">
        <v>20.2</v>
      </c>
      <c r="AU708" s="1">
        <v>5.37</v>
      </c>
      <c r="AV708" s="1">
        <v>0.41</v>
      </c>
      <c r="AW708" s="1">
        <v>1.67</v>
      </c>
      <c r="AX708" s="1">
        <v>7.67</v>
      </c>
      <c r="AY708" s="1">
        <v>0</v>
      </c>
      <c r="AZ708" s="1">
        <v>101.629</v>
      </c>
      <c r="BA708" s="1">
        <v>0</v>
      </c>
      <c r="BB708" s="1">
        <v>0</v>
      </c>
      <c r="BC708" s="1">
        <v>0</v>
      </c>
      <c r="BD708" s="1">
        <v>0</v>
      </c>
    </row>
    <row r="709" spans="1:56">
      <c r="A709" s="18">
        <v>46192</v>
      </c>
      <c r="B709" s="1">
        <v>708</v>
      </c>
      <c r="C709" s="1" t="s">
        <v>89</v>
      </c>
      <c r="D709" s="1" t="s">
        <v>90</v>
      </c>
      <c r="E709" s="1">
        <v>2</v>
      </c>
      <c r="F709" s="1">
        <v>200</v>
      </c>
      <c r="G709" s="1">
        <v>1</v>
      </c>
      <c r="H709" s="1" t="s">
        <v>91</v>
      </c>
      <c r="I709" s="1" t="s">
        <v>79</v>
      </c>
      <c r="J709" s="1" t="s">
        <v>80</v>
      </c>
      <c r="K709" s="1" t="s">
        <v>74</v>
      </c>
      <c r="L709" s="1" t="s">
        <v>72</v>
      </c>
      <c r="M709" s="1" t="s">
        <v>75</v>
      </c>
      <c r="N709" s="1" t="s">
        <v>82</v>
      </c>
      <c r="O709" s="1" t="s">
        <v>77</v>
      </c>
      <c r="P709" s="1" t="s">
        <v>27</v>
      </c>
      <c r="Q709" s="1" t="s">
        <v>86</v>
      </c>
      <c r="R709" s="1" t="s">
        <v>94</v>
      </c>
      <c r="S709" s="1" t="s">
        <v>87</v>
      </c>
      <c r="T709" s="1" t="s">
        <v>88</v>
      </c>
      <c r="X709" s="1" t="s">
        <v>73</v>
      </c>
      <c r="Z709" s="1" t="s">
        <v>70</v>
      </c>
      <c r="AA709" s="1" t="s">
        <v>95</v>
      </c>
      <c r="AB709" s="1">
        <v>5</v>
      </c>
      <c r="AC709" s="1">
        <v>748807.6</v>
      </c>
      <c r="AD709" s="1">
        <v>8930504.3100000005</v>
      </c>
      <c r="AE709" s="1">
        <v>210.01</v>
      </c>
      <c r="AF709" s="1">
        <v>748807.6</v>
      </c>
      <c r="AG709" s="1">
        <v>8930504.3100000005</v>
      </c>
      <c r="AH709" s="1">
        <v>199.4</v>
      </c>
      <c r="AI709" s="1">
        <v>10.61</v>
      </c>
      <c r="AJ709" s="1">
        <v>0.6</v>
      </c>
      <c r="AK709" s="1">
        <v>2.97</v>
      </c>
      <c r="AL709" s="1">
        <v>2.58</v>
      </c>
      <c r="AM709" s="1">
        <v>0</v>
      </c>
      <c r="AN709" s="1">
        <v>0</v>
      </c>
      <c r="AO709" s="1">
        <v>279.95422539999998</v>
      </c>
      <c r="AP709" s="1">
        <v>3.45</v>
      </c>
      <c r="AQ709" s="1">
        <v>0.66</v>
      </c>
      <c r="AR709" s="1">
        <v>0.12</v>
      </c>
      <c r="AS709" s="1">
        <v>0.08</v>
      </c>
      <c r="AT709" s="1">
        <v>20.440000000000001</v>
      </c>
      <c r="AU709" s="1">
        <v>5.42</v>
      </c>
      <c r="AV709" s="1">
        <v>0.42</v>
      </c>
      <c r="AW709" s="1">
        <v>1.58</v>
      </c>
      <c r="AX709" s="1">
        <v>7.57</v>
      </c>
      <c r="AY709" s="1">
        <v>0</v>
      </c>
      <c r="AZ709" s="1">
        <v>103.52200000000001</v>
      </c>
      <c r="BA709" s="1">
        <v>0</v>
      </c>
      <c r="BB709" s="1">
        <v>0</v>
      </c>
      <c r="BC709" s="1">
        <v>0</v>
      </c>
      <c r="BD709" s="1">
        <v>0</v>
      </c>
    </row>
    <row r="710" spans="1:56">
      <c r="A710" s="18">
        <v>46192</v>
      </c>
      <c r="B710" s="1">
        <v>709</v>
      </c>
      <c r="C710" s="1" t="s">
        <v>89</v>
      </c>
      <c r="D710" s="1" t="s">
        <v>90</v>
      </c>
      <c r="E710" s="1">
        <v>2</v>
      </c>
      <c r="F710" s="1">
        <v>200</v>
      </c>
      <c r="G710" s="1">
        <v>1</v>
      </c>
      <c r="H710" s="1" t="s">
        <v>91</v>
      </c>
      <c r="I710" s="1" t="s">
        <v>79</v>
      </c>
      <c r="J710" s="1" t="s">
        <v>80</v>
      </c>
      <c r="K710" s="1" t="s">
        <v>74</v>
      </c>
      <c r="L710" s="1" t="s">
        <v>72</v>
      </c>
      <c r="M710" s="1" t="s">
        <v>75</v>
      </c>
      <c r="N710" s="1" t="s">
        <v>82</v>
      </c>
      <c r="O710" s="1" t="s">
        <v>77</v>
      </c>
      <c r="P710" s="1" t="s">
        <v>27</v>
      </c>
      <c r="Q710" s="1" t="s">
        <v>86</v>
      </c>
      <c r="R710" s="1" t="s">
        <v>94</v>
      </c>
      <c r="S710" s="1" t="s">
        <v>87</v>
      </c>
      <c r="T710" s="1" t="s">
        <v>88</v>
      </c>
      <c r="X710" s="1" t="s">
        <v>73</v>
      </c>
      <c r="Z710" s="1" t="s">
        <v>70</v>
      </c>
      <c r="AA710" s="1" t="s">
        <v>95</v>
      </c>
      <c r="AB710" s="1">
        <v>5</v>
      </c>
      <c r="AC710" s="1">
        <v>748805.99</v>
      </c>
      <c r="AD710" s="1">
        <v>8930506.8100000005</v>
      </c>
      <c r="AE710" s="1">
        <v>210.35</v>
      </c>
      <c r="AF710" s="1">
        <v>748805.99</v>
      </c>
      <c r="AG710" s="1">
        <v>8930506.8100000005</v>
      </c>
      <c r="AH710" s="1">
        <v>199.4</v>
      </c>
      <c r="AI710" s="1">
        <v>10.95</v>
      </c>
      <c r="AJ710" s="1">
        <v>0.6</v>
      </c>
      <c r="AK710" s="1">
        <v>2.97</v>
      </c>
      <c r="AL710" s="1">
        <v>2.58</v>
      </c>
      <c r="AM710" s="1">
        <v>0</v>
      </c>
      <c r="AN710" s="1">
        <v>0</v>
      </c>
      <c r="AO710" s="1">
        <v>279.95422539999998</v>
      </c>
      <c r="AP710" s="1">
        <v>3.44</v>
      </c>
      <c r="AQ710" s="1">
        <v>0.66</v>
      </c>
      <c r="AR710" s="1">
        <v>0.12</v>
      </c>
      <c r="AS710" s="1">
        <v>0.08</v>
      </c>
      <c r="AT710" s="1">
        <v>20.43</v>
      </c>
      <c r="AU710" s="1">
        <v>5.44</v>
      </c>
      <c r="AV710" s="1">
        <v>0.42</v>
      </c>
      <c r="AW710" s="1">
        <v>1.59</v>
      </c>
      <c r="AX710" s="1">
        <v>7.63</v>
      </c>
      <c r="AY710" s="1">
        <v>0</v>
      </c>
      <c r="AZ710" s="1">
        <v>108.47199999999999</v>
      </c>
      <c r="BA710" s="1">
        <v>0</v>
      </c>
      <c r="BB710" s="1">
        <v>0</v>
      </c>
      <c r="BC710" s="1">
        <v>0</v>
      </c>
      <c r="BD710" s="1">
        <v>0</v>
      </c>
    </row>
    <row r="711" spans="1:56">
      <c r="A711" s="18">
        <v>46192</v>
      </c>
      <c r="B711" s="1">
        <v>710</v>
      </c>
      <c r="C711" s="1" t="s">
        <v>89</v>
      </c>
      <c r="D711" s="1" t="s">
        <v>90</v>
      </c>
      <c r="E711" s="1">
        <v>2</v>
      </c>
      <c r="F711" s="1">
        <v>200</v>
      </c>
      <c r="G711" s="1">
        <v>1</v>
      </c>
      <c r="H711" s="1" t="s">
        <v>91</v>
      </c>
      <c r="I711" s="1" t="s">
        <v>79</v>
      </c>
      <c r="J711" s="1" t="s">
        <v>80</v>
      </c>
      <c r="K711" s="1" t="s">
        <v>74</v>
      </c>
      <c r="L711" s="1" t="s">
        <v>72</v>
      </c>
      <c r="M711" s="1" t="s">
        <v>75</v>
      </c>
      <c r="N711" s="1" t="s">
        <v>82</v>
      </c>
      <c r="O711" s="1" t="s">
        <v>77</v>
      </c>
      <c r="P711" s="1" t="s">
        <v>27</v>
      </c>
      <c r="Q711" s="1" t="s">
        <v>86</v>
      </c>
      <c r="R711" s="1" t="s">
        <v>94</v>
      </c>
      <c r="S711" s="1" t="s">
        <v>87</v>
      </c>
      <c r="T711" s="1" t="s">
        <v>88</v>
      </c>
      <c r="X711" s="1" t="s">
        <v>73</v>
      </c>
      <c r="Z711" s="1" t="s">
        <v>70</v>
      </c>
      <c r="AA711" s="1" t="s">
        <v>95</v>
      </c>
      <c r="AB711" s="1">
        <v>5</v>
      </c>
      <c r="AC711" s="1">
        <v>748804.39</v>
      </c>
      <c r="AD711" s="1">
        <v>8930509.3100000005</v>
      </c>
      <c r="AE711" s="1">
        <v>210.55</v>
      </c>
      <c r="AF711" s="1">
        <v>748804.39</v>
      </c>
      <c r="AG711" s="1">
        <v>8930509.3100000005</v>
      </c>
      <c r="AH711" s="1">
        <v>199.4</v>
      </c>
      <c r="AI711" s="1">
        <v>11.15</v>
      </c>
      <c r="AJ711" s="1">
        <v>0.6</v>
      </c>
      <c r="AK711" s="1">
        <v>2.97</v>
      </c>
      <c r="AL711" s="1">
        <v>2.58</v>
      </c>
      <c r="AM711" s="1">
        <v>0</v>
      </c>
      <c r="AN711" s="1">
        <v>0</v>
      </c>
      <c r="AO711" s="1">
        <v>279.95422539999998</v>
      </c>
      <c r="AP711" s="1">
        <v>3.47</v>
      </c>
      <c r="AQ711" s="1">
        <v>0.69</v>
      </c>
      <c r="AR711" s="1">
        <v>0.11</v>
      </c>
      <c r="AS711" s="1">
        <v>0.09</v>
      </c>
      <c r="AT711" s="1">
        <v>20.71</v>
      </c>
      <c r="AU711" s="1">
        <v>5.69</v>
      </c>
      <c r="AV711" s="1">
        <v>0.42</v>
      </c>
      <c r="AW711" s="1">
        <v>1.62</v>
      </c>
      <c r="AX711" s="1">
        <v>7.36</v>
      </c>
      <c r="AY711" s="1">
        <v>0</v>
      </c>
      <c r="AZ711" s="1">
        <v>111.384</v>
      </c>
      <c r="BA711" s="1">
        <v>0</v>
      </c>
      <c r="BB711" s="1">
        <v>0</v>
      </c>
      <c r="BC711" s="1">
        <v>0</v>
      </c>
      <c r="BD711" s="1">
        <v>0</v>
      </c>
    </row>
    <row r="712" spans="1:56">
      <c r="A712" s="18">
        <v>46192</v>
      </c>
      <c r="B712" s="1">
        <v>711</v>
      </c>
      <c r="C712" s="1" t="s">
        <v>89</v>
      </c>
      <c r="D712" s="1" t="s">
        <v>90</v>
      </c>
      <c r="E712" s="1">
        <v>2</v>
      </c>
      <c r="F712" s="1">
        <v>200</v>
      </c>
      <c r="G712" s="1">
        <v>1</v>
      </c>
      <c r="H712" s="1" t="s">
        <v>91</v>
      </c>
      <c r="I712" s="1" t="s">
        <v>79</v>
      </c>
      <c r="J712" s="1" t="s">
        <v>81</v>
      </c>
      <c r="K712" s="1" t="s">
        <v>74</v>
      </c>
      <c r="L712" s="1" t="s">
        <v>72</v>
      </c>
      <c r="M712" s="1" t="s">
        <v>75</v>
      </c>
      <c r="N712" s="1" t="s">
        <v>82</v>
      </c>
      <c r="O712" s="1" t="s">
        <v>77</v>
      </c>
      <c r="P712" s="1" t="s">
        <v>27</v>
      </c>
      <c r="Q712" s="1" t="s">
        <v>86</v>
      </c>
      <c r="R712" s="1" t="s">
        <v>94</v>
      </c>
      <c r="S712" s="1" t="s">
        <v>87</v>
      </c>
      <c r="T712" s="1" t="s">
        <v>88</v>
      </c>
      <c r="X712" s="1" t="s">
        <v>73</v>
      </c>
      <c r="Z712" s="1" t="s">
        <v>70</v>
      </c>
      <c r="AA712" s="1" t="s">
        <v>95</v>
      </c>
      <c r="AB712" s="1">
        <v>5</v>
      </c>
      <c r="AC712" s="1">
        <v>748802.79</v>
      </c>
      <c r="AD712" s="1">
        <v>8930511.8100000005</v>
      </c>
      <c r="AE712" s="1">
        <v>210.39</v>
      </c>
      <c r="AF712" s="1">
        <v>748802.79</v>
      </c>
      <c r="AG712" s="1">
        <v>8930511.8100000005</v>
      </c>
      <c r="AH712" s="1">
        <v>199.4</v>
      </c>
      <c r="AI712" s="1">
        <v>10.99</v>
      </c>
      <c r="AJ712" s="1">
        <v>0.6</v>
      </c>
      <c r="AK712" s="1">
        <v>2.97</v>
      </c>
      <c r="AL712" s="1">
        <v>2.58</v>
      </c>
      <c r="AM712" s="1">
        <v>0</v>
      </c>
      <c r="AN712" s="1">
        <v>0</v>
      </c>
      <c r="AO712" s="1">
        <v>279.95422539999998</v>
      </c>
      <c r="AP712" s="1">
        <v>3.53</v>
      </c>
      <c r="AQ712" s="1">
        <v>0.74</v>
      </c>
      <c r="AR712" s="1">
        <v>0.08</v>
      </c>
      <c r="AS712" s="1">
        <v>0.1</v>
      </c>
      <c r="AT712" s="1">
        <v>21.34</v>
      </c>
      <c r="AU712" s="1">
        <v>6.24</v>
      </c>
      <c r="AV712" s="1">
        <v>0.43</v>
      </c>
      <c r="AW712" s="1">
        <v>1.69</v>
      </c>
      <c r="AX712" s="1">
        <v>6.67</v>
      </c>
      <c r="AY712" s="1">
        <v>0</v>
      </c>
      <c r="AZ712" s="1">
        <v>109.054</v>
      </c>
      <c r="BA712" s="1">
        <v>0</v>
      </c>
      <c r="BB712" s="1">
        <v>0</v>
      </c>
      <c r="BC712" s="1">
        <v>0</v>
      </c>
      <c r="BD712" s="1">
        <v>0</v>
      </c>
    </row>
    <row r="713" spans="1:56">
      <c r="A713" s="18">
        <v>46192</v>
      </c>
      <c r="B713" s="1">
        <v>712</v>
      </c>
      <c r="C713" s="1" t="s">
        <v>89</v>
      </c>
      <c r="D713" s="1" t="s">
        <v>90</v>
      </c>
      <c r="E713" s="1">
        <v>2</v>
      </c>
      <c r="F713" s="1">
        <v>200</v>
      </c>
      <c r="G713" s="1">
        <v>1</v>
      </c>
      <c r="H713" s="1" t="s">
        <v>91</v>
      </c>
      <c r="I713" s="1" t="s">
        <v>79</v>
      </c>
      <c r="J713" s="1" t="s">
        <v>81</v>
      </c>
      <c r="K713" s="1" t="s">
        <v>74</v>
      </c>
      <c r="L713" s="1" t="s">
        <v>72</v>
      </c>
      <c r="M713" s="1" t="s">
        <v>75</v>
      </c>
      <c r="N713" s="1" t="s">
        <v>82</v>
      </c>
      <c r="O713" s="1" t="s">
        <v>77</v>
      </c>
      <c r="P713" s="1" t="s">
        <v>27</v>
      </c>
      <c r="Q713" s="1" t="s">
        <v>86</v>
      </c>
      <c r="R713" s="1" t="s">
        <v>94</v>
      </c>
      <c r="S713" s="1" t="s">
        <v>87</v>
      </c>
      <c r="T713" s="1" t="s">
        <v>88</v>
      </c>
      <c r="X713" s="1" t="s">
        <v>73</v>
      </c>
      <c r="Z713" s="1" t="s">
        <v>70</v>
      </c>
      <c r="AA713" s="1" t="s">
        <v>95</v>
      </c>
      <c r="AB713" s="1">
        <v>5</v>
      </c>
      <c r="AC713" s="1">
        <v>748801.18</v>
      </c>
      <c r="AD713" s="1">
        <v>8930514.3100000005</v>
      </c>
      <c r="AE713" s="1">
        <v>210.06</v>
      </c>
      <c r="AF713" s="1">
        <v>748801.18</v>
      </c>
      <c r="AG713" s="1">
        <v>8930514.3100000005</v>
      </c>
      <c r="AH713" s="1">
        <v>199.4</v>
      </c>
      <c r="AI713" s="1">
        <v>10.66</v>
      </c>
      <c r="AJ713" s="1">
        <v>0.6</v>
      </c>
      <c r="AK713" s="1">
        <v>2.97</v>
      </c>
      <c r="AL713" s="1">
        <v>2.58</v>
      </c>
      <c r="AM713" s="1">
        <v>0</v>
      </c>
      <c r="AN713" s="1">
        <v>0</v>
      </c>
      <c r="AO713" s="1">
        <v>279.95422539999998</v>
      </c>
      <c r="AP713" s="1">
        <v>3.53</v>
      </c>
      <c r="AQ713" s="1">
        <v>0.73</v>
      </c>
      <c r="AR713" s="1">
        <v>0.08</v>
      </c>
      <c r="AS713" s="1">
        <v>0.1</v>
      </c>
      <c r="AT713" s="1">
        <v>21.29</v>
      </c>
      <c r="AU713" s="1">
        <v>6.29</v>
      </c>
      <c r="AV713" s="1">
        <v>0.43</v>
      </c>
      <c r="AW713" s="1">
        <v>1.69</v>
      </c>
      <c r="AX713" s="1">
        <v>6.81</v>
      </c>
      <c r="AY713" s="1">
        <v>0</v>
      </c>
      <c r="AZ713" s="1">
        <v>104.25</v>
      </c>
      <c r="BA713" s="1">
        <v>0</v>
      </c>
      <c r="BB713" s="1">
        <v>0</v>
      </c>
      <c r="BC713" s="1">
        <v>0</v>
      </c>
      <c r="BD713" s="1">
        <v>0</v>
      </c>
    </row>
    <row r="714" spans="1:56">
      <c r="A714" s="18">
        <v>46192</v>
      </c>
      <c r="B714" s="1">
        <v>713</v>
      </c>
      <c r="C714" s="1" t="s">
        <v>89</v>
      </c>
      <c r="D714" s="1" t="s">
        <v>90</v>
      </c>
      <c r="E714" s="1">
        <v>2</v>
      </c>
      <c r="F714" s="1">
        <v>200</v>
      </c>
      <c r="G714" s="1">
        <v>1</v>
      </c>
      <c r="H714" s="1" t="s">
        <v>91</v>
      </c>
      <c r="I714" s="1" t="s">
        <v>79</v>
      </c>
      <c r="J714" s="1" t="s">
        <v>80</v>
      </c>
      <c r="K714" s="1" t="s">
        <v>74</v>
      </c>
      <c r="L714" s="1" t="s">
        <v>72</v>
      </c>
      <c r="M714" s="1" t="s">
        <v>75</v>
      </c>
      <c r="N714" s="1" t="s">
        <v>82</v>
      </c>
      <c r="O714" s="1" t="s">
        <v>77</v>
      </c>
      <c r="P714" s="1" t="s">
        <v>27</v>
      </c>
      <c r="Q714" s="1" t="s">
        <v>86</v>
      </c>
      <c r="R714" s="1" t="s">
        <v>94</v>
      </c>
      <c r="S714" s="1" t="s">
        <v>87</v>
      </c>
      <c r="T714" s="1" t="s">
        <v>88</v>
      </c>
      <c r="X714" s="1" t="s">
        <v>73</v>
      </c>
      <c r="Z714" s="1" t="s">
        <v>70</v>
      </c>
      <c r="AA714" s="1" t="s">
        <v>95</v>
      </c>
      <c r="AB714" s="1">
        <v>5</v>
      </c>
      <c r="AC714" s="1">
        <v>748799.58</v>
      </c>
      <c r="AD714" s="1">
        <v>8930516.8100000005</v>
      </c>
      <c r="AE714" s="1">
        <v>210</v>
      </c>
      <c r="AF714" s="1">
        <v>748799.58</v>
      </c>
      <c r="AG714" s="1">
        <v>8930516.8100000005</v>
      </c>
      <c r="AH714" s="1">
        <v>199.4</v>
      </c>
      <c r="AI714" s="1">
        <v>10.6</v>
      </c>
      <c r="AJ714" s="1">
        <v>0.6</v>
      </c>
      <c r="AK714" s="1">
        <v>2.97</v>
      </c>
      <c r="AL714" s="1">
        <v>2.58</v>
      </c>
      <c r="AM714" s="1">
        <v>0</v>
      </c>
      <c r="AN714" s="1">
        <v>0</v>
      </c>
      <c r="AO714" s="1">
        <v>279.95422539999998</v>
      </c>
      <c r="AP714" s="1">
        <v>3.51</v>
      </c>
      <c r="AQ714" s="1">
        <v>0.69</v>
      </c>
      <c r="AR714" s="1">
        <v>0.09</v>
      </c>
      <c r="AS714" s="1">
        <v>0.1</v>
      </c>
      <c r="AT714" s="1">
        <v>21.01</v>
      </c>
      <c r="AU714" s="1">
        <v>6.36</v>
      </c>
      <c r="AV714" s="1">
        <v>0.42</v>
      </c>
      <c r="AW714" s="1">
        <v>1.67</v>
      </c>
      <c r="AX714" s="1">
        <v>7.45</v>
      </c>
      <c r="AY714" s="1">
        <v>0</v>
      </c>
      <c r="AZ714" s="1">
        <v>103.376</v>
      </c>
      <c r="BA714" s="1">
        <v>0</v>
      </c>
      <c r="BB714" s="1">
        <v>0</v>
      </c>
      <c r="BC714" s="1">
        <v>0</v>
      </c>
      <c r="BD714" s="1">
        <v>0</v>
      </c>
    </row>
    <row r="715" spans="1:56">
      <c r="A715" s="18">
        <v>46192</v>
      </c>
      <c r="B715" s="1">
        <v>714</v>
      </c>
      <c r="C715" s="1" t="s">
        <v>89</v>
      </c>
      <c r="D715" s="1" t="s">
        <v>90</v>
      </c>
      <c r="E715" s="1">
        <v>2</v>
      </c>
      <c r="F715" s="1">
        <v>200</v>
      </c>
      <c r="G715" s="1">
        <v>1</v>
      </c>
      <c r="H715" s="1" t="s">
        <v>91</v>
      </c>
      <c r="I715" s="1" t="s">
        <v>79</v>
      </c>
      <c r="J715" s="1" t="s">
        <v>80</v>
      </c>
      <c r="K715" s="1" t="s">
        <v>74</v>
      </c>
      <c r="L715" s="1" t="s">
        <v>72</v>
      </c>
      <c r="M715" s="1" t="s">
        <v>75</v>
      </c>
      <c r="N715" s="1" t="s">
        <v>82</v>
      </c>
      <c r="O715" s="1" t="s">
        <v>77</v>
      </c>
      <c r="P715" s="1" t="s">
        <v>27</v>
      </c>
      <c r="Q715" s="1" t="s">
        <v>86</v>
      </c>
      <c r="R715" s="1" t="s">
        <v>94</v>
      </c>
      <c r="S715" s="1" t="s">
        <v>87</v>
      </c>
      <c r="T715" s="1" t="s">
        <v>88</v>
      </c>
      <c r="X715" s="1" t="s">
        <v>73</v>
      </c>
      <c r="Z715" s="1" t="s">
        <v>70</v>
      </c>
      <c r="AA715" s="1" t="s">
        <v>95</v>
      </c>
      <c r="AB715" s="1">
        <v>5</v>
      </c>
      <c r="AC715" s="1">
        <v>748797.98</v>
      </c>
      <c r="AD715" s="1">
        <v>8930519.3100000005</v>
      </c>
      <c r="AE715" s="1">
        <v>209.8</v>
      </c>
      <c r="AF715" s="1">
        <v>748797.98</v>
      </c>
      <c r="AG715" s="1">
        <v>8930519.3100000005</v>
      </c>
      <c r="AH715" s="1">
        <v>199.4</v>
      </c>
      <c r="AI715" s="1">
        <v>10.4</v>
      </c>
      <c r="AJ715" s="1">
        <v>0.6</v>
      </c>
      <c r="AK715" s="1">
        <v>2.97</v>
      </c>
      <c r="AL715" s="1">
        <v>2.58</v>
      </c>
      <c r="AM715" s="1">
        <v>0</v>
      </c>
      <c r="AN715" s="1">
        <v>0</v>
      </c>
      <c r="AO715" s="1">
        <v>279.95422539999998</v>
      </c>
      <c r="AP715" s="1">
        <v>3.39</v>
      </c>
      <c r="AQ715" s="1">
        <v>0.68</v>
      </c>
      <c r="AR715" s="1">
        <v>0.09</v>
      </c>
      <c r="AS715" s="1">
        <v>0.09</v>
      </c>
      <c r="AT715" s="1">
        <v>20.28</v>
      </c>
      <c r="AU715" s="1">
        <v>6.61</v>
      </c>
      <c r="AV715" s="1">
        <v>0.41</v>
      </c>
      <c r="AW715" s="1">
        <v>1.65</v>
      </c>
      <c r="AX715" s="1">
        <v>8.01</v>
      </c>
      <c r="AY715" s="1">
        <v>0</v>
      </c>
      <c r="AZ715" s="1">
        <v>100.464</v>
      </c>
      <c r="BA715" s="1">
        <v>0</v>
      </c>
      <c r="BB715" s="1">
        <v>0</v>
      </c>
      <c r="BC715" s="1">
        <v>0</v>
      </c>
      <c r="BD715" s="1">
        <v>0</v>
      </c>
    </row>
    <row r="716" spans="1:56">
      <c r="A716" s="18">
        <v>46192</v>
      </c>
      <c r="B716" s="1">
        <v>715</v>
      </c>
      <c r="C716" s="1" t="s">
        <v>89</v>
      </c>
      <c r="D716" s="1" t="s">
        <v>90</v>
      </c>
      <c r="E716" s="1">
        <v>2</v>
      </c>
      <c r="F716" s="1">
        <v>200</v>
      </c>
      <c r="G716" s="1">
        <v>1</v>
      </c>
      <c r="H716" s="1" t="s">
        <v>91</v>
      </c>
      <c r="I716" s="1" t="s">
        <v>79</v>
      </c>
      <c r="J716" s="1" t="s">
        <v>81</v>
      </c>
      <c r="K716" s="1" t="s">
        <v>74</v>
      </c>
      <c r="L716" s="1" t="s">
        <v>72</v>
      </c>
      <c r="M716" s="1" t="s">
        <v>75</v>
      </c>
      <c r="N716" s="1" t="s">
        <v>82</v>
      </c>
      <c r="O716" s="1" t="s">
        <v>77</v>
      </c>
      <c r="P716" s="1" t="s">
        <v>27</v>
      </c>
      <c r="Q716" s="1" t="s">
        <v>86</v>
      </c>
      <c r="R716" s="1" t="s">
        <v>94</v>
      </c>
      <c r="S716" s="1" t="s">
        <v>87</v>
      </c>
      <c r="T716" s="1" t="s">
        <v>88</v>
      </c>
      <c r="X716" s="1" t="s">
        <v>73</v>
      </c>
      <c r="Z716" s="1" t="s">
        <v>70</v>
      </c>
      <c r="AA716" s="1" t="s">
        <v>95</v>
      </c>
      <c r="AB716" s="1">
        <v>5</v>
      </c>
      <c r="AC716" s="1">
        <v>748796.37</v>
      </c>
      <c r="AD716" s="1">
        <v>8930521.8100000005</v>
      </c>
      <c r="AE716" s="1">
        <v>209.67</v>
      </c>
      <c r="AF716" s="1">
        <v>748796.37</v>
      </c>
      <c r="AG716" s="1">
        <v>8930521.8100000005</v>
      </c>
      <c r="AH716" s="1">
        <v>199.4</v>
      </c>
      <c r="AI716" s="1">
        <v>10.27</v>
      </c>
      <c r="AJ716" s="1">
        <v>0.6</v>
      </c>
      <c r="AK716" s="1">
        <v>2.97</v>
      </c>
      <c r="AL716" s="1">
        <v>2.58</v>
      </c>
      <c r="AM716" s="1">
        <v>0</v>
      </c>
      <c r="AN716" s="1">
        <v>0</v>
      </c>
      <c r="AO716" s="1">
        <v>279.95422539999998</v>
      </c>
      <c r="AP716" s="1">
        <v>3.17</v>
      </c>
      <c r="AQ716" s="1">
        <v>0.69</v>
      </c>
      <c r="AR716" s="1">
        <v>0.08</v>
      </c>
      <c r="AS716" s="1">
        <v>0.09</v>
      </c>
      <c r="AT716" s="1">
        <v>19.02</v>
      </c>
      <c r="AU716" s="1">
        <v>7.15</v>
      </c>
      <c r="AV716" s="1">
        <v>0.42</v>
      </c>
      <c r="AW716" s="1">
        <v>1.64</v>
      </c>
      <c r="AX716" s="1">
        <v>8.1300000000000008</v>
      </c>
      <c r="AY716" s="1">
        <v>0</v>
      </c>
      <c r="AZ716" s="1">
        <v>98.570999999999998</v>
      </c>
      <c r="BA716" s="1">
        <v>0</v>
      </c>
      <c r="BB716" s="1">
        <v>0</v>
      </c>
      <c r="BC716" s="1">
        <v>0</v>
      </c>
      <c r="BD716" s="1">
        <v>0</v>
      </c>
    </row>
    <row r="717" spans="1:56">
      <c r="A717" s="18">
        <v>46192</v>
      </c>
      <c r="B717" s="1">
        <v>716</v>
      </c>
      <c r="C717" s="1" t="s">
        <v>89</v>
      </c>
      <c r="D717" s="1" t="s">
        <v>90</v>
      </c>
      <c r="E717" s="1">
        <v>2</v>
      </c>
      <c r="F717" s="1">
        <v>200</v>
      </c>
      <c r="G717" s="1">
        <v>1</v>
      </c>
      <c r="H717" s="1" t="s">
        <v>91</v>
      </c>
      <c r="I717" s="1" t="s">
        <v>79</v>
      </c>
      <c r="J717" s="1" t="s">
        <v>81</v>
      </c>
      <c r="K717" s="1" t="s">
        <v>74</v>
      </c>
      <c r="L717" s="1" t="s">
        <v>72</v>
      </c>
      <c r="M717" s="1" t="s">
        <v>75</v>
      </c>
      <c r="N717" s="1" t="s">
        <v>82</v>
      </c>
      <c r="O717" s="1" t="s">
        <v>77</v>
      </c>
      <c r="P717" s="1" t="s">
        <v>27</v>
      </c>
      <c r="Q717" s="1" t="s">
        <v>86</v>
      </c>
      <c r="R717" s="1" t="s">
        <v>94</v>
      </c>
      <c r="S717" s="1" t="s">
        <v>87</v>
      </c>
      <c r="T717" s="1" t="s">
        <v>88</v>
      </c>
      <c r="X717" s="1" t="s">
        <v>73</v>
      </c>
      <c r="Z717" s="1" t="s">
        <v>70</v>
      </c>
      <c r="AA717" s="1" t="s">
        <v>95</v>
      </c>
      <c r="AB717" s="1">
        <v>5</v>
      </c>
      <c r="AC717" s="1">
        <v>748794.77</v>
      </c>
      <c r="AD717" s="1">
        <v>8930524.3100000005</v>
      </c>
      <c r="AE717" s="1">
        <v>209.62</v>
      </c>
      <c r="AF717" s="1">
        <v>748794.77</v>
      </c>
      <c r="AG717" s="1">
        <v>8930524.3100000005</v>
      </c>
      <c r="AH717" s="1">
        <v>199.4</v>
      </c>
      <c r="AI717" s="1">
        <v>10.220000000000001</v>
      </c>
      <c r="AJ717" s="1">
        <v>0.6</v>
      </c>
      <c r="AK717" s="1">
        <v>2.97</v>
      </c>
      <c r="AL717" s="1">
        <v>2.58</v>
      </c>
      <c r="AM717" s="1">
        <v>0</v>
      </c>
      <c r="AN717" s="1">
        <v>0</v>
      </c>
      <c r="AO717" s="1">
        <v>279.95422539999998</v>
      </c>
      <c r="AP717" s="1">
        <v>3.16</v>
      </c>
      <c r="AQ717" s="1">
        <v>0.7</v>
      </c>
      <c r="AR717" s="1">
        <v>0.08</v>
      </c>
      <c r="AS717" s="1">
        <v>0.09</v>
      </c>
      <c r="AT717" s="1">
        <v>18.96</v>
      </c>
      <c r="AU717" s="1">
        <v>7.18</v>
      </c>
      <c r="AV717" s="1">
        <v>0.42</v>
      </c>
      <c r="AW717" s="1">
        <v>1.64</v>
      </c>
      <c r="AX717" s="1">
        <v>8.1300000000000008</v>
      </c>
      <c r="AY717" s="1">
        <v>0</v>
      </c>
      <c r="AZ717" s="1">
        <v>97.843000000000004</v>
      </c>
      <c r="BA717" s="1">
        <v>0</v>
      </c>
      <c r="BB717" s="1">
        <v>0</v>
      </c>
      <c r="BC717" s="1">
        <v>0</v>
      </c>
      <c r="BD717" s="1">
        <v>0</v>
      </c>
    </row>
    <row r="718" spans="1:56">
      <c r="A718" s="18">
        <v>46192</v>
      </c>
      <c r="B718" s="1">
        <v>717</v>
      </c>
      <c r="C718" s="1" t="s">
        <v>89</v>
      </c>
      <c r="D718" s="1" t="s">
        <v>90</v>
      </c>
      <c r="E718" s="1">
        <v>2</v>
      </c>
      <c r="F718" s="1">
        <v>200</v>
      </c>
      <c r="G718" s="1">
        <v>1</v>
      </c>
      <c r="H718" s="1" t="s">
        <v>91</v>
      </c>
      <c r="I718" s="1" t="s">
        <v>79</v>
      </c>
      <c r="J718" s="1" t="s">
        <v>81</v>
      </c>
      <c r="K718" s="1" t="s">
        <v>74</v>
      </c>
      <c r="L718" s="1" t="s">
        <v>72</v>
      </c>
      <c r="M718" s="1" t="s">
        <v>75</v>
      </c>
      <c r="N718" s="1" t="s">
        <v>82</v>
      </c>
      <c r="O718" s="1" t="s">
        <v>77</v>
      </c>
      <c r="P718" s="1" t="s">
        <v>27</v>
      </c>
      <c r="Q718" s="1" t="s">
        <v>86</v>
      </c>
      <c r="R718" s="1" t="s">
        <v>94</v>
      </c>
      <c r="S718" s="1" t="s">
        <v>87</v>
      </c>
      <c r="T718" s="1" t="s">
        <v>88</v>
      </c>
      <c r="X718" s="1" t="s">
        <v>73</v>
      </c>
      <c r="Z718" s="1" t="s">
        <v>70</v>
      </c>
      <c r="AA718" s="1" t="s">
        <v>95</v>
      </c>
      <c r="AB718" s="1">
        <v>5</v>
      </c>
      <c r="AC718" s="1">
        <v>748793.17</v>
      </c>
      <c r="AD718" s="1">
        <v>8930526.8100000005</v>
      </c>
      <c r="AE718" s="1">
        <v>209.66</v>
      </c>
      <c r="AF718" s="1">
        <v>748793.17</v>
      </c>
      <c r="AG718" s="1">
        <v>8930526.8100000005</v>
      </c>
      <c r="AH718" s="1">
        <v>199.4</v>
      </c>
      <c r="AI718" s="1">
        <v>10.26</v>
      </c>
      <c r="AJ718" s="1">
        <v>0.6</v>
      </c>
      <c r="AK718" s="1">
        <v>2.97</v>
      </c>
      <c r="AL718" s="1">
        <v>2.58</v>
      </c>
      <c r="AM718" s="1">
        <v>0</v>
      </c>
      <c r="AN718" s="1">
        <v>0</v>
      </c>
      <c r="AO718" s="1">
        <v>279.95422539999998</v>
      </c>
      <c r="AP718" s="1">
        <v>3.16</v>
      </c>
      <c r="AQ718" s="1">
        <v>0.7</v>
      </c>
      <c r="AR718" s="1">
        <v>0.08</v>
      </c>
      <c r="AS718" s="1">
        <v>0.09</v>
      </c>
      <c r="AT718" s="1">
        <v>18.96</v>
      </c>
      <c r="AU718" s="1">
        <v>7.18</v>
      </c>
      <c r="AV718" s="1">
        <v>0.42</v>
      </c>
      <c r="AW718" s="1">
        <v>1.64</v>
      </c>
      <c r="AX718" s="1">
        <v>8.14</v>
      </c>
      <c r="AY718" s="1">
        <v>0</v>
      </c>
      <c r="AZ718" s="1">
        <v>98.426000000000002</v>
      </c>
      <c r="BA718" s="1">
        <v>0</v>
      </c>
      <c r="BB718" s="1">
        <v>0</v>
      </c>
      <c r="BC718" s="1">
        <v>0</v>
      </c>
      <c r="BD718" s="1">
        <v>0</v>
      </c>
    </row>
    <row r="719" spans="1:56">
      <c r="A719" s="18">
        <v>46192</v>
      </c>
      <c r="B719" s="1">
        <v>718</v>
      </c>
      <c r="C719" s="1" t="s">
        <v>89</v>
      </c>
      <c r="D719" s="1" t="s">
        <v>90</v>
      </c>
      <c r="E719" s="1">
        <v>2</v>
      </c>
      <c r="F719" s="1">
        <v>200</v>
      </c>
      <c r="G719" s="1">
        <v>1</v>
      </c>
      <c r="H719" s="1" t="s">
        <v>91</v>
      </c>
      <c r="I719" s="1" t="s">
        <v>79</v>
      </c>
      <c r="J719" s="1" t="s">
        <v>81</v>
      </c>
      <c r="K719" s="1" t="s">
        <v>74</v>
      </c>
      <c r="L719" s="1" t="s">
        <v>72</v>
      </c>
      <c r="M719" s="1" t="s">
        <v>75</v>
      </c>
      <c r="N719" s="1" t="s">
        <v>82</v>
      </c>
      <c r="O719" s="1" t="s">
        <v>77</v>
      </c>
      <c r="P719" s="1" t="s">
        <v>27</v>
      </c>
      <c r="Q719" s="1" t="s">
        <v>86</v>
      </c>
      <c r="R719" s="1" t="s">
        <v>94</v>
      </c>
      <c r="S719" s="1" t="s">
        <v>87</v>
      </c>
      <c r="T719" s="1" t="s">
        <v>88</v>
      </c>
      <c r="X719" s="1" t="s">
        <v>73</v>
      </c>
      <c r="Z719" s="1" t="s">
        <v>70</v>
      </c>
      <c r="AA719" s="1" t="s">
        <v>95</v>
      </c>
      <c r="AB719" s="1">
        <v>5</v>
      </c>
      <c r="AC719" s="1">
        <v>748791.57</v>
      </c>
      <c r="AD719" s="1">
        <v>8930529.3100000005</v>
      </c>
      <c r="AE719" s="1">
        <v>209.68</v>
      </c>
      <c r="AF719" s="1">
        <v>748791.57</v>
      </c>
      <c r="AG719" s="1">
        <v>8930529.3100000005</v>
      </c>
      <c r="AH719" s="1">
        <v>199.4</v>
      </c>
      <c r="AI719" s="1">
        <v>10.28</v>
      </c>
      <c r="AJ719" s="1">
        <v>0.6</v>
      </c>
      <c r="AK719" s="1">
        <v>2.97</v>
      </c>
      <c r="AL719" s="1">
        <v>2.58</v>
      </c>
      <c r="AM719" s="1">
        <v>0</v>
      </c>
      <c r="AN719" s="1">
        <v>0</v>
      </c>
      <c r="AO719" s="1">
        <v>279.95422539999998</v>
      </c>
      <c r="AP719" s="1">
        <v>3.18</v>
      </c>
      <c r="AQ719" s="1">
        <v>0.63</v>
      </c>
      <c r="AR719" s="1">
        <v>0.08</v>
      </c>
      <c r="AS719" s="1">
        <v>0.08</v>
      </c>
      <c r="AT719" s="1">
        <v>18.11</v>
      </c>
      <c r="AU719" s="1">
        <v>6.92</v>
      </c>
      <c r="AV719" s="1">
        <v>0.4</v>
      </c>
      <c r="AW719" s="1">
        <v>1.56</v>
      </c>
      <c r="AX719" s="1">
        <v>8.25</v>
      </c>
      <c r="AY719" s="1">
        <v>0</v>
      </c>
      <c r="AZ719" s="1">
        <v>98.716999999999999</v>
      </c>
      <c r="BA719" s="1">
        <v>0</v>
      </c>
      <c r="BB719" s="1">
        <v>0</v>
      </c>
      <c r="BC719" s="1">
        <v>0</v>
      </c>
      <c r="BD719" s="1">
        <v>0</v>
      </c>
    </row>
    <row r="720" spans="1:56">
      <c r="A720" s="18">
        <v>46192</v>
      </c>
      <c r="B720" s="1">
        <v>719</v>
      </c>
      <c r="C720" s="1" t="s">
        <v>89</v>
      </c>
      <c r="D720" s="1" t="s">
        <v>90</v>
      </c>
      <c r="E720" s="1">
        <v>2</v>
      </c>
      <c r="F720" s="1">
        <v>200</v>
      </c>
      <c r="G720" s="1">
        <v>1</v>
      </c>
      <c r="H720" s="1" t="s">
        <v>91</v>
      </c>
      <c r="I720" s="1" t="s">
        <v>79</v>
      </c>
      <c r="J720" s="1" t="s">
        <v>80</v>
      </c>
      <c r="K720" s="1" t="s">
        <v>74</v>
      </c>
      <c r="L720" s="1" t="s">
        <v>72</v>
      </c>
      <c r="M720" s="1" t="s">
        <v>75</v>
      </c>
      <c r="N720" s="1" t="s">
        <v>82</v>
      </c>
      <c r="O720" s="1" t="s">
        <v>77</v>
      </c>
      <c r="P720" s="1" t="s">
        <v>27</v>
      </c>
      <c r="Q720" s="1" t="s">
        <v>86</v>
      </c>
      <c r="R720" s="1" t="s">
        <v>94</v>
      </c>
      <c r="S720" s="1" t="s">
        <v>87</v>
      </c>
      <c r="T720" s="1" t="s">
        <v>88</v>
      </c>
      <c r="X720" s="1" t="s">
        <v>73</v>
      </c>
      <c r="Z720" s="1" t="s">
        <v>70</v>
      </c>
      <c r="AA720" s="1" t="s">
        <v>95</v>
      </c>
      <c r="AB720" s="1">
        <v>5</v>
      </c>
      <c r="AC720" s="1">
        <v>748789.96</v>
      </c>
      <c r="AD720" s="1">
        <v>8930531.8100000005</v>
      </c>
      <c r="AE720" s="1">
        <v>209.6</v>
      </c>
      <c r="AF720" s="1">
        <v>748789.96</v>
      </c>
      <c r="AG720" s="1">
        <v>8930531.8100000005</v>
      </c>
      <c r="AH720" s="1">
        <v>199.4</v>
      </c>
      <c r="AI720" s="1">
        <v>10.199999999999999</v>
      </c>
      <c r="AJ720" s="1">
        <v>0.6</v>
      </c>
      <c r="AK720" s="1">
        <v>2.97</v>
      </c>
      <c r="AL720" s="1">
        <v>2.58</v>
      </c>
      <c r="AM720" s="1">
        <v>0</v>
      </c>
      <c r="AN720" s="1">
        <v>0</v>
      </c>
      <c r="AO720" s="1">
        <v>279.95422539999998</v>
      </c>
      <c r="AP720" s="1">
        <v>3.19</v>
      </c>
      <c r="AQ720" s="1">
        <v>0.56000000000000005</v>
      </c>
      <c r="AR720" s="1">
        <v>0.08</v>
      </c>
      <c r="AS720" s="1">
        <v>7.0000000000000007E-2</v>
      </c>
      <c r="AT720" s="1">
        <v>16.670000000000002</v>
      </c>
      <c r="AU720" s="1">
        <v>6.39</v>
      </c>
      <c r="AV720" s="1">
        <v>0.35</v>
      </c>
      <c r="AW720" s="1">
        <v>1.56</v>
      </c>
      <c r="AX720" s="1">
        <v>7.84</v>
      </c>
      <c r="AY720" s="1">
        <v>0</v>
      </c>
      <c r="AZ720" s="1">
        <v>97.552000000000007</v>
      </c>
      <c r="BA720" s="1">
        <v>0</v>
      </c>
      <c r="BB720" s="1">
        <v>0</v>
      </c>
      <c r="BC720" s="1">
        <v>0</v>
      </c>
      <c r="BD720" s="1">
        <v>0</v>
      </c>
    </row>
    <row r="721" spans="1:56">
      <c r="A721" s="18">
        <v>46192</v>
      </c>
      <c r="B721" s="1">
        <v>720</v>
      </c>
      <c r="C721" s="1" t="s">
        <v>89</v>
      </c>
      <c r="D721" s="1" t="s">
        <v>90</v>
      </c>
      <c r="E721" s="1">
        <v>2</v>
      </c>
      <c r="F721" s="1">
        <v>200</v>
      </c>
      <c r="G721" s="1">
        <v>1</v>
      </c>
      <c r="H721" s="1" t="s">
        <v>91</v>
      </c>
      <c r="I721" s="1" t="s">
        <v>79</v>
      </c>
      <c r="J721" s="1" t="s">
        <v>80</v>
      </c>
      <c r="K721" s="1" t="s">
        <v>74</v>
      </c>
      <c r="L721" s="1" t="s">
        <v>72</v>
      </c>
      <c r="M721" s="1" t="s">
        <v>75</v>
      </c>
      <c r="N721" s="1" t="s">
        <v>76</v>
      </c>
      <c r="O721" s="1" t="s">
        <v>77</v>
      </c>
      <c r="P721" s="1" t="s">
        <v>27</v>
      </c>
      <c r="Q721" s="1" t="s">
        <v>86</v>
      </c>
      <c r="R721" s="1" t="s">
        <v>94</v>
      </c>
      <c r="S721" s="1" t="s">
        <v>87</v>
      </c>
      <c r="T721" s="1" t="s">
        <v>88</v>
      </c>
      <c r="X721" s="1" t="s">
        <v>73</v>
      </c>
      <c r="Z721" s="1" t="s">
        <v>70</v>
      </c>
      <c r="AA721" s="1" t="s">
        <v>95</v>
      </c>
      <c r="AB721" s="1">
        <v>5</v>
      </c>
      <c r="AC721" s="1">
        <v>748788.36</v>
      </c>
      <c r="AD721" s="1">
        <v>8930534.3100000005</v>
      </c>
      <c r="AE721" s="1">
        <v>209.73</v>
      </c>
      <c r="AF721" s="1">
        <v>748788.36</v>
      </c>
      <c r="AG721" s="1">
        <v>8930534.3100000005</v>
      </c>
      <c r="AH721" s="1">
        <v>199.4</v>
      </c>
      <c r="AI721" s="1">
        <v>10.33</v>
      </c>
      <c r="AJ721" s="1">
        <v>0.6</v>
      </c>
      <c r="AK721" s="1">
        <v>2.97</v>
      </c>
      <c r="AL721" s="1">
        <v>2.58</v>
      </c>
      <c r="AM721" s="1">
        <v>0</v>
      </c>
      <c r="AN721" s="1">
        <v>0</v>
      </c>
      <c r="AO721" s="1">
        <v>279.95422539999998</v>
      </c>
      <c r="AP721" s="1">
        <v>3.18</v>
      </c>
      <c r="AQ721" s="1">
        <v>0.62</v>
      </c>
      <c r="AR721" s="1">
        <v>0.08</v>
      </c>
      <c r="AS721" s="1">
        <v>7.0000000000000007E-2</v>
      </c>
      <c r="AT721" s="1">
        <v>17.059999999999999</v>
      </c>
      <c r="AU721" s="1">
        <v>6.48</v>
      </c>
      <c r="AV721" s="1">
        <v>0.35</v>
      </c>
      <c r="AW721" s="1">
        <v>1.74</v>
      </c>
      <c r="AX721" s="1">
        <v>7.28</v>
      </c>
      <c r="AY721" s="1">
        <v>0</v>
      </c>
      <c r="AZ721" s="1">
        <v>99.444999999999993</v>
      </c>
      <c r="BA721" s="1">
        <v>0</v>
      </c>
      <c r="BB721" s="1">
        <v>0</v>
      </c>
      <c r="BC721" s="1">
        <v>0</v>
      </c>
      <c r="BD721" s="1">
        <v>0</v>
      </c>
    </row>
    <row r="722" spans="1:56">
      <c r="A722" s="18">
        <v>46192</v>
      </c>
      <c r="B722" s="1">
        <v>721</v>
      </c>
      <c r="C722" s="1" t="s">
        <v>89</v>
      </c>
      <c r="D722" s="1" t="s">
        <v>90</v>
      </c>
      <c r="E722" s="1">
        <v>2</v>
      </c>
      <c r="F722" s="1">
        <v>200</v>
      </c>
      <c r="G722" s="1">
        <v>1</v>
      </c>
      <c r="H722" s="1" t="s">
        <v>91</v>
      </c>
      <c r="I722" s="1" t="s">
        <v>79</v>
      </c>
      <c r="J722" s="1" t="s">
        <v>80</v>
      </c>
      <c r="K722" s="1" t="s">
        <v>74</v>
      </c>
      <c r="L722" s="1" t="s">
        <v>72</v>
      </c>
      <c r="M722" s="1" t="s">
        <v>75</v>
      </c>
      <c r="N722" s="1" t="s">
        <v>76</v>
      </c>
      <c r="O722" s="1" t="s">
        <v>77</v>
      </c>
      <c r="P722" s="1" t="s">
        <v>27</v>
      </c>
      <c r="Q722" s="1" t="s">
        <v>86</v>
      </c>
      <c r="R722" s="1" t="s">
        <v>94</v>
      </c>
      <c r="S722" s="1" t="s">
        <v>87</v>
      </c>
      <c r="T722" s="1" t="s">
        <v>88</v>
      </c>
      <c r="X722" s="1" t="s">
        <v>73</v>
      </c>
      <c r="Z722" s="1" t="s">
        <v>70</v>
      </c>
      <c r="AA722" s="1" t="s">
        <v>95</v>
      </c>
      <c r="AB722" s="1">
        <v>5</v>
      </c>
      <c r="AC722" s="1">
        <v>748786.76</v>
      </c>
      <c r="AD722" s="1">
        <v>8930536.8100000005</v>
      </c>
      <c r="AE722" s="1">
        <v>209.89</v>
      </c>
      <c r="AF722" s="1">
        <v>748786.76</v>
      </c>
      <c r="AG722" s="1">
        <v>8930536.8100000005</v>
      </c>
      <c r="AH722" s="1">
        <v>199.4</v>
      </c>
      <c r="AI722" s="1">
        <v>10.49</v>
      </c>
      <c r="AJ722" s="1">
        <v>0.6</v>
      </c>
      <c r="AK722" s="1">
        <v>2.97</v>
      </c>
      <c r="AL722" s="1">
        <v>2.58</v>
      </c>
      <c r="AM722" s="1">
        <v>0</v>
      </c>
      <c r="AN722" s="1">
        <v>0</v>
      </c>
      <c r="AO722" s="1">
        <v>279.95422539999998</v>
      </c>
      <c r="AP722" s="1">
        <v>3.18</v>
      </c>
      <c r="AQ722" s="1">
        <v>0.63</v>
      </c>
      <c r="AR722" s="1">
        <v>0.08</v>
      </c>
      <c r="AS722" s="1">
        <v>7.0000000000000007E-2</v>
      </c>
      <c r="AT722" s="1">
        <v>17.12</v>
      </c>
      <c r="AU722" s="1">
        <v>6.5</v>
      </c>
      <c r="AV722" s="1">
        <v>0.36</v>
      </c>
      <c r="AW722" s="1">
        <v>1.77</v>
      </c>
      <c r="AX722" s="1">
        <v>7.21</v>
      </c>
      <c r="AY722" s="1">
        <v>0</v>
      </c>
      <c r="AZ722" s="1">
        <v>101.774</v>
      </c>
      <c r="BA722" s="1">
        <v>0</v>
      </c>
      <c r="BB722" s="1">
        <v>0</v>
      </c>
      <c r="BC722" s="1">
        <v>0</v>
      </c>
      <c r="BD722" s="1">
        <v>0</v>
      </c>
    </row>
    <row r="723" spans="1:56">
      <c r="A723" s="18">
        <v>46192</v>
      </c>
      <c r="B723" s="1">
        <v>722</v>
      </c>
      <c r="C723" s="1" t="s">
        <v>89</v>
      </c>
      <c r="D723" s="1" t="s">
        <v>90</v>
      </c>
      <c r="E723" s="1">
        <v>2</v>
      </c>
      <c r="F723" s="1">
        <v>200</v>
      </c>
      <c r="G723" s="1">
        <v>1</v>
      </c>
      <c r="H723" s="1" t="s">
        <v>91</v>
      </c>
      <c r="I723" s="1" t="s">
        <v>79</v>
      </c>
      <c r="J723" s="1" t="s">
        <v>80</v>
      </c>
      <c r="K723" s="1" t="s">
        <v>74</v>
      </c>
      <c r="L723" s="1" t="s">
        <v>72</v>
      </c>
      <c r="M723" s="1" t="s">
        <v>75</v>
      </c>
      <c r="N723" s="1" t="s">
        <v>76</v>
      </c>
      <c r="O723" s="1" t="s">
        <v>77</v>
      </c>
      <c r="P723" s="1" t="s">
        <v>27</v>
      </c>
      <c r="Q723" s="1" t="s">
        <v>86</v>
      </c>
      <c r="R723" s="1" t="s">
        <v>94</v>
      </c>
      <c r="S723" s="1" t="s">
        <v>87</v>
      </c>
      <c r="T723" s="1" t="s">
        <v>88</v>
      </c>
      <c r="X723" s="1" t="s">
        <v>73</v>
      </c>
      <c r="Z723" s="1" t="s">
        <v>70</v>
      </c>
      <c r="AA723" s="1" t="s">
        <v>95</v>
      </c>
      <c r="AB723" s="1">
        <v>5</v>
      </c>
      <c r="AC723" s="1">
        <v>748785.1</v>
      </c>
      <c r="AD723" s="1">
        <v>8930539.2799999993</v>
      </c>
      <c r="AE723" s="1">
        <v>209.91</v>
      </c>
      <c r="AF723" s="1">
        <v>748785.1</v>
      </c>
      <c r="AG723" s="1">
        <v>8930539.2799999993</v>
      </c>
      <c r="AH723" s="1">
        <v>199.4</v>
      </c>
      <c r="AI723" s="1">
        <v>10.51</v>
      </c>
      <c r="AJ723" s="1">
        <v>0.6</v>
      </c>
      <c r="AK723" s="1">
        <v>2.97</v>
      </c>
      <c r="AL723" s="1">
        <v>2.58</v>
      </c>
      <c r="AM723" s="1">
        <v>0</v>
      </c>
      <c r="AN723" s="1">
        <v>0</v>
      </c>
      <c r="AO723" s="1">
        <v>279.95422539999998</v>
      </c>
      <c r="AP723" s="1">
        <v>3.2</v>
      </c>
      <c r="AQ723" s="1">
        <v>0.57999999999999996</v>
      </c>
      <c r="AR723" s="1">
        <v>0.08</v>
      </c>
      <c r="AS723" s="1">
        <v>7.0000000000000007E-2</v>
      </c>
      <c r="AT723" s="1">
        <v>16.88</v>
      </c>
      <c r="AU723" s="1">
        <v>6.1</v>
      </c>
      <c r="AV723" s="1">
        <v>0.33</v>
      </c>
      <c r="AW723" s="1">
        <v>1.76</v>
      </c>
      <c r="AX723" s="1">
        <v>7.7</v>
      </c>
      <c r="AY723" s="1">
        <v>0</v>
      </c>
      <c r="AZ723" s="1">
        <v>102.066</v>
      </c>
      <c r="BA723" s="1">
        <v>0</v>
      </c>
      <c r="BB723" s="1">
        <v>0</v>
      </c>
      <c r="BC723" s="1">
        <v>0</v>
      </c>
      <c r="BD723" s="1">
        <v>0</v>
      </c>
    </row>
    <row r="724" spans="1:56">
      <c r="A724" s="18">
        <v>46192</v>
      </c>
      <c r="B724" s="1">
        <v>723</v>
      </c>
      <c r="C724" s="1" t="s">
        <v>89</v>
      </c>
      <c r="D724" s="1" t="s">
        <v>90</v>
      </c>
      <c r="E724" s="1">
        <v>2</v>
      </c>
      <c r="F724" s="1">
        <v>200</v>
      </c>
      <c r="G724" s="1">
        <v>1</v>
      </c>
      <c r="H724" s="1" t="s">
        <v>91</v>
      </c>
      <c r="I724" s="1" t="s">
        <v>79</v>
      </c>
      <c r="J724" s="1" t="s">
        <v>80</v>
      </c>
      <c r="K724" s="1" t="s">
        <v>74</v>
      </c>
      <c r="L724" s="1" t="s">
        <v>72</v>
      </c>
      <c r="M724" s="1" t="s">
        <v>75</v>
      </c>
      <c r="N724" s="1" t="s">
        <v>76</v>
      </c>
      <c r="O724" s="1" t="s">
        <v>77</v>
      </c>
      <c r="P724" s="1" t="s">
        <v>27</v>
      </c>
      <c r="Q724" s="1" t="s">
        <v>86</v>
      </c>
      <c r="R724" s="1" t="s">
        <v>94</v>
      </c>
      <c r="S724" s="1" t="s">
        <v>87</v>
      </c>
      <c r="T724" s="1" t="s">
        <v>88</v>
      </c>
      <c r="X724" s="1" t="s">
        <v>73</v>
      </c>
      <c r="Z724" s="1" t="s">
        <v>70</v>
      </c>
      <c r="AA724" s="1" t="s">
        <v>95</v>
      </c>
      <c r="AB724" s="1">
        <v>5</v>
      </c>
      <c r="AC724" s="1">
        <v>748783.15</v>
      </c>
      <c r="AD724" s="1">
        <v>8930541.4900000002</v>
      </c>
      <c r="AE724" s="1">
        <v>209.9</v>
      </c>
      <c r="AF724" s="1">
        <v>748783.15</v>
      </c>
      <c r="AG724" s="1">
        <v>8930541.4900000002</v>
      </c>
      <c r="AH724" s="1">
        <v>199.4</v>
      </c>
      <c r="AI724" s="1">
        <v>10.5</v>
      </c>
      <c r="AJ724" s="1">
        <v>0.6</v>
      </c>
      <c r="AK724" s="1">
        <v>2.97</v>
      </c>
      <c r="AL724" s="1">
        <v>2.58</v>
      </c>
      <c r="AM724" s="1">
        <v>0</v>
      </c>
      <c r="AN724" s="1">
        <v>0</v>
      </c>
      <c r="AO724" s="1">
        <v>279.95422539999998</v>
      </c>
      <c r="AP724" s="1">
        <v>3.23</v>
      </c>
      <c r="AQ724" s="1">
        <v>0.48</v>
      </c>
      <c r="AR724" s="1">
        <v>0.08</v>
      </c>
      <c r="AS724" s="1">
        <v>7.0000000000000007E-2</v>
      </c>
      <c r="AT724" s="1">
        <v>16.350000000000001</v>
      </c>
      <c r="AU724" s="1">
        <v>5.26</v>
      </c>
      <c r="AV724" s="1">
        <v>0.28000000000000003</v>
      </c>
      <c r="AW724" s="1">
        <v>1.73</v>
      </c>
      <c r="AX724" s="1">
        <v>8.76</v>
      </c>
      <c r="AY724" s="1">
        <v>0</v>
      </c>
      <c r="AZ724" s="1">
        <v>101.92</v>
      </c>
      <c r="BA724" s="1">
        <v>0</v>
      </c>
      <c r="BB724" s="1">
        <v>0</v>
      </c>
      <c r="BC724" s="1">
        <v>0</v>
      </c>
      <c r="BD724" s="1">
        <v>0</v>
      </c>
    </row>
    <row r="725" spans="1:56">
      <c r="A725" s="18">
        <v>46192</v>
      </c>
      <c r="B725" s="1">
        <v>724</v>
      </c>
      <c r="C725" s="1" t="s">
        <v>89</v>
      </c>
      <c r="D725" s="1" t="s">
        <v>90</v>
      </c>
      <c r="E725" s="1">
        <v>2</v>
      </c>
      <c r="F725" s="1">
        <v>200</v>
      </c>
      <c r="G725" s="1">
        <v>1</v>
      </c>
      <c r="H725" s="1" t="s">
        <v>91</v>
      </c>
      <c r="I725" s="1" t="s">
        <v>79</v>
      </c>
      <c r="J725" s="1" t="s">
        <v>80</v>
      </c>
      <c r="K725" s="1" t="s">
        <v>74</v>
      </c>
      <c r="L725" s="1" t="s">
        <v>72</v>
      </c>
      <c r="M725" s="1" t="s">
        <v>75</v>
      </c>
      <c r="N725" s="1" t="s">
        <v>76</v>
      </c>
      <c r="O725" s="1" t="s">
        <v>77</v>
      </c>
      <c r="P725" s="1" t="s">
        <v>27</v>
      </c>
      <c r="Q725" s="1" t="s">
        <v>86</v>
      </c>
      <c r="R725" s="1" t="s">
        <v>94</v>
      </c>
      <c r="S725" s="1" t="s">
        <v>87</v>
      </c>
      <c r="T725" s="1" t="s">
        <v>88</v>
      </c>
      <c r="X725" s="1" t="s">
        <v>73</v>
      </c>
      <c r="Z725" s="1" t="s">
        <v>70</v>
      </c>
      <c r="AA725" s="1" t="s">
        <v>95</v>
      </c>
      <c r="AB725" s="1">
        <v>5</v>
      </c>
      <c r="AC725" s="1">
        <v>748780.9</v>
      </c>
      <c r="AD725" s="1">
        <v>8930543.4299999997</v>
      </c>
      <c r="AE725" s="1">
        <v>210</v>
      </c>
      <c r="AF725" s="1">
        <v>748780.9</v>
      </c>
      <c r="AG725" s="1">
        <v>8930543.4299999997</v>
      </c>
      <c r="AH725" s="1">
        <v>199.4</v>
      </c>
      <c r="AI725" s="1">
        <v>10.6</v>
      </c>
      <c r="AJ725" s="1">
        <v>0.6</v>
      </c>
      <c r="AK725" s="1">
        <v>2.97</v>
      </c>
      <c r="AL725" s="1">
        <v>2.58</v>
      </c>
      <c r="AM725" s="1">
        <v>0</v>
      </c>
      <c r="AN725" s="1">
        <v>0</v>
      </c>
      <c r="AO725" s="1">
        <v>279.95422539999998</v>
      </c>
      <c r="AP725" s="1">
        <v>3.25</v>
      </c>
      <c r="AQ725" s="1">
        <v>0.5</v>
      </c>
      <c r="AR725" s="1">
        <v>0.09</v>
      </c>
      <c r="AS725" s="1">
        <v>7.0000000000000007E-2</v>
      </c>
      <c r="AT725" s="1">
        <v>17.03</v>
      </c>
      <c r="AU725" s="1">
        <v>5.39</v>
      </c>
      <c r="AV725" s="1">
        <v>0.28999999999999998</v>
      </c>
      <c r="AW725" s="1">
        <v>1.72</v>
      </c>
      <c r="AX725" s="1">
        <v>8.9</v>
      </c>
      <c r="AY725" s="1">
        <v>0</v>
      </c>
      <c r="AZ725" s="1">
        <v>103.376</v>
      </c>
      <c r="BA725" s="1">
        <v>0</v>
      </c>
      <c r="BB725" s="1">
        <v>0</v>
      </c>
      <c r="BC725" s="1">
        <v>0</v>
      </c>
      <c r="BD725" s="1">
        <v>0</v>
      </c>
    </row>
    <row r="726" spans="1:56">
      <c r="A726" s="18">
        <v>46192</v>
      </c>
      <c r="B726" s="1">
        <v>725</v>
      </c>
      <c r="C726" s="1" t="s">
        <v>89</v>
      </c>
      <c r="D726" s="1" t="s">
        <v>90</v>
      </c>
      <c r="E726" s="1">
        <v>2</v>
      </c>
      <c r="F726" s="1">
        <v>200</v>
      </c>
      <c r="G726" s="1">
        <v>1</v>
      </c>
      <c r="H726" s="1" t="s">
        <v>91</v>
      </c>
      <c r="I726" s="1" t="s">
        <v>79</v>
      </c>
      <c r="J726" s="1" t="s">
        <v>80</v>
      </c>
      <c r="K726" s="1" t="s">
        <v>74</v>
      </c>
      <c r="L726" s="1" t="s">
        <v>72</v>
      </c>
      <c r="M726" s="1" t="s">
        <v>75</v>
      </c>
      <c r="N726" s="1" t="s">
        <v>76</v>
      </c>
      <c r="O726" s="1" t="s">
        <v>77</v>
      </c>
      <c r="P726" s="1" t="s">
        <v>27</v>
      </c>
      <c r="Q726" s="1" t="s">
        <v>86</v>
      </c>
      <c r="R726" s="1" t="s">
        <v>94</v>
      </c>
      <c r="S726" s="1" t="s">
        <v>87</v>
      </c>
      <c r="T726" s="1" t="s">
        <v>88</v>
      </c>
      <c r="X726" s="1" t="s">
        <v>73</v>
      </c>
      <c r="Z726" s="1" t="s">
        <v>70</v>
      </c>
      <c r="AA726" s="1" t="s">
        <v>95</v>
      </c>
      <c r="AB726" s="1">
        <v>5</v>
      </c>
      <c r="AC726" s="1">
        <v>748778.65</v>
      </c>
      <c r="AD726" s="1">
        <v>8930545.3599999994</v>
      </c>
      <c r="AE726" s="1">
        <v>210.08</v>
      </c>
      <c r="AF726" s="1">
        <v>748778.65</v>
      </c>
      <c r="AG726" s="1">
        <v>8930545.3599999994</v>
      </c>
      <c r="AH726" s="1">
        <v>199.4</v>
      </c>
      <c r="AI726" s="1">
        <v>10.68</v>
      </c>
      <c r="AJ726" s="1">
        <v>0.6</v>
      </c>
      <c r="AK726" s="1">
        <v>2.97</v>
      </c>
      <c r="AL726" s="1">
        <v>2.58</v>
      </c>
      <c r="AM726" s="1">
        <v>0</v>
      </c>
      <c r="AN726" s="1">
        <v>0</v>
      </c>
      <c r="AO726" s="1">
        <v>279.95422539999998</v>
      </c>
      <c r="AP726" s="1">
        <v>3.27</v>
      </c>
      <c r="AQ726" s="1">
        <v>0.59</v>
      </c>
      <c r="AR726" s="1">
        <v>0.09</v>
      </c>
      <c r="AS726" s="1">
        <v>0.09</v>
      </c>
      <c r="AT726" s="1">
        <v>19.079999999999998</v>
      </c>
      <c r="AU726" s="1">
        <v>6.08</v>
      </c>
      <c r="AV726" s="1">
        <v>0.35</v>
      </c>
      <c r="AW726" s="1">
        <v>1.68</v>
      </c>
      <c r="AX726" s="1">
        <v>8.86</v>
      </c>
      <c r="AY726" s="1">
        <v>0</v>
      </c>
      <c r="AZ726" s="1">
        <v>104.541</v>
      </c>
      <c r="BA726" s="1">
        <v>0</v>
      </c>
      <c r="BB726" s="1">
        <v>0</v>
      </c>
      <c r="BC726" s="1">
        <v>0</v>
      </c>
      <c r="BD726" s="1">
        <v>0</v>
      </c>
    </row>
    <row r="727" spans="1:56">
      <c r="A727" s="18">
        <v>46192</v>
      </c>
      <c r="B727" s="1">
        <v>726</v>
      </c>
      <c r="C727" s="1" t="s">
        <v>89</v>
      </c>
      <c r="D727" s="1" t="s">
        <v>90</v>
      </c>
      <c r="E727" s="1">
        <v>2</v>
      </c>
      <c r="F727" s="1">
        <v>200</v>
      </c>
      <c r="G727" s="1">
        <v>1</v>
      </c>
      <c r="H727" s="1" t="s">
        <v>91</v>
      </c>
      <c r="I727" s="1" t="s">
        <v>79</v>
      </c>
      <c r="J727" s="1" t="s">
        <v>80</v>
      </c>
      <c r="K727" s="1" t="s">
        <v>74</v>
      </c>
      <c r="L727" s="1" t="s">
        <v>72</v>
      </c>
      <c r="M727" s="1" t="s">
        <v>75</v>
      </c>
      <c r="N727" s="1" t="s">
        <v>76</v>
      </c>
      <c r="O727" s="1" t="s">
        <v>77</v>
      </c>
      <c r="P727" s="1" t="s">
        <v>27</v>
      </c>
      <c r="Q727" s="1" t="s">
        <v>86</v>
      </c>
      <c r="R727" s="1" t="s">
        <v>94</v>
      </c>
      <c r="S727" s="1" t="s">
        <v>87</v>
      </c>
      <c r="T727" s="1" t="s">
        <v>88</v>
      </c>
      <c r="X727" s="1" t="s">
        <v>73</v>
      </c>
      <c r="Z727" s="1" t="s">
        <v>70</v>
      </c>
      <c r="AA727" s="1" t="s">
        <v>95</v>
      </c>
      <c r="AB727" s="1">
        <v>5</v>
      </c>
      <c r="AC727" s="1">
        <v>748776.4</v>
      </c>
      <c r="AD727" s="1">
        <v>8930547.3000000007</v>
      </c>
      <c r="AE727" s="1">
        <v>209.85</v>
      </c>
      <c r="AF727" s="1">
        <v>748776.4</v>
      </c>
      <c r="AG727" s="1">
        <v>8930547.3000000007</v>
      </c>
      <c r="AH727" s="1">
        <v>199.4</v>
      </c>
      <c r="AI727" s="1">
        <v>10.45</v>
      </c>
      <c r="AJ727" s="1">
        <v>0.6</v>
      </c>
      <c r="AK727" s="1">
        <v>2.97</v>
      </c>
      <c r="AL727" s="1">
        <v>2.58</v>
      </c>
      <c r="AM727" s="1">
        <v>0</v>
      </c>
      <c r="AN727" s="1">
        <v>0</v>
      </c>
      <c r="AO727" s="1">
        <v>279.95422539999998</v>
      </c>
      <c r="AP727" s="1">
        <v>3.28</v>
      </c>
      <c r="AQ727" s="1">
        <v>0.6</v>
      </c>
      <c r="AR727" s="1">
        <v>0.09</v>
      </c>
      <c r="AS727" s="1">
        <v>0.09</v>
      </c>
      <c r="AT727" s="1">
        <v>19.47</v>
      </c>
      <c r="AU727" s="1">
        <v>6.2</v>
      </c>
      <c r="AV727" s="1">
        <v>0.36</v>
      </c>
      <c r="AW727" s="1">
        <v>1.68</v>
      </c>
      <c r="AX727" s="1">
        <v>8.84</v>
      </c>
      <c r="AY727" s="1">
        <v>0</v>
      </c>
      <c r="AZ727" s="1">
        <v>101.19199999999999</v>
      </c>
      <c r="BA727" s="1">
        <v>0</v>
      </c>
      <c r="BB727" s="1">
        <v>0</v>
      </c>
      <c r="BC727" s="1">
        <v>0</v>
      </c>
      <c r="BD727" s="1">
        <v>0</v>
      </c>
    </row>
    <row r="728" spans="1:56">
      <c r="A728" s="18">
        <v>46192</v>
      </c>
      <c r="B728" s="1">
        <v>727</v>
      </c>
      <c r="C728" s="1" t="s">
        <v>89</v>
      </c>
      <c r="D728" s="1" t="s">
        <v>90</v>
      </c>
      <c r="E728" s="1">
        <v>2</v>
      </c>
      <c r="F728" s="1">
        <v>200</v>
      </c>
      <c r="G728" s="1">
        <v>1</v>
      </c>
      <c r="H728" s="1" t="s">
        <v>91</v>
      </c>
      <c r="I728" s="1" t="s">
        <v>79</v>
      </c>
      <c r="J728" s="1" t="s">
        <v>80</v>
      </c>
      <c r="K728" s="1" t="s">
        <v>74</v>
      </c>
      <c r="L728" s="1" t="s">
        <v>72</v>
      </c>
      <c r="M728" s="1" t="s">
        <v>75</v>
      </c>
      <c r="N728" s="1" t="s">
        <v>76</v>
      </c>
      <c r="O728" s="1" t="s">
        <v>77</v>
      </c>
      <c r="P728" s="1" t="s">
        <v>27</v>
      </c>
      <c r="Q728" s="1" t="s">
        <v>86</v>
      </c>
      <c r="R728" s="1" t="s">
        <v>94</v>
      </c>
      <c r="S728" s="1" t="s">
        <v>87</v>
      </c>
      <c r="T728" s="1" t="s">
        <v>88</v>
      </c>
      <c r="X728" s="1" t="s">
        <v>73</v>
      </c>
      <c r="Z728" s="1" t="s">
        <v>70</v>
      </c>
      <c r="AA728" s="1" t="s">
        <v>95</v>
      </c>
      <c r="AB728" s="1">
        <v>5</v>
      </c>
      <c r="AC728" s="1">
        <v>748774.15</v>
      </c>
      <c r="AD728" s="1">
        <v>8930549.2400000002</v>
      </c>
      <c r="AE728" s="1">
        <v>210.03</v>
      </c>
      <c r="AF728" s="1">
        <v>748774.15</v>
      </c>
      <c r="AG728" s="1">
        <v>8930549.2400000002</v>
      </c>
      <c r="AH728" s="1">
        <v>199.4</v>
      </c>
      <c r="AI728" s="1">
        <v>10.63</v>
      </c>
      <c r="AJ728" s="1">
        <v>0.6</v>
      </c>
      <c r="AK728" s="1">
        <v>2.97</v>
      </c>
      <c r="AL728" s="1">
        <v>2.58</v>
      </c>
      <c r="AM728" s="1">
        <v>0</v>
      </c>
      <c r="AN728" s="1">
        <v>0</v>
      </c>
      <c r="AO728" s="1">
        <v>279.95422539999998</v>
      </c>
      <c r="AP728" s="1">
        <v>3.3</v>
      </c>
      <c r="AQ728" s="1">
        <v>0.62</v>
      </c>
      <c r="AR728" s="1">
        <v>0.1</v>
      </c>
      <c r="AS728" s="1">
        <v>0.1</v>
      </c>
      <c r="AT728" s="1">
        <v>19.850000000000001</v>
      </c>
      <c r="AU728" s="1">
        <v>6.09</v>
      </c>
      <c r="AV728" s="1">
        <v>0.35</v>
      </c>
      <c r="AW728" s="1">
        <v>1.76</v>
      </c>
      <c r="AX728" s="1">
        <v>9.15</v>
      </c>
      <c r="AY728" s="1">
        <v>0</v>
      </c>
      <c r="AZ728" s="1">
        <v>103.813</v>
      </c>
      <c r="BA728" s="1">
        <v>0</v>
      </c>
      <c r="BB728" s="1">
        <v>0</v>
      </c>
      <c r="BC728" s="1">
        <v>0</v>
      </c>
      <c r="BD728" s="1">
        <v>0</v>
      </c>
    </row>
    <row r="729" spans="1:56">
      <c r="A729" s="18">
        <v>46192</v>
      </c>
      <c r="B729" s="1">
        <v>728</v>
      </c>
      <c r="C729" s="1" t="s">
        <v>89</v>
      </c>
      <c r="D729" s="1" t="s">
        <v>90</v>
      </c>
      <c r="E729" s="1">
        <v>2</v>
      </c>
      <c r="F729" s="1">
        <v>200</v>
      </c>
      <c r="G729" s="1">
        <v>1</v>
      </c>
      <c r="H729" s="1" t="s">
        <v>91</v>
      </c>
      <c r="I729" s="1" t="s">
        <v>79</v>
      </c>
      <c r="J729" s="1" t="s">
        <v>80</v>
      </c>
      <c r="K729" s="1" t="s">
        <v>74</v>
      </c>
      <c r="L729" s="1" t="s">
        <v>72</v>
      </c>
      <c r="M729" s="1" t="s">
        <v>75</v>
      </c>
      <c r="N729" s="1" t="s">
        <v>76</v>
      </c>
      <c r="O729" s="1" t="s">
        <v>77</v>
      </c>
      <c r="P729" s="1" t="s">
        <v>27</v>
      </c>
      <c r="Q729" s="1" t="s">
        <v>86</v>
      </c>
      <c r="R729" s="1" t="s">
        <v>94</v>
      </c>
      <c r="S729" s="1" t="s">
        <v>87</v>
      </c>
      <c r="T729" s="1" t="s">
        <v>88</v>
      </c>
      <c r="X729" s="1" t="s">
        <v>73</v>
      </c>
      <c r="Z729" s="1" t="s">
        <v>70</v>
      </c>
      <c r="AA729" s="1" t="s">
        <v>95</v>
      </c>
      <c r="AB729" s="1">
        <v>5</v>
      </c>
      <c r="AC729" s="1">
        <v>748771.9</v>
      </c>
      <c r="AD729" s="1">
        <v>8930551.1799999997</v>
      </c>
      <c r="AE729" s="1">
        <v>210.02</v>
      </c>
      <c r="AF729" s="1">
        <v>748771.9</v>
      </c>
      <c r="AG729" s="1">
        <v>8930551.1799999997</v>
      </c>
      <c r="AH729" s="1">
        <v>199.4</v>
      </c>
      <c r="AI729" s="1">
        <v>10.62</v>
      </c>
      <c r="AJ729" s="1">
        <v>0.6</v>
      </c>
      <c r="AK729" s="1">
        <v>2.97</v>
      </c>
      <c r="AL729" s="1">
        <v>2.58</v>
      </c>
      <c r="AM729" s="1">
        <v>0</v>
      </c>
      <c r="AN729" s="1">
        <v>0</v>
      </c>
      <c r="AO729" s="1">
        <v>279.95422539999998</v>
      </c>
      <c r="AP729" s="1">
        <v>3.34</v>
      </c>
      <c r="AQ729" s="1">
        <v>0.65</v>
      </c>
      <c r="AR729" s="1">
        <v>0.11</v>
      </c>
      <c r="AS729" s="1">
        <v>0.1</v>
      </c>
      <c r="AT729" s="1">
        <v>20.63</v>
      </c>
      <c r="AU729" s="1">
        <v>5.88</v>
      </c>
      <c r="AV729" s="1">
        <v>0.34</v>
      </c>
      <c r="AW729" s="1">
        <v>1.92</v>
      </c>
      <c r="AX729" s="1">
        <v>9.81</v>
      </c>
      <c r="AY729" s="1">
        <v>0</v>
      </c>
      <c r="AZ729" s="1">
        <v>103.667</v>
      </c>
      <c r="BA729" s="1">
        <v>0</v>
      </c>
      <c r="BB729" s="1">
        <v>0</v>
      </c>
      <c r="BC729" s="1">
        <v>0</v>
      </c>
      <c r="BD729" s="1">
        <v>0</v>
      </c>
    </row>
    <row r="730" spans="1:56">
      <c r="A730" s="18">
        <v>46192</v>
      </c>
      <c r="B730" s="1">
        <v>729</v>
      </c>
      <c r="C730" s="1" t="s">
        <v>89</v>
      </c>
      <c r="D730" s="1" t="s">
        <v>90</v>
      </c>
      <c r="E730" s="1">
        <v>2</v>
      </c>
      <c r="F730" s="1">
        <v>200</v>
      </c>
      <c r="G730" s="1">
        <v>1</v>
      </c>
      <c r="H730" s="1" t="s">
        <v>91</v>
      </c>
      <c r="I730" s="1" t="s">
        <v>79</v>
      </c>
      <c r="J730" s="1" t="s">
        <v>80</v>
      </c>
      <c r="K730" s="1" t="s">
        <v>74</v>
      </c>
      <c r="L730" s="1" t="s">
        <v>72</v>
      </c>
      <c r="M730" s="1" t="s">
        <v>75</v>
      </c>
      <c r="N730" s="1" t="s">
        <v>76</v>
      </c>
      <c r="O730" s="1" t="s">
        <v>77</v>
      </c>
      <c r="P730" s="1" t="s">
        <v>27</v>
      </c>
      <c r="Q730" s="1" t="s">
        <v>86</v>
      </c>
      <c r="R730" s="1" t="s">
        <v>94</v>
      </c>
      <c r="S730" s="1" t="s">
        <v>87</v>
      </c>
      <c r="T730" s="1" t="s">
        <v>88</v>
      </c>
      <c r="X730" s="1" t="s">
        <v>73</v>
      </c>
      <c r="Z730" s="1" t="s">
        <v>70</v>
      </c>
      <c r="AA730" s="1" t="s">
        <v>95</v>
      </c>
      <c r="AB730" s="1">
        <v>5</v>
      </c>
      <c r="AC730" s="1">
        <v>748769.65</v>
      </c>
      <c r="AD730" s="1">
        <v>8930553.1199999992</v>
      </c>
      <c r="AE730" s="1">
        <v>209.98</v>
      </c>
      <c r="AF730" s="1">
        <v>748769.65</v>
      </c>
      <c r="AG730" s="1">
        <v>8930553.1199999992</v>
      </c>
      <c r="AH730" s="1">
        <v>199.4</v>
      </c>
      <c r="AI730" s="1">
        <v>10.58</v>
      </c>
      <c r="AJ730" s="1">
        <v>0.6</v>
      </c>
      <c r="AK730" s="1">
        <v>2.97</v>
      </c>
      <c r="AL730" s="1">
        <v>2.58</v>
      </c>
      <c r="AM730" s="1">
        <v>0</v>
      </c>
      <c r="AN730" s="1">
        <v>0</v>
      </c>
      <c r="AO730" s="1">
        <v>279.95422539999998</v>
      </c>
      <c r="AP730" s="1">
        <v>3.35</v>
      </c>
      <c r="AQ730" s="1">
        <v>0.63</v>
      </c>
      <c r="AR730" s="1">
        <v>0.11</v>
      </c>
      <c r="AS730" s="1">
        <v>0.11</v>
      </c>
      <c r="AT730" s="1">
        <v>21.64</v>
      </c>
      <c r="AU730" s="1">
        <v>6.16</v>
      </c>
      <c r="AV730" s="1">
        <v>0.34</v>
      </c>
      <c r="AW730" s="1">
        <v>1.88</v>
      </c>
      <c r="AX730" s="1">
        <v>11.46</v>
      </c>
      <c r="AY730" s="1">
        <v>0</v>
      </c>
      <c r="AZ730" s="1">
        <v>103.08499999999999</v>
      </c>
      <c r="BA730" s="1">
        <v>0</v>
      </c>
      <c r="BB730" s="1">
        <v>0</v>
      </c>
      <c r="BC730" s="1">
        <v>0</v>
      </c>
      <c r="BD730" s="1">
        <v>0</v>
      </c>
    </row>
    <row r="731" spans="1:56">
      <c r="A731" s="18">
        <v>46192</v>
      </c>
      <c r="B731" s="1">
        <v>730</v>
      </c>
      <c r="C731" s="1" t="s">
        <v>89</v>
      </c>
      <c r="D731" s="1" t="s">
        <v>90</v>
      </c>
      <c r="E731" s="1">
        <v>2</v>
      </c>
      <c r="F731" s="1">
        <v>200</v>
      </c>
      <c r="G731" s="1">
        <v>1</v>
      </c>
      <c r="H731" s="1" t="s">
        <v>91</v>
      </c>
      <c r="I731" s="1" t="s">
        <v>79</v>
      </c>
      <c r="J731" s="1" t="s">
        <v>80</v>
      </c>
      <c r="K731" s="1" t="s">
        <v>74</v>
      </c>
      <c r="L731" s="1" t="s">
        <v>72</v>
      </c>
      <c r="M731" s="1" t="s">
        <v>75</v>
      </c>
      <c r="N731" s="1" t="s">
        <v>76</v>
      </c>
      <c r="O731" s="1" t="s">
        <v>77</v>
      </c>
      <c r="P731" s="1" t="s">
        <v>27</v>
      </c>
      <c r="Q731" s="1" t="s">
        <v>86</v>
      </c>
      <c r="R731" s="1" t="s">
        <v>94</v>
      </c>
      <c r="S731" s="1" t="s">
        <v>87</v>
      </c>
      <c r="T731" s="1" t="s">
        <v>88</v>
      </c>
      <c r="X731" s="1" t="s">
        <v>73</v>
      </c>
      <c r="Z731" s="1" t="s">
        <v>70</v>
      </c>
      <c r="AA731" s="1" t="s">
        <v>95</v>
      </c>
      <c r="AB731" s="1">
        <v>5</v>
      </c>
      <c r="AC731" s="1">
        <v>748767.4</v>
      </c>
      <c r="AD731" s="1">
        <v>8930555.0600000005</v>
      </c>
      <c r="AE731" s="1">
        <v>209.96</v>
      </c>
      <c r="AF731" s="1">
        <v>748767.4</v>
      </c>
      <c r="AG731" s="1">
        <v>8930555.0600000005</v>
      </c>
      <c r="AH731" s="1">
        <v>199.4</v>
      </c>
      <c r="AI731" s="1">
        <v>10.56</v>
      </c>
      <c r="AJ731" s="1">
        <v>0.6</v>
      </c>
      <c r="AK731" s="1">
        <v>2.97</v>
      </c>
      <c r="AL731" s="1">
        <v>2.58</v>
      </c>
      <c r="AM731" s="1">
        <v>0</v>
      </c>
      <c r="AN731" s="1">
        <v>0</v>
      </c>
      <c r="AO731" s="1">
        <v>279.95422539999998</v>
      </c>
      <c r="AP731" s="1">
        <v>3.35</v>
      </c>
      <c r="AQ731" s="1">
        <v>0.61</v>
      </c>
      <c r="AR731" s="1">
        <v>0.11</v>
      </c>
      <c r="AS731" s="1">
        <v>0.11</v>
      </c>
      <c r="AT731" s="1">
        <v>22.18</v>
      </c>
      <c r="AU731" s="1">
        <v>6.39</v>
      </c>
      <c r="AV731" s="1">
        <v>0.34</v>
      </c>
      <c r="AW731" s="1">
        <v>1.82</v>
      </c>
      <c r="AX731" s="1">
        <v>12.47</v>
      </c>
      <c r="AY731" s="1">
        <v>0</v>
      </c>
      <c r="AZ731" s="1">
        <v>102.794</v>
      </c>
      <c r="BA731" s="1">
        <v>0</v>
      </c>
      <c r="BB731" s="1">
        <v>0</v>
      </c>
      <c r="BC731" s="1">
        <v>0</v>
      </c>
      <c r="BD731" s="1">
        <v>0</v>
      </c>
    </row>
    <row r="732" spans="1:56">
      <c r="A732" s="18">
        <v>46192</v>
      </c>
      <c r="B732" s="1">
        <v>731</v>
      </c>
      <c r="C732" s="1" t="s">
        <v>89</v>
      </c>
      <c r="D732" s="1" t="s">
        <v>90</v>
      </c>
      <c r="E732" s="1">
        <v>2</v>
      </c>
      <c r="F732" s="1">
        <v>200</v>
      </c>
      <c r="G732" s="1">
        <v>1</v>
      </c>
      <c r="H732" s="1" t="s">
        <v>91</v>
      </c>
      <c r="I732" s="1" t="s">
        <v>79</v>
      </c>
      <c r="J732" s="1" t="s">
        <v>80</v>
      </c>
      <c r="K732" s="1" t="s">
        <v>74</v>
      </c>
      <c r="L732" s="1" t="s">
        <v>72</v>
      </c>
      <c r="M732" s="1" t="s">
        <v>75</v>
      </c>
      <c r="N732" s="1" t="s">
        <v>76</v>
      </c>
      <c r="O732" s="1" t="s">
        <v>77</v>
      </c>
      <c r="P732" s="1" t="s">
        <v>27</v>
      </c>
      <c r="Q732" s="1" t="s">
        <v>86</v>
      </c>
      <c r="R732" s="1" t="s">
        <v>94</v>
      </c>
      <c r="S732" s="1" t="s">
        <v>87</v>
      </c>
      <c r="T732" s="1" t="s">
        <v>88</v>
      </c>
      <c r="X732" s="1" t="s">
        <v>73</v>
      </c>
      <c r="Z732" s="1" t="s">
        <v>70</v>
      </c>
      <c r="AA732" s="1" t="s">
        <v>95</v>
      </c>
      <c r="AB732" s="1">
        <v>5</v>
      </c>
      <c r="AC732" s="1">
        <v>748765.15</v>
      </c>
      <c r="AD732" s="1">
        <v>8930556.9900000002</v>
      </c>
      <c r="AE732" s="1">
        <v>209.99</v>
      </c>
      <c r="AF732" s="1">
        <v>748765.15</v>
      </c>
      <c r="AG732" s="1">
        <v>8930556.9900000002</v>
      </c>
      <c r="AH732" s="1">
        <v>199.4</v>
      </c>
      <c r="AI732" s="1">
        <v>10.59</v>
      </c>
      <c r="AJ732" s="1">
        <v>0.6</v>
      </c>
      <c r="AK732" s="1">
        <v>2.97</v>
      </c>
      <c r="AL732" s="1">
        <v>2.58</v>
      </c>
      <c r="AM732" s="1">
        <v>0</v>
      </c>
      <c r="AN732" s="1">
        <v>0</v>
      </c>
      <c r="AO732" s="1">
        <v>279.95422539999998</v>
      </c>
      <c r="AP732" s="1">
        <v>3.35</v>
      </c>
      <c r="AQ732" s="1">
        <v>0.61</v>
      </c>
      <c r="AR732" s="1">
        <v>0.11</v>
      </c>
      <c r="AS732" s="1">
        <v>0.11</v>
      </c>
      <c r="AT732" s="1">
        <v>22.18</v>
      </c>
      <c r="AU732" s="1">
        <v>6.39</v>
      </c>
      <c r="AV732" s="1">
        <v>0.34</v>
      </c>
      <c r="AW732" s="1">
        <v>1.82</v>
      </c>
      <c r="AX732" s="1">
        <v>12.47</v>
      </c>
      <c r="AY732" s="1">
        <v>0</v>
      </c>
      <c r="AZ732" s="1">
        <v>103.23</v>
      </c>
      <c r="BA732" s="1">
        <v>0</v>
      </c>
      <c r="BB732" s="1">
        <v>0</v>
      </c>
      <c r="BC732" s="1">
        <v>0</v>
      </c>
      <c r="BD732" s="1">
        <v>0</v>
      </c>
    </row>
    <row r="733" spans="1:56">
      <c r="A733" s="18">
        <v>46192</v>
      </c>
      <c r="B733" s="1">
        <v>732</v>
      </c>
      <c r="C733" s="1" t="s">
        <v>89</v>
      </c>
      <c r="D733" s="1" t="s">
        <v>90</v>
      </c>
      <c r="E733" s="1">
        <v>2</v>
      </c>
      <c r="F733" s="1">
        <v>200</v>
      </c>
      <c r="G733" s="1">
        <v>1</v>
      </c>
      <c r="H733" s="1" t="s">
        <v>91</v>
      </c>
      <c r="I733" s="1" t="s">
        <v>79</v>
      </c>
      <c r="J733" s="1" t="s">
        <v>80</v>
      </c>
      <c r="K733" s="1" t="s">
        <v>74</v>
      </c>
      <c r="L733" s="1" t="s">
        <v>72</v>
      </c>
      <c r="M733" s="1" t="s">
        <v>75</v>
      </c>
      <c r="N733" s="1" t="s">
        <v>76</v>
      </c>
      <c r="O733" s="1" t="s">
        <v>77</v>
      </c>
      <c r="P733" s="1" t="s">
        <v>27</v>
      </c>
      <c r="Q733" s="1" t="s">
        <v>86</v>
      </c>
      <c r="R733" s="1" t="s">
        <v>94</v>
      </c>
      <c r="S733" s="1" t="s">
        <v>87</v>
      </c>
      <c r="T733" s="1" t="s">
        <v>88</v>
      </c>
      <c r="X733" s="1" t="s">
        <v>73</v>
      </c>
      <c r="Z733" s="1" t="s">
        <v>70</v>
      </c>
      <c r="AA733" s="1" t="s">
        <v>95</v>
      </c>
      <c r="AB733" s="1">
        <v>5</v>
      </c>
      <c r="AC733" s="1">
        <v>748762.88</v>
      </c>
      <c r="AD733" s="1">
        <v>8930558.9000000004</v>
      </c>
      <c r="AE733" s="1">
        <v>210.02</v>
      </c>
      <c r="AF733" s="1">
        <v>748762.88</v>
      </c>
      <c r="AG733" s="1">
        <v>8930558.9000000004</v>
      </c>
      <c r="AH733" s="1">
        <v>199.4</v>
      </c>
      <c r="AI733" s="1">
        <v>10.62</v>
      </c>
      <c r="AJ733" s="1">
        <v>0.6</v>
      </c>
      <c r="AK733" s="1">
        <v>2.97</v>
      </c>
      <c r="AL733" s="1">
        <v>2.58</v>
      </c>
      <c r="AM733" s="1">
        <v>0</v>
      </c>
      <c r="AN733" s="1">
        <v>0</v>
      </c>
      <c r="AO733" s="1">
        <v>279.95422539999998</v>
      </c>
      <c r="AP733" s="1">
        <v>3.35</v>
      </c>
      <c r="AQ733" s="1">
        <v>0.66</v>
      </c>
      <c r="AR733" s="1">
        <v>0.12</v>
      </c>
      <c r="AS733" s="1">
        <v>0.11</v>
      </c>
      <c r="AT733" s="1">
        <v>22.8</v>
      </c>
      <c r="AU733" s="1">
        <v>6.34</v>
      </c>
      <c r="AV733" s="1">
        <v>0.34</v>
      </c>
      <c r="AW733" s="1">
        <v>1.91</v>
      </c>
      <c r="AX733" s="1">
        <v>11.61</v>
      </c>
      <c r="AY733" s="1">
        <v>0</v>
      </c>
      <c r="AZ733" s="1">
        <v>103.667</v>
      </c>
      <c r="BA733" s="1">
        <v>0</v>
      </c>
      <c r="BB733" s="1">
        <v>0</v>
      </c>
      <c r="BC733" s="1">
        <v>0</v>
      </c>
      <c r="BD733" s="1">
        <v>0</v>
      </c>
    </row>
    <row r="734" spans="1:56">
      <c r="A734" s="18">
        <v>46192</v>
      </c>
      <c r="B734" s="1">
        <v>733</v>
      </c>
      <c r="C734" s="1" t="s">
        <v>89</v>
      </c>
      <c r="D734" s="1" t="s">
        <v>90</v>
      </c>
      <c r="E734" s="1">
        <v>2</v>
      </c>
      <c r="F734" s="1">
        <v>200</v>
      </c>
      <c r="G734" s="1">
        <v>1</v>
      </c>
      <c r="H734" s="1" t="s">
        <v>91</v>
      </c>
      <c r="I734" s="1" t="s">
        <v>79</v>
      </c>
      <c r="J734" s="1" t="s">
        <v>81</v>
      </c>
      <c r="K734" s="1" t="s">
        <v>74</v>
      </c>
      <c r="L734" s="1" t="s">
        <v>72</v>
      </c>
      <c r="M734" s="1" t="s">
        <v>75</v>
      </c>
      <c r="N734" s="1" t="s">
        <v>76</v>
      </c>
      <c r="O734" s="1" t="s">
        <v>77</v>
      </c>
      <c r="P734" s="1" t="s">
        <v>27</v>
      </c>
      <c r="Q734" s="1" t="s">
        <v>86</v>
      </c>
      <c r="R734" s="1" t="s">
        <v>94</v>
      </c>
      <c r="S734" s="1" t="s">
        <v>87</v>
      </c>
      <c r="T734" s="1" t="s">
        <v>88</v>
      </c>
      <c r="X734" s="1" t="s">
        <v>73</v>
      </c>
      <c r="Z734" s="1" t="s">
        <v>70</v>
      </c>
      <c r="AA734" s="1" t="s">
        <v>95</v>
      </c>
      <c r="AB734" s="1">
        <v>5</v>
      </c>
      <c r="AC734" s="1">
        <v>748760.55</v>
      </c>
      <c r="AD734" s="1">
        <v>8930560.75</v>
      </c>
      <c r="AE734" s="1">
        <v>209.97</v>
      </c>
      <c r="AF734" s="1">
        <v>748760.55</v>
      </c>
      <c r="AG734" s="1">
        <v>8930560.75</v>
      </c>
      <c r="AH734" s="1">
        <v>199.4</v>
      </c>
      <c r="AI734" s="1">
        <v>10.57</v>
      </c>
      <c r="AJ734" s="1">
        <v>0.6</v>
      </c>
      <c r="AK734" s="1">
        <v>2.97</v>
      </c>
      <c r="AL734" s="1">
        <v>2.58</v>
      </c>
      <c r="AM734" s="1">
        <v>0</v>
      </c>
      <c r="AN734" s="1">
        <v>0</v>
      </c>
      <c r="AO734" s="1">
        <v>279.95422539999998</v>
      </c>
      <c r="AP734" s="1">
        <v>3.36</v>
      </c>
      <c r="AQ734" s="1">
        <v>0.77</v>
      </c>
      <c r="AR734" s="1">
        <v>0.14000000000000001</v>
      </c>
      <c r="AS734" s="1">
        <v>0.12</v>
      </c>
      <c r="AT734" s="1">
        <v>24.68</v>
      </c>
      <c r="AU734" s="1">
        <v>6</v>
      </c>
      <c r="AV734" s="1">
        <v>0.35</v>
      </c>
      <c r="AW734" s="1">
        <v>2.21</v>
      </c>
      <c r="AX734" s="1">
        <v>9.18</v>
      </c>
      <c r="AY734" s="1">
        <v>0</v>
      </c>
      <c r="AZ734" s="1">
        <v>102.93899999999999</v>
      </c>
      <c r="BA734" s="1">
        <v>0</v>
      </c>
      <c r="BB734" s="1">
        <v>0</v>
      </c>
      <c r="BC734" s="1">
        <v>0</v>
      </c>
      <c r="BD734" s="1">
        <v>0</v>
      </c>
    </row>
    <row r="735" spans="1:56">
      <c r="A735" s="18">
        <v>46192</v>
      </c>
      <c r="B735" s="1">
        <v>734</v>
      </c>
      <c r="C735" s="1" t="s">
        <v>89</v>
      </c>
      <c r="D735" s="1" t="s">
        <v>90</v>
      </c>
      <c r="E735" s="1">
        <v>2</v>
      </c>
      <c r="F735" s="1">
        <v>200</v>
      </c>
      <c r="G735" s="1">
        <v>1</v>
      </c>
      <c r="H735" s="1" t="s">
        <v>91</v>
      </c>
      <c r="I735" s="1" t="s">
        <v>79</v>
      </c>
      <c r="J735" s="1" t="s">
        <v>81</v>
      </c>
      <c r="K735" s="1" t="s">
        <v>74</v>
      </c>
      <c r="L735" s="1" t="s">
        <v>72</v>
      </c>
      <c r="M735" s="1" t="s">
        <v>75</v>
      </c>
      <c r="N735" s="1" t="s">
        <v>76</v>
      </c>
      <c r="O735" s="1" t="s">
        <v>77</v>
      </c>
      <c r="P735" s="1" t="s">
        <v>27</v>
      </c>
      <c r="Q735" s="1" t="s">
        <v>86</v>
      </c>
      <c r="R735" s="1" t="s">
        <v>94</v>
      </c>
      <c r="S735" s="1" t="s">
        <v>87</v>
      </c>
      <c r="T735" s="1" t="s">
        <v>88</v>
      </c>
      <c r="X735" s="1" t="s">
        <v>73</v>
      </c>
      <c r="Z735" s="1" t="s">
        <v>70</v>
      </c>
      <c r="AA735" s="1" t="s">
        <v>95</v>
      </c>
      <c r="AB735" s="1">
        <v>5</v>
      </c>
      <c r="AC735" s="1">
        <v>748758.22</v>
      </c>
      <c r="AD735" s="1">
        <v>8930562.5899999999</v>
      </c>
      <c r="AE735" s="1">
        <v>209.91</v>
      </c>
      <c r="AF735" s="1">
        <v>748758.22</v>
      </c>
      <c r="AG735" s="1">
        <v>8930562.5899999999</v>
      </c>
      <c r="AH735" s="1">
        <v>199.4</v>
      </c>
      <c r="AI735" s="1">
        <v>10.51</v>
      </c>
      <c r="AJ735" s="1">
        <v>0.6</v>
      </c>
      <c r="AK735" s="1">
        <v>2.97</v>
      </c>
      <c r="AL735" s="1">
        <v>2.58</v>
      </c>
      <c r="AM735" s="1">
        <v>0</v>
      </c>
      <c r="AN735" s="1">
        <v>0</v>
      </c>
      <c r="AO735" s="1">
        <v>279.95422539999998</v>
      </c>
      <c r="AP735" s="1">
        <v>3.38</v>
      </c>
      <c r="AQ735" s="1">
        <v>0.76</v>
      </c>
      <c r="AR735" s="1">
        <v>0.15</v>
      </c>
      <c r="AS735" s="1">
        <v>0.12</v>
      </c>
      <c r="AT735" s="1">
        <v>25.38</v>
      </c>
      <c r="AU735" s="1">
        <v>5.56</v>
      </c>
      <c r="AV735" s="1">
        <v>0.33</v>
      </c>
      <c r="AW735" s="1">
        <v>2.33</v>
      </c>
      <c r="AX735" s="1">
        <v>8.77</v>
      </c>
      <c r="AY735" s="1">
        <v>0</v>
      </c>
      <c r="AZ735" s="1">
        <v>102.066</v>
      </c>
      <c r="BA735" s="1">
        <v>0</v>
      </c>
      <c r="BB735" s="1">
        <v>0</v>
      </c>
      <c r="BC735" s="1">
        <v>0</v>
      </c>
      <c r="BD735" s="1">
        <v>0</v>
      </c>
    </row>
    <row r="736" spans="1:56">
      <c r="A736" s="18">
        <v>46192</v>
      </c>
      <c r="B736" s="1">
        <v>735</v>
      </c>
      <c r="C736" s="1" t="s">
        <v>89</v>
      </c>
      <c r="D736" s="1" t="s">
        <v>90</v>
      </c>
      <c r="E736" s="1">
        <v>2</v>
      </c>
      <c r="F736" s="1">
        <v>200</v>
      </c>
      <c r="G736" s="1">
        <v>1</v>
      </c>
      <c r="H736" s="1" t="s">
        <v>91</v>
      </c>
      <c r="I736" s="1" t="s">
        <v>79</v>
      </c>
      <c r="J736" s="1" t="s">
        <v>81</v>
      </c>
      <c r="K736" s="1" t="s">
        <v>74</v>
      </c>
      <c r="L736" s="1" t="s">
        <v>72</v>
      </c>
      <c r="M736" s="1" t="s">
        <v>75</v>
      </c>
      <c r="N736" s="1" t="s">
        <v>76</v>
      </c>
      <c r="O736" s="1" t="s">
        <v>77</v>
      </c>
      <c r="P736" s="1" t="s">
        <v>27</v>
      </c>
      <c r="Q736" s="1" t="s">
        <v>86</v>
      </c>
      <c r="R736" s="1" t="s">
        <v>94</v>
      </c>
      <c r="S736" s="1" t="s">
        <v>87</v>
      </c>
      <c r="T736" s="1" t="s">
        <v>88</v>
      </c>
      <c r="X736" s="1" t="s">
        <v>73</v>
      </c>
      <c r="Z736" s="1" t="s">
        <v>70</v>
      </c>
      <c r="AA736" s="1" t="s">
        <v>95</v>
      </c>
      <c r="AB736" s="1">
        <v>5</v>
      </c>
      <c r="AC736" s="1">
        <v>748755.9</v>
      </c>
      <c r="AD736" s="1">
        <v>8930564.4399999995</v>
      </c>
      <c r="AE736" s="1">
        <v>209.86</v>
      </c>
      <c r="AF736" s="1">
        <v>748755.9</v>
      </c>
      <c r="AG736" s="1">
        <v>8930564.4399999995</v>
      </c>
      <c r="AH736" s="1">
        <v>199.4</v>
      </c>
      <c r="AI736" s="1">
        <v>10.46</v>
      </c>
      <c r="AJ736" s="1">
        <v>0.6</v>
      </c>
      <c r="AK736" s="1">
        <v>2.97</v>
      </c>
      <c r="AL736" s="1">
        <v>2.58</v>
      </c>
      <c r="AM736" s="1">
        <v>0</v>
      </c>
      <c r="AN736" s="1">
        <v>0</v>
      </c>
      <c r="AO736" s="1">
        <v>279.95422539999998</v>
      </c>
      <c r="AP736" s="1">
        <v>3.38</v>
      </c>
      <c r="AQ736" s="1">
        <v>0.76</v>
      </c>
      <c r="AR736" s="1">
        <v>0.15</v>
      </c>
      <c r="AS736" s="1">
        <v>0.12</v>
      </c>
      <c r="AT736" s="1">
        <v>25.37</v>
      </c>
      <c r="AU736" s="1">
        <v>5.54</v>
      </c>
      <c r="AV736" s="1">
        <v>0.33</v>
      </c>
      <c r="AW736" s="1">
        <v>2.33</v>
      </c>
      <c r="AX736" s="1">
        <v>8.81</v>
      </c>
      <c r="AY736" s="1">
        <v>0</v>
      </c>
      <c r="AZ736" s="1">
        <v>101.33799999999999</v>
      </c>
      <c r="BA736" s="1">
        <v>0</v>
      </c>
      <c r="BB736" s="1">
        <v>0</v>
      </c>
      <c r="BC736" s="1">
        <v>0</v>
      </c>
      <c r="BD736" s="1">
        <v>0</v>
      </c>
    </row>
    <row r="737" spans="1:56">
      <c r="A737" s="18">
        <v>46192</v>
      </c>
      <c r="B737" s="1">
        <v>736</v>
      </c>
      <c r="C737" s="1" t="s">
        <v>89</v>
      </c>
      <c r="D737" s="1" t="s">
        <v>96</v>
      </c>
      <c r="E737" s="1">
        <v>2</v>
      </c>
      <c r="F737" s="1">
        <v>200</v>
      </c>
      <c r="G737" s="1">
        <v>1</v>
      </c>
      <c r="H737" s="1" t="s">
        <v>91</v>
      </c>
      <c r="I737" s="1" t="s">
        <v>79</v>
      </c>
      <c r="J737" s="1" t="s">
        <v>81</v>
      </c>
      <c r="K737" s="1" t="s">
        <v>74</v>
      </c>
      <c r="L737" s="1" t="s">
        <v>72</v>
      </c>
      <c r="M737" s="1" t="s">
        <v>75</v>
      </c>
      <c r="N737" s="1" t="s">
        <v>76</v>
      </c>
      <c r="O737" s="1" t="s">
        <v>77</v>
      </c>
      <c r="P737" s="1" t="s">
        <v>27</v>
      </c>
      <c r="Q737" s="1" t="s">
        <v>86</v>
      </c>
      <c r="R737" s="1" t="s">
        <v>94</v>
      </c>
      <c r="S737" s="1" t="s">
        <v>87</v>
      </c>
      <c r="T737" s="1" t="s">
        <v>88</v>
      </c>
      <c r="X737" s="1" t="s">
        <v>73</v>
      </c>
      <c r="Z737" s="1" t="s">
        <v>70</v>
      </c>
      <c r="AA737" s="1" t="s">
        <v>95</v>
      </c>
      <c r="AB737" s="1">
        <v>5</v>
      </c>
      <c r="AC737" s="1">
        <v>748753.32</v>
      </c>
      <c r="AD737" s="1">
        <v>8930565.8300000001</v>
      </c>
      <c r="AE737" s="1">
        <v>209.85</v>
      </c>
      <c r="AF737" s="1">
        <v>748753.32</v>
      </c>
      <c r="AG737" s="1">
        <v>8930565.8300000001</v>
      </c>
      <c r="AH737" s="1">
        <v>199.4</v>
      </c>
      <c r="AI737" s="1">
        <v>10.45</v>
      </c>
      <c r="AJ737" s="1">
        <v>0.6</v>
      </c>
      <c r="AK737" s="1">
        <v>2.97</v>
      </c>
      <c r="AL737" s="1">
        <v>2.58</v>
      </c>
      <c r="AM737" s="1">
        <v>0</v>
      </c>
      <c r="AN737" s="1">
        <v>0</v>
      </c>
      <c r="AO737" s="1">
        <v>279.95422539999998</v>
      </c>
      <c r="AP737" s="1">
        <v>3.38</v>
      </c>
      <c r="AQ737" s="1">
        <v>0.76</v>
      </c>
      <c r="AR737" s="1">
        <v>0.15</v>
      </c>
      <c r="AS737" s="1">
        <v>0.12</v>
      </c>
      <c r="AT737" s="1">
        <v>25.37</v>
      </c>
      <c r="AU737" s="1">
        <v>5.54</v>
      </c>
      <c r="AV737" s="1">
        <v>0.33</v>
      </c>
      <c r="AW737" s="1">
        <v>2.33</v>
      </c>
      <c r="AX737" s="1">
        <v>8.81</v>
      </c>
      <c r="AY737" s="1">
        <v>0</v>
      </c>
      <c r="AZ737" s="1">
        <v>101.19199999999999</v>
      </c>
      <c r="BA737" s="1">
        <v>0</v>
      </c>
      <c r="BB737" s="1">
        <v>0</v>
      </c>
      <c r="BC737" s="1">
        <v>0</v>
      </c>
      <c r="BD737" s="1">
        <v>0</v>
      </c>
    </row>
    <row r="738" spans="1:56">
      <c r="A738" s="18">
        <v>46192</v>
      </c>
      <c r="B738" s="1">
        <v>737</v>
      </c>
      <c r="C738" s="1" t="s">
        <v>89</v>
      </c>
      <c r="D738" s="1" t="s">
        <v>90</v>
      </c>
      <c r="E738" s="1">
        <v>2</v>
      </c>
      <c r="F738" s="1">
        <v>200</v>
      </c>
      <c r="G738" s="1">
        <v>1</v>
      </c>
      <c r="H738" s="1" t="s">
        <v>91</v>
      </c>
      <c r="I738" s="1" t="s">
        <v>79</v>
      </c>
      <c r="J738" s="1" t="s">
        <v>81</v>
      </c>
      <c r="K738" s="1" t="s">
        <v>74</v>
      </c>
      <c r="L738" s="1" t="s">
        <v>72</v>
      </c>
      <c r="M738" s="1" t="s">
        <v>75</v>
      </c>
      <c r="N738" s="1" t="s">
        <v>76</v>
      </c>
      <c r="O738" s="1" t="s">
        <v>77</v>
      </c>
      <c r="P738" s="1" t="s">
        <v>27</v>
      </c>
      <c r="Q738" s="1" t="s">
        <v>86</v>
      </c>
      <c r="R738" s="1" t="s">
        <v>94</v>
      </c>
      <c r="S738" s="1" t="s">
        <v>87</v>
      </c>
      <c r="T738" s="1" t="s">
        <v>88</v>
      </c>
      <c r="X738" s="1" t="s">
        <v>73</v>
      </c>
      <c r="Z738" s="1" t="s">
        <v>70</v>
      </c>
      <c r="AA738" s="1" t="s">
        <v>95</v>
      </c>
      <c r="AB738" s="1">
        <v>5</v>
      </c>
      <c r="AC738" s="1">
        <v>748759.87</v>
      </c>
      <c r="AD738" s="1">
        <v>8930558.3800000008</v>
      </c>
      <c r="AE738" s="1">
        <v>209.92</v>
      </c>
      <c r="AF738" s="1">
        <v>748759.87</v>
      </c>
      <c r="AG738" s="1">
        <v>8930558.3800000008</v>
      </c>
      <c r="AH738" s="1">
        <v>199.4</v>
      </c>
      <c r="AI738" s="1">
        <v>10.52</v>
      </c>
      <c r="AJ738" s="1">
        <v>0.6</v>
      </c>
      <c r="AK738" s="1">
        <v>2.97</v>
      </c>
      <c r="AL738" s="1">
        <v>2.58</v>
      </c>
      <c r="AM738" s="1">
        <v>0</v>
      </c>
      <c r="AN738" s="1">
        <v>0</v>
      </c>
      <c r="AO738" s="1">
        <v>279.95422539999998</v>
      </c>
      <c r="AP738" s="1">
        <v>3.34</v>
      </c>
      <c r="AQ738" s="1">
        <v>0.67</v>
      </c>
      <c r="AR738" s="1">
        <v>0.13</v>
      </c>
      <c r="AS738" s="1">
        <v>0.11</v>
      </c>
      <c r="AT738" s="1">
        <v>22.98</v>
      </c>
      <c r="AU738" s="1">
        <v>6.12</v>
      </c>
      <c r="AV738" s="1">
        <v>0.32</v>
      </c>
      <c r="AW738" s="1">
        <v>2.08</v>
      </c>
      <c r="AX738" s="1">
        <v>11.29</v>
      </c>
      <c r="AY738" s="1">
        <v>0</v>
      </c>
      <c r="AZ738" s="1">
        <v>102.211</v>
      </c>
      <c r="BA738" s="1">
        <v>0</v>
      </c>
      <c r="BB738" s="1">
        <v>0</v>
      </c>
      <c r="BC738" s="1">
        <v>0</v>
      </c>
      <c r="BD738" s="1">
        <v>0</v>
      </c>
    </row>
    <row r="739" spans="1:56">
      <c r="A739" s="18">
        <v>46192</v>
      </c>
      <c r="B739" s="1">
        <v>738</v>
      </c>
      <c r="C739" s="1" t="s">
        <v>89</v>
      </c>
      <c r="D739" s="1" t="s">
        <v>90</v>
      </c>
      <c r="E739" s="1">
        <v>2</v>
      </c>
      <c r="F739" s="1">
        <v>200</v>
      </c>
      <c r="G739" s="1">
        <v>1</v>
      </c>
      <c r="H739" s="1" t="s">
        <v>91</v>
      </c>
      <c r="I739" s="1" t="s">
        <v>79</v>
      </c>
      <c r="J739" s="1" t="s">
        <v>80</v>
      </c>
      <c r="K739" s="1" t="s">
        <v>74</v>
      </c>
      <c r="L739" s="1" t="s">
        <v>72</v>
      </c>
      <c r="M739" s="1" t="s">
        <v>75</v>
      </c>
      <c r="N739" s="1" t="s">
        <v>76</v>
      </c>
      <c r="O739" s="1" t="s">
        <v>77</v>
      </c>
      <c r="P739" s="1" t="s">
        <v>27</v>
      </c>
      <c r="Q739" s="1" t="s">
        <v>86</v>
      </c>
      <c r="R739" s="1" t="s">
        <v>94</v>
      </c>
      <c r="S739" s="1" t="s">
        <v>87</v>
      </c>
      <c r="T739" s="1" t="s">
        <v>88</v>
      </c>
      <c r="X739" s="1" t="s">
        <v>73</v>
      </c>
      <c r="Z739" s="1" t="s">
        <v>70</v>
      </c>
      <c r="AA739" s="1" t="s">
        <v>95</v>
      </c>
      <c r="AB739" s="1">
        <v>5</v>
      </c>
      <c r="AC739" s="1">
        <v>748761.98</v>
      </c>
      <c r="AD739" s="1">
        <v>8930556.3200000003</v>
      </c>
      <c r="AE739" s="1">
        <v>209.9</v>
      </c>
      <c r="AF739" s="1">
        <v>748761.98</v>
      </c>
      <c r="AG739" s="1">
        <v>8930556.3200000003</v>
      </c>
      <c r="AH739" s="1">
        <v>199.4</v>
      </c>
      <c r="AI739" s="1">
        <v>10.5</v>
      </c>
      <c r="AJ739" s="1">
        <v>0.6</v>
      </c>
      <c r="AK739" s="1">
        <v>2.97</v>
      </c>
      <c r="AL739" s="1">
        <v>2.58</v>
      </c>
      <c r="AM739" s="1">
        <v>0</v>
      </c>
      <c r="AN739" s="1">
        <v>0</v>
      </c>
      <c r="AO739" s="1">
        <v>279.95422539999998</v>
      </c>
      <c r="AP739" s="1">
        <v>3.35</v>
      </c>
      <c r="AQ739" s="1">
        <v>0.61</v>
      </c>
      <c r="AR739" s="1">
        <v>0.11</v>
      </c>
      <c r="AS739" s="1">
        <v>0.11</v>
      </c>
      <c r="AT739" s="1">
        <v>22.19</v>
      </c>
      <c r="AU739" s="1">
        <v>6.38</v>
      </c>
      <c r="AV739" s="1">
        <v>0.34</v>
      </c>
      <c r="AW739" s="1">
        <v>1.82</v>
      </c>
      <c r="AX739" s="1">
        <v>12.45</v>
      </c>
      <c r="AY739" s="1">
        <v>0</v>
      </c>
      <c r="AZ739" s="1">
        <v>101.92</v>
      </c>
      <c r="BA739" s="1">
        <v>0</v>
      </c>
      <c r="BB739" s="1">
        <v>0</v>
      </c>
      <c r="BC739" s="1">
        <v>0</v>
      </c>
      <c r="BD739" s="1">
        <v>0</v>
      </c>
    </row>
    <row r="740" spans="1:56">
      <c r="A740" s="18">
        <v>46192</v>
      </c>
      <c r="B740" s="1">
        <v>739</v>
      </c>
      <c r="C740" s="1" t="s">
        <v>89</v>
      </c>
      <c r="D740" s="1" t="s">
        <v>90</v>
      </c>
      <c r="E740" s="1">
        <v>2</v>
      </c>
      <c r="F740" s="1">
        <v>200</v>
      </c>
      <c r="G740" s="1">
        <v>1</v>
      </c>
      <c r="H740" s="1" t="s">
        <v>91</v>
      </c>
      <c r="I740" s="1" t="s">
        <v>79</v>
      </c>
      <c r="J740" s="1" t="s">
        <v>80</v>
      </c>
      <c r="K740" s="1" t="s">
        <v>74</v>
      </c>
      <c r="L740" s="1" t="s">
        <v>72</v>
      </c>
      <c r="M740" s="1" t="s">
        <v>75</v>
      </c>
      <c r="N740" s="1" t="s">
        <v>76</v>
      </c>
      <c r="O740" s="1" t="s">
        <v>77</v>
      </c>
      <c r="P740" s="1" t="s">
        <v>27</v>
      </c>
      <c r="Q740" s="1" t="s">
        <v>86</v>
      </c>
      <c r="R740" s="1" t="s">
        <v>94</v>
      </c>
      <c r="S740" s="1" t="s">
        <v>87</v>
      </c>
      <c r="T740" s="1" t="s">
        <v>88</v>
      </c>
      <c r="X740" s="1" t="s">
        <v>73</v>
      </c>
      <c r="Z740" s="1" t="s">
        <v>70</v>
      </c>
      <c r="AA740" s="1" t="s">
        <v>95</v>
      </c>
      <c r="AB740" s="1">
        <v>5</v>
      </c>
      <c r="AC740" s="1">
        <v>748764.23</v>
      </c>
      <c r="AD740" s="1">
        <v>8930554.3800000008</v>
      </c>
      <c r="AE740" s="1">
        <v>209.9</v>
      </c>
      <c r="AF740" s="1">
        <v>748764.23</v>
      </c>
      <c r="AG740" s="1">
        <v>8930554.3800000008</v>
      </c>
      <c r="AH740" s="1">
        <v>199.4</v>
      </c>
      <c r="AI740" s="1">
        <v>10.5</v>
      </c>
      <c r="AJ740" s="1">
        <v>0.6</v>
      </c>
      <c r="AK740" s="1">
        <v>2.97</v>
      </c>
      <c r="AL740" s="1">
        <v>2.58</v>
      </c>
      <c r="AM740" s="1">
        <v>0</v>
      </c>
      <c r="AN740" s="1">
        <v>0</v>
      </c>
      <c r="AO740" s="1">
        <v>279.95422539999998</v>
      </c>
      <c r="AP740" s="1">
        <v>3.35</v>
      </c>
      <c r="AQ740" s="1">
        <v>0.61</v>
      </c>
      <c r="AR740" s="1">
        <v>0.11</v>
      </c>
      <c r="AS740" s="1">
        <v>0.11</v>
      </c>
      <c r="AT740" s="1">
        <v>22.18</v>
      </c>
      <c r="AU740" s="1">
        <v>6.39</v>
      </c>
      <c r="AV740" s="1">
        <v>0.34</v>
      </c>
      <c r="AW740" s="1">
        <v>1.82</v>
      </c>
      <c r="AX740" s="1">
        <v>12.46</v>
      </c>
      <c r="AY740" s="1">
        <v>0</v>
      </c>
      <c r="AZ740" s="1">
        <v>101.92</v>
      </c>
      <c r="BA740" s="1">
        <v>0</v>
      </c>
      <c r="BB740" s="1">
        <v>0</v>
      </c>
      <c r="BC740" s="1">
        <v>0</v>
      </c>
      <c r="BD740" s="1">
        <v>0</v>
      </c>
    </row>
    <row r="741" spans="1:56">
      <c r="A741" s="18">
        <v>46192</v>
      </c>
      <c r="B741" s="1">
        <v>740</v>
      </c>
      <c r="C741" s="1" t="s">
        <v>89</v>
      </c>
      <c r="D741" s="1" t="s">
        <v>90</v>
      </c>
      <c r="E741" s="1">
        <v>2</v>
      </c>
      <c r="F741" s="1">
        <v>200</v>
      </c>
      <c r="G741" s="1">
        <v>1</v>
      </c>
      <c r="H741" s="1" t="s">
        <v>91</v>
      </c>
      <c r="I741" s="1" t="s">
        <v>79</v>
      </c>
      <c r="J741" s="1" t="s">
        <v>80</v>
      </c>
      <c r="K741" s="1" t="s">
        <v>74</v>
      </c>
      <c r="L741" s="1" t="s">
        <v>72</v>
      </c>
      <c r="M741" s="1" t="s">
        <v>75</v>
      </c>
      <c r="N741" s="1" t="s">
        <v>76</v>
      </c>
      <c r="O741" s="1" t="s">
        <v>77</v>
      </c>
      <c r="P741" s="1" t="s">
        <v>27</v>
      </c>
      <c r="Q741" s="1" t="s">
        <v>86</v>
      </c>
      <c r="R741" s="1" t="s">
        <v>94</v>
      </c>
      <c r="S741" s="1" t="s">
        <v>87</v>
      </c>
      <c r="T741" s="1" t="s">
        <v>88</v>
      </c>
      <c r="X741" s="1" t="s">
        <v>73</v>
      </c>
      <c r="Z741" s="1" t="s">
        <v>70</v>
      </c>
      <c r="AA741" s="1" t="s">
        <v>95</v>
      </c>
      <c r="AB741" s="1">
        <v>5</v>
      </c>
      <c r="AC741" s="1">
        <v>748766.48</v>
      </c>
      <c r="AD741" s="1">
        <v>8930552.4499999993</v>
      </c>
      <c r="AE741" s="1">
        <v>209.97</v>
      </c>
      <c r="AF741" s="1">
        <v>748766.48</v>
      </c>
      <c r="AG741" s="1">
        <v>8930552.4499999993</v>
      </c>
      <c r="AH741" s="1">
        <v>199.4</v>
      </c>
      <c r="AI741" s="1">
        <v>10.57</v>
      </c>
      <c r="AJ741" s="1">
        <v>0.6</v>
      </c>
      <c r="AK741" s="1">
        <v>2.97</v>
      </c>
      <c r="AL741" s="1">
        <v>2.58</v>
      </c>
      <c r="AM741" s="1">
        <v>0</v>
      </c>
      <c r="AN741" s="1">
        <v>0</v>
      </c>
      <c r="AO741" s="1">
        <v>279.95422539999998</v>
      </c>
      <c r="AP741" s="1">
        <v>3.35</v>
      </c>
      <c r="AQ741" s="1">
        <v>0.61</v>
      </c>
      <c r="AR741" s="1">
        <v>0.11</v>
      </c>
      <c r="AS741" s="1">
        <v>0.11</v>
      </c>
      <c r="AT741" s="1">
        <v>22.18</v>
      </c>
      <c r="AU741" s="1">
        <v>6.39</v>
      </c>
      <c r="AV741" s="1">
        <v>0.34</v>
      </c>
      <c r="AW741" s="1">
        <v>1.82</v>
      </c>
      <c r="AX741" s="1">
        <v>12.47</v>
      </c>
      <c r="AY741" s="1">
        <v>0</v>
      </c>
      <c r="AZ741" s="1">
        <v>102.93899999999999</v>
      </c>
      <c r="BA741" s="1">
        <v>0</v>
      </c>
      <c r="BB741" s="1">
        <v>0</v>
      </c>
      <c r="BC741" s="1">
        <v>0</v>
      </c>
      <c r="BD741" s="1">
        <v>0</v>
      </c>
    </row>
    <row r="742" spans="1:56">
      <c r="A742" s="18">
        <v>46192</v>
      </c>
      <c r="B742" s="1">
        <v>741</v>
      </c>
      <c r="C742" s="1" t="s">
        <v>89</v>
      </c>
      <c r="D742" s="1" t="s">
        <v>90</v>
      </c>
      <c r="E742" s="1">
        <v>2</v>
      </c>
      <c r="F742" s="1">
        <v>200</v>
      </c>
      <c r="G742" s="1">
        <v>1</v>
      </c>
      <c r="H742" s="1" t="s">
        <v>91</v>
      </c>
      <c r="I742" s="1" t="s">
        <v>79</v>
      </c>
      <c r="J742" s="1" t="s">
        <v>80</v>
      </c>
      <c r="K742" s="1" t="s">
        <v>74</v>
      </c>
      <c r="L742" s="1" t="s">
        <v>72</v>
      </c>
      <c r="M742" s="1" t="s">
        <v>75</v>
      </c>
      <c r="N742" s="1" t="s">
        <v>76</v>
      </c>
      <c r="O742" s="1" t="s">
        <v>77</v>
      </c>
      <c r="P742" s="1" t="s">
        <v>27</v>
      </c>
      <c r="Q742" s="1" t="s">
        <v>86</v>
      </c>
      <c r="R742" s="1" t="s">
        <v>94</v>
      </c>
      <c r="S742" s="1" t="s">
        <v>87</v>
      </c>
      <c r="T742" s="1" t="s">
        <v>88</v>
      </c>
      <c r="X742" s="1" t="s">
        <v>73</v>
      </c>
      <c r="Z742" s="1" t="s">
        <v>70</v>
      </c>
      <c r="AA742" s="1" t="s">
        <v>95</v>
      </c>
      <c r="AB742" s="1">
        <v>5</v>
      </c>
      <c r="AC742" s="1">
        <v>748768.73</v>
      </c>
      <c r="AD742" s="1">
        <v>8930550.5099999998</v>
      </c>
      <c r="AE742" s="1">
        <v>209.98</v>
      </c>
      <c r="AF742" s="1">
        <v>748768.73</v>
      </c>
      <c r="AG742" s="1">
        <v>8930550.5099999998</v>
      </c>
      <c r="AH742" s="1">
        <v>199.4</v>
      </c>
      <c r="AI742" s="1">
        <v>10.58</v>
      </c>
      <c r="AJ742" s="1">
        <v>0.6</v>
      </c>
      <c r="AK742" s="1">
        <v>2.97</v>
      </c>
      <c r="AL742" s="1">
        <v>2.58</v>
      </c>
      <c r="AM742" s="1">
        <v>0</v>
      </c>
      <c r="AN742" s="1">
        <v>0</v>
      </c>
      <c r="AO742" s="1">
        <v>279.95422539999998</v>
      </c>
      <c r="AP742" s="1">
        <v>3.36</v>
      </c>
      <c r="AQ742" s="1">
        <v>0.61</v>
      </c>
      <c r="AR742" s="1">
        <v>0.11</v>
      </c>
      <c r="AS742" s="1">
        <v>0.1</v>
      </c>
      <c r="AT742" s="1">
        <v>21.31</v>
      </c>
      <c r="AU742" s="1">
        <v>6.39</v>
      </c>
      <c r="AV742" s="1">
        <v>0.33</v>
      </c>
      <c r="AW742" s="1">
        <v>1.86</v>
      </c>
      <c r="AX742" s="1">
        <v>11.29</v>
      </c>
      <c r="AY742" s="1">
        <v>0</v>
      </c>
      <c r="AZ742" s="1">
        <v>103.08499999999999</v>
      </c>
      <c r="BA742" s="1">
        <v>0</v>
      </c>
      <c r="BB742" s="1">
        <v>0</v>
      </c>
      <c r="BC742" s="1">
        <v>0</v>
      </c>
      <c r="BD742" s="1">
        <v>0</v>
      </c>
    </row>
    <row r="743" spans="1:56">
      <c r="A743" s="18">
        <v>46192</v>
      </c>
      <c r="B743" s="1">
        <v>742</v>
      </c>
      <c r="C743" s="1" t="s">
        <v>89</v>
      </c>
      <c r="D743" s="1" t="s">
        <v>90</v>
      </c>
      <c r="E743" s="1">
        <v>2</v>
      </c>
      <c r="F743" s="1">
        <v>200</v>
      </c>
      <c r="G743" s="1">
        <v>1</v>
      </c>
      <c r="H743" s="1" t="s">
        <v>91</v>
      </c>
      <c r="I743" s="1" t="s">
        <v>79</v>
      </c>
      <c r="J743" s="1" t="s">
        <v>80</v>
      </c>
      <c r="K743" s="1" t="s">
        <v>74</v>
      </c>
      <c r="L743" s="1" t="s">
        <v>72</v>
      </c>
      <c r="M743" s="1" t="s">
        <v>75</v>
      </c>
      <c r="N743" s="1" t="s">
        <v>76</v>
      </c>
      <c r="O743" s="1" t="s">
        <v>77</v>
      </c>
      <c r="P743" s="1" t="s">
        <v>27</v>
      </c>
      <c r="Q743" s="1" t="s">
        <v>86</v>
      </c>
      <c r="R743" s="1" t="s">
        <v>94</v>
      </c>
      <c r="S743" s="1" t="s">
        <v>87</v>
      </c>
      <c r="T743" s="1" t="s">
        <v>88</v>
      </c>
      <c r="X743" s="1" t="s">
        <v>73</v>
      </c>
      <c r="Z743" s="1" t="s">
        <v>70</v>
      </c>
      <c r="AA743" s="1" t="s">
        <v>95</v>
      </c>
      <c r="AB743" s="1">
        <v>5</v>
      </c>
      <c r="AC743" s="1">
        <v>748770.98</v>
      </c>
      <c r="AD743" s="1">
        <v>8930548.5700000003</v>
      </c>
      <c r="AE743" s="1">
        <v>209.98</v>
      </c>
      <c r="AF743" s="1">
        <v>748770.98</v>
      </c>
      <c r="AG743" s="1">
        <v>8930548.5700000003</v>
      </c>
      <c r="AH743" s="1">
        <v>199.4</v>
      </c>
      <c r="AI743" s="1">
        <v>10.58</v>
      </c>
      <c r="AJ743" s="1">
        <v>0.6</v>
      </c>
      <c r="AK743" s="1">
        <v>2.97</v>
      </c>
      <c r="AL743" s="1">
        <v>2.58</v>
      </c>
      <c r="AM743" s="1">
        <v>0</v>
      </c>
      <c r="AN743" s="1">
        <v>0</v>
      </c>
      <c r="AO743" s="1">
        <v>279.95422539999998</v>
      </c>
      <c r="AP743" s="1">
        <v>3.31</v>
      </c>
      <c r="AQ743" s="1">
        <v>0.6</v>
      </c>
      <c r="AR743" s="1">
        <v>0.09</v>
      </c>
      <c r="AS743" s="1">
        <v>0.09</v>
      </c>
      <c r="AT743" s="1">
        <v>19.77</v>
      </c>
      <c r="AU743" s="1">
        <v>6.26</v>
      </c>
      <c r="AV743" s="1">
        <v>0.35</v>
      </c>
      <c r="AW743" s="1">
        <v>1.76</v>
      </c>
      <c r="AX743" s="1">
        <v>9.2100000000000009</v>
      </c>
      <c r="AY743" s="1">
        <v>0</v>
      </c>
      <c r="AZ743" s="1">
        <v>103.08499999999999</v>
      </c>
      <c r="BA743" s="1">
        <v>0</v>
      </c>
      <c r="BB743" s="1">
        <v>0</v>
      </c>
      <c r="BC743" s="1">
        <v>0</v>
      </c>
      <c r="BD743" s="1">
        <v>0</v>
      </c>
    </row>
    <row r="744" spans="1:56">
      <c r="A744" s="18">
        <v>46192</v>
      </c>
      <c r="B744" s="1">
        <v>743</v>
      </c>
      <c r="C744" s="1" t="s">
        <v>89</v>
      </c>
      <c r="D744" s="1" t="s">
        <v>90</v>
      </c>
      <c r="E744" s="1">
        <v>2</v>
      </c>
      <c r="F744" s="1">
        <v>200</v>
      </c>
      <c r="G744" s="1">
        <v>1</v>
      </c>
      <c r="H744" s="1" t="s">
        <v>91</v>
      </c>
      <c r="I744" s="1" t="s">
        <v>85</v>
      </c>
      <c r="J744" s="1" t="s">
        <v>80</v>
      </c>
      <c r="K744" s="1" t="s">
        <v>74</v>
      </c>
      <c r="L744" s="1" t="s">
        <v>72</v>
      </c>
      <c r="M744" s="1" t="s">
        <v>75</v>
      </c>
      <c r="N744" s="1" t="s">
        <v>76</v>
      </c>
      <c r="O744" s="1" t="s">
        <v>77</v>
      </c>
      <c r="P744" s="1" t="s">
        <v>27</v>
      </c>
      <c r="Q744" s="1" t="s">
        <v>86</v>
      </c>
      <c r="R744" s="1" t="s">
        <v>94</v>
      </c>
      <c r="S744" s="1" t="s">
        <v>87</v>
      </c>
      <c r="T744" s="1" t="s">
        <v>88</v>
      </c>
      <c r="X744" s="1" t="s">
        <v>73</v>
      </c>
      <c r="Z744" s="1" t="s">
        <v>70</v>
      </c>
      <c r="AA744" s="1" t="s">
        <v>95</v>
      </c>
      <c r="AB744" s="1">
        <v>5</v>
      </c>
      <c r="AC744" s="1">
        <v>748773.23</v>
      </c>
      <c r="AD744" s="1">
        <v>8930546.6300000008</v>
      </c>
      <c r="AE744" s="1">
        <v>209.82</v>
      </c>
      <c r="AF744" s="1">
        <v>748773.23</v>
      </c>
      <c r="AG744" s="1">
        <v>8930546.6300000008</v>
      </c>
      <c r="AH744" s="1">
        <v>199.4</v>
      </c>
      <c r="AI744" s="1">
        <v>10.42</v>
      </c>
      <c r="AJ744" s="1">
        <v>0.6</v>
      </c>
      <c r="AK744" s="1">
        <v>2.97</v>
      </c>
      <c r="AL744" s="1">
        <v>2.58</v>
      </c>
      <c r="AM744" s="1">
        <v>0</v>
      </c>
      <c r="AN744" s="1">
        <v>0</v>
      </c>
      <c r="AO744" s="1">
        <v>279.95422539999998</v>
      </c>
      <c r="AP744" s="1">
        <v>3.28</v>
      </c>
      <c r="AQ744" s="1">
        <v>0.6</v>
      </c>
      <c r="AR744" s="1">
        <v>0.09</v>
      </c>
      <c r="AS744" s="1">
        <v>0.09</v>
      </c>
      <c r="AT744" s="1">
        <v>19.47</v>
      </c>
      <c r="AU744" s="1">
        <v>6.2</v>
      </c>
      <c r="AV744" s="1">
        <v>0.36</v>
      </c>
      <c r="AW744" s="1">
        <v>1.68</v>
      </c>
      <c r="AX744" s="1">
        <v>8.84</v>
      </c>
      <c r="AY744" s="1">
        <v>0</v>
      </c>
      <c r="AZ744" s="1">
        <v>100.755</v>
      </c>
      <c r="BA744" s="1">
        <v>0</v>
      </c>
      <c r="BB744" s="1">
        <v>0</v>
      </c>
      <c r="BC744" s="1">
        <v>0</v>
      </c>
      <c r="BD744" s="1">
        <v>0</v>
      </c>
    </row>
    <row r="745" spans="1:56">
      <c r="A745" s="18">
        <v>46192</v>
      </c>
      <c r="B745" s="1">
        <v>744</v>
      </c>
      <c r="C745" s="1" t="s">
        <v>89</v>
      </c>
      <c r="D745" s="1" t="s">
        <v>90</v>
      </c>
      <c r="E745" s="1">
        <v>2</v>
      </c>
      <c r="F745" s="1">
        <v>200</v>
      </c>
      <c r="G745" s="1">
        <v>1</v>
      </c>
      <c r="H745" s="1" t="s">
        <v>91</v>
      </c>
      <c r="I745" s="1" t="s">
        <v>79</v>
      </c>
      <c r="J745" s="1" t="s">
        <v>80</v>
      </c>
      <c r="K745" s="1" t="s">
        <v>74</v>
      </c>
      <c r="L745" s="1" t="s">
        <v>72</v>
      </c>
      <c r="M745" s="1" t="s">
        <v>75</v>
      </c>
      <c r="N745" s="1" t="s">
        <v>76</v>
      </c>
      <c r="O745" s="1" t="s">
        <v>77</v>
      </c>
      <c r="P745" s="1" t="s">
        <v>27</v>
      </c>
      <c r="Q745" s="1" t="s">
        <v>86</v>
      </c>
      <c r="R745" s="1" t="s">
        <v>94</v>
      </c>
      <c r="S745" s="1" t="s">
        <v>87</v>
      </c>
      <c r="T745" s="1" t="s">
        <v>88</v>
      </c>
      <c r="X745" s="1" t="s">
        <v>73</v>
      </c>
      <c r="Z745" s="1" t="s">
        <v>70</v>
      </c>
      <c r="AA745" s="1" t="s">
        <v>95</v>
      </c>
      <c r="AB745" s="1">
        <v>5</v>
      </c>
      <c r="AC745" s="1">
        <v>748775.48</v>
      </c>
      <c r="AD745" s="1">
        <v>8930544.6899999995</v>
      </c>
      <c r="AE745" s="1">
        <v>209.82</v>
      </c>
      <c r="AF745" s="1">
        <v>748775.48</v>
      </c>
      <c r="AG745" s="1">
        <v>8930544.6899999995</v>
      </c>
      <c r="AH745" s="1">
        <v>199.4</v>
      </c>
      <c r="AI745" s="1">
        <v>10.42</v>
      </c>
      <c r="AJ745" s="1">
        <v>0.6</v>
      </c>
      <c r="AK745" s="1">
        <v>2.97</v>
      </c>
      <c r="AL745" s="1">
        <v>2.58</v>
      </c>
      <c r="AM745" s="1">
        <v>0</v>
      </c>
      <c r="AN745" s="1">
        <v>0</v>
      </c>
      <c r="AO745" s="1">
        <v>279.95422539999998</v>
      </c>
      <c r="AP745" s="1">
        <v>3.28</v>
      </c>
      <c r="AQ745" s="1">
        <v>0.6</v>
      </c>
      <c r="AR745" s="1">
        <v>0.09</v>
      </c>
      <c r="AS745" s="1">
        <v>0.09</v>
      </c>
      <c r="AT745" s="1">
        <v>19.47</v>
      </c>
      <c r="AU745" s="1">
        <v>6.2</v>
      </c>
      <c r="AV745" s="1">
        <v>0.36</v>
      </c>
      <c r="AW745" s="1">
        <v>1.68</v>
      </c>
      <c r="AX745" s="1">
        <v>8.84</v>
      </c>
      <c r="AY745" s="1">
        <v>0</v>
      </c>
      <c r="AZ745" s="1">
        <v>100.755</v>
      </c>
      <c r="BA745" s="1">
        <v>0</v>
      </c>
      <c r="BB745" s="1">
        <v>0</v>
      </c>
      <c r="BC745" s="1">
        <v>0</v>
      </c>
      <c r="BD745" s="1">
        <v>0</v>
      </c>
    </row>
    <row r="746" spans="1:56">
      <c r="A746" s="18">
        <v>46192</v>
      </c>
      <c r="B746" s="1">
        <v>745</v>
      </c>
      <c r="C746" s="1" t="s">
        <v>89</v>
      </c>
      <c r="D746" s="1" t="s">
        <v>90</v>
      </c>
      <c r="E746" s="1">
        <v>2</v>
      </c>
      <c r="F746" s="1">
        <v>200</v>
      </c>
      <c r="G746" s="1">
        <v>1</v>
      </c>
      <c r="H746" s="1" t="s">
        <v>91</v>
      </c>
      <c r="I746" s="1" t="s">
        <v>79</v>
      </c>
      <c r="J746" s="1" t="s">
        <v>80</v>
      </c>
      <c r="K746" s="1" t="s">
        <v>74</v>
      </c>
      <c r="L746" s="1" t="s">
        <v>72</v>
      </c>
      <c r="M746" s="1" t="s">
        <v>75</v>
      </c>
      <c r="N746" s="1" t="s">
        <v>76</v>
      </c>
      <c r="O746" s="1" t="s">
        <v>77</v>
      </c>
      <c r="P746" s="1" t="s">
        <v>27</v>
      </c>
      <c r="Q746" s="1" t="s">
        <v>86</v>
      </c>
      <c r="R746" s="1" t="s">
        <v>94</v>
      </c>
      <c r="S746" s="1" t="s">
        <v>87</v>
      </c>
      <c r="T746" s="1" t="s">
        <v>88</v>
      </c>
      <c r="X746" s="1" t="s">
        <v>73</v>
      </c>
      <c r="Z746" s="1" t="s">
        <v>70</v>
      </c>
      <c r="AA746" s="1" t="s">
        <v>95</v>
      </c>
      <c r="AB746" s="1">
        <v>5</v>
      </c>
      <c r="AC746" s="1">
        <v>748777.73</v>
      </c>
      <c r="AD746" s="1">
        <v>8930542.75</v>
      </c>
      <c r="AE746" s="1">
        <v>209.9</v>
      </c>
      <c r="AF746" s="1">
        <v>748777.73</v>
      </c>
      <c r="AG746" s="1">
        <v>8930542.75</v>
      </c>
      <c r="AH746" s="1">
        <v>199.4</v>
      </c>
      <c r="AI746" s="1">
        <v>10.5</v>
      </c>
      <c r="AJ746" s="1">
        <v>0.6</v>
      </c>
      <c r="AK746" s="1">
        <v>2.97</v>
      </c>
      <c r="AL746" s="1">
        <v>2.58</v>
      </c>
      <c r="AM746" s="1">
        <v>0</v>
      </c>
      <c r="AN746" s="1">
        <v>0</v>
      </c>
      <c r="AO746" s="1">
        <v>279.95422539999998</v>
      </c>
      <c r="AP746" s="1">
        <v>3.28</v>
      </c>
      <c r="AQ746" s="1">
        <v>0.6</v>
      </c>
      <c r="AR746" s="1">
        <v>0.09</v>
      </c>
      <c r="AS746" s="1">
        <v>0.09</v>
      </c>
      <c r="AT746" s="1">
        <v>19.47</v>
      </c>
      <c r="AU746" s="1">
        <v>6.2</v>
      </c>
      <c r="AV746" s="1">
        <v>0.36</v>
      </c>
      <c r="AW746" s="1">
        <v>1.68</v>
      </c>
      <c r="AX746" s="1">
        <v>8.85</v>
      </c>
      <c r="AY746" s="1">
        <v>0</v>
      </c>
      <c r="AZ746" s="1">
        <v>101.92</v>
      </c>
      <c r="BA746" s="1">
        <v>0</v>
      </c>
      <c r="BB746" s="1">
        <v>0</v>
      </c>
      <c r="BC746" s="1">
        <v>0</v>
      </c>
      <c r="BD746" s="1">
        <v>0</v>
      </c>
    </row>
    <row r="747" spans="1:56">
      <c r="A747" s="18">
        <v>46192</v>
      </c>
      <c r="B747" s="1">
        <v>746</v>
      </c>
      <c r="C747" s="1" t="s">
        <v>89</v>
      </c>
      <c r="D747" s="1" t="s">
        <v>90</v>
      </c>
      <c r="E747" s="1">
        <v>2</v>
      </c>
      <c r="F747" s="1">
        <v>200</v>
      </c>
      <c r="G747" s="1">
        <v>1</v>
      </c>
      <c r="H747" s="1" t="s">
        <v>91</v>
      </c>
      <c r="I747" s="1" t="s">
        <v>79</v>
      </c>
      <c r="J747" s="1" t="s">
        <v>80</v>
      </c>
      <c r="K747" s="1" t="s">
        <v>74</v>
      </c>
      <c r="L747" s="1" t="s">
        <v>72</v>
      </c>
      <c r="M747" s="1" t="s">
        <v>75</v>
      </c>
      <c r="N747" s="1" t="s">
        <v>76</v>
      </c>
      <c r="O747" s="1" t="s">
        <v>77</v>
      </c>
      <c r="P747" s="1" t="s">
        <v>27</v>
      </c>
      <c r="Q747" s="1" t="s">
        <v>86</v>
      </c>
      <c r="R747" s="1" t="s">
        <v>94</v>
      </c>
      <c r="S747" s="1" t="s">
        <v>87</v>
      </c>
      <c r="T747" s="1" t="s">
        <v>88</v>
      </c>
      <c r="X747" s="1" t="s">
        <v>73</v>
      </c>
      <c r="Z747" s="1" t="s">
        <v>70</v>
      </c>
      <c r="AA747" s="1" t="s">
        <v>95</v>
      </c>
      <c r="AB747" s="1">
        <v>5</v>
      </c>
      <c r="AC747" s="1">
        <v>748779.98</v>
      </c>
      <c r="AD747" s="1">
        <v>8930540.8200000003</v>
      </c>
      <c r="AE747" s="1">
        <v>209.97</v>
      </c>
      <c r="AF747" s="1">
        <v>748779.98</v>
      </c>
      <c r="AG747" s="1">
        <v>8930540.8200000003</v>
      </c>
      <c r="AH747" s="1">
        <v>199.4</v>
      </c>
      <c r="AI747" s="1">
        <v>10.57</v>
      </c>
      <c r="AJ747" s="1">
        <v>0.6</v>
      </c>
      <c r="AK747" s="1">
        <v>2.97</v>
      </c>
      <c r="AL747" s="1">
        <v>2.58</v>
      </c>
      <c r="AM747" s="1">
        <v>0</v>
      </c>
      <c r="AN747" s="1">
        <v>0</v>
      </c>
      <c r="AO747" s="1">
        <v>279.95422539999998</v>
      </c>
      <c r="AP747" s="1">
        <v>3.23</v>
      </c>
      <c r="AQ747" s="1">
        <v>0.56000000000000005</v>
      </c>
      <c r="AR747" s="1">
        <v>0.09</v>
      </c>
      <c r="AS747" s="1">
        <v>0.08</v>
      </c>
      <c r="AT747" s="1">
        <v>17.93</v>
      </c>
      <c r="AU747" s="1">
        <v>6.04</v>
      </c>
      <c r="AV747" s="1">
        <v>0.33</v>
      </c>
      <c r="AW747" s="1">
        <v>1.7</v>
      </c>
      <c r="AX747" s="1">
        <v>8.5500000000000007</v>
      </c>
      <c r="AY747" s="1">
        <v>0</v>
      </c>
      <c r="AZ747" s="1">
        <v>102.93899999999999</v>
      </c>
      <c r="BA747" s="1">
        <v>0</v>
      </c>
      <c r="BB747" s="1">
        <v>0</v>
      </c>
      <c r="BC747" s="1">
        <v>0</v>
      </c>
      <c r="BD747" s="1">
        <v>0</v>
      </c>
    </row>
    <row r="748" spans="1:56">
      <c r="A748" s="18">
        <v>46192</v>
      </c>
      <c r="B748" s="1">
        <v>747</v>
      </c>
      <c r="C748" s="1" t="s">
        <v>89</v>
      </c>
      <c r="D748" s="1" t="s">
        <v>90</v>
      </c>
      <c r="E748" s="1">
        <v>2</v>
      </c>
      <c r="F748" s="1">
        <v>200</v>
      </c>
      <c r="G748" s="1">
        <v>1</v>
      </c>
      <c r="H748" s="1" t="s">
        <v>91</v>
      </c>
      <c r="I748" s="1" t="s">
        <v>79</v>
      </c>
      <c r="J748" s="1" t="s">
        <v>80</v>
      </c>
      <c r="K748" s="1" t="s">
        <v>74</v>
      </c>
      <c r="L748" s="1" t="s">
        <v>72</v>
      </c>
      <c r="M748" s="1" t="s">
        <v>75</v>
      </c>
      <c r="N748" s="1" t="s">
        <v>76</v>
      </c>
      <c r="O748" s="1" t="s">
        <v>77</v>
      </c>
      <c r="P748" s="1" t="s">
        <v>27</v>
      </c>
      <c r="Q748" s="1" t="s">
        <v>86</v>
      </c>
      <c r="R748" s="1" t="s">
        <v>94</v>
      </c>
      <c r="S748" s="1" t="s">
        <v>87</v>
      </c>
      <c r="T748" s="1" t="s">
        <v>88</v>
      </c>
      <c r="X748" s="1" t="s">
        <v>73</v>
      </c>
      <c r="Z748" s="1" t="s">
        <v>70</v>
      </c>
      <c r="AA748" s="1" t="s">
        <v>95</v>
      </c>
      <c r="AB748" s="1">
        <v>5</v>
      </c>
      <c r="AC748" s="1">
        <v>748782.2</v>
      </c>
      <c r="AD748" s="1">
        <v>8930538.8499999996</v>
      </c>
      <c r="AE748" s="1">
        <v>209.98</v>
      </c>
      <c r="AF748" s="1">
        <v>748782.2</v>
      </c>
      <c r="AG748" s="1">
        <v>8930538.8499999996</v>
      </c>
      <c r="AH748" s="1">
        <v>199.4</v>
      </c>
      <c r="AI748" s="1">
        <v>10.58</v>
      </c>
      <c r="AJ748" s="1">
        <v>0.6</v>
      </c>
      <c r="AK748" s="1">
        <v>2.97</v>
      </c>
      <c r="AL748" s="1">
        <v>2.58</v>
      </c>
      <c r="AM748" s="1">
        <v>0</v>
      </c>
      <c r="AN748" s="1">
        <v>0</v>
      </c>
      <c r="AO748" s="1">
        <v>279.95422539999998</v>
      </c>
      <c r="AP748" s="1">
        <v>3.19</v>
      </c>
      <c r="AQ748" s="1">
        <v>0.6</v>
      </c>
      <c r="AR748" s="1">
        <v>0.08</v>
      </c>
      <c r="AS748" s="1">
        <v>7.0000000000000007E-2</v>
      </c>
      <c r="AT748" s="1">
        <v>16.98</v>
      </c>
      <c r="AU748" s="1">
        <v>6.26</v>
      </c>
      <c r="AV748" s="1">
        <v>0.34</v>
      </c>
      <c r="AW748" s="1">
        <v>1.76</v>
      </c>
      <c r="AX748" s="1">
        <v>7.5</v>
      </c>
      <c r="AY748" s="1">
        <v>0</v>
      </c>
      <c r="AZ748" s="1">
        <v>103.08499999999999</v>
      </c>
      <c r="BA748" s="1">
        <v>0</v>
      </c>
      <c r="BB748" s="1">
        <v>0</v>
      </c>
      <c r="BC748" s="1">
        <v>0</v>
      </c>
      <c r="BD748" s="1">
        <v>0</v>
      </c>
    </row>
    <row r="749" spans="1:56">
      <c r="A749" s="18">
        <v>46192</v>
      </c>
      <c r="B749" s="1">
        <v>748</v>
      </c>
      <c r="C749" s="1" t="s">
        <v>89</v>
      </c>
      <c r="D749" s="1" t="s">
        <v>90</v>
      </c>
      <c r="E749" s="1">
        <v>2</v>
      </c>
      <c r="F749" s="1">
        <v>200</v>
      </c>
      <c r="G749" s="1">
        <v>1</v>
      </c>
      <c r="H749" s="1" t="s">
        <v>91</v>
      </c>
      <c r="I749" s="1" t="s">
        <v>79</v>
      </c>
      <c r="J749" s="1" t="s">
        <v>80</v>
      </c>
      <c r="K749" s="1" t="s">
        <v>74</v>
      </c>
      <c r="L749" s="1" t="s">
        <v>72</v>
      </c>
      <c r="M749" s="1" t="s">
        <v>75</v>
      </c>
      <c r="N749" s="1" t="s">
        <v>76</v>
      </c>
      <c r="O749" s="1" t="s">
        <v>77</v>
      </c>
      <c r="P749" s="1" t="s">
        <v>27</v>
      </c>
      <c r="Q749" s="1" t="s">
        <v>86</v>
      </c>
      <c r="R749" s="1" t="s">
        <v>94</v>
      </c>
      <c r="S749" s="1" t="s">
        <v>87</v>
      </c>
      <c r="T749" s="1" t="s">
        <v>88</v>
      </c>
      <c r="X749" s="1" t="s">
        <v>73</v>
      </c>
      <c r="Z749" s="1" t="s">
        <v>70</v>
      </c>
      <c r="AA749" s="1" t="s">
        <v>95</v>
      </c>
      <c r="AB749" s="1">
        <v>5</v>
      </c>
      <c r="AC749" s="1">
        <v>748783.87</v>
      </c>
      <c r="AD749" s="1">
        <v>8930536.3900000006</v>
      </c>
      <c r="AE749" s="1">
        <v>210</v>
      </c>
      <c r="AF749" s="1">
        <v>748783.87</v>
      </c>
      <c r="AG749" s="1">
        <v>8930536.3900000006</v>
      </c>
      <c r="AH749" s="1">
        <v>199.4</v>
      </c>
      <c r="AI749" s="1">
        <v>10.6</v>
      </c>
      <c r="AJ749" s="1">
        <v>0.6</v>
      </c>
      <c r="AK749" s="1">
        <v>2.97</v>
      </c>
      <c r="AL749" s="1">
        <v>2.58</v>
      </c>
      <c r="AM749" s="1">
        <v>0</v>
      </c>
      <c r="AN749" s="1">
        <v>0</v>
      </c>
      <c r="AO749" s="1">
        <v>279.95422539999998</v>
      </c>
      <c r="AP749" s="1">
        <v>3.18</v>
      </c>
      <c r="AQ749" s="1">
        <v>0.63</v>
      </c>
      <c r="AR749" s="1">
        <v>0.08</v>
      </c>
      <c r="AS749" s="1">
        <v>7.0000000000000007E-2</v>
      </c>
      <c r="AT749" s="1">
        <v>17.12</v>
      </c>
      <c r="AU749" s="1">
        <v>6.5</v>
      </c>
      <c r="AV749" s="1">
        <v>0.36</v>
      </c>
      <c r="AW749" s="1">
        <v>1.77</v>
      </c>
      <c r="AX749" s="1">
        <v>7.21</v>
      </c>
      <c r="AY749" s="1">
        <v>0</v>
      </c>
      <c r="AZ749" s="1">
        <v>103.376</v>
      </c>
      <c r="BA749" s="1">
        <v>0</v>
      </c>
      <c r="BB749" s="1">
        <v>0</v>
      </c>
      <c r="BC749" s="1">
        <v>0</v>
      </c>
      <c r="BD749" s="1">
        <v>0</v>
      </c>
    </row>
    <row r="750" spans="1:56">
      <c r="A750" s="18">
        <v>46192</v>
      </c>
      <c r="B750" s="1">
        <v>749</v>
      </c>
      <c r="C750" s="1" t="s">
        <v>89</v>
      </c>
      <c r="D750" s="1" t="s">
        <v>90</v>
      </c>
      <c r="E750" s="1">
        <v>2</v>
      </c>
      <c r="F750" s="1">
        <v>200</v>
      </c>
      <c r="G750" s="1">
        <v>1</v>
      </c>
      <c r="H750" s="1" t="s">
        <v>91</v>
      </c>
      <c r="I750" s="1" t="s">
        <v>79</v>
      </c>
      <c r="J750" s="1" t="s">
        <v>80</v>
      </c>
      <c r="K750" s="1" t="s">
        <v>74</v>
      </c>
      <c r="L750" s="1" t="s">
        <v>72</v>
      </c>
      <c r="M750" s="1" t="s">
        <v>75</v>
      </c>
      <c r="N750" s="1" t="s">
        <v>76</v>
      </c>
      <c r="O750" s="1" t="s">
        <v>77</v>
      </c>
      <c r="P750" s="1" t="s">
        <v>27</v>
      </c>
      <c r="Q750" s="1" t="s">
        <v>86</v>
      </c>
      <c r="R750" s="1" t="s">
        <v>94</v>
      </c>
      <c r="S750" s="1" t="s">
        <v>87</v>
      </c>
      <c r="T750" s="1" t="s">
        <v>88</v>
      </c>
      <c r="X750" s="1" t="s">
        <v>73</v>
      </c>
      <c r="Z750" s="1" t="s">
        <v>70</v>
      </c>
      <c r="AA750" s="1" t="s">
        <v>95</v>
      </c>
      <c r="AB750" s="1">
        <v>5</v>
      </c>
      <c r="AC750" s="1">
        <v>748785.54</v>
      </c>
      <c r="AD750" s="1">
        <v>8930533.9299999997</v>
      </c>
      <c r="AE750" s="1">
        <v>209.87</v>
      </c>
      <c r="AF750" s="1">
        <v>748785.54</v>
      </c>
      <c r="AG750" s="1">
        <v>8930533.9299999997</v>
      </c>
      <c r="AH750" s="1">
        <v>199.4</v>
      </c>
      <c r="AI750" s="1">
        <v>10.47</v>
      </c>
      <c r="AJ750" s="1">
        <v>0.6</v>
      </c>
      <c r="AK750" s="1">
        <v>2.97</v>
      </c>
      <c r="AL750" s="1">
        <v>2.58</v>
      </c>
      <c r="AM750" s="1">
        <v>0</v>
      </c>
      <c r="AN750" s="1">
        <v>0</v>
      </c>
      <c r="AO750" s="1">
        <v>279.95422539999998</v>
      </c>
      <c r="AP750" s="1">
        <v>3.18</v>
      </c>
      <c r="AQ750" s="1">
        <v>0.63</v>
      </c>
      <c r="AR750" s="1">
        <v>0.08</v>
      </c>
      <c r="AS750" s="1">
        <v>7.0000000000000007E-2</v>
      </c>
      <c r="AT750" s="1">
        <v>17.12</v>
      </c>
      <c r="AU750" s="1">
        <v>6.5</v>
      </c>
      <c r="AV750" s="1">
        <v>0.36</v>
      </c>
      <c r="AW750" s="1">
        <v>1.77</v>
      </c>
      <c r="AX750" s="1">
        <v>7.21</v>
      </c>
      <c r="AY750" s="1">
        <v>0</v>
      </c>
      <c r="AZ750" s="1">
        <v>101.483</v>
      </c>
      <c r="BA750" s="1">
        <v>0</v>
      </c>
      <c r="BB750" s="1">
        <v>0</v>
      </c>
      <c r="BC750" s="1">
        <v>0</v>
      </c>
      <c r="BD750" s="1">
        <v>0</v>
      </c>
    </row>
    <row r="751" spans="1:56">
      <c r="A751" s="18">
        <v>46192</v>
      </c>
      <c r="B751" s="1">
        <v>750</v>
      </c>
      <c r="C751" s="1" t="s">
        <v>89</v>
      </c>
      <c r="D751" s="1" t="s">
        <v>90</v>
      </c>
      <c r="E751" s="1">
        <v>2</v>
      </c>
      <c r="F751" s="1">
        <v>200</v>
      </c>
      <c r="G751" s="1">
        <v>1</v>
      </c>
      <c r="H751" s="1" t="s">
        <v>91</v>
      </c>
      <c r="I751" s="1" t="s">
        <v>79</v>
      </c>
      <c r="J751" s="1" t="s">
        <v>80</v>
      </c>
      <c r="K751" s="1" t="s">
        <v>74</v>
      </c>
      <c r="L751" s="1" t="s">
        <v>72</v>
      </c>
      <c r="M751" s="1" t="s">
        <v>75</v>
      </c>
      <c r="N751" s="1" t="s">
        <v>76</v>
      </c>
      <c r="O751" s="1" t="s">
        <v>77</v>
      </c>
      <c r="P751" s="1" t="s">
        <v>27</v>
      </c>
      <c r="Q751" s="1" t="s">
        <v>86</v>
      </c>
      <c r="R751" s="1" t="s">
        <v>94</v>
      </c>
      <c r="S751" s="1" t="s">
        <v>87</v>
      </c>
      <c r="T751" s="1" t="s">
        <v>88</v>
      </c>
      <c r="X751" s="1" t="s">
        <v>73</v>
      </c>
      <c r="Z751" s="1" t="s">
        <v>70</v>
      </c>
      <c r="AA751" s="1" t="s">
        <v>95</v>
      </c>
      <c r="AB751" s="1">
        <v>5</v>
      </c>
      <c r="AC751" s="1">
        <v>748787.14</v>
      </c>
      <c r="AD751" s="1">
        <v>8930531.4299999997</v>
      </c>
      <c r="AE751" s="1">
        <v>209.74</v>
      </c>
      <c r="AF751" s="1">
        <v>748787.14</v>
      </c>
      <c r="AG751" s="1">
        <v>8930531.4299999997</v>
      </c>
      <c r="AH751" s="1">
        <v>199.4</v>
      </c>
      <c r="AI751" s="1">
        <v>10.34</v>
      </c>
      <c r="AJ751" s="1">
        <v>0.6</v>
      </c>
      <c r="AK751" s="1">
        <v>2.97</v>
      </c>
      <c r="AL751" s="1">
        <v>2.58</v>
      </c>
      <c r="AM751" s="1">
        <v>0</v>
      </c>
      <c r="AN751" s="1">
        <v>0</v>
      </c>
      <c r="AO751" s="1">
        <v>279.95422539999998</v>
      </c>
      <c r="AP751" s="1">
        <v>3.19</v>
      </c>
      <c r="AQ751" s="1">
        <v>0.63</v>
      </c>
      <c r="AR751" s="1">
        <v>0.08</v>
      </c>
      <c r="AS751" s="1">
        <v>7.0000000000000007E-2</v>
      </c>
      <c r="AT751" s="1">
        <v>17.3</v>
      </c>
      <c r="AU751" s="1">
        <v>6.6</v>
      </c>
      <c r="AV751" s="1">
        <v>0.36</v>
      </c>
      <c r="AW751" s="1">
        <v>1.76</v>
      </c>
      <c r="AX751" s="1">
        <v>7.35</v>
      </c>
      <c r="AY751" s="1">
        <v>0</v>
      </c>
      <c r="AZ751" s="1">
        <v>99.59</v>
      </c>
      <c r="BA751" s="1">
        <v>0</v>
      </c>
      <c r="BB751" s="1">
        <v>0</v>
      </c>
      <c r="BC751" s="1">
        <v>0</v>
      </c>
      <c r="BD751" s="1">
        <v>0</v>
      </c>
    </row>
    <row r="752" spans="1:56">
      <c r="A752" s="18">
        <v>46192</v>
      </c>
      <c r="B752" s="1">
        <v>751</v>
      </c>
      <c r="C752" s="1" t="s">
        <v>89</v>
      </c>
      <c r="D752" s="1" t="s">
        <v>90</v>
      </c>
      <c r="E752" s="1">
        <v>2</v>
      </c>
      <c r="F752" s="1">
        <v>200</v>
      </c>
      <c r="G752" s="1">
        <v>1</v>
      </c>
      <c r="H752" s="1" t="s">
        <v>91</v>
      </c>
      <c r="I752" s="1" t="s">
        <v>79</v>
      </c>
      <c r="J752" s="1" t="s">
        <v>80</v>
      </c>
      <c r="K752" s="1" t="s">
        <v>74</v>
      </c>
      <c r="L752" s="1" t="s">
        <v>72</v>
      </c>
      <c r="M752" s="1" t="s">
        <v>75</v>
      </c>
      <c r="N752" s="1" t="s">
        <v>76</v>
      </c>
      <c r="O752" s="1" t="s">
        <v>77</v>
      </c>
      <c r="P752" s="1" t="s">
        <v>27</v>
      </c>
      <c r="Q752" s="1" t="s">
        <v>86</v>
      </c>
      <c r="R752" s="1" t="s">
        <v>94</v>
      </c>
      <c r="S752" s="1" t="s">
        <v>87</v>
      </c>
      <c r="T752" s="1" t="s">
        <v>88</v>
      </c>
      <c r="X752" s="1" t="s">
        <v>73</v>
      </c>
      <c r="Z752" s="1" t="s">
        <v>70</v>
      </c>
      <c r="AA752" s="1" t="s">
        <v>95</v>
      </c>
      <c r="AB752" s="1">
        <v>5</v>
      </c>
      <c r="AC752" s="1">
        <v>748788.74</v>
      </c>
      <c r="AD752" s="1">
        <v>8930528.9299999997</v>
      </c>
      <c r="AE752" s="1">
        <v>209.72</v>
      </c>
      <c r="AF752" s="1">
        <v>748788.74</v>
      </c>
      <c r="AG752" s="1">
        <v>8930528.9299999997</v>
      </c>
      <c r="AH752" s="1">
        <v>199.4</v>
      </c>
      <c r="AI752" s="1">
        <v>10.32</v>
      </c>
      <c r="AJ752" s="1">
        <v>0.6</v>
      </c>
      <c r="AK752" s="1">
        <v>2.97</v>
      </c>
      <c r="AL752" s="1">
        <v>2.58</v>
      </c>
      <c r="AM752" s="1">
        <v>0</v>
      </c>
      <c r="AN752" s="1">
        <v>0</v>
      </c>
      <c r="AO752" s="1">
        <v>279.95422539999998</v>
      </c>
      <c r="AP752" s="1">
        <v>3.24</v>
      </c>
      <c r="AQ752" s="1">
        <v>0.65</v>
      </c>
      <c r="AR752" s="1">
        <v>0.09</v>
      </c>
      <c r="AS752" s="1">
        <v>0.08</v>
      </c>
      <c r="AT752" s="1">
        <v>18.5</v>
      </c>
      <c r="AU752" s="1">
        <v>7.26</v>
      </c>
      <c r="AV752" s="1">
        <v>0.38</v>
      </c>
      <c r="AW752" s="1">
        <v>1.7</v>
      </c>
      <c r="AX752" s="1">
        <v>8.2899999999999991</v>
      </c>
      <c r="AY752" s="1">
        <v>0</v>
      </c>
      <c r="AZ752" s="1">
        <v>99.299000000000007</v>
      </c>
      <c r="BA752" s="1">
        <v>0</v>
      </c>
      <c r="BB752" s="1">
        <v>0</v>
      </c>
      <c r="BC752" s="1">
        <v>0</v>
      </c>
      <c r="BD752" s="1">
        <v>0</v>
      </c>
    </row>
    <row r="753" spans="1:56">
      <c r="A753" s="18">
        <v>46192</v>
      </c>
      <c r="B753" s="1">
        <v>752</v>
      </c>
      <c r="C753" s="1" t="s">
        <v>89</v>
      </c>
      <c r="D753" s="1" t="s">
        <v>90</v>
      </c>
      <c r="E753" s="1">
        <v>2</v>
      </c>
      <c r="F753" s="1">
        <v>200</v>
      </c>
      <c r="G753" s="1">
        <v>1</v>
      </c>
      <c r="H753" s="1" t="s">
        <v>91</v>
      </c>
      <c r="I753" s="1" t="s">
        <v>79</v>
      </c>
      <c r="J753" s="1" t="s">
        <v>81</v>
      </c>
      <c r="K753" s="1" t="s">
        <v>74</v>
      </c>
      <c r="L753" s="1" t="s">
        <v>72</v>
      </c>
      <c r="M753" s="1" t="s">
        <v>75</v>
      </c>
      <c r="N753" s="1" t="s">
        <v>82</v>
      </c>
      <c r="O753" s="1" t="s">
        <v>77</v>
      </c>
      <c r="P753" s="1" t="s">
        <v>27</v>
      </c>
      <c r="Q753" s="1" t="s">
        <v>86</v>
      </c>
      <c r="R753" s="1" t="s">
        <v>94</v>
      </c>
      <c r="S753" s="1" t="s">
        <v>87</v>
      </c>
      <c r="T753" s="1" t="s">
        <v>88</v>
      </c>
      <c r="X753" s="1" t="s">
        <v>73</v>
      </c>
      <c r="Z753" s="1" t="s">
        <v>70</v>
      </c>
      <c r="AA753" s="1" t="s">
        <v>95</v>
      </c>
      <c r="AB753" s="1">
        <v>5</v>
      </c>
      <c r="AC753" s="1">
        <v>748790.35</v>
      </c>
      <c r="AD753" s="1">
        <v>8930526.4299999997</v>
      </c>
      <c r="AE753" s="1">
        <v>209.69</v>
      </c>
      <c r="AF753" s="1">
        <v>748790.35</v>
      </c>
      <c r="AG753" s="1">
        <v>8930526.4299999997</v>
      </c>
      <c r="AH753" s="1">
        <v>199.4</v>
      </c>
      <c r="AI753" s="1">
        <v>10.29</v>
      </c>
      <c r="AJ753" s="1">
        <v>0.6</v>
      </c>
      <c r="AK753" s="1">
        <v>2.97</v>
      </c>
      <c r="AL753" s="1">
        <v>2.58</v>
      </c>
      <c r="AM753" s="1">
        <v>0</v>
      </c>
      <c r="AN753" s="1">
        <v>0</v>
      </c>
      <c r="AO753" s="1">
        <v>279.95422539999998</v>
      </c>
      <c r="AP753" s="1">
        <v>3.2</v>
      </c>
      <c r="AQ753" s="1">
        <v>0.68</v>
      </c>
      <c r="AR753" s="1">
        <v>0.08</v>
      </c>
      <c r="AS753" s="1">
        <v>0.09</v>
      </c>
      <c r="AT753" s="1">
        <v>18.899999999999999</v>
      </c>
      <c r="AU753" s="1">
        <v>7.3</v>
      </c>
      <c r="AV753" s="1">
        <v>0.41</v>
      </c>
      <c r="AW753" s="1">
        <v>1.67</v>
      </c>
      <c r="AX753" s="1">
        <v>8.32</v>
      </c>
      <c r="AY753" s="1">
        <v>0</v>
      </c>
      <c r="AZ753" s="1">
        <v>98.861999999999995</v>
      </c>
      <c r="BA753" s="1">
        <v>0</v>
      </c>
      <c r="BB753" s="1">
        <v>0</v>
      </c>
      <c r="BC753" s="1">
        <v>0</v>
      </c>
      <c r="BD753" s="1">
        <v>0</v>
      </c>
    </row>
    <row r="754" spans="1:56">
      <c r="A754" s="18">
        <v>46192</v>
      </c>
      <c r="B754" s="1">
        <v>753</v>
      </c>
      <c r="C754" s="1" t="s">
        <v>89</v>
      </c>
      <c r="D754" s="1" t="s">
        <v>90</v>
      </c>
      <c r="E754" s="1">
        <v>2</v>
      </c>
      <c r="F754" s="1">
        <v>200</v>
      </c>
      <c r="G754" s="1">
        <v>1</v>
      </c>
      <c r="H754" s="1" t="s">
        <v>91</v>
      </c>
      <c r="I754" s="1" t="s">
        <v>79</v>
      </c>
      <c r="J754" s="1" t="s">
        <v>81</v>
      </c>
      <c r="K754" s="1" t="s">
        <v>74</v>
      </c>
      <c r="L754" s="1" t="s">
        <v>72</v>
      </c>
      <c r="M754" s="1" t="s">
        <v>75</v>
      </c>
      <c r="N754" s="1" t="s">
        <v>82</v>
      </c>
      <c r="O754" s="1" t="s">
        <v>77</v>
      </c>
      <c r="P754" s="1" t="s">
        <v>27</v>
      </c>
      <c r="Q754" s="1" t="s">
        <v>86</v>
      </c>
      <c r="R754" s="1" t="s">
        <v>94</v>
      </c>
      <c r="S754" s="1" t="s">
        <v>87</v>
      </c>
      <c r="T754" s="1" t="s">
        <v>88</v>
      </c>
      <c r="X754" s="1" t="s">
        <v>73</v>
      </c>
      <c r="Z754" s="1" t="s">
        <v>70</v>
      </c>
      <c r="AA754" s="1" t="s">
        <v>95</v>
      </c>
      <c r="AB754" s="1">
        <v>5</v>
      </c>
      <c r="AC754" s="1">
        <v>748791.95</v>
      </c>
      <c r="AD754" s="1">
        <v>8930523.9299999997</v>
      </c>
      <c r="AE754" s="1">
        <v>209.62</v>
      </c>
      <c r="AF754" s="1">
        <v>748791.95</v>
      </c>
      <c r="AG754" s="1">
        <v>8930523.9299999997</v>
      </c>
      <c r="AH754" s="1">
        <v>199.4</v>
      </c>
      <c r="AI754" s="1">
        <v>10.220000000000001</v>
      </c>
      <c r="AJ754" s="1">
        <v>0.6</v>
      </c>
      <c r="AK754" s="1">
        <v>2.97</v>
      </c>
      <c r="AL754" s="1">
        <v>2.58</v>
      </c>
      <c r="AM754" s="1">
        <v>0</v>
      </c>
      <c r="AN754" s="1">
        <v>0</v>
      </c>
      <c r="AO754" s="1">
        <v>279.95422539999998</v>
      </c>
      <c r="AP754" s="1">
        <v>3.16</v>
      </c>
      <c r="AQ754" s="1">
        <v>0.69</v>
      </c>
      <c r="AR754" s="1">
        <v>0.08</v>
      </c>
      <c r="AS754" s="1">
        <v>0.09</v>
      </c>
      <c r="AT754" s="1">
        <v>18.96</v>
      </c>
      <c r="AU754" s="1">
        <v>7.18</v>
      </c>
      <c r="AV754" s="1">
        <v>0.42</v>
      </c>
      <c r="AW754" s="1">
        <v>1.64</v>
      </c>
      <c r="AX754" s="1">
        <v>8.14</v>
      </c>
      <c r="AY754" s="1">
        <v>0</v>
      </c>
      <c r="AZ754" s="1">
        <v>97.843000000000004</v>
      </c>
      <c r="BA754" s="1">
        <v>0</v>
      </c>
      <c r="BB754" s="1">
        <v>0</v>
      </c>
      <c r="BC754" s="1">
        <v>0</v>
      </c>
      <c r="BD754" s="1">
        <v>0</v>
      </c>
    </row>
    <row r="755" spans="1:56">
      <c r="A755" s="18">
        <v>46192</v>
      </c>
      <c r="B755" s="1">
        <v>754</v>
      </c>
      <c r="C755" s="1" t="s">
        <v>89</v>
      </c>
      <c r="D755" s="1" t="s">
        <v>90</v>
      </c>
      <c r="E755" s="1">
        <v>2</v>
      </c>
      <c r="F755" s="1">
        <v>200</v>
      </c>
      <c r="G755" s="1">
        <v>1</v>
      </c>
      <c r="H755" s="1" t="s">
        <v>91</v>
      </c>
      <c r="I755" s="1" t="s">
        <v>79</v>
      </c>
      <c r="J755" s="1" t="s">
        <v>81</v>
      </c>
      <c r="K755" s="1" t="s">
        <v>74</v>
      </c>
      <c r="L755" s="1" t="s">
        <v>72</v>
      </c>
      <c r="M755" s="1" t="s">
        <v>75</v>
      </c>
      <c r="N755" s="1" t="s">
        <v>82</v>
      </c>
      <c r="O755" s="1" t="s">
        <v>77</v>
      </c>
      <c r="P755" s="1" t="s">
        <v>27</v>
      </c>
      <c r="Q755" s="1" t="s">
        <v>86</v>
      </c>
      <c r="R755" s="1" t="s">
        <v>94</v>
      </c>
      <c r="S755" s="1" t="s">
        <v>87</v>
      </c>
      <c r="T755" s="1" t="s">
        <v>88</v>
      </c>
      <c r="X755" s="1" t="s">
        <v>73</v>
      </c>
      <c r="Z755" s="1" t="s">
        <v>70</v>
      </c>
      <c r="AA755" s="1" t="s">
        <v>95</v>
      </c>
      <c r="AB755" s="1">
        <v>5</v>
      </c>
      <c r="AC755" s="1">
        <v>748793.55</v>
      </c>
      <c r="AD755" s="1">
        <v>8930521.4299999997</v>
      </c>
      <c r="AE755" s="1">
        <v>209.6</v>
      </c>
      <c r="AF755" s="1">
        <v>748793.55</v>
      </c>
      <c r="AG755" s="1">
        <v>8930521.4299999997</v>
      </c>
      <c r="AH755" s="1">
        <v>199.4</v>
      </c>
      <c r="AI755" s="1">
        <v>10.199999999999999</v>
      </c>
      <c r="AJ755" s="1">
        <v>0.6</v>
      </c>
      <c r="AK755" s="1">
        <v>2.97</v>
      </c>
      <c r="AL755" s="1">
        <v>2.58</v>
      </c>
      <c r="AM755" s="1">
        <v>0</v>
      </c>
      <c r="AN755" s="1">
        <v>0</v>
      </c>
      <c r="AO755" s="1">
        <v>279.95422539999998</v>
      </c>
      <c r="AP755" s="1">
        <v>3.19</v>
      </c>
      <c r="AQ755" s="1">
        <v>0.69</v>
      </c>
      <c r="AR755" s="1">
        <v>0.08</v>
      </c>
      <c r="AS755" s="1">
        <v>0.09</v>
      </c>
      <c r="AT755" s="1">
        <v>19.16</v>
      </c>
      <c r="AU755" s="1">
        <v>7.09</v>
      </c>
      <c r="AV755" s="1">
        <v>0.42</v>
      </c>
      <c r="AW755" s="1">
        <v>1.64</v>
      </c>
      <c r="AX755" s="1">
        <v>8.11</v>
      </c>
      <c r="AY755" s="1">
        <v>0</v>
      </c>
      <c r="AZ755" s="1">
        <v>97.552000000000007</v>
      </c>
      <c r="BA755" s="1">
        <v>0</v>
      </c>
      <c r="BB755" s="1">
        <v>0</v>
      </c>
      <c r="BC755" s="1">
        <v>0</v>
      </c>
      <c r="BD755" s="1">
        <v>0</v>
      </c>
    </row>
    <row r="756" spans="1:56">
      <c r="A756" s="18">
        <v>46192</v>
      </c>
      <c r="B756" s="1">
        <v>755</v>
      </c>
      <c r="C756" s="1" t="s">
        <v>89</v>
      </c>
      <c r="D756" s="1" t="s">
        <v>90</v>
      </c>
      <c r="E756" s="1">
        <v>2</v>
      </c>
      <c r="F756" s="1">
        <v>200</v>
      </c>
      <c r="G756" s="1">
        <v>1</v>
      </c>
      <c r="H756" s="1" t="s">
        <v>91</v>
      </c>
      <c r="I756" s="1" t="s">
        <v>79</v>
      </c>
      <c r="J756" s="1" t="s">
        <v>80</v>
      </c>
      <c r="K756" s="1" t="s">
        <v>74</v>
      </c>
      <c r="L756" s="1" t="s">
        <v>72</v>
      </c>
      <c r="M756" s="1" t="s">
        <v>75</v>
      </c>
      <c r="N756" s="1" t="s">
        <v>82</v>
      </c>
      <c r="O756" s="1" t="s">
        <v>77</v>
      </c>
      <c r="P756" s="1" t="s">
        <v>27</v>
      </c>
      <c r="Q756" s="1" t="s">
        <v>86</v>
      </c>
      <c r="R756" s="1" t="s">
        <v>94</v>
      </c>
      <c r="S756" s="1" t="s">
        <v>87</v>
      </c>
      <c r="T756" s="1" t="s">
        <v>88</v>
      </c>
      <c r="X756" s="1" t="s">
        <v>73</v>
      </c>
      <c r="Z756" s="1" t="s">
        <v>70</v>
      </c>
      <c r="AA756" s="1" t="s">
        <v>95</v>
      </c>
      <c r="AB756" s="1">
        <v>5</v>
      </c>
      <c r="AC756" s="1">
        <v>748795.15</v>
      </c>
      <c r="AD756" s="1">
        <v>8930518.9299999997</v>
      </c>
      <c r="AE756" s="1">
        <v>209.56</v>
      </c>
      <c r="AF756" s="1">
        <v>748795.15</v>
      </c>
      <c r="AG756" s="1">
        <v>8930518.9299999997</v>
      </c>
      <c r="AH756" s="1">
        <v>199.4</v>
      </c>
      <c r="AI756" s="1">
        <v>10.16</v>
      </c>
      <c r="AJ756" s="1">
        <v>0.6</v>
      </c>
      <c r="AK756" s="1">
        <v>2.97</v>
      </c>
      <c r="AL756" s="1">
        <v>2.58</v>
      </c>
      <c r="AM756" s="1">
        <v>0</v>
      </c>
      <c r="AN756" s="1">
        <v>0</v>
      </c>
      <c r="AO756" s="1">
        <v>279.95422539999998</v>
      </c>
      <c r="AP756" s="1">
        <v>3.43</v>
      </c>
      <c r="AQ756" s="1">
        <v>0.67</v>
      </c>
      <c r="AR756" s="1">
        <v>0.1</v>
      </c>
      <c r="AS756" s="1">
        <v>0.09</v>
      </c>
      <c r="AT756" s="1">
        <v>20.45</v>
      </c>
      <c r="AU756" s="1">
        <v>6.54</v>
      </c>
      <c r="AV756" s="1">
        <v>0.41</v>
      </c>
      <c r="AW756" s="1">
        <v>1.65</v>
      </c>
      <c r="AX756" s="1">
        <v>7.98</v>
      </c>
      <c r="AY756" s="1">
        <v>0</v>
      </c>
      <c r="AZ756" s="1">
        <v>96.97</v>
      </c>
      <c r="BA756" s="1">
        <v>0</v>
      </c>
      <c r="BB756" s="1">
        <v>0</v>
      </c>
      <c r="BC756" s="1">
        <v>0</v>
      </c>
      <c r="BD756" s="1">
        <v>0</v>
      </c>
    </row>
    <row r="757" spans="1:56">
      <c r="A757" s="18">
        <v>46192</v>
      </c>
      <c r="B757" s="1">
        <v>756</v>
      </c>
      <c r="C757" s="1" t="s">
        <v>89</v>
      </c>
      <c r="D757" s="1" t="s">
        <v>90</v>
      </c>
      <c r="E757" s="1">
        <v>2</v>
      </c>
      <c r="F757" s="1">
        <v>200</v>
      </c>
      <c r="G757" s="1">
        <v>1</v>
      </c>
      <c r="H757" s="1" t="s">
        <v>91</v>
      </c>
      <c r="I757" s="1" t="s">
        <v>79</v>
      </c>
      <c r="J757" s="1" t="s">
        <v>80</v>
      </c>
      <c r="K757" s="1" t="s">
        <v>74</v>
      </c>
      <c r="L757" s="1" t="s">
        <v>72</v>
      </c>
      <c r="M757" s="1" t="s">
        <v>75</v>
      </c>
      <c r="N757" s="1" t="s">
        <v>82</v>
      </c>
      <c r="O757" s="1" t="s">
        <v>77</v>
      </c>
      <c r="P757" s="1" t="s">
        <v>27</v>
      </c>
      <c r="Q757" s="1" t="s">
        <v>86</v>
      </c>
      <c r="R757" s="1" t="s">
        <v>94</v>
      </c>
      <c r="S757" s="1" t="s">
        <v>87</v>
      </c>
      <c r="T757" s="1" t="s">
        <v>88</v>
      </c>
      <c r="X757" s="1" t="s">
        <v>73</v>
      </c>
      <c r="Z757" s="1" t="s">
        <v>70</v>
      </c>
      <c r="AA757" s="1" t="s">
        <v>95</v>
      </c>
      <c r="AB757" s="1">
        <v>5</v>
      </c>
      <c r="AC757" s="1">
        <v>748796.76</v>
      </c>
      <c r="AD757" s="1">
        <v>8930516.4299999997</v>
      </c>
      <c r="AE757" s="1">
        <v>209.54</v>
      </c>
      <c r="AF757" s="1">
        <v>748796.76</v>
      </c>
      <c r="AG757" s="1">
        <v>8930516.4299999997</v>
      </c>
      <c r="AH757" s="1">
        <v>199.4</v>
      </c>
      <c r="AI757" s="1">
        <v>10.14</v>
      </c>
      <c r="AJ757" s="1">
        <v>0.6</v>
      </c>
      <c r="AK757" s="1">
        <v>2.97</v>
      </c>
      <c r="AL757" s="1">
        <v>2.58</v>
      </c>
      <c r="AM757" s="1">
        <v>0</v>
      </c>
      <c r="AN757" s="1">
        <v>0</v>
      </c>
      <c r="AO757" s="1">
        <v>279.95422539999998</v>
      </c>
      <c r="AP757" s="1">
        <v>3.49</v>
      </c>
      <c r="AQ757" s="1">
        <v>0.67</v>
      </c>
      <c r="AR757" s="1">
        <v>0.1</v>
      </c>
      <c r="AS757" s="1">
        <v>0.1</v>
      </c>
      <c r="AT757" s="1">
        <v>20.77</v>
      </c>
      <c r="AU757" s="1">
        <v>6.4</v>
      </c>
      <c r="AV757" s="1">
        <v>0.41</v>
      </c>
      <c r="AW757" s="1">
        <v>1.65</v>
      </c>
      <c r="AX757" s="1">
        <v>7.95</v>
      </c>
      <c r="AY757" s="1">
        <v>0</v>
      </c>
      <c r="AZ757" s="1">
        <v>96.677999999999997</v>
      </c>
      <c r="BA757" s="1">
        <v>0</v>
      </c>
      <c r="BB757" s="1">
        <v>0</v>
      </c>
      <c r="BC757" s="1">
        <v>0</v>
      </c>
      <c r="BD757" s="1">
        <v>0</v>
      </c>
    </row>
    <row r="758" spans="1:56">
      <c r="A758" s="18">
        <v>46192</v>
      </c>
      <c r="B758" s="1">
        <v>757</v>
      </c>
      <c r="C758" s="1" t="s">
        <v>89</v>
      </c>
      <c r="D758" s="1" t="s">
        <v>90</v>
      </c>
      <c r="E758" s="1">
        <v>2</v>
      </c>
      <c r="F758" s="1">
        <v>200</v>
      </c>
      <c r="G758" s="1">
        <v>1</v>
      </c>
      <c r="H758" s="1" t="s">
        <v>91</v>
      </c>
      <c r="I758" s="1" t="s">
        <v>79</v>
      </c>
      <c r="J758" s="1" t="s">
        <v>80</v>
      </c>
      <c r="K758" s="1" t="s">
        <v>74</v>
      </c>
      <c r="L758" s="1" t="s">
        <v>72</v>
      </c>
      <c r="M758" s="1" t="s">
        <v>75</v>
      </c>
      <c r="N758" s="1" t="s">
        <v>82</v>
      </c>
      <c r="O758" s="1" t="s">
        <v>77</v>
      </c>
      <c r="P758" s="1" t="s">
        <v>27</v>
      </c>
      <c r="Q758" s="1" t="s">
        <v>86</v>
      </c>
      <c r="R758" s="1" t="s">
        <v>94</v>
      </c>
      <c r="S758" s="1" t="s">
        <v>87</v>
      </c>
      <c r="T758" s="1" t="s">
        <v>88</v>
      </c>
      <c r="X758" s="1" t="s">
        <v>73</v>
      </c>
      <c r="Z758" s="1" t="s">
        <v>70</v>
      </c>
      <c r="AA758" s="1" t="s">
        <v>95</v>
      </c>
      <c r="AB758" s="1">
        <v>5</v>
      </c>
      <c r="AC758" s="1">
        <v>748798.36</v>
      </c>
      <c r="AD758" s="1">
        <v>8930513.9299999997</v>
      </c>
      <c r="AE758" s="1">
        <v>209.81</v>
      </c>
      <c r="AF758" s="1">
        <v>748798.36</v>
      </c>
      <c r="AG758" s="1">
        <v>8930513.9299999997</v>
      </c>
      <c r="AH758" s="1">
        <v>199.4</v>
      </c>
      <c r="AI758" s="1">
        <v>10.41</v>
      </c>
      <c r="AJ758" s="1">
        <v>0.6</v>
      </c>
      <c r="AK758" s="1">
        <v>2.97</v>
      </c>
      <c r="AL758" s="1">
        <v>2.58</v>
      </c>
      <c r="AM758" s="1">
        <v>0</v>
      </c>
      <c r="AN758" s="1">
        <v>0</v>
      </c>
      <c r="AO758" s="1">
        <v>279.95422539999998</v>
      </c>
      <c r="AP758" s="1">
        <v>3.49</v>
      </c>
      <c r="AQ758" s="1">
        <v>0.67</v>
      </c>
      <c r="AR758" s="1">
        <v>0.1</v>
      </c>
      <c r="AS758" s="1">
        <v>0.1</v>
      </c>
      <c r="AT758" s="1">
        <v>20.81</v>
      </c>
      <c r="AU758" s="1">
        <v>6.4</v>
      </c>
      <c r="AV758" s="1">
        <v>0.41</v>
      </c>
      <c r="AW758" s="1">
        <v>1.65</v>
      </c>
      <c r="AX758" s="1">
        <v>7.88</v>
      </c>
      <c r="AY758" s="1">
        <v>0</v>
      </c>
      <c r="AZ758" s="1">
        <v>100.61</v>
      </c>
      <c r="BA758" s="1">
        <v>0</v>
      </c>
      <c r="BB758" s="1">
        <v>0</v>
      </c>
      <c r="BC758" s="1">
        <v>0</v>
      </c>
      <c r="BD758" s="1">
        <v>0</v>
      </c>
    </row>
    <row r="759" spans="1:56">
      <c r="A759" s="18">
        <v>46192</v>
      </c>
      <c r="B759" s="1">
        <v>758</v>
      </c>
      <c r="C759" s="1" t="s">
        <v>89</v>
      </c>
      <c r="D759" s="1" t="s">
        <v>90</v>
      </c>
      <c r="E759" s="1">
        <v>2</v>
      </c>
      <c r="F759" s="1">
        <v>200</v>
      </c>
      <c r="G759" s="1">
        <v>1</v>
      </c>
      <c r="H759" s="1" t="s">
        <v>91</v>
      </c>
      <c r="I759" s="1" t="s">
        <v>79</v>
      </c>
      <c r="J759" s="1" t="s">
        <v>80</v>
      </c>
      <c r="K759" s="1" t="s">
        <v>74</v>
      </c>
      <c r="L759" s="1" t="s">
        <v>72</v>
      </c>
      <c r="M759" s="1" t="s">
        <v>75</v>
      </c>
      <c r="N759" s="1" t="s">
        <v>82</v>
      </c>
      <c r="O759" s="1" t="s">
        <v>77</v>
      </c>
      <c r="P759" s="1" t="s">
        <v>27</v>
      </c>
      <c r="Q759" s="1" t="s">
        <v>86</v>
      </c>
      <c r="R759" s="1" t="s">
        <v>94</v>
      </c>
      <c r="S759" s="1" t="s">
        <v>87</v>
      </c>
      <c r="T759" s="1" t="s">
        <v>88</v>
      </c>
      <c r="X759" s="1" t="s">
        <v>73</v>
      </c>
      <c r="Z759" s="1" t="s">
        <v>70</v>
      </c>
      <c r="AA759" s="1" t="s">
        <v>95</v>
      </c>
      <c r="AB759" s="1">
        <v>5</v>
      </c>
      <c r="AC759" s="1">
        <v>748799.96</v>
      </c>
      <c r="AD759" s="1">
        <v>8930511.4299999997</v>
      </c>
      <c r="AE759" s="1">
        <v>210.43</v>
      </c>
      <c r="AF759" s="1">
        <v>748799.96</v>
      </c>
      <c r="AG759" s="1">
        <v>8930511.4299999997</v>
      </c>
      <c r="AH759" s="1">
        <v>199.4</v>
      </c>
      <c r="AI759" s="1">
        <v>11.03</v>
      </c>
      <c r="AJ759" s="1">
        <v>0.6</v>
      </c>
      <c r="AK759" s="1">
        <v>2.97</v>
      </c>
      <c r="AL759" s="1">
        <v>2.58</v>
      </c>
      <c r="AM759" s="1">
        <v>0</v>
      </c>
      <c r="AN759" s="1">
        <v>0</v>
      </c>
      <c r="AO759" s="1">
        <v>279.95422539999998</v>
      </c>
      <c r="AP759" s="1">
        <v>3.5</v>
      </c>
      <c r="AQ759" s="1">
        <v>0.7</v>
      </c>
      <c r="AR759" s="1">
        <v>0.09</v>
      </c>
      <c r="AS759" s="1">
        <v>0.1</v>
      </c>
      <c r="AT759" s="1">
        <v>20.94</v>
      </c>
      <c r="AU759" s="1">
        <v>6.28</v>
      </c>
      <c r="AV759" s="1">
        <v>0.42</v>
      </c>
      <c r="AW759" s="1">
        <v>1.66</v>
      </c>
      <c r="AX759" s="1">
        <v>7.35</v>
      </c>
      <c r="AY759" s="1">
        <v>0</v>
      </c>
      <c r="AZ759" s="1">
        <v>109.637</v>
      </c>
      <c r="BA759" s="1">
        <v>0</v>
      </c>
      <c r="BB759" s="1">
        <v>0</v>
      </c>
      <c r="BC759" s="1">
        <v>0</v>
      </c>
      <c r="BD759" s="1">
        <v>0</v>
      </c>
    </row>
    <row r="760" spans="1:56">
      <c r="A760" s="18">
        <v>46192</v>
      </c>
      <c r="B760" s="1">
        <v>759</v>
      </c>
      <c r="C760" s="1" t="s">
        <v>89</v>
      </c>
      <c r="D760" s="1" t="s">
        <v>90</v>
      </c>
      <c r="E760" s="1">
        <v>2</v>
      </c>
      <c r="F760" s="1">
        <v>200</v>
      </c>
      <c r="G760" s="1">
        <v>1</v>
      </c>
      <c r="H760" s="1" t="s">
        <v>91</v>
      </c>
      <c r="I760" s="1" t="s">
        <v>79</v>
      </c>
      <c r="J760" s="1" t="s">
        <v>80</v>
      </c>
      <c r="K760" s="1" t="s">
        <v>74</v>
      </c>
      <c r="L760" s="1" t="s">
        <v>72</v>
      </c>
      <c r="M760" s="1" t="s">
        <v>75</v>
      </c>
      <c r="N760" s="1" t="s">
        <v>82</v>
      </c>
      <c r="O760" s="1" t="s">
        <v>77</v>
      </c>
      <c r="P760" s="1" t="s">
        <v>27</v>
      </c>
      <c r="Q760" s="1" t="s">
        <v>86</v>
      </c>
      <c r="R760" s="1" t="s">
        <v>94</v>
      </c>
      <c r="S760" s="1" t="s">
        <v>87</v>
      </c>
      <c r="T760" s="1" t="s">
        <v>88</v>
      </c>
      <c r="X760" s="1" t="s">
        <v>73</v>
      </c>
      <c r="Z760" s="1" t="s">
        <v>70</v>
      </c>
      <c r="AA760" s="1" t="s">
        <v>95</v>
      </c>
      <c r="AB760" s="1">
        <v>5</v>
      </c>
      <c r="AC760" s="1">
        <v>748801.57</v>
      </c>
      <c r="AD760" s="1">
        <v>8930508.9299999997</v>
      </c>
      <c r="AE760" s="1">
        <v>210.75</v>
      </c>
      <c r="AF760" s="1">
        <v>748801.57</v>
      </c>
      <c r="AG760" s="1">
        <v>8930508.9299999997</v>
      </c>
      <c r="AH760" s="1">
        <v>199.4</v>
      </c>
      <c r="AI760" s="1">
        <v>11.35</v>
      </c>
      <c r="AJ760" s="1">
        <v>0.6</v>
      </c>
      <c r="AK760" s="1">
        <v>2.97</v>
      </c>
      <c r="AL760" s="1">
        <v>2.58</v>
      </c>
      <c r="AM760" s="1">
        <v>0</v>
      </c>
      <c r="AN760" s="1">
        <v>0</v>
      </c>
      <c r="AO760" s="1">
        <v>279.95422539999998</v>
      </c>
      <c r="AP760" s="1">
        <v>3.46</v>
      </c>
      <c r="AQ760" s="1">
        <v>0.68</v>
      </c>
      <c r="AR760" s="1">
        <v>0.11</v>
      </c>
      <c r="AS760" s="1">
        <v>0.09</v>
      </c>
      <c r="AT760" s="1">
        <v>20.51</v>
      </c>
      <c r="AU760" s="1">
        <v>5.66</v>
      </c>
      <c r="AV760" s="1">
        <v>0.42</v>
      </c>
      <c r="AW760" s="1">
        <v>1.62</v>
      </c>
      <c r="AX760" s="1">
        <v>7.5</v>
      </c>
      <c r="AY760" s="1">
        <v>0</v>
      </c>
      <c r="AZ760" s="1">
        <v>114.29600000000001</v>
      </c>
      <c r="BA760" s="1">
        <v>0</v>
      </c>
      <c r="BB760" s="1">
        <v>0</v>
      </c>
      <c r="BC760" s="1">
        <v>0</v>
      </c>
      <c r="BD760" s="1">
        <v>0</v>
      </c>
    </row>
    <row r="761" spans="1:56">
      <c r="A761" s="18">
        <v>46192</v>
      </c>
      <c r="B761" s="1">
        <v>760</v>
      </c>
      <c r="C761" s="1" t="s">
        <v>89</v>
      </c>
      <c r="D761" s="1" t="s">
        <v>90</v>
      </c>
      <c r="E761" s="1">
        <v>2</v>
      </c>
      <c r="F761" s="1">
        <v>200</v>
      </c>
      <c r="G761" s="1">
        <v>1</v>
      </c>
      <c r="H761" s="1" t="s">
        <v>91</v>
      </c>
      <c r="I761" s="1" t="s">
        <v>79</v>
      </c>
      <c r="J761" s="1" t="s">
        <v>80</v>
      </c>
      <c r="K761" s="1" t="s">
        <v>74</v>
      </c>
      <c r="L761" s="1" t="s">
        <v>72</v>
      </c>
      <c r="M761" s="1" t="s">
        <v>75</v>
      </c>
      <c r="N761" s="1" t="s">
        <v>82</v>
      </c>
      <c r="O761" s="1" t="s">
        <v>77</v>
      </c>
      <c r="P761" s="1" t="s">
        <v>27</v>
      </c>
      <c r="Q761" s="1" t="s">
        <v>86</v>
      </c>
      <c r="R761" s="1" t="s">
        <v>94</v>
      </c>
      <c r="S761" s="1" t="s">
        <v>87</v>
      </c>
      <c r="T761" s="1" t="s">
        <v>88</v>
      </c>
      <c r="X761" s="1" t="s">
        <v>73</v>
      </c>
      <c r="Z761" s="1" t="s">
        <v>70</v>
      </c>
      <c r="AA761" s="1" t="s">
        <v>95</v>
      </c>
      <c r="AB761" s="1">
        <v>5</v>
      </c>
      <c r="AC761" s="1">
        <v>748803.17</v>
      </c>
      <c r="AD761" s="1">
        <v>8930506.4299999997</v>
      </c>
      <c r="AE761" s="1">
        <v>210.73</v>
      </c>
      <c r="AF761" s="1">
        <v>748803.17</v>
      </c>
      <c r="AG761" s="1">
        <v>8930506.4299999997</v>
      </c>
      <c r="AH761" s="1">
        <v>199.4</v>
      </c>
      <c r="AI761" s="1">
        <v>11.33</v>
      </c>
      <c r="AJ761" s="1">
        <v>0.6</v>
      </c>
      <c r="AK761" s="1">
        <v>2.97</v>
      </c>
      <c r="AL761" s="1">
        <v>2.58</v>
      </c>
      <c r="AM761" s="1">
        <v>0</v>
      </c>
      <c r="AN761" s="1">
        <v>0</v>
      </c>
      <c r="AO761" s="1">
        <v>279.95422539999998</v>
      </c>
      <c r="AP761" s="1">
        <v>3.44</v>
      </c>
      <c r="AQ761" s="1">
        <v>0.67</v>
      </c>
      <c r="AR761" s="1">
        <v>0.12</v>
      </c>
      <c r="AS761" s="1">
        <v>0.08</v>
      </c>
      <c r="AT761" s="1">
        <v>20.420000000000002</v>
      </c>
      <c r="AU761" s="1">
        <v>5.46</v>
      </c>
      <c r="AV761" s="1">
        <v>0.42</v>
      </c>
      <c r="AW761" s="1">
        <v>1.6</v>
      </c>
      <c r="AX761" s="1">
        <v>7.69</v>
      </c>
      <c r="AY761" s="1">
        <v>0</v>
      </c>
      <c r="AZ761" s="1">
        <v>114.005</v>
      </c>
      <c r="BA761" s="1">
        <v>0</v>
      </c>
      <c r="BB761" s="1">
        <v>0</v>
      </c>
      <c r="BC761" s="1">
        <v>0</v>
      </c>
      <c r="BD761" s="1">
        <v>0</v>
      </c>
    </row>
    <row r="762" spans="1:56">
      <c r="A762" s="18">
        <v>46192</v>
      </c>
      <c r="B762" s="1">
        <v>761</v>
      </c>
      <c r="C762" s="1" t="s">
        <v>89</v>
      </c>
      <c r="D762" s="1" t="s">
        <v>90</v>
      </c>
      <c r="E762" s="1">
        <v>2</v>
      </c>
      <c r="F762" s="1">
        <v>200</v>
      </c>
      <c r="G762" s="1">
        <v>1</v>
      </c>
      <c r="H762" s="1" t="s">
        <v>91</v>
      </c>
      <c r="I762" s="1" t="s">
        <v>79</v>
      </c>
      <c r="J762" s="1" t="s">
        <v>80</v>
      </c>
      <c r="K762" s="1" t="s">
        <v>74</v>
      </c>
      <c r="L762" s="1" t="s">
        <v>72</v>
      </c>
      <c r="M762" s="1" t="s">
        <v>75</v>
      </c>
      <c r="N762" s="1" t="s">
        <v>82</v>
      </c>
      <c r="O762" s="1" t="s">
        <v>77</v>
      </c>
      <c r="P762" s="1" t="s">
        <v>27</v>
      </c>
      <c r="Q762" s="1" t="s">
        <v>86</v>
      </c>
      <c r="R762" s="1" t="s">
        <v>94</v>
      </c>
      <c r="S762" s="1" t="s">
        <v>87</v>
      </c>
      <c r="T762" s="1" t="s">
        <v>88</v>
      </c>
      <c r="X762" s="1" t="s">
        <v>73</v>
      </c>
      <c r="Z762" s="1" t="s">
        <v>70</v>
      </c>
      <c r="AA762" s="1" t="s">
        <v>95</v>
      </c>
      <c r="AB762" s="1">
        <v>5</v>
      </c>
      <c r="AC762" s="1">
        <v>748804.77</v>
      </c>
      <c r="AD762" s="1">
        <v>8930503.9299999997</v>
      </c>
      <c r="AE762" s="1">
        <v>210.24</v>
      </c>
      <c r="AF762" s="1">
        <v>748804.77</v>
      </c>
      <c r="AG762" s="1">
        <v>8930503.9299999997</v>
      </c>
      <c r="AH762" s="1">
        <v>199.4</v>
      </c>
      <c r="AI762" s="1">
        <v>10.84</v>
      </c>
      <c r="AJ762" s="1">
        <v>0.6</v>
      </c>
      <c r="AK762" s="1">
        <v>2.97</v>
      </c>
      <c r="AL762" s="1">
        <v>2.58</v>
      </c>
      <c r="AM762" s="1">
        <v>0</v>
      </c>
      <c r="AN762" s="1">
        <v>0</v>
      </c>
      <c r="AO762" s="1">
        <v>279.95422539999998</v>
      </c>
      <c r="AP762" s="1">
        <v>3.44</v>
      </c>
      <c r="AQ762" s="1">
        <v>0.66</v>
      </c>
      <c r="AR762" s="1">
        <v>0.12</v>
      </c>
      <c r="AS762" s="1">
        <v>0.08</v>
      </c>
      <c r="AT762" s="1">
        <v>20.440000000000001</v>
      </c>
      <c r="AU762" s="1">
        <v>5.43</v>
      </c>
      <c r="AV762" s="1">
        <v>0.42</v>
      </c>
      <c r="AW762" s="1">
        <v>1.59</v>
      </c>
      <c r="AX762" s="1">
        <v>7.61</v>
      </c>
      <c r="AY762" s="1">
        <v>0</v>
      </c>
      <c r="AZ762" s="1">
        <v>106.87</v>
      </c>
      <c r="BA762" s="1">
        <v>0</v>
      </c>
      <c r="BB762" s="1">
        <v>0</v>
      </c>
      <c r="BC762" s="1">
        <v>0</v>
      </c>
      <c r="BD762" s="1">
        <v>0</v>
      </c>
    </row>
    <row r="763" spans="1:56">
      <c r="A763" s="18">
        <v>46192</v>
      </c>
      <c r="B763" s="1">
        <v>762</v>
      </c>
      <c r="C763" s="1" t="s">
        <v>89</v>
      </c>
      <c r="D763" s="1" t="s">
        <v>90</v>
      </c>
      <c r="E763" s="1">
        <v>2</v>
      </c>
      <c r="F763" s="1">
        <v>200</v>
      </c>
      <c r="G763" s="1">
        <v>1</v>
      </c>
      <c r="H763" s="1" t="s">
        <v>91</v>
      </c>
      <c r="I763" s="1" t="s">
        <v>79</v>
      </c>
      <c r="J763" s="1" t="s">
        <v>80</v>
      </c>
      <c r="K763" s="1" t="s">
        <v>74</v>
      </c>
      <c r="L763" s="1" t="s">
        <v>72</v>
      </c>
      <c r="M763" s="1" t="s">
        <v>75</v>
      </c>
      <c r="N763" s="1" t="s">
        <v>82</v>
      </c>
      <c r="O763" s="1" t="s">
        <v>77</v>
      </c>
      <c r="P763" s="1" t="s">
        <v>27</v>
      </c>
      <c r="Q763" s="1" t="s">
        <v>86</v>
      </c>
      <c r="R763" s="1" t="s">
        <v>94</v>
      </c>
      <c r="S763" s="1" t="s">
        <v>87</v>
      </c>
      <c r="T763" s="1" t="s">
        <v>88</v>
      </c>
      <c r="X763" s="1" t="s">
        <v>73</v>
      </c>
      <c r="Z763" s="1" t="s">
        <v>70</v>
      </c>
      <c r="AA763" s="1" t="s">
        <v>95</v>
      </c>
      <c r="AB763" s="1">
        <v>5</v>
      </c>
      <c r="AC763" s="1">
        <v>748806.38</v>
      </c>
      <c r="AD763" s="1">
        <v>8930501.4299999997</v>
      </c>
      <c r="AE763" s="1">
        <v>209.97</v>
      </c>
      <c r="AF763" s="1">
        <v>748806.38</v>
      </c>
      <c r="AG763" s="1">
        <v>8930501.4299999997</v>
      </c>
      <c r="AH763" s="1">
        <v>199.4</v>
      </c>
      <c r="AI763" s="1">
        <v>10.57</v>
      </c>
      <c r="AJ763" s="1">
        <v>0.6</v>
      </c>
      <c r="AK763" s="1">
        <v>2.97</v>
      </c>
      <c r="AL763" s="1">
        <v>2.58</v>
      </c>
      <c r="AM763" s="1">
        <v>0</v>
      </c>
      <c r="AN763" s="1">
        <v>0</v>
      </c>
      <c r="AO763" s="1">
        <v>279.95422539999998</v>
      </c>
      <c r="AP763" s="1">
        <v>3.45</v>
      </c>
      <c r="AQ763" s="1">
        <v>0.67</v>
      </c>
      <c r="AR763" s="1">
        <v>0.12</v>
      </c>
      <c r="AS763" s="1">
        <v>0.08</v>
      </c>
      <c r="AT763" s="1">
        <v>20.25</v>
      </c>
      <c r="AU763" s="1">
        <v>5.46</v>
      </c>
      <c r="AV763" s="1">
        <v>0.42</v>
      </c>
      <c r="AW763" s="1">
        <v>1.61</v>
      </c>
      <c r="AX763" s="1">
        <v>7.62</v>
      </c>
      <c r="AY763" s="1">
        <v>0</v>
      </c>
      <c r="AZ763" s="1">
        <v>102.93899999999999</v>
      </c>
      <c r="BA763" s="1">
        <v>0</v>
      </c>
      <c r="BB763" s="1">
        <v>0</v>
      </c>
      <c r="BC763" s="1">
        <v>0</v>
      </c>
      <c r="BD763" s="1">
        <v>0</v>
      </c>
    </row>
    <row r="764" spans="1:56">
      <c r="A764" s="18">
        <v>46192</v>
      </c>
      <c r="B764" s="1">
        <v>763</v>
      </c>
      <c r="C764" s="1" t="s">
        <v>89</v>
      </c>
      <c r="D764" s="1" t="s">
        <v>90</v>
      </c>
      <c r="E764" s="1">
        <v>2</v>
      </c>
      <c r="F764" s="1">
        <v>200</v>
      </c>
      <c r="G764" s="1">
        <v>1</v>
      </c>
      <c r="H764" s="1" t="s">
        <v>91</v>
      </c>
      <c r="I764" s="1" t="s">
        <v>79</v>
      </c>
      <c r="J764" s="1" t="s">
        <v>81</v>
      </c>
      <c r="K764" s="1" t="s">
        <v>74</v>
      </c>
      <c r="L764" s="1" t="s">
        <v>72</v>
      </c>
      <c r="M764" s="1" t="s">
        <v>75</v>
      </c>
      <c r="N764" s="1" t="s">
        <v>82</v>
      </c>
      <c r="O764" s="1" t="s">
        <v>77</v>
      </c>
      <c r="P764" s="1" t="s">
        <v>27</v>
      </c>
      <c r="Q764" s="1" t="s">
        <v>86</v>
      </c>
      <c r="R764" s="1" t="s">
        <v>94</v>
      </c>
      <c r="S764" s="1" t="s">
        <v>87</v>
      </c>
      <c r="T764" s="1" t="s">
        <v>88</v>
      </c>
      <c r="X764" s="1" t="s">
        <v>73</v>
      </c>
      <c r="Z764" s="1" t="s">
        <v>70</v>
      </c>
      <c r="AA764" s="1" t="s">
        <v>95</v>
      </c>
      <c r="AB764" s="1">
        <v>5</v>
      </c>
      <c r="AC764" s="1">
        <v>748807.98</v>
      </c>
      <c r="AD764" s="1">
        <v>8930498.9299999997</v>
      </c>
      <c r="AE764" s="1">
        <v>209.91</v>
      </c>
      <c r="AF764" s="1">
        <v>748807.98</v>
      </c>
      <c r="AG764" s="1">
        <v>8930498.9299999997</v>
      </c>
      <c r="AH764" s="1">
        <v>199.4</v>
      </c>
      <c r="AI764" s="1">
        <v>10.51</v>
      </c>
      <c r="AJ764" s="1">
        <v>0.6</v>
      </c>
      <c r="AK764" s="1">
        <v>2.97</v>
      </c>
      <c r="AL764" s="1">
        <v>2.58</v>
      </c>
      <c r="AM764" s="1">
        <v>0</v>
      </c>
      <c r="AN764" s="1">
        <v>0</v>
      </c>
      <c r="AO764" s="1">
        <v>279.95422539999998</v>
      </c>
      <c r="AP764" s="1">
        <v>3.46</v>
      </c>
      <c r="AQ764" s="1">
        <v>0.76</v>
      </c>
      <c r="AR764" s="1">
        <v>0.12</v>
      </c>
      <c r="AS764" s="1">
        <v>0.08</v>
      </c>
      <c r="AT764" s="1">
        <v>18.95</v>
      </c>
      <c r="AU764" s="1">
        <v>5.76</v>
      </c>
      <c r="AV764" s="1">
        <v>0.42</v>
      </c>
      <c r="AW764" s="1">
        <v>1.8</v>
      </c>
      <c r="AX764" s="1">
        <v>8.0299999999999994</v>
      </c>
      <c r="AY764" s="1">
        <v>0</v>
      </c>
      <c r="AZ764" s="1">
        <v>102.066</v>
      </c>
      <c r="BA764" s="1">
        <v>0</v>
      </c>
      <c r="BB764" s="1">
        <v>0</v>
      </c>
      <c r="BC764" s="1">
        <v>0</v>
      </c>
      <c r="BD764" s="1">
        <v>0</v>
      </c>
    </row>
    <row r="765" spans="1:56">
      <c r="A765" s="18">
        <v>46192</v>
      </c>
      <c r="B765" s="1">
        <v>764</v>
      </c>
      <c r="C765" s="1" t="s">
        <v>89</v>
      </c>
      <c r="D765" s="1" t="s">
        <v>90</v>
      </c>
      <c r="E765" s="1">
        <v>2</v>
      </c>
      <c r="F765" s="1">
        <v>200</v>
      </c>
      <c r="G765" s="1">
        <v>1</v>
      </c>
      <c r="H765" s="1" t="s">
        <v>91</v>
      </c>
      <c r="I765" s="1" t="s">
        <v>79</v>
      </c>
      <c r="J765" s="1" t="s">
        <v>81</v>
      </c>
      <c r="K765" s="1" t="s">
        <v>74</v>
      </c>
      <c r="L765" s="1" t="s">
        <v>72</v>
      </c>
      <c r="M765" s="1" t="s">
        <v>75</v>
      </c>
      <c r="N765" s="1" t="s">
        <v>82</v>
      </c>
      <c r="O765" s="1" t="s">
        <v>77</v>
      </c>
      <c r="P765" s="1" t="s">
        <v>27</v>
      </c>
      <c r="Q765" s="1" t="s">
        <v>86</v>
      </c>
      <c r="R765" s="1" t="s">
        <v>94</v>
      </c>
      <c r="S765" s="1" t="s">
        <v>87</v>
      </c>
      <c r="T765" s="1" t="s">
        <v>88</v>
      </c>
      <c r="X765" s="1" t="s">
        <v>73</v>
      </c>
      <c r="Z765" s="1" t="s">
        <v>70</v>
      </c>
      <c r="AA765" s="1" t="s">
        <v>95</v>
      </c>
      <c r="AB765" s="1">
        <v>5</v>
      </c>
      <c r="AC765" s="1">
        <v>748809.58</v>
      </c>
      <c r="AD765" s="1">
        <v>8930496.4299999997</v>
      </c>
      <c r="AE765" s="1">
        <v>210.15</v>
      </c>
      <c r="AF765" s="1">
        <v>748809.58</v>
      </c>
      <c r="AG765" s="1">
        <v>8930496.4299999997</v>
      </c>
      <c r="AH765" s="1">
        <v>199.4</v>
      </c>
      <c r="AI765" s="1">
        <v>10.75</v>
      </c>
      <c r="AJ765" s="1">
        <v>0.6</v>
      </c>
      <c r="AK765" s="1">
        <v>2.97</v>
      </c>
      <c r="AL765" s="1">
        <v>2.58</v>
      </c>
      <c r="AM765" s="1">
        <v>0</v>
      </c>
      <c r="AN765" s="1">
        <v>0</v>
      </c>
      <c r="AO765" s="1">
        <v>279.95422539999998</v>
      </c>
      <c r="AP765" s="1">
        <v>3.46</v>
      </c>
      <c r="AQ765" s="1">
        <v>0.73</v>
      </c>
      <c r="AR765" s="1">
        <v>0.11</v>
      </c>
      <c r="AS765" s="1">
        <v>0.08</v>
      </c>
      <c r="AT765" s="1">
        <v>18.43</v>
      </c>
      <c r="AU765" s="1">
        <v>5.89</v>
      </c>
      <c r="AV765" s="1">
        <v>0.4</v>
      </c>
      <c r="AW765" s="1">
        <v>1.84</v>
      </c>
      <c r="AX765" s="1">
        <v>8.73</v>
      </c>
      <c r="AY765" s="1">
        <v>0</v>
      </c>
      <c r="AZ765" s="1">
        <v>105.56</v>
      </c>
      <c r="BA765" s="1">
        <v>0</v>
      </c>
      <c r="BB765" s="1">
        <v>0</v>
      </c>
      <c r="BC765" s="1">
        <v>0</v>
      </c>
      <c r="BD765" s="1">
        <v>0</v>
      </c>
    </row>
    <row r="766" spans="1:56">
      <c r="A766" s="18">
        <v>46192</v>
      </c>
      <c r="B766" s="1">
        <v>765</v>
      </c>
      <c r="C766" s="1" t="s">
        <v>89</v>
      </c>
      <c r="D766" s="1" t="s">
        <v>90</v>
      </c>
      <c r="E766" s="1">
        <v>2</v>
      </c>
      <c r="F766" s="1">
        <v>200</v>
      </c>
      <c r="G766" s="1">
        <v>1</v>
      </c>
      <c r="H766" s="1" t="s">
        <v>91</v>
      </c>
      <c r="I766" s="1" t="s">
        <v>79</v>
      </c>
      <c r="J766" s="1" t="s">
        <v>80</v>
      </c>
      <c r="K766" s="1" t="s">
        <v>74</v>
      </c>
      <c r="L766" s="1" t="s">
        <v>72</v>
      </c>
      <c r="M766" s="1" t="s">
        <v>75</v>
      </c>
      <c r="N766" s="1" t="s">
        <v>82</v>
      </c>
      <c r="O766" s="1" t="s">
        <v>77</v>
      </c>
      <c r="P766" s="1" t="s">
        <v>27</v>
      </c>
      <c r="Q766" s="1" t="s">
        <v>86</v>
      </c>
      <c r="R766" s="1" t="s">
        <v>94</v>
      </c>
      <c r="S766" s="1" t="s">
        <v>87</v>
      </c>
      <c r="T766" s="1" t="s">
        <v>88</v>
      </c>
      <c r="X766" s="1" t="s">
        <v>73</v>
      </c>
      <c r="Z766" s="1" t="s">
        <v>70</v>
      </c>
      <c r="AA766" s="1" t="s">
        <v>95</v>
      </c>
      <c r="AB766" s="1">
        <v>5</v>
      </c>
      <c r="AC766" s="1">
        <v>748811.18</v>
      </c>
      <c r="AD766" s="1">
        <v>8930493.9299999997</v>
      </c>
      <c r="AE766" s="1">
        <v>210.3</v>
      </c>
      <c r="AF766" s="1">
        <v>748811.18</v>
      </c>
      <c r="AG766" s="1">
        <v>8930493.9299999997</v>
      </c>
      <c r="AH766" s="1">
        <v>199.4</v>
      </c>
      <c r="AI766" s="1">
        <v>10.9</v>
      </c>
      <c r="AJ766" s="1">
        <v>0.6</v>
      </c>
      <c r="AK766" s="1">
        <v>2.97</v>
      </c>
      <c r="AL766" s="1">
        <v>2.58</v>
      </c>
      <c r="AM766" s="1">
        <v>0</v>
      </c>
      <c r="AN766" s="1">
        <v>0</v>
      </c>
      <c r="AO766" s="1">
        <v>279.95422539999998</v>
      </c>
      <c r="AP766" s="1">
        <v>3.45</v>
      </c>
      <c r="AQ766" s="1">
        <v>0.68</v>
      </c>
      <c r="AR766" s="1">
        <v>0.11</v>
      </c>
      <c r="AS766" s="1">
        <v>0.08</v>
      </c>
      <c r="AT766" s="1">
        <v>18.21</v>
      </c>
      <c r="AU766" s="1">
        <v>5.94</v>
      </c>
      <c r="AV766" s="1">
        <v>0.37</v>
      </c>
      <c r="AW766" s="1">
        <v>1.83</v>
      </c>
      <c r="AX766" s="1">
        <v>9.4600000000000009</v>
      </c>
      <c r="AY766" s="1">
        <v>0</v>
      </c>
      <c r="AZ766" s="1">
        <v>107.744</v>
      </c>
      <c r="BA766" s="1">
        <v>0</v>
      </c>
      <c r="BB766" s="1">
        <v>0</v>
      </c>
      <c r="BC766" s="1">
        <v>0</v>
      </c>
      <c r="BD766" s="1">
        <v>0</v>
      </c>
    </row>
    <row r="767" spans="1:56">
      <c r="A767" s="18">
        <v>46192</v>
      </c>
      <c r="B767" s="1">
        <v>766</v>
      </c>
      <c r="C767" s="1" t="s">
        <v>89</v>
      </c>
      <c r="D767" s="1" t="s">
        <v>90</v>
      </c>
      <c r="E767" s="1">
        <v>2</v>
      </c>
      <c r="F767" s="1">
        <v>200</v>
      </c>
      <c r="G767" s="1">
        <v>1</v>
      </c>
      <c r="H767" s="1" t="s">
        <v>91</v>
      </c>
      <c r="I767" s="1" t="s">
        <v>79</v>
      </c>
      <c r="J767" s="1" t="s">
        <v>80</v>
      </c>
      <c r="K767" s="1" t="s">
        <v>74</v>
      </c>
      <c r="L767" s="1" t="s">
        <v>72</v>
      </c>
      <c r="M767" s="1" t="s">
        <v>75</v>
      </c>
      <c r="N767" s="1" t="s">
        <v>82</v>
      </c>
      <c r="O767" s="1" t="s">
        <v>77</v>
      </c>
      <c r="P767" s="1" t="s">
        <v>27</v>
      </c>
      <c r="Q767" s="1" t="s">
        <v>86</v>
      </c>
      <c r="R767" s="1" t="s">
        <v>94</v>
      </c>
      <c r="S767" s="1" t="s">
        <v>87</v>
      </c>
      <c r="T767" s="1" t="s">
        <v>88</v>
      </c>
      <c r="X767" s="1" t="s">
        <v>73</v>
      </c>
      <c r="Z767" s="1" t="s">
        <v>70</v>
      </c>
      <c r="AA767" s="1" t="s">
        <v>95</v>
      </c>
      <c r="AB767" s="1">
        <v>5</v>
      </c>
      <c r="AC767" s="1">
        <v>748812.79</v>
      </c>
      <c r="AD767" s="1">
        <v>8930491.4299999997</v>
      </c>
      <c r="AE767" s="1">
        <v>210.45</v>
      </c>
      <c r="AF767" s="1">
        <v>748812.79</v>
      </c>
      <c r="AG767" s="1">
        <v>8930491.4299999997</v>
      </c>
      <c r="AH767" s="1">
        <v>199.4</v>
      </c>
      <c r="AI767" s="1">
        <v>11.05</v>
      </c>
      <c r="AJ767" s="1">
        <v>0.6</v>
      </c>
      <c r="AK767" s="1">
        <v>2.97</v>
      </c>
      <c r="AL767" s="1">
        <v>2.58</v>
      </c>
      <c r="AM767" s="1">
        <v>0</v>
      </c>
      <c r="AN767" s="1">
        <v>0</v>
      </c>
      <c r="AO767" s="1">
        <v>279.95422539999998</v>
      </c>
      <c r="AP767" s="1">
        <v>3.44</v>
      </c>
      <c r="AQ767" s="1">
        <v>0.65</v>
      </c>
      <c r="AR767" s="1">
        <v>0.1</v>
      </c>
      <c r="AS767" s="1">
        <v>7.0000000000000007E-2</v>
      </c>
      <c r="AT767" s="1">
        <v>17.75</v>
      </c>
      <c r="AU767" s="1">
        <v>5.82</v>
      </c>
      <c r="AV767" s="1">
        <v>0.35</v>
      </c>
      <c r="AW767" s="1">
        <v>1.88</v>
      </c>
      <c r="AX767" s="1">
        <v>9.74</v>
      </c>
      <c r="AY767" s="1">
        <v>0</v>
      </c>
      <c r="AZ767" s="1">
        <v>109.928</v>
      </c>
      <c r="BA767" s="1">
        <v>0</v>
      </c>
      <c r="BB767" s="1">
        <v>0</v>
      </c>
      <c r="BC767" s="1">
        <v>0</v>
      </c>
      <c r="BD767" s="1">
        <v>0</v>
      </c>
    </row>
    <row r="768" spans="1:56">
      <c r="A768" s="18">
        <v>46192</v>
      </c>
      <c r="B768" s="1">
        <v>767</v>
      </c>
      <c r="C768" s="1" t="s">
        <v>89</v>
      </c>
      <c r="D768" s="1" t="s">
        <v>90</v>
      </c>
      <c r="E768" s="1">
        <v>2</v>
      </c>
      <c r="F768" s="1">
        <v>200</v>
      </c>
      <c r="G768" s="1">
        <v>1</v>
      </c>
      <c r="H768" s="1" t="s">
        <v>91</v>
      </c>
      <c r="I768" s="1" t="s">
        <v>79</v>
      </c>
      <c r="J768" s="1" t="s">
        <v>80</v>
      </c>
      <c r="K768" s="1" t="s">
        <v>74</v>
      </c>
      <c r="L768" s="1" t="s">
        <v>72</v>
      </c>
      <c r="M768" s="1" t="s">
        <v>75</v>
      </c>
      <c r="N768" s="1" t="s">
        <v>82</v>
      </c>
      <c r="O768" s="1" t="s">
        <v>77</v>
      </c>
      <c r="P768" s="1" t="s">
        <v>27</v>
      </c>
      <c r="Q768" s="1" t="s">
        <v>86</v>
      </c>
      <c r="R768" s="1" t="s">
        <v>94</v>
      </c>
      <c r="S768" s="1" t="s">
        <v>87</v>
      </c>
      <c r="T768" s="1" t="s">
        <v>88</v>
      </c>
      <c r="X768" s="1" t="s">
        <v>73</v>
      </c>
      <c r="Z768" s="1" t="s">
        <v>70</v>
      </c>
      <c r="AA768" s="1" t="s">
        <v>95</v>
      </c>
      <c r="AB768" s="1">
        <v>5</v>
      </c>
      <c r="AC768" s="1">
        <v>748814.39</v>
      </c>
      <c r="AD768" s="1">
        <v>8930488.9299999997</v>
      </c>
      <c r="AE768" s="1">
        <v>210.63</v>
      </c>
      <c r="AF768" s="1">
        <v>748814.39</v>
      </c>
      <c r="AG768" s="1">
        <v>8930488.9299999997</v>
      </c>
      <c r="AH768" s="1">
        <v>199.4</v>
      </c>
      <c r="AI768" s="1">
        <v>11.23</v>
      </c>
      <c r="AJ768" s="1">
        <v>0.6</v>
      </c>
      <c r="AK768" s="1">
        <v>2.97</v>
      </c>
      <c r="AL768" s="1">
        <v>2.58</v>
      </c>
      <c r="AM768" s="1">
        <v>0</v>
      </c>
      <c r="AN768" s="1">
        <v>0</v>
      </c>
      <c r="AO768" s="1">
        <v>279.95422539999998</v>
      </c>
      <c r="AP768" s="1">
        <v>3.39</v>
      </c>
      <c r="AQ768" s="1">
        <v>0.6</v>
      </c>
      <c r="AR768" s="1">
        <v>0.09</v>
      </c>
      <c r="AS768" s="1">
        <v>7.0000000000000007E-2</v>
      </c>
      <c r="AT768" s="1">
        <v>15.32</v>
      </c>
      <c r="AU768" s="1">
        <v>4.95</v>
      </c>
      <c r="AV768" s="1">
        <v>0.27</v>
      </c>
      <c r="AW768" s="1">
        <v>2.23</v>
      </c>
      <c r="AX768" s="1">
        <v>9.8000000000000007</v>
      </c>
      <c r="AY768" s="1">
        <v>0</v>
      </c>
      <c r="AZ768" s="1">
        <v>112.54900000000001</v>
      </c>
      <c r="BA768" s="1">
        <v>0</v>
      </c>
      <c r="BB768" s="1">
        <v>0</v>
      </c>
      <c r="BC768" s="1">
        <v>0</v>
      </c>
      <c r="BD768" s="1">
        <v>0</v>
      </c>
    </row>
    <row r="769" spans="1:56">
      <c r="A769" s="18">
        <v>46192</v>
      </c>
      <c r="B769" s="1">
        <v>768</v>
      </c>
      <c r="C769" s="1" t="s">
        <v>89</v>
      </c>
      <c r="D769" s="1" t="s">
        <v>90</v>
      </c>
      <c r="E769" s="1">
        <v>2</v>
      </c>
      <c r="F769" s="1">
        <v>200</v>
      </c>
      <c r="G769" s="1">
        <v>1</v>
      </c>
      <c r="H769" s="1" t="s">
        <v>91</v>
      </c>
      <c r="I769" s="1" t="s">
        <v>79</v>
      </c>
      <c r="J769" s="1" t="s">
        <v>80</v>
      </c>
      <c r="K769" s="1" t="s">
        <v>74</v>
      </c>
      <c r="L769" s="1" t="s">
        <v>72</v>
      </c>
      <c r="M769" s="1" t="s">
        <v>75</v>
      </c>
      <c r="N769" s="1" t="s">
        <v>82</v>
      </c>
      <c r="O769" s="1" t="s">
        <v>77</v>
      </c>
      <c r="P769" s="1" t="s">
        <v>27</v>
      </c>
      <c r="Q769" s="1" t="s">
        <v>86</v>
      </c>
      <c r="R769" s="1" t="s">
        <v>94</v>
      </c>
      <c r="S769" s="1" t="s">
        <v>87</v>
      </c>
      <c r="T769" s="1" t="s">
        <v>88</v>
      </c>
      <c r="X769" s="1" t="s">
        <v>73</v>
      </c>
      <c r="Z769" s="1" t="s">
        <v>70</v>
      </c>
      <c r="AA769" s="1" t="s">
        <v>95</v>
      </c>
      <c r="AB769" s="1">
        <v>5</v>
      </c>
      <c r="AC769" s="1">
        <v>748815.99</v>
      </c>
      <c r="AD769" s="1">
        <v>8930486.4299999997</v>
      </c>
      <c r="AE769" s="1">
        <v>210.67</v>
      </c>
      <c r="AF769" s="1">
        <v>748815.99</v>
      </c>
      <c r="AG769" s="1">
        <v>8930486.4299999997</v>
      </c>
      <c r="AH769" s="1">
        <v>199.4</v>
      </c>
      <c r="AI769" s="1">
        <v>11.27</v>
      </c>
      <c r="AJ769" s="1">
        <v>0.6</v>
      </c>
      <c r="AK769" s="1">
        <v>2.97</v>
      </c>
      <c r="AL769" s="1">
        <v>2.58</v>
      </c>
      <c r="AM769" s="1">
        <v>0</v>
      </c>
      <c r="AN769" s="1">
        <v>0</v>
      </c>
      <c r="AO769" s="1">
        <v>279.95422539999998</v>
      </c>
      <c r="AP769" s="1">
        <v>3.38</v>
      </c>
      <c r="AQ769" s="1">
        <v>0.57999999999999996</v>
      </c>
      <c r="AR769" s="1">
        <v>0.09</v>
      </c>
      <c r="AS769" s="1">
        <v>0.06</v>
      </c>
      <c r="AT769" s="1">
        <v>14.66</v>
      </c>
      <c r="AU769" s="1">
        <v>4.71</v>
      </c>
      <c r="AV769" s="1">
        <v>0.25</v>
      </c>
      <c r="AW769" s="1">
        <v>2.33</v>
      </c>
      <c r="AX769" s="1">
        <v>9.81</v>
      </c>
      <c r="AY769" s="1">
        <v>0</v>
      </c>
      <c r="AZ769" s="1">
        <v>113.131</v>
      </c>
      <c r="BA769" s="1">
        <v>0</v>
      </c>
      <c r="BB769" s="1">
        <v>0</v>
      </c>
      <c r="BC769" s="1">
        <v>0</v>
      </c>
      <c r="BD769" s="1">
        <v>0</v>
      </c>
    </row>
    <row r="770" spans="1:56">
      <c r="A770" s="18">
        <v>46192</v>
      </c>
      <c r="B770" s="1">
        <v>769</v>
      </c>
      <c r="C770" s="1" t="s">
        <v>89</v>
      </c>
      <c r="D770" s="1" t="s">
        <v>90</v>
      </c>
      <c r="E770" s="1">
        <v>2</v>
      </c>
      <c r="F770" s="1">
        <v>200</v>
      </c>
      <c r="G770" s="1">
        <v>1</v>
      </c>
      <c r="H770" s="1" t="s">
        <v>91</v>
      </c>
      <c r="I770" s="1" t="s">
        <v>79</v>
      </c>
      <c r="J770" s="1" t="s">
        <v>80</v>
      </c>
      <c r="K770" s="1" t="s">
        <v>74</v>
      </c>
      <c r="L770" s="1" t="s">
        <v>72</v>
      </c>
      <c r="M770" s="1" t="s">
        <v>75</v>
      </c>
      <c r="N770" s="1" t="s">
        <v>82</v>
      </c>
      <c r="O770" s="1" t="s">
        <v>77</v>
      </c>
      <c r="P770" s="1" t="s">
        <v>27</v>
      </c>
      <c r="Q770" s="1" t="s">
        <v>86</v>
      </c>
      <c r="R770" s="1" t="s">
        <v>94</v>
      </c>
      <c r="S770" s="1" t="s">
        <v>87</v>
      </c>
      <c r="T770" s="1" t="s">
        <v>88</v>
      </c>
      <c r="X770" s="1" t="s">
        <v>73</v>
      </c>
      <c r="Z770" s="1" t="s">
        <v>70</v>
      </c>
      <c r="AA770" s="1" t="s">
        <v>95</v>
      </c>
      <c r="AB770" s="1">
        <v>5</v>
      </c>
      <c r="AC770" s="1">
        <v>748817.6</v>
      </c>
      <c r="AD770" s="1">
        <v>8930483.9299999997</v>
      </c>
      <c r="AE770" s="1">
        <v>210.65</v>
      </c>
      <c r="AF770" s="1">
        <v>748817.6</v>
      </c>
      <c r="AG770" s="1">
        <v>8930483.9299999997</v>
      </c>
      <c r="AH770" s="1">
        <v>199.4</v>
      </c>
      <c r="AI770" s="1">
        <v>11.25</v>
      </c>
      <c r="AJ770" s="1">
        <v>0.6</v>
      </c>
      <c r="AK770" s="1">
        <v>2.97</v>
      </c>
      <c r="AL770" s="1">
        <v>2.58</v>
      </c>
      <c r="AM770" s="1">
        <v>0</v>
      </c>
      <c r="AN770" s="1">
        <v>0</v>
      </c>
      <c r="AO770" s="1">
        <v>279.95422539999998</v>
      </c>
      <c r="AP770" s="1">
        <v>3.38</v>
      </c>
      <c r="AQ770" s="1">
        <v>0.57999999999999996</v>
      </c>
      <c r="AR770" s="1">
        <v>0.09</v>
      </c>
      <c r="AS770" s="1">
        <v>0.06</v>
      </c>
      <c r="AT770" s="1">
        <v>14.66</v>
      </c>
      <c r="AU770" s="1">
        <v>4.72</v>
      </c>
      <c r="AV770" s="1">
        <v>0.25</v>
      </c>
      <c r="AW770" s="1">
        <v>2.33</v>
      </c>
      <c r="AX770" s="1">
        <v>9.81</v>
      </c>
      <c r="AY770" s="1">
        <v>0</v>
      </c>
      <c r="AZ770" s="1">
        <v>112.84</v>
      </c>
      <c r="BA770" s="1">
        <v>0</v>
      </c>
      <c r="BB770" s="1">
        <v>0</v>
      </c>
      <c r="BC770" s="1">
        <v>0</v>
      </c>
      <c r="BD770" s="1">
        <v>0</v>
      </c>
    </row>
    <row r="771" spans="1:56">
      <c r="A771" s="18">
        <v>46192</v>
      </c>
      <c r="B771" s="1">
        <v>770</v>
      </c>
      <c r="C771" s="1" t="s">
        <v>89</v>
      </c>
      <c r="D771" s="1" t="s">
        <v>90</v>
      </c>
      <c r="E771" s="1">
        <v>2</v>
      </c>
      <c r="F771" s="1">
        <v>200</v>
      </c>
      <c r="G771" s="1">
        <v>1</v>
      </c>
      <c r="H771" s="1" t="s">
        <v>91</v>
      </c>
      <c r="I771" s="1" t="s">
        <v>79</v>
      </c>
      <c r="J771" s="1" t="s">
        <v>80</v>
      </c>
      <c r="K771" s="1" t="s">
        <v>74</v>
      </c>
      <c r="L771" s="1" t="s">
        <v>72</v>
      </c>
      <c r="M771" s="1" t="s">
        <v>75</v>
      </c>
      <c r="N771" s="1" t="s">
        <v>82</v>
      </c>
      <c r="O771" s="1" t="s">
        <v>77</v>
      </c>
      <c r="P771" s="1" t="s">
        <v>27</v>
      </c>
      <c r="Q771" s="1" t="s">
        <v>86</v>
      </c>
      <c r="R771" s="1" t="s">
        <v>94</v>
      </c>
      <c r="S771" s="1" t="s">
        <v>87</v>
      </c>
      <c r="T771" s="1" t="s">
        <v>88</v>
      </c>
      <c r="X771" s="1" t="s">
        <v>73</v>
      </c>
      <c r="Z771" s="1" t="s">
        <v>70</v>
      </c>
      <c r="AA771" s="1" t="s">
        <v>95</v>
      </c>
      <c r="AB771" s="1">
        <v>5</v>
      </c>
      <c r="AC771" s="1">
        <v>748819.2</v>
      </c>
      <c r="AD771" s="1">
        <v>8930481.4299999997</v>
      </c>
      <c r="AE771" s="1">
        <v>210.43</v>
      </c>
      <c r="AF771" s="1">
        <v>748819.2</v>
      </c>
      <c r="AG771" s="1">
        <v>8930481.4299999997</v>
      </c>
      <c r="AH771" s="1">
        <v>199.4</v>
      </c>
      <c r="AI771" s="1">
        <v>11.03</v>
      </c>
      <c r="AJ771" s="1">
        <v>0.6</v>
      </c>
      <c r="AK771" s="1">
        <v>2.97</v>
      </c>
      <c r="AL771" s="1">
        <v>2.58</v>
      </c>
      <c r="AM771" s="1">
        <v>0</v>
      </c>
      <c r="AN771" s="1">
        <v>0</v>
      </c>
      <c r="AO771" s="1">
        <v>279.95422539999998</v>
      </c>
      <c r="AP771" s="1">
        <v>3.39</v>
      </c>
      <c r="AQ771" s="1">
        <v>0.59</v>
      </c>
      <c r="AR771" s="1">
        <v>0.09</v>
      </c>
      <c r="AS771" s="1">
        <v>7.0000000000000007E-2</v>
      </c>
      <c r="AT771" s="1">
        <v>15.46</v>
      </c>
      <c r="AU771" s="1">
        <v>4.99</v>
      </c>
      <c r="AV771" s="1">
        <v>0.27</v>
      </c>
      <c r="AW771" s="1">
        <v>2.19</v>
      </c>
      <c r="AX771" s="1">
        <v>9.7799999999999994</v>
      </c>
      <c r="AY771" s="1">
        <v>0</v>
      </c>
      <c r="AZ771" s="1">
        <v>109.637</v>
      </c>
      <c r="BA771" s="1">
        <v>0</v>
      </c>
      <c r="BB771" s="1">
        <v>0</v>
      </c>
      <c r="BC771" s="1">
        <v>0</v>
      </c>
      <c r="BD771" s="1">
        <v>0</v>
      </c>
    </row>
    <row r="772" spans="1:56">
      <c r="A772" s="18">
        <v>46192</v>
      </c>
      <c r="B772" s="1">
        <v>771</v>
      </c>
      <c r="C772" s="1" t="s">
        <v>89</v>
      </c>
      <c r="D772" s="1" t="s">
        <v>90</v>
      </c>
      <c r="E772" s="1">
        <v>2</v>
      </c>
      <c r="F772" s="1">
        <v>200</v>
      </c>
      <c r="G772" s="1">
        <v>1</v>
      </c>
      <c r="H772" s="1" t="s">
        <v>91</v>
      </c>
      <c r="I772" s="1" t="s">
        <v>79</v>
      </c>
      <c r="J772" s="1" t="s">
        <v>80</v>
      </c>
      <c r="K772" s="1" t="s">
        <v>74</v>
      </c>
      <c r="L772" s="1" t="s">
        <v>72</v>
      </c>
      <c r="M772" s="1" t="s">
        <v>75</v>
      </c>
      <c r="N772" s="1" t="s">
        <v>82</v>
      </c>
      <c r="O772" s="1" t="s">
        <v>77</v>
      </c>
      <c r="P772" s="1" t="s">
        <v>27</v>
      </c>
      <c r="Q772" s="1" t="s">
        <v>86</v>
      </c>
      <c r="R772" s="1" t="s">
        <v>94</v>
      </c>
      <c r="S772" s="1" t="s">
        <v>87</v>
      </c>
      <c r="T772" s="1" t="s">
        <v>88</v>
      </c>
      <c r="X772" s="1" t="s">
        <v>73</v>
      </c>
      <c r="Z772" s="1" t="s">
        <v>70</v>
      </c>
      <c r="AA772" s="1" t="s">
        <v>95</v>
      </c>
      <c r="AB772" s="1">
        <v>5</v>
      </c>
      <c r="AC772" s="1">
        <v>748820.8</v>
      </c>
      <c r="AD772" s="1">
        <v>8930478.9299999997</v>
      </c>
      <c r="AE772" s="1">
        <v>210.48</v>
      </c>
      <c r="AF772" s="1">
        <v>748820.8</v>
      </c>
      <c r="AG772" s="1">
        <v>8930478.9299999997</v>
      </c>
      <c r="AH772" s="1">
        <v>199.4</v>
      </c>
      <c r="AI772" s="1">
        <v>11.08</v>
      </c>
      <c r="AJ772" s="1">
        <v>0.6</v>
      </c>
      <c r="AK772" s="1">
        <v>2.97</v>
      </c>
      <c r="AL772" s="1">
        <v>2.58</v>
      </c>
      <c r="AM772" s="1">
        <v>0</v>
      </c>
      <c r="AN772" s="1">
        <v>0</v>
      </c>
      <c r="AO772" s="1">
        <v>279.95422539999998</v>
      </c>
      <c r="AP772" s="1">
        <v>3.45</v>
      </c>
      <c r="AQ772" s="1">
        <v>0.54</v>
      </c>
      <c r="AR772" s="1">
        <v>0.08</v>
      </c>
      <c r="AS772" s="1">
        <v>7.0000000000000007E-2</v>
      </c>
      <c r="AT772" s="1">
        <v>16.68</v>
      </c>
      <c r="AU772" s="1">
        <v>5.59</v>
      </c>
      <c r="AV772" s="1">
        <v>0.31</v>
      </c>
      <c r="AW772" s="1">
        <v>1.76</v>
      </c>
      <c r="AX772" s="1">
        <v>9.0399999999999991</v>
      </c>
      <c r="AY772" s="1">
        <v>0</v>
      </c>
      <c r="AZ772" s="1">
        <v>110.36499999999999</v>
      </c>
      <c r="BA772" s="1">
        <v>0</v>
      </c>
      <c r="BB772" s="1">
        <v>0</v>
      </c>
      <c r="BC772" s="1">
        <v>0</v>
      </c>
      <c r="BD772" s="1">
        <v>0</v>
      </c>
    </row>
    <row r="773" spans="1:56">
      <c r="A773" s="18">
        <v>46192</v>
      </c>
      <c r="B773" s="1">
        <v>772</v>
      </c>
      <c r="C773" s="1" t="s">
        <v>89</v>
      </c>
      <c r="D773" s="1" t="s">
        <v>90</v>
      </c>
      <c r="E773" s="1">
        <v>2</v>
      </c>
      <c r="F773" s="1">
        <v>200</v>
      </c>
      <c r="G773" s="1">
        <v>1</v>
      </c>
      <c r="H773" s="1" t="s">
        <v>91</v>
      </c>
      <c r="I773" s="1" t="s">
        <v>79</v>
      </c>
      <c r="J773" s="1" t="s">
        <v>80</v>
      </c>
      <c r="K773" s="1" t="s">
        <v>74</v>
      </c>
      <c r="L773" s="1" t="s">
        <v>72</v>
      </c>
      <c r="M773" s="1" t="s">
        <v>75</v>
      </c>
      <c r="N773" s="1" t="s">
        <v>82</v>
      </c>
      <c r="O773" s="1" t="s">
        <v>77</v>
      </c>
      <c r="P773" s="1" t="s">
        <v>27</v>
      </c>
      <c r="Q773" s="1" t="s">
        <v>86</v>
      </c>
      <c r="R773" s="1" t="s">
        <v>94</v>
      </c>
      <c r="S773" s="1" t="s">
        <v>87</v>
      </c>
      <c r="T773" s="1" t="s">
        <v>88</v>
      </c>
      <c r="X773" s="1" t="s">
        <v>73</v>
      </c>
      <c r="Z773" s="1" t="s">
        <v>70</v>
      </c>
      <c r="AA773" s="1" t="s">
        <v>95</v>
      </c>
      <c r="AB773" s="1">
        <v>5</v>
      </c>
      <c r="AC773" s="1">
        <v>748822.41</v>
      </c>
      <c r="AD773" s="1">
        <v>8930476.4299999997</v>
      </c>
      <c r="AE773" s="1">
        <v>210.58</v>
      </c>
      <c r="AF773" s="1">
        <v>748822.41</v>
      </c>
      <c r="AG773" s="1">
        <v>8930476.4299999997</v>
      </c>
      <c r="AH773" s="1">
        <v>199.4</v>
      </c>
      <c r="AI773" s="1">
        <v>11.18</v>
      </c>
      <c r="AJ773" s="1">
        <v>0.6</v>
      </c>
      <c r="AK773" s="1">
        <v>2.97</v>
      </c>
      <c r="AL773" s="1">
        <v>2.58</v>
      </c>
      <c r="AM773" s="1">
        <v>0</v>
      </c>
      <c r="AN773" s="1">
        <v>0</v>
      </c>
      <c r="AO773" s="1">
        <v>279.95422539999998</v>
      </c>
      <c r="AP773" s="1">
        <v>3.49</v>
      </c>
      <c r="AQ773" s="1">
        <v>0.52</v>
      </c>
      <c r="AR773" s="1">
        <v>0.08</v>
      </c>
      <c r="AS773" s="1">
        <v>0.08</v>
      </c>
      <c r="AT773" s="1">
        <v>17.91</v>
      </c>
      <c r="AU773" s="1">
        <v>6.23</v>
      </c>
      <c r="AV773" s="1">
        <v>0.34</v>
      </c>
      <c r="AW773" s="1">
        <v>1.55</v>
      </c>
      <c r="AX773" s="1">
        <v>8.27</v>
      </c>
      <c r="AY773" s="1">
        <v>0</v>
      </c>
      <c r="AZ773" s="1">
        <v>111.821</v>
      </c>
      <c r="BA773" s="1">
        <v>0</v>
      </c>
      <c r="BB773" s="1">
        <v>0</v>
      </c>
      <c r="BC773" s="1">
        <v>0</v>
      </c>
      <c r="BD773" s="1">
        <v>0</v>
      </c>
    </row>
    <row r="774" spans="1:56">
      <c r="A774" s="18">
        <v>46192</v>
      </c>
      <c r="B774" s="1">
        <v>773</v>
      </c>
      <c r="C774" s="1" t="s">
        <v>89</v>
      </c>
      <c r="D774" s="1" t="s">
        <v>90</v>
      </c>
      <c r="E774" s="1">
        <v>2</v>
      </c>
      <c r="F774" s="1">
        <v>200</v>
      </c>
      <c r="G774" s="1">
        <v>1</v>
      </c>
      <c r="H774" s="1" t="s">
        <v>91</v>
      </c>
      <c r="I774" s="1" t="s">
        <v>79</v>
      </c>
      <c r="J774" s="1" t="s">
        <v>80</v>
      </c>
      <c r="K774" s="1" t="s">
        <v>74</v>
      </c>
      <c r="L774" s="1" t="s">
        <v>72</v>
      </c>
      <c r="M774" s="1" t="s">
        <v>75</v>
      </c>
      <c r="N774" s="1" t="s">
        <v>76</v>
      </c>
      <c r="O774" s="1" t="s">
        <v>77</v>
      </c>
      <c r="P774" s="1" t="s">
        <v>27</v>
      </c>
      <c r="Q774" s="1" t="s">
        <v>86</v>
      </c>
      <c r="R774" s="1" t="s">
        <v>94</v>
      </c>
      <c r="S774" s="1" t="s">
        <v>87</v>
      </c>
      <c r="T774" s="1" t="s">
        <v>88</v>
      </c>
      <c r="X774" s="1" t="s">
        <v>73</v>
      </c>
      <c r="Z774" s="1" t="s">
        <v>70</v>
      </c>
      <c r="AA774" s="1" t="s">
        <v>95</v>
      </c>
      <c r="AB774" s="1">
        <v>5</v>
      </c>
      <c r="AC774" s="1">
        <v>748824.01</v>
      </c>
      <c r="AD774" s="1">
        <v>8930473.9299999997</v>
      </c>
      <c r="AE774" s="1">
        <v>210.74</v>
      </c>
      <c r="AF774" s="1">
        <v>748824.01</v>
      </c>
      <c r="AG774" s="1">
        <v>8930473.9299999997</v>
      </c>
      <c r="AH774" s="1">
        <v>199.4</v>
      </c>
      <c r="AI774" s="1">
        <v>11.34</v>
      </c>
      <c r="AJ774" s="1">
        <v>0.6</v>
      </c>
      <c r="AK774" s="1">
        <v>2.97</v>
      </c>
      <c r="AL774" s="1">
        <v>2.58</v>
      </c>
      <c r="AM774" s="1">
        <v>0</v>
      </c>
      <c r="AN774" s="1">
        <v>0</v>
      </c>
      <c r="AO774" s="1">
        <v>279.95422539999998</v>
      </c>
      <c r="AP774" s="1">
        <v>3.48</v>
      </c>
      <c r="AQ774" s="1">
        <v>0.52</v>
      </c>
      <c r="AR774" s="1">
        <v>0.08</v>
      </c>
      <c r="AS774" s="1">
        <v>0.08</v>
      </c>
      <c r="AT774" s="1">
        <v>17.91</v>
      </c>
      <c r="AU774" s="1">
        <v>6.23</v>
      </c>
      <c r="AV774" s="1">
        <v>0.33</v>
      </c>
      <c r="AW774" s="1">
        <v>1.55</v>
      </c>
      <c r="AX774" s="1">
        <v>8.2799999999999994</v>
      </c>
      <c r="AY774" s="1">
        <v>0</v>
      </c>
      <c r="AZ774" s="1">
        <v>114.15</v>
      </c>
      <c r="BA774" s="1">
        <v>0</v>
      </c>
      <c r="BB774" s="1">
        <v>0</v>
      </c>
      <c r="BC774" s="1">
        <v>0</v>
      </c>
      <c r="BD774" s="1">
        <v>0</v>
      </c>
    </row>
    <row r="775" spans="1:56">
      <c r="A775" s="18">
        <v>46192</v>
      </c>
      <c r="B775" s="1">
        <v>774</v>
      </c>
      <c r="C775" s="1" t="s">
        <v>89</v>
      </c>
      <c r="D775" s="1" t="s">
        <v>90</v>
      </c>
      <c r="E775" s="1">
        <v>2</v>
      </c>
      <c r="F775" s="1">
        <v>200</v>
      </c>
      <c r="G775" s="1">
        <v>1</v>
      </c>
      <c r="H775" s="1" t="s">
        <v>91</v>
      </c>
      <c r="I775" s="1" t="s">
        <v>79</v>
      </c>
      <c r="J775" s="1" t="s">
        <v>80</v>
      </c>
      <c r="K775" s="1" t="s">
        <v>74</v>
      </c>
      <c r="L775" s="1" t="s">
        <v>72</v>
      </c>
      <c r="M775" s="1" t="s">
        <v>75</v>
      </c>
      <c r="N775" s="1" t="s">
        <v>76</v>
      </c>
      <c r="O775" s="1" t="s">
        <v>77</v>
      </c>
      <c r="P775" s="1" t="s">
        <v>27</v>
      </c>
      <c r="Q775" s="1" t="s">
        <v>86</v>
      </c>
      <c r="R775" s="1" t="s">
        <v>94</v>
      </c>
      <c r="S775" s="1" t="s">
        <v>87</v>
      </c>
      <c r="T775" s="1" t="s">
        <v>88</v>
      </c>
      <c r="X775" s="1" t="s">
        <v>73</v>
      </c>
      <c r="Z775" s="1" t="s">
        <v>70</v>
      </c>
      <c r="AA775" s="1" t="s">
        <v>95</v>
      </c>
      <c r="AB775" s="1">
        <v>5</v>
      </c>
      <c r="AC775" s="1">
        <v>748825.61</v>
      </c>
      <c r="AD775" s="1">
        <v>8930471.4299999997</v>
      </c>
      <c r="AE775" s="1">
        <v>210.76</v>
      </c>
      <c r="AF775" s="1">
        <v>748825.61</v>
      </c>
      <c r="AG775" s="1">
        <v>8930471.4299999997</v>
      </c>
      <c r="AH775" s="1">
        <v>199.4</v>
      </c>
      <c r="AI775" s="1">
        <v>11.36</v>
      </c>
      <c r="AJ775" s="1">
        <v>0.6</v>
      </c>
      <c r="AK775" s="1">
        <v>2.97</v>
      </c>
      <c r="AL775" s="1">
        <v>2.58</v>
      </c>
      <c r="AM775" s="1">
        <v>0</v>
      </c>
      <c r="AN775" s="1">
        <v>0</v>
      </c>
      <c r="AO775" s="1">
        <v>279.95422539999998</v>
      </c>
      <c r="AP775" s="1">
        <v>3.46</v>
      </c>
      <c r="AQ775" s="1">
        <v>0.52</v>
      </c>
      <c r="AR775" s="1">
        <v>0.08</v>
      </c>
      <c r="AS775" s="1">
        <v>0.08</v>
      </c>
      <c r="AT775" s="1">
        <v>17.86</v>
      </c>
      <c r="AU775" s="1">
        <v>6.18</v>
      </c>
      <c r="AV775" s="1">
        <v>0.33</v>
      </c>
      <c r="AW775" s="1">
        <v>1.56</v>
      </c>
      <c r="AX775" s="1">
        <v>8.2899999999999991</v>
      </c>
      <c r="AY775" s="1">
        <v>0</v>
      </c>
      <c r="AZ775" s="1">
        <v>114.44199999999999</v>
      </c>
      <c r="BA775" s="1">
        <v>0</v>
      </c>
      <c r="BB775" s="1">
        <v>0</v>
      </c>
      <c r="BC775" s="1">
        <v>0</v>
      </c>
      <c r="BD775" s="1">
        <v>0</v>
      </c>
    </row>
    <row r="776" spans="1:56">
      <c r="A776" s="18">
        <v>46192</v>
      </c>
      <c r="B776" s="1">
        <v>775</v>
      </c>
      <c r="C776" s="1" t="s">
        <v>89</v>
      </c>
      <c r="D776" s="1" t="s">
        <v>90</v>
      </c>
      <c r="E776" s="1">
        <v>2</v>
      </c>
      <c r="F776" s="1">
        <v>200</v>
      </c>
      <c r="G776" s="1">
        <v>1</v>
      </c>
      <c r="H776" s="1" t="s">
        <v>91</v>
      </c>
      <c r="I776" s="1" t="s">
        <v>79</v>
      </c>
      <c r="J776" s="1" t="s">
        <v>80</v>
      </c>
      <c r="K776" s="1" t="s">
        <v>74</v>
      </c>
      <c r="L776" s="1" t="s">
        <v>72</v>
      </c>
      <c r="M776" s="1" t="s">
        <v>75</v>
      </c>
      <c r="N776" s="1" t="s">
        <v>76</v>
      </c>
      <c r="O776" s="1" t="s">
        <v>77</v>
      </c>
      <c r="P776" s="1" t="s">
        <v>27</v>
      </c>
      <c r="Q776" s="1" t="s">
        <v>86</v>
      </c>
      <c r="R776" s="1" t="s">
        <v>94</v>
      </c>
      <c r="S776" s="1" t="s">
        <v>87</v>
      </c>
      <c r="T776" s="1" t="s">
        <v>88</v>
      </c>
      <c r="X776" s="1" t="s">
        <v>73</v>
      </c>
      <c r="Z776" s="1" t="s">
        <v>70</v>
      </c>
      <c r="AA776" s="1" t="s">
        <v>95</v>
      </c>
      <c r="AB776" s="1">
        <v>5</v>
      </c>
      <c r="AC776" s="1">
        <v>748827.21</v>
      </c>
      <c r="AD776" s="1">
        <v>8930468.9299999997</v>
      </c>
      <c r="AE776" s="1">
        <v>210.73</v>
      </c>
      <c r="AF776" s="1">
        <v>748827.21</v>
      </c>
      <c r="AG776" s="1">
        <v>8930468.9299999997</v>
      </c>
      <c r="AH776" s="1">
        <v>199.4</v>
      </c>
      <c r="AI776" s="1">
        <v>11.33</v>
      </c>
      <c r="AJ776" s="1">
        <v>0.6</v>
      </c>
      <c r="AK776" s="1">
        <v>2.97</v>
      </c>
      <c r="AL776" s="1">
        <v>2.58</v>
      </c>
      <c r="AM776" s="1">
        <v>0</v>
      </c>
      <c r="AN776" s="1">
        <v>0</v>
      </c>
      <c r="AO776" s="1">
        <v>279.95422539999998</v>
      </c>
      <c r="AP776" s="1">
        <v>3.18</v>
      </c>
      <c r="AQ776" s="1">
        <v>0.37</v>
      </c>
      <c r="AR776" s="1">
        <v>0.06</v>
      </c>
      <c r="AS776" s="1">
        <v>0.05</v>
      </c>
      <c r="AT776" s="1">
        <v>12.92</v>
      </c>
      <c r="AU776" s="1">
        <v>4.37</v>
      </c>
      <c r="AV776" s="1">
        <v>0.22</v>
      </c>
      <c r="AW776" s="1">
        <v>1.23</v>
      </c>
      <c r="AX776" s="1">
        <v>6.13</v>
      </c>
      <c r="AY776" s="1">
        <v>0</v>
      </c>
      <c r="AZ776" s="1">
        <v>114.005</v>
      </c>
      <c r="BA776" s="1">
        <v>0</v>
      </c>
      <c r="BB776" s="1">
        <v>0</v>
      </c>
      <c r="BC776" s="1">
        <v>0</v>
      </c>
      <c r="BD776" s="1">
        <v>0</v>
      </c>
    </row>
    <row r="777" spans="1:56">
      <c r="A777" s="18">
        <v>46192</v>
      </c>
      <c r="B777" s="1">
        <v>776</v>
      </c>
      <c r="C777" s="1" t="s">
        <v>89</v>
      </c>
      <c r="D777" s="1" t="s">
        <v>90</v>
      </c>
      <c r="E777" s="1">
        <v>2</v>
      </c>
      <c r="F777" s="1">
        <v>200</v>
      </c>
      <c r="G777" s="1">
        <v>1</v>
      </c>
      <c r="H777" s="1" t="s">
        <v>91</v>
      </c>
      <c r="I777" s="1" t="s">
        <v>79</v>
      </c>
      <c r="J777" s="1" t="s">
        <v>80</v>
      </c>
      <c r="K777" s="1" t="s">
        <v>74</v>
      </c>
      <c r="L777" s="1" t="s">
        <v>72</v>
      </c>
      <c r="M777" s="1" t="s">
        <v>75</v>
      </c>
      <c r="N777" s="1" t="s">
        <v>82</v>
      </c>
      <c r="O777" s="1" t="s">
        <v>77</v>
      </c>
      <c r="P777" s="1" t="s">
        <v>27</v>
      </c>
      <c r="Q777" s="1" t="s">
        <v>86</v>
      </c>
      <c r="R777" s="1" t="s">
        <v>94</v>
      </c>
      <c r="S777" s="1" t="s">
        <v>87</v>
      </c>
      <c r="T777" s="1" t="s">
        <v>88</v>
      </c>
      <c r="X777" s="1" t="s">
        <v>73</v>
      </c>
      <c r="Z777" s="1" t="s">
        <v>70</v>
      </c>
      <c r="AA777" s="1" t="s">
        <v>95</v>
      </c>
      <c r="AB777" s="1">
        <v>5</v>
      </c>
      <c r="AC777" s="1">
        <v>748825.99</v>
      </c>
      <c r="AD777" s="1">
        <v>8930466.0600000005</v>
      </c>
      <c r="AE777" s="1">
        <v>211</v>
      </c>
      <c r="AF777" s="1">
        <v>748825.99</v>
      </c>
      <c r="AG777" s="1">
        <v>8930466.0600000005</v>
      </c>
      <c r="AH777" s="1">
        <v>199.4</v>
      </c>
      <c r="AI777" s="1">
        <v>11.6</v>
      </c>
      <c r="AJ777" s="1">
        <v>0.6</v>
      </c>
      <c r="AK777" s="1">
        <v>2.97</v>
      </c>
      <c r="AL777" s="1">
        <v>2.58</v>
      </c>
      <c r="AM777" s="1">
        <v>0</v>
      </c>
      <c r="AN777" s="1">
        <v>0</v>
      </c>
      <c r="AO777" s="1">
        <v>279.95422539999998</v>
      </c>
      <c r="AP777" s="1">
        <v>3.13</v>
      </c>
      <c r="AQ777" s="1">
        <v>0.36</v>
      </c>
      <c r="AR777" s="1">
        <v>0.05</v>
      </c>
      <c r="AS777" s="1">
        <v>0.05</v>
      </c>
      <c r="AT777" s="1">
        <v>12.56</v>
      </c>
      <c r="AU777" s="1">
        <v>4.2300000000000004</v>
      </c>
      <c r="AV777" s="1">
        <v>0.21</v>
      </c>
      <c r="AW777" s="1">
        <v>1.25</v>
      </c>
      <c r="AX777" s="1">
        <v>5.88</v>
      </c>
      <c r="AY777" s="1">
        <v>0</v>
      </c>
      <c r="AZ777" s="1">
        <v>117.93600000000001</v>
      </c>
      <c r="BA777" s="1">
        <v>0</v>
      </c>
      <c r="BB777" s="1">
        <v>0</v>
      </c>
      <c r="BC777" s="1">
        <v>0</v>
      </c>
      <c r="BD777" s="1">
        <v>0</v>
      </c>
    </row>
    <row r="778" spans="1:56">
      <c r="A778" s="18">
        <v>46192</v>
      </c>
      <c r="B778" s="1">
        <v>777</v>
      </c>
      <c r="C778" s="1" t="s">
        <v>89</v>
      </c>
      <c r="D778" s="1" t="s">
        <v>90</v>
      </c>
      <c r="E778" s="1">
        <v>2</v>
      </c>
      <c r="F778" s="1">
        <v>200</v>
      </c>
      <c r="G778" s="1">
        <v>1</v>
      </c>
      <c r="H778" s="1" t="s">
        <v>91</v>
      </c>
      <c r="I778" s="1" t="s">
        <v>79</v>
      </c>
      <c r="J778" s="1" t="s">
        <v>80</v>
      </c>
      <c r="K778" s="1" t="s">
        <v>74</v>
      </c>
      <c r="L778" s="1" t="s">
        <v>72</v>
      </c>
      <c r="M778" s="1" t="s">
        <v>75</v>
      </c>
      <c r="N778" s="1" t="s">
        <v>82</v>
      </c>
      <c r="O778" s="1" t="s">
        <v>77</v>
      </c>
      <c r="P778" s="1" t="s">
        <v>27</v>
      </c>
      <c r="Q778" s="1" t="s">
        <v>86</v>
      </c>
      <c r="R778" s="1" t="s">
        <v>94</v>
      </c>
      <c r="S778" s="1" t="s">
        <v>87</v>
      </c>
      <c r="T778" s="1" t="s">
        <v>88</v>
      </c>
      <c r="X778" s="1" t="s">
        <v>73</v>
      </c>
      <c r="Z778" s="1" t="s">
        <v>70</v>
      </c>
      <c r="AA778" s="1" t="s">
        <v>95</v>
      </c>
      <c r="AB778" s="1">
        <v>5</v>
      </c>
      <c r="AC778" s="1">
        <v>748824.39</v>
      </c>
      <c r="AD778" s="1">
        <v>8930468.5600000005</v>
      </c>
      <c r="AE778" s="1">
        <v>211</v>
      </c>
      <c r="AF778" s="1">
        <v>748824.39</v>
      </c>
      <c r="AG778" s="1">
        <v>8930468.5600000005</v>
      </c>
      <c r="AH778" s="1">
        <v>199.4</v>
      </c>
      <c r="AI778" s="1">
        <v>11.6</v>
      </c>
      <c r="AJ778" s="1">
        <v>0.6</v>
      </c>
      <c r="AK778" s="1">
        <v>2.97</v>
      </c>
      <c r="AL778" s="1">
        <v>2.58</v>
      </c>
      <c r="AM778" s="1">
        <v>0</v>
      </c>
      <c r="AN778" s="1">
        <v>0</v>
      </c>
      <c r="AO778" s="1">
        <v>279.95422539999998</v>
      </c>
      <c r="AP778" s="1">
        <v>3.32</v>
      </c>
      <c r="AQ778" s="1">
        <v>0.5</v>
      </c>
      <c r="AR778" s="1">
        <v>0.08</v>
      </c>
      <c r="AS778" s="1">
        <v>7.0000000000000007E-2</v>
      </c>
      <c r="AT778" s="1">
        <v>17.36</v>
      </c>
      <c r="AU778" s="1">
        <v>5.8</v>
      </c>
      <c r="AV778" s="1">
        <v>0.3</v>
      </c>
      <c r="AW778" s="1">
        <v>1.64</v>
      </c>
      <c r="AX778" s="1">
        <v>8.25</v>
      </c>
      <c r="AY778" s="1">
        <v>0</v>
      </c>
      <c r="AZ778" s="1">
        <v>117.93600000000001</v>
      </c>
      <c r="BA778" s="1">
        <v>0</v>
      </c>
      <c r="BB778" s="1">
        <v>0</v>
      </c>
      <c r="BC778" s="1">
        <v>0</v>
      </c>
      <c r="BD778" s="1">
        <v>0</v>
      </c>
    </row>
    <row r="779" spans="1:56">
      <c r="A779" s="18">
        <v>46192</v>
      </c>
      <c r="B779" s="1">
        <v>778</v>
      </c>
      <c r="C779" s="1" t="s">
        <v>89</v>
      </c>
      <c r="D779" s="1" t="s">
        <v>90</v>
      </c>
      <c r="E779" s="1">
        <v>2</v>
      </c>
      <c r="F779" s="1">
        <v>200</v>
      </c>
      <c r="G779" s="1">
        <v>1</v>
      </c>
      <c r="H779" s="1" t="s">
        <v>91</v>
      </c>
      <c r="I779" s="1" t="s">
        <v>79</v>
      </c>
      <c r="J779" s="1" t="s">
        <v>80</v>
      </c>
      <c r="K779" s="1" t="s">
        <v>74</v>
      </c>
      <c r="L779" s="1" t="s">
        <v>72</v>
      </c>
      <c r="M779" s="1" t="s">
        <v>75</v>
      </c>
      <c r="N779" s="1" t="s">
        <v>82</v>
      </c>
      <c r="O779" s="1" t="s">
        <v>77</v>
      </c>
      <c r="P779" s="1" t="s">
        <v>27</v>
      </c>
      <c r="Q779" s="1" t="s">
        <v>86</v>
      </c>
      <c r="R779" s="1" t="s">
        <v>94</v>
      </c>
      <c r="S779" s="1" t="s">
        <v>87</v>
      </c>
      <c r="T779" s="1" t="s">
        <v>88</v>
      </c>
      <c r="X779" s="1" t="s">
        <v>73</v>
      </c>
      <c r="Z779" s="1" t="s">
        <v>70</v>
      </c>
      <c r="AA779" s="1" t="s">
        <v>95</v>
      </c>
      <c r="AB779" s="1">
        <v>5</v>
      </c>
      <c r="AC779" s="1">
        <v>748822.78</v>
      </c>
      <c r="AD779" s="1">
        <v>8930471.0600000005</v>
      </c>
      <c r="AE779" s="1">
        <v>210.97</v>
      </c>
      <c r="AF779" s="1">
        <v>748822.78</v>
      </c>
      <c r="AG779" s="1">
        <v>8930471.0600000005</v>
      </c>
      <c r="AH779" s="1">
        <v>199.4</v>
      </c>
      <c r="AI779" s="1">
        <v>11.57</v>
      </c>
      <c r="AJ779" s="1">
        <v>0.6</v>
      </c>
      <c r="AK779" s="1">
        <v>2.97</v>
      </c>
      <c r="AL779" s="1">
        <v>2.58</v>
      </c>
      <c r="AM779" s="1">
        <v>0</v>
      </c>
      <c r="AN779" s="1">
        <v>0</v>
      </c>
      <c r="AO779" s="1">
        <v>279.95422539999998</v>
      </c>
      <c r="AP779" s="1">
        <v>3.45</v>
      </c>
      <c r="AQ779" s="1">
        <v>0.52</v>
      </c>
      <c r="AR779" s="1">
        <v>0.08</v>
      </c>
      <c r="AS779" s="1">
        <v>0.08</v>
      </c>
      <c r="AT779" s="1">
        <v>17.920000000000002</v>
      </c>
      <c r="AU779" s="1">
        <v>6.18</v>
      </c>
      <c r="AV779" s="1">
        <v>0.33</v>
      </c>
      <c r="AW779" s="1">
        <v>1.58</v>
      </c>
      <c r="AX779" s="1">
        <v>8.36</v>
      </c>
      <c r="AY779" s="1">
        <v>0</v>
      </c>
      <c r="AZ779" s="1">
        <v>117.499</v>
      </c>
      <c r="BA779" s="1">
        <v>0</v>
      </c>
      <c r="BB779" s="1">
        <v>0</v>
      </c>
      <c r="BC779" s="1">
        <v>0</v>
      </c>
      <c r="BD779" s="1">
        <v>0</v>
      </c>
    </row>
    <row r="780" spans="1:56">
      <c r="A780" s="18">
        <v>46192</v>
      </c>
      <c r="B780" s="1">
        <v>779</v>
      </c>
      <c r="C780" s="1" t="s">
        <v>89</v>
      </c>
      <c r="D780" s="1" t="s">
        <v>90</v>
      </c>
      <c r="E780" s="1">
        <v>2</v>
      </c>
      <c r="F780" s="1">
        <v>200</v>
      </c>
      <c r="G780" s="1">
        <v>1</v>
      </c>
      <c r="H780" s="1" t="s">
        <v>91</v>
      </c>
      <c r="I780" s="1" t="s">
        <v>79</v>
      </c>
      <c r="J780" s="1" t="s">
        <v>80</v>
      </c>
      <c r="K780" s="1" t="s">
        <v>74</v>
      </c>
      <c r="L780" s="1" t="s">
        <v>72</v>
      </c>
      <c r="M780" s="1" t="s">
        <v>75</v>
      </c>
      <c r="N780" s="1" t="s">
        <v>82</v>
      </c>
      <c r="O780" s="1" t="s">
        <v>77</v>
      </c>
      <c r="P780" s="1" t="s">
        <v>27</v>
      </c>
      <c r="Q780" s="1" t="s">
        <v>86</v>
      </c>
      <c r="R780" s="1" t="s">
        <v>94</v>
      </c>
      <c r="S780" s="1" t="s">
        <v>87</v>
      </c>
      <c r="T780" s="1" t="s">
        <v>88</v>
      </c>
      <c r="X780" s="1" t="s">
        <v>73</v>
      </c>
      <c r="Z780" s="1" t="s">
        <v>70</v>
      </c>
      <c r="AA780" s="1" t="s">
        <v>95</v>
      </c>
      <c r="AB780" s="1">
        <v>5</v>
      </c>
      <c r="AC780" s="1">
        <v>748821.18</v>
      </c>
      <c r="AD780" s="1">
        <v>8930473.5600000005</v>
      </c>
      <c r="AE780" s="1">
        <v>211.03</v>
      </c>
      <c r="AF780" s="1">
        <v>748821.18</v>
      </c>
      <c r="AG780" s="1">
        <v>8930473.5600000005</v>
      </c>
      <c r="AH780" s="1">
        <v>199.4</v>
      </c>
      <c r="AI780" s="1">
        <v>11.63</v>
      </c>
      <c r="AJ780" s="1">
        <v>0.6</v>
      </c>
      <c r="AK780" s="1">
        <v>2.97</v>
      </c>
      <c r="AL780" s="1">
        <v>2.58</v>
      </c>
      <c r="AM780" s="1">
        <v>0</v>
      </c>
      <c r="AN780" s="1">
        <v>0</v>
      </c>
      <c r="AO780" s="1">
        <v>279.95422539999998</v>
      </c>
      <c r="AP780" s="1">
        <v>3.47</v>
      </c>
      <c r="AQ780" s="1">
        <v>0.52</v>
      </c>
      <c r="AR780" s="1">
        <v>0.08</v>
      </c>
      <c r="AS780" s="1">
        <v>7.0000000000000007E-2</v>
      </c>
      <c r="AT780" s="1">
        <v>17.11</v>
      </c>
      <c r="AU780" s="1">
        <v>5.83</v>
      </c>
      <c r="AV780" s="1">
        <v>0.32</v>
      </c>
      <c r="AW780" s="1">
        <v>1.65</v>
      </c>
      <c r="AX780" s="1">
        <v>8.68</v>
      </c>
      <c r="AY780" s="1">
        <v>0</v>
      </c>
      <c r="AZ780" s="1">
        <v>118.373</v>
      </c>
      <c r="BA780" s="1">
        <v>0</v>
      </c>
      <c r="BB780" s="1">
        <v>0</v>
      </c>
      <c r="BC780" s="1">
        <v>0</v>
      </c>
      <c r="BD780" s="1">
        <v>0</v>
      </c>
    </row>
    <row r="781" spans="1:56">
      <c r="A781" s="18">
        <v>46192</v>
      </c>
      <c r="B781" s="1">
        <v>780</v>
      </c>
      <c r="C781" s="1" t="s">
        <v>89</v>
      </c>
      <c r="D781" s="1" t="s">
        <v>90</v>
      </c>
      <c r="E781" s="1">
        <v>2</v>
      </c>
      <c r="F781" s="1">
        <v>200</v>
      </c>
      <c r="G781" s="1">
        <v>1</v>
      </c>
      <c r="H781" s="1" t="s">
        <v>91</v>
      </c>
      <c r="I781" s="1" t="s">
        <v>79</v>
      </c>
      <c r="J781" s="1" t="s">
        <v>80</v>
      </c>
      <c r="K781" s="1" t="s">
        <v>74</v>
      </c>
      <c r="L781" s="1" t="s">
        <v>72</v>
      </c>
      <c r="M781" s="1" t="s">
        <v>75</v>
      </c>
      <c r="N781" s="1" t="s">
        <v>82</v>
      </c>
      <c r="O781" s="1" t="s">
        <v>77</v>
      </c>
      <c r="P781" s="1" t="s">
        <v>27</v>
      </c>
      <c r="Q781" s="1" t="s">
        <v>86</v>
      </c>
      <c r="R781" s="1" t="s">
        <v>94</v>
      </c>
      <c r="S781" s="1" t="s">
        <v>87</v>
      </c>
      <c r="T781" s="1" t="s">
        <v>88</v>
      </c>
      <c r="X781" s="1" t="s">
        <v>73</v>
      </c>
      <c r="Z781" s="1" t="s">
        <v>70</v>
      </c>
      <c r="AA781" s="1" t="s">
        <v>95</v>
      </c>
      <c r="AB781" s="1">
        <v>5</v>
      </c>
      <c r="AC781" s="1">
        <v>748819.58</v>
      </c>
      <c r="AD781" s="1">
        <v>8930476.0600000005</v>
      </c>
      <c r="AE781" s="1">
        <v>210.71</v>
      </c>
      <c r="AF781" s="1">
        <v>748819.58</v>
      </c>
      <c r="AG781" s="1">
        <v>8930476.0600000005</v>
      </c>
      <c r="AH781" s="1">
        <v>199.4</v>
      </c>
      <c r="AI781" s="1">
        <v>11.31</v>
      </c>
      <c r="AJ781" s="1">
        <v>0.6</v>
      </c>
      <c r="AK781" s="1">
        <v>2.97</v>
      </c>
      <c r="AL781" s="1">
        <v>2.58</v>
      </c>
      <c r="AM781" s="1">
        <v>0</v>
      </c>
      <c r="AN781" s="1">
        <v>0</v>
      </c>
      <c r="AO781" s="1">
        <v>279.95422539999998</v>
      </c>
      <c r="AP781" s="1">
        <v>3.44</v>
      </c>
      <c r="AQ781" s="1">
        <v>0.52</v>
      </c>
      <c r="AR781" s="1">
        <v>0.08</v>
      </c>
      <c r="AS781" s="1">
        <v>7.0000000000000007E-2</v>
      </c>
      <c r="AT781" s="1">
        <v>14.71</v>
      </c>
      <c r="AU781" s="1">
        <v>4.67</v>
      </c>
      <c r="AV781" s="1">
        <v>0.28000000000000003</v>
      </c>
      <c r="AW781" s="1">
        <v>1.93</v>
      </c>
      <c r="AX781" s="1">
        <v>9.77</v>
      </c>
      <c r="AY781" s="1">
        <v>0</v>
      </c>
      <c r="AZ781" s="1">
        <v>113.714</v>
      </c>
      <c r="BA781" s="1">
        <v>0</v>
      </c>
      <c r="BB781" s="1">
        <v>0</v>
      </c>
      <c r="BC781" s="1">
        <v>0</v>
      </c>
      <c r="BD781" s="1">
        <v>0</v>
      </c>
    </row>
    <row r="782" spans="1:56">
      <c r="A782" s="18">
        <v>46192</v>
      </c>
      <c r="B782" s="1">
        <v>781</v>
      </c>
      <c r="C782" s="1" t="s">
        <v>89</v>
      </c>
      <c r="D782" s="1" t="s">
        <v>90</v>
      </c>
      <c r="E782" s="1">
        <v>2</v>
      </c>
      <c r="F782" s="1">
        <v>200</v>
      </c>
      <c r="G782" s="1">
        <v>1</v>
      </c>
      <c r="H782" s="1" t="s">
        <v>91</v>
      </c>
      <c r="I782" s="1" t="s">
        <v>79</v>
      </c>
      <c r="J782" s="1" t="s">
        <v>80</v>
      </c>
      <c r="K782" s="1" t="s">
        <v>74</v>
      </c>
      <c r="L782" s="1" t="s">
        <v>72</v>
      </c>
      <c r="M782" s="1" t="s">
        <v>75</v>
      </c>
      <c r="N782" s="1" t="s">
        <v>82</v>
      </c>
      <c r="O782" s="1" t="s">
        <v>77</v>
      </c>
      <c r="P782" s="1" t="s">
        <v>27</v>
      </c>
      <c r="Q782" s="1" t="s">
        <v>86</v>
      </c>
      <c r="R782" s="1" t="s">
        <v>94</v>
      </c>
      <c r="S782" s="1" t="s">
        <v>87</v>
      </c>
      <c r="T782" s="1" t="s">
        <v>88</v>
      </c>
      <c r="X782" s="1" t="s">
        <v>73</v>
      </c>
      <c r="Z782" s="1" t="s">
        <v>70</v>
      </c>
      <c r="AA782" s="1" t="s">
        <v>95</v>
      </c>
      <c r="AB782" s="1">
        <v>5</v>
      </c>
      <c r="AC782" s="1">
        <v>748817.97</v>
      </c>
      <c r="AD782" s="1">
        <v>8930478.5600000005</v>
      </c>
      <c r="AE782" s="1">
        <v>210.43</v>
      </c>
      <c r="AF782" s="1">
        <v>748817.97</v>
      </c>
      <c r="AG782" s="1">
        <v>8930478.5600000005</v>
      </c>
      <c r="AH782" s="1">
        <v>199.4</v>
      </c>
      <c r="AI782" s="1">
        <v>11.03</v>
      </c>
      <c r="AJ782" s="1">
        <v>0.6</v>
      </c>
      <c r="AK782" s="1">
        <v>2.97</v>
      </c>
      <c r="AL782" s="1">
        <v>2.58</v>
      </c>
      <c r="AM782" s="1">
        <v>0</v>
      </c>
      <c r="AN782" s="1">
        <v>0</v>
      </c>
      <c r="AO782" s="1">
        <v>279.95422539999998</v>
      </c>
      <c r="AP782" s="1">
        <v>3.42</v>
      </c>
      <c r="AQ782" s="1">
        <v>0.52</v>
      </c>
      <c r="AR782" s="1">
        <v>0.08</v>
      </c>
      <c r="AS782" s="1">
        <v>0.06</v>
      </c>
      <c r="AT782" s="1">
        <v>12.96</v>
      </c>
      <c r="AU782" s="1">
        <v>3.83</v>
      </c>
      <c r="AV782" s="1">
        <v>0.24</v>
      </c>
      <c r="AW782" s="1">
        <v>2.1800000000000002</v>
      </c>
      <c r="AX782" s="1">
        <v>10.61</v>
      </c>
      <c r="AY782" s="1">
        <v>0</v>
      </c>
      <c r="AZ782" s="1">
        <v>109.637</v>
      </c>
      <c r="BA782" s="1">
        <v>0</v>
      </c>
      <c r="BB782" s="1">
        <v>0</v>
      </c>
      <c r="BC782" s="1">
        <v>0</v>
      </c>
      <c r="BD782" s="1">
        <v>0</v>
      </c>
    </row>
    <row r="783" spans="1:56">
      <c r="A783" s="18">
        <v>46192</v>
      </c>
      <c r="B783" s="1">
        <v>782</v>
      </c>
      <c r="C783" s="1" t="s">
        <v>89</v>
      </c>
      <c r="D783" s="1" t="s">
        <v>90</v>
      </c>
      <c r="E783" s="1">
        <v>2</v>
      </c>
      <c r="F783" s="1">
        <v>200</v>
      </c>
      <c r="G783" s="1">
        <v>1</v>
      </c>
      <c r="H783" s="1" t="s">
        <v>91</v>
      </c>
      <c r="I783" s="1" t="s">
        <v>79</v>
      </c>
      <c r="J783" s="1" t="s">
        <v>80</v>
      </c>
      <c r="K783" s="1" t="s">
        <v>74</v>
      </c>
      <c r="L783" s="1" t="s">
        <v>72</v>
      </c>
      <c r="M783" s="1" t="s">
        <v>75</v>
      </c>
      <c r="N783" s="1" t="s">
        <v>82</v>
      </c>
      <c r="O783" s="1" t="s">
        <v>77</v>
      </c>
      <c r="P783" s="1" t="s">
        <v>27</v>
      </c>
      <c r="Q783" s="1" t="s">
        <v>86</v>
      </c>
      <c r="R783" s="1" t="s">
        <v>94</v>
      </c>
      <c r="S783" s="1" t="s">
        <v>87</v>
      </c>
      <c r="T783" s="1" t="s">
        <v>88</v>
      </c>
      <c r="X783" s="1" t="s">
        <v>73</v>
      </c>
      <c r="Z783" s="1" t="s">
        <v>70</v>
      </c>
      <c r="AA783" s="1" t="s">
        <v>95</v>
      </c>
      <c r="AB783" s="1">
        <v>5</v>
      </c>
      <c r="AC783" s="1">
        <v>748816.37</v>
      </c>
      <c r="AD783" s="1">
        <v>8930481.0600000005</v>
      </c>
      <c r="AE783" s="1">
        <v>210.59</v>
      </c>
      <c r="AF783" s="1">
        <v>748816.37</v>
      </c>
      <c r="AG783" s="1">
        <v>8930481.0600000005</v>
      </c>
      <c r="AH783" s="1">
        <v>199.4</v>
      </c>
      <c r="AI783" s="1">
        <v>11.19</v>
      </c>
      <c r="AJ783" s="1">
        <v>0.6</v>
      </c>
      <c r="AK783" s="1">
        <v>2.97</v>
      </c>
      <c r="AL783" s="1">
        <v>2.58</v>
      </c>
      <c r="AM783" s="1">
        <v>0</v>
      </c>
      <c r="AN783" s="1">
        <v>0</v>
      </c>
      <c r="AO783" s="1">
        <v>279.95422539999998</v>
      </c>
      <c r="AP783" s="1">
        <v>3.39</v>
      </c>
      <c r="AQ783" s="1">
        <v>0.56999999999999995</v>
      </c>
      <c r="AR783" s="1">
        <v>0.09</v>
      </c>
      <c r="AS783" s="1">
        <v>0.06</v>
      </c>
      <c r="AT783" s="1">
        <v>14.31</v>
      </c>
      <c r="AU783" s="1">
        <v>4.53</v>
      </c>
      <c r="AV783" s="1">
        <v>0.25</v>
      </c>
      <c r="AW783" s="1">
        <v>2.2999999999999998</v>
      </c>
      <c r="AX783" s="1">
        <v>9.98</v>
      </c>
      <c r="AY783" s="1">
        <v>0</v>
      </c>
      <c r="AZ783" s="1">
        <v>111.96599999999999</v>
      </c>
      <c r="BA783" s="1">
        <v>0</v>
      </c>
      <c r="BB783" s="1">
        <v>0</v>
      </c>
      <c r="BC783" s="1">
        <v>0</v>
      </c>
      <c r="BD783" s="1">
        <v>0</v>
      </c>
    </row>
    <row r="784" spans="1:56">
      <c r="A784" s="18">
        <v>46192</v>
      </c>
      <c r="B784" s="1">
        <v>783</v>
      </c>
      <c r="C784" s="1" t="s">
        <v>89</v>
      </c>
      <c r="D784" s="1" t="s">
        <v>90</v>
      </c>
      <c r="E784" s="1">
        <v>2</v>
      </c>
      <c r="F784" s="1">
        <v>200</v>
      </c>
      <c r="G784" s="1">
        <v>1</v>
      </c>
      <c r="H784" s="1" t="s">
        <v>91</v>
      </c>
      <c r="I784" s="1" t="s">
        <v>79</v>
      </c>
      <c r="J784" s="1" t="s">
        <v>80</v>
      </c>
      <c r="K784" s="1" t="s">
        <v>74</v>
      </c>
      <c r="L784" s="1" t="s">
        <v>72</v>
      </c>
      <c r="M784" s="1" t="s">
        <v>75</v>
      </c>
      <c r="N784" s="1" t="s">
        <v>82</v>
      </c>
      <c r="O784" s="1" t="s">
        <v>77</v>
      </c>
      <c r="P784" s="1" t="s">
        <v>27</v>
      </c>
      <c r="Q784" s="1" t="s">
        <v>86</v>
      </c>
      <c r="R784" s="1" t="s">
        <v>94</v>
      </c>
      <c r="S784" s="1" t="s">
        <v>87</v>
      </c>
      <c r="T784" s="1" t="s">
        <v>88</v>
      </c>
      <c r="X784" s="1" t="s">
        <v>73</v>
      </c>
      <c r="Z784" s="1" t="s">
        <v>70</v>
      </c>
      <c r="AA784" s="1" t="s">
        <v>95</v>
      </c>
      <c r="AB784" s="1">
        <v>5</v>
      </c>
      <c r="AC784" s="1">
        <v>748814.77</v>
      </c>
      <c r="AD784" s="1">
        <v>8930483.5600000005</v>
      </c>
      <c r="AE784" s="1">
        <v>210.64</v>
      </c>
      <c r="AF784" s="1">
        <v>748814.77</v>
      </c>
      <c r="AG784" s="1">
        <v>8930483.5600000005</v>
      </c>
      <c r="AH784" s="1">
        <v>199.4</v>
      </c>
      <c r="AI784" s="1">
        <v>11.24</v>
      </c>
      <c r="AJ784" s="1">
        <v>0.6</v>
      </c>
      <c r="AK784" s="1">
        <v>2.97</v>
      </c>
      <c r="AL784" s="1">
        <v>2.58</v>
      </c>
      <c r="AM784" s="1">
        <v>0</v>
      </c>
      <c r="AN784" s="1">
        <v>0</v>
      </c>
      <c r="AO784" s="1">
        <v>279.95422539999998</v>
      </c>
      <c r="AP784" s="1">
        <v>3.38</v>
      </c>
      <c r="AQ784" s="1">
        <v>0.57999999999999996</v>
      </c>
      <c r="AR784" s="1">
        <v>0.09</v>
      </c>
      <c r="AS784" s="1">
        <v>0.06</v>
      </c>
      <c r="AT784" s="1">
        <v>14.66</v>
      </c>
      <c r="AU784" s="1">
        <v>4.72</v>
      </c>
      <c r="AV784" s="1">
        <v>0.25</v>
      </c>
      <c r="AW784" s="1">
        <v>2.33</v>
      </c>
      <c r="AX784" s="1">
        <v>9.81</v>
      </c>
      <c r="AY784" s="1">
        <v>0</v>
      </c>
      <c r="AZ784" s="1">
        <v>112.694</v>
      </c>
      <c r="BA784" s="1">
        <v>0</v>
      </c>
      <c r="BB784" s="1">
        <v>0</v>
      </c>
      <c r="BC784" s="1">
        <v>0</v>
      </c>
      <c r="BD784" s="1">
        <v>0</v>
      </c>
    </row>
    <row r="785" spans="1:56">
      <c r="A785" s="18">
        <v>46192</v>
      </c>
      <c r="B785" s="1">
        <v>784</v>
      </c>
      <c r="C785" s="1" t="s">
        <v>89</v>
      </c>
      <c r="D785" s="1" t="s">
        <v>90</v>
      </c>
      <c r="E785" s="1">
        <v>2</v>
      </c>
      <c r="F785" s="1">
        <v>200</v>
      </c>
      <c r="G785" s="1">
        <v>1</v>
      </c>
      <c r="H785" s="1" t="s">
        <v>91</v>
      </c>
      <c r="I785" s="1" t="s">
        <v>79</v>
      </c>
      <c r="J785" s="1" t="s">
        <v>80</v>
      </c>
      <c r="K785" s="1" t="s">
        <v>74</v>
      </c>
      <c r="L785" s="1" t="s">
        <v>72</v>
      </c>
      <c r="M785" s="1" t="s">
        <v>75</v>
      </c>
      <c r="N785" s="1" t="s">
        <v>82</v>
      </c>
      <c r="O785" s="1" t="s">
        <v>77</v>
      </c>
      <c r="P785" s="1" t="s">
        <v>27</v>
      </c>
      <c r="Q785" s="1" t="s">
        <v>86</v>
      </c>
      <c r="R785" s="1" t="s">
        <v>94</v>
      </c>
      <c r="S785" s="1" t="s">
        <v>87</v>
      </c>
      <c r="T785" s="1" t="s">
        <v>88</v>
      </c>
      <c r="X785" s="1" t="s">
        <v>73</v>
      </c>
      <c r="Z785" s="1" t="s">
        <v>70</v>
      </c>
      <c r="AA785" s="1" t="s">
        <v>95</v>
      </c>
      <c r="AB785" s="1">
        <v>5</v>
      </c>
      <c r="AC785" s="1">
        <v>748813.17</v>
      </c>
      <c r="AD785" s="1">
        <v>8930486.0600000005</v>
      </c>
      <c r="AE785" s="1">
        <v>210.44</v>
      </c>
      <c r="AF785" s="1">
        <v>748813.17</v>
      </c>
      <c r="AG785" s="1">
        <v>8930486.0600000005</v>
      </c>
      <c r="AH785" s="1">
        <v>199.4</v>
      </c>
      <c r="AI785" s="1">
        <v>11.04</v>
      </c>
      <c r="AJ785" s="1">
        <v>0.6</v>
      </c>
      <c r="AK785" s="1">
        <v>2.97</v>
      </c>
      <c r="AL785" s="1">
        <v>2.58</v>
      </c>
      <c r="AM785" s="1">
        <v>0</v>
      </c>
      <c r="AN785" s="1">
        <v>0</v>
      </c>
      <c r="AO785" s="1">
        <v>279.95422539999998</v>
      </c>
      <c r="AP785" s="1">
        <v>3.38</v>
      </c>
      <c r="AQ785" s="1">
        <v>0.57999999999999996</v>
      </c>
      <c r="AR785" s="1">
        <v>0.09</v>
      </c>
      <c r="AS785" s="1">
        <v>0.06</v>
      </c>
      <c r="AT785" s="1">
        <v>14.72</v>
      </c>
      <c r="AU785" s="1">
        <v>4.7300000000000004</v>
      </c>
      <c r="AV785" s="1">
        <v>0.25</v>
      </c>
      <c r="AW785" s="1">
        <v>2.33</v>
      </c>
      <c r="AX785" s="1">
        <v>9.8000000000000007</v>
      </c>
      <c r="AY785" s="1">
        <v>0</v>
      </c>
      <c r="AZ785" s="1">
        <v>109.782</v>
      </c>
      <c r="BA785" s="1">
        <v>0</v>
      </c>
      <c r="BB785" s="1">
        <v>0</v>
      </c>
      <c r="BC785" s="1">
        <v>0</v>
      </c>
      <c r="BD785" s="1">
        <v>0</v>
      </c>
    </row>
    <row r="786" spans="1:56">
      <c r="A786" s="18">
        <v>46192</v>
      </c>
      <c r="B786" s="1">
        <v>785</v>
      </c>
      <c r="C786" s="1" t="s">
        <v>89</v>
      </c>
      <c r="D786" s="1" t="s">
        <v>90</v>
      </c>
      <c r="E786" s="1">
        <v>2</v>
      </c>
      <c r="F786" s="1">
        <v>200</v>
      </c>
      <c r="G786" s="1">
        <v>1</v>
      </c>
      <c r="H786" s="1" t="s">
        <v>91</v>
      </c>
      <c r="I786" s="1" t="s">
        <v>79</v>
      </c>
      <c r="J786" s="1" t="s">
        <v>80</v>
      </c>
      <c r="K786" s="1" t="s">
        <v>74</v>
      </c>
      <c r="L786" s="1" t="s">
        <v>72</v>
      </c>
      <c r="M786" s="1" t="s">
        <v>75</v>
      </c>
      <c r="N786" s="1" t="s">
        <v>82</v>
      </c>
      <c r="O786" s="1" t="s">
        <v>77</v>
      </c>
      <c r="P786" s="1" t="s">
        <v>27</v>
      </c>
      <c r="Q786" s="1" t="s">
        <v>86</v>
      </c>
      <c r="R786" s="1" t="s">
        <v>94</v>
      </c>
      <c r="S786" s="1" t="s">
        <v>87</v>
      </c>
      <c r="T786" s="1" t="s">
        <v>88</v>
      </c>
      <c r="X786" s="1" t="s">
        <v>73</v>
      </c>
      <c r="Z786" s="1" t="s">
        <v>70</v>
      </c>
      <c r="AA786" s="1" t="s">
        <v>95</v>
      </c>
      <c r="AB786" s="1">
        <v>5</v>
      </c>
      <c r="AC786" s="1">
        <v>748811.56</v>
      </c>
      <c r="AD786" s="1">
        <v>8930488.5600000005</v>
      </c>
      <c r="AE786" s="1">
        <v>210.34</v>
      </c>
      <c r="AF786" s="1">
        <v>748811.56</v>
      </c>
      <c r="AG786" s="1">
        <v>8930488.5600000005</v>
      </c>
      <c r="AH786" s="1">
        <v>199.4</v>
      </c>
      <c r="AI786" s="1">
        <v>10.94</v>
      </c>
      <c r="AJ786" s="1">
        <v>0.6</v>
      </c>
      <c r="AK786" s="1">
        <v>2.97</v>
      </c>
      <c r="AL786" s="1">
        <v>2.58</v>
      </c>
      <c r="AM786" s="1">
        <v>0</v>
      </c>
      <c r="AN786" s="1">
        <v>0</v>
      </c>
      <c r="AO786" s="1">
        <v>279.95422539999998</v>
      </c>
      <c r="AP786" s="1">
        <v>3.39</v>
      </c>
      <c r="AQ786" s="1">
        <v>0.6</v>
      </c>
      <c r="AR786" s="1">
        <v>0.09</v>
      </c>
      <c r="AS786" s="1">
        <v>7.0000000000000007E-2</v>
      </c>
      <c r="AT786" s="1">
        <v>15.16</v>
      </c>
      <c r="AU786" s="1">
        <v>4.91</v>
      </c>
      <c r="AV786" s="1">
        <v>0.27</v>
      </c>
      <c r="AW786" s="1">
        <v>2.27</v>
      </c>
      <c r="AX786" s="1">
        <v>9.68</v>
      </c>
      <c r="AY786" s="1">
        <v>0</v>
      </c>
      <c r="AZ786" s="1">
        <v>108.32599999999999</v>
      </c>
      <c r="BA786" s="1">
        <v>0</v>
      </c>
      <c r="BB786" s="1">
        <v>0</v>
      </c>
      <c r="BC786" s="1">
        <v>0</v>
      </c>
      <c r="BD786" s="1">
        <v>0</v>
      </c>
    </row>
    <row r="787" spans="1:56">
      <c r="A787" s="18">
        <v>46192</v>
      </c>
      <c r="B787" s="1">
        <v>786</v>
      </c>
      <c r="C787" s="1" t="s">
        <v>89</v>
      </c>
      <c r="D787" s="1" t="s">
        <v>90</v>
      </c>
      <c r="E787" s="1">
        <v>2</v>
      </c>
      <c r="F787" s="1">
        <v>200</v>
      </c>
      <c r="G787" s="1">
        <v>1</v>
      </c>
      <c r="H787" s="1" t="s">
        <v>91</v>
      </c>
      <c r="I787" s="1" t="s">
        <v>79</v>
      </c>
      <c r="J787" s="1" t="s">
        <v>80</v>
      </c>
      <c r="K787" s="1" t="s">
        <v>74</v>
      </c>
      <c r="L787" s="1" t="s">
        <v>72</v>
      </c>
      <c r="M787" s="1" t="s">
        <v>75</v>
      </c>
      <c r="N787" s="1" t="s">
        <v>82</v>
      </c>
      <c r="O787" s="1" t="s">
        <v>77</v>
      </c>
      <c r="P787" s="1" t="s">
        <v>27</v>
      </c>
      <c r="Q787" s="1" t="s">
        <v>86</v>
      </c>
      <c r="R787" s="1" t="s">
        <v>94</v>
      </c>
      <c r="S787" s="1" t="s">
        <v>87</v>
      </c>
      <c r="T787" s="1" t="s">
        <v>88</v>
      </c>
      <c r="X787" s="1" t="s">
        <v>73</v>
      </c>
      <c r="Z787" s="1" t="s">
        <v>70</v>
      </c>
      <c r="AA787" s="1" t="s">
        <v>95</v>
      </c>
      <c r="AB787" s="1">
        <v>5</v>
      </c>
      <c r="AC787" s="1">
        <v>748809.96</v>
      </c>
      <c r="AD787" s="1">
        <v>8930491.0600000005</v>
      </c>
      <c r="AE787" s="1">
        <v>210.5</v>
      </c>
      <c r="AF787" s="1">
        <v>748809.96</v>
      </c>
      <c r="AG787" s="1">
        <v>8930491.0600000005</v>
      </c>
      <c r="AH787" s="1">
        <v>199.4</v>
      </c>
      <c r="AI787" s="1">
        <v>11.1</v>
      </c>
      <c r="AJ787" s="1">
        <v>0.6</v>
      </c>
      <c r="AK787" s="1">
        <v>2.97</v>
      </c>
      <c r="AL787" s="1">
        <v>2.58</v>
      </c>
      <c r="AM787" s="1">
        <v>0</v>
      </c>
      <c r="AN787" s="1">
        <v>0</v>
      </c>
      <c r="AO787" s="1">
        <v>279.95422539999998</v>
      </c>
      <c r="AP787" s="1">
        <v>3.44</v>
      </c>
      <c r="AQ787" s="1">
        <v>0.7</v>
      </c>
      <c r="AR787" s="1">
        <v>0.11</v>
      </c>
      <c r="AS787" s="1">
        <v>0.08</v>
      </c>
      <c r="AT787" s="1">
        <v>17.7</v>
      </c>
      <c r="AU787" s="1">
        <v>5.74</v>
      </c>
      <c r="AV787" s="1">
        <v>0.37</v>
      </c>
      <c r="AW787" s="1">
        <v>1.93</v>
      </c>
      <c r="AX787" s="1">
        <v>8.9700000000000006</v>
      </c>
      <c r="AY787" s="1">
        <v>0</v>
      </c>
      <c r="AZ787" s="1">
        <v>110.65600000000001</v>
      </c>
      <c r="BA787" s="1">
        <v>0</v>
      </c>
      <c r="BB787" s="1">
        <v>0</v>
      </c>
      <c r="BC787" s="1">
        <v>0</v>
      </c>
      <c r="BD787" s="1">
        <v>0</v>
      </c>
    </row>
    <row r="788" spans="1:56">
      <c r="A788" s="18">
        <v>46192</v>
      </c>
      <c r="B788" s="1">
        <v>787</v>
      </c>
      <c r="C788" s="1" t="s">
        <v>89</v>
      </c>
      <c r="D788" s="1" t="s">
        <v>90</v>
      </c>
      <c r="E788" s="1">
        <v>2</v>
      </c>
      <c r="F788" s="1">
        <v>200</v>
      </c>
      <c r="G788" s="1">
        <v>1</v>
      </c>
      <c r="H788" s="1" t="s">
        <v>91</v>
      </c>
      <c r="I788" s="1" t="s">
        <v>79</v>
      </c>
      <c r="J788" s="1" t="s">
        <v>81</v>
      </c>
      <c r="K788" s="1" t="s">
        <v>74</v>
      </c>
      <c r="L788" s="1" t="s">
        <v>72</v>
      </c>
      <c r="M788" s="1" t="s">
        <v>75</v>
      </c>
      <c r="N788" s="1" t="s">
        <v>82</v>
      </c>
      <c r="O788" s="1" t="s">
        <v>77</v>
      </c>
      <c r="P788" s="1" t="s">
        <v>27</v>
      </c>
      <c r="Q788" s="1" t="s">
        <v>86</v>
      </c>
      <c r="R788" s="1" t="s">
        <v>94</v>
      </c>
      <c r="S788" s="1" t="s">
        <v>87</v>
      </c>
      <c r="T788" s="1" t="s">
        <v>88</v>
      </c>
      <c r="X788" s="1" t="s">
        <v>73</v>
      </c>
      <c r="Z788" s="1" t="s">
        <v>70</v>
      </c>
      <c r="AA788" s="1" t="s">
        <v>95</v>
      </c>
      <c r="AB788" s="1">
        <v>5</v>
      </c>
      <c r="AC788" s="1">
        <v>748808.36</v>
      </c>
      <c r="AD788" s="1">
        <v>8930493.5600000005</v>
      </c>
      <c r="AE788" s="1">
        <v>210.35</v>
      </c>
      <c r="AF788" s="1">
        <v>748808.36</v>
      </c>
      <c r="AG788" s="1">
        <v>8930493.5600000005</v>
      </c>
      <c r="AH788" s="1">
        <v>199.4</v>
      </c>
      <c r="AI788" s="1">
        <v>10.95</v>
      </c>
      <c r="AJ788" s="1">
        <v>0.6</v>
      </c>
      <c r="AK788" s="1">
        <v>2.97</v>
      </c>
      <c r="AL788" s="1">
        <v>2.58</v>
      </c>
      <c r="AM788" s="1">
        <v>0</v>
      </c>
      <c r="AN788" s="1">
        <v>0</v>
      </c>
      <c r="AO788" s="1">
        <v>279.95422539999998</v>
      </c>
      <c r="AP788" s="1">
        <v>3.46</v>
      </c>
      <c r="AQ788" s="1">
        <v>0.77</v>
      </c>
      <c r="AR788" s="1">
        <v>0.12</v>
      </c>
      <c r="AS788" s="1">
        <v>0.08</v>
      </c>
      <c r="AT788" s="1">
        <v>18.5</v>
      </c>
      <c r="AU788" s="1">
        <v>5.86</v>
      </c>
      <c r="AV788" s="1">
        <v>0.42</v>
      </c>
      <c r="AW788" s="1">
        <v>1.85</v>
      </c>
      <c r="AX788" s="1">
        <v>8.27</v>
      </c>
      <c r="AY788" s="1">
        <v>0</v>
      </c>
      <c r="AZ788" s="1">
        <v>108.47199999999999</v>
      </c>
      <c r="BA788" s="1">
        <v>0</v>
      </c>
      <c r="BB788" s="1">
        <v>0</v>
      </c>
      <c r="BC788" s="1">
        <v>0</v>
      </c>
      <c r="BD788" s="1">
        <v>0</v>
      </c>
    </row>
    <row r="789" spans="1:56">
      <c r="A789" s="18">
        <v>46192</v>
      </c>
      <c r="B789" s="1">
        <v>788</v>
      </c>
      <c r="C789" s="1" t="s">
        <v>89</v>
      </c>
      <c r="D789" s="1" t="s">
        <v>90</v>
      </c>
      <c r="E789" s="1">
        <v>2</v>
      </c>
      <c r="F789" s="1">
        <v>200</v>
      </c>
      <c r="G789" s="1">
        <v>1</v>
      </c>
      <c r="H789" s="1" t="s">
        <v>91</v>
      </c>
      <c r="I789" s="1" t="s">
        <v>79</v>
      </c>
      <c r="J789" s="1" t="s">
        <v>81</v>
      </c>
      <c r="K789" s="1" t="s">
        <v>74</v>
      </c>
      <c r="L789" s="1" t="s">
        <v>72</v>
      </c>
      <c r="M789" s="1" t="s">
        <v>75</v>
      </c>
      <c r="N789" s="1" t="s">
        <v>82</v>
      </c>
      <c r="O789" s="1" t="s">
        <v>77</v>
      </c>
      <c r="P789" s="1" t="s">
        <v>27</v>
      </c>
      <c r="Q789" s="1" t="s">
        <v>86</v>
      </c>
      <c r="R789" s="1" t="s">
        <v>94</v>
      </c>
      <c r="S789" s="1" t="s">
        <v>87</v>
      </c>
      <c r="T789" s="1" t="s">
        <v>88</v>
      </c>
      <c r="X789" s="1" t="s">
        <v>73</v>
      </c>
      <c r="Z789" s="1" t="s">
        <v>70</v>
      </c>
      <c r="AA789" s="1" t="s">
        <v>95</v>
      </c>
      <c r="AB789" s="1">
        <v>5</v>
      </c>
      <c r="AC789" s="1">
        <v>748806.75</v>
      </c>
      <c r="AD789" s="1">
        <v>8930496.0600000005</v>
      </c>
      <c r="AE789" s="1">
        <v>210.13</v>
      </c>
      <c r="AF789" s="1">
        <v>748806.75</v>
      </c>
      <c r="AG789" s="1">
        <v>8930496.0600000005</v>
      </c>
      <c r="AH789" s="1">
        <v>199.4</v>
      </c>
      <c r="AI789" s="1">
        <v>10.73</v>
      </c>
      <c r="AJ789" s="1">
        <v>0.6</v>
      </c>
      <c r="AK789" s="1">
        <v>2.97</v>
      </c>
      <c r="AL789" s="1">
        <v>2.58</v>
      </c>
      <c r="AM789" s="1">
        <v>0</v>
      </c>
      <c r="AN789" s="1">
        <v>0</v>
      </c>
      <c r="AO789" s="1">
        <v>279.95422539999998</v>
      </c>
      <c r="AP789" s="1">
        <v>3.46</v>
      </c>
      <c r="AQ789" s="1">
        <v>0.78</v>
      </c>
      <c r="AR789" s="1">
        <v>0.12</v>
      </c>
      <c r="AS789" s="1">
        <v>0.08</v>
      </c>
      <c r="AT789" s="1">
        <v>18.57</v>
      </c>
      <c r="AU789" s="1">
        <v>5.85</v>
      </c>
      <c r="AV789" s="1">
        <v>0.42</v>
      </c>
      <c r="AW789" s="1">
        <v>1.85</v>
      </c>
      <c r="AX789" s="1">
        <v>8.16</v>
      </c>
      <c r="AY789" s="1">
        <v>0</v>
      </c>
      <c r="AZ789" s="1">
        <v>105.26900000000001</v>
      </c>
      <c r="BA789" s="1">
        <v>0</v>
      </c>
      <c r="BB789" s="1">
        <v>0</v>
      </c>
      <c r="BC789" s="1">
        <v>0</v>
      </c>
      <c r="BD789" s="1">
        <v>0</v>
      </c>
    </row>
    <row r="790" spans="1:56">
      <c r="A790" s="18">
        <v>46192</v>
      </c>
      <c r="B790" s="1">
        <v>789</v>
      </c>
      <c r="C790" s="1" t="s">
        <v>89</v>
      </c>
      <c r="D790" s="1" t="s">
        <v>90</v>
      </c>
      <c r="E790" s="1">
        <v>2</v>
      </c>
      <c r="F790" s="1">
        <v>200</v>
      </c>
      <c r="G790" s="1">
        <v>1</v>
      </c>
      <c r="H790" s="1" t="s">
        <v>91</v>
      </c>
      <c r="I790" s="1" t="s">
        <v>79</v>
      </c>
      <c r="J790" s="1" t="s">
        <v>81</v>
      </c>
      <c r="K790" s="1" t="s">
        <v>74</v>
      </c>
      <c r="L790" s="1" t="s">
        <v>72</v>
      </c>
      <c r="M790" s="1" t="s">
        <v>75</v>
      </c>
      <c r="N790" s="1" t="s">
        <v>82</v>
      </c>
      <c r="O790" s="1" t="s">
        <v>77</v>
      </c>
      <c r="P790" s="1" t="s">
        <v>27</v>
      </c>
      <c r="Q790" s="1" t="s">
        <v>86</v>
      </c>
      <c r="R790" s="1" t="s">
        <v>94</v>
      </c>
      <c r="S790" s="1" t="s">
        <v>87</v>
      </c>
      <c r="T790" s="1" t="s">
        <v>88</v>
      </c>
      <c r="X790" s="1" t="s">
        <v>73</v>
      </c>
      <c r="Z790" s="1" t="s">
        <v>70</v>
      </c>
      <c r="AA790" s="1" t="s">
        <v>95</v>
      </c>
      <c r="AB790" s="1">
        <v>5</v>
      </c>
      <c r="AC790" s="1">
        <v>748805.15</v>
      </c>
      <c r="AD790" s="1">
        <v>8930498.5600000005</v>
      </c>
      <c r="AE790" s="1">
        <v>210</v>
      </c>
      <c r="AF790" s="1">
        <v>748805.15</v>
      </c>
      <c r="AG790" s="1">
        <v>8930498.5600000005</v>
      </c>
      <c r="AH790" s="1">
        <v>199.4</v>
      </c>
      <c r="AI790" s="1">
        <v>10.6</v>
      </c>
      <c r="AJ790" s="1">
        <v>0.6</v>
      </c>
      <c r="AK790" s="1">
        <v>2.97</v>
      </c>
      <c r="AL790" s="1">
        <v>2.58</v>
      </c>
      <c r="AM790" s="1">
        <v>0</v>
      </c>
      <c r="AN790" s="1">
        <v>0</v>
      </c>
      <c r="AO790" s="1">
        <v>279.95422539999998</v>
      </c>
      <c r="AP790" s="1">
        <v>3.46</v>
      </c>
      <c r="AQ790" s="1">
        <v>0.77</v>
      </c>
      <c r="AR790" s="1">
        <v>0.12</v>
      </c>
      <c r="AS790" s="1">
        <v>0.08</v>
      </c>
      <c r="AT790" s="1">
        <v>18.79</v>
      </c>
      <c r="AU790" s="1">
        <v>5.8</v>
      </c>
      <c r="AV790" s="1">
        <v>0.42</v>
      </c>
      <c r="AW790" s="1">
        <v>1.82</v>
      </c>
      <c r="AX790" s="1">
        <v>8.08</v>
      </c>
      <c r="AY790" s="1">
        <v>0</v>
      </c>
      <c r="AZ790" s="1">
        <v>103.376</v>
      </c>
      <c r="BA790" s="1">
        <v>0</v>
      </c>
      <c r="BB790" s="1">
        <v>0</v>
      </c>
      <c r="BC790" s="1">
        <v>0</v>
      </c>
      <c r="BD790" s="1">
        <v>0</v>
      </c>
    </row>
    <row r="791" spans="1:56">
      <c r="A791" s="18">
        <v>46192</v>
      </c>
      <c r="B791" s="1">
        <v>790</v>
      </c>
      <c r="C791" s="1" t="s">
        <v>89</v>
      </c>
      <c r="D791" s="1" t="s">
        <v>90</v>
      </c>
      <c r="E791" s="1">
        <v>2</v>
      </c>
      <c r="F791" s="1">
        <v>200</v>
      </c>
      <c r="G791" s="1">
        <v>1</v>
      </c>
      <c r="H791" s="1" t="s">
        <v>91</v>
      </c>
      <c r="I791" s="1" t="s">
        <v>79</v>
      </c>
      <c r="J791" s="1" t="s">
        <v>80</v>
      </c>
      <c r="K791" s="1" t="s">
        <v>74</v>
      </c>
      <c r="L791" s="1" t="s">
        <v>72</v>
      </c>
      <c r="M791" s="1" t="s">
        <v>75</v>
      </c>
      <c r="N791" s="1" t="s">
        <v>82</v>
      </c>
      <c r="O791" s="1" t="s">
        <v>77</v>
      </c>
      <c r="P791" s="1" t="s">
        <v>27</v>
      </c>
      <c r="Q791" s="1" t="s">
        <v>86</v>
      </c>
      <c r="R791" s="1" t="s">
        <v>94</v>
      </c>
      <c r="S791" s="1" t="s">
        <v>87</v>
      </c>
      <c r="T791" s="1" t="s">
        <v>88</v>
      </c>
      <c r="X791" s="1" t="s">
        <v>73</v>
      </c>
      <c r="Z791" s="1" t="s">
        <v>70</v>
      </c>
      <c r="AA791" s="1" t="s">
        <v>95</v>
      </c>
      <c r="AB791" s="1">
        <v>5</v>
      </c>
      <c r="AC791" s="1">
        <v>748803.55</v>
      </c>
      <c r="AD791" s="1">
        <v>8930501.0600000005</v>
      </c>
      <c r="AE791" s="1">
        <v>210.32</v>
      </c>
      <c r="AF791" s="1">
        <v>748803.55</v>
      </c>
      <c r="AG791" s="1">
        <v>8930501.0600000005</v>
      </c>
      <c r="AH791" s="1">
        <v>199.4</v>
      </c>
      <c r="AI791" s="1">
        <v>10.92</v>
      </c>
      <c r="AJ791" s="1">
        <v>0.6</v>
      </c>
      <c r="AK791" s="1">
        <v>2.97</v>
      </c>
      <c r="AL791" s="1">
        <v>2.58</v>
      </c>
      <c r="AM791" s="1">
        <v>0</v>
      </c>
      <c r="AN791" s="1">
        <v>0</v>
      </c>
      <c r="AO791" s="1">
        <v>279.95422539999998</v>
      </c>
      <c r="AP791" s="1">
        <v>3.45</v>
      </c>
      <c r="AQ791" s="1">
        <v>0.69</v>
      </c>
      <c r="AR791" s="1">
        <v>0.12</v>
      </c>
      <c r="AS791" s="1">
        <v>0.08</v>
      </c>
      <c r="AT791" s="1">
        <v>20.07</v>
      </c>
      <c r="AU791" s="1">
        <v>5.52</v>
      </c>
      <c r="AV791" s="1">
        <v>0.42</v>
      </c>
      <c r="AW791" s="1">
        <v>1.64</v>
      </c>
      <c r="AX791" s="1">
        <v>7.73</v>
      </c>
      <c r="AY791" s="1">
        <v>0</v>
      </c>
      <c r="AZ791" s="1">
        <v>108.035</v>
      </c>
      <c r="BA791" s="1">
        <v>0</v>
      </c>
      <c r="BB791" s="1">
        <v>0</v>
      </c>
      <c r="BC791" s="1">
        <v>0</v>
      </c>
      <c r="BD791" s="1">
        <v>0</v>
      </c>
    </row>
    <row r="792" spans="1:56">
      <c r="A792" s="18">
        <v>46192</v>
      </c>
      <c r="B792" s="1">
        <v>791</v>
      </c>
      <c r="C792" s="1" t="s">
        <v>89</v>
      </c>
      <c r="D792" s="1" t="s">
        <v>90</v>
      </c>
      <c r="E792" s="1">
        <v>2</v>
      </c>
      <c r="F792" s="1">
        <v>200</v>
      </c>
      <c r="G792" s="1">
        <v>1</v>
      </c>
      <c r="H792" s="1" t="s">
        <v>91</v>
      </c>
      <c r="I792" s="1" t="s">
        <v>79</v>
      </c>
      <c r="J792" s="1" t="s">
        <v>80</v>
      </c>
      <c r="K792" s="1" t="s">
        <v>74</v>
      </c>
      <c r="L792" s="1" t="s">
        <v>72</v>
      </c>
      <c r="M792" s="1" t="s">
        <v>75</v>
      </c>
      <c r="N792" s="1" t="s">
        <v>82</v>
      </c>
      <c r="O792" s="1" t="s">
        <v>77</v>
      </c>
      <c r="P792" s="1" t="s">
        <v>27</v>
      </c>
      <c r="Q792" s="1" t="s">
        <v>86</v>
      </c>
      <c r="R792" s="1" t="s">
        <v>94</v>
      </c>
      <c r="S792" s="1" t="s">
        <v>87</v>
      </c>
      <c r="T792" s="1" t="s">
        <v>88</v>
      </c>
      <c r="X792" s="1" t="s">
        <v>73</v>
      </c>
      <c r="Z792" s="1" t="s">
        <v>70</v>
      </c>
      <c r="AA792" s="1" t="s">
        <v>95</v>
      </c>
      <c r="AB792" s="1">
        <v>5</v>
      </c>
      <c r="AC792" s="1">
        <v>748801.95</v>
      </c>
      <c r="AD792" s="1">
        <v>8930503.5600000005</v>
      </c>
      <c r="AE792" s="1">
        <v>210.23</v>
      </c>
      <c r="AF792" s="1">
        <v>748801.95</v>
      </c>
      <c r="AG792" s="1">
        <v>8930503.5600000005</v>
      </c>
      <c r="AH792" s="1">
        <v>199.4</v>
      </c>
      <c r="AI792" s="1">
        <v>10.83</v>
      </c>
      <c r="AJ792" s="1">
        <v>0.6</v>
      </c>
      <c r="AK792" s="1">
        <v>2.97</v>
      </c>
      <c r="AL792" s="1">
        <v>2.58</v>
      </c>
      <c r="AM792" s="1">
        <v>0</v>
      </c>
      <c r="AN792" s="1">
        <v>0</v>
      </c>
      <c r="AO792" s="1">
        <v>279.95422539999998</v>
      </c>
      <c r="AP792" s="1">
        <v>3.44</v>
      </c>
      <c r="AQ792" s="1">
        <v>0.66</v>
      </c>
      <c r="AR792" s="1">
        <v>0.12</v>
      </c>
      <c r="AS792" s="1">
        <v>0.08</v>
      </c>
      <c r="AT792" s="1">
        <v>20.420000000000002</v>
      </c>
      <c r="AU792" s="1">
        <v>5.44</v>
      </c>
      <c r="AV792" s="1">
        <v>0.42</v>
      </c>
      <c r="AW792" s="1">
        <v>1.59</v>
      </c>
      <c r="AX792" s="1">
        <v>7.61</v>
      </c>
      <c r="AY792" s="1">
        <v>0</v>
      </c>
      <c r="AZ792" s="1">
        <v>106.72499999999999</v>
      </c>
      <c r="BA792" s="1">
        <v>0</v>
      </c>
      <c r="BB792" s="1">
        <v>0</v>
      </c>
      <c r="BC792" s="1">
        <v>0</v>
      </c>
      <c r="BD792" s="1">
        <v>0</v>
      </c>
    </row>
    <row r="793" spans="1:56">
      <c r="A793" s="18">
        <v>46192</v>
      </c>
      <c r="B793" s="1">
        <v>792</v>
      </c>
      <c r="C793" s="1" t="s">
        <v>89</v>
      </c>
      <c r="D793" s="1" t="s">
        <v>90</v>
      </c>
      <c r="E793" s="1">
        <v>2</v>
      </c>
      <c r="F793" s="1">
        <v>200</v>
      </c>
      <c r="G793" s="1">
        <v>1</v>
      </c>
      <c r="H793" s="1" t="s">
        <v>91</v>
      </c>
      <c r="I793" s="1" t="s">
        <v>79</v>
      </c>
      <c r="J793" s="1" t="s">
        <v>80</v>
      </c>
      <c r="K793" s="1" t="s">
        <v>74</v>
      </c>
      <c r="L793" s="1" t="s">
        <v>72</v>
      </c>
      <c r="M793" s="1" t="s">
        <v>75</v>
      </c>
      <c r="N793" s="1" t="s">
        <v>82</v>
      </c>
      <c r="O793" s="1" t="s">
        <v>77</v>
      </c>
      <c r="P793" s="1" t="s">
        <v>27</v>
      </c>
      <c r="Q793" s="1" t="s">
        <v>86</v>
      </c>
      <c r="R793" s="1" t="s">
        <v>94</v>
      </c>
      <c r="S793" s="1" t="s">
        <v>87</v>
      </c>
      <c r="T793" s="1" t="s">
        <v>88</v>
      </c>
      <c r="X793" s="1" t="s">
        <v>73</v>
      </c>
      <c r="Z793" s="1" t="s">
        <v>70</v>
      </c>
      <c r="AA793" s="1" t="s">
        <v>95</v>
      </c>
      <c r="AB793" s="1">
        <v>5</v>
      </c>
      <c r="AC793" s="1">
        <v>748800.34</v>
      </c>
      <c r="AD793" s="1">
        <v>8930506.0600000005</v>
      </c>
      <c r="AE793" s="1">
        <v>210.19</v>
      </c>
      <c r="AF793" s="1">
        <v>748800.34</v>
      </c>
      <c r="AG793" s="1">
        <v>8930506.0600000005</v>
      </c>
      <c r="AH793" s="1">
        <v>199.4</v>
      </c>
      <c r="AI793" s="1">
        <v>10.79</v>
      </c>
      <c r="AJ793" s="1">
        <v>0.6</v>
      </c>
      <c r="AK793" s="1">
        <v>2.97</v>
      </c>
      <c r="AL793" s="1">
        <v>2.58</v>
      </c>
      <c r="AM793" s="1">
        <v>0</v>
      </c>
      <c r="AN793" s="1">
        <v>0</v>
      </c>
      <c r="AO793" s="1">
        <v>279.95422539999998</v>
      </c>
      <c r="AP793" s="1">
        <v>3.46</v>
      </c>
      <c r="AQ793" s="1">
        <v>0.67</v>
      </c>
      <c r="AR793" s="1">
        <v>0.12</v>
      </c>
      <c r="AS793" s="1">
        <v>0.08</v>
      </c>
      <c r="AT793" s="1">
        <v>19.899999999999999</v>
      </c>
      <c r="AU793" s="1">
        <v>5.73</v>
      </c>
      <c r="AV793" s="1">
        <v>0.42</v>
      </c>
      <c r="AW793" s="1">
        <v>1.6</v>
      </c>
      <c r="AX793" s="1">
        <v>7.59</v>
      </c>
      <c r="AY793" s="1">
        <v>0</v>
      </c>
      <c r="AZ793" s="1">
        <v>106.142</v>
      </c>
      <c r="BA793" s="1">
        <v>0</v>
      </c>
      <c r="BB793" s="1">
        <v>0</v>
      </c>
      <c r="BC793" s="1">
        <v>0</v>
      </c>
      <c r="BD793" s="1">
        <v>0</v>
      </c>
    </row>
    <row r="794" spans="1:56">
      <c r="A794" s="18">
        <v>46192</v>
      </c>
      <c r="B794" s="1">
        <v>793</v>
      </c>
      <c r="C794" s="1" t="s">
        <v>89</v>
      </c>
      <c r="D794" s="1" t="s">
        <v>90</v>
      </c>
      <c r="E794" s="1">
        <v>2</v>
      </c>
      <c r="F794" s="1">
        <v>200</v>
      </c>
      <c r="G794" s="1">
        <v>1</v>
      </c>
      <c r="H794" s="1" t="s">
        <v>91</v>
      </c>
      <c r="I794" s="1" t="s">
        <v>79</v>
      </c>
      <c r="J794" s="1" t="s">
        <v>80</v>
      </c>
      <c r="K794" s="1" t="s">
        <v>74</v>
      </c>
      <c r="L794" s="1" t="s">
        <v>72</v>
      </c>
      <c r="M794" s="1" t="s">
        <v>75</v>
      </c>
      <c r="N794" s="1" t="s">
        <v>82</v>
      </c>
      <c r="O794" s="1" t="s">
        <v>77</v>
      </c>
      <c r="P794" s="1" t="s">
        <v>27</v>
      </c>
      <c r="Q794" s="1" t="s">
        <v>86</v>
      </c>
      <c r="R794" s="1" t="s">
        <v>94</v>
      </c>
      <c r="S794" s="1" t="s">
        <v>87</v>
      </c>
      <c r="T794" s="1" t="s">
        <v>88</v>
      </c>
      <c r="X794" s="1" t="s">
        <v>73</v>
      </c>
      <c r="Z794" s="1" t="s">
        <v>70</v>
      </c>
      <c r="AA794" s="1" t="s">
        <v>95</v>
      </c>
      <c r="AB794" s="1">
        <v>5</v>
      </c>
      <c r="AC794" s="1">
        <v>748798.74</v>
      </c>
      <c r="AD794" s="1">
        <v>8930508.5600000005</v>
      </c>
      <c r="AE794" s="1">
        <v>210.04</v>
      </c>
      <c r="AF794" s="1">
        <v>748798.74</v>
      </c>
      <c r="AG794" s="1">
        <v>8930508.5600000005</v>
      </c>
      <c r="AH794" s="1">
        <v>199.4</v>
      </c>
      <c r="AI794" s="1">
        <v>10.64</v>
      </c>
      <c r="AJ794" s="1">
        <v>0.6</v>
      </c>
      <c r="AK794" s="1">
        <v>2.97</v>
      </c>
      <c r="AL794" s="1">
        <v>2.58</v>
      </c>
      <c r="AM794" s="1">
        <v>0</v>
      </c>
      <c r="AN794" s="1">
        <v>0</v>
      </c>
      <c r="AO794" s="1">
        <v>279.95422539999998</v>
      </c>
      <c r="AP794" s="1">
        <v>3.47</v>
      </c>
      <c r="AQ794" s="1">
        <v>0.68</v>
      </c>
      <c r="AR794" s="1">
        <v>0.11</v>
      </c>
      <c r="AS794" s="1">
        <v>0.08</v>
      </c>
      <c r="AT794" s="1">
        <v>19.46</v>
      </c>
      <c r="AU794" s="1">
        <v>6.11</v>
      </c>
      <c r="AV794" s="1">
        <v>0.42</v>
      </c>
      <c r="AW794" s="1">
        <v>1.62</v>
      </c>
      <c r="AX794" s="1">
        <v>7.61</v>
      </c>
      <c r="AY794" s="1">
        <v>0</v>
      </c>
      <c r="AZ794" s="1">
        <v>103.958</v>
      </c>
      <c r="BA794" s="1">
        <v>0</v>
      </c>
      <c r="BB794" s="1">
        <v>0</v>
      </c>
      <c r="BC794" s="1">
        <v>0</v>
      </c>
      <c r="BD794" s="1">
        <v>0</v>
      </c>
    </row>
    <row r="795" spans="1:56">
      <c r="A795" s="18">
        <v>46192</v>
      </c>
      <c r="B795" s="1">
        <v>794</v>
      </c>
      <c r="C795" s="1" t="s">
        <v>89</v>
      </c>
      <c r="D795" s="1" t="s">
        <v>90</v>
      </c>
      <c r="E795" s="1">
        <v>2</v>
      </c>
      <c r="F795" s="1">
        <v>200</v>
      </c>
      <c r="G795" s="1">
        <v>1</v>
      </c>
      <c r="H795" s="1" t="s">
        <v>91</v>
      </c>
      <c r="I795" s="1" t="s">
        <v>79</v>
      </c>
      <c r="J795" s="1" t="s">
        <v>80</v>
      </c>
      <c r="K795" s="1" t="s">
        <v>74</v>
      </c>
      <c r="L795" s="1" t="s">
        <v>72</v>
      </c>
      <c r="M795" s="1" t="s">
        <v>75</v>
      </c>
      <c r="N795" s="1" t="s">
        <v>82</v>
      </c>
      <c r="O795" s="1" t="s">
        <v>77</v>
      </c>
      <c r="P795" s="1" t="s">
        <v>27</v>
      </c>
      <c r="Q795" s="1" t="s">
        <v>86</v>
      </c>
      <c r="R795" s="1" t="s">
        <v>94</v>
      </c>
      <c r="S795" s="1" t="s">
        <v>87</v>
      </c>
      <c r="T795" s="1" t="s">
        <v>88</v>
      </c>
      <c r="X795" s="1" t="s">
        <v>73</v>
      </c>
      <c r="Z795" s="1" t="s">
        <v>70</v>
      </c>
      <c r="AA795" s="1" t="s">
        <v>95</v>
      </c>
      <c r="AB795" s="1">
        <v>5</v>
      </c>
      <c r="AC795" s="1">
        <v>748797.14</v>
      </c>
      <c r="AD795" s="1">
        <v>8930511.0600000005</v>
      </c>
      <c r="AE795" s="1">
        <v>209.77</v>
      </c>
      <c r="AF795" s="1">
        <v>748797.14</v>
      </c>
      <c r="AG795" s="1">
        <v>8930511.0600000005</v>
      </c>
      <c r="AH795" s="1">
        <v>199.4</v>
      </c>
      <c r="AI795" s="1">
        <v>10.37</v>
      </c>
      <c r="AJ795" s="1">
        <v>0.6</v>
      </c>
      <c r="AK795" s="1">
        <v>2.97</v>
      </c>
      <c r="AL795" s="1">
        <v>2.58</v>
      </c>
      <c r="AM795" s="1">
        <v>0</v>
      </c>
      <c r="AN795" s="1">
        <v>0</v>
      </c>
      <c r="AO795" s="1">
        <v>279.95422539999998</v>
      </c>
      <c r="AP795" s="1">
        <v>3.49</v>
      </c>
      <c r="AQ795" s="1">
        <v>0.67</v>
      </c>
      <c r="AR795" s="1">
        <v>0.1</v>
      </c>
      <c r="AS795" s="1">
        <v>0.09</v>
      </c>
      <c r="AT795" s="1">
        <v>20.45</v>
      </c>
      <c r="AU795" s="1">
        <v>6.36</v>
      </c>
      <c r="AV795" s="1">
        <v>0.41</v>
      </c>
      <c r="AW795" s="1">
        <v>1.64</v>
      </c>
      <c r="AX795" s="1">
        <v>7.89</v>
      </c>
      <c r="AY795" s="1">
        <v>0</v>
      </c>
      <c r="AZ795" s="1">
        <v>100.027</v>
      </c>
      <c r="BA795" s="1">
        <v>0</v>
      </c>
      <c r="BB795" s="1">
        <v>0</v>
      </c>
      <c r="BC795" s="1">
        <v>0</v>
      </c>
      <c r="BD795" s="1">
        <v>0</v>
      </c>
    </row>
    <row r="796" spans="1:56">
      <c r="A796" s="18">
        <v>46192</v>
      </c>
      <c r="B796" s="1">
        <v>795</v>
      </c>
      <c r="C796" s="1" t="s">
        <v>89</v>
      </c>
      <c r="D796" s="1" t="s">
        <v>90</v>
      </c>
      <c r="E796" s="1">
        <v>2</v>
      </c>
      <c r="F796" s="1">
        <v>200</v>
      </c>
      <c r="G796" s="1">
        <v>1</v>
      </c>
      <c r="H796" s="1" t="s">
        <v>91</v>
      </c>
      <c r="I796" s="1" t="s">
        <v>79</v>
      </c>
      <c r="J796" s="1" t="s">
        <v>80</v>
      </c>
      <c r="K796" s="1" t="s">
        <v>74</v>
      </c>
      <c r="L796" s="1" t="s">
        <v>72</v>
      </c>
      <c r="M796" s="1" t="s">
        <v>75</v>
      </c>
      <c r="N796" s="1" t="s">
        <v>82</v>
      </c>
      <c r="O796" s="1" t="s">
        <v>77</v>
      </c>
      <c r="P796" s="1" t="s">
        <v>27</v>
      </c>
      <c r="Q796" s="1" t="s">
        <v>86</v>
      </c>
      <c r="R796" s="1" t="s">
        <v>94</v>
      </c>
      <c r="S796" s="1" t="s">
        <v>87</v>
      </c>
      <c r="T796" s="1" t="s">
        <v>88</v>
      </c>
      <c r="X796" s="1" t="s">
        <v>73</v>
      </c>
      <c r="Z796" s="1" t="s">
        <v>70</v>
      </c>
      <c r="AA796" s="1" t="s">
        <v>95</v>
      </c>
      <c r="AB796" s="1">
        <v>5</v>
      </c>
      <c r="AC796" s="1">
        <v>748795.53</v>
      </c>
      <c r="AD796" s="1">
        <v>8930513.5600000005</v>
      </c>
      <c r="AE796" s="1">
        <v>209.62</v>
      </c>
      <c r="AF796" s="1">
        <v>748795.53</v>
      </c>
      <c r="AG796" s="1">
        <v>8930513.5600000005</v>
      </c>
      <c r="AH796" s="1">
        <v>199.4</v>
      </c>
      <c r="AI796" s="1">
        <v>10.220000000000001</v>
      </c>
      <c r="AJ796" s="1">
        <v>0.6</v>
      </c>
      <c r="AK796" s="1">
        <v>2.97</v>
      </c>
      <c r="AL796" s="1">
        <v>2.58</v>
      </c>
      <c r="AM796" s="1">
        <v>0</v>
      </c>
      <c r="AN796" s="1">
        <v>0</v>
      </c>
      <c r="AO796" s="1">
        <v>279.95422539999998</v>
      </c>
      <c r="AP796" s="1">
        <v>3.49</v>
      </c>
      <c r="AQ796" s="1">
        <v>0.67</v>
      </c>
      <c r="AR796" s="1">
        <v>0.1</v>
      </c>
      <c r="AS796" s="1">
        <v>0.1</v>
      </c>
      <c r="AT796" s="1">
        <v>20.77</v>
      </c>
      <c r="AU796" s="1">
        <v>6.4</v>
      </c>
      <c r="AV796" s="1">
        <v>0.41</v>
      </c>
      <c r="AW796" s="1">
        <v>1.65</v>
      </c>
      <c r="AX796" s="1">
        <v>7.95</v>
      </c>
      <c r="AY796" s="1">
        <v>0</v>
      </c>
      <c r="AZ796" s="1">
        <v>97.843000000000004</v>
      </c>
      <c r="BA796" s="1">
        <v>0</v>
      </c>
      <c r="BB796" s="1">
        <v>0</v>
      </c>
      <c r="BC796" s="1">
        <v>0</v>
      </c>
      <c r="BD796" s="1">
        <v>0</v>
      </c>
    </row>
    <row r="797" spans="1:56">
      <c r="A797" s="18">
        <v>46192</v>
      </c>
      <c r="B797" s="1">
        <v>796</v>
      </c>
      <c r="C797" s="1" t="s">
        <v>89</v>
      </c>
      <c r="D797" s="1" t="s">
        <v>90</v>
      </c>
      <c r="E797" s="1">
        <v>2</v>
      </c>
      <c r="F797" s="1">
        <v>200</v>
      </c>
      <c r="G797" s="1">
        <v>1</v>
      </c>
      <c r="H797" s="1" t="s">
        <v>91</v>
      </c>
      <c r="I797" s="1" t="s">
        <v>79</v>
      </c>
      <c r="J797" s="1" t="s">
        <v>80</v>
      </c>
      <c r="K797" s="1" t="s">
        <v>74</v>
      </c>
      <c r="L797" s="1" t="s">
        <v>72</v>
      </c>
      <c r="M797" s="1" t="s">
        <v>75</v>
      </c>
      <c r="N797" s="1" t="s">
        <v>82</v>
      </c>
      <c r="O797" s="1" t="s">
        <v>77</v>
      </c>
      <c r="P797" s="1" t="s">
        <v>27</v>
      </c>
      <c r="Q797" s="1" t="s">
        <v>86</v>
      </c>
      <c r="R797" s="1" t="s">
        <v>94</v>
      </c>
      <c r="S797" s="1" t="s">
        <v>87</v>
      </c>
      <c r="T797" s="1" t="s">
        <v>88</v>
      </c>
      <c r="X797" s="1" t="s">
        <v>73</v>
      </c>
      <c r="Z797" s="1" t="s">
        <v>70</v>
      </c>
      <c r="AA797" s="1" t="s">
        <v>95</v>
      </c>
      <c r="AB797" s="1">
        <v>5</v>
      </c>
      <c r="AC797" s="1">
        <v>748793.93</v>
      </c>
      <c r="AD797" s="1">
        <v>8930516.0600000005</v>
      </c>
      <c r="AE797" s="1">
        <v>209.53</v>
      </c>
      <c r="AF797" s="1">
        <v>748793.93</v>
      </c>
      <c r="AG797" s="1">
        <v>8930516.0600000005</v>
      </c>
      <c r="AH797" s="1">
        <v>199.4</v>
      </c>
      <c r="AI797" s="1">
        <v>10.130000000000001</v>
      </c>
      <c r="AJ797" s="1">
        <v>0.6</v>
      </c>
      <c r="AK797" s="1">
        <v>2.97</v>
      </c>
      <c r="AL797" s="1">
        <v>2.58</v>
      </c>
      <c r="AM797" s="1">
        <v>0</v>
      </c>
      <c r="AN797" s="1">
        <v>0</v>
      </c>
      <c r="AO797" s="1">
        <v>279.95422539999998</v>
      </c>
      <c r="AP797" s="1">
        <v>3.49</v>
      </c>
      <c r="AQ797" s="1">
        <v>0.67</v>
      </c>
      <c r="AR797" s="1">
        <v>0.1</v>
      </c>
      <c r="AS797" s="1">
        <v>0.1</v>
      </c>
      <c r="AT797" s="1">
        <v>20.77</v>
      </c>
      <c r="AU797" s="1">
        <v>6.4</v>
      </c>
      <c r="AV797" s="1">
        <v>0.41</v>
      </c>
      <c r="AW797" s="1">
        <v>1.65</v>
      </c>
      <c r="AX797" s="1">
        <v>7.95</v>
      </c>
      <c r="AY797" s="1">
        <v>0</v>
      </c>
      <c r="AZ797" s="1">
        <v>96.533000000000001</v>
      </c>
      <c r="BA797" s="1">
        <v>0</v>
      </c>
      <c r="BB797" s="1">
        <v>0</v>
      </c>
      <c r="BC797" s="1">
        <v>0</v>
      </c>
      <c r="BD797" s="1">
        <v>0</v>
      </c>
    </row>
    <row r="798" spans="1:56">
      <c r="A798" s="18">
        <v>46192</v>
      </c>
      <c r="B798" s="1">
        <v>797</v>
      </c>
      <c r="C798" s="1" t="s">
        <v>89</v>
      </c>
      <c r="D798" s="1" t="s">
        <v>90</v>
      </c>
      <c r="E798" s="1">
        <v>2</v>
      </c>
      <c r="F798" s="1">
        <v>200</v>
      </c>
      <c r="G798" s="1">
        <v>1</v>
      </c>
      <c r="H798" s="1" t="s">
        <v>91</v>
      </c>
      <c r="I798" s="1" t="s">
        <v>79</v>
      </c>
      <c r="J798" s="1" t="s">
        <v>80</v>
      </c>
      <c r="K798" s="1" t="s">
        <v>74</v>
      </c>
      <c r="L798" s="1" t="s">
        <v>72</v>
      </c>
      <c r="M798" s="1" t="s">
        <v>75</v>
      </c>
      <c r="N798" s="1" t="s">
        <v>82</v>
      </c>
      <c r="O798" s="1" t="s">
        <v>77</v>
      </c>
      <c r="P798" s="1" t="s">
        <v>27</v>
      </c>
      <c r="Q798" s="1" t="s">
        <v>86</v>
      </c>
      <c r="R798" s="1" t="s">
        <v>94</v>
      </c>
      <c r="S798" s="1" t="s">
        <v>87</v>
      </c>
      <c r="T798" s="1" t="s">
        <v>88</v>
      </c>
      <c r="X798" s="1" t="s">
        <v>73</v>
      </c>
      <c r="Z798" s="1" t="s">
        <v>70</v>
      </c>
      <c r="AA798" s="1" t="s">
        <v>95</v>
      </c>
      <c r="AB798" s="1">
        <v>5</v>
      </c>
      <c r="AC798" s="1">
        <v>748792.33</v>
      </c>
      <c r="AD798" s="1">
        <v>8930518.5600000005</v>
      </c>
      <c r="AE798" s="1">
        <v>209.61</v>
      </c>
      <c r="AF798" s="1">
        <v>748792.33</v>
      </c>
      <c r="AG798" s="1">
        <v>8930518.5600000005</v>
      </c>
      <c r="AH798" s="1">
        <v>199.4</v>
      </c>
      <c r="AI798" s="1">
        <v>10.210000000000001</v>
      </c>
      <c r="AJ798" s="1">
        <v>0.6</v>
      </c>
      <c r="AK798" s="1">
        <v>2.97</v>
      </c>
      <c r="AL798" s="1">
        <v>2.58</v>
      </c>
      <c r="AM798" s="1">
        <v>0</v>
      </c>
      <c r="AN798" s="1">
        <v>0</v>
      </c>
      <c r="AO798" s="1">
        <v>279.95422539999998</v>
      </c>
      <c r="AP798" s="1">
        <v>3.46</v>
      </c>
      <c r="AQ798" s="1">
        <v>0.67</v>
      </c>
      <c r="AR798" s="1">
        <v>0.1</v>
      </c>
      <c r="AS798" s="1">
        <v>0.09</v>
      </c>
      <c r="AT798" s="1">
        <v>20.6</v>
      </c>
      <c r="AU798" s="1">
        <v>6.47</v>
      </c>
      <c r="AV798" s="1">
        <v>0.41</v>
      </c>
      <c r="AW798" s="1">
        <v>1.65</v>
      </c>
      <c r="AX798" s="1">
        <v>7.97</v>
      </c>
      <c r="AY798" s="1">
        <v>0</v>
      </c>
      <c r="AZ798" s="1">
        <v>97.697999999999993</v>
      </c>
      <c r="BA798" s="1">
        <v>0</v>
      </c>
      <c r="BB798" s="1">
        <v>0</v>
      </c>
      <c r="BC798" s="1">
        <v>0</v>
      </c>
      <c r="BD798" s="1">
        <v>0</v>
      </c>
    </row>
    <row r="799" spans="1:56">
      <c r="A799" s="18">
        <v>46192</v>
      </c>
      <c r="B799" s="1">
        <v>798</v>
      </c>
      <c r="C799" s="1" t="s">
        <v>89</v>
      </c>
      <c r="D799" s="1" t="s">
        <v>90</v>
      </c>
      <c r="E799" s="1">
        <v>2</v>
      </c>
      <c r="F799" s="1">
        <v>200</v>
      </c>
      <c r="G799" s="1">
        <v>1</v>
      </c>
      <c r="H799" s="1" t="s">
        <v>91</v>
      </c>
      <c r="I799" s="1" t="s">
        <v>79</v>
      </c>
      <c r="J799" s="1" t="s">
        <v>81</v>
      </c>
      <c r="K799" s="1" t="s">
        <v>74</v>
      </c>
      <c r="L799" s="1" t="s">
        <v>72</v>
      </c>
      <c r="M799" s="1" t="s">
        <v>75</v>
      </c>
      <c r="N799" s="1" t="s">
        <v>82</v>
      </c>
      <c r="O799" s="1" t="s">
        <v>77</v>
      </c>
      <c r="P799" s="1" t="s">
        <v>27</v>
      </c>
      <c r="Q799" s="1" t="s">
        <v>86</v>
      </c>
      <c r="R799" s="1" t="s">
        <v>94</v>
      </c>
      <c r="S799" s="1" t="s">
        <v>87</v>
      </c>
      <c r="T799" s="1" t="s">
        <v>88</v>
      </c>
      <c r="X799" s="1" t="s">
        <v>73</v>
      </c>
      <c r="Z799" s="1" t="s">
        <v>70</v>
      </c>
      <c r="AA799" s="1" t="s">
        <v>95</v>
      </c>
      <c r="AB799" s="1">
        <v>5</v>
      </c>
      <c r="AC799" s="1">
        <v>748790.72</v>
      </c>
      <c r="AD799" s="1">
        <v>8930521.0600000005</v>
      </c>
      <c r="AE799" s="1">
        <v>209.68</v>
      </c>
      <c r="AF799" s="1">
        <v>748790.72</v>
      </c>
      <c r="AG799" s="1">
        <v>8930521.0600000005</v>
      </c>
      <c r="AH799" s="1">
        <v>199.4</v>
      </c>
      <c r="AI799" s="1">
        <v>10.28</v>
      </c>
      <c r="AJ799" s="1">
        <v>0.6</v>
      </c>
      <c r="AK799" s="1">
        <v>2.97</v>
      </c>
      <c r="AL799" s="1">
        <v>2.58</v>
      </c>
      <c r="AM799" s="1">
        <v>0</v>
      </c>
      <c r="AN799" s="1">
        <v>0</v>
      </c>
      <c r="AO799" s="1">
        <v>279.95422539999998</v>
      </c>
      <c r="AP799" s="1">
        <v>3.24</v>
      </c>
      <c r="AQ799" s="1">
        <v>0.67</v>
      </c>
      <c r="AR799" s="1">
        <v>0.09</v>
      </c>
      <c r="AS799" s="1">
        <v>0.09</v>
      </c>
      <c r="AT799" s="1">
        <v>19.149999999999999</v>
      </c>
      <c r="AU799" s="1">
        <v>7.13</v>
      </c>
      <c r="AV799" s="1">
        <v>0.41</v>
      </c>
      <c r="AW799" s="1">
        <v>1.65</v>
      </c>
      <c r="AX799" s="1">
        <v>8.2799999999999994</v>
      </c>
      <c r="AY799" s="1">
        <v>0</v>
      </c>
      <c r="AZ799" s="1">
        <v>98.716999999999999</v>
      </c>
      <c r="BA799" s="1">
        <v>0</v>
      </c>
      <c r="BB799" s="1">
        <v>0</v>
      </c>
      <c r="BC799" s="1">
        <v>0</v>
      </c>
      <c r="BD799" s="1">
        <v>0</v>
      </c>
    </row>
    <row r="800" spans="1:56">
      <c r="A800" s="18">
        <v>46192</v>
      </c>
      <c r="B800" s="1">
        <v>799</v>
      </c>
      <c r="C800" s="1" t="s">
        <v>89</v>
      </c>
      <c r="D800" s="1" t="s">
        <v>90</v>
      </c>
      <c r="E800" s="1">
        <v>2</v>
      </c>
      <c r="F800" s="1">
        <v>200</v>
      </c>
      <c r="G800" s="1">
        <v>1</v>
      </c>
      <c r="H800" s="1" t="s">
        <v>91</v>
      </c>
      <c r="I800" s="1" t="s">
        <v>79</v>
      </c>
      <c r="J800" s="1" t="s">
        <v>80</v>
      </c>
      <c r="K800" s="1" t="s">
        <v>74</v>
      </c>
      <c r="L800" s="1" t="s">
        <v>72</v>
      </c>
      <c r="M800" s="1" t="s">
        <v>75</v>
      </c>
      <c r="N800" s="1" t="s">
        <v>82</v>
      </c>
      <c r="O800" s="1" t="s">
        <v>77</v>
      </c>
      <c r="P800" s="1" t="s">
        <v>27</v>
      </c>
      <c r="Q800" s="1" t="s">
        <v>86</v>
      </c>
      <c r="R800" s="1" t="s">
        <v>94</v>
      </c>
      <c r="S800" s="1" t="s">
        <v>87</v>
      </c>
      <c r="T800" s="1" t="s">
        <v>88</v>
      </c>
      <c r="X800" s="1" t="s">
        <v>73</v>
      </c>
      <c r="Z800" s="1" t="s">
        <v>70</v>
      </c>
      <c r="AA800" s="1" t="s">
        <v>95</v>
      </c>
      <c r="AB800" s="1">
        <v>5</v>
      </c>
      <c r="AC800" s="1">
        <v>748789.23</v>
      </c>
      <c r="AD800" s="1">
        <v>8930523.6699999999</v>
      </c>
      <c r="AE800" s="1">
        <v>209.64</v>
      </c>
      <c r="AF800" s="1">
        <v>748789.23</v>
      </c>
      <c r="AG800" s="1">
        <v>8930523.6699999999</v>
      </c>
      <c r="AH800" s="1">
        <v>199.4</v>
      </c>
      <c r="AI800" s="1">
        <v>10.24</v>
      </c>
      <c r="AJ800" s="1">
        <v>0.6</v>
      </c>
      <c r="AK800" s="1">
        <v>2.97</v>
      </c>
      <c r="AL800" s="1">
        <v>2.58</v>
      </c>
      <c r="AM800" s="1">
        <v>0</v>
      </c>
      <c r="AN800" s="1">
        <v>0</v>
      </c>
      <c r="AO800" s="1">
        <v>279.95422539999998</v>
      </c>
      <c r="AP800" s="1">
        <v>3.24</v>
      </c>
      <c r="AQ800" s="1">
        <v>0.67</v>
      </c>
      <c r="AR800" s="1">
        <v>0.09</v>
      </c>
      <c r="AS800" s="1">
        <v>0.09</v>
      </c>
      <c r="AT800" s="1">
        <v>18.850000000000001</v>
      </c>
      <c r="AU800" s="1">
        <v>7.4</v>
      </c>
      <c r="AV800" s="1">
        <v>0.39</v>
      </c>
      <c r="AW800" s="1">
        <v>1.69</v>
      </c>
      <c r="AX800" s="1">
        <v>8.4600000000000009</v>
      </c>
      <c r="AY800" s="1">
        <v>0</v>
      </c>
      <c r="AZ800" s="1">
        <v>98.134</v>
      </c>
      <c r="BA800" s="1">
        <v>0</v>
      </c>
      <c r="BB800" s="1">
        <v>0</v>
      </c>
      <c r="BC800" s="1">
        <v>0</v>
      </c>
      <c r="BD800" s="1">
        <v>0</v>
      </c>
    </row>
    <row r="801" spans="1:56">
      <c r="A801" s="18">
        <v>46192</v>
      </c>
      <c r="B801" s="1">
        <v>800</v>
      </c>
      <c r="C801" s="1" t="s">
        <v>89</v>
      </c>
      <c r="D801" s="1" t="s">
        <v>90</v>
      </c>
      <c r="E801" s="1">
        <v>2</v>
      </c>
      <c r="F801" s="1">
        <v>200</v>
      </c>
      <c r="G801" s="1">
        <v>1</v>
      </c>
      <c r="H801" s="1" t="s">
        <v>91</v>
      </c>
      <c r="I801" s="1" t="s">
        <v>79</v>
      </c>
      <c r="J801" s="1" t="s">
        <v>80</v>
      </c>
      <c r="K801" s="1" t="s">
        <v>74</v>
      </c>
      <c r="L801" s="1" t="s">
        <v>72</v>
      </c>
      <c r="M801" s="1" t="s">
        <v>75</v>
      </c>
      <c r="N801" s="1" t="s">
        <v>76</v>
      </c>
      <c r="O801" s="1" t="s">
        <v>77</v>
      </c>
      <c r="P801" s="1" t="s">
        <v>27</v>
      </c>
      <c r="Q801" s="1" t="s">
        <v>86</v>
      </c>
      <c r="R801" s="1" t="s">
        <v>94</v>
      </c>
      <c r="S801" s="1" t="s">
        <v>87</v>
      </c>
      <c r="T801" s="1" t="s">
        <v>88</v>
      </c>
      <c r="X801" s="1" t="s">
        <v>73</v>
      </c>
      <c r="Z801" s="1" t="s">
        <v>70</v>
      </c>
      <c r="AA801" s="1" t="s">
        <v>95</v>
      </c>
      <c r="AB801" s="1">
        <v>5</v>
      </c>
      <c r="AC801" s="1">
        <v>748787.86</v>
      </c>
      <c r="AD801" s="1">
        <v>8930526.4199999999</v>
      </c>
      <c r="AE801" s="1">
        <v>209.77</v>
      </c>
      <c r="AF801" s="1">
        <v>748787.86</v>
      </c>
      <c r="AG801" s="1">
        <v>8930526.4199999999</v>
      </c>
      <c r="AH801" s="1">
        <v>199.4</v>
      </c>
      <c r="AI801" s="1">
        <v>10.37</v>
      </c>
      <c r="AJ801" s="1">
        <v>0.6</v>
      </c>
      <c r="AK801" s="1">
        <v>2.97</v>
      </c>
      <c r="AL801" s="1">
        <v>2.58</v>
      </c>
      <c r="AM801" s="1">
        <v>0</v>
      </c>
      <c r="AN801" s="1">
        <v>0</v>
      </c>
      <c r="AO801" s="1">
        <v>279.95422539999998</v>
      </c>
      <c r="AP801" s="1">
        <v>3.28</v>
      </c>
      <c r="AQ801" s="1">
        <v>0.66</v>
      </c>
      <c r="AR801" s="1">
        <v>0.09</v>
      </c>
      <c r="AS801" s="1">
        <v>0.08</v>
      </c>
      <c r="AT801" s="1">
        <v>18.809999999999999</v>
      </c>
      <c r="AU801" s="1">
        <v>7.48</v>
      </c>
      <c r="AV801" s="1">
        <v>0.38</v>
      </c>
      <c r="AW801" s="1">
        <v>1.7</v>
      </c>
      <c r="AX801" s="1">
        <v>8.59</v>
      </c>
      <c r="AY801" s="1">
        <v>0</v>
      </c>
      <c r="AZ801" s="1">
        <v>100.027</v>
      </c>
      <c r="BA801" s="1">
        <v>0</v>
      </c>
      <c r="BB801" s="1">
        <v>0</v>
      </c>
      <c r="BC801" s="1">
        <v>0</v>
      </c>
      <c r="BD801" s="1">
        <v>0</v>
      </c>
    </row>
    <row r="802" spans="1:56">
      <c r="A802" s="18">
        <v>46192</v>
      </c>
      <c r="B802" s="1">
        <v>801</v>
      </c>
      <c r="C802" s="1" t="s">
        <v>89</v>
      </c>
      <c r="D802" s="1" t="s">
        <v>90</v>
      </c>
      <c r="E802" s="1">
        <v>2</v>
      </c>
      <c r="F802" s="1">
        <v>200</v>
      </c>
      <c r="G802" s="1">
        <v>1</v>
      </c>
      <c r="H802" s="1" t="s">
        <v>91</v>
      </c>
      <c r="I802" s="1" t="s">
        <v>79</v>
      </c>
      <c r="J802" s="1" t="s">
        <v>80</v>
      </c>
      <c r="K802" s="1" t="s">
        <v>74</v>
      </c>
      <c r="L802" s="1" t="s">
        <v>72</v>
      </c>
      <c r="M802" s="1" t="s">
        <v>75</v>
      </c>
      <c r="N802" s="1" t="s">
        <v>76</v>
      </c>
      <c r="O802" s="1" t="s">
        <v>77</v>
      </c>
      <c r="P802" s="1" t="s">
        <v>27</v>
      </c>
      <c r="Q802" s="1" t="s">
        <v>86</v>
      </c>
      <c r="R802" s="1" t="s">
        <v>94</v>
      </c>
      <c r="S802" s="1" t="s">
        <v>87</v>
      </c>
      <c r="T802" s="1" t="s">
        <v>88</v>
      </c>
      <c r="X802" s="1" t="s">
        <v>73</v>
      </c>
      <c r="Z802" s="1" t="s">
        <v>70</v>
      </c>
      <c r="AA802" s="1" t="s">
        <v>95</v>
      </c>
      <c r="AB802" s="1">
        <v>5</v>
      </c>
      <c r="AC802" s="1">
        <v>748786.5</v>
      </c>
      <c r="AD802" s="1">
        <v>8930529.1300000008</v>
      </c>
      <c r="AE802" s="1">
        <v>209.8</v>
      </c>
      <c r="AF802" s="1">
        <v>748786.5</v>
      </c>
      <c r="AG802" s="1">
        <v>8930529.1300000008</v>
      </c>
      <c r="AH802" s="1">
        <v>199.4</v>
      </c>
      <c r="AI802" s="1">
        <v>10.4</v>
      </c>
      <c r="AJ802" s="1">
        <v>0.6</v>
      </c>
      <c r="AK802" s="1">
        <v>2.97</v>
      </c>
      <c r="AL802" s="1">
        <v>2.58</v>
      </c>
      <c r="AM802" s="1">
        <v>0</v>
      </c>
      <c r="AN802" s="1">
        <v>0</v>
      </c>
      <c r="AO802" s="1">
        <v>279.95422539999998</v>
      </c>
      <c r="AP802" s="1">
        <v>3.25</v>
      </c>
      <c r="AQ802" s="1">
        <v>0.65</v>
      </c>
      <c r="AR802" s="1">
        <v>0.09</v>
      </c>
      <c r="AS802" s="1">
        <v>0.08</v>
      </c>
      <c r="AT802" s="1">
        <v>18.41</v>
      </c>
      <c r="AU802" s="1">
        <v>7.25</v>
      </c>
      <c r="AV802" s="1">
        <v>0.38</v>
      </c>
      <c r="AW802" s="1">
        <v>1.72</v>
      </c>
      <c r="AX802" s="1">
        <v>8.26</v>
      </c>
      <c r="AY802" s="1">
        <v>0</v>
      </c>
      <c r="AZ802" s="1">
        <v>100.464</v>
      </c>
      <c r="BA802" s="1">
        <v>0</v>
      </c>
      <c r="BB802" s="1">
        <v>0</v>
      </c>
      <c r="BC802" s="1">
        <v>0</v>
      </c>
      <c r="BD802" s="1">
        <v>0</v>
      </c>
    </row>
    <row r="803" spans="1:56">
      <c r="A803" s="18">
        <v>46192</v>
      </c>
      <c r="B803" s="1">
        <v>802</v>
      </c>
      <c r="C803" s="1" t="s">
        <v>89</v>
      </c>
      <c r="D803" s="1" t="s">
        <v>90</v>
      </c>
      <c r="E803" s="1">
        <v>2</v>
      </c>
      <c r="F803" s="1">
        <v>200</v>
      </c>
      <c r="G803" s="1">
        <v>1</v>
      </c>
      <c r="H803" s="1" t="s">
        <v>91</v>
      </c>
      <c r="I803" s="1" t="s">
        <v>79</v>
      </c>
      <c r="J803" s="1" t="s">
        <v>80</v>
      </c>
      <c r="K803" s="1" t="s">
        <v>74</v>
      </c>
      <c r="L803" s="1" t="s">
        <v>72</v>
      </c>
      <c r="M803" s="1" t="s">
        <v>75</v>
      </c>
      <c r="N803" s="1" t="s">
        <v>76</v>
      </c>
      <c r="O803" s="1" t="s">
        <v>77</v>
      </c>
      <c r="P803" s="1" t="s">
        <v>27</v>
      </c>
      <c r="Q803" s="1" t="s">
        <v>86</v>
      </c>
      <c r="R803" s="1" t="s">
        <v>94</v>
      </c>
      <c r="S803" s="1" t="s">
        <v>87</v>
      </c>
      <c r="T803" s="1" t="s">
        <v>88</v>
      </c>
      <c r="X803" s="1" t="s">
        <v>73</v>
      </c>
      <c r="Z803" s="1" t="s">
        <v>70</v>
      </c>
      <c r="AA803" s="1" t="s">
        <v>95</v>
      </c>
      <c r="AB803" s="1">
        <v>5</v>
      </c>
      <c r="AC803" s="1">
        <v>748785.2</v>
      </c>
      <c r="AD803" s="1">
        <v>8930531.7200000007</v>
      </c>
      <c r="AE803" s="1">
        <v>209.85</v>
      </c>
      <c r="AF803" s="1">
        <v>748785.2</v>
      </c>
      <c r="AG803" s="1">
        <v>8930531.7200000007</v>
      </c>
      <c r="AH803" s="1">
        <v>199.4</v>
      </c>
      <c r="AI803" s="1">
        <v>10.45</v>
      </c>
      <c r="AJ803" s="1">
        <v>0.6</v>
      </c>
      <c r="AK803" s="1">
        <v>2.97</v>
      </c>
      <c r="AL803" s="1">
        <v>2.58</v>
      </c>
      <c r="AM803" s="1">
        <v>0</v>
      </c>
      <c r="AN803" s="1">
        <v>0</v>
      </c>
      <c r="AO803" s="1">
        <v>279.95422539999998</v>
      </c>
      <c r="AP803" s="1">
        <v>3.19</v>
      </c>
      <c r="AQ803" s="1">
        <v>0.63</v>
      </c>
      <c r="AR803" s="1">
        <v>0.08</v>
      </c>
      <c r="AS803" s="1">
        <v>7.0000000000000007E-2</v>
      </c>
      <c r="AT803" s="1">
        <v>17.3</v>
      </c>
      <c r="AU803" s="1">
        <v>6.6</v>
      </c>
      <c r="AV803" s="1">
        <v>0.36</v>
      </c>
      <c r="AW803" s="1">
        <v>1.76</v>
      </c>
      <c r="AX803" s="1">
        <v>7.35</v>
      </c>
      <c r="AY803" s="1">
        <v>0</v>
      </c>
      <c r="AZ803" s="1">
        <v>101.19199999999999</v>
      </c>
      <c r="BA803" s="1">
        <v>0</v>
      </c>
      <c r="BB803" s="1">
        <v>0</v>
      </c>
      <c r="BC803" s="1">
        <v>0</v>
      </c>
      <c r="BD803" s="1">
        <v>0</v>
      </c>
    </row>
    <row r="804" spans="1:56">
      <c r="A804" s="18">
        <v>46192</v>
      </c>
      <c r="B804" s="1">
        <v>803</v>
      </c>
      <c r="C804" s="1" t="s">
        <v>89</v>
      </c>
      <c r="D804" s="1" t="s">
        <v>90</v>
      </c>
      <c r="E804" s="1">
        <v>2</v>
      </c>
      <c r="F804" s="1">
        <v>200</v>
      </c>
      <c r="G804" s="1">
        <v>1</v>
      </c>
      <c r="H804" s="1" t="s">
        <v>91</v>
      </c>
      <c r="I804" s="1" t="s">
        <v>79</v>
      </c>
      <c r="J804" s="1" t="s">
        <v>80</v>
      </c>
      <c r="K804" s="1" t="s">
        <v>74</v>
      </c>
      <c r="L804" s="1" t="s">
        <v>72</v>
      </c>
      <c r="M804" s="1" t="s">
        <v>75</v>
      </c>
      <c r="N804" s="1" t="s">
        <v>76</v>
      </c>
      <c r="O804" s="1" t="s">
        <v>77</v>
      </c>
      <c r="P804" s="1" t="s">
        <v>27</v>
      </c>
      <c r="Q804" s="1" t="s">
        <v>86</v>
      </c>
      <c r="R804" s="1" t="s">
        <v>94</v>
      </c>
      <c r="S804" s="1" t="s">
        <v>87</v>
      </c>
      <c r="T804" s="1" t="s">
        <v>88</v>
      </c>
      <c r="X804" s="1" t="s">
        <v>73</v>
      </c>
      <c r="Z804" s="1" t="s">
        <v>70</v>
      </c>
      <c r="AA804" s="1" t="s">
        <v>95</v>
      </c>
      <c r="AB804" s="1">
        <v>5</v>
      </c>
      <c r="AC804" s="1">
        <v>748783.28</v>
      </c>
      <c r="AD804" s="1">
        <v>8930534.1199999992</v>
      </c>
      <c r="AE804" s="1">
        <v>209.95</v>
      </c>
      <c r="AF804" s="1">
        <v>748783.28</v>
      </c>
      <c r="AG804" s="1">
        <v>8930534.1199999992</v>
      </c>
      <c r="AH804" s="1">
        <v>199.4</v>
      </c>
      <c r="AI804" s="1">
        <v>10.55</v>
      </c>
      <c r="AJ804" s="1">
        <v>0.6</v>
      </c>
      <c r="AK804" s="1">
        <v>2.97</v>
      </c>
      <c r="AL804" s="1">
        <v>2.58</v>
      </c>
      <c r="AM804" s="1">
        <v>0</v>
      </c>
      <c r="AN804" s="1">
        <v>0</v>
      </c>
      <c r="AO804" s="1">
        <v>279.95422539999998</v>
      </c>
      <c r="AP804" s="1">
        <v>3.18</v>
      </c>
      <c r="AQ804" s="1">
        <v>0.63</v>
      </c>
      <c r="AR804" s="1">
        <v>0.08</v>
      </c>
      <c r="AS804" s="1">
        <v>7.0000000000000007E-2</v>
      </c>
      <c r="AT804" s="1">
        <v>17.12</v>
      </c>
      <c r="AU804" s="1">
        <v>6.5</v>
      </c>
      <c r="AV804" s="1">
        <v>0.36</v>
      </c>
      <c r="AW804" s="1">
        <v>1.77</v>
      </c>
      <c r="AX804" s="1">
        <v>7.21</v>
      </c>
      <c r="AY804" s="1">
        <v>0</v>
      </c>
      <c r="AZ804" s="1">
        <v>102.648</v>
      </c>
      <c r="BA804" s="1">
        <v>0</v>
      </c>
      <c r="BB804" s="1">
        <v>0</v>
      </c>
      <c r="BC804" s="1">
        <v>0</v>
      </c>
      <c r="BD804" s="1">
        <v>0</v>
      </c>
    </row>
    <row r="805" spans="1:56">
      <c r="A805" s="18">
        <v>46192</v>
      </c>
      <c r="B805" s="1">
        <v>804</v>
      </c>
      <c r="C805" s="1" t="s">
        <v>89</v>
      </c>
      <c r="D805" s="1" t="s">
        <v>90</v>
      </c>
      <c r="E805" s="1">
        <v>2</v>
      </c>
      <c r="F805" s="1">
        <v>200</v>
      </c>
      <c r="G805" s="1">
        <v>1</v>
      </c>
      <c r="H805" s="1" t="s">
        <v>91</v>
      </c>
      <c r="I805" s="1" t="s">
        <v>79</v>
      </c>
      <c r="J805" s="1" t="s">
        <v>80</v>
      </c>
      <c r="K805" s="1" t="s">
        <v>74</v>
      </c>
      <c r="L805" s="1" t="s">
        <v>72</v>
      </c>
      <c r="M805" s="1" t="s">
        <v>75</v>
      </c>
      <c r="N805" s="1" t="s">
        <v>76</v>
      </c>
      <c r="O805" s="1" t="s">
        <v>77</v>
      </c>
      <c r="P805" s="1" t="s">
        <v>27</v>
      </c>
      <c r="Q805" s="1" t="s">
        <v>86</v>
      </c>
      <c r="R805" s="1" t="s">
        <v>94</v>
      </c>
      <c r="S805" s="1" t="s">
        <v>87</v>
      </c>
      <c r="T805" s="1" t="s">
        <v>88</v>
      </c>
      <c r="X805" s="1" t="s">
        <v>73</v>
      </c>
      <c r="Z805" s="1" t="s">
        <v>70</v>
      </c>
      <c r="AA805" s="1" t="s">
        <v>95</v>
      </c>
      <c r="AB805" s="1">
        <v>5</v>
      </c>
      <c r="AC805" s="1">
        <v>748781.25</v>
      </c>
      <c r="AD805" s="1">
        <v>8930536.2300000004</v>
      </c>
      <c r="AE805" s="1">
        <v>210</v>
      </c>
      <c r="AF805" s="1">
        <v>748781.25</v>
      </c>
      <c r="AG805" s="1">
        <v>8930536.2300000004</v>
      </c>
      <c r="AH805" s="1">
        <v>199.4</v>
      </c>
      <c r="AI805" s="1">
        <v>10.6</v>
      </c>
      <c r="AJ805" s="1">
        <v>0.6</v>
      </c>
      <c r="AK805" s="1">
        <v>2.97</v>
      </c>
      <c r="AL805" s="1">
        <v>2.58</v>
      </c>
      <c r="AM805" s="1">
        <v>0</v>
      </c>
      <c r="AN805" s="1">
        <v>0</v>
      </c>
      <c r="AO805" s="1">
        <v>279.95422539999998</v>
      </c>
      <c r="AP805" s="1">
        <v>3.17</v>
      </c>
      <c r="AQ805" s="1">
        <v>0.63</v>
      </c>
      <c r="AR805" s="1">
        <v>0.08</v>
      </c>
      <c r="AS805" s="1">
        <v>7.0000000000000007E-2</v>
      </c>
      <c r="AT805" s="1">
        <v>17.38</v>
      </c>
      <c r="AU805" s="1">
        <v>6.67</v>
      </c>
      <c r="AV805" s="1">
        <v>0.36</v>
      </c>
      <c r="AW805" s="1">
        <v>1.75</v>
      </c>
      <c r="AX805" s="1">
        <v>7.32</v>
      </c>
      <c r="AY805" s="1">
        <v>0</v>
      </c>
      <c r="AZ805" s="1">
        <v>103.376</v>
      </c>
      <c r="BA805" s="1">
        <v>0</v>
      </c>
      <c r="BB805" s="1">
        <v>0</v>
      </c>
      <c r="BC805" s="1">
        <v>0</v>
      </c>
      <c r="BD805" s="1">
        <v>0</v>
      </c>
    </row>
    <row r="806" spans="1:56">
      <c r="A806" s="18">
        <v>46192</v>
      </c>
      <c r="B806" s="1">
        <v>805</v>
      </c>
      <c r="C806" s="1" t="s">
        <v>89</v>
      </c>
      <c r="D806" s="1" t="s">
        <v>90</v>
      </c>
      <c r="E806" s="1">
        <v>2</v>
      </c>
      <c r="F806" s="1">
        <v>200</v>
      </c>
      <c r="G806" s="1">
        <v>1</v>
      </c>
      <c r="H806" s="1" t="s">
        <v>91</v>
      </c>
      <c r="I806" s="1" t="s">
        <v>79</v>
      </c>
      <c r="J806" s="1" t="s">
        <v>80</v>
      </c>
      <c r="K806" s="1" t="s">
        <v>74</v>
      </c>
      <c r="L806" s="1" t="s">
        <v>72</v>
      </c>
      <c r="M806" s="1" t="s">
        <v>75</v>
      </c>
      <c r="N806" s="1" t="s">
        <v>76</v>
      </c>
      <c r="O806" s="1" t="s">
        <v>77</v>
      </c>
      <c r="P806" s="1" t="s">
        <v>27</v>
      </c>
      <c r="Q806" s="1" t="s">
        <v>86</v>
      </c>
      <c r="R806" s="1" t="s">
        <v>94</v>
      </c>
      <c r="S806" s="1" t="s">
        <v>87</v>
      </c>
      <c r="T806" s="1" t="s">
        <v>88</v>
      </c>
      <c r="X806" s="1" t="s">
        <v>73</v>
      </c>
      <c r="Z806" s="1" t="s">
        <v>70</v>
      </c>
      <c r="AA806" s="1" t="s">
        <v>95</v>
      </c>
      <c r="AB806" s="1">
        <v>5</v>
      </c>
      <c r="AC806" s="1">
        <v>748779.2</v>
      </c>
      <c r="AD806" s="1">
        <v>8930538.3499999996</v>
      </c>
      <c r="AE806" s="1">
        <v>209.88</v>
      </c>
      <c r="AF806" s="1">
        <v>748779.2</v>
      </c>
      <c r="AG806" s="1">
        <v>8930538.3499999996</v>
      </c>
      <c r="AH806" s="1">
        <v>199.4</v>
      </c>
      <c r="AI806" s="1">
        <v>10.48</v>
      </c>
      <c r="AJ806" s="1">
        <v>0.6</v>
      </c>
      <c r="AK806" s="1">
        <v>2.97</v>
      </c>
      <c r="AL806" s="1">
        <v>2.58</v>
      </c>
      <c r="AM806" s="1">
        <v>0</v>
      </c>
      <c r="AN806" s="1">
        <v>0</v>
      </c>
      <c r="AO806" s="1">
        <v>279.95422539999998</v>
      </c>
      <c r="AP806" s="1">
        <v>3.15</v>
      </c>
      <c r="AQ806" s="1">
        <v>0.64</v>
      </c>
      <c r="AR806" s="1">
        <v>0.09</v>
      </c>
      <c r="AS806" s="1">
        <v>0.08</v>
      </c>
      <c r="AT806" s="1">
        <v>18.48</v>
      </c>
      <c r="AU806" s="1">
        <v>7.3</v>
      </c>
      <c r="AV806" s="1">
        <v>0.38</v>
      </c>
      <c r="AW806" s="1">
        <v>1.67</v>
      </c>
      <c r="AX806" s="1">
        <v>7.81</v>
      </c>
      <c r="AY806" s="1">
        <v>0</v>
      </c>
      <c r="AZ806" s="1">
        <v>101.629</v>
      </c>
      <c r="BA806" s="1">
        <v>0</v>
      </c>
      <c r="BB806" s="1">
        <v>0</v>
      </c>
      <c r="BC806" s="1">
        <v>0</v>
      </c>
      <c r="BD806" s="1">
        <v>0</v>
      </c>
    </row>
    <row r="807" spans="1:56">
      <c r="A807" s="18">
        <v>46192</v>
      </c>
      <c r="B807" s="1">
        <v>806</v>
      </c>
      <c r="C807" s="1" t="s">
        <v>89</v>
      </c>
      <c r="D807" s="1" t="s">
        <v>90</v>
      </c>
      <c r="E807" s="1">
        <v>2</v>
      </c>
      <c r="F807" s="1">
        <v>200</v>
      </c>
      <c r="G807" s="1">
        <v>1</v>
      </c>
      <c r="H807" s="1" t="s">
        <v>91</v>
      </c>
      <c r="I807" s="1" t="s">
        <v>79</v>
      </c>
      <c r="J807" s="1" t="s">
        <v>80</v>
      </c>
      <c r="K807" s="1" t="s">
        <v>74</v>
      </c>
      <c r="L807" s="1" t="s">
        <v>72</v>
      </c>
      <c r="M807" s="1" t="s">
        <v>75</v>
      </c>
      <c r="N807" s="1" t="s">
        <v>76</v>
      </c>
      <c r="O807" s="1" t="s">
        <v>77</v>
      </c>
      <c r="P807" s="1" t="s">
        <v>27</v>
      </c>
      <c r="Q807" s="1" t="s">
        <v>86</v>
      </c>
      <c r="R807" s="1" t="s">
        <v>94</v>
      </c>
      <c r="S807" s="1" t="s">
        <v>87</v>
      </c>
      <c r="T807" s="1" t="s">
        <v>88</v>
      </c>
      <c r="X807" s="1" t="s">
        <v>73</v>
      </c>
      <c r="Z807" s="1" t="s">
        <v>70</v>
      </c>
      <c r="AA807" s="1" t="s">
        <v>95</v>
      </c>
      <c r="AB807" s="1">
        <v>5</v>
      </c>
      <c r="AC807" s="1">
        <v>748777.15</v>
      </c>
      <c r="AD807" s="1">
        <v>8930540.4700000007</v>
      </c>
      <c r="AE807" s="1">
        <v>209.88</v>
      </c>
      <c r="AF807" s="1">
        <v>748777.15</v>
      </c>
      <c r="AG807" s="1">
        <v>8930540.4700000007</v>
      </c>
      <c r="AH807" s="1">
        <v>199.4</v>
      </c>
      <c r="AI807" s="1">
        <v>10.48</v>
      </c>
      <c r="AJ807" s="1">
        <v>0.6</v>
      </c>
      <c r="AK807" s="1">
        <v>2.97</v>
      </c>
      <c r="AL807" s="1">
        <v>2.58</v>
      </c>
      <c r="AM807" s="1">
        <v>0</v>
      </c>
      <c r="AN807" s="1">
        <v>0</v>
      </c>
      <c r="AO807" s="1">
        <v>279.95422539999998</v>
      </c>
      <c r="AP807" s="1">
        <v>3.22</v>
      </c>
      <c r="AQ807" s="1">
        <v>0.62</v>
      </c>
      <c r="AR807" s="1">
        <v>0.09</v>
      </c>
      <c r="AS807" s="1">
        <v>0.09</v>
      </c>
      <c r="AT807" s="1">
        <v>19.29</v>
      </c>
      <c r="AU807" s="1">
        <v>6.73</v>
      </c>
      <c r="AV807" s="1">
        <v>0.37</v>
      </c>
      <c r="AW807" s="1">
        <v>1.66</v>
      </c>
      <c r="AX807" s="1">
        <v>8.5399999999999991</v>
      </c>
      <c r="AY807" s="1">
        <v>0</v>
      </c>
      <c r="AZ807" s="1">
        <v>101.629</v>
      </c>
      <c r="BA807" s="1">
        <v>0</v>
      </c>
      <c r="BB807" s="1">
        <v>0</v>
      </c>
      <c r="BC807" s="1">
        <v>0</v>
      </c>
      <c r="BD807" s="1">
        <v>0</v>
      </c>
    </row>
    <row r="808" spans="1:56">
      <c r="A808" s="18">
        <v>46192</v>
      </c>
      <c r="B808" s="1">
        <v>807</v>
      </c>
      <c r="C808" s="1" t="s">
        <v>89</v>
      </c>
      <c r="D808" s="1" t="s">
        <v>90</v>
      </c>
      <c r="E808" s="1">
        <v>2</v>
      </c>
      <c r="F808" s="1">
        <v>200</v>
      </c>
      <c r="G808" s="1">
        <v>1</v>
      </c>
      <c r="H808" s="1" t="s">
        <v>91</v>
      </c>
      <c r="I808" s="1" t="s">
        <v>79</v>
      </c>
      <c r="J808" s="1" t="s">
        <v>80</v>
      </c>
      <c r="K808" s="1" t="s">
        <v>74</v>
      </c>
      <c r="L808" s="1" t="s">
        <v>72</v>
      </c>
      <c r="M808" s="1" t="s">
        <v>75</v>
      </c>
      <c r="N808" s="1" t="s">
        <v>76</v>
      </c>
      <c r="O808" s="1" t="s">
        <v>77</v>
      </c>
      <c r="P808" s="1" t="s">
        <v>27</v>
      </c>
      <c r="Q808" s="1" t="s">
        <v>86</v>
      </c>
      <c r="R808" s="1" t="s">
        <v>94</v>
      </c>
      <c r="S808" s="1" t="s">
        <v>87</v>
      </c>
      <c r="T808" s="1" t="s">
        <v>88</v>
      </c>
      <c r="X808" s="1" t="s">
        <v>73</v>
      </c>
      <c r="Z808" s="1" t="s">
        <v>70</v>
      </c>
      <c r="AA808" s="1" t="s">
        <v>95</v>
      </c>
      <c r="AB808" s="1">
        <v>5</v>
      </c>
      <c r="AC808" s="1">
        <v>748775.1</v>
      </c>
      <c r="AD808" s="1">
        <v>8930542.5999999996</v>
      </c>
      <c r="AE808" s="1">
        <v>209.84</v>
      </c>
      <c r="AF808" s="1">
        <v>748775.1</v>
      </c>
      <c r="AG808" s="1">
        <v>8930542.5999999996</v>
      </c>
      <c r="AH808" s="1">
        <v>199.4</v>
      </c>
      <c r="AI808" s="1">
        <v>10.44</v>
      </c>
      <c r="AJ808" s="1">
        <v>0.6</v>
      </c>
      <c r="AK808" s="1">
        <v>2.97</v>
      </c>
      <c r="AL808" s="1">
        <v>2.58</v>
      </c>
      <c r="AM808" s="1">
        <v>0</v>
      </c>
      <c r="AN808" s="1">
        <v>0</v>
      </c>
      <c r="AO808" s="1">
        <v>279.95422539999998</v>
      </c>
      <c r="AP808" s="1">
        <v>3.28</v>
      </c>
      <c r="AQ808" s="1">
        <v>0.6</v>
      </c>
      <c r="AR808" s="1">
        <v>0.09</v>
      </c>
      <c r="AS808" s="1">
        <v>0.09</v>
      </c>
      <c r="AT808" s="1">
        <v>19.47</v>
      </c>
      <c r="AU808" s="1">
        <v>6.2</v>
      </c>
      <c r="AV808" s="1">
        <v>0.36</v>
      </c>
      <c r="AW808" s="1">
        <v>1.68</v>
      </c>
      <c r="AX808" s="1">
        <v>8.84</v>
      </c>
      <c r="AY808" s="1">
        <v>0</v>
      </c>
      <c r="AZ808" s="1">
        <v>101.04600000000001</v>
      </c>
      <c r="BA808" s="1">
        <v>0</v>
      </c>
      <c r="BB808" s="1">
        <v>0</v>
      </c>
      <c r="BC808" s="1">
        <v>0</v>
      </c>
      <c r="BD808" s="1">
        <v>0</v>
      </c>
    </row>
    <row r="809" spans="1:56">
      <c r="A809" s="18">
        <v>46192</v>
      </c>
      <c r="B809" s="1">
        <v>808</v>
      </c>
      <c r="C809" s="1" t="s">
        <v>89</v>
      </c>
      <c r="D809" s="1" t="s">
        <v>90</v>
      </c>
      <c r="E809" s="1">
        <v>2</v>
      </c>
      <c r="F809" s="1">
        <v>200</v>
      </c>
      <c r="G809" s="1">
        <v>1</v>
      </c>
      <c r="H809" s="1" t="s">
        <v>91</v>
      </c>
      <c r="I809" s="1" t="s">
        <v>79</v>
      </c>
      <c r="J809" s="1" t="s">
        <v>80</v>
      </c>
      <c r="K809" s="1" t="s">
        <v>74</v>
      </c>
      <c r="L809" s="1" t="s">
        <v>72</v>
      </c>
      <c r="M809" s="1" t="s">
        <v>75</v>
      </c>
      <c r="N809" s="1" t="s">
        <v>82</v>
      </c>
      <c r="O809" s="1" t="s">
        <v>77</v>
      </c>
      <c r="P809" s="1" t="s">
        <v>27</v>
      </c>
      <c r="Q809" s="1" t="s">
        <v>86</v>
      </c>
      <c r="R809" s="1" t="s">
        <v>94</v>
      </c>
      <c r="S809" s="1" t="s">
        <v>87</v>
      </c>
      <c r="T809" s="1" t="s">
        <v>88</v>
      </c>
      <c r="X809" s="1" t="s">
        <v>73</v>
      </c>
      <c r="Z809" s="1" t="s">
        <v>70</v>
      </c>
      <c r="AA809" s="1" t="s">
        <v>95</v>
      </c>
      <c r="AB809" s="1">
        <v>5</v>
      </c>
      <c r="AC809" s="1">
        <v>748796.65</v>
      </c>
      <c r="AD809" s="1">
        <v>8930508.8300000001</v>
      </c>
      <c r="AE809" s="1">
        <v>209.78</v>
      </c>
      <c r="AF809" s="1">
        <v>748796.65</v>
      </c>
      <c r="AG809" s="1">
        <v>8930508.8300000001</v>
      </c>
      <c r="AH809" s="1">
        <v>199.4</v>
      </c>
      <c r="AI809" s="1">
        <v>10.38</v>
      </c>
      <c r="AJ809" s="1">
        <v>0.6</v>
      </c>
      <c r="AK809" s="1">
        <v>2.97</v>
      </c>
      <c r="AL809" s="1">
        <v>2.58</v>
      </c>
      <c r="AM809" s="1">
        <v>0</v>
      </c>
      <c r="AN809" s="1">
        <v>0</v>
      </c>
      <c r="AO809" s="1">
        <v>279.95422539999998</v>
      </c>
      <c r="AP809" s="1">
        <v>3.48</v>
      </c>
      <c r="AQ809" s="1">
        <v>0.68</v>
      </c>
      <c r="AR809" s="1">
        <v>0.11</v>
      </c>
      <c r="AS809" s="1">
        <v>0.08</v>
      </c>
      <c r="AT809" s="1">
        <v>19.38</v>
      </c>
      <c r="AU809" s="1">
        <v>6.22</v>
      </c>
      <c r="AV809" s="1">
        <v>0.42</v>
      </c>
      <c r="AW809" s="1">
        <v>1.62</v>
      </c>
      <c r="AX809" s="1">
        <v>7.63</v>
      </c>
      <c r="AY809" s="1">
        <v>0</v>
      </c>
      <c r="AZ809" s="1">
        <v>100.173</v>
      </c>
      <c r="BA809" s="1">
        <v>0</v>
      </c>
      <c r="BB809" s="1">
        <v>0</v>
      </c>
      <c r="BC809" s="1">
        <v>0</v>
      </c>
      <c r="BD809" s="1">
        <v>0</v>
      </c>
    </row>
    <row r="810" spans="1:56">
      <c r="A810" s="18">
        <v>46192</v>
      </c>
      <c r="B810" s="1">
        <v>809</v>
      </c>
      <c r="C810" s="1" t="s">
        <v>89</v>
      </c>
      <c r="D810" s="1" t="s">
        <v>90</v>
      </c>
      <c r="E810" s="1">
        <v>2</v>
      </c>
      <c r="F810" s="1">
        <v>200</v>
      </c>
      <c r="G810" s="1">
        <v>1</v>
      </c>
      <c r="H810" s="1" t="s">
        <v>91</v>
      </c>
      <c r="I810" s="1" t="s">
        <v>79</v>
      </c>
      <c r="J810" s="1" t="s">
        <v>80</v>
      </c>
      <c r="K810" s="1" t="s">
        <v>74</v>
      </c>
      <c r="L810" s="1" t="s">
        <v>72</v>
      </c>
      <c r="M810" s="1" t="s">
        <v>75</v>
      </c>
      <c r="N810" s="1" t="s">
        <v>82</v>
      </c>
      <c r="O810" s="1" t="s">
        <v>77</v>
      </c>
      <c r="P810" s="1" t="s">
        <v>27</v>
      </c>
      <c r="Q810" s="1" t="s">
        <v>86</v>
      </c>
      <c r="R810" s="1" t="s">
        <v>94</v>
      </c>
      <c r="S810" s="1" t="s">
        <v>87</v>
      </c>
      <c r="T810" s="1" t="s">
        <v>88</v>
      </c>
      <c r="X810" s="1" t="s">
        <v>73</v>
      </c>
      <c r="Z810" s="1" t="s">
        <v>70</v>
      </c>
      <c r="AA810" s="1" t="s">
        <v>95</v>
      </c>
      <c r="AB810" s="1">
        <v>5</v>
      </c>
      <c r="AC810" s="1">
        <v>748798.01</v>
      </c>
      <c r="AD810" s="1">
        <v>8930506.1099999994</v>
      </c>
      <c r="AE810" s="1">
        <v>209.75</v>
      </c>
      <c r="AF810" s="1">
        <v>748798.01</v>
      </c>
      <c r="AG810" s="1">
        <v>8930506.1099999994</v>
      </c>
      <c r="AH810" s="1">
        <v>199.4</v>
      </c>
      <c r="AI810" s="1">
        <v>10.35</v>
      </c>
      <c r="AJ810" s="1">
        <v>0.6</v>
      </c>
      <c r="AK810" s="1">
        <v>2.97</v>
      </c>
      <c r="AL810" s="1">
        <v>2.58</v>
      </c>
      <c r="AM810" s="1">
        <v>0</v>
      </c>
      <c r="AN810" s="1">
        <v>0</v>
      </c>
      <c r="AO810" s="1">
        <v>279.95422539999998</v>
      </c>
      <c r="AP810" s="1">
        <v>3.48</v>
      </c>
      <c r="AQ810" s="1">
        <v>0.69</v>
      </c>
      <c r="AR810" s="1">
        <v>0.11</v>
      </c>
      <c r="AS810" s="1">
        <v>0.08</v>
      </c>
      <c r="AT810" s="1">
        <v>19.11</v>
      </c>
      <c r="AU810" s="1">
        <v>6.18</v>
      </c>
      <c r="AV810" s="1">
        <v>0.42</v>
      </c>
      <c r="AW810" s="1">
        <v>1.62</v>
      </c>
      <c r="AX810" s="1">
        <v>7.56</v>
      </c>
      <c r="AY810" s="1">
        <v>0</v>
      </c>
      <c r="AZ810" s="1">
        <v>99.736000000000004</v>
      </c>
      <c r="BA810" s="1">
        <v>0</v>
      </c>
      <c r="BB810" s="1">
        <v>0</v>
      </c>
      <c r="BC810" s="1">
        <v>0</v>
      </c>
      <c r="BD810" s="1">
        <v>0</v>
      </c>
    </row>
    <row r="811" spans="1:56">
      <c r="A811" s="18">
        <v>46192</v>
      </c>
      <c r="B811" s="1">
        <v>810</v>
      </c>
      <c r="C811" s="1" t="s">
        <v>89</v>
      </c>
      <c r="D811" s="1" t="s">
        <v>90</v>
      </c>
      <c r="E811" s="1">
        <v>2</v>
      </c>
      <c r="F811" s="1">
        <v>200</v>
      </c>
      <c r="G811" s="1">
        <v>1</v>
      </c>
      <c r="H811" s="1" t="s">
        <v>91</v>
      </c>
      <c r="I811" s="1" t="s">
        <v>79</v>
      </c>
      <c r="J811" s="1" t="s">
        <v>80</v>
      </c>
      <c r="K811" s="1" t="s">
        <v>74</v>
      </c>
      <c r="L811" s="1" t="s">
        <v>72</v>
      </c>
      <c r="M811" s="1" t="s">
        <v>75</v>
      </c>
      <c r="N811" s="1" t="s">
        <v>82</v>
      </c>
      <c r="O811" s="1" t="s">
        <v>77</v>
      </c>
      <c r="P811" s="1" t="s">
        <v>27</v>
      </c>
      <c r="Q811" s="1" t="s">
        <v>86</v>
      </c>
      <c r="R811" s="1" t="s">
        <v>94</v>
      </c>
      <c r="S811" s="1" t="s">
        <v>87</v>
      </c>
      <c r="T811" s="1" t="s">
        <v>88</v>
      </c>
      <c r="X811" s="1" t="s">
        <v>73</v>
      </c>
      <c r="Z811" s="1" t="s">
        <v>70</v>
      </c>
      <c r="AA811" s="1" t="s">
        <v>95</v>
      </c>
      <c r="AB811" s="1">
        <v>5</v>
      </c>
      <c r="AC811" s="1">
        <v>748799.35</v>
      </c>
      <c r="AD811" s="1">
        <v>8930503.4299999997</v>
      </c>
      <c r="AE811" s="1">
        <v>209.78</v>
      </c>
      <c r="AF811" s="1">
        <v>748799.35</v>
      </c>
      <c r="AG811" s="1">
        <v>8930503.4299999997</v>
      </c>
      <c r="AH811" s="1">
        <v>199.4</v>
      </c>
      <c r="AI811" s="1">
        <v>10.38</v>
      </c>
      <c r="AJ811" s="1">
        <v>0.6</v>
      </c>
      <c r="AK811" s="1">
        <v>2.97</v>
      </c>
      <c r="AL811" s="1">
        <v>2.58</v>
      </c>
      <c r="AM811" s="1">
        <v>0</v>
      </c>
      <c r="AN811" s="1">
        <v>0</v>
      </c>
      <c r="AO811" s="1">
        <v>279.95422539999998</v>
      </c>
      <c r="AP811" s="1">
        <v>3.47</v>
      </c>
      <c r="AQ811" s="1">
        <v>0.68</v>
      </c>
      <c r="AR811" s="1">
        <v>0.11</v>
      </c>
      <c r="AS811" s="1">
        <v>0.08</v>
      </c>
      <c r="AT811" s="1">
        <v>19.510000000000002</v>
      </c>
      <c r="AU811" s="1">
        <v>5.95</v>
      </c>
      <c r="AV811" s="1">
        <v>0.42</v>
      </c>
      <c r="AW811" s="1">
        <v>1.61</v>
      </c>
      <c r="AX811" s="1">
        <v>7.56</v>
      </c>
      <c r="AY811" s="1">
        <v>0</v>
      </c>
      <c r="AZ811" s="1">
        <v>100.173</v>
      </c>
      <c r="BA811" s="1">
        <v>0</v>
      </c>
      <c r="BB811" s="1">
        <v>0</v>
      </c>
      <c r="BC811" s="1">
        <v>0</v>
      </c>
      <c r="BD811" s="1">
        <v>0</v>
      </c>
    </row>
    <row r="812" spans="1:56">
      <c r="A812" s="18">
        <v>46192</v>
      </c>
      <c r="B812" s="1">
        <v>811</v>
      </c>
      <c r="C812" s="1" t="s">
        <v>89</v>
      </c>
      <c r="D812" s="1" t="s">
        <v>90</v>
      </c>
      <c r="E812" s="1">
        <v>2</v>
      </c>
      <c r="F812" s="1">
        <v>200</v>
      </c>
      <c r="G812" s="1">
        <v>1</v>
      </c>
      <c r="H812" s="1" t="s">
        <v>91</v>
      </c>
      <c r="I812" s="1" t="s">
        <v>79</v>
      </c>
      <c r="J812" s="1" t="s">
        <v>80</v>
      </c>
      <c r="K812" s="1" t="s">
        <v>74</v>
      </c>
      <c r="L812" s="1" t="s">
        <v>72</v>
      </c>
      <c r="M812" s="1" t="s">
        <v>75</v>
      </c>
      <c r="N812" s="1" t="s">
        <v>82</v>
      </c>
      <c r="O812" s="1" t="s">
        <v>77</v>
      </c>
      <c r="P812" s="1" t="s">
        <v>27</v>
      </c>
      <c r="Q812" s="1" t="s">
        <v>86</v>
      </c>
      <c r="R812" s="1" t="s">
        <v>94</v>
      </c>
      <c r="S812" s="1" t="s">
        <v>87</v>
      </c>
      <c r="T812" s="1" t="s">
        <v>88</v>
      </c>
      <c r="X812" s="1" t="s">
        <v>73</v>
      </c>
      <c r="Z812" s="1" t="s">
        <v>70</v>
      </c>
      <c r="AA812" s="1" t="s">
        <v>95</v>
      </c>
      <c r="AB812" s="1">
        <v>5</v>
      </c>
      <c r="AC812" s="1">
        <v>748800.72</v>
      </c>
      <c r="AD812" s="1">
        <v>8930500.6899999995</v>
      </c>
      <c r="AE812" s="1">
        <v>209.86</v>
      </c>
      <c r="AF812" s="1">
        <v>748800.72</v>
      </c>
      <c r="AG812" s="1">
        <v>8930500.6899999995</v>
      </c>
      <c r="AH812" s="1">
        <v>199.4</v>
      </c>
      <c r="AI812" s="1">
        <v>10.46</v>
      </c>
      <c r="AJ812" s="1">
        <v>0.6</v>
      </c>
      <c r="AK812" s="1">
        <v>2.97</v>
      </c>
      <c r="AL812" s="1">
        <v>2.58</v>
      </c>
      <c r="AM812" s="1">
        <v>0</v>
      </c>
      <c r="AN812" s="1">
        <v>0</v>
      </c>
      <c r="AO812" s="1">
        <v>279.95422539999998</v>
      </c>
      <c r="AP812" s="1">
        <v>3.46</v>
      </c>
      <c r="AQ812" s="1">
        <v>0.71</v>
      </c>
      <c r="AR812" s="1">
        <v>0.12</v>
      </c>
      <c r="AS812" s="1">
        <v>0.08</v>
      </c>
      <c r="AT812" s="1">
        <v>19.53</v>
      </c>
      <c r="AU812" s="1">
        <v>5.73</v>
      </c>
      <c r="AV812" s="1">
        <v>0.43</v>
      </c>
      <c r="AW812" s="1">
        <v>1.66</v>
      </c>
      <c r="AX812" s="1">
        <v>7.65</v>
      </c>
      <c r="AY812" s="1">
        <v>0</v>
      </c>
      <c r="AZ812" s="1">
        <v>101.33799999999999</v>
      </c>
      <c r="BA812" s="1">
        <v>0</v>
      </c>
      <c r="BB812" s="1">
        <v>0</v>
      </c>
      <c r="BC812" s="1">
        <v>0</v>
      </c>
      <c r="BD812" s="1">
        <v>0</v>
      </c>
    </row>
    <row r="813" spans="1:56">
      <c r="A813" s="18">
        <v>46192</v>
      </c>
      <c r="B813" s="1">
        <v>812</v>
      </c>
      <c r="C813" s="1" t="s">
        <v>89</v>
      </c>
      <c r="D813" s="1" t="s">
        <v>90</v>
      </c>
      <c r="E813" s="1">
        <v>2</v>
      </c>
      <c r="F813" s="1">
        <v>200</v>
      </c>
      <c r="G813" s="1">
        <v>1</v>
      </c>
      <c r="H813" s="1" t="s">
        <v>91</v>
      </c>
      <c r="I813" s="1" t="s">
        <v>79</v>
      </c>
      <c r="J813" s="1" t="s">
        <v>81</v>
      </c>
      <c r="K813" s="1" t="s">
        <v>74</v>
      </c>
      <c r="L813" s="1" t="s">
        <v>72</v>
      </c>
      <c r="M813" s="1" t="s">
        <v>75</v>
      </c>
      <c r="N813" s="1" t="s">
        <v>82</v>
      </c>
      <c r="O813" s="1" t="s">
        <v>77</v>
      </c>
      <c r="P813" s="1" t="s">
        <v>27</v>
      </c>
      <c r="Q813" s="1" t="s">
        <v>86</v>
      </c>
      <c r="R813" s="1" t="s">
        <v>94</v>
      </c>
      <c r="S813" s="1" t="s">
        <v>87</v>
      </c>
      <c r="T813" s="1" t="s">
        <v>88</v>
      </c>
      <c r="X813" s="1" t="s">
        <v>73</v>
      </c>
      <c r="Z813" s="1" t="s">
        <v>70</v>
      </c>
      <c r="AA813" s="1" t="s">
        <v>95</v>
      </c>
      <c r="AB813" s="1">
        <v>5</v>
      </c>
      <c r="AC813" s="1">
        <v>748802.32</v>
      </c>
      <c r="AD813" s="1">
        <v>8930498.1899999995</v>
      </c>
      <c r="AE813" s="1">
        <v>210.22</v>
      </c>
      <c r="AF813" s="1">
        <v>748802.32</v>
      </c>
      <c r="AG813" s="1">
        <v>8930498.1899999995</v>
      </c>
      <c r="AH813" s="1">
        <v>199.4</v>
      </c>
      <c r="AI813" s="1">
        <v>10.82</v>
      </c>
      <c r="AJ813" s="1">
        <v>0.6</v>
      </c>
      <c r="AK813" s="1">
        <v>2.97</v>
      </c>
      <c r="AL813" s="1">
        <v>2.58</v>
      </c>
      <c r="AM813" s="1">
        <v>0</v>
      </c>
      <c r="AN813" s="1">
        <v>0</v>
      </c>
      <c r="AO813" s="1">
        <v>279.95422539999998</v>
      </c>
      <c r="AP813" s="1">
        <v>3.46</v>
      </c>
      <c r="AQ813" s="1">
        <v>0.77</v>
      </c>
      <c r="AR813" s="1">
        <v>0.12</v>
      </c>
      <c r="AS813" s="1">
        <v>0.08</v>
      </c>
      <c r="AT813" s="1">
        <v>18.61</v>
      </c>
      <c r="AU813" s="1">
        <v>5.84</v>
      </c>
      <c r="AV813" s="1">
        <v>0.42</v>
      </c>
      <c r="AW813" s="1">
        <v>1.84</v>
      </c>
      <c r="AX813" s="1">
        <v>8.15</v>
      </c>
      <c r="AY813" s="1">
        <v>0</v>
      </c>
      <c r="AZ813" s="1">
        <v>106.57899999999999</v>
      </c>
      <c r="BA813" s="1">
        <v>0</v>
      </c>
      <c r="BB813" s="1">
        <v>0</v>
      </c>
      <c r="BC813" s="1">
        <v>0</v>
      </c>
      <c r="BD813" s="1">
        <v>0</v>
      </c>
    </row>
    <row r="814" spans="1:56">
      <c r="A814" s="18">
        <v>46192</v>
      </c>
      <c r="B814" s="1">
        <v>813</v>
      </c>
      <c r="C814" s="1" t="s">
        <v>89</v>
      </c>
      <c r="D814" s="1" t="s">
        <v>90</v>
      </c>
      <c r="E814" s="1">
        <v>2</v>
      </c>
      <c r="F814" s="1">
        <v>200</v>
      </c>
      <c r="G814" s="1">
        <v>1</v>
      </c>
      <c r="H814" s="1" t="s">
        <v>91</v>
      </c>
      <c r="I814" s="1" t="s">
        <v>79</v>
      </c>
      <c r="J814" s="1" t="s">
        <v>81</v>
      </c>
      <c r="K814" s="1" t="s">
        <v>74</v>
      </c>
      <c r="L814" s="1" t="s">
        <v>72</v>
      </c>
      <c r="M814" s="1" t="s">
        <v>75</v>
      </c>
      <c r="N814" s="1" t="s">
        <v>82</v>
      </c>
      <c r="O814" s="1" t="s">
        <v>77</v>
      </c>
      <c r="P814" s="1" t="s">
        <v>27</v>
      </c>
      <c r="Q814" s="1" t="s">
        <v>86</v>
      </c>
      <c r="R814" s="1" t="s">
        <v>94</v>
      </c>
      <c r="S814" s="1" t="s">
        <v>87</v>
      </c>
      <c r="T814" s="1" t="s">
        <v>88</v>
      </c>
      <c r="X814" s="1" t="s">
        <v>73</v>
      </c>
      <c r="Z814" s="1" t="s">
        <v>70</v>
      </c>
      <c r="AA814" s="1" t="s">
        <v>95</v>
      </c>
      <c r="AB814" s="1">
        <v>5</v>
      </c>
      <c r="AC814" s="1">
        <v>748803.93</v>
      </c>
      <c r="AD814" s="1">
        <v>8930495.6899999995</v>
      </c>
      <c r="AE814" s="1">
        <v>209.89</v>
      </c>
      <c r="AF814" s="1">
        <v>748803.93</v>
      </c>
      <c r="AG814" s="1">
        <v>8930495.6899999995</v>
      </c>
      <c r="AH814" s="1">
        <v>199.4</v>
      </c>
      <c r="AI814" s="1">
        <v>10.49</v>
      </c>
      <c r="AJ814" s="1">
        <v>0.6</v>
      </c>
      <c r="AK814" s="1">
        <v>2.97</v>
      </c>
      <c r="AL814" s="1">
        <v>2.58</v>
      </c>
      <c r="AM814" s="1">
        <v>0</v>
      </c>
      <c r="AN814" s="1">
        <v>0</v>
      </c>
      <c r="AO814" s="1">
        <v>279.95422539999998</v>
      </c>
      <c r="AP814" s="1">
        <v>3.46</v>
      </c>
      <c r="AQ814" s="1">
        <v>0.78</v>
      </c>
      <c r="AR814" s="1">
        <v>0.12</v>
      </c>
      <c r="AS814" s="1">
        <v>0.08</v>
      </c>
      <c r="AT814" s="1">
        <v>18.61</v>
      </c>
      <c r="AU814" s="1">
        <v>5.84</v>
      </c>
      <c r="AV814" s="1">
        <v>0.42</v>
      </c>
      <c r="AW814" s="1">
        <v>1.85</v>
      </c>
      <c r="AX814" s="1">
        <v>8.1300000000000008</v>
      </c>
      <c r="AY814" s="1">
        <v>0</v>
      </c>
      <c r="AZ814" s="1">
        <v>101.774</v>
      </c>
      <c r="BA814" s="1">
        <v>0</v>
      </c>
      <c r="BB814" s="1">
        <v>0</v>
      </c>
      <c r="BC814" s="1">
        <v>0</v>
      </c>
      <c r="BD814" s="1">
        <v>0</v>
      </c>
    </row>
    <row r="815" spans="1:56">
      <c r="A815" s="18">
        <v>46192</v>
      </c>
      <c r="B815" s="1">
        <v>814</v>
      </c>
      <c r="C815" s="1" t="s">
        <v>89</v>
      </c>
      <c r="D815" s="1" t="s">
        <v>90</v>
      </c>
      <c r="E815" s="1">
        <v>2</v>
      </c>
      <c r="F815" s="1">
        <v>200</v>
      </c>
      <c r="G815" s="1">
        <v>1</v>
      </c>
      <c r="H815" s="1" t="s">
        <v>91</v>
      </c>
      <c r="I815" s="1" t="s">
        <v>79</v>
      </c>
      <c r="J815" s="1" t="s">
        <v>81</v>
      </c>
      <c r="K815" s="1" t="s">
        <v>74</v>
      </c>
      <c r="L815" s="1" t="s">
        <v>72</v>
      </c>
      <c r="M815" s="1" t="s">
        <v>75</v>
      </c>
      <c r="N815" s="1" t="s">
        <v>82</v>
      </c>
      <c r="O815" s="1" t="s">
        <v>77</v>
      </c>
      <c r="P815" s="1" t="s">
        <v>27</v>
      </c>
      <c r="Q815" s="1" t="s">
        <v>86</v>
      </c>
      <c r="R815" s="1" t="s">
        <v>94</v>
      </c>
      <c r="S815" s="1" t="s">
        <v>87</v>
      </c>
      <c r="T815" s="1" t="s">
        <v>88</v>
      </c>
      <c r="X815" s="1" t="s">
        <v>73</v>
      </c>
      <c r="Z815" s="1" t="s">
        <v>70</v>
      </c>
      <c r="AA815" s="1" t="s">
        <v>95</v>
      </c>
      <c r="AB815" s="1">
        <v>5</v>
      </c>
      <c r="AC815" s="1">
        <v>748805.53</v>
      </c>
      <c r="AD815" s="1">
        <v>8930493.1899999995</v>
      </c>
      <c r="AE815" s="1">
        <v>210</v>
      </c>
      <c r="AF815" s="1">
        <v>748805.53</v>
      </c>
      <c r="AG815" s="1">
        <v>8930493.1899999995</v>
      </c>
      <c r="AH815" s="1">
        <v>199.4</v>
      </c>
      <c r="AI815" s="1">
        <v>10.6</v>
      </c>
      <c r="AJ815" s="1">
        <v>0.6</v>
      </c>
      <c r="AK815" s="1">
        <v>2.97</v>
      </c>
      <c r="AL815" s="1">
        <v>2.58</v>
      </c>
      <c r="AM815" s="1">
        <v>0</v>
      </c>
      <c r="AN815" s="1">
        <v>0</v>
      </c>
      <c r="AO815" s="1">
        <v>279.95422539999998</v>
      </c>
      <c r="AP815" s="1">
        <v>3.46</v>
      </c>
      <c r="AQ815" s="1">
        <v>0.78</v>
      </c>
      <c r="AR815" s="1">
        <v>0.12</v>
      </c>
      <c r="AS815" s="1">
        <v>0.08</v>
      </c>
      <c r="AT815" s="1">
        <v>18.61</v>
      </c>
      <c r="AU815" s="1">
        <v>5.85</v>
      </c>
      <c r="AV815" s="1">
        <v>0.42</v>
      </c>
      <c r="AW815" s="1">
        <v>1.85</v>
      </c>
      <c r="AX815" s="1">
        <v>8.14</v>
      </c>
      <c r="AY815" s="1">
        <v>0</v>
      </c>
      <c r="AZ815" s="1">
        <v>103.376</v>
      </c>
      <c r="BA815" s="1">
        <v>0</v>
      </c>
      <c r="BB815" s="1">
        <v>0</v>
      </c>
      <c r="BC815" s="1">
        <v>0</v>
      </c>
      <c r="BD815" s="1">
        <v>0</v>
      </c>
    </row>
    <row r="816" spans="1:56">
      <c r="A816" s="18">
        <v>46192</v>
      </c>
      <c r="B816" s="1">
        <v>815</v>
      </c>
      <c r="C816" s="1" t="s">
        <v>89</v>
      </c>
      <c r="D816" s="1" t="s">
        <v>90</v>
      </c>
      <c r="E816" s="1">
        <v>2</v>
      </c>
      <c r="F816" s="1">
        <v>200</v>
      </c>
      <c r="G816" s="1">
        <v>1</v>
      </c>
      <c r="H816" s="1" t="s">
        <v>91</v>
      </c>
      <c r="I816" s="1" t="s">
        <v>79</v>
      </c>
      <c r="J816" s="1" t="s">
        <v>81</v>
      </c>
      <c r="K816" s="1" t="s">
        <v>74</v>
      </c>
      <c r="L816" s="1" t="s">
        <v>72</v>
      </c>
      <c r="M816" s="1" t="s">
        <v>75</v>
      </c>
      <c r="N816" s="1" t="s">
        <v>82</v>
      </c>
      <c r="O816" s="1" t="s">
        <v>77</v>
      </c>
      <c r="P816" s="1" t="s">
        <v>27</v>
      </c>
      <c r="Q816" s="1" t="s">
        <v>86</v>
      </c>
      <c r="R816" s="1" t="s">
        <v>94</v>
      </c>
      <c r="S816" s="1" t="s">
        <v>87</v>
      </c>
      <c r="T816" s="1" t="s">
        <v>88</v>
      </c>
      <c r="X816" s="1" t="s">
        <v>73</v>
      </c>
      <c r="Z816" s="1" t="s">
        <v>70</v>
      </c>
      <c r="AA816" s="1" t="s">
        <v>95</v>
      </c>
      <c r="AB816" s="1">
        <v>5</v>
      </c>
      <c r="AC816" s="1">
        <v>748807.13</v>
      </c>
      <c r="AD816" s="1">
        <v>8930490.6899999995</v>
      </c>
      <c r="AE816" s="1">
        <v>210.16</v>
      </c>
      <c r="AF816" s="1">
        <v>748807.13</v>
      </c>
      <c r="AG816" s="1">
        <v>8930490.6899999995</v>
      </c>
      <c r="AH816" s="1">
        <v>199.4</v>
      </c>
      <c r="AI816" s="1">
        <v>10.76</v>
      </c>
      <c r="AJ816" s="1">
        <v>0.6</v>
      </c>
      <c r="AK816" s="1">
        <v>2.97</v>
      </c>
      <c r="AL816" s="1">
        <v>2.58</v>
      </c>
      <c r="AM816" s="1">
        <v>0</v>
      </c>
      <c r="AN816" s="1">
        <v>0</v>
      </c>
      <c r="AO816" s="1">
        <v>279.95422539999998</v>
      </c>
      <c r="AP816" s="1">
        <v>3.44</v>
      </c>
      <c r="AQ816" s="1">
        <v>0.75</v>
      </c>
      <c r="AR816" s="1">
        <v>0.11</v>
      </c>
      <c r="AS816" s="1">
        <v>0.08</v>
      </c>
      <c r="AT816" s="1">
        <v>17.73</v>
      </c>
      <c r="AU816" s="1">
        <v>5.71</v>
      </c>
      <c r="AV816" s="1">
        <v>0.39</v>
      </c>
      <c r="AW816" s="1">
        <v>1.97</v>
      </c>
      <c r="AX816" s="1">
        <v>8.2100000000000009</v>
      </c>
      <c r="AY816" s="1">
        <v>0</v>
      </c>
      <c r="AZ816" s="1">
        <v>105.706</v>
      </c>
      <c r="BA816" s="1">
        <v>0</v>
      </c>
      <c r="BB816" s="1">
        <v>0</v>
      </c>
      <c r="BC816" s="1">
        <v>0</v>
      </c>
      <c r="BD816" s="1">
        <v>0</v>
      </c>
    </row>
    <row r="817" spans="1:56">
      <c r="A817" s="18">
        <v>46192</v>
      </c>
      <c r="B817" s="1">
        <v>816</v>
      </c>
      <c r="C817" s="1" t="s">
        <v>89</v>
      </c>
      <c r="D817" s="1" t="s">
        <v>90</v>
      </c>
      <c r="E817" s="1">
        <v>2</v>
      </c>
      <c r="F817" s="1">
        <v>200</v>
      </c>
      <c r="G817" s="1">
        <v>1</v>
      </c>
      <c r="H817" s="1" t="s">
        <v>91</v>
      </c>
      <c r="I817" s="1" t="s">
        <v>79</v>
      </c>
      <c r="J817" s="1" t="s">
        <v>80</v>
      </c>
      <c r="K817" s="1" t="s">
        <v>74</v>
      </c>
      <c r="L817" s="1" t="s">
        <v>72</v>
      </c>
      <c r="M817" s="1" t="s">
        <v>75</v>
      </c>
      <c r="N817" s="1" t="s">
        <v>82</v>
      </c>
      <c r="O817" s="1" t="s">
        <v>77</v>
      </c>
      <c r="P817" s="1" t="s">
        <v>27</v>
      </c>
      <c r="Q817" s="1" t="s">
        <v>86</v>
      </c>
      <c r="R817" s="1" t="s">
        <v>94</v>
      </c>
      <c r="S817" s="1" t="s">
        <v>87</v>
      </c>
      <c r="T817" s="1" t="s">
        <v>88</v>
      </c>
      <c r="X817" s="1" t="s">
        <v>73</v>
      </c>
      <c r="Z817" s="1" t="s">
        <v>70</v>
      </c>
      <c r="AA817" s="1" t="s">
        <v>95</v>
      </c>
      <c r="AB817" s="1">
        <v>5</v>
      </c>
      <c r="AC817" s="1">
        <v>748808.74</v>
      </c>
      <c r="AD817" s="1">
        <v>8930488.1899999995</v>
      </c>
      <c r="AE817" s="1">
        <v>210.07</v>
      </c>
      <c r="AF817" s="1">
        <v>748808.74</v>
      </c>
      <c r="AG817" s="1">
        <v>8930488.1899999995</v>
      </c>
      <c r="AH817" s="1">
        <v>199.4</v>
      </c>
      <c r="AI817" s="1">
        <v>10.67</v>
      </c>
      <c r="AJ817" s="1">
        <v>0.6</v>
      </c>
      <c r="AK817" s="1">
        <v>2.97</v>
      </c>
      <c r="AL817" s="1">
        <v>2.58</v>
      </c>
      <c r="AM817" s="1">
        <v>0</v>
      </c>
      <c r="AN817" s="1">
        <v>0</v>
      </c>
      <c r="AO817" s="1">
        <v>279.95422539999998</v>
      </c>
      <c r="AP817" s="1">
        <v>3.38</v>
      </c>
      <c r="AQ817" s="1">
        <v>0.67</v>
      </c>
      <c r="AR817" s="1">
        <v>0.09</v>
      </c>
      <c r="AS817" s="1">
        <v>7.0000000000000007E-2</v>
      </c>
      <c r="AT817" s="1">
        <v>15.65</v>
      </c>
      <c r="AU817" s="1">
        <v>5.29</v>
      </c>
      <c r="AV817" s="1">
        <v>0.3</v>
      </c>
      <c r="AW817" s="1">
        <v>2.2599999999999998</v>
      </c>
      <c r="AX817" s="1">
        <v>8.52</v>
      </c>
      <c r="AY817" s="1">
        <v>0</v>
      </c>
      <c r="AZ817" s="1">
        <v>104.395</v>
      </c>
      <c r="BA817" s="1">
        <v>0</v>
      </c>
      <c r="BB817" s="1">
        <v>0</v>
      </c>
      <c r="BC817" s="1">
        <v>0</v>
      </c>
      <c r="BD817" s="1">
        <v>0</v>
      </c>
    </row>
    <row r="818" spans="1:56">
      <c r="A818" s="18">
        <v>46192</v>
      </c>
      <c r="B818" s="1">
        <v>817</v>
      </c>
      <c r="C818" s="1" t="s">
        <v>89</v>
      </c>
      <c r="D818" s="1" t="s">
        <v>90</v>
      </c>
      <c r="E818" s="1">
        <v>2</v>
      </c>
      <c r="F818" s="1">
        <v>200</v>
      </c>
      <c r="G818" s="1">
        <v>1</v>
      </c>
      <c r="H818" s="1" t="s">
        <v>91</v>
      </c>
      <c r="I818" s="1" t="s">
        <v>79</v>
      </c>
      <c r="J818" s="1" t="s">
        <v>80</v>
      </c>
      <c r="K818" s="1" t="s">
        <v>74</v>
      </c>
      <c r="L818" s="1" t="s">
        <v>72</v>
      </c>
      <c r="M818" s="1" t="s">
        <v>75</v>
      </c>
      <c r="N818" s="1" t="s">
        <v>82</v>
      </c>
      <c r="O818" s="1" t="s">
        <v>77</v>
      </c>
      <c r="P818" s="1" t="s">
        <v>27</v>
      </c>
      <c r="Q818" s="1" t="s">
        <v>86</v>
      </c>
      <c r="R818" s="1" t="s">
        <v>94</v>
      </c>
      <c r="S818" s="1" t="s">
        <v>87</v>
      </c>
      <c r="T818" s="1" t="s">
        <v>88</v>
      </c>
      <c r="X818" s="1" t="s">
        <v>73</v>
      </c>
      <c r="Z818" s="1" t="s">
        <v>70</v>
      </c>
      <c r="AA818" s="1" t="s">
        <v>95</v>
      </c>
      <c r="AB818" s="1">
        <v>5</v>
      </c>
      <c r="AC818" s="1">
        <v>748810.34</v>
      </c>
      <c r="AD818" s="1">
        <v>8930485.6899999995</v>
      </c>
      <c r="AE818" s="1">
        <v>210.17</v>
      </c>
      <c r="AF818" s="1">
        <v>748810.34</v>
      </c>
      <c r="AG818" s="1">
        <v>8930485.6899999995</v>
      </c>
      <c r="AH818" s="1">
        <v>199.4</v>
      </c>
      <c r="AI818" s="1">
        <v>10.77</v>
      </c>
      <c r="AJ818" s="1">
        <v>0.6</v>
      </c>
      <c r="AK818" s="1">
        <v>2.97</v>
      </c>
      <c r="AL818" s="1">
        <v>2.58</v>
      </c>
      <c r="AM818" s="1">
        <v>0</v>
      </c>
      <c r="AN818" s="1">
        <v>0</v>
      </c>
      <c r="AO818" s="1">
        <v>279.95422539999998</v>
      </c>
      <c r="AP818" s="1">
        <v>3.38</v>
      </c>
      <c r="AQ818" s="1">
        <v>0.62</v>
      </c>
      <c r="AR818" s="1">
        <v>0.09</v>
      </c>
      <c r="AS818" s="1">
        <v>7.0000000000000007E-2</v>
      </c>
      <c r="AT818" s="1">
        <v>15.14</v>
      </c>
      <c r="AU818" s="1">
        <v>4.99</v>
      </c>
      <c r="AV818" s="1">
        <v>0.27</v>
      </c>
      <c r="AW818" s="1">
        <v>2.2999999999999998</v>
      </c>
      <c r="AX818" s="1">
        <v>9.1999999999999993</v>
      </c>
      <c r="AY818" s="1">
        <v>0</v>
      </c>
      <c r="AZ818" s="1">
        <v>105.851</v>
      </c>
      <c r="BA818" s="1">
        <v>0</v>
      </c>
      <c r="BB818" s="1">
        <v>0</v>
      </c>
      <c r="BC818" s="1">
        <v>0</v>
      </c>
      <c r="BD818" s="1">
        <v>0</v>
      </c>
    </row>
    <row r="819" spans="1:56">
      <c r="A819" s="18">
        <v>46192</v>
      </c>
      <c r="B819" s="1">
        <v>818</v>
      </c>
      <c r="C819" s="1" t="s">
        <v>89</v>
      </c>
      <c r="D819" s="1" t="s">
        <v>90</v>
      </c>
      <c r="E819" s="1">
        <v>2</v>
      </c>
      <c r="F819" s="1">
        <v>200</v>
      </c>
      <c r="G819" s="1">
        <v>1</v>
      </c>
      <c r="H819" s="1" t="s">
        <v>91</v>
      </c>
      <c r="I819" s="1" t="s">
        <v>79</v>
      </c>
      <c r="J819" s="1" t="s">
        <v>80</v>
      </c>
      <c r="K819" s="1" t="s">
        <v>74</v>
      </c>
      <c r="L819" s="1" t="s">
        <v>72</v>
      </c>
      <c r="M819" s="1" t="s">
        <v>75</v>
      </c>
      <c r="N819" s="1" t="s">
        <v>82</v>
      </c>
      <c r="O819" s="1" t="s">
        <v>77</v>
      </c>
      <c r="P819" s="1" t="s">
        <v>27</v>
      </c>
      <c r="Q819" s="1" t="s">
        <v>86</v>
      </c>
      <c r="R819" s="1" t="s">
        <v>94</v>
      </c>
      <c r="S819" s="1" t="s">
        <v>87</v>
      </c>
      <c r="T819" s="1" t="s">
        <v>88</v>
      </c>
      <c r="X819" s="1" t="s">
        <v>73</v>
      </c>
      <c r="Z819" s="1" t="s">
        <v>70</v>
      </c>
      <c r="AA819" s="1" t="s">
        <v>95</v>
      </c>
      <c r="AB819" s="1">
        <v>5</v>
      </c>
      <c r="AC819" s="1">
        <v>748811.94</v>
      </c>
      <c r="AD819" s="1">
        <v>8930483.1899999995</v>
      </c>
      <c r="AE819" s="1">
        <v>210.66</v>
      </c>
      <c r="AF819" s="1">
        <v>748811.94</v>
      </c>
      <c r="AG819" s="1">
        <v>8930483.1899999995</v>
      </c>
      <c r="AH819" s="1">
        <v>199.4</v>
      </c>
      <c r="AI819" s="1">
        <v>11.26</v>
      </c>
      <c r="AJ819" s="1">
        <v>0.6</v>
      </c>
      <c r="AK819" s="1">
        <v>2.97</v>
      </c>
      <c r="AL819" s="1">
        <v>2.58</v>
      </c>
      <c r="AM819" s="1">
        <v>0</v>
      </c>
      <c r="AN819" s="1">
        <v>0</v>
      </c>
      <c r="AO819" s="1">
        <v>279.95422539999998</v>
      </c>
      <c r="AP819" s="1">
        <v>3.38</v>
      </c>
      <c r="AQ819" s="1">
        <v>0.57999999999999996</v>
      </c>
      <c r="AR819" s="1">
        <v>0.09</v>
      </c>
      <c r="AS819" s="1">
        <v>0.06</v>
      </c>
      <c r="AT819" s="1">
        <v>14.67</v>
      </c>
      <c r="AU819" s="1">
        <v>4.72</v>
      </c>
      <c r="AV819" s="1">
        <v>0.25</v>
      </c>
      <c r="AW819" s="1">
        <v>2.33</v>
      </c>
      <c r="AX819" s="1">
        <v>9.7899999999999991</v>
      </c>
      <c r="AY819" s="1">
        <v>0</v>
      </c>
      <c r="AZ819" s="1">
        <v>112.986</v>
      </c>
      <c r="BA819" s="1">
        <v>0</v>
      </c>
      <c r="BB819" s="1">
        <v>0</v>
      </c>
      <c r="BC819" s="1">
        <v>0</v>
      </c>
      <c r="BD819" s="1">
        <v>0</v>
      </c>
    </row>
    <row r="820" spans="1:56">
      <c r="A820" s="18">
        <v>46192</v>
      </c>
      <c r="B820" s="1">
        <v>819</v>
      </c>
      <c r="C820" s="1" t="s">
        <v>89</v>
      </c>
      <c r="D820" s="1" t="s">
        <v>90</v>
      </c>
      <c r="E820" s="1">
        <v>2</v>
      </c>
      <c r="F820" s="1">
        <v>200</v>
      </c>
      <c r="G820" s="1">
        <v>1</v>
      </c>
      <c r="H820" s="1" t="s">
        <v>91</v>
      </c>
      <c r="I820" s="1" t="s">
        <v>79</v>
      </c>
      <c r="J820" s="1" t="s">
        <v>80</v>
      </c>
      <c r="K820" s="1" t="s">
        <v>74</v>
      </c>
      <c r="L820" s="1" t="s">
        <v>72</v>
      </c>
      <c r="M820" s="1" t="s">
        <v>75</v>
      </c>
      <c r="N820" s="1" t="s">
        <v>82</v>
      </c>
      <c r="O820" s="1" t="s">
        <v>77</v>
      </c>
      <c r="P820" s="1" t="s">
        <v>27</v>
      </c>
      <c r="Q820" s="1" t="s">
        <v>86</v>
      </c>
      <c r="R820" s="1" t="s">
        <v>94</v>
      </c>
      <c r="S820" s="1" t="s">
        <v>87</v>
      </c>
      <c r="T820" s="1" t="s">
        <v>88</v>
      </c>
      <c r="X820" s="1" t="s">
        <v>73</v>
      </c>
      <c r="Z820" s="1" t="s">
        <v>70</v>
      </c>
      <c r="AA820" s="1" t="s">
        <v>95</v>
      </c>
      <c r="AB820" s="1">
        <v>5</v>
      </c>
      <c r="AC820" s="1">
        <v>748813.54</v>
      </c>
      <c r="AD820" s="1">
        <v>8930480.6899999995</v>
      </c>
      <c r="AE820" s="1">
        <v>210.61</v>
      </c>
      <c r="AF820" s="1">
        <v>748813.54</v>
      </c>
      <c r="AG820" s="1">
        <v>8930480.6899999995</v>
      </c>
      <c r="AH820" s="1">
        <v>199.4</v>
      </c>
      <c r="AI820" s="1">
        <v>11.21</v>
      </c>
      <c r="AJ820" s="1">
        <v>0.6</v>
      </c>
      <c r="AK820" s="1">
        <v>2.97</v>
      </c>
      <c r="AL820" s="1">
        <v>2.58</v>
      </c>
      <c r="AM820" s="1">
        <v>0</v>
      </c>
      <c r="AN820" s="1">
        <v>0</v>
      </c>
      <c r="AO820" s="1">
        <v>279.95422539999998</v>
      </c>
      <c r="AP820" s="1">
        <v>3.39</v>
      </c>
      <c r="AQ820" s="1">
        <v>0.56000000000000005</v>
      </c>
      <c r="AR820" s="1">
        <v>0.09</v>
      </c>
      <c r="AS820" s="1">
        <v>0.06</v>
      </c>
      <c r="AT820" s="1">
        <v>14.11</v>
      </c>
      <c r="AU820" s="1">
        <v>4.42</v>
      </c>
      <c r="AV820" s="1">
        <v>0.25</v>
      </c>
      <c r="AW820" s="1">
        <v>2.2799999999999998</v>
      </c>
      <c r="AX820" s="1">
        <v>10.07</v>
      </c>
      <c r="AY820" s="1">
        <v>0</v>
      </c>
      <c r="AZ820" s="1">
        <v>112.258</v>
      </c>
      <c r="BA820" s="1">
        <v>0</v>
      </c>
      <c r="BB820" s="1">
        <v>0</v>
      </c>
      <c r="BC820" s="1">
        <v>0</v>
      </c>
      <c r="BD820" s="1">
        <v>0</v>
      </c>
    </row>
    <row r="821" spans="1:56">
      <c r="A821" s="18">
        <v>46192</v>
      </c>
      <c r="B821" s="1">
        <v>820</v>
      </c>
      <c r="C821" s="1" t="s">
        <v>89</v>
      </c>
      <c r="D821" s="1" t="s">
        <v>90</v>
      </c>
      <c r="E821" s="1">
        <v>2</v>
      </c>
      <c r="F821" s="1">
        <v>200</v>
      </c>
      <c r="G821" s="1">
        <v>1</v>
      </c>
      <c r="H821" s="1" t="s">
        <v>91</v>
      </c>
      <c r="I821" s="1" t="s">
        <v>79</v>
      </c>
      <c r="J821" s="1" t="s">
        <v>80</v>
      </c>
      <c r="K821" s="1" t="s">
        <v>74</v>
      </c>
      <c r="L821" s="1" t="s">
        <v>72</v>
      </c>
      <c r="M821" s="1" t="s">
        <v>75</v>
      </c>
      <c r="N821" s="1" t="s">
        <v>82</v>
      </c>
      <c r="O821" s="1" t="s">
        <v>77</v>
      </c>
      <c r="P821" s="1" t="s">
        <v>27</v>
      </c>
      <c r="Q821" s="1" t="s">
        <v>86</v>
      </c>
      <c r="R821" s="1" t="s">
        <v>94</v>
      </c>
      <c r="S821" s="1" t="s">
        <v>87</v>
      </c>
      <c r="T821" s="1" t="s">
        <v>88</v>
      </c>
      <c r="X821" s="1" t="s">
        <v>73</v>
      </c>
      <c r="Z821" s="1" t="s">
        <v>70</v>
      </c>
      <c r="AA821" s="1" t="s">
        <v>95</v>
      </c>
      <c r="AB821" s="1">
        <v>5</v>
      </c>
      <c r="AC821" s="1">
        <v>748815.15</v>
      </c>
      <c r="AD821" s="1">
        <v>8930478.1899999995</v>
      </c>
      <c r="AE821" s="1">
        <v>210.54</v>
      </c>
      <c r="AF821" s="1">
        <v>748815.15</v>
      </c>
      <c r="AG821" s="1">
        <v>8930478.1899999995</v>
      </c>
      <c r="AH821" s="1">
        <v>199.4</v>
      </c>
      <c r="AI821" s="1">
        <v>11.14</v>
      </c>
      <c r="AJ821" s="1">
        <v>0.6</v>
      </c>
      <c r="AK821" s="1">
        <v>2.97</v>
      </c>
      <c r="AL821" s="1">
        <v>2.58</v>
      </c>
      <c r="AM821" s="1">
        <v>0</v>
      </c>
      <c r="AN821" s="1">
        <v>0</v>
      </c>
      <c r="AO821" s="1">
        <v>279.95422539999998</v>
      </c>
      <c r="AP821" s="1">
        <v>3.42</v>
      </c>
      <c r="AQ821" s="1">
        <v>0.52</v>
      </c>
      <c r="AR821" s="1">
        <v>0.08</v>
      </c>
      <c r="AS821" s="1">
        <v>0.06</v>
      </c>
      <c r="AT821" s="1">
        <v>12.81</v>
      </c>
      <c r="AU821" s="1">
        <v>3.75</v>
      </c>
      <c r="AV821" s="1">
        <v>0.24</v>
      </c>
      <c r="AW821" s="1">
        <v>2.17</v>
      </c>
      <c r="AX821" s="1">
        <v>10.66</v>
      </c>
      <c r="AY821" s="1">
        <v>0</v>
      </c>
      <c r="AZ821" s="1">
        <v>111.238</v>
      </c>
      <c r="BA821" s="1">
        <v>0</v>
      </c>
      <c r="BB821" s="1">
        <v>0</v>
      </c>
      <c r="BC821" s="1">
        <v>0</v>
      </c>
      <c r="BD821" s="1">
        <v>0</v>
      </c>
    </row>
    <row r="822" spans="1:56">
      <c r="A822" s="18">
        <v>46192</v>
      </c>
      <c r="B822" s="1">
        <v>821</v>
      </c>
      <c r="C822" s="1" t="s">
        <v>89</v>
      </c>
      <c r="D822" s="1" t="s">
        <v>90</v>
      </c>
      <c r="E822" s="1">
        <v>2</v>
      </c>
      <c r="F822" s="1">
        <v>200</v>
      </c>
      <c r="G822" s="1">
        <v>1</v>
      </c>
      <c r="H822" s="1" t="s">
        <v>91</v>
      </c>
      <c r="I822" s="1" t="s">
        <v>79</v>
      </c>
      <c r="J822" s="1" t="s">
        <v>80</v>
      </c>
      <c r="K822" s="1" t="s">
        <v>74</v>
      </c>
      <c r="L822" s="1" t="s">
        <v>72</v>
      </c>
      <c r="M822" s="1" t="s">
        <v>75</v>
      </c>
      <c r="N822" s="1" t="s">
        <v>82</v>
      </c>
      <c r="O822" s="1" t="s">
        <v>77</v>
      </c>
      <c r="P822" s="1" t="s">
        <v>27</v>
      </c>
      <c r="Q822" s="1" t="s">
        <v>86</v>
      </c>
      <c r="R822" s="1" t="s">
        <v>94</v>
      </c>
      <c r="S822" s="1" t="s">
        <v>87</v>
      </c>
      <c r="T822" s="1" t="s">
        <v>88</v>
      </c>
      <c r="X822" s="1" t="s">
        <v>73</v>
      </c>
      <c r="Z822" s="1" t="s">
        <v>70</v>
      </c>
      <c r="AA822" s="1" t="s">
        <v>95</v>
      </c>
      <c r="AB822" s="1">
        <v>5</v>
      </c>
      <c r="AC822" s="1">
        <v>748816.75</v>
      </c>
      <c r="AD822" s="1">
        <v>8930475.6899999995</v>
      </c>
      <c r="AE822" s="1">
        <v>211.19</v>
      </c>
      <c r="AF822" s="1">
        <v>748816.75</v>
      </c>
      <c r="AG822" s="1">
        <v>8930475.6899999995</v>
      </c>
      <c r="AH822" s="1">
        <v>199.4</v>
      </c>
      <c r="AI822" s="1">
        <v>11.79</v>
      </c>
      <c r="AJ822" s="1">
        <v>0.6</v>
      </c>
      <c r="AK822" s="1">
        <v>2.97</v>
      </c>
      <c r="AL822" s="1">
        <v>2.58</v>
      </c>
      <c r="AM822" s="1">
        <v>0</v>
      </c>
      <c r="AN822" s="1">
        <v>0</v>
      </c>
      <c r="AO822" s="1">
        <v>279.95422539999998</v>
      </c>
      <c r="AP822" s="1">
        <v>3.41</v>
      </c>
      <c r="AQ822" s="1">
        <v>0.52</v>
      </c>
      <c r="AR822" s="1">
        <v>0.08</v>
      </c>
      <c r="AS822" s="1">
        <v>0.06</v>
      </c>
      <c r="AT822" s="1">
        <v>12.83</v>
      </c>
      <c r="AU822" s="1">
        <v>3.76</v>
      </c>
      <c r="AV822" s="1">
        <v>0.24</v>
      </c>
      <c r="AW822" s="1">
        <v>2.17</v>
      </c>
      <c r="AX822" s="1">
        <v>10.59</v>
      </c>
      <c r="AY822" s="1">
        <v>0</v>
      </c>
      <c r="AZ822" s="1">
        <v>120.702</v>
      </c>
      <c r="BA822" s="1">
        <v>0</v>
      </c>
      <c r="BB822" s="1">
        <v>0</v>
      </c>
      <c r="BC822" s="1">
        <v>0</v>
      </c>
      <c r="BD822" s="1">
        <v>0</v>
      </c>
    </row>
    <row r="823" spans="1:56">
      <c r="A823" s="18">
        <v>46192</v>
      </c>
      <c r="B823" s="1">
        <v>822</v>
      </c>
      <c r="C823" s="1" t="s">
        <v>89</v>
      </c>
      <c r="D823" s="1" t="s">
        <v>90</v>
      </c>
      <c r="E823" s="1">
        <v>2</v>
      </c>
      <c r="F823" s="1">
        <v>200</v>
      </c>
      <c r="G823" s="1">
        <v>1</v>
      </c>
      <c r="H823" s="1" t="s">
        <v>91</v>
      </c>
      <c r="I823" s="1" t="s">
        <v>79</v>
      </c>
      <c r="J823" s="1" t="s">
        <v>80</v>
      </c>
      <c r="K823" s="1" t="s">
        <v>74</v>
      </c>
      <c r="L823" s="1" t="s">
        <v>72</v>
      </c>
      <c r="M823" s="1" t="s">
        <v>75</v>
      </c>
      <c r="N823" s="1" t="s">
        <v>82</v>
      </c>
      <c r="O823" s="1" t="s">
        <v>77</v>
      </c>
      <c r="P823" s="1" t="s">
        <v>27</v>
      </c>
      <c r="Q823" s="1" t="s">
        <v>86</v>
      </c>
      <c r="R823" s="1" t="s">
        <v>94</v>
      </c>
      <c r="S823" s="1" t="s">
        <v>87</v>
      </c>
      <c r="T823" s="1" t="s">
        <v>88</v>
      </c>
      <c r="X823" s="1" t="s">
        <v>73</v>
      </c>
      <c r="Z823" s="1" t="s">
        <v>70</v>
      </c>
      <c r="AA823" s="1" t="s">
        <v>95</v>
      </c>
      <c r="AB823" s="1">
        <v>5</v>
      </c>
      <c r="AC823" s="1">
        <v>748818.35</v>
      </c>
      <c r="AD823" s="1">
        <v>8930473.1899999995</v>
      </c>
      <c r="AE823" s="1">
        <v>211.62</v>
      </c>
      <c r="AF823" s="1">
        <v>748818.35</v>
      </c>
      <c r="AG823" s="1">
        <v>8930473.1899999995</v>
      </c>
      <c r="AH823" s="1">
        <v>199.4</v>
      </c>
      <c r="AI823" s="1">
        <v>12.22</v>
      </c>
      <c r="AJ823" s="1">
        <v>0.6</v>
      </c>
      <c r="AK823" s="1">
        <v>2.97</v>
      </c>
      <c r="AL823" s="1">
        <v>2.58</v>
      </c>
      <c r="AM823" s="1">
        <v>0</v>
      </c>
      <c r="AN823" s="1">
        <v>0</v>
      </c>
      <c r="AO823" s="1">
        <v>279.95422539999998</v>
      </c>
      <c r="AP823" s="1">
        <v>3.41</v>
      </c>
      <c r="AQ823" s="1">
        <v>0.52</v>
      </c>
      <c r="AR823" s="1">
        <v>0.08</v>
      </c>
      <c r="AS823" s="1">
        <v>0.06</v>
      </c>
      <c r="AT823" s="1">
        <v>13.17</v>
      </c>
      <c r="AU823" s="1">
        <v>3.92</v>
      </c>
      <c r="AV823" s="1">
        <v>0.25</v>
      </c>
      <c r="AW823" s="1">
        <v>2.13</v>
      </c>
      <c r="AX823" s="1">
        <v>10.41</v>
      </c>
      <c r="AY823" s="1">
        <v>0</v>
      </c>
      <c r="AZ823" s="1">
        <v>126.96299999999999</v>
      </c>
      <c r="BA823" s="1">
        <v>0</v>
      </c>
      <c r="BB823" s="1">
        <v>0</v>
      </c>
      <c r="BC823" s="1">
        <v>0</v>
      </c>
      <c r="BD823" s="1">
        <v>0</v>
      </c>
    </row>
    <row r="824" spans="1:56">
      <c r="A824" s="18">
        <v>46192</v>
      </c>
      <c r="B824" s="1">
        <v>823</v>
      </c>
      <c r="C824" s="1" t="s">
        <v>89</v>
      </c>
      <c r="D824" s="1" t="s">
        <v>90</v>
      </c>
      <c r="E824" s="1">
        <v>2</v>
      </c>
      <c r="F824" s="1">
        <v>200</v>
      </c>
      <c r="G824" s="1">
        <v>1</v>
      </c>
      <c r="H824" s="1" t="s">
        <v>91</v>
      </c>
      <c r="I824" s="1" t="s">
        <v>79</v>
      </c>
      <c r="J824" s="1" t="s">
        <v>80</v>
      </c>
      <c r="K824" s="1" t="s">
        <v>74</v>
      </c>
      <c r="L824" s="1" t="s">
        <v>72</v>
      </c>
      <c r="M824" s="1" t="s">
        <v>75</v>
      </c>
      <c r="N824" s="1" t="s">
        <v>82</v>
      </c>
      <c r="O824" s="1" t="s">
        <v>77</v>
      </c>
      <c r="P824" s="1" t="s">
        <v>27</v>
      </c>
      <c r="Q824" s="1" t="s">
        <v>86</v>
      </c>
      <c r="R824" s="1" t="s">
        <v>94</v>
      </c>
      <c r="S824" s="1" t="s">
        <v>87</v>
      </c>
      <c r="T824" s="1" t="s">
        <v>88</v>
      </c>
      <c r="X824" s="1" t="s">
        <v>73</v>
      </c>
      <c r="Z824" s="1" t="s">
        <v>70</v>
      </c>
      <c r="AA824" s="1" t="s">
        <v>95</v>
      </c>
      <c r="AB824" s="1">
        <v>5</v>
      </c>
      <c r="AC824" s="1">
        <v>748819.96</v>
      </c>
      <c r="AD824" s="1">
        <v>8930470.6899999995</v>
      </c>
      <c r="AE824" s="1">
        <v>211.2</v>
      </c>
      <c r="AF824" s="1">
        <v>748819.96</v>
      </c>
      <c r="AG824" s="1">
        <v>8930470.6899999995</v>
      </c>
      <c r="AH824" s="1">
        <v>199.4</v>
      </c>
      <c r="AI824" s="1">
        <v>11.8</v>
      </c>
      <c r="AJ824" s="1">
        <v>0.6</v>
      </c>
      <c r="AK824" s="1">
        <v>2.97</v>
      </c>
      <c r="AL824" s="1">
        <v>2.58</v>
      </c>
      <c r="AM824" s="1">
        <v>0</v>
      </c>
      <c r="AN824" s="1">
        <v>0</v>
      </c>
      <c r="AO824" s="1">
        <v>279.95422539999998</v>
      </c>
      <c r="AP824" s="1">
        <v>3.4</v>
      </c>
      <c r="AQ824" s="1">
        <v>0.52</v>
      </c>
      <c r="AR824" s="1">
        <v>0.08</v>
      </c>
      <c r="AS824" s="1">
        <v>7.0000000000000007E-2</v>
      </c>
      <c r="AT824" s="1">
        <v>15.94</v>
      </c>
      <c r="AU824" s="1">
        <v>5.0999999999999996</v>
      </c>
      <c r="AV824" s="1">
        <v>0.3</v>
      </c>
      <c r="AW824" s="1">
        <v>1.8</v>
      </c>
      <c r="AX824" s="1">
        <v>9.26</v>
      </c>
      <c r="AY824" s="1">
        <v>0</v>
      </c>
      <c r="AZ824" s="1">
        <v>120.848</v>
      </c>
      <c r="BA824" s="1">
        <v>0</v>
      </c>
      <c r="BB824" s="1">
        <v>0</v>
      </c>
      <c r="BC824" s="1">
        <v>0</v>
      </c>
      <c r="BD824" s="1">
        <v>0</v>
      </c>
    </row>
    <row r="825" spans="1:56">
      <c r="A825" s="18">
        <v>46192</v>
      </c>
      <c r="B825" s="1">
        <v>824</v>
      </c>
      <c r="C825" s="1" t="s">
        <v>89</v>
      </c>
      <c r="D825" s="1" t="s">
        <v>90</v>
      </c>
      <c r="E825" s="1">
        <v>2</v>
      </c>
      <c r="F825" s="1">
        <v>200</v>
      </c>
      <c r="G825" s="1">
        <v>1</v>
      </c>
      <c r="H825" s="1" t="s">
        <v>91</v>
      </c>
      <c r="I825" s="1" t="s">
        <v>79</v>
      </c>
      <c r="J825" s="1" t="s">
        <v>80</v>
      </c>
      <c r="K825" s="1" t="s">
        <v>74</v>
      </c>
      <c r="L825" s="1" t="s">
        <v>72</v>
      </c>
      <c r="M825" s="1" t="s">
        <v>75</v>
      </c>
      <c r="N825" s="1" t="s">
        <v>82</v>
      </c>
      <c r="O825" s="1" t="s">
        <v>77</v>
      </c>
      <c r="P825" s="1" t="s">
        <v>27</v>
      </c>
      <c r="Q825" s="1" t="s">
        <v>86</v>
      </c>
      <c r="R825" s="1" t="s">
        <v>94</v>
      </c>
      <c r="S825" s="1" t="s">
        <v>87</v>
      </c>
      <c r="T825" s="1" t="s">
        <v>88</v>
      </c>
      <c r="X825" s="1" t="s">
        <v>73</v>
      </c>
      <c r="Z825" s="1" t="s">
        <v>70</v>
      </c>
      <c r="AA825" s="1" t="s">
        <v>95</v>
      </c>
      <c r="AB825" s="1">
        <v>5</v>
      </c>
      <c r="AC825" s="1">
        <v>748821.56</v>
      </c>
      <c r="AD825" s="1">
        <v>8930468.1899999995</v>
      </c>
      <c r="AE825" s="1">
        <v>211.12</v>
      </c>
      <c r="AF825" s="1">
        <v>748821.56</v>
      </c>
      <c r="AG825" s="1">
        <v>8930468.1899999995</v>
      </c>
      <c r="AH825" s="1">
        <v>199.4</v>
      </c>
      <c r="AI825" s="1">
        <v>11.72</v>
      </c>
      <c r="AJ825" s="1">
        <v>0.6</v>
      </c>
      <c r="AK825" s="1">
        <v>2.97</v>
      </c>
      <c r="AL825" s="1">
        <v>2.58</v>
      </c>
      <c r="AM825" s="1">
        <v>0</v>
      </c>
      <c r="AN825" s="1">
        <v>0</v>
      </c>
      <c r="AO825" s="1">
        <v>279.95422539999998</v>
      </c>
      <c r="AP825" s="1">
        <v>3.32</v>
      </c>
      <c r="AQ825" s="1">
        <v>0.51</v>
      </c>
      <c r="AR825" s="1">
        <v>0.08</v>
      </c>
      <c r="AS825" s="1">
        <v>7.0000000000000007E-2</v>
      </c>
      <c r="AT825" s="1">
        <v>17.66</v>
      </c>
      <c r="AU825" s="1">
        <v>5.83</v>
      </c>
      <c r="AV825" s="1">
        <v>0.3</v>
      </c>
      <c r="AW825" s="1">
        <v>1.68</v>
      </c>
      <c r="AX825" s="1">
        <v>8.5299999999999994</v>
      </c>
      <c r="AY825" s="1">
        <v>0</v>
      </c>
      <c r="AZ825" s="1">
        <v>119.68300000000001</v>
      </c>
      <c r="BA825" s="1">
        <v>0</v>
      </c>
      <c r="BB825" s="1">
        <v>0</v>
      </c>
      <c r="BC825" s="1">
        <v>0</v>
      </c>
      <c r="BD825" s="1">
        <v>0</v>
      </c>
    </row>
    <row r="826" spans="1:56">
      <c r="A826" s="18">
        <v>46192</v>
      </c>
      <c r="B826" s="1">
        <v>825</v>
      </c>
      <c r="C826" s="1" t="s">
        <v>89</v>
      </c>
      <c r="D826" s="1" t="s">
        <v>90</v>
      </c>
      <c r="E826" s="1">
        <v>2</v>
      </c>
      <c r="F826" s="1">
        <v>200</v>
      </c>
      <c r="G826" s="1">
        <v>1</v>
      </c>
      <c r="H826" s="1" t="s">
        <v>91</v>
      </c>
      <c r="I826" s="1" t="s">
        <v>79</v>
      </c>
      <c r="J826" s="1" t="s">
        <v>80</v>
      </c>
      <c r="K826" s="1" t="s">
        <v>74</v>
      </c>
      <c r="L826" s="1" t="s">
        <v>72</v>
      </c>
      <c r="M826" s="1" t="s">
        <v>75</v>
      </c>
      <c r="N826" s="1" t="s">
        <v>82</v>
      </c>
      <c r="O826" s="1" t="s">
        <v>77</v>
      </c>
      <c r="P826" s="1" t="s">
        <v>27</v>
      </c>
      <c r="Q826" s="1" t="s">
        <v>86</v>
      </c>
      <c r="R826" s="1" t="s">
        <v>94</v>
      </c>
      <c r="S826" s="1" t="s">
        <v>87</v>
      </c>
      <c r="T826" s="1" t="s">
        <v>88</v>
      </c>
      <c r="X826" s="1" t="s">
        <v>73</v>
      </c>
      <c r="Z826" s="1" t="s">
        <v>70</v>
      </c>
      <c r="AA826" s="1" t="s">
        <v>95</v>
      </c>
      <c r="AB826" s="1">
        <v>5</v>
      </c>
      <c r="AC826" s="1">
        <v>748823.16</v>
      </c>
      <c r="AD826" s="1">
        <v>8930465.6899999995</v>
      </c>
      <c r="AE826" s="1">
        <v>211.44</v>
      </c>
      <c r="AF826" s="1">
        <v>748823.16</v>
      </c>
      <c r="AG826" s="1">
        <v>8930465.6899999995</v>
      </c>
      <c r="AH826" s="1">
        <v>199.4</v>
      </c>
      <c r="AI826" s="1">
        <v>12.04</v>
      </c>
      <c r="AJ826" s="1">
        <v>0.6</v>
      </c>
      <c r="AK826" s="1">
        <v>2.97</v>
      </c>
      <c r="AL826" s="1">
        <v>2.58</v>
      </c>
      <c r="AM826" s="1">
        <v>0</v>
      </c>
      <c r="AN826" s="1">
        <v>0</v>
      </c>
      <c r="AO826" s="1">
        <v>279.95422539999998</v>
      </c>
      <c r="AP826" s="1">
        <v>3.26</v>
      </c>
      <c r="AQ826" s="1">
        <v>0.47</v>
      </c>
      <c r="AR826" s="1">
        <v>7.0000000000000007E-2</v>
      </c>
      <c r="AS826" s="1">
        <v>7.0000000000000007E-2</v>
      </c>
      <c r="AT826" s="1">
        <v>16.32</v>
      </c>
      <c r="AU826" s="1">
        <v>5.44</v>
      </c>
      <c r="AV826" s="1">
        <v>0.27</v>
      </c>
      <c r="AW826" s="1">
        <v>1.58</v>
      </c>
      <c r="AX826" s="1">
        <v>7.71</v>
      </c>
      <c r="AY826" s="1">
        <v>0</v>
      </c>
      <c r="AZ826" s="1">
        <v>124.342</v>
      </c>
      <c r="BA826" s="1">
        <v>0</v>
      </c>
      <c r="BB826" s="1">
        <v>0</v>
      </c>
      <c r="BC826" s="1">
        <v>0</v>
      </c>
      <c r="BD826" s="1">
        <v>0</v>
      </c>
    </row>
    <row r="827" spans="1:56">
      <c r="A827" s="18">
        <v>46192</v>
      </c>
      <c r="B827" s="1">
        <v>826</v>
      </c>
      <c r="C827" s="1" t="s">
        <v>89</v>
      </c>
      <c r="D827" s="1" t="s">
        <v>90</v>
      </c>
      <c r="E827" s="1">
        <v>2</v>
      </c>
      <c r="F827" s="1">
        <v>200</v>
      </c>
      <c r="G827" s="1">
        <v>1</v>
      </c>
      <c r="H827" s="1" t="s">
        <v>91</v>
      </c>
      <c r="I827" s="1" t="s">
        <v>79</v>
      </c>
      <c r="J827" s="1" t="s">
        <v>80</v>
      </c>
      <c r="K827" s="1" t="s">
        <v>74</v>
      </c>
      <c r="L827" s="1" t="s">
        <v>72</v>
      </c>
      <c r="M827" s="1" t="s">
        <v>75</v>
      </c>
      <c r="N827" s="1" t="s">
        <v>82</v>
      </c>
      <c r="O827" s="1" t="s">
        <v>77</v>
      </c>
      <c r="P827" s="1" t="s">
        <v>27</v>
      </c>
      <c r="Q827" s="1" t="s">
        <v>86</v>
      </c>
      <c r="R827" s="1" t="s">
        <v>94</v>
      </c>
      <c r="S827" s="1" t="s">
        <v>87</v>
      </c>
      <c r="T827" s="1" t="s">
        <v>88</v>
      </c>
      <c r="X827" s="1" t="s">
        <v>73</v>
      </c>
      <c r="Z827" s="1" t="s">
        <v>70</v>
      </c>
      <c r="AA827" s="1" t="s">
        <v>95</v>
      </c>
      <c r="AB827" s="1">
        <v>5</v>
      </c>
      <c r="AC827" s="1">
        <v>748824.77</v>
      </c>
      <c r="AD827" s="1">
        <v>8930463.1899999995</v>
      </c>
      <c r="AE827" s="1">
        <v>211.58</v>
      </c>
      <c r="AF827" s="1">
        <v>748824.77</v>
      </c>
      <c r="AG827" s="1">
        <v>8930463.1899999995</v>
      </c>
      <c r="AH827" s="1">
        <v>199.4</v>
      </c>
      <c r="AI827" s="1">
        <v>12.18</v>
      </c>
      <c r="AJ827" s="1">
        <v>0.6</v>
      </c>
      <c r="AK827" s="1">
        <v>2.97</v>
      </c>
      <c r="AL827" s="1">
        <v>2.58</v>
      </c>
      <c r="AM827" s="1">
        <v>0</v>
      </c>
      <c r="AN827" s="1">
        <v>0</v>
      </c>
      <c r="AO827" s="1">
        <v>279.95422539999998</v>
      </c>
      <c r="AP827" s="1">
        <v>3.09</v>
      </c>
      <c r="AQ827" s="1">
        <v>0.33</v>
      </c>
      <c r="AR827" s="1">
        <v>0.05</v>
      </c>
      <c r="AS827" s="1">
        <v>0.04</v>
      </c>
      <c r="AT827" s="1">
        <v>11.47</v>
      </c>
      <c r="AU827" s="1">
        <v>3.92</v>
      </c>
      <c r="AV827" s="1">
        <v>0.19</v>
      </c>
      <c r="AW827" s="1">
        <v>1.2</v>
      </c>
      <c r="AX827" s="1">
        <v>5.14</v>
      </c>
      <c r="AY827" s="1">
        <v>0</v>
      </c>
      <c r="AZ827" s="1">
        <v>126.381</v>
      </c>
      <c r="BA827" s="1">
        <v>0</v>
      </c>
      <c r="BB827" s="1">
        <v>0</v>
      </c>
      <c r="BC827" s="1">
        <v>0</v>
      </c>
      <c r="BD827" s="1">
        <v>0</v>
      </c>
    </row>
    <row r="828" spans="1:56">
      <c r="A828" s="18">
        <v>46192</v>
      </c>
      <c r="B828" s="1">
        <v>827</v>
      </c>
      <c r="C828" s="1" t="s">
        <v>89</v>
      </c>
      <c r="D828" s="1" t="s">
        <v>90</v>
      </c>
      <c r="E828" s="1">
        <v>2</v>
      </c>
      <c r="F828" s="1">
        <v>200</v>
      </c>
      <c r="G828" s="1">
        <v>1</v>
      </c>
      <c r="H828" s="1" t="s">
        <v>91</v>
      </c>
      <c r="I828" s="1" t="s">
        <v>79</v>
      </c>
      <c r="J828" s="1" t="s">
        <v>80</v>
      </c>
      <c r="K828" s="1" t="s">
        <v>74</v>
      </c>
      <c r="L828" s="1" t="s">
        <v>72</v>
      </c>
      <c r="M828" s="1" t="s">
        <v>75</v>
      </c>
      <c r="N828" s="1" t="s">
        <v>82</v>
      </c>
      <c r="O828" s="1" t="s">
        <v>77</v>
      </c>
      <c r="P828" s="1" t="s">
        <v>27</v>
      </c>
      <c r="Q828" s="1" t="s">
        <v>86</v>
      </c>
      <c r="R828" s="1" t="s">
        <v>94</v>
      </c>
      <c r="S828" s="1" t="s">
        <v>87</v>
      </c>
      <c r="T828" s="1" t="s">
        <v>88</v>
      </c>
      <c r="X828" s="1" t="s">
        <v>73</v>
      </c>
      <c r="Z828" s="1" t="s">
        <v>70</v>
      </c>
      <c r="AA828" s="1" t="s">
        <v>95</v>
      </c>
      <c r="AB828" s="1">
        <v>5</v>
      </c>
      <c r="AC828" s="1">
        <v>748823.54</v>
      </c>
      <c r="AD828" s="1">
        <v>8930460.3200000003</v>
      </c>
      <c r="AE828" s="1">
        <v>210.93</v>
      </c>
      <c r="AF828" s="1">
        <v>748823.54</v>
      </c>
      <c r="AG828" s="1">
        <v>8930460.3200000003</v>
      </c>
      <c r="AH828" s="1">
        <v>199.4</v>
      </c>
      <c r="AI828" s="1">
        <v>11.53</v>
      </c>
      <c r="AJ828" s="1">
        <v>0.6</v>
      </c>
      <c r="AK828" s="1">
        <v>2.97</v>
      </c>
      <c r="AL828" s="1">
        <v>2.58</v>
      </c>
      <c r="AM828" s="1">
        <v>0</v>
      </c>
      <c r="AN828" s="1">
        <v>0</v>
      </c>
      <c r="AO828" s="1">
        <v>279.95422539999998</v>
      </c>
      <c r="AP828" s="1">
        <v>3.07</v>
      </c>
      <c r="AQ828" s="1">
        <v>0.32</v>
      </c>
      <c r="AR828" s="1">
        <v>0.05</v>
      </c>
      <c r="AS828" s="1">
        <v>0.04</v>
      </c>
      <c r="AT828" s="1">
        <v>11.56</v>
      </c>
      <c r="AU828" s="1">
        <v>4.0199999999999996</v>
      </c>
      <c r="AV828" s="1">
        <v>0.18</v>
      </c>
      <c r="AW828" s="1">
        <v>1.31</v>
      </c>
      <c r="AX828" s="1">
        <v>3.19</v>
      </c>
      <c r="AY828" s="1">
        <v>0</v>
      </c>
      <c r="AZ828" s="1">
        <v>116.917</v>
      </c>
      <c r="BA828" s="1">
        <v>0</v>
      </c>
      <c r="BB828" s="1">
        <v>0</v>
      </c>
      <c r="BC828" s="1">
        <v>0</v>
      </c>
      <c r="BD828" s="1">
        <v>0</v>
      </c>
    </row>
    <row r="829" spans="1:56">
      <c r="A829" s="18">
        <v>46192</v>
      </c>
      <c r="B829" s="1">
        <v>828</v>
      </c>
      <c r="C829" s="1" t="s">
        <v>89</v>
      </c>
      <c r="D829" s="1" t="s">
        <v>90</v>
      </c>
      <c r="E829" s="1">
        <v>2</v>
      </c>
      <c r="F829" s="1">
        <v>200</v>
      </c>
      <c r="G829" s="1">
        <v>1</v>
      </c>
      <c r="H829" s="1" t="s">
        <v>91</v>
      </c>
      <c r="I829" s="1" t="s">
        <v>79</v>
      </c>
      <c r="J829" s="1" t="s">
        <v>80</v>
      </c>
      <c r="K829" s="1" t="s">
        <v>74</v>
      </c>
      <c r="L829" s="1" t="s">
        <v>72</v>
      </c>
      <c r="M829" s="1" t="s">
        <v>75</v>
      </c>
      <c r="N829" s="1" t="s">
        <v>82</v>
      </c>
      <c r="O829" s="1" t="s">
        <v>77</v>
      </c>
      <c r="P829" s="1" t="s">
        <v>27</v>
      </c>
      <c r="Q829" s="1" t="s">
        <v>86</v>
      </c>
      <c r="R829" s="1" t="s">
        <v>94</v>
      </c>
      <c r="S829" s="1" t="s">
        <v>87</v>
      </c>
      <c r="T829" s="1" t="s">
        <v>88</v>
      </c>
      <c r="X829" s="1" t="s">
        <v>73</v>
      </c>
      <c r="Z829" s="1" t="s">
        <v>70</v>
      </c>
      <c r="AA829" s="1" t="s">
        <v>95</v>
      </c>
      <c r="AB829" s="1">
        <v>5</v>
      </c>
      <c r="AC829" s="1">
        <v>748821.94</v>
      </c>
      <c r="AD829" s="1">
        <v>8930462.8200000003</v>
      </c>
      <c r="AE829" s="1">
        <v>211.35</v>
      </c>
      <c r="AF829" s="1">
        <v>748821.94</v>
      </c>
      <c r="AG829" s="1">
        <v>8930462.8200000003</v>
      </c>
      <c r="AH829" s="1">
        <v>199.4</v>
      </c>
      <c r="AI829" s="1">
        <v>11.95</v>
      </c>
      <c r="AJ829" s="1">
        <v>0.6</v>
      </c>
      <c r="AK829" s="1">
        <v>2.97</v>
      </c>
      <c r="AL829" s="1">
        <v>2.58</v>
      </c>
      <c r="AM829" s="1">
        <v>0</v>
      </c>
      <c r="AN829" s="1">
        <v>0</v>
      </c>
      <c r="AO829" s="1">
        <v>279.95422539999998</v>
      </c>
      <c r="AP829" s="1">
        <v>3.23</v>
      </c>
      <c r="AQ829" s="1">
        <v>0.46</v>
      </c>
      <c r="AR829" s="1">
        <v>7.0000000000000007E-2</v>
      </c>
      <c r="AS829" s="1">
        <v>0.06</v>
      </c>
      <c r="AT829" s="1">
        <v>15.76</v>
      </c>
      <c r="AU829" s="1">
        <v>5.27</v>
      </c>
      <c r="AV829" s="1">
        <v>0.26</v>
      </c>
      <c r="AW829" s="1">
        <v>1.55</v>
      </c>
      <c r="AX829" s="1">
        <v>7.3</v>
      </c>
      <c r="AY829" s="1">
        <v>0</v>
      </c>
      <c r="AZ829" s="1">
        <v>123.032</v>
      </c>
      <c r="BA829" s="1">
        <v>0</v>
      </c>
      <c r="BB829" s="1">
        <v>0</v>
      </c>
      <c r="BC829" s="1">
        <v>0</v>
      </c>
      <c r="BD829" s="1">
        <v>0</v>
      </c>
    </row>
    <row r="830" spans="1:56">
      <c r="A830" s="18">
        <v>46192</v>
      </c>
      <c r="B830" s="1">
        <v>829</v>
      </c>
      <c r="C830" s="1" t="s">
        <v>89</v>
      </c>
      <c r="D830" s="1" t="s">
        <v>90</v>
      </c>
      <c r="E830" s="1">
        <v>2</v>
      </c>
      <c r="F830" s="1">
        <v>200</v>
      </c>
      <c r="G830" s="1">
        <v>1</v>
      </c>
      <c r="H830" s="1" t="s">
        <v>91</v>
      </c>
      <c r="I830" s="1" t="s">
        <v>79</v>
      </c>
      <c r="J830" s="1" t="s">
        <v>80</v>
      </c>
      <c r="K830" s="1" t="s">
        <v>74</v>
      </c>
      <c r="L830" s="1" t="s">
        <v>72</v>
      </c>
      <c r="M830" s="1" t="s">
        <v>75</v>
      </c>
      <c r="N830" s="1" t="s">
        <v>82</v>
      </c>
      <c r="O830" s="1" t="s">
        <v>77</v>
      </c>
      <c r="P830" s="1" t="s">
        <v>27</v>
      </c>
      <c r="Q830" s="1" t="s">
        <v>86</v>
      </c>
      <c r="R830" s="1" t="s">
        <v>94</v>
      </c>
      <c r="S830" s="1" t="s">
        <v>87</v>
      </c>
      <c r="T830" s="1" t="s">
        <v>88</v>
      </c>
      <c r="X830" s="1" t="s">
        <v>73</v>
      </c>
      <c r="Z830" s="1" t="s">
        <v>70</v>
      </c>
      <c r="AA830" s="1" t="s">
        <v>95</v>
      </c>
      <c r="AB830" s="1">
        <v>5</v>
      </c>
      <c r="AC830" s="1">
        <v>748820.34</v>
      </c>
      <c r="AD830" s="1">
        <v>8930465.3200000003</v>
      </c>
      <c r="AE830" s="1">
        <v>211.12</v>
      </c>
      <c r="AF830" s="1">
        <v>748820.34</v>
      </c>
      <c r="AG830" s="1">
        <v>8930465.3200000003</v>
      </c>
      <c r="AH830" s="1">
        <v>199.4</v>
      </c>
      <c r="AI830" s="1">
        <v>11.72</v>
      </c>
      <c r="AJ830" s="1">
        <v>0.6</v>
      </c>
      <c r="AK830" s="1">
        <v>2.97</v>
      </c>
      <c r="AL830" s="1">
        <v>2.58</v>
      </c>
      <c r="AM830" s="1">
        <v>0</v>
      </c>
      <c r="AN830" s="1">
        <v>0</v>
      </c>
      <c r="AO830" s="1">
        <v>279.95422539999998</v>
      </c>
      <c r="AP830" s="1">
        <v>3.29</v>
      </c>
      <c r="AQ830" s="1">
        <v>0.51</v>
      </c>
      <c r="AR830" s="1">
        <v>0.08</v>
      </c>
      <c r="AS830" s="1">
        <v>7.0000000000000007E-2</v>
      </c>
      <c r="AT830" s="1">
        <v>16.920000000000002</v>
      </c>
      <c r="AU830" s="1">
        <v>5.33</v>
      </c>
      <c r="AV830" s="1">
        <v>0.3</v>
      </c>
      <c r="AW830" s="1">
        <v>1.6</v>
      </c>
      <c r="AX830" s="1">
        <v>8.34</v>
      </c>
      <c r="AY830" s="1">
        <v>0</v>
      </c>
      <c r="AZ830" s="1">
        <v>119.68300000000001</v>
      </c>
      <c r="BA830" s="1">
        <v>0</v>
      </c>
      <c r="BB830" s="1">
        <v>0</v>
      </c>
      <c r="BC830" s="1">
        <v>0</v>
      </c>
      <c r="BD830" s="1">
        <v>0</v>
      </c>
    </row>
    <row r="831" spans="1:56">
      <c r="A831" s="18">
        <v>46192</v>
      </c>
      <c r="B831" s="1">
        <v>830</v>
      </c>
      <c r="C831" s="1" t="s">
        <v>89</v>
      </c>
      <c r="D831" s="1" t="s">
        <v>90</v>
      </c>
      <c r="E831" s="1">
        <v>2</v>
      </c>
      <c r="F831" s="1">
        <v>200</v>
      </c>
      <c r="G831" s="1">
        <v>1</v>
      </c>
      <c r="H831" s="1" t="s">
        <v>91</v>
      </c>
      <c r="I831" s="1" t="s">
        <v>79</v>
      </c>
      <c r="J831" s="1" t="s">
        <v>80</v>
      </c>
      <c r="K831" s="1" t="s">
        <v>74</v>
      </c>
      <c r="L831" s="1" t="s">
        <v>72</v>
      </c>
      <c r="M831" s="1" t="s">
        <v>75</v>
      </c>
      <c r="N831" s="1" t="s">
        <v>82</v>
      </c>
      <c r="O831" s="1" t="s">
        <v>77</v>
      </c>
      <c r="P831" s="1" t="s">
        <v>27</v>
      </c>
      <c r="Q831" s="1" t="s">
        <v>86</v>
      </c>
      <c r="R831" s="1" t="s">
        <v>94</v>
      </c>
      <c r="S831" s="1" t="s">
        <v>87</v>
      </c>
      <c r="T831" s="1" t="s">
        <v>88</v>
      </c>
      <c r="X831" s="1" t="s">
        <v>73</v>
      </c>
      <c r="Z831" s="1" t="s">
        <v>70</v>
      </c>
      <c r="AA831" s="1" t="s">
        <v>95</v>
      </c>
      <c r="AB831" s="1">
        <v>5</v>
      </c>
      <c r="AC831" s="1">
        <v>748818.73</v>
      </c>
      <c r="AD831" s="1">
        <v>8930467.8200000003</v>
      </c>
      <c r="AE831" s="1">
        <v>210.98</v>
      </c>
      <c r="AF831" s="1">
        <v>748818.73</v>
      </c>
      <c r="AG831" s="1">
        <v>8930467.8200000003</v>
      </c>
      <c r="AH831" s="1">
        <v>199.4</v>
      </c>
      <c r="AI831" s="1">
        <v>11.58</v>
      </c>
      <c r="AJ831" s="1">
        <v>0.6</v>
      </c>
      <c r="AK831" s="1">
        <v>2.97</v>
      </c>
      <c r="AL831" s="1">
        <v>2.58</v>
      </c>
      <c r="AM831" s="1">
        <v>0</v>
      </c>
      <c r="AN831" s="1">
        <v>0</v>
      </c>
      <c r="AO831" s="1">
        <v>279.95422539999998</v>
      </c>
      <c r="AP831" s="1">
        <v>3.31</v>
      </c>
      <c r="AQ831" s="1">
        <v>0.53</v>
      </c>
      <c r="AR831" s="1">
        <v>0.09</v>
      </c>
      <c r="AS831" s="1">
        <v>0.08</v>
      </c>
      <c r="AT831" s="1">
        <v>17.04</v>
      </c>
      <c r="AU831" s="1">
        <v>5.01</v>
      </c>
      <c r="AV831" s="1">
        <v>0.33</v>
      </c>
      <c r="AW831" s="1">
        <v>1.61</v>
      </c>
      <c r="AX831" s="1">
        <v>8.73</v>
      </c>
      <c r="AY831" s="1">
        <v>0</v>
      </c>
      <c r="AZ831" s="1">
        <v>117.645</v>
      </c>
      <c r="BA831" s="1">
        <v>0</v>
      </c>
      <c r="BB831" s="1">
        <v>0</v>
      </c>
      <c r="BC831" s="1">
        <v>0</v>
      </c>
      <c r="BD831" s="1">
        <v>0</v>
      </c>
    </row>
    <row r="832" spans="1:56">
      <c r="A832" s="18">
        <v>46192</v>
      </c>
      <c r="B832" s="1">
        <v>831</v>
      </c>
      <c r="C832" s="1" t="s">
        <v>89</v>
      </c>
      <c r="D832" s="1" t="s">
        <v>90</v>
      </c>
      <c r="E832" s="1">
        <v>2</v>
      </c>
      <c r="F832" s="1">
        <v>200</v>
      </c>
      <c r="G832" s="1">
        <v>1</v>
      </c>
      <c r="H832" s="1" t="s">
        <v>91</v>
      </c>
      <c r="I832" s="1" t="s">
        <v>79</v>
      </c>
      <c r="J832" s="1" t="s">
        <v>80</v>
      </c>
      <c r="K832" s="1" t="s">
        <v>74</v>
      </c>
      <c r="L832" s="1" t="s">
        <v>72</v>
      </c>
      <c r="M832" s="1" t="s">
        <v>75</v>
      </c>
      <c r="N832" s="1" t="s">
        <v>82</v>
      </c>
      <c r="O832" s="1" t="s">
        <v>77</v>
      </c>
      <c r="P832" s="1" t="s">
        <v>27</v>
      </c>
      <c r="Q832" s="1" t="s">
        <v>86</v>
      </c>
      <c r="R832" s="1" t="s">
        <v>94</v>
      </c>
      <c r="S832" s="1" t="s">
        <v>87</v>
      </c>
      <c r="T832" s="1" t="s">
        <v>88</v>
      </c>
      <c r="X832" s="1" t="s">
        <v>73</v>
      </c>
      <c r="Z832" s="1" t="s">
        <v>70</v>
      </c>
      <c r="AA832" s="1" t="s">
        <v>95</v>
      </c>
      <c r="AB832" s="1">
        <v>5</v>
      </c>
      <c r="AC832" s="1">
        <v>748817.13</v>
      </c>
      <c r="AD832" s="1">
        <v>8930470.3200000003</v>
      </c>
      <c r="AE832" s="1">
        <v>211.04</v>
      </c>
      <c r="AF832" s="1">
        <v>748817.13</v>
      </c>
      <c r="AG832" s="1">
        <v>8930470.3200000003</v>
      </c>
      <c r="AH832" s="1">
        <v>199.4</v>
      </c>
      <c r="AI832" s="1">
        <v>11.64</v>
      </c>
      <c r="AJ832" s="1">
        <v>0.6</v>
      </c>
      <c r="AK832" s="1">
        <v>2.97</v>
      </c>
      <c r="AL832" s="1">
        <v>2.58</v>
      </c>
      <c r="AM832" s="1">
        <v>0</v>
      </c>
      <c r="AN832" s="1">
        <v>0</v>
      </c>
      <c r="AO832" s="1">
        <v>279.95422539999998</v>
      </c>
      <c r="AP832" s="1">
        <v>3.37</v>
      </c>
      <c r="AQ832" s="1">
        <v>0.52</v>
      </c>
      <c r="AR832" s="1">
        <v>0.08</v>
      </c>
      <c r="AS832" s="1">
        <v>7.0000000000000007E-2</v>
      </c>
      <c r="AT832" s="1">
        <v>14.45</v>
      </c>
      <c r="AU832" s="1">
        <v>4.1900000000000004</v>
      </c>
      <c r="AV832" s="1">
        <v>0.28000000000000003</v>
      </c>
      <c r="AW832" s="1">
        <v>1.94</v>
      </c>
      <c r="AX832" s="1">
        <v>9.8800000000000008</v>
      </c>
      <c r="AY832" s="1">
        <v>0</v>
      </c>
      <c r="AZ832" s="1">
        <v>118.518</v>
      </c>
      <c r="BA832" s="1">
        <v>0</v>
      </c>
      <c r="BB832" s="1">
        <v>0</v>
      </c>
      <c r="BC832" s="1">
        <v>0</v>
      </c>
      <c r="BD832" s="1">
        <v>0</v>
      </c>
    </row>
    <row r="833" spans="1:56">
      <c r="A833" s="18">
        <v>46192</v>
      </c>
      <c r="B833" s="1">
        <v>832</v>
      </c>
      <c r="C833" s="1" t="s">
        <v>89</v>
      </c>
      <c r="D833" s="1" t="s">
        <v>90</v>
      </c>
      <c r="E833" s="1">
        <v>2</v>
      </c>
      <c r="F833" s="1">
        <v>200</v>
      </c>
      <c r="G833" s="1">
        <v>1</v>
      </c>
      <c r="H833" s="1" t="s">
        <v>91</v>
      </c>
      <c r="I833" s="1" t="s">
        <v>79</v>
      </c>
      <c r="J833" s="1" t="s">
        <v>80</v>
      </c>
      <c r="K833" s="1" t="s">
        <v>74</v>
      </c>
      <c r="L833" s="1" t="s">
        <v>72</v>
      </c>
      <c r="M833" s="1" t="s">
        <v>75</v>
      </c>
      <c r="N833" s="1" t="s">
        <v>82</v>
      </c>
      <c r="O833" s="1" t="s">
        <v>77</v>
      </c>
      <c r="P833" s="1" t="s">
        <v>27</v>
      </c>
      <c r="Q833" s="1" t="s">
        <v>86</v>
      </c>
      <c r="R833" s="1" t="s">
        <v>94</v>
      </c>
      <c r="S833" s="1" t="s">
        <v>87</v>
      </c>
      <c r="T833" s="1" t="s">
        <v>88</v>
      </c>
      <c r="X833" s="1" t="s">
        <v>73</v>
      </c>
      <c r="Z833" s="1" t="s">
        <v>70</v>
      </c>
      <c r="AA833" s="1" t="s">
        <v>95</v>
      </c>
      <c r="AB833" s="1">
        <v>5</v>
      </c>
      <c r="AC833" s="1">
        <v>748815.53</v>
      </c>
      <c r="AD833" s="1">
        <v>8930472.8200000003</v>
      </c>
      <c r="AE833" s="1">
        <v>210.94</v>
      </c>
      <c r="AF833" s="1">
        <v>748815.53</v>
      </c>
      <c r="AG833" s="1">
        <v>8930472.8200000003</v>
      </c>
      <c r="AH833" s="1">
        <v>199.4</v>
      </c>
      <c r="AI833" s="1">
        <v>11.54</v>
      </c>
      <c r="AJ833" s="1">
        <v>0.6</v>
      </c>
      <c r="AK833" s="1">
        <v>2.97</v>
      </c>
      <c r="AL833" s="1">
        <v>2.58</v>
      </c>
      <c r="AM833" s="1">
        <v>0</v>
      </c>
      <c r="AN833" s="1">
        <v>0</v>
      </c>
      <c r="AO833" s="1">
        <v>279.95422539999998</v>
      </c>
      <c r="AP833" s="1">
        <v>3.41</v>
      </c>
      <c r="AQ833" s="1">
        <v>0.52</v>
      </c>
      <c r="AR833" s="1">
        <v>0.08</v>
      </c>
      <c r="AS833" s="1">
        <v>0.06</v>
      </c>
      <c r="AT833" s="1">
        <v>12.8</v>
      </c>
      <c r="AU833" s="1">
        <v>3.74</v>
      </c>
      <c r="AV833" s="1">
        <v>0.24</v>
      </c>
      <c r="AW833" s="1">
        <v>2.17</v>
      </c>
      <c r="AX833" s="1">
        <v>10.63</v>
      </c>
      <c r="AY833" s="1">
        <v>0</v>
      </c>
      <c r="AZ833" s="1">
        <v>117.062</v>
      </c>
      <c r="BA833" s="1">
        <v>0</v>
      </c>
      <c r="BB833" s="1">
        <v>0</v>
      </c>
      <c r="BC833" s="1">
        <v>0</v>
      </c>
      <c r="BD833" s="1">
        <v>0</v>
      </c>
    </row>
    <row r="834" spans="1:56">
      <c r="A834" s="18">
        <v>46192</v>
      </c>
      <c r="B834" s="1">
        <v>833</v>
      </c>
      <c r="C834" s="1" t="s">
        <v>89</v>
      </c>
      <c r="D834" s="1" t="s">
        <v>90</v>
      </c>
      <c r="E834" s="1">
        <v>2</v>
      </c>
      <c r="F834" s="1">
        <v>200</v>
      </c>
      <c r="G834" s="1">
        <v>1</v>
      </c>
      <c r="H834" s="1" t="s">
        <v>91</v>
      </c>
      <c r="I834" s="1" t="s">
        <v>79</v>
      </c>
      <c r="J834" s="1" t="s">
        <v>80</v>
      </c>
      <c r="K834" s="1" t="s">
        <v>74</v>
      </c>
      <c r="L834" s="1" t="s">
        <v>72</v>
      </c>
      <c r="M834" s="1" t="s">
        <v>75</v>
      </c>
      <c r="N834" s="1" t="s">
        <v>82</v>
      </c>
      <c r="O834" s="1" t="s">
        <v>77</v>
      </c>
      <c r="P834" s="1" t="s">
        <v>27</v>
      </c>
      <c r="Q834" s="1" t="s">
        <v>86</v>
      </c>
      <c r="R834" s="1" t="s">
        <v>94</v>
      </c>
      <c r="S834" s="1" t="s">
        <v>87</v>
      </c>
      <c r="T834" s="1" t="s">
        <v>88</v>
      </c>
      <c r="X834" s="1" t="s">
        <v>73</v>
      </c>
      <c r="Z834" s="1" t="s">
        <v>70</v>
      </c>
      <c r="AA834" s="1" t="s">
        <v>95</v>
      </c>
      <c r="AB834" s="1">
        <v>5</v>
      </c>
      <c r="AC834" s="1">
        <v>748813.92</v>
      </c>
      <c r="AD834" s="1">
        <v>8930475.3200000003</v>
      </c>
      <c r="AE834" s="1">
        <v>210.4</v>
      </c>
      <c r="AF834" s="1">
        <v>748813.92</v>
      </c>
      <c r="AG834" s="1">
        <v>8930475.3200000003</v>
      </c>
      <c r="AH834" s="1">
        <v>199.4</v>
      </c>
      <c r="AI834" s="1">
        <v>11</v>
      </c>
      <c r="AJ834" s="1">
        <v>0.6</v>
      </c>
      <c r="AK834" s="1">
        <v>2.97</v>
      </c>
      <c r="AL834" s="1">
        <v>2.58</v>
      </c>
      <c r="AM834" s="1">
        <v>0</v>
      </c>
      <c r="AN834" s="1">
        <v>0</v>
      </c>
      <c r="AO834" s="1">
        <v>279.95422539999998</v>
      </c>
      <c r="AP834" s="1">
        <v>3.42</v>
      </c>
      <c r="AQ834" s="1">
        <v>0.52</v>
      </c>
      <c r="AR834" s="1">
        <v>0.08</v>
      </c>
      <c r="AS834" s="1">
        <v>0.06</v>
      </c>
      <c r="AT834" s="1">
        <v>12.74</v>
      </c>
      <c r="AU834" s="1">
        <v>3.71</v>
      </c>
      <c r="AV834" s="1">
        <v>0.24</v>
      </c>
      <c r="AW834" s="1">
        <v>2.16</v>
      </c>
      <c r="AX834" s="1">
        <v>10.71</v>
      </c>
      <c r="AY834" s="1">
        <v>0</v>
      </c>
      <c r="AZ834" s="1">
        <v>109.2</v>
      </c>
      <c r="BA834" s="1">
        <v>0</v>
      </c>
      <c r="BB834" s="1">
        <v>0</v>
      </c>
      <c r="BC834" s="1">
        <v>0</v>
      </c>
      <c r="BD834" s="1">
        <v>0</v>
      </c>
    </row>
    <row r="835" spans="1:56">
      <c r="A835" s="18">
        <v>46192</v>
      </c>
      <c r="B835" s="1">
        <v>834</v>
      </c>
      <c r="C835" s="1" t="s">
        <v>89</v>
      </c>
      <c r="D835" s="1" t="s">
        <v>90</v>
      </c>
      <c r="E835" s="1">
        <v>2</v>
      </c>
      <c r="F835" s="1">
        <v>200</v>
      </c>
      <c r="G835" s="1">
        <v>1</v>
      </c>
      <c r="H835" s="1" t="s">
        <v>91</v>
      </c>
      <c r="I835" s="1" t="s">
        <v>79</v>
      </c>
      <c r="J835" s="1" t="s">
        <v>80</v>
      </c>
      <c r="K835" s="1" t="s">
        <v>74</v>
      </c>
      <c r="L835" s="1" t="s">
        <v>72</v>
      </c>
      <c r="M835" s="1" t="s">
        <v>75</v>
      </c>
      <c r="N835" s="1" t="s">
        <v>82</v>
      </c>
      <c r="O835" s="1" t="s">
        <v>77</v>
      </c>
      <c r="P835" s="1" t="s">
        <v>27</v>
      </c>
      <c r="Q835" s="1" t="s">
        <v>86</v>
      </c>
      <c r="R835" s="1" t="s">
        <v>94</v>
      </c>
      <c r="S835" s="1" t="s">
        <v>87</v>
      </c>
      <c r="T835" s="1" t="s">
        <v>88</v>
      </c>
      <c r="X835" s="1" t="s">
        <v>73</v>
      </c>
      <c r="Z835" s="1" t="s">
        <v>70</v>
      </c>
      <c r="AA835" s="1" t="s">
        <v>95</v>
      </c>
      <c r="AB835" s="1">
        <v>5</v>
      </c>
      <c r="AC835" s="1">
        <v>748812.32</v>
      </c>
      <c r="AD835" s="1">
        <v>8930477.8200000003</v>
      </c>
      <c r="AE835" s="1">
        <v>210.4</v>
      </c>
      <c r="AF835" s="1">
        <v>748812.32</v>
      </c>
      <c r="AG835" s="1">
        <v>8930477.8200000003</v>
      </c>
      <c r="AH835" s="1">
        <v>199.4</v>
      </c>
      <c r="AI835" s="1">
        <v>11</v>
      </c>
      <c r="AJ835" s="1">
        <v>0.6</v>
      </c>
      <c r="AK835" s="1">
        <v>2.97</v>
      </c>
      <c r="AL835" s="1">
        <v>2.58</v>
      </c>
      <c r="AM835" s="1">
        <v>0</v>
      </c>
      <c r="AN835" s="1">
        <v>0</v>
      </c>
      <c r="AO835" s="1">
        <v>279.95422539999998</v>
      </c>
      <c r="AP835" s="1">
        <v>3.42</v>
      </c>
      <c r="AQ835" s="1">
        <v>0.52</v>
      </c>
      <c r="AR835" s="1">
        <v>0.08</v>
      </c>
      <c r="AS835" s="1">
        <v>0.06</v>
      </c>
      <c r="AT835" s="1">
        <v>12.74</v>
      </c>
      <c r="AU835" s="1">
        <v>3.71</v>
      </c>
      <c r="AV835" s="1">
        <v>0.24</v>
      </c>
      <c r="AW835" s="1">
        <v>2.16</v>
      </c>
      <c r="AX835" s="1">
        <v>10.71</v>
      </c>
      <c r="AY835" s="1">
        <v>0</v>
      </c>
      <c r="AZ835" s="1">
        <v>109.2</v>
      </c>
      <c r="BA835" s="1">
        <v>0</v>
      </c>
      <c r="BB835" s="1">
        <v>0</v>
      </c>
      <c r="BC835" s="1">
        <v>0</v>
      </c>
      <c r="BD835" s="1">
        <v>0</v>
      </c>
    </row>
    <row r="836" spans="1:56">
      <c r="A836" s="18">
        <v>46192</v>
      </c>
      <c r="B836" s="1">
        <v>835</v>
      </c>
      <c r="C836" s="1" t="s">
        <v>89</v>
      </c>
      <c r="D836" s="1" t="s">
        <v>90</v>
      </c>
      <c r="E836" s="1">
        <v>2</v>
      </c>
      <c r="F836" s="1">
        <v>200</v>
      </c>
      <c r="G836" s="1">
        <v>1</v>
      </c>
      <c r="H836" s="1" t="s">
        <v>91</v>
      </c>
      <c r="I836" s="1" t="s">
        <v>79</v>
      </c>
      <c r="J836" s="1" t="s">
        <v>80</v>
      </c>
      <c r="K836" s="1" t="s">
        <v>74</v>
      </c>
      <c r="L836" s="1" t="s">
        <v>72</v>
      </c>
      <c r="M836" s="1" t="s">
        <v>75</v>
      </c>
      <c r="N836" s="1" t="s">
        <v>82</v>
      </c>
      <c r="O836" s="1" t="s">
        <v>77</v>
      </c>
      <c r="P836" s="1" t="s">
        <v>27</v>
      </c>
      <c r="Q836" s="1" t="s">
        <v>86</v>
      </c>
      <c r="R836" s="1" t="s">
        <v>94</v>
      </c>
      <c r="S836" s="1" t="s">
        <v>87</v>
      </c>
      <c r="T836" s="1" t="s">
        <v>88</v>
      </c>
      <c r="X836" s="1" t="s">
        <v>73</v>
      </c>
      <c r="Z836" s="1" t="s">
        <v>70</v>
      </c>
      <c r="AA836" s="1" t="s">
        <v>95</v>
      </c>
      <c r="AB836" s="1">
        <v>5</v>
      </c>
      <c r="AC836" s="1">
        <v>748810.72</v>
      </c>
      <c r="AD836" s="1">
        <v>8930480.3200000003</v>
      </c>
      <c r="AE836" s="1">
        <v>210.35</v>
      </c>
      <c r="AF836" s="1">
        <v>748810.72</v>
      </c>
      <c r="AG836" s="1">
        <v>8930480.3200000003</v>
      </c>
      <c r="AH836" s="1">
        <v>199.4</v>
      </c>
      <c r="AI836" s="1">
        <v>10.95</v>
      </c>
      <c r="AJ836" s="1">
        <v>0.6</v>
      </c>
      <c r="AK836" s="1">
        <v>2.97</v>
      </c>
      <c r="AL836" s="1">
        <v>2.58</v>
      </c>
      <c r="AM836" s="1">
        <v>0</v>
      </c>
      <c r="AN836" s="1">
        <v>0</v>
      </c>
      <c r="AO836" s="1">
        <v>279.95422539999998</v>
      </c>
      <c r="AP836" s="1">
        <v>3.39</v>
      </c>
      <c r="AQ836" s="1">
        <v>0.59</v>
      </c>
      <c r="AR836" s="1">
        <v>0.09</v>
      </c>
      <c r="AS836" s="1">
        <v>0.06</v>
      </c>
      <c r="AT836" s="1">
        <v>14.47</v>
      </c>
      <c r="AU836" s="1">
        <v>4.57</v>
      </c>
      <c r="AV836" s="1">
        <v>0.26</v>
      </c>
      <c r="AW836" s="1">
        <v>2.2599999999999998</v>
      </c>
      <c r="AX836" s="1">
        <v>9.51</v>
      </c>
      <c r="AY836" s="1">
        <v>0</v>
      </c>
      <c r="AZ836" s="1">
        <v>108.47199999999999</v>
      </c>
      <c r="BA836" s="1">
        <v>0</v>
      </c>
      <c r="BB836" s="1">
        <v>0</v>
      </c>
      <c r="BC836" s="1">
        <v>0</v>
      </c>
      <c r="BD836" s="1">
        <v>0</v>
      </c>
    </row>
    <row r="837" spans="1:56">
      <c r="A837" s="18">
        <v>46192</v>
      </c>
      <c r="B837" s="1">
        <v>836</v>
      </c>
      <c r="C837" s="1" t="s">
        <v>89</v>
      </c>
      <c r="D837" s="1" t="s">
        <v>90</v>
      </c>
      <c r="E837" s="1">
        <v>2</v>
      </c>
      <c r="F837" s="1">
        <v>200</v>
      </c>
      <c r="G837" s="1">
        <v>1</v>
      </c>
      <c r="H837" s="1" t="s">
        <v>91</v>
      </c>
      <c r="I837" s="1" t="s">
        <v>79</v>
      </c>
      <c r="J837" s="1" t="s">
        <v>80</v>
      </c>
      <c r="K837" s="1" t="s">
        <v>74</v>
      </c>
      <c r="L837" s="1" t="s">
        <v>72</v>
      </c>
      <c r="M837" s="1" t="s">
        <v>75</v>
      </c>
      <c r="N837" s="1" t="s">
        <v>82</v>
      </c>
      <c r="O837" s="1" t="s">
        <v>77</v>
      </c>
      <c r="P837" s="1" t="s">
        <v>27</v>
      </c>
      <c r="Q837" s="1" t="s">
        <v>86</v>
      </c>
      <c r="R837" s="1" t="s">
        <v>94</v>
      </c>
      <c r="S837" s="1" t="s">
        <v>87</v>
      </c>
      <c r="T837" s="1" t="s">
        <v>88</v>
      </c>
      <c r="X837" s="1" t="s">
        <v>73</v>
      </c>
      <c r="Z837" s="1" t="s">
        <v>70</v>
      </c>
      <c r="AA837" s="1" t="s">
        <v>95</v>
      </c>
      <c r="AB837" s="1">
        <v>5</v>
      </c>
      <c r="AC837" s="1">
        <v>748809.11</v>
      </c>
      <c r="AD837" s="1">
        <v>8930482.8200000003</v>
      </c>
      <c r="AE837" s="1">
        <v>210.28</v>
      </c>
      <c r="AF837" s="1">
        <v>748809.11</v>
      </c>
      <c r="AG837" s="1">
        <v>8930482.8200000003</v>
      </c>
      <c r="AH837" s="1">
        <v>199.4</v>
      </c>
      <c r="AI837" s="1">
        <v>10.88</v>
      </c>
      <c r="AJ837" s="1">
        <v>0.6</v>
      </c>
      <c r="AK837" s="1">
        <v>2.97</v>
      </c>
      <c r="AL837" s="1">
        <v>2.58</v>
      </c>
      <c r="AM837" s="1">
        <v>0</v>
      </c>
      <c r="AN837" s="1">
        <v>0</v>
      </c>
      <c r="AO837" s="1">
        <v>279.95422539999998</v>
      </c>
      <c r="AP837" s="1">
        <v>3.38</v>
      </c>
      <c r="AQ837" s="1">
        <v>0.65</v>
      </c>
      <c r="AR837" s="1">
        <v>0.09</v>
      </c>
      <c r="AS837" s="1">
        <v>7.0000000000000007E-2</v>
      </c>
      <c r="AT837" s="1">
        <v>15.43</v>
      </c>
      <c r="AU837" s="1">
        <v>5.21</v>
      </c>
      <c r="AV837" s="1">
        <v>0.28999999999999998</v>
      </c>
      <c r="AW837" s="1">
        <v>2.2799999999999998</v>
      </c>
      <c r="AX837" s="1">
        <v>8.67</v>
      </c>
      <c r="AY837" s="1">
        <v>0</v>
      </c>
      <c r="AZ837" s="1">
        <v>107.453</v>
      </c>
      <c r="BA837" s="1">
        <v>0</v>
      </c>
      <c r="BB837" s="1">
        <v>0</v>
      </c>
      <c r="BC837" s="1">
        <v>0</v>
      </c>
      <c r="BD837" s="1">
        <v>0</v>
      </c>
    </row>
    <row r="838" spans="1:56">
      <c r="A838" s="18">
        <v>46192</v>
      </c>
      <c r="B838" s="1">
        <v>837</v>
      </c>
      <c r="C838" s="1" t="s">
        <v>89</v>
      </c>
      <c r="D838" s="1" t="s">
        <v>90</v>
      </c>
      <c r="E838" s="1">
        <v>2</v>
      </c>
      <c r="F838" s="1">
        <v>200</v>
      </c>
      <c r="G838" s="1">
        <v>1</v>
      </c>
      <c r="H838" s="1" t="s">
        <v>91</v>
      </c>
      <c r="I838" s="1" t="s">
        <v>79</v>
      </c>
      <c r="J838" s="1" t="s">
        <v>80</v>
      </c>
      <c r="K838" s="1" t="s">
        <v>74</v>
      </c>
      <c r="L838" s="1" t="s">
        <v>72</v>
      </c>
      <c r="M838" s="1" t="s">
        <v>75</v>
      </c>
      <c r="N838" s="1" t="s">
        <v>82</v>
      </c>
      <c r="O838" s="1" t="s">
        <v>77</v>
      </c>
      <c r="P838" s="1" t="s">
        <v>27</v>
      </c>
      <c r="Q838" s="1" t="s">
        <v>86</v>
      </c>
      <c r="R838" s="1" t="s">
        <v>94</v>
      </c>
      <c r="S838" s="1" t="s">
        <v>87</v>
      </c>
      <c r="T838" s="1" t="s">
        <v>88</v>
      </c>
      <c r="X838" s="1" t="s">
        <v>73</v>
      </c>
      <c r="Z838" s="1" t="s">
        <v>70</v>
      </c>
      <c r="AA838" s="1" t="s">
        <v>95</v>
      </c>
      <c r="AB838" s="1">
        <v>5</v>
      </c>
      <c r="AC838" s="1">
        <v>748807.68000000005</v>
      </c>
      <c r="AD838" s="1">
        <v>8930485.5</v>
      </c>
      <c r="AE838" s="1">
        <v>210.48</v>
      </c>
      <c r="AF838" s="1">
        <v>748807.68000000005</v>
      </c>
      <c r="AG838" s="1">
        <v>8930485.5</v>
      </c>
      <c r="AH838" s="1">
        <v>199.4</v>
      </c>
      <c r="AI838" s="1">
        <v>11.08</v>
      </c>
      <c r="AJ838" s="1">
        <v>0.6</v>
      </c>
      <c r="AK838" s="1">
        <v>2.97</v>
      </c>
      <c r="AL838" s="1">
        <v>2.58</v>
      </c>
      <c r="AM838" s="1">
        <v>0</v>
      </c>
      <c r="AN838" s="1">
        <v>0</v>
      </c>
      <c r="AO838" s="1">
        <v>279.95422539999998</v>
      </c>
      <c r="AP838" s="1">
        <v>3.37</v>
      </c>
      <c r="AQ838" s="1">
        <v>0.67</v>
      </c>
      <c r="AR838" s="1">
        <v>0.09</v>
      </c>
      <c r="AS838" s="1">
        <v>7.0000000000000007E-2</v>
      </c>
      <c r="AT838" s="1">
        <v>15.6</v>
      </c>
      <c r="AU838" s="1">
        <v>5.36</v>
      </c>
      <c r="AV838" s="1">
        <v>0.3</v>
      </c>
      <c r="AW838" s="1">
        <v>2.2599999999999998</v>
      </c>
      <c r="AX838" s="1">
        <v>8.33</v>
      </c>
      <c r="AY838" s="1">
        <v>0</v>
      </c>
      <c r="AZ838" s="1">
        <v>110.36499999999999</v>
      </c>
      <c r="BA838" s="1">
        <v>0</v>
      </c>
      <c r="BB838" s="1">
        <v>0</v>
      </c>
      <c r="BC838" s="1">
        <v>0</v>
      </c>
      <c r="BD838" s="1">
        <v>0</v>
      </c>
    </row>
    <row r="839" spans="1:56">
      <c r="A839" s="18">
        <v>46192</v>
      </c>
      <c r="B839" s="1">
        <v>838</v>
      </c>
      <c r="C839" s="1" t="s">
        <v>89</v>
      </c>
      <c r="D839" s="1" t="s">
        <v>90</v>
      </c>
      <c r="E839" s="1">
        <v>2</v>
      </c>
      <c r="F839" s="1">
        <v>200</v>
      </c>
      <c r="G839" s="1">
        <v>1</v>
      </c>
      <c r="H839" s="1" t="s">
        <v>91</v>
      </c>
      <c r="I839" s="1" t="s">
        <v>79</v>
      </c>
      <c r="J839" s="1" t="s">
        <v>80</v>
      </c>
      <c r="K839" s="1" t="s">
        <v>74</v>
      </c>
      <c r="L839" s="1" t="s">
        <v>72</v>
      </c>
      <c r="M839" s="1" t="s">
        <v>75</v>
      </c>
      <c r="N839" s="1" t="s">
        <v>82</v>
      </c>
      <c r="O839" s="1" t="s">
        <v>77</v>
      </c>
      <c r="P839" s="1" t="s">
        <v>27</v>
      </c>
      <c r="Q839" s="1" t="s">
        <v>86</v>
      </c>
      <c r="R839" s="1" t="s">
        <v>94</v>
      </c>
      <c r="S839" s="1" t="s">
        <v>87</v>
      </c>
      <c r="T839" s="1" t="s">
        <v>88</v>
      </c>
      <c r="X839" s="1" t="s">
        <v>73</v>
      </c>
      <c r="Z839" s="1" t="s">
        <v>70</v>
      </c>
      <c r="AA839" s="1" t="s">
        <v>95</v>
      </c>
      <c r="AB839" s="1">
        <v>5</v>
      </c>
      <c r="AC839" s="1">
        <v>748806.44</v>
      </c>
      <c r="AD839" s="1">
        <v>8930488.3100000005</v>
      </c>
      <c r="AE839" s="1">
        <v>210.02</v>
      </c>
      <c r="AF839" s="1">
        <v>748806.44</v>
      </c>
      <c r="AG839" s="1">
        <v>8930488.3100000005</v>
      </c>
      <c r="AH839" s="1">
        <v>199.4</v>
      </c>
      <c r="AI839" s="1">
        <v>10.62</v>
      </c>
      <c r="AJ839" s="1">
        <v>0.6</v>
      </c>
      <c r="AK839" s="1">
        <v>2.97</v>
      </c>
      <c r="AL839" s="1">
        <v>2.58</v>
      </c>
      <c r="AM839" s="1">
        <v>0</v>
      </c>
      <c r="AN839" s="1">
        <v>0</v>
      </c>
      <c r="AO839" s="1">
        <v>279.95422539999998</v>
      </c>
      <c r="AP839" s="1">
        <v>3.38</v>
      </c>
      <c r="AQ839" s="1">
        <v>0.68</v>
      </c>
      <c r="AR839" s="1">
        <v>0.1</v>
      </c>
      <c r="AS839" s="1">
        <v>7.0000000000000007E-2</v>
      </c>
      <c r="AT839" s="1">
        <v>15.84</v>
      </c>
      <c r="AU839" s="1">
        <v>5.38</v>
      </c>
      <c r="AV839" s="1">
        <v>0.31</v>
      </c>
      <c r="AW839" s="1">
        <v>2.2400000000000002</v>
      </c>
      <c r="AX839" s="1">
        <v>8.3000000000000007</v>
      </c>
      <c r="AY839" s="1">
        <v>0</v>
      </c>
      <c r="AZ839" s="1">
        <v>103.667</v>
      </c>
      <c r="BA839" s="1">
        <v>0</v>
      </c>
      <c r="BB839" s="1">
        <v>0</v>
      </c>
      <c r="BC839" s="1">
        <v>0</v>
      </c>
      <c r="BD839" s="1">
        <v>0</v>
      </c>
    </row>
    <row r="840" spans="1:56">
      <c r="A840" s="18">
        <v>46192</v>
      </c>
      <c r="B840" s="1">
        <v>839</v>
      </c>
      <c r="C840" s="1" t="s">
        <v>89</v>
      </c>
      <c r="D840" s="1" t="s">
        <v>90</v>
      </c>
      <c r="E840" s="1">
        <v>2</v>
      </c>
      <c r="F840" s="1">
        <v>200</v>
      </c>
      <c r="G840" s="1">
        <v>1</v>
      </c>
      <c r="H840" s="1" t="s">
        <v>91</v>
      </c>
      <c r="I840" s="1" t="s">
        <v>79</v>
      </c>
      <c r="J840" s="1" t="s">
        <v>80</v>
      </c>
      <c r="K840" s="1" t="s">
        <v>74</v>
      </c>
      <c r="L840" s="1" t="s">
        <v>72</v>
      </c>
      <c r="M840" s="1" t="s">
        <v>75</v>
      </c>
      <c r="N840" s="1" t="s">
        <v>82</v>
      </c>
      <c r="O840" s="1" t="s">
        <v>77</v>
      </c>
      <c r="P840" s="1" t="s">
        <v>27</v>
      </c>
      <c r="Q840" s="1" t="s">
        <v>86</v>
      </c>
      <c r="R840" s="1" t="s">
        <v>94</v>
      </c>
      <c r="S840" s="1" t="s">
        <v>87</v>
      </c>
      <c r="T840" s="1" t="s">
        <v>88</v>
      </c>
      <c r="X840" s="1" t="s">
        <v>73</v>
      </c>
      <c r="Z840" s="1" t="s">
        <v>70</v>
      </c>
      <c r="AA840" s="1" t="s">
        <v>95</v>
      </c>
      <c r="AB840" s="1">
        <v>5</v>
      </c>
      <c r="AC840" s="1">
        <v>748813.24</v>
      </c>
      <c r="AD840" s="1">
        <v>8930472.9800000004</v>
      </c>
      <c r="AE840" s="1">
        <v>210.37</v>
      </c>
      <c r="AF840" s="1">
        <v>748813.24</v>
      </c>
      <c r="AG840" s="1">
        <v>8930472.9800000004</v>
      </c>
      <c r="AH840" s="1">
        <v>199.4</v>
      </c>
      <c r="AI840" s="1">
        <v>10.97</v>
      </c>
      <c r="AJ840" s="1">
        <v>0.6</v>
      </c>
      <c r="AK840" s="1">
        <v>2.97</v>
      </c>
      <c r="AL840" s="1">
        <v>2.58</v>
      </c>
      <c r="AM840" s="1">
        <v>0</v>
      </c>
      <c r="AN840" s="1">
        <v>0</v>
      </c>
      <c r="AO840" s="1">
        <v>279.95422539999998</v>
      </c>
      <c r="AP840" s="1">
        <v>3.42</v>
      </c>
      <c r="AQ840" s="1">
        <v>0.52</v>
      </c>
      <c r="AR840" s="1">
        <v>0.08</v>
      </c>
      <c r="AS840" s="1">
        <v>0.06</v>
      </c>
      <c r="AT840" s="1">
        <v>12.74</v>
      </c>
      <c r="AU840" s="1">
        <v>3.71</v>
      </c>
      <c r="AV840" s="1">
        <v>0.24</v>
      </c>
      <c r="AW840" s="1">
        <v>2.16</v>
      </c>
      <c r="AX840" s="1">
        <v>10.72</v>
      </c>
      <c r="AY840" s="1">
        <v>0</v>
      </c>
      <c r="AZ840" s="1">
        <v>108.76300000000001</v>
      </c>
      <c r="BA840" s="1">
        <v>0</v>
      </c>
      <c r="BB840" s="1">
        <v>0</v>
      </c>
      <c r="BC840" s="1">
        <v>0</v>
      </c>
      <c r="BD840" s="1">
        <v>0</v>
      </c>
    </row>
    <row r="841" spans="1:56">
      <c r="A841" s="18">
        <v>46192</v>
      </c>
      <c r="B841" s="1">
        <v>840</v>
      </c>
      <c r="C841" s="1" t="s">
        <v>89</v>
      </c>
      <c r="D841" s="1" t="s">
        <v>90</v>
      </c>
      <c r="E841" s="1">
        <v>2</v>
      </c>
      <c r="F841" s="1">
        <v>200</v>
      </c>
      <c r="G841" s="1">
        <v>1</v>
      </c>
      <c r="H841" s="1" t="s">
        <v>91</v>
      </c>
      <c r="I841" s="1" t="s">
        <v>79</v>
      </c>
      <c r="J841" s="1" t="s">
        <v>80</v>
      </c>
      <c r="K841" s="1" t="s">
        <v>74</v>
      </c>
      <c r="L841" s="1" t="s">
        <v>72</v>
      </c>
      <c r="M841" s="1" t="s">
        <v>75</v>
      </c>
      <c r="N841" s="1" t="s">
        <v>82</v>
      </c>
      <c r="O841" s="1" t="s">
        <v>77</v>
      </c>
      <c r="P841" s="1" t="s">
        <v>27</v>
      </c>
      <c r="Q841" s="1" t="s">
        <v>86</v>
      </c>
      <c r="R841" s="1" t="s">
        <v>94</v>
      </c>
      <c r="S841" s="1" t="s">
        <v>87</v>
      </c>
      <c r="T841" s="1" t="s">
        <v>88</v>
      </c>
      <c r="X841" s="1" t="s">
        <v>73</v>
      </c>
      <c r="Z841" s="1" t="s">
        <v>70</v>
      </c>
      <c r="AA841" s="1" t="s">
        <v>95</v>
      </c>
      <c r="AB841" s="1">
        <v>5</v>
      </c>
      <c r="AC841" s="1">
        <v>748814.5</v>
      </c>
      <c r="AD841" s="1">
        <v>8930470.1400000006</v>
      </c>
      <c r="AE841" s="1">
        <v>210.57</v>
      </c>
      <c r="AF841" s="1">
        <v>748814.5</v>
      </c>
      <c r="AG841" s="1">
        <v>8930470.1400000006</v>
      </c>
      <c r="AH841" s="1">
        <v>199.4</v>
      </c>
      <c r="AI841" s="1">
        <v>11.17</v>
      </c>
      <c r="AJ841" s="1">
        <v>0.6</v>
      </c>
      <c r="AK841" s="1">
        <v>2.97</v>
      </c>
      <c r="AL841" s="1">
        <v>2.58</v>
      </c>
      <c r="AM841" s="1">
        <v>0</v>
      </c>
      <c r="AN841" s="1">
        <v>0</v>
      </c>
      <c r="AO841" s="1">
        <v>279.95422539999998</v>
      </c>
      <c r="AP841" s="1">
        <v>3.37</v>
      </c>
      <c r="AQ841" s="1">
        <v>0.52</v>
      </c>
      <c r="AR841" s="1">
        <v>0.08</v>
      </c>
      <c r="AS841" s="1">
        <v>7.0000000000000007E-2</v>
      </c>
      <c r="AT841" s="1">
        <v>14.62</v>
      </c>
      <c r="AU841" s="1">
        <v>4.2300000000000004</v>
      </c>
      <c r="AV841" s="1">
        <v>0.28000000000000003</v>
      </c>
      <c r="AW841" s="1">
        <v>1.9</v>
      </c>
      <c r="AX841" s="1">
        <v>9.82</v>
      </c>
      <c r="AY841" s="1">
        <v>0</v>
      </c>
      <c r="AZ841" s="1">
        <v>111.675</v>
      </c>
      <c r="BA841" s="1">
        <v>0</v>
      </c>
      <c r="BB841" s="1">
        <v>0</v>
      </c>
      <c r="BC841" s="1">
        <v>0</v>
      </c>
      <c r="BD841" s="1">
        <v>0</v>
      </c>
    </row>
    <row r="842" spans="1:56">
      <c r="A842" s="18">
        <v>46192</v>
      </c>
      <c r="B842" s="1">
        <v>841</v>
      </c>
      <c r="C842" s="1" t="s">
        <v>89</v>
      </c>
      <c r="D842" s="1" t="s">
        <v>90</v>
      </c>
      <c r="E842" s="1">
        <v>2</v>
      </c>
      <c r="F842" s="1">
        <v>200</v>
      </c>
      <c r="G842" s="1">
        <v>1</v>
      </c>
      <c r="H842" s="1" t="s">
        <v>91</v>
      </c>
      <c r="I842" s="1" t="s">
        <v>79</v>
      </c>
      <c r="J842" s="1" t="s">
        <v>80</v>
      </c>
      <c r="K842" s="1" t="s">
        <v>74</v>
      </c>
      <c r="L842" s="1" t="s">
        <v>72</v>
      </c>
      <c r="M842" s="1" t="s">
        <v>75</v>
      </c>
      <c r="N842" s="1" t="s">
        <v>82</v>
      </c>
      <c r="O842" s="1" t="s">
        <v>77</v>
      </c>
      <c r="P842" s="1" t="s">
        <v>27</v>
      </c>
      <c r="Q842" s="1" t="s">
        <v>86</v>
      </c>
      <c r="R842" s="1" t="s">
        <v>94</v>
      </c>
      <c r="S842" s="1" t="s">
        <v>87</v>
      </c>
      <c r="T842" s="1" t="s">
        <v>88</v>
      </c>
      <c r="X842" s="1" t="s">
        <v>73</v>
      </c>
      <c r="Z842" s="1" t="s">
        <v>70</v>
      </c>
      <c r="AA842" s="1" t="s">
        <v>95</v>
      </c>
      <c r="AB842" s="1">
        <v>5</v>
      </c>
      <c r="AC842" s="1">
        <v>748815.9</v>
      </c>
      <c r="AD842" s="1">
        <v>8930467.4499999993</v>
      </c>
      <c r="AE842" s="1">
        <v>210.67</v>
      </c>
      <c r="AF842" s="1">
        <v>748815.9</v>
      </c>
      <c r="AG842" s="1">
        <v>8930467.4499999993</v>
      </c>
      <c r="AH842" s="1">
        <v>199.4</v>
      </c>
      <c r="AI842" s="1">
        <v>11.27</v>
      </c>
      <c r="AJ842" s="1">
        <v>0.6</v>
      </c>
      <c r="AK842" s="1">
        <v>2.97</v>
      </c>
      <c r="AL842" s="1">
        <v>2.58</v>
      </c>
      <c r="AM842" s="1">
        <v>0</v>
      </c>
      <c r="AN842" s="1">
        <v>0</v>
      </c>
      <c r="AO842" s="1">
        <v>279.95422539999998</v>
      </c>
      <c r="AP842" s="1">
        <v>3.31</v>
      </c>
      <c r="AQ842" s="1">
        <v>0.53</v>
      </c>
      <c r="AR842" s="1">
        <v>0.09</v>
      </c>
      <c r="AS842" s="1">
        <v>0.08</v>
      </c>
      <c r="AT842" s="1">
        <v>16.91</v>
      </c>
      <c r="AU842" s="1">
        <v>4.8499999999999996</v>
      </c>
      <c r="AV842" s="1">
        <v>0.33</v>
      </c>
      <c r="AW842" s="1">
        <v>1.58</v>
      </c>
      <c r="AX842" s="1">
        <v>8.76</v>
      </c>
      <c r="AY842" s="1">
        <v>0</v>
      </c>
      <c r="AZ842" s="1">
        <v>113.131</v>
      </c>
      <c r="BA842" s="1">
        <v>0</v>
      </c>
      <c r="BB842" s="1">
        <v>0</v>
      </c>
      <c r="BC842" s="1">
        <v>0</v>
      </c>
      <c r="BD842" s="1">
        <v>0</v>
      </c>
    </row>
    <row r="843" spans="1:56">
      <c r="A843" s="18">
        <v>46192</v>
      </c>
      <c r="B843" s="1">
        <v>842</v>
      </c>
      <c r="C843" s="1" t="s">
        <v>89</v>
      </c>
      <c r="D843" s="1" t="s">
        <v>90</v>
      </c>
      <c r="E843" s="1">
        <v>2</v>
      </c>
      <c r="F843" s="1">
        <v>200</v>
      </c>
      <c r="G843" s="1">
        <v>1</v>
      </c>
      <c r="H843" s="1" t="s">
        <v>91</v>
      </c>
      <c r="I843" s="1" t="s">
        <v>79</v>
      </c>
      <c r="J843" s="1" t="s">
        <v>80</v>
      </c>
      <c r="K843" s="1" t="s">
        <v>74</v>
      </c>
      <c r="L843" s="1" t="s">
        <v>72</v>
      </c>
      <c r="M843" s="1" t="s">
        <v>75</v>
      </c>
      <c r="N843" s="1" t="s">
        <v>82</v>
      </c>
      <c r="O843" s="1" t="s">
        <v>77</v>
      </c>
      <c r="P843" s="1" t="s">
        <v>27</v>
      </c>
      <c r="Q843" s="1" t="s">
        <v>86</v>
      </c>
      <c r="R843" s="1" t="s">
        <v>94</v>
      </c>
      <c r="S843" s="1" t="s">
        <v>87</v>
      </c>
      <c r="T843" s="1" t="s">
        <v>88</v>
      </c>
      <c r="X843" s="1" t="s">
        <v>73</v>
      </c>
      <c r="Z843" s="1" t="s">
        <v>70</v>
      </c>
      <c r="AA843" s="1" t="s">
        <v>95</v>
      </c>
      <c r="AB843" s="1">
        <v>5</v>
      </c>
      <c r="AC843" s="1">
        <v>748817.51</v>
      </c>
      <c r="AD843" s="1">
        <v>8930464.9499999993</v>
      </c>
      <c r="AE843" s="1">
        <v>210.68</v>
      </c>
      <c r="AF843" s="1">
        <v>748817.51</v>
      </c>
      <c r="AG843" s="1">
        <v>8930464.9499999993</v>
      </c>
      <c r="AH843" s="1">
        <v>199.4</v>
      </c>
      <c r="AI843" s="1">
        <v>11.28</v>
      </c>
      <c r="AJ843" s="1">
        <v>0.6</v>
      </c>
      <c r="AK843" s="1">
        <v>2.97</v>
      </c>
      <c r="AL843" s="1">
        <v>2.58</v>
      </c>
      <c r="AM843" s="1">
        <v>0</v>
      </c>
      <c r="AN843" s="1">
        <v>0</v>
      </c>
      <c r="AO843" s="1">
        <v>279.95422539999998</v>
      </c>
      <c r="AP843" s="1">
        <v>3.31</v>
      </c>
      <c r="AQ843" s="1">
        <v>0.53</v>
      </c>
      <c r="AR843" s="1">
        <v>0.09</v>
      </c>
      <c r="AS843" s="1">
        <v>0.08</v>
      </c>
      <c r="AT843" s="1">
        <v>16.89</v>
      </c>
      <c r="AU843" s="1">
        <v>4.84</v>
      </c>
      <c r="AV843" s="1">
        <v>0.33</v>
      </c>
      <c r="AW843" s="1">
        <v>1.58</v>
      </c>
      <c r="AX843" s="1">
        <v>8.75</v>
      </c>
      <c r="AY843" s="1">
        <v>0</v>
      </c>
      <c r="AZ843" s="1">
        <v>113.277</v>
      </c>
      <c r="BA843" s="1">
        <v>0</v>
      </c>
      <c r="BB843" s="1">
        <v>0</v>
      </c>
      <c r="BC843" s="1">
        <v>0</v>
      </c>
      <c r="BD843" s="1">
        <v>0</v>
      </c>
    </row>
    <row r="844" spans="1:56">
      <c r="A844" s="18">
        <v>46192</v>
      </c>
      <c r="B844" s="1">
        <v>843</v>
      </c>
      <c r="C844" s="1" t="s">
        <v>89</v>
      </c>
      <c r="D844" s="1" t="s">
        <v>90</v>
      </c>
      <c r="E844" s="1">
        <v>2</v>
      </c>
      <c r="F844" s="1">
        <v>200</v>
      </c>
      <c r="G844" s="1">
        <v>1</v>
      </c>
      <c r="H844" s="1" t="s">
        <v>91</v>
      </c>
      <c r="I844" s="1" t="s">
        <v>79</v>
      </c>
      <c r="J844" s="1" t="s">
        <v>80</v>
      </c>
      <c r="K844" s="1" t="s">
        <v>74</v>
      </c>
      <c r="L844" s="1" t="s">
        <v>72</v>
      </c>
      <c r="M844" s="1" t="s">
        <v>75</v>
      </c>
      <c r="N844" s="1" t="s">
        <v>82</v>
      </c>
      <c r="O844" s="1" t="s">
        <v>77</v>
      </c>
      <c r="P844" s="1" t="s">
        <v>27</v>
      </c>
      <c r="Q844" s="1" t="s">
        <v>86</v>
      </c>
      <c r="R844" s="1" t="s">
        <v>94</v>
      </c>
      <c r="S844" s="1" t="s">
        <v>87</v>
      </c>
      <c r="T844" s="1" t="s">
        <v>88</v>
      </c>
      <c r="X844" s="1" t="s">
        <v>73</v>
      </c>
      <c r="Z844" s="1" t="s">
        <v>70</v>
      </c>
      <c r="AA844" s="1" t="s">
        <v>95</v>
      </c>
      <c r="AB844" s="1">
        <v>5</v>
      </c>
      <c r="AC844" s="1">
        <v>748819.11</v>
      </c>
      <c r="AD844" s="1">
        <v>8930462.4499999993</v>
      </c>
      <c r="AE844" s="1">
        <v>210.79</v>
      </c>
      <c r="AF844" s="1">
        <v>748819.11</v>
      </c>
      <c r="AG844" s="1">
        <v>8930462.4499999993</v>
      </c>
      <c r="AH844" s="1">
        <v>199.4</v>
      </c>
      <c r="AI844" s="1">
        <v>11.39</v>
      </c>
      <c r="AJ844" s="1">
        <v>0.6</v>
      </c>
      <c r="AK844" s="1">
        <v>2.97</v>
      </c>
      <c r="AL844" s="1">
        <v>2.58</v>
      </c>
      <c r="AM844" s="1">
        <v>0</v>
      </c>
      <c r="AN844" s="1">
        <v>0</v>
      </c>
      <c r="AO844" s="1">
        <v>279.95422539999998</v>
      </c>
      <c r="AP844" s="1">
        <v>3.29</v>
      </c>
      <c r="AQ844" s="1">
        <v>0.51</v>
      </c>
      <c r="AR844" s="1">
        <v>0.08</v>
      </c>
      <c r="AS844" s="1">
        <v>0.08</v>
      </c>
      <c r="AT844" s="1">
        <v>16.57</v>
      </c>
      <c r="AU844" s="1">
        <v>4.93</v>
      </c>
      <c r="AV844" s="1">
        <v>0.32</v>
      </c>
      <c r="AW844" s="1">
        <v>1.55</v>
      </c>
      <c r="AX844" s="1">
        <v>8.4</v>
      </c>
      <c r="AY844" s="1">
        <v>0</v>
      </c>
      <c r="AZ844" s="1">
        <v>114.878</v>
      </c>
      <c r="BA844" s="1">
        <v>0</v>
      </c>
      <c r="BB844" s="1">
        <v>0</v>
      </c>
      <c r="BC844" s="1">
        <v>0</v>
      </c>
      <c r="BD844" s="1">
        <v>0</v>
      </c>
    </row>
    <row r="845" spans="1:56">
      <c r="A845" s="18">
        <v>46192</v>
      </c>
      <c r="B845" s="1">
        <v>844</v>
      </c>
      <c r="C845" s="1" t="s">
        <v>89</v>
      </c>
      <c r="D845" s="1" t="s">
        <v>90</v>
      </c>
      <c r="E845" s="1">
        <v>2</v>
      </c>
      <c r="F845" s="1">
        <v>200</v>
      </c>
      <c r="G845" s="1">
        <v>1</v>
      </c>
      <c r="H845" s="1" t="s">
        <v>91</v>
      </c>
      <c r="I845" s="1" t="s">
        <v>79</v>
      </c>
      <c r="J845" s="1" t="s">
        <v>80</v>
      </c>
      <c r="K845" s="1" t="s">
        <v>74</v>
      </c>
      <c r="L845" s="1" t="s">
        <v>72</v>
      </c>
      <c r="M845" s="1" t="s">
        <v>75</v>
      </c>
      <c r="N845" s="1" t="s">
        <v>82</v>
      </c>
      <c r="O845" s="1" t="s">
        <v>77</v>
      </c>
      <c r="P845" s="1" t="s">
        <v>27</v>
      </c>
      <c r="Q845" s="1" t="s">
        <v>86</v>
      </c>
      <c r="R845" s="1" t="s">
        <v>94</v>
      </c>
      <c r="S845" s="1" t="s">
        <v>87</v>
      </c>
      <c r="T845" s="1" t="s">
        <v>88</v>
      </c>
      <c r="X845" s="1" t="s">
        <v>73</v>
      </c>
      <c r="Z845" s="1" t="s">
        <v>70</v>
      </c>
      <c r="AA845" s="1" t="s">
        <v>95</v>
      </c>
      <c r="AB845" s="1">
        <v>5</v>
      </c>
      <c r="AC845" s="1">
        <v>748820.71</v>
      </c>
      <c r="AD845" s="1">
        <v>8930459.9499999993</v>
      </c>
      <c r="AE845" s="1">
        <v>210.67</v>
      </c>
      <c r="AF845" s="1">
        <v>748820.71</v>
      </c>
      <c r="AG845" s="1">
        <v>8930459.9499999993</v>
      </c>
      <c r="AH845" s="1">
        <v>199.4</v>
      </c>
      <c r="AI845" s="1">
        <v>11.27</v>
      </c>
      <c r="AJ845" s="1">
        <v>0.6</v>
      </c>
      <c r="AK845" s="1">
        <v>2.97</v>
      </c>
      <c r="AL845" s="1">
        <v>2.58</v>
      </c>
      <c r="AM845" s="1">
        <v>0</v>
      </c>
      <c r="AN845" s="1">
        <v>0</v>
      </c>
      <c r="AO845" s="1">
        <v>279.95422539999998</v>
      </c>
      <c r="AP845" s="1">
        <v>3.19</v>
      </c>
      <c r="AQ845" s="1">
        <v>0.44</v>
      </c>
      <c r="AR845" s="1">
        <v>7.0000000000000007E-2</v>
      </c>
      <c r="AS845" s="1">
        <v>0.06</v>
      </c>
      <c r="AT845" s="1">
        <v>15.64</v>
      </c>
      <c r="AU845" s="1">
        <v>5.09</v>
      </c>
      <c r="AV845" s="1">
        <v>0.25</v>
      </c>
      <c r="AW845" s="1">
        <v>1.6</v>
      </c>
      <c r="AX845" s="1">
        <v>5.07</v>
      </c>
      <c r="AY845" s="1">
        <v>0</v>
      </c>
      <c r="AZ845" s="1">
        <v>113.131</v>
      </c>
      <c r="BA845" s="1">
        <v>0</v>
      </c>
      <c r="BB845" s="1">
        <v>0</v>
      </c>
      <c r="BC845" s="1">
        <v>0</v>
      </c>
      <c r="BD845" s="1">
        <v>0</v>
      </c>
    </row>
    <row r="846" spans="1:56">
      <c r="A846" s="18">
        <v>46192</v>
      </c>
      <c r="B846" s="1">
        <v>845</v>
      </c>
      <c r="C846" s="1" t="s">
        <v>89</v>
      </c>
      <c r="D846" s="1" t="s">
        <v>90</v>
      </c>
      <c r="E846" s="1">
        <v>2</v>
      </c>
      <c r="F846" s="1">
        <v>200</v>
      </c>
      <c r="G846" s="1">
        <v>1</v>
      </c>
      <c r="H846" s="1" t="s">
        <v>91</v>
      </c>
      <c r="I846" s="1" t="s">
        <v>79</v>
      </c>
      <c r="J846" s="1" t="s">
        <v>80</v>
      </c>
      <c r="K846" s="1" t="s">
        <v>74</v>
      </c>
      <c r="L846" s="1" t="s">
        <v>72</v>
      </c>
      <c r="M846" s="1" t="s">
        <v>75</v>
      </c>
      <c r="N846" s="1" t="s">
        <v>82</v>
      </c>
      <c r="O846" s="1" t="s">
        <v>77</v>
      </c>
      <c r="P846" s="1" t="s">
        <v>27</v>
      </c>
      <c r="Q846" s="1" t="s">
        <v>86</v>
      </c>
      <c r="R846" s="1" t="s">
        <v>94</v>
      </c>
      <c r="S846" s="1" t="s">
        <v>87</v>
      </c>
      <c r="T846" s="1" t="s">
        <v>88</v>
      </c>
      <c r="X846" s="1" t="s">
        <v>73</v>
      </c>
      <c r="Z846" s="1" t="s">
        <v>70</v>
      </c>
      <c r="AA846" s="1" t="s">
        <v>95</v>
      </c>
      <c r="AB846" s="1">
        <v>5</v>
      </c>
      <c r="AC846" s="1">
        <v>748822.32</v>
      </c>
      <c r="AD846" s="1">
        <v>8930457.4499999993</v>
      </c>
      <c r="AE846" s="1">
        <v>210.54</v>
      </c>
      <c r="AF846" s="1">
        <v>748822.32</v>
      </c>
      <c r="AG846" s="1">
        <v>8930457.4499999993</v>
      </c>
      <c r="AH846" s="1">
        <v>199.4</v>
      </c>
      <c r="AI846" s="1">
        <v>11.14</v>
      </c>
      <c r="AJ846" s="1">
        <v>0.6</v>
      </c>
      <c r="AK846" s="1">
        <v>2.97</v>
      </c>
      <c r="AL846" s="1">
        <v>2.58</v>
      </c>
      <c r="AM846" s="1">
        <v>0</v>
      </c>
      <c r="AN846" s="1">
        <v>0</v>
      </c>
      <c r="AO846" s="1">
        <v>279.95422539999998</v>
      </c>
      <c r="AP846" s="1">
        <v>3.01</v>
      </c>
      <c r="AQ846" s="1">
        <v>0.28000000000000003</v>
      </c>
      <c r="AR846" s="1">
        <v>0.04</v>
      </c>
      <c r="AS846" s="1">
        <v>0.04</v>
      </c>
      <c r="AT846" s="1">
        <v>10.77</v>
      </c>
      <c r="AU846" s="1">
        <v>3.8</v>
      </c>
      <c r="AV846" s="1">
        <v>0.15</v>
      </c>
      <c r="AW846" s="1">
        <v>1.31</v>
      </c>
      <c r="AX846" s="1">
        <v>0</v>
      </c>
      <c r="AY846" s="1">
        <v>0</v>
      </c>
      <c r="AZ846" s="1">
        <v>111.238</v>
      </c>
      <c r="BA846" s="1">
        <v>0</v>
      </c>
      <c r="BB846" s="1">
        <v>0</v>
      </c>
      <c r="BC846" s="1">
        <v>0</v>
      </c>
      <c r="BD846" s="1">
        <v>0</v>
      </c>
    </row>
    <row r="847" spans="1:56">
      <c r="A847" s="18">
        <v>46192</v>
      </c>
      <c r="B847" s="1">
        <v>846</v>
      </c>
      <c r="C847" s="1" t="s">
        <v>89</v>
      </c>
      <c r="D847" s="1" t="s">
        <v>90</v>
      </c>
      <c r="E847" s="1">
        <v>2</v>
      </c>
      <c r="F847" s="1">
        <v>200</v>
      </c>
      <c r="G847" s="1">
        <v>1</v>
      </c>
      <c r="H847" s="1" t="s">
        <v>91</v>
      </c>
      <c r="I847" s="1" t="s">
        <v>28</v>
      </c>
      <c r="J847" s="1" t="s">
        <v>71</v>
      </c>
      <c r="K847" s="1" t="s">
        <v>74</v>
      </c>
      <c r="L847" s="1" t="s">
        <v>72</v>
      </c>
      <c r="M847" s="1" t="s">
        <v>75</v>
      </c>
      <c r="N847" s="1" t="s">
        <v>82</v>
      </c>
      <c r="O847" s="1" t="s">
        <v>77</v>
      </c>
      <c r="P847" s="1" t="s">
        <v>27</v>
      </c>
      <c r="Q847" s="1" t="s">
        <v>86</v>
      </c>
      <c r="R847" s="1" t="s">
        <v>94</v>
      </c>
      <c r="S847" s="1" t="s">
        <v>87</v>
      </c>
      <c r="T847" s="1" t="s">
        <v>88</v>
      </c>
      <c r="X847" s="1" t="s">
        <v>73</v>
      </c>
      <c r="Z847" s="1" t="s">
        <v>70</v>
      </c>
      <c r="AA847" s="1" t="s">
        <v>95</v>
      </c>
      <c r="AB847" s="1">
        <v>5</v>
      </c>
      <c r="AC847" s="1">
        <v>748821.31</v>
      </c>
      <c r="AD847" s="1">
        <v>8930454.7899999991</v>
      </c>
      <c r="AE847" s="1">
        <v>210.47</v>
      </c>
      <c r="AF847" s="1">
        <v>748821.31</v>
      </c>
      <c r="AG847" s="1">
        <v>8930454.7899999991</v>
      </c>
      <c r="AH847" s="1">
        <v>199.4</v>
      </c>
      <c r="AI847" s="1">
        <v>11.07</v>
      </c>
      <c r="AJ847" s="1">
        <v>0.6</v>
      </c>
      <c r="AK847" s="1">
        <v>2.97</v>
      </c>
      <c r="AL847" s="1">
        <v>2.58</v>
      </c>
      <c r="AM847" s="1">
        <v>0</v>
      </c>
      <c r="AN847" s="1">
        <v>0</v>
      </c>
      <c r="AO847" s="1">
        <v>279.95422539999998</v>
      </c>
      <c r="AP847" s="1">
        <v>2.98</v>
      </c>
      <c r="AQ847" s="1">
        <v>0.24</v>
      </c>
      <c r="AR847" s="1">
        <v>0.03</v>
      </c>
      <c r="AS847" s="1">
        <v>0.03</v>
      </c>
      <c r="AT847" s="1">
        <v>9.4700000000000006</v>
      </c>
      <c r="AU847" s="1">
        <v>3.4</v>
      </c>
      <c r="AV847" s="1">
        <v>0.13</v>
      </c>
      <c r="AW847" s="1">
        <v>1.23</v>
      </c>
      <c r="AX847" s="1">
        <v>0.57999999999999996</v>
      </c>
      <c r="AY847" s="1">
        <v>0</v>
      </c>
      <c r="AZ847" s="1">
        <v>110.21899999999999</v>
      </c>
      <c r="BA847" s="1">
        <v>0</v>
      </c>
      <c r="BB847" s="1">
        <v>0</v>
      </c>
      <c r="BC847" s="1">
        <v>0</v>
      </c>
      <c r="BD847" s="1">
        <v>0</v>
      </c>
    </row>
    <row r="848" spans="1:56">
      <c r="A848" s="18">
        <v>46192</v>
      </c>
      <c r="B848" s="1">
        <v>847</v>
      </c>
      <c r="C848" s="1" t="s">
        <v>89</v>
      </c>
      <c r="D848" s="1" t="s">
        <v>90</v>
      </c>
      <c r="E848" s="1">
        <v>2</v>
      </c>
      <c r="F848" s="1">
        <v>200</v>
      </c>
      <c r="G848" s="1">
        <v>1</v>
      </c>
      <c r="H848" s="1" t="s">
        <v>91</v>
      </c>
      <c r="I848" s="1" t="s">
        <v>79</v>
      </c>
      <c r="J848" s="1" t="s">
        <v>80</v>
      </c>
      <c r="K848" s="1" t="s">
        <v>74</v>
      </c>
      <c r="L848" s="1" t="s">
        <v>72</v>
      </c>
      <c r="M848" s="1" t="s">
        <v>75</v>
      </c>
      <c r="N848" s="1" t="s">
        <v>82</v>
      </c>
      <c r="O848" s="1" t="s">
        <v>77</v>
      </c>
      <c r="P848" s="1" t="s">
        <v>27</v>
      </c>
      <c r="Q848" s="1" t="s">
        <v>86</v>
      </c>
      <c r="R848" s="1" t="s">
        <v>94</v>
      </c>
      <c r="S848" s="1" t="s">
        <v>87</v>
      </c>
      <c r="T848" s="1" t="s">
        <v>88</v>
      </c>
      <c r="X848" s="1" t="s">
        <v>73</v>
      </c>
      <c r="Z848" s="1" t="s">
        <v>70</v>
      </c>
      <c r="AA848" s="1" t="s">
        <v>95</v>
      </c>
      <c r="AB848" s="1">
        <v>5</v>
      </c>
      <c r="AC848" s="1">
        <v>748820.06</v>
      </c>
      <c r="AD848" s="1">
        <v>8930457.6300000008</v>
      </c>
      <c r="AE848" s="1">
        <v>210.47</v>
      </c>
      <c r="AF848" s="1">
        <v>748820.06</v>
      </c>
      <c r="AG848" s="1">
        <v>8930457.6300000008</v>
      </c>
      <c r="AH848" s="1">
        <v>199.4</v>
      </c>
      <c r="AI848" s="1">
        <v>11.07</v>
      </c>
      <c r="AJ848" s="1">
        <v>0.6</v>
      </c>
      <c r="AK848" s="1">
        <v>2.97</v>
      </c>
      <c r="AL848" s="1">
        <v>2.58</v>
      </c>
      <c r="AM848" s="1">
        <v>0</v>
      </c>
      <c r="AN848" s="1">
        <v>0</v>
      </c>
      <c r="AO848" s="1">
        <v>279.95422539999998</v>
      </c>
      <c r="AP848" s="1">
        <v>3.13</v>
      </c>
      <c r="AQ848" s="1">
        <v>0.4</v>
      </c>
      <c r="AR848" s="1">
        <v>0.06</v>
      </c>
      <c r="AS848" s="1">
        <v>0.06</v>
      </c>
      <c r="AT848" s="1">
        <v>14.97</v>
      </c>
      <c r="AU848" s="1">
        <v>4.9400000000000004</v>
      </c>
      <c r="AV848" s="1">
        <v>0.21</v>
      </c>
      <c r="AW848" s="1">
        <v>1.69</v>
      </c>
      <c r="AX848" s="1">
        <v>3.73</v>
      </c>
      <c r="AY848" s="1">
        <v>0</v>
      </c>
      <c r="AZ848" s="1">
        <v>110.21899999999999</v>
      </c>
      <c r="BA848" s="1">
        <v>0</v>
      </c>
      <c r="BB848" s="1">
        <v>0</v>
      </c>
      <c r="BC848" s="1">
        <v>0</v>
      </c>
      <c r="BD848" s="1">
        <v>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370A-3B2F-4AF5-A1C2-633E4FBA4F2E}">
  <dimension ref="A1:D1"/>
  <sheetViews>
    <sheetView workbookViewId="0">
      <selection sqref="A1:D1048576"/>
    </sheetView>
  </sheetViews>
  <sheetFormatPr defaultRowHeight="14.25"/>
  <cols>
    <col min="1" max="1" width="9.125" style="1"/>
    <col min="2" max="2" width="9.625" style="1" bestFit="1" customWidth="1"/>
    <col min="3" max="3" width="10.625" style="1" bestFit="1" customWidth="1"/>
    <col min="4" max="4" width="9.25" style="1" bestFit="1" customWidth="1"/>
  </cols>
  <sheetData/>
  <sortState ref="P1:S100">
    <sortCondition ref="P1:P100"/>
  </sortState>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06C1-8792-409D-8D67-B3000151BEBF}">
  <sheetPr>
    <pageSetUpPr fitToPage="1"/>
  </sheetPr>
  <dimension ref="A1:AD1395"/>
  <sheetViews>
    <sheetView showGridLines="0" view="pageBreakPreview" zoomScaleNormal="100" zoomScaleSheetLayoutView="100" workbookViewId="0">
      <selection activeCell="B4" sqref="B4"/>
    </sheetView>
  </sheetViews>
  <sheetFormatPr defaultColWidth="0" defaultRowHeight="15" customHeight="1" zeroHeight="1"/>
  <cols>
    <col min="1" max="1" width="1.75" customWidth="1"/>
    <col min="2" max="5" width="7.25" customWidth="1"/>
    <col min="6" max="6" width="8.875" bestFit="1" customWidth="1"/>
    <col min="7" max="8" width="10.75" customWidth="1"/>
    <col min="9" max="12" width="7.25" customWidth="1"/>
    <col min="13" max="13" width="8.875" bestFit="1" customWidth="1"/>
    <col min="14" max="15" width="10.75" customWidth="1"/>
    <col min="16" max="19" width="7.25" customWidth="1"/>
    <col min="20" max="20" width="8.875" bestFit="1" customWidth="1"/>
    <col min="21" max="22" width="10.75" customWidth="1"/>
    <col min="23" max="23" width="1.75" customWidth="1"/>
    <col min="24" max="30" width="0" hidden="1" customWidth="1"/>
    <col min="31" max="16384" width="9.125" hidden="1"/>
  </cols>
  <sheetData>
    <row r="1" spans="2:22" ht="30" customHeight="1">
      <c r="B1" s="22" t="str">
        <f>'PROJETO PERFURAÇÃO'!$C$2&amp;" - "&amp;'PROJETO PERFURAÇÃO'!$H$2</f>
        <v>LIB037 - PP0370626</v>
      </c>
      <c r="C1" s="22"/>
      <c r="D1" s="22"/>
      <c r="E1" s="22"/>
      <c r="F1" s="22"/>
      <c r="G1" s="22"/>
      <c r="H1" s="22"/>
      <c r="I1" s="11" t="s">
        <v>34</v>
      </c>
      <c r="J1" s="10" t="s">
        <v>37</v>
      </c>
    </row>
    <row r="2" spans="2:22" ht="30" customHeight="1">
      <c r="B2" s="22"/>
      <c r="C2" s="22"/>
      <c r="D2" s="22"/>
      <c r="E2" s="22"/>
      <c r="F2" s="22"/>
      <c r="G2" s="22"/>
      <c r="H2" s="22"/>
      <c r="I2" s="12" t="s">
        <v>35</v>
      </c>
      <c r="J2" s="10" t="s">
        <v>38</v>
      </c>
      <c r="K2" s="9"/>
      <c r="L2" s="9"/>
      <c r="M2" s="9"/>
      <c r="N2" s="9"/>
      <c r="O2" s="9"/>
      <c r="P2" s="9"/>
      <c r="Q2" s="9"/>
      <c r="R2" s="9"/>
      <c r="S2" s="9"/>
      <c r="T2" s="9"/>
      <c r="U2" s="9"/>
      <c r="V2" s="9"/>
    </row>
    <row r="3" spans="2:22" ht="30" customHeight="1">
      <c r="B3" s="22"/>
      <c r="C3" s="22"/>
      <c r="D3" s="22"/>
      <c r="E3" s="22"/>
      <c r="F3" s="22"/>
      <c r="G3" s="22"/>
      <c r="H3" s="22"/>
      <c r="I3" s="13" t="s">
        <v>36</v>
      </c>
      <c r="J3" s="10" t="s">
        <v>39</v>
      </c>
    </row>
    <row r="4" spans="2:22" s="1" customFormat="1" ht="30" customHeight="1">
      <c r="B4" s="6" t="s">
        <v>33</v>
      </c>
      <c r="C4" s="6" t="s">
        <v>13</v>
      </c>
      <c r="D4" s="7" t="s">
        <v>1</v>
      </c>
      <c r="E4" s="7" t="s">
        <v>29</v>
      </c>
      <c r="F4" s="7" t="s">
        <v>30</v>
      </c>
      <c r="G4" s="7" t="s">
        <v>31</v>
      </c>
      <c r="H4" s="7" t="s">
        <v>32</v>
      </c>
      <c r="I4" s="6" t="s">
        <v>33</v>
      </c>
      <c r="J4" s="6" t="s">
        <v>13</v>
      </c>
      <c r="K4" s="7" t="s">
        <v>1</v>
      </c>
      <c r="L4" s="7" t="s">
        <v>29</v>
      </c>
      <c r="M4" s="7" t="s">
        <v>30</v>
      </c>
      <c r="N4" s="7" t="s">
        <v>31</v>
      </c>
      <c r="O4" s="7" t="s">
        <v>32</v>
      </c>
      <c r="P4" s="6" t="s">
        <v>33</v>
      </c>
      <c r="Q4" s="6" t="s">
        <v>13</v>
      </c>
      <c r="R4" s="7" t="s">
        <v>1</v>
      </c>
      <c r="S4" s="7" t="s">
        <v>29</v>
      </c>
      <c r="T4" s="7" t="s">
        <v>30</v>
      </c>
      <c r="U4" s="7" t="s">
        <v>31</v>
      </c>
      <c r="V4" s="7" t="s">
        <v>32</v>
      </c>
    </row>
    <row r="5" spans="2:22" ht="45" customHeight="1">
      <c r="B5" s="3" t="str">
        <f>IFERROR(ROUND(INDEX('PROJETO PERFURAÇÃO'!$AB:$AB,MATCH(MEDIÇÃO!D5,'PROJETO PERFURAÇÃO'!$B:$B,0)),1)&amp;"''","")</f>
        <v>5''</v>
      </c>
      <c r="C5" s="3" t="str">
        <f>IFERROR(IF(INDEX('PROJETO PERFURAÇÃO'!$P:$P,MATCH(MEDIÇÃO!D5,'PROJETO PERFURAÇÃO'!$B:$B,0))="Production","P",IF(INDEX('PROJETO PERFURAÇÃO'!$P:$P,MATCH(MEDIÇÃO!D5,'PROJETO PERFURAÇÃO'!$B:$B,0))="Buffer","B",IF(INDEX('PROJETO PERFURAÇÃO'!$P:$P,MATCH(MEDIÇÃO!D5,'PROJETO PERFURAÇÃO'!$B:$B,0))="Pre-Splitting","S"))),"")</f>
        <v>S</v>
      </c>
      <c r="D5" s="5">
        <v>1</v>
      </c>
      <c r="E5" s="4" t="str">
        <f>IFERROR(INDEX('LEV R&amp;D'!$D:$D,MATCH(MEDIÇÃO!D5,'LEV R&amp;D'!$A:$A,0))-INDEX('PROJETO PERFURAÇÃO'!$AH:$AH,MATCH(MEDIÇÃO!D5,'PROJETO PERFURAÇÃO'!$B:$B,0)),"")</f>
        <v/>
      </c>
      <c r="F5" s="17">
        <f>IFERROR(INDEX('PROJETO PERFURAÇÃO'!$AN:$AN,MATCH(MEDIÇÃO!D5,'PROJETO PERFURAÇÃO'!$B:$B,0)),"")</f>
        <v>13.73</v>
      </c>
      <c r="G5" s="3"/>
      <c r="H5" s="3"/>
      <c r="I5" s="3" t="str">
        <f>IFERROR(ROUND(INDEX('PROJETO PERFURAÇÃO'!$AB:$AB,MATCH(MEDIÇÃO!K5,'PROJETO PERFURAÇÃO'!$B:$B,0)),1)&amp;"''","")</f>
        <v>5''</v>
      </c>
      <c r="J5" s="3" t="str">
        <f>IFERROR(IF(INDEX('PROJETO PERFURAÇÃO'!$P:$P,MATCH(MEDIÇÃO!K5,'PROJETO PERFURAÇÃO'!$B:$B,0))="Production","P",IF(INDEX('PROJETO PERFURAÇÃO'!$P:$P,MATCH(MEDIÇÃO!K5,'PROJETO PERFURAÇÃO'!$B:$B,0))="Buffer","B",IF(INDEX('PROJETO PERFURAÇÃO'!$P:$P,MATCH(MEDIÇÃO!K5,'PROJETO PERFURAÇÃO'!$B:$B,0))="Pre-Splitting","S"))),"")</f>
        <v>S</v>
      </c>
      <c r="K5" s="5">
        <f>D27+1</f>
        <v>24</v>
      </c>
      <c r="L5" s="4" t="str">
        <f>IFERROR(INDEX('LEV R&amp;D'!$D:$D,MATCH(MEDIÇÃO!K5,'LEV R&amp;D'!$A:$A,0))-INDEX('PROJETO PERFURAÇÃO'!$AH:$AH,MATCH(MEDIÇÃO!K5,'PROJETO PERFURAÇÃO'!$B:$B,0)),"")</f>
        <v/>
      </c>
      <c r="M5" s="17">
        <f>IFERROR(INDEX('PROJETO PERFURAÇÃO'!$AN:$AN,MATCH(MEDIÇÃO!K5,'PROJETO PERFURAÇÃO'!$B:$B,0)),"")</f>
        <v>14.21</v>
      </c>
      <c r="N5" s="3"/>
      <c r="O5" s="3"/>
      <c r="P5" s="3" t="str">
        <f>IFERROR(ROUND(INDEX('PROJETO PERFURAÇÃO'!$AB:$AB,MATCH(MEDIÇÃO!R5,'PROJETO PERFURAÇÃO'!$B:$B,0)),1)&amp;"''","")</f>
        <v>5''</v>
      </c>
      <c r="Q5" s="3" t="str">
        <f>IFERROR(IF(INDEX('PROJETO PERFURAÇÃO'!$P:$P,MATCH(MEDIÇÃO!R5,'PROJETO PERFURAÇÃO'!$B:$B,0))="Production","P",IF(INDEX('PROJETO PERFURAÇÃO'!$P:$P,MATCH(MEDIÇÃO!R5,'PROJETO PERFURAÇÃO'!$B:$B,0))="Buffer","B",IF(INDEX('PROJETO PERFURAÇÃO'!$P:$P,MATCH(MEDIÇÃO!R5,'PROJETO PERFURAÇÃO'!$B:$B,0))="Pre-Splitting","S"))),"")</f>
        <v>S</v>
      </c>
      <c r="R5" s="5">
        <f>K27+1</f>
        <v>47</v>
      </c>
      <c r="S5" s="4" t="str">
        <f>IFERROR(INDEX('LEV R&amp;D'!$D:$D,MATCH(MEDIÇÃO!R5,'LEV R&amp;D'!$A:$A,0))-INDEX('PROJETO PERFURAÇÃO'!$AH:$AH,MATCH(MEDIÇÃO!R5,'PROJETO PERFURAÇÃO'!$B:$B,0)),"")</f>
        <v/>
      </c>
      <c r="T5" s="17">
        <f>IFERROR(INDEX('PROJETO PERFURAÇÃO'!$AN:$AN,MATCH(MEDIÇÃO!R5,'PROJETO PERFURAÇÃO'!$B:$B,0)),"")</f>
        <v>13.17</v>
      </c>
      <c r="U5" s="3"/>
      <c r="V5" s="3"/>
    </row>
    <row r="6" spans="2:22" ht="45" customHeight="1">
      <c r="B6" s="3" t="str">
        <f>IFERROR(ROUND(INDEX('PROJETO PERFURAÇÃO'!$AB:$AB,MATCH(MEDIÇÃO!D6,'PROJETO PERFURAÇÃO'!$B:$B,0)),1)&amp;"''","")</f>
        <v>5''</v>
      </c>
      <c r="C6" s="3" t="str">
        <f>IFERROR(IF(INDEX('PROJETO PERFURAÇÃO'!$P:$P,MATCH(MEDIÇÃO!D6,'PROJETO PERFURAÇÃO'!$B:$B,0))="Production","P",IF(INDEX('PROJETO PERFURAÇÃO'!$P:$P,MATCH(MEDIÇÃO!D6,'PROJETO PERFURAÇÃO'!$B:$B,0))="Buffer","B",IF(INDEX('PROJETO PERFURAÇÃO'!$P:$P,MATCH(MEDIÇÃO!D6,'PROJETO PERFURAÇÃO'!$B:$B,0))="Pre-Splitting","S"))),"")</f>
        <v>S</v>
      </c>
      <c r="D6" s="5">
        <f>D5+1</f>
        <v>2</v>
      </c>
      <c r="E6" s="4" t="str">
        <f>IFERROR(INDEX('LEV R&amp;D'!$D:$D,MATCH(MEDIÇÃO!D6,'LEV R&amp;D'!$A:$A,0))-INDEX('PROJETO PERFURAÇÃO'!$AH:$AH,MATCH(MEDIÇÃO!D6,'PROJETO PERFURAÇÃO'!$B:$B,0)),"")</f>
        <v/>
      </c>
      <c r="F6" s="17">
        <f>IFERROR(INDEX('PROJETO PERFURAÇÃO'!$AN:$AN,MATCH(MEDIÇÃO!D6,'PROJETO PERFURAÇÃO'!$B:$B,0)),"")</f>
        <v>13.87</v>
      </c>
      <c r="G6" s="3"/>
      <c r="H6" s="3"/>
      <c r="I6" s="3" t="str">
        <f>IFERROR(ROUND(INDEX('PROJETO PERFURAÇÃO'!$AB:$AB,MATCH(MEDIÇÃO!K6,'PROJETO PERFURAÇÃO'!$B:$B,0)),1)&amp;"''","")</f>
        <v>5''</v>
      </c>
      <c r="J6" s="3" t="str">
        <f>IFERROR(IF(INDEX('PROJETO PERFURAÇÃO'!$P:$P,MATCH(MEDIÇÃO!K6,'PROJETO PERFURAÇÃO'!$B:$B,0))="Production","P",IF(INDEX('PROJETO PERFURAÇÃO'!$P:$P,MATCH(MEDIÇÃO!K6,'PROJETO PERFURAÇÃO'!$B:$B,0))="Buffer","B",IF(INDEX('PROJETO PERFURAÇÃO'!$P:$P,MATCH(MEDIÇÃO!K6,'PROJETO PERFURAÇÃO'!$B:$B,0))="Pre-Splitting","S"))),"")</f>
        <v>S</v>
      </c>
      <c r="K6" s="5">
        <f>K5+1</f>
        <v>25</v>
      </c>
      <c r="L6" s="4" t="str">
        <f>IFERROR(INDEX('LEV R&amp;D'!$D:$D,MATCH(MEDIÇÃO!K6,'LEV R&amp;D'!$A:$A,0))-INDEX('PROJETO PERFURAÇÃO'!$AH:$AH,MATCH(MEDIÇÃO!K6,'PROJETO PERFURAÇÃO'!$B:$B,0)),"")</f>
        <v/>
      </c>
      <c r="M6" s="17">
        <f>IFERROR(INDEX('PROJETO PERFURAÇÃO'!$AN:$AN,MATCH(MEDIÇÃO!K6,'PROJETO PERFURAÇÃO'!$B:$B,0)),"")</f>
        <v>14.32</v>
      </c>
      <c r="N6" s="3"/>
      <c r="O6" s="3"/>
      <c r="P6" s="3" t="str">
        <f>IFERROR(ROUND(INDEX('PROJETO PERFURAÇÃO'!$AB:$AB,MATCH(MEDIÇÃO!R6,'PROJETO PERFURAÇÃO'!$B:$B,0)),1)&amp;"''","")</f>
        <v>5''</v>
      </c>
      <c r="Q6" s="3" t="str">
        <f>IFERROR(IF(INDEX('PROJETO PERFURAÇÃO'!$P:$P,MATCH(MEDIÇÃO!R6,'PROJETO PERFURAÇÃO'!$B:$B,0))="Production","P",IF(INDEX('PROJETO PERFURAÇÃO'!$P:$P,MATCH(MEDIÇÃO!R6,'PROJETO PERFURAÇÃO'!$B:$B,0))="Buffer","B",IF(INDEX('PROJETO PERFURAÇÃO'!$P:$P,MATCH(MEDIÇÃO!R6,'PROJETO PERFURAÇÃO'!$B:$B,0))="Pre-Splitting","S"))),"")</f>
        <v>S</v>
      </c>
      <c r="R6" s="5">
        <f>R5+1</f>
        <v>48</v>
      </c>
      <c r="S6" s="4" t="str">
        <f>IFERROR(INDEX('LEV R&amp;D'!$D:$D,MATCH(MEDIÇÃO!R6,'LEV R&amp;D'!$A:$A,0))-INDEX('PROJETO PERFURAÇÃO'!$AH:$AH,MATCH(MEDIÇÃO!R6,'PROJETO PERFURAÇÃO'!$B:$B,0)),"")</f>
        <v/>
      </c>
      <c r="T6" s="17">
        <f>IFERROR(INDEX('PROJETO PERFURAÇÃO'!$AN:$AN,MATCH(MEDIÇÃO!R6,'PROJETO PERFURAÇÃO'!$B:$B,0)),"")</f>
        <v>13.17</v>
      </c>
      <c r="U6" s="3"/>
      <c r="V6" s="3"/>
    </row>
    <row r="7" spans="2:22" ht="45" customHeight="1">
      <c r="B7" s="3" t="str">
        <f>IFERROR(ROUND(INDEX('PROJETO PERFURAÇÃO'!$AB:$AB,MATCH(MEDIÇÃO!D7,'PROJETO PERFURAÇÃO'!$B:$B,0)),1)&amp;"''","")</f>
        <v>5''</v>
      </c>
      <c r="C7" s="3" t="str">
        <f>IFERROR(IF(INDEX('PROJETO PERFURAÇÃO'!$P:$P,MATCH(MEDIÇÃO!D7,'PROJETO PERFURAÇÃO'!$B:$B,0))="Production","P",IF(INDEX('PROJETO PERFURAÇÃO'!$P:$P,MATCH(MEDIÇÃO!D7,'PROJETO PERFURAÇÃO'!$B:$B,0))="Buffer","B",IF(INDEX('PROJETO PERFURAÇÃO'!$P:$P,MATCH(MEDIÇÃO!D7,'PROJETO PERFURAÇÃO'!$B:$B,0))="Pre-Splitting","S"))),"")</f>
        <v>S</v>
      </c>
      <c r="D7" s="5">
        <f t="shared" ref="D7:D27" si="0">D6+1</f>
        <v>3</v>
      </c>
      <c r="E7" s="4" t="str">
        <f>IFERROR(INDEX('LEV R&amp;D'!$D:$D,MATCH(MEDIÇÃO!D7,'LEV R&amp;D'!$A:$A,0))-INDEX('PROJETO PERFURAÇÃO'!$AH:$AH,MATCH(MEDIÇÃO!D7,'PROJETO PERFURAÇÃO'!$B:$B,0)),"")</f>
        <v/>
      </c>
      <c r="F7" s="17">
        <f>IFERROR(INDEX('PROJETO PERFURAÇÃO'!$AN:$AN,MATCH(MEDIÇÃO!D7,'PROJETO PERFURAÇÃO'!$B:$B,0)),"")</f>
        <v>13.97</v>
      </c>
      <c r="G7" s="3"/>
      <c r="H7" s="3"/>
      <c r="I7" s="3" t="str">
        <f>IFERROR(ROUND(INDEX('PROJETO PERFURAÇÃO'!$AB:$AB,MATCH(MEDIÇÃO!K7,'PROJETO PERFURAÇÃO'!$B:$B,0)),1)&amp;"''","")</f>
        <v>5''</v>
      </c>
      <c r="J7" s="3" t="str">
        <f>IFERROR(IF(INDEX('PROJETO PERFURAÇÃO'!$P:$P,MATCH(MEDIÇÃO!K7,'PROJETO PERFURAÇÃO'!$B:$B,0))="Production","P",IF(INDEX('PROJETO PERFURAÇÃO'!$P:$P,MATCH(MEDIÇÃO!K7,'PROJETO PERFURAÇÃO'!$B:$B,0))="Buffer","B",IF(INDEX('PROJETO PERFURAÇÃO'!$P:$P,MATCH(MEDIÇÃO!K7,'PROJETO PERFURAÇÃO'!$B:$B,0))="Pre-Splitting","S"))),"")</f>
        <v>S</v>
      </c>
      <c r="K7" s="5">
        <f t="shared" ref="K7:K27" si="1">K6+1</f>
        <v>26</v>
      </c>
      <c r="L7" s="4" t="str">
        <f>IFERROR(INDEX('LEV R&amp;D'!$D:$D,MATCH(MEDIÇÃO!K7,'LEV R&amp;D'!$A:$A,0))-INDEX('PROJETO PERFURAÇÃO'!$AH:$AH,MATCH(MEDIÇÃO!K7,'PROJETO PERFURAÇÃO'!$B:$B,0)),"")</f>
        <v/>
      </c>
      <c r="M7" s="17">
        <f>IFERROR(INDEX('PROJETO PERFURAÇÃO'!$AN:$AN,MATCH(MEDIÇÃO!K7,'PROJETO PERFURAÇÃO'!$B:$B,0)),"")</f>
        <v>14.33</v>
      </c>
      <c r="N7" s="3"/>
      <c r="O7" s="3"/>
      <c r="P7" s="3" t="str">
        <f>IFERROR(ROUND(INDEX('PROJETO PERFURAÇÃO'!$AB:$AB,MATCH(MEDIÇÃO!R7,'PROJETO PERFURAÇÃO'!$B:$B,0)),1)&amp;"''","")</f>
        <v>5''</v>
      </c>
      <c r="Q7" s="3" t="str">
        <f>IFERROR(IF(INDEX('PROJETO PERFURAÇÃO'!$P:$P,MATCH(MEDIÇÃO!R7,'PROJETO PERFURAÇÃO'!$B:$B,0))="Production","P",IF(INDEX('PROJETO PERFURAÇÃO'!$P:$P,MATCH(MEDIÇÃO!R7,'PROJETO PERFURAÇÃO'!$B:$B,0))="Buffer","B",IF(INDEX('PROJETO PERFURAÇÃO'!$P:$P,MATCH(MEDIÇÃO!R7,'PROJETO PERFURAÇÃO'!$B:$B,0))="Pre-Splitting","S"))),"")</f>
        <v>S</v>
      </c>
      <c r="R7" s="5">
        <f t="shared" ref="R7:R27" si="2">R6+1</f>
        <v>49</v>
      </c>
      <c r="S7" s="4" t="str">
        <f>IFERROR(INDEX('LEV R&amp;D'!$D:$D,MATCH(MEDIÇÃO!R7,'LEV R&amp;D'!$A:$A,0))-INDEX('PROJETO PERFURAÇÃO'!$AH:$AH,MATCH(MEDIÇÃO!R7,'PROJETO PERFURAÇÃO'!$B:$B,0)),"")</f>
        <v/>
      </c>
      <c r="T7" s="17">
        <f>IFERROR(INDEX('PROJETO PERFURAÇÃO'!$AN:$AN,MATCH(MEDIÇÃO!R7,'PROJETO PERFURAÇÃO'!$B:$B,0)),"")</f>
        <v>13.34</v>
      </c>
      <c r="U7" s="3"/>
      <c r="V7" s="3"/>
    </row>
    <row r="8" spans="2:22" ht="45" customHeight="1">
      <c r="B8" s="3" t="str">
        <f>IFERROR(ROUND(INDEX('PROJETO PERFURAÇÃO'!$AB:$AB,MATCH(MEDIÇÃO!D8,'PROJETO PERFURAÇÃO'!$B:$B,0)),1)&amp;"''","")</f>
        <v>5''</v>
      </c>
      <c r="C8" s="3" t="str">
        <f>IFERROR(IF(INDEX('PROJETO PERFURAÇÃO'!$P:$P,MATCH(MEDIÇÃO!D8,'PROJETO PERFURAÇÃO'!$B:$B,0))="Production","P",IF(INDEX('PROJETO PERFURAÇÃO'!$P:$P,MATCH(MEDIÇÃO!D8,'PROJETO PERFURAÇÃO'!$B:$B,0))="Buffer","B",IF(INDEX('PROJETO PERFURAÇÃO'!$P:$P,MATCH(MEDIÇÃO!D8,'PROJETO PERFURAÇÃO'!$B:$B,0))="Pre-Splitting","S"))),"")</f>
        <v>S</v>
      </c>
      <c r="D8" s="5">
        <f t="shared" si="0"/>
        <v>4</v>
      </c>
      <c r="E8" s="4" t="str">
        <f>IFERROR(INDEX('LEV R&amp;D'!$D:$D,MATCH(MEDIÇÃO!D8,'LEV R&amp;D'!$A:$A,0))-INDEX('PROJETO PERFURAÇÃO'!$AH:$AH,MATCH(MEDIÇÃO!D8,'PROJETO PERFURAÇÃO'!$B:$B,0)),"")</f>
        <v/>
      </c>
      <c r="F8" s="17">
        <f>IFERROR(INDEX('PROJETO PERFURAÇÃO'!$AN:$AN,MATCH(MEDIÇÃO!D8,'PROJETO PERFURAÇÃO'!$B:$B,0)),"")</f>
        <v>13.95</v>
      </c>
      <c r="G8" s="3"/>
      <c r="H8" s="3"/>
      <c r="I8" s="3" t="str">
        <f>IFERROR(ROUND(INDEX('PROJETO PERFURAÇÃO'!$AB:$AB,MATCH(MEDIÇÃO!K8,'PROJETO PERFURAÇÃO'!$B:$B,0)),1)&amp;"''","")</f>
        <v>5''</v>
      </c>
      <c r="J8" s="3" t="str">
        <f>IFERROR(IF(INDEX('PROJETO PERFURAÇÃO'!$P:$P,MATCH(MEDIÇÃO!K8,'PROJETO PERFURAÇÃO'!$B:$B,0))="Production","P",IF(INDEX('PROJETO PERFURAÇÃO'!$P:$P,MATCH(MEDIÇÃO!K8,'PROJETO PERFURAÇÃO'!$B:$B,0))="Buffer","B",IF(INDEX('PROJETO PERFURAÇÃO'!$P:$P,MATCH(MEDIÇÃO!K8,'PROJETO PERFURAÇÃO'!$B:$B,0))="Pre-Splitting","S"))),"")</f>
        <v>S</v>
      </c>
      <c r="K8" s="5">
        <f t="shared" si="1"/>
        <v>27</v>
      </c>
      <c r="L8" s="4" t="str">
        <f>IFERROR(INDEX('LEV R&amp;D'!$D:$D,MATCH(MEDIÇÃO!K8,'LEV R&amp;D'!$A:$A,0))-INDEX('PROJETO PERFURAÇÃO'!$AH:$AH,MATCH(MEDIÇÃO!K8,'PROJETO PERFURAÇÃO'!$B:$B,0)),"")</f>
        <v/>
      </c>
      <c r="M8" s="17">
        <f>IFERROR(INDEX('PROJETO PERFURAÇÃO'!$AN:$AN,MATCH(MEDIÇÃO!K8,'PROJETO PERFURAÇÃO'!$B:$B,0)),"")</f>
        <v>14.49</v>
      </c>
      <c r="N8" s="3"/>
      <c r="O8" s="3"/>
      <c r="P8" s="3" t="str">
        <f>IFERROR(ROUND(INDEX('PROJETO PERFURAÇÃO'!$AB:$AB,MATCH(MEDIÇÃO!R8,'PROJETO PERFURAÇÃO'!$B:$B,0)),1)&amp;"''","")</f>
        <v>5''</v>
      </c>
      <c r="Q8" s="3" t="str">
        <f>IFERROR(IF(INDEX('PROJETO PERFURAÇÃO'!$P:$P,MATCH(MEDIÇÃO!R8,'PROJETO PERFURAÇÃO'!$B:$B,0))="Production","P",IF(INDEX('PROJETO PERFURAÇÃO'!$P:$P,MATCH(MEDIÇÃO!R8,'PROJETO PERFURAÇÃO'!$B:$B,0))="Buffer","B",IF(INDEX('PROJETO PERFURAÇÃO'!$P:$P,MATCH(MEDIÇÃO!R8,'PROJETO PERFURAÇÃO'!$B:$B,0))="Pre-Splitting","S"))),"")</f>
        <v>S</v>
      </c>
      <c r="R8" s="5">
        <f t="shared" si="2"/>
        <v>50</v>
      </c>
      <c r="S8" s="4" t="str">
        <f>IFERROR(INDEX('LEV R&amp;D'!$D:$D,MATCH(MEDIÇÃO!R8,'LEV R&amp;D'!$A:$A,0))-INDEX('PROJETO PERFURAÇÃO'!$AH:$AH,MATCH(MEDIÇÃO!R8,'PROJETO PERFURAÇÃO'!$B:$B,0)),"")</f>
        <v/>
      </c>
      <c r="T8" s="17">
        <f>IFERROR(INDEX('PROJETO PERFURAÇÃO'!$AN:$AN,MATCH(MEDIÇÃO!R8,'PROJETO PERFURAÇÃO'!$B:$B,0)),"")</f>
        <v>13.42</v>
      </c>
      <c r="U8" s="3"/>
      <c r="V8" s="3"/>
    </row>
    <row r="9" spans="2:22" ht="45" customHeight="1">
      <c r="B9" s="3" t="str">
        <f>IFERROR(ROUND(INDEX('PROJETO PERFURAÇÃO'!$AB:$AB,MATCH(MEDIÇÃO!D9,'PROJETO PERFURAÇÃO'!$B:$B,0)),1)&amp;"''","")</f>
        <v>5''</v>
      </c>
      <c r="C9" s="3" t="str">
        <f>IFERROR(IF(INDEX('PROJETO PERFURAÇÃO'!$P:$P,MATCH(MEDIÇÃO!D9,'PROJETO PERFURAÇÃO'!$B:$B,0))="Production","P",IF(INDEX('PROJETO PERFURAÇÃO'!$P:$P,MATCH(MEDIÇÃO!D9,'PROJETO PERFURAÇÃO'!$B:$B,0))="Buffer","B",IF(INDEX('PROJETO PERFURAÇÃO'!$P:$P,MATCH(MEDIÇÃO!D9,'PROJETO PERFURAÇÃO'!$B:$B,0))="Pre-Splitting","S"))),"")</f>
        <v>S</v>
      </c>
      <c r="D9" s="5">
        <f t="shared" si="0"/>
        <v>5</v>
      </c>
      <c r="E9" s="4" t="str">
        <f>IFERROR(INDEX('LEV R&amp;D'!$D:$D,MATCH(MEDIÇÃO!D9,'LEV R&amp;D'!$A:$A,0))-INDEX('PROJETO PERFURAÇÃO'!$AH:$AH,MATCH(MEDIÇÃO!D9,'PROJETO PERFURAÇÃO'!$B:$B,0)),"")</f>
        <v/>
      </c>
      <c r="F9" s="17">
        <f>IFERROR(INDEX('PROJETO PERFURAÇÃO'!$AN:$AN,MATCH(MEDIÇÃO!D9,'PROJETO PERFURAÇÃO'!$B:$B,0)),"")</f>
        <v>14.03</v>
      </c>
      <c r="G9" s="3"/>
      <c r="H9" s="3"/>
      <c r="I9" s="3" t="str">
        <f>IFERROR(ROUND(INDEX('PROJETO PERFURAÇÃO'!$AB:$AB,MATCH(MEDIÇÃO!K9,'PROJETO PERFURAÇÃO'!$B:$B,0)),1)&amp;"''","")</f>
        <v>5''</v>
      </c>
      <c r="J9" s="3" t="str">
        <f>IFERROR(IF(INDEX('PROJETO PERFURAÇÃO'!$P:$P,MATCH(MEDIÇÃO!K9,'PROJETO PERFURAÇÃO'!$B:$B,0))="Production","P",IF(INDEX('PROJETO PERFURAÇÃO'!$P:$P,MATCH(MEDIÇÃO!K9,'PROJETO PERFURAÇÃO'!$B:$B,0))="Buffer","B",IF(INDEX('PROJETO PERFURAÇÃO'!$P:$P,MATCH(MEDIÇÃO!K9,'PROJETO PERFURAÇÃO'!$B:$B,0))="Pre-Splitting","S"))),"")</f>
        <v>S</v>
      </c>
      <c r="K9" s="5">
        <f t="shared" si="1"/>
        <v>28</v>
      </c>
      <c r="L9" s="4" t="str">
        <f>IFERROR(INDEX('LEV R&amp;D'!$D:$D,MATCH(MEDIÇÃO!K9,'LEV R&amp;D'!$A:$A,0))-INDEX('PROJETO PERFURAÇÃO'!$AH:$AH,MATCH(MEDIÇÃO!K9,'PROJETO PERFURAÇÃO'!$B:$B,0)),"")</f>
        <v/>
      </c>
      <c r="M9" s="17">
        <f>IFERROR(INDEX('PROJETO PERFURAÇÃO'!$AN:$AN,MATCH(MEDIÇÃO!K9,'PROJETO PERFURAÇÃO'!$B:$B,0)),"")</f>
        <v>14.59</v>
      </c>
      <c r="N9" s="3"/>
      <c r="O9" s="3"/>
      <c r="P9" s="3" t="str">
        <f>IFERROR(ROUND(INDEX('PROJETO PERFURAÇÃO'!$AB:$AB,MATCH(MEDIÇÃO!R9,'PROJETO PERFURAÇÃO'!$B:$B,0)),1)&amp;"''","")</f>
        <v>5''</v>
      </c>
      <c r="Q9" s="3" t="str">
        <f>IFERROR(IF(INDEX('PROJETO PERFURAÇÃO'!$P:$P,MATCH(MEDIÇÃO!R9,'PROJETO PERFURAÇÃO'!$B:$B,0))="Production","P",IF(INDEX('PROJETO PERFURAÇÃO'!$P:$P,MATCH(MEDIÇÃO!R9,'PROJETO PERFURAÇÃO'!$B:$B,0))="Buffer","B",IF(INDEX('PROJETO PERFURAÇÃO'!$P:$P,MATCH(MEDIÇÃO!R9,'PROJETO PERFURAÇÃO'!$B:$B,0))="Pre-Splitting","S"))),"")</f>
        <v>S</v>
      </c>
      <c r="R9" s="5">
        <f t="shared" si="2"/>
        <v>51</v>
      </c>
      <c r="S9" s="4" t="str">
        <f>IFERROR(INDEX('LEV R&amp;D'!$D:$D,MATCH(MEDIÇÃO!R9,'LEV R&amp;D'!$A:$A,0))-INDEX('PROJETO PERFURAÇÃO'!$AH:$AH,MATCH(MEDIÇÃO!R9,'PROJETO PERFURAÇÃO'!$B:$B,0)),"")</f>
        <v/>
      </c>
      <c r="T9" s="17">
        <f>IFERROR(INDEX('PROJETO PERFURAÇÃO'!$AN:$AN,MATCH(MEDIÇÃO!R9,'PROJETO PERFURAÇÃO'!$B:$B,0)),"")</f>
        <v>13.45</v>
      </c>
      <c r="U9" s="3"/>
      <c r="V9" s="3"/>
    </row>
    <row r="10" spans="2:22" ht="45" customHeight="1">
      <c r="B10" s="3" t="str">
        <f>IFERROR(ROUND(INDEX('PROJETO PERFURAÇÃO'!$AB:$AB,MATCH(MEDIÇÃO!D10,'PROJETO PERFURAÇÃO'!$B:$B,0)),1)&amp;"''","")</f>
        <v>5''</v>
      </c>
      <c r="C10" s="3" t="str">
        <f>IFERROR(IF(INDEX('PROJETO PERFURAÇÃO'!$P:$P,MATCH(MEDIÇÃO!D10,'PROJETO PERFURAÇÃO'!$B:$B,0))="Production","P",IF(INDEX('PROJETO PERFURAÇÃO'!$P:$P,MATCH(MEDIÇÃO!D10,'PROJETO PERFURAÇÃO'!$B:$B,0))="Buffer","B",IF(INDEX('PROJETO PERFURAÇÃO'!$P:$P,MATCH(MEDIÇÃO!D10,'PROJETO PERFURAÇÃO'!$B:$B,0))="Pre-Splitting","S"))),"")</f>
        <v>S</v>
      </c>
      <c r="D10" s="5">
        <f t="shared" si="0"/>
        <v>6</v>
      </c>
      <c r="E10" s="4" t="str">
        <f>IFERROR(INDEX('LEV R&amp;D'!$D:$D,MATCH(MEDIÇÃO!D10,'LEV R&amp;D'!$A:$A,0))-INDEX('PROJETO PERFURAÇÃO'!$AH:$AH,MATCH(MEDIÇÃO!D10,'PROJETO PERFURAÇÃO'!$B:$B,0)),"")</f>
        <v/>
      </c>
      <c r="F10" s="17">
        <f>IFERROR(INDEX('PROJETO PERFURAÇÃO'!$AN:$AN,MATCH(MEDIÇÃO!D10,'PROJETO PERFURAÇÃO'!$B:$B,0)),"")</f>
        <v>14.14</v>
      </c>
      <c r="G10" s="3"/>
      <c r="H10" s="3"/>
      <c r="I10" s="3" t="str">
        <f>IFERROR(ROUND(INDEX('PROJETO PERFURAÇÃO'!$AB:$AB,MATCH(MEDIÇÃO!K10,'PROJETO PERFURAÇÃO'!$B:$B,0)),1)&amp;"''","")</f>
        <v>5''</v>
      </c>
      <c r="J10" s="3" t="str">
        <f>IFERROR(IF(INDEX('PROJETO PERFURAÇÃO'!$P:$P,MATCH(MEDIÇÃO!K10,'PROJETO PERFURAÇÃO'!$B:$B,0))="Production","P",IF(INDEX('PROJETO PERFURAÇÃO'!$P:$P,MATCH(MEDIÇÃO!K10,'PROJETO PERFURAÇÃO'!$B:$B,0))="Buffer","B",IF(INDEX('PROJETO PERFURAÇÃO'!$P:$P,MATCH(MEDIÇÃO!K10,'PROJETO PERFURAÇÃO'!$B:$B,0))="Pre-Splitting","S"))),"")</f>
        <v>S</v>
      </c>
      <c r="K10" s="5">
        <f t="shared" si="1"/>
        <v>29</v>
      </c>
      <c r="L10" s="4" t="str">
        <f>IFERROR(INDEX('LEV R&amp;D'!$D:$D,MATCH(MEDIÇÃO!K10,'LEV R&amp;D'!$A:$A,0))-INDEX('PROJETO PERFURAÇÃO'!$AH:$AH,MATCH(MEDIÇÃO!K10,'PROJETO PERFURAÇÃO'!$B:$B,0)),"")</f>
        <v/>
      </c>
      <c r="M10" s="17">
        <f>IFERROR(INDEX('PROJETO PERFURAÇÃO'!$AN:$AN,MATCH(MEDIÇÃO!K10,'PROJETO PERFURAÇÃO'!$B:$B,0)),"")</f>
        <v>14.52</v>
      </c>
      <c r="N10" s="3"/>
      <c r="O10" s="3"/>
      <c r="P10" s="3" t="str">
        <f>IFERROR(ROUND(INDEX('PROJETO PERFURAÇÃO'!$AB:$AB,MATCH(MEDIÇÃO!R10,'PROJETO PERFURAÇÃO'!$B:$B,0)),1)&amp;"''","")</f>
        <v>5''</v>
      </c>
      <c r="Q10" s="3" t="str">
        <f>IFERROR(IF(INDEX('PROJETO PERFURAÇÃO'!$P:$P,MATCH(MEDIÇÃO!R10,'PROJETO PERFURAÇÃO'!$B:$B,0))="Production","P",IF(INDEX('PROJETO PERFURAÇÃO'!$P:$P,MATCH(MEDIÇÃO!R10,'PROJETO PERFURAÇÃO'!$B:$B,0))="Buffer","B",IF(INDEX('PROJETO PERFURAÇÃO'!$P:$P,MATCH(MEDIÇÃO!R10,'PROJETO PERFURAÇÃO'!$B:$B,0))="Pre-Splitting","S"))),"")</f>
        <v>S</v>
      </c>
      <c r="R10" s="5">
        <f t="shared" si="2"/>
        <v>52</v>
      </c>
      <c r="S10" s="4" t="str">
        <f>IFERROR(INDEX('LEV R&amp;D'!$D:$D,MATCH(MEDIÇÃO!R10,'LEV R&amp;D'!$A:$A,0))-INDEX('PROJETO PERFURAÇÃO'!$AH:$AH,MATCH(MEDIÇÃO!R10,'PROJETO PERFURAÇÃO'!$B:$B,0)),"")</f>
        <v/>
      </c>
      <c r="T10" s="17">
        <f>IFERROR(INDEX('PROJETO PERFURAÇÃO'!$AN:$AN,MATCH(MEDIÇÃO!R10,'PROJETO PERFURAÇÃO'!$B:$B,0)),"")</f>
        <v>13.39</v>
      </c>
      <c r="U10" s="3"/>
      <c r="V10" s="3"/>
    </row>
    <row r="11" spans="2:22" ht="45" customHeight="1">
      <c r="B11" s="3" t="str">
        <f>IFERROR(ROUND(INDEX('PROJETO PERFURAÇÃO'!$AB:$AB,MATCH(MEDIÇÃO!D11,'PROJETO PERFURAÇÃO'!$B:$B,0)),1)&amp;"''","")</f>
        <v>5''</v>
      </c>
      <c r="C11" s="3" t="str">
        <f>IFERROR(IF(INDEX('PROJETO PERFURAÇÃO'!$P:$P,MATCH(MEDIÇÃO!D11,'PROJETO PERFURAÇÃO'!$B:$B,0))="Production","P",IF(INDEX('PROJETO PERFURAÇÃO'!$P:$P,MATCH(MEDIÇÃO!D11,'PROJETO PERFURAÇÃO'!$B:$B,0))="Buffer","B",IF(INDEX('PROJETO PERFURAÇÃO'!$P:$P,MATCH(MEDIÇÃO!D11,'PROJETO PERFURAÇÃO'!$B:$B,0))="Pre-Splitting","S"))),"")</f>
        <v>S</v>
      </c>
      <c r="D11" s="5">
        <f t="shared" si="0"/>
        <v>7</v>
      </c>
      <c r="E11" s="4" t="str">
        <f>IFERROR(INDEX('LEV R&amp;D'!$D:$D,MATCH(MEDIÇÃO!D11,'LEV R&amp;D'!$A:$A,0))-INDEX('PROJETO PERFURAÇÃO'!$AH:$AH,MATCH(MEDIÇÃO!D11,'PROJETO PERFURAÇÃO'!$B:$B,0)),"")</f>
        <v/>
      </c>
      <c r="F11" s="17">
        <f>IFERROR(INDEX('PROJETO PERFURAÇÃO'!$AN:$AN,MATCH(MEDIÇÃO!D11,'PROJETO PERFURAÇÃO'!$B:$B,0)),"")</f>
        <v>14.26</v>
      </c>
      <c r="G11" s="3"/>
      <c r="H11" s="3"/>
      <c r="I11" s="3" t="str">
        <f>IFERROR(ROUND(INDEX('PROJETO PERFURAÇÃO'!$AB:$AB,MATCH(MEDIÇÃO!K11,'PROJETO PERFURAÇÃO'!$B:$B,0)),1)&amp;"''","")</f>
        <v>5''</v>
      </c>
      <c r="J11" s="3" t="str">
        <f>IFERROR(IF(INDEX('PROJETO PERFURAÇÃO'!$P:$P,MATCH(MEDIÇÃO!K11,'PROJETO PERFURAÇÃO'!$B:$B,0))="Production","P",IF(INDEX('PROJETO PERFURAÇÃO'!$P:$P,MATCH(MEDIÇÃO!K11,'PROJETO PERFURAÇÃO'!$B:$B,0))="Buffer","B",IF(INDEX('PROJETO PERFURAÇÃO'!$P:$P,MATCH(MEDIÇÃO!K11,'PROJETO PERFURAÇÃO'!$B:$B,0))="Pre-Splitting","S"))),"")</f>
        <v>S</v>
      </c>
      <c r="K11" s="5">
        <f t="shared" si="1"/>
        <v>30</v>
      </c>
      <c r="L11" s="4" t="str">
        <f>IFERROR(INDEX('LEV R&amp;D'!$D:$D,MATCH(MEDIÇÃO!K11,'LEV R&amp;D'!$A:$A,0))-INDEX('PROJETO PERFURAÇÃO'!$AH:$AH,MATCH(MEDIÇÃO!K11,'PROJETO PERFURAÇÃO'!$B:$B,0)),"")</f>
        <v/>
      </c>
      <c r="M11" s="17">
        <f>IFERROR(INDEX('PROJETO PERFURAÇÃO'!$AN:$AN,MATCH(MEDIÇÃO!K11,'PROJETO PERFURAÇÃO'!$B:$B,0)),"")</f>
        <v>14.38</v>
      </c>
      <c r="N11" s="3"/>
      <c r="O11" s="3"/>
      <c r="P11" s="3" t="str">
        <f>IFERROR(ROUND(INDEX('PROJETO PERFURAÇÃO'!$AB:$AB,MATCH(MEDIÇÃO!R11,'PROJETO PERFURAÇÃO'!$B:$B,0)),1)&amp;"''","")</f>
        <v>5''</v>
      </c>
      <c r="Q11" s="3" t="str">
        <f>IFERROR(IF(INDEX('PROJETO PERFURAÇÃO'!$P:$P,MATCH(MEDIÇÃO!R11,'PROJETO PERFURAÇÃO'!$B:$B,0))="Production","P",IF(INDEX('PROJETO PERFURAÇÃO'!$P:$P,MATCH(MEDIÇÃO!R11,'PROJETO PERFURAÇÃO'!$B:$B,0))="Buffer","B",IF(INDEX('PROJETO PERFURAÇÃO'!$P:$P,MATCH(MEDIÇÃO!R11,'PROJETO PERFURAÇÃO'!$B:$B,0))="Pre-Splitting","S"))),"")</f>
        <v>S</v>
      </c>
      <c r="R11" s="5">
        <f t="shared" si="2"/>
        <v>53</v>
      </c>
      <c r="S11" s="4" t="str">
        <f>IFERROR(INDEX('LEV R&amp;D'!$D:$D,MATCH(MEDIÇÃO!R11,'LEV R&amp;D'!$A:$A,0))-INDEX('PROJETO PERFURAÇÃO'!$AH:$AH,MATCH(MEDIÇÃO!R11,'PROJETO PERFURAÇÃO'!$B:$B,0)),"")</f>
        <v/>
      </c>
      <c r="T11" s="17">
        <f>IFERROR(INDEX('PROJETO PERFURAÇÃO'!$AN:$AN,MATCH(MEDIÇÃO!R11,'PROJETO PERFURAÇÃO'!$B:$B,0)),"")</f>
        <v>13.27</v>
      </c>
      <c r="U11" s="3"/>
      <c r="V11" s="3"/>
    </row>
    <row r="12" spans="2:22" ht="45" customHeight="1">
      <c r="B12" s="3" t="str">
        <f>IFERROR(ROUND(INDEX('PROJETO PERFURAÇÃO'!$AB:$AB,MATCH(MEDIÇÃO!D12,'PROJETO PERFURAÇÃO'!$B:$B,0)),1)&amp;"''","")</f>
        <v>5''</v>
      </c>
      <c r="C12" s="3" t="str">
        <f>IFERROR(IF(INDEX('PROJETO PERFURAÇÃO'!$P:$P,MATCH(MEDIÇÃO!D12,'PROJETO PERFURAÇÃO'!$B:$B,0))="Production","P",IF(INDEX('PROJETO PERFURAÇÃO'!$P:$P,MATCH(MEDIÇÃO!D12,'PROJETO PERFURAÇÃO'!$B:$B,0))="Buffer","B",IF(INDEX('PROJETO PERFURAÇÃO'!$P:$P,MATCH(MEDIÇÃO!D12,'PROJETO PERFURAÇÃO'!$B:$B,0))="Pre-Splitting","S"))),"")</f>
        <v>S</v>
      </c>
      <c r="D12" s="5">
        <f t="shared" si="0"/>
        <v>8</v>
      </c>
      <c r="E12" s="4" t="str">
        <f>IFERROR(INDEX('LEV R&amp;D'!$D:$D,MATCH(MEDIÇÃO!D12,'LEV R&amp;D'!$A:$A,0))-INDEX('PROJETO PERFURAÇÃO'!$AH:$AH,MATCH(MEDIÇÃO!D12,'PROJETO PERFURAÇÃO'!$B:$B,0)),"")</f>
        <v/>
      </c>
      <c r="F12" s="17">
        <f>IFERROR(INDEX('PROJETO PERFURAÇÃO'!$AN:$AN,MATCH(MEDIÇÃO!D12,'PROJETO PERFURAÇÃO'!$B:$B,0)),"")</f>
        <v>14.26</v>
      </c>
      <c r="G12" s="3"/>
      <c r="H12" s="3"/>
      <c r="I12" s="3" t="str">
        <f>IFERROR(ROUND(INDEX('PROJETO PERFURAÇÃO'!$AB:$AB,MATCH(MEDIÇÃO!K12,'PROJETO PERFURAÇÃO'!$B:$B,0)),1)&amp;"''","")</f>
        <v>5''</v>
      </c>
      <c r="J12" s="3" t="str">
        <f>IFERROR(IF(INDEX('PROJETO PERFURAÇÃO'!$P:$P,MATCH(MEDIÇÃO!K12,'PROJETO PERFURAÇÃO'!$B:$B,0))="Production","P",IF(INDEX('PROJETO PERFURAÇÃO'!$P:$P,MATCH(MEDIÇÃO!K12,'PROJETO PERFURAÇÃO'!$B:$B,0))="Buffer","B",IF(INDEX('PROJETO PERFURAÇÃO'!$P:$P,MATCH(MEDIÇÃO!K12,'PROJETO PERFURAÇÃO'!$B:$B,0))="Pre-Splitting","S"))),"")</f>
        <v>S</v>
      </c>
      <c r="K12" s="5">
        <f t="shared" si="1"/>
        <v>31</v>
      </c>
      <c r="L12" s="4" t="str">
        <f>IFERROR(INDEX('LEV R&amp;D'!$D:$D,MATCH(MEDIÇÃO!K12,'LEV R&amp;D'!$A:$A,0))-INDEX('PROJETO PERFURAÇÃO'!$AH:$AH,MATCH(MEDIÇÃO!K12,'PROJETO PERFURAÇÃO'!$B:$B,0)),"")</f>
        <v/>
      </c>
      <c r="M12" s="17">
        <f>IFERROR(INDEX('PROJETO PERFURAÇÃO'!$AN:$AN,MATCH(MEDIÇÃO!K12,'PROJETO PERFURAÇÃO'!$B:$B,0)),"")</f>
        <v>14.51</v>
      </c>
      <c r="N12" s="3"/>
      <c r="O12" s="3"/>
      <c r="P12" s="3" t="str">
        <f>IFERROR(ROUND(INDEX('PROJETO PERFURAÇÃO'!$AB:$AB,MATCH(MEDIÇÃO!R12,'PROJETO PERFURAÇÃO'!$B:$B,0)),1)&amp;"''","")</f>
        <v>5''</v>
      </c>
      <c r="Q12" s="3" t="str">
        <f>IFERROR(IF(INDEX('PROJETO PERFURAÇÃO'!$P:$P,MATCH(MEDIÇÃO!R12,'PROJETO PERFURAÇÃO'!$B:$B,0))="Production","P",IF(INDEX('PROJETO PERFURAÇÃO'!$P:$P,MATCH(MEDIÇÃO!R12,'PROJETO PERFURAÇÃO'!$B:$B,0))="Buffer","B",IF(INDEX('PROJETO PERFURAÇÃO'!$P:$P,MATCH(MEDIÇÃO!R12,'PROJETO PERFURAÇÃO'!$B:$B,0))="Pre-Splitting","S"))),"")</f>
        <v>S</v>
      </c>
      <c r="R12" s="5">
        <f t="shared" si="2"/>
        <v>54</v>
      </c>
      <c r="S12" s="4" t="str">
        <f>IFERROR(INDEX('LEV R&amp;D'!$D:$D,MATCH(MEDIÇÃO!R12,'LEV R&amp;D'!$A:$A,0))-INDEX('PROJETO PERFURAÇÃO'!$AH:$AH,MATCH(MEDIÇÃO!R12,'PROJETO PERFURAÇÃO'!$B:$B,0)),"")</f>
        <v/>
      </c>
      <c r="T12" s="17">
        <f>IFERROR(INDEX('PROJETO PERFURAÇÃO'!$AN:$AN,MATCH(MEDIÇÃO!R12,'PROJETO PERFURAÇÃO'!$B:$B,0)),"")</f>
        <v>13.21</v>
      </c>
      <c r="U12" s="3"/>
      <c r="V12" s="3"/>
    </row>
    <row r="13" spans="2:22" ht="45" customHeight="1">
      <c r="B13" s="3" t="str">
        <f>IFERROR(ROUND(INDEX('PROJETO PERFURAÇÃO'!$AB:$AB,MATCH(MEDIÇÃO!D13,'PROJETO PERFURAÇÃO'!$B:$B,0)),1)&amp;"''","")</f>
        <v>5''</v>
      </c>
      <c r="C13" s="3" t="str">
        <f>IFERROR(IF(INDEX('PROJETO PERFURAÇÃO'!$P:$P,MATCH(MEDIÇÃO!D13,'PROJETO PERFURAÇÃO'!$B:$B,0))="Production","P",IF(INDEX('PROJETO PERFURAÇÃO'!$P:$P,MATCH(MEDIÇÃO!D13,'PROJETO PERFURAÇÃO'!$B:$B,0))="Buffer","B",IF(INDEX('PROJETO PERFURAÇÃO'!$P:$P,MATCH(MEDIÇÃO!D13,'PROJETO PERFURAÇÃO'!$B:$B,0))="Pre-Splitting","S"))),"")</f>
        <v>S</v>
      </c>
      <c r="D13" s="5">
        <f t="shared" si="0"/>
        <v>9</v>
      </c>
      <c r="E13" s="4" t="str">
        <f>IFERROR(INDEX('LEV R&amp;D'!$D:$D,MATCH(MEDIÇÃO!D13,'LEV R&amp;D'!$A:$A,0))-INDEX('PROJETO PERFURAÇÃO'!$AH:$AH,MATCH(MEDIÇÃO!D13,'PROJETO PERFURAÇÃO'!$B:$B,0)),"")</f>
        <v/>
      </c>
      <c r="F13" s="17">
        <f>IFERROR(INDEX('PROJETO PERFURAÇÃO'!$AN:$AN,MATCH(MEDIÇÃO!D13,'PROJETO PERFURAÇÃO'!$B:$B,0)),"")</f>
        <v>14.05</v>
      </c>
      <c r="G13" s="3"/>
      <c r="H13" s="3"/>
      <c r="I13" s="3" t="str">
        <f>IFERROR(ROUND(INDEX('PROJETO PERFURAÇÃO'!$AB:$AB,MATCH(MEDIÇÃO!K13,'PROJETO PERFURAÇÃO'!$B:$B,0)),1)&amp;"''","")</f>
        <v>5''</v>
      </c>
      <c r="J13" s="3" t="str">
        <f>IFERROR(IF(INDEX('PROJETO PERFURAÇÃO'!$P:$P,MATCH(MEDIÇÃO!K13,'PROJETO PERFURAÇÃO'!$B:$B,0))="Production","P",IF(INDEX('PROJETO PERFURAÇÃO'!$P:$P,MATCH(MEDIÇÃO!K13,'PROJETO PERFURAÇÃO'!$B:$B,0))="Buffer","B",IF(INDEX('PROJETO PERFURAÇÃO'!$P:$P,MATCH(MEDIÇÃO!K13,'PROJETO PERFURAÇÃO'!$B:$B,0))="Pre-Splitting","S"))),"")</f>
        <v>S</v>
      </c>
      <c r="K13" s="5">
        <f t="shared" si="1"/>
        <v>32</v>
      </c>
      <c r="L13" s="4" t="str">
        <f>IFERROR(INDEX('LEV R&amp;D'!$D:$D,MATCH(MEDIÇÃO!K13,'LEV R&amp;D'!$A:$A,0))-INDEX('PROJETO PERFURAÇÃO'!$AH:$AH,MATCH(MEDIÇÃO!K13,'PROJETO PERFURAÇÃO'!$B:$B,0)),"")</f>
        <v/>
      </c>
      <c r="M13" s="17">
        <f>IFERROR(INDEX('PROJETO PERFURAÇÃO'!$AN:$AN,MATCH(MEDIÇÃO!K13,'PROJETO PERFURAÇÃO'!$B:$B,0)),"")</f>
        <v>14.4</v>
      </c>
      <c r="N13" s="3"/>
      <c r="O13" s="3"/>
      <c r="P13" s="3" t="str">
        <f>IFERROR(ROUND(INDEX('PROJETO PERFURAÇÃO'!$AB:$AB,MATCH(MEDIÇÃO!R13,'PROJETO PERFURAÇÃO'!$B:$B,0)),1)&amp;"''","")</f>
        <v>5''</v>
      </c>
      <c r="Q13" s="3" t="str">
        <f>IFERROR(IF(INDEX('PROJETO PERFURAÇÃO'!$P:$P,MATCH(MEDIÇÃO!R13,'PROJETO PERFURAÇÃO'!$B:$B,0))="Production","P",IF(INDEX('PROJETO PERFURAÇÃO'!$P:$P,MATCH(MEDIÇÃO!R13,'PROJETO PERFURAÇÃO'!$B:$B,0))="Buffer","B",IF(INDEX('PROJETO PERFURAÇÃO'!$P:$P,MATCH(MEDIÇÃO!R13,'PROJETO PERFURAÇÃO'!$B:$B,0))="Pre-Splitting","S"))),"")</f>
        <v>S</v>
      </c>
      <c r="R13" s="5">
        <f t="shared" si="2"/>
        <v>55</v>
      </c>
      <c r="S13" s="4" t="str">
        <f>IFERROR(INDEX('LEV R&amp;D'!$D:$D,MATCH(MEDIÇÃO!R13,'LEV R&amp;D'!$A:$A,0))-INDEX('PROJETO PERFURAÇÃO'!$AH:$AH,MATCH(MEDIÇÃO!R13,'PROJETO PERFURAÇÃO'!$B:$B,0)),"")</f>
        <v/>
      </c>
      <c r="T13" s="17">
        <f>IFERROR(INDEX('PROJETO PERFURAÇÃO'!$AN:$AN,MATCH(MEDIÇÃO!R13,'PROJETO PERFURAÇÃO'!$B:$B,0)),"")</f>
        <v>13.09</v>
      </c>
      <c r="U13" s="3"/>
      <c r="V13" s="3"/>
    </row>
    <row r="14" spans="2:22" ht="45" customHeight="1">
      <c r="B14" s="3" t="str">
        <f>IFERROR(ROUND(INDEX('PROJETO PERFURAÇÃO'!$AB:$AB,MATCH(MEDIÇÃO!D14,'PROJETO PERFURAÇÃO'!$B:$B,0)),1)&amp;"''","")</f>
        <v>5''</v>
      </c>
      <c r="C14" s="3" t="str">
        <f>IFERROR(IF(INDEX('PROJETO PERFURAÇÃO'!$P:$P,MATCH(MEDIÇÃO!D14,'PROJETO PERFURAÇÃO'!$B:$B,0))="Production","P",IF(INDEX('PROJETO PERFURAÇÃO'!$P:$P,MATCH(MEDIÇÃO!D14,'PROJETO PERFURAÇÃO'!$B:$B,0))="Buffer","B",IF(INDEX('PROJETO PERFURAÇÃO'!$P:$P,MATCH(MEDIÇÃO!D14,'PROJETO PERFURAÇÃO'!$B:$B,0))="Pre-Splitting","S"))),"")</f>
        <v>S</v>
      </c>
      <c r="D14" s="5">
        <f t="shared" si="0"/>
        <v>10</v>
      </c>
      <c r="E14" s="4" t="str">
        <f>IFERROR(INDEX('LEV R&amp;D'!$D:$D,MATCH(MEDIÇÃO!D14,'LEV R&amp;D'!$A:$A,0))-INDEX('PROJETO PERFURAÇÃO'!$AH:$AH,MATCH(MEDIÇÃO!D14,'PROJETO PERFURAÇÃO'!$B:$B,0)),"")</f>
        <v/>
      </c>
      <c r="F14" s="17">
        <f>IFERROR(INDEX('PROJETO PERFURAÇÃO'!$AN:$AN,MATCH(MEDIÇÃO!D14,'PROJETO PERFURAÇÃO'!$B:$B,0)),"")</f>
        <v>13.39</v>
      </c>
      <c r="G14" s="3"/>
      <c r="H14" s="3"/>
      <c r="I14" s="3" t="str">
        <f>IFERROR(ROUND(INDEX('PROJETO PERFURAÇÃO'!$AB:$AB,MATCH(MEDIÇÃO!K14,'PROJETO PERFURAÇÃO'!$B:$B,0)),1)&amp;"''","")</f>
        <v>5''</v>
      </c>
      <c r="J14" s="3" t="str">
        <f>IFERROR(IF(INDEX('PROJETO PERFURAÇÃO'!$P:$P,MATCH(MEDIÇÃO!K14,'PROJETO PERFURAÇÃO'!$B:$B,0))="Production","P",IF(INDEX('PROJETO PERFURAÇÃO'!$P:$P,MATCH(MEDIÇÃO!K14,'PROJETO PERFURAÇÃO'!$B:$B,0))="Buffer","B",IF(INDEX('PROJETO PERFURAÇÃO'!$P:$P,MATCH(MEDIÇÃO!K14,'PROJETO PERFURAÇÃO'!$B:$B,0))="Pre-Splitting","S"))),"")</f>
        <v>S</v>
      </c>
      <c r="K14" s="5">
        <f t="shared" si="1"/>
        <v>33</v>
      </c>
      <c r="L14" s="4" t="str">
        <f>IFERROR(INDEX('LEV R&amp;D'!$D:$D,MATCH(MEDIÇÃO!K14,'LEV R&amp;D'!$A:$A,0))-INDEX('PROJETO PERFURAÇÃO'!$AH:$AH,MATCH(MEDIÇÃO!K14,'PROJETO PERFURAÇÃO'!$B:$B,0)),"")</f>
        <v/>
      </c>
      <c r="M14" s="17">
        <f>IFERROR(INDEX('PROJETO PERFURAÇÃO'!$AN:$AN,MATCH(MEDIÇÃO!K14,'PROJETO PERFURAÇÃO'!$B:$B,0)),"")</f>
        <v>14.36</v>
      </c>
      <c r="N14" s="3"/>
      <c r="O14" s="3"/>
      <c r="P14" s="3" t="str">
        <f>IFERROR(ROUND(INDEX('PROJETO PERFURAÇÃO'!$AB:$AB,MATCH(MEDIÇÃO!R14,'PROJETO PERFURAÇÃO'!$B:$B,0)),1)&amp;"''","")</f>
        <v>5''</v>
      </c>
      <c r="Q14" s="3" t="str">
        <f>IFERROR(IF(INDEX('PROJETO PERFURAÇÃO'!$P:$P,MATCH(MEDIÇÃO!R14,'PROJETO PERFURAÇÃO'!$B:$B,0))="Production","P",IF(INDEX('PROJETO PERFURAÇÃO'!$P:$P,MATCH(MEDIÇÃO!R14,'PROJETO PERFURAÇÃO'!$B:$B,0))="Buffer","B",IF(INDEX('PROJETO PERFURAÇÃO'!$P:$P,MATCH(MEDIÇÃO!R14,'PROJETO PERFURAÇÃO'!$B:$B,0))="Pre-Splitting","S"))),"")</f>
        <v>S</v>
      </c>
      <c r="R14" s="5">
        <f t="shared" si="2"/>
        <v>56</v>
      </c>
      <c r="S14" s="4" t="str">
        <f>IFERROR(INDEX('LEV R&amp;D'!$D:$D,MATCH(MEDIÇÃO!R14,'LEV R&amp;D'!$A:$A,0))-INDEX('PROJETO PERFURAÇÃO'!$AH:$AH,MATCH(MEDIÇÃO!R14,'PROJETO PERFURAÇÃO'!$B:$B,0)),"")</f>
        <v/>
      </c>
      <c r="T14" s="17">
        <f>IFERROR(INDEX('PROJETO PERFURAÇÃO'!$AN:$AN,MATCH(MEDIÇÃO!R14,'PROJETO PERFURAÇÃO'!$B:$B,0)),"")</f>
        <v>12.94</v>
      </c>
      <c r="U14" s="3"/>
      <c r="V14" s="3"/>
    </row>
    <row r="15" spans="2:22" ht="45" customHeight="1">
      <c r="B15" s="3" t="str">
        <f>IFERROR(ROUND(INDEX('PROJETO PERFURAÇÃO'!$AB:$AB,MATCH(MEDIÇÃO!D15,'PROJETO PERFURAÇÃO'!$B:$B,0)),1)&amp;"''","")</f>
        <v>5''</v>
      </c>
      <c r="C15" s="3" t="str">
        <f>IFERROR(IF(INDEX('PROJETO PERFURAÇÃO'!$P:$P,MATCH(MEDIÇÃO!D15,'PROJETO PERFURAÇÃO'!$B:$B,0))="Production","P",IF(INDEX('PROJETO PERFURAÇÃO'!$P:$P,MATCH(MEDIÇÃO!D15,'PROJETO PERFURAÇÃO'!$B:$B,0))="Buffer","B",IF(INDEX('PROJETO PERFURAÇÃO'!$P:$P,MATCH(MEDIÇÃO!D15,'PROJETO PERFURAÇÃO'!$B:$B,0))="Pre-Splitting","S"))),"")</f>
        <v>S</v>
      </c>
      <c r="D15" s="5">
        <f t="shared" si="0"/>
        <v>11</v>
      </c>
      <c r="E15" s="4" t="str">
        <f>IFERROR(INDEX('LEV R&amp;D'!$D:$D,MATCH(MEDIÇÃO!D15,'LEV R&amp;D'!$A:$A,0))-INDEX('PROJETO PERFURAÇÃO'!$AH:$AH,MATCH(MEDIÇÃO!D15,'PROJETO PERFURAÇÃO'!$B:$B,0)),"")</f>
        <v/>
      </c>
      <c r="F15" s="17">
        <f>IFERROR(INDEX('PROJETO PERFURAÇÃO'!$AN:$AN,MATCH(MEDIÇÃO!D15,'PROJETO PERFURAÇÃO'!$B:$B,0)),"")</f>
        <v>12.92</v>
      </c>
      <c r="G15" s="3"/>
      <c r="H15" s="3"/>
      <c r="I15" s="3" t="str">
        <f>IFERROR(ROUND(INDEX('PROJETO PERFURAÇÃO'!$AB:$AB,MATCH(MEDIÇÃO!K15,'PROJETO PERFURAÇÃO'!$B:$B,0)),1)&amp;"''","")</f>
        <v>5''</v>
      </c>
      <c r="J15" s="3" t="str">
        <f>IFERROR(IF(INDEX('PROJETO PERFURAÇÃO'!$P:$P,MATCH(MEDIÇÃO!K15,'PROJETO PERFURAÇÃO'!$B:$B,0))="Production","P",IF(INDEX('PROJETO PERFURAÇÃO'!$P:$P,MATCH(MEDIÇÃO!K15,'PROJETO PERFURAÇÃO'!$B:$B,0))="Buffer","B",IF(INDEX('PROJETO PERFURAÇÃO'!$P:$P,MATCH(MEDIÇÃO!K15,'PROJETO PERFURAÇÃO'!$B:$B,0))="Pre-Splitting","S"))),"")</f>
        <v>S</v>
      </c>
      <c r="K15" s="5">
        <f t="shared" si="1"/>
        <v>34</v>
      </c>
      <c r="L15" s="4" t="str">
        <f>IFERROR(INDEX('LEV R&amp;D'!$D:$D,MATCH(MEDIÇÃO!K15,'LEV R&amp;D'!$A:$A,0))-INDEX('PROJETO PERFURAÇÃO'!$AH:$AH,MATCH(MEDIÇÃO!K15,'PROJETO PERFURAÇÃO'!$B:$B,0)),"")</f>
        <v/>
      </c>
      <c r="M15" s="17">
        <f>IFERROR(INDEX('PROJETO PERFURAÇÃO'!$AN:$AN,MATCH(MEDIÇÃO!K15,'PROJETO PERFURAÇÃO'!$B:$B,0)),"")</f>
        <v>14.21</v>
      </c>
      <c r="N15" s="3"/>
      <c r="O15" s="3"/>
      <c r="P15" s="3" t="str">
        <f>IFERROR(ROUND(INDEX('PROJETO PERFURAÇÃO'!$AB:$AB,MATCH(MEDIÇÃO!R15,'PROJETO PERFURAÇÃO'!$B:$B,0)),1)&amp;"''","")</f>
        <v>5''</v>
      </c>
      <c r="Q15" s="3" t="str">
        <f>IFERROR(IF(INDEX('PROJETO PERFURAÇÃO'!$P:$P,MATCH(MEDIÇÃO!R15,'PROJETO PERFURAÇÃO'!$B:$B,0))="Production","P",IF(INDEX('PROJETO PERFURAÇÃO'!$P:$P,MATCH(MEDIÇÃO!R15,'PROJETO PERFURAÇÃO'!$B:$B,0))="Buffer","B",IF(INDEX('PROJETO PERFURAÇÃO'!$P:$P,MATCH(MEDIÇÃO!R15,'PROJETO PERFURAÇÃO'!$B:$B,0))="Pre-Splitting","S"))),"")</f>
        <v>S</v>
      </c>
      <c r="R15" s="5">
        <f t="shared" si="2"/>
        <v>57</v>
      </c>
      <c r="S15" s="4" t="str">
        <f>IFERROR(INDEX('LEV R&amp;D'!$D:$D,MATCH(MEDIÇÃO!R15,'LEV R&amp;D'!$A:$A,0))-INDEX('PROJETO PERFURAÇÃO'!$AH:$AH,MATCH(MEDIÇÃO!R15,'PROJETO PERFURAÇÃO'!$B:$B,0)),"")</f>
        <v/>
      </c>
      <c r="T15" s="17">
        <f>IFERROR(INDEX('PROJETO PERFURAÇÃO'!$AN:$AN,MATCH(MEDIÇÃO!R15,'PROJETO PERFURAÇÃO'!$B:$B,0)),"")</f>
        <v>12.83</v>
      </c>
      <c r="U15" s="3"/>
      <c r="V15" s="3"/>
    </row>
    <row r="16" spans="2:22" ht="45" customHeight="1">
      <c r="B16" s="3" t="str">
        <f>IFERROR(ROUND(INDEX('PROJETO PERFURAÇÃO'!$AB:$AB,MATCH(MEDIÇÃO!D16,'PROJETO PERFURAÇÃO'!$B:$B,0)),1)&amp;"''","")</f>
        <v>5''</v>
      </c>
      <c r="C16" s="3" t="str">
        <f>IFERROR(IF(INDEX('PROJETO PERFURAÇÃO'!$P:$P,MATCH(MEDIÇÃO!D16,'PROJETO PERFURAÇÃO'!$B:$B,0))="Production","P",IF(INDEX('PROJETO PERFURAÇÃO'!$P:$P,MATCH(MEDIÇÃO!D16,'PROJETO PERFURAÇÃO'!$B:$B,0))="Buffer","B",IF(INDEX('PROJETO PERFURAÇÃO'!$P:$P,MATCH(MEDIÇÃO!D16,'PROJETO PERFURAÇÃO'!$B:$B,0))="Pre-Splitting","S"))),"")</f>
        <v>S</v>
      </c>
      <c r="D16" s="5">
        <f t="shared" si="0"/>
        <v>12</v>
      </c>
      <c r="E16" s="4" t="str">
        <f>IFERROR(INDEX('LEV R&amp;D'!$D:$D,MATCH(MEDIÇÃO!D16,'LEV R&amp;D'!$A:$A,0))-INDEX('PROJETO PERFURAÇÃO'!$AH:$AH,MATCH(MEDIÇÃO!D16,'PROJETO PERFURAÇÃO'!$B:$B,0)),"")</f>
        <v/>
      </c>
      <c r="F16" s="17">
        <f>IFERROR(INDEX('PROJETO PERFURAÇÃO'!$AN:$AN,MATCH(MEDIÇÃO!D16,'PROJETO PERFURAÇÃO'!$B:$B,0)),"")</f>
        <v>12.89</v>
      </c>
      <c r="G16" s="3"/>
      <c r="H16" s="3"/>
      <c r="I16" s="3" t="str">
        <f>IFERROR(ROUND(INDEX('PROJETO PERFURAÇÃO'!$AB:$AB,MATCH(MEDIÇÃO!K16,'PROJETO PERFURAÇÃO'!$B:$B,0)),1)&amp;"''","")</f>
        <v>5''</v>
      </c>
      <c r="J16" s="3" t="str">
        <f>IFERROR(IF(INDEX('PROJETO PERFURAÇÃO'!$P:$P,MATCH(MEDIÇÃO!K16,'PROJETO PERFURAÇÃO'!$B:$B,0))="Production","P",IF(INDEX('PROJETO PERFURAÇÃO'!$P:$P,MATCH(MEDIÇÃO!K16,'PROJETO PERFURAÇÃO'!$B:$B,0))="Buffer","B",IF(INDEX('PROJETO PERFURAÇÃO'!$P:$P,MATCH(MEDIÇÃO!K16,'PROJETO PERFURAÇÃO'!$B:$B,0))="Pre-Splitting","S"))),"")</f>
        <v>S</v>
      </c>
      <c r="K16" s="5">
        <f t="shared" si="1"/>
        <v>35</v>
      </c>
      <c r="L16" s="4" t="str">
        <f>IFERROR(INDEX('LEV R&amp;D'!$D:$D,MATCH(MEDIÇÃO!K16,'LEV R&amp;D'!$A:$A,0))-INDEX('PROJETO PERFURAÇÃO'!$AH:$AH,MATCH(MEDIÇÃO!K16,'PROJETO PERFURAÇÃO'!$B:$B,0)),"")</f>
        <v/>
      </c>
      <c r="M16" s="17">
        <f>IFERROR(INDEX('PROJETO PERFURAÇÃO'!$AN:$AN,MATCH(MEDIÇÃO!K16,'PROJETO PERFURAÇÃO'!$B:$B,0)),"")</f>
        <v>13.95</v>
      </c>
      <c r="N16" s="3"/>
      <c r="O16" s="3"/>
      <c r="P16" s="3" t="str">
        <f>IFERROR(ROUND(INDEX('PROJETO PERFURAÇÃO'!$AB:$AB,MATCH(MEDIÇÃO!R16,'PROJETO PERFURAÇÃO'!$B:$B,0)),1)&amp;"''","")</f>
        <v>5''</v>
      </c>
      <c r="Q16" s="3" t="str">
        <f>IFERROR(IF(INDEX('PROJETO PERFURAÇÃO'!$P:$P,MATCH(MEDIÇÃO!R16,'PROJETO PERFURAÇÃO'!$B:$B,0))="Production","P",IF(INDEX('PROJETO PERFURAÇÃO'!$P:$P,MATCH(MEDIÇÃO!R16,'PROJETO PERFURAÇÃO'!$B:$B,0))="Buffer","B",IF(INDEX('PROJETO PERFURAÇÃO'!$P:$P,MATCH(MEDIÇÃO!R16,'PROJETO PERFURAÇÃO'!$B:$B,0))="Pre-Splitting","S"))),"")</f>
        <v>S</v>
      </c>
      <c r="R16" s="5">
        <f t="shared" si="2"/>
        <v>58</v>
      </c>
      <c r="S16" s="4" t="str">
        <f>IFERROR(INDEX('LEV R&amp;D'!$D:$D,MATCH(MEDIÇÃO!R16,'LEV R&amp;D'!$A:$A,0))-INDEX('PROJETO PERFURAÇÃO'!$AH:$AH,MATCH(MEDIÇÃO!R16,'PROJETO PERFURAÇÃO'!$B:$B,0)),"")</f>
        <v/>
      </c>
      <c r="T16" s="17">
        <f>IFERROR(INDEX('PROJETO PERFURAÇÃO'!$AN:$AN,MATCH(MEDIÇÃO!R16,'PROJETO PERFURAÇÃO'!$B:$B,0)),"")</f>
        <v>12.57</v>
      </c>
      <c r="U16" s="3"/>
      <c r="V16" s="3"/>
    </row>
    <row r="17" spans="2:22" ht="45" customHeight="1">
      <c r="B17" s="3" t="str">
        <f>IFERROR(ROUND(INDEX('PROJETO PERFURAÇÃO'!$AB:$AB,MATCH(MEDIÇÃO!D17,'PROJETO PERFURAÇÃO'!$B:$B,0)),1)&amp;"''","")</f>
        <v>5''</v>
      </c>
      <c r="C17" s="3" t="str">
        <f>IFERROR(IF(INDEX('PROJETO PERFURAÇÃO'!$P:$P,MATCH(MEDIÇÃO!D17,'PROJETO PERFURAÇÃO'!$B:$B,0))="Production","P",IF(INDEX('PROJETO PERFURAÇÃO'!$P:$P,MATCH(MEDIÇÃO!D17,'PROJETO PERFURAÇÃO'!$B:$B,0))="Buffer","B",IF(INDEX('PROJETO PERFURAÇÃO'!$P:$P,MATCH(MEDIÇÃO!D17,'PROJETO PERFURAÇÃO'!$B:$B,0))="Pre-Splitting","S"))),"")</f>
        <v>S</v>
      </c>
      <c r="D17" s="5">
        <f t="shared" si="0"/>
        <v>13</v>
      </c>
      <c r="E17" s="4" t="str">
        <f>IFERROR(INDEX('LEV R&amp;D'!$D:$D,MATCH(MEDIÇÃO!D17,'LEV R&amp;D'!$A:$A,0))-INDEX('PROJETO PERFURAÇÃO'!$AH:$AH,MATCH(MEDIÇÃO!D17,'PROJETO PERFURAÇÃO'!$B:$B,0)),"")</f>
        <v/>
      </c>
      <c r="F17" s="17">
        <f>IFERROR(INDEX('PROJETO PERFURAÇÃO'!$AN:$AN,MATCH(MEDIÇÃO!D17,'PROJETO PERFURAÇÃO'!$B:$B,0)),"")</f>
        <v>12.86</v>
      </c>
      <c r="G17" s="3"/>
      <c r="H17" s="3"/>
      <c r="I17" s="3" t="str">
        <f>IFERROR(ROUND(INDEX('PROJETO PERFURAÇÃO'!$AB:$AB,MATCH(MEDIÇÃO!K17,'PROJETO PERFURAÇÃO'!$B:$B,0)),1)&amp;"''","")</f>
        <v>5''</v>
      </c>
      <c r="J17" s="3" t="str">
        <f>IFERROR(IF(INDEX('PROJETO PERFURAÇÃO'!$P:$P,MATCH(MEDIÇÃO!K17,'PROJETO PERFURAÇÃO'!$B:$B,0))="Production","P",IF(INDEX('PROJETO PERFURAÇÃO'!$P:$P,MATCH(MEDIÇÃO!K17,'PROJETO PERFURAÇÃO'!$B:$B,0))="Buffer","B",IF(INDEX('PROJETO PERFURAÇÃO'!$P:$P,MATCH(MEDIÇÃO!K17,'PROJETO PERFURAÇÃO'!$B:$B,0))="Pre-Splitting","S"))),"")</f>
        <v>S</v>
      </c>
      <c r="K17" s="5">
        <f t="shared" si="1"/>
        <v>36</v>
      </c>
      <c r="L17" s="4" t="str">
        <f>IFERROR(INDEX('LEV R&amp;D'!$D:$D,MATCH(MEDIÇÃO!K17,'LEV R&amp;D'!$A:$A,0))-INDEX('PROJETO PERFURAÇÃO'!$AH:$AH,MATCH(MEDIÇÃO!K17,'PROJETO PERFURAÇÃO'!$B:$B,0)),"")</f>
        <v/>
      </c>
      <c r="M17" s="17">
        <f>IFERROR(INDEX('PROJETO PERFURAÇÃO'!$AN:$AN,MATCH(MEDIÇÃO!K17,'PROJETO PERFURAÇÃO'!$B:$B,0)),"")</f>
        <v>13.89</v>
      </c>
      <c r="N17" s="3"/>
      <c r="O17" s="3"/>
      <c r="P17" s="3" t="str">
        <f>IFERROR(ROUND(INDEX('PROJETO PERFURAÇÃO'!$AB:$AB,MATCH(MEDIÇÃO!R17,'PROJETO PERFURAÇÃO'!$B:$B,0)),1)&amp;"''","")</f>
        <v>5''</v>
      </c>
      <c r="Q17" s="3" t="str">
        <f>IFERROR(IF(INDEX('PROJETO PERFURAÇÃO'!$P:$P,MATCH(MEDIÇÃO!R17,'PROJETO PERFURAÇÃO'!$B:$B,0))="Production","P",IF(INDEX('PROJETO PERFURAÇÃO'!$P:$P,MATCH(MEDIÇÃO!R17,'PROJETO PERFURAÇÃO'!$B:$B,0))="Buffer","B",IF(INDEX('PROJETO PERFURAÇÃO'!$P:$P,MATCH(MEDIÇÃO!R17,'PROJETO PERFURAÇÃO'!$B:$B,0))="Pre-Splitting","S"))),"")</f>
        <v>S</v>
      </c>
      <c r="R17" s="5">
        <f t="shared" si="2"/>
        <v>59</v>
      </c>
      <c r="S17" s="4" t="str">
        <f>IFERROR(INDEX('LEV R&amp;D'!$D:$D,MATCH(MEDIÇÃO!R17,'LEV R&amp;D'!$A:$A,0))-INDEX('PROJETO PERFURAÇÃO'!$AH:$AH,MATCH(MEDIÇÃO!R17,'PROJETO PERFURAÇÃO'!$B:$B,0)),"")</f>
        <v/>
      </c>
      <c r="T17" s="17">
        <f>IFERROR(INDEX('PROJETO PERFURAÇÃO'!$AN:$AN,MATCH(MEDIÇÃO!R17,'PROJETO PERFURAÇÃO'!$B:$B,0)),"")</f>
        <v>12.34</v>
      </c>
      <c r="U17" s="3"/>
      <c r="V17" s="3"/>
    </row>
    <row r="18" spans="2:22" ht="45" customHeight="1">
      <c r="B18" s="3" t="str">
        <f>IFERROR(ROUND(INDEX('PROJETO PERFURAÇÃO'!$AB:$AB,MATCH(MEDIÇÃO!D18,'PROJETO PERFURAÇÃO'!$B:$B,0)),1)&amp;"''","")</f>
        <v>5''</v>
      </c>
      <c r="C18" s="3" t="str">
        <f>IFERROR(IF(INDEX('PROJETO PERFURAÇÃO'!$P:$P,MATCH(MEDIÇÃO!D18,'PROJETO PERFURAÇÃO'!$B:$B,0))="Production","P",IF(INDEX('PROJETO PERFURAÇÃO'!$P:$P,MATCH(MEDIÇÃO!D18,'PROJETO PERFURAÇÃO'!$B:$B,0))="Buffer","B",IF(INDEX('PROJETO PERFURAÇÃO'!$P:$P,MATCH(MEDIÇÃO!D18,'PROJETO PERFURAÇÃO'!$B:$B,0))="Pre-Splitting","S"))),"")</f>
        <v>S</v>
      </c>
      <c r="D18" s="5">
        <f t="shared" si="0"/>
        <v>14</v>
      </c>
      <c r="E18" s="4" t="str">
        <f>IFERROR(INDEX('LEV R&amp;D'!$D:$D,MATCH(MEDIÇÃO!D18,'LEV R&amp;D'!$A:$A,0))-INDEX('PROJETO PERFURAÇÃO'!$AH:$AH,MATCH(MEDIÇÃO!D18,'PROJETO PERFURAÇÃO'!$B:$B,0)),"")</f>
        <v/>
      </c>
      <c r="F18" s="17">
        <f>IFERROR(INDEX('PROJETO PERFURAÇÃO'!$AN:$AN,MATCH(MEDIÇÃO!D18,'PROJETO PERFURAÇÃO'!$B:$B,0)),"")</f>
        <v>12.83</v>
      </c>
      <c r="G18" s="3"/>
      <c r="H18" s="3"/>
      <c r="I18" s="3" t="str">
        <f>IFERROR(ROUND(INDEX('PROJETO PERFURAÇÃO'!$AB:$AB,MATCH(MEDIÇÃO!K18,'PROJETO PERFURAÇÃO'!$B:$B,0)),1)&amp;"''","")</f>
        <v>5''</v>
      </c>
      <c r="J18" s="3" t="str">
        <f>IFERROR(IF(INDEX('PROJETO PERFURAÇÃO'!$P:$P,MATCH(MEDIÇÃO!K18,'PROJETO PERFURAÇÃO'!$B:$B,0))="Production","P",IF(INDEX('PROJETO PERFURAÇÃO'!$P:$P,MATCH(MEDIÇÃO!K18,'PROJETO PERFURAÇÃO'!$B:$B,0))="Buffer","B",IF(INDEX('PROJETO PERFURAÇÃO'!$P:$P,MATCH(MEDIÇÃO!K18,'PROJETO PERFURAÇÃO'!$B:$B,0))="Pre-Splitting","S"))),"")</f>
        <v>S</v>
      </c>
      <c r="K18" s="5">
        <f t="shared" si="1"/>
        <v>37</v>
      </c>
      <c r="L18" s="4" t="str">
        <f>IFERROR(INDEX('LEV R&amp;D'!$D:$D,MATCH(MEDIÇÃO!K18,'LEV R&amp;D'!$A:$A,0))-INDEX('PROJETO PERFURAÇÃO'!$AH:$AH,MATCH(MEDIÇÃO!K18,'PROJETO PERFURAÇÃO'!$B:$B,0)),"")</f>
        <v/>
      </c>
      <c r="M18" s="17">
        <f>IFERROR(INDEX('PROJETO PERFURAÇÃO'!$AN:$AN,MATCH(MEDIÇÃO!K18,'PROJETO PERFURAÇÃO'!$B:$B,0)),"")</f>
        <v>13.83</v>
      </c>
      <c r="N18" s="3"/>
      <c r="O18" s="3"/>
      <c r="P18" s="3" t="str">
        <f>IFERROR(ROUND(INDEX('PROJETO PERFURAÇÃO'!$AB:$AB,MATCH(MEDIÇÃO!R18,'PROJETO PERFURAÇÃO'!$B:$B,0)),1)&amp;"''","")</f>
        <v>5''</v>
      </c>
      <c r="Q18" s="3" t="str">
        <f>IFERROR(IF(INDEX('PROJETO PERFURAÇÃO'!$P:$P,MATCH(MEDIÇÃO!R18,'PROJETO PERFURAÇÃO'!$B:$B,0))="Production","P",IF(INDEX('PROJETO PERFURAÇÃO'!$P:$P,MATCH(MEDIÇÃO!R18,'PROJETO PERFURAÇÃO'!$B:$B,0))="Buffer","B",IF(INDEX('PROJETO PERFURAÇÃO'!$P:$P,MATCH(MEDIÇÃO!R18,'PROJETO PERFURAÇÃO'!$B:$B,0))="Pre-Splitting","S"))),"")</f>
        <v>S</v>
      </c>
      <c r="R18" s="5">
        <f t="shared" si="2"/>
        <v>60</v>
      </c>
      <c r="S18" s="4" t="str">
        <f>IFERROR(INDEX('LEV R&amp;D'!$D:$D,MATCH(MEDIÇÃO!R18,'LEV R&amp;D'!$A:$A,0))-INDEX('PROJETO PERFURAÇÃO'!$AH:$AH,MATCH(MEDIÇÃO!R18,'PROJETO PERFURAÇÃO'!$B:$B,0)),"")</f>
        <v/>
      </c>
      <c r="T18" s="17">
        <f>IFERROR(INDEX('PROJETO PERFURAÇÃO'!$AN:$AN,MATCH(MEDIÇÃO!R18,'PROJETO PERFURAÇÃO'!$B:$B,0)),"")</f>
        <v>12.03</v>
      </c>
      <c r="U18" s="3"/>
      <c r="V18" s="3"/>
    </row>
    <row r="19" spans="2:22" ht="45" customHeight="1">
      <c r="B19" s="3" t="str">
        <f>IFERROR(ROUND(INDEX('PROJETO PERFURAÇÃO'!$AB:$AB,MATCH(MEDIÇÃO!D19,'PROJETO PERFURAÇÃO'!$B:$B,0)),1)&amp;"''","")</f>
        <v>5''</v>
      </c>
      <c r="C19" s="3" t="str">
        <f>IFERROR(IF(INDEX('PROJETO PERFURAÇÃO'!$P:$P,MATCH(MEDIÇÃO!D19,'PROJETO PERFURAÇÃO'!$B:$B,0))="Production","P",IF(INDEX('PROJETO PERFURAÇÃO'!$P:$P,MATCH(MEDIÇÃO!D19,'PROJETO PERFURAÇÃO'!$B:$B,0))="Buffer","B",IF(INDEX('PROJETO PERFURAÇÃO'!$P:$P,MATCH(MEDIÇÃO!D19,'PROJETO PERFURAÇÃO'!$B:$B,0))="Pre-Splitting","S"))),"")</f>
        <v>S</v>
      </c>
      <c r="D19" s="5">
        <f t="shared" si="0"/>
        <v>15</v>
      </c>
      <c r="E19" s="4" t="str">
        <f>IFERROR(INDEX('LEV R&amp;D'!$D:$D,MATCH(MEDIÇÃO!D19,'LEV R&amp;D'!$A:$A,0))-INDEX('PROJETO PERFURAÇÃO'!$AH:$AH,MATCH(MEDIÇÃO!D19,'PROJETO PERFURAÇÃO'!$B:$B,0)),"")</f>
        <v/>
      </c>
      <c r="F19" s="17">
        <f>IFERROR(INDEX('PROJETO PERFURAÇÃO'!$AN:$AN,MATCH(MEDIÇÃO!D19,'PROJETO PERFURAÇÃO'!$B:$B,0)),"")</f>
        <v>12.74</v>
      </c>
      <c r="G19" s="3"/>
      <c r="H19" s="3"/>
      <c r="I19" s="3" t="str">
        <f>IFERROR(ROUND(INDEX('PROJETO PERFURAÇÃO'!$AB:$AB,MATCH(MEDIÇÃO!K19,'PROJETO PERFURAÇÃO'!$B:$B,0)),1)&amp;"''","")</f>
        <v>5''</v>
      </c>
      <c r="J19" s="3" t="str">
        <f>IFERROR(IF(INDEX('PROJETO PERFURAÇÃO'!$P:$P,MATCH(MEDIÇÃO!K19,'PROJETO PERFURAÇÃO'!$B:$B,0))="Production","P",IF(INDEX('PROJETO PERFURAÇÃO'!$P:$P,MATCH(MEDIÇÃO!K19,'PROJETO PERFURAÇÃO'!$B:$B,0))="Buffer","B",IF(INDEX('PROJETO PERFURAÇÃO'!$P:$P,MATCH(MEDIÇÃO!K19,'PROJETO PERFURAÇÃO'!$B:$B,0))="Pre-Splitting","S"))),"")</f>
        <v>S</v>
      </c>
      <c r="K19" s="5">
        <f t="shared" si="1"/>
        <v>38</v>
      </c>
      <c r="L19" s="4" t="str">
        <f>IFERROR(INDEX('LEV R&amp;D'!$D:$D,MATCH(MEDIÇÃO!K19,'LEV R&amp;D'!$A:$A,0))-INDEX('PROJETO PERFURAÇÃO'!$AH:$AH,MATCH(MEDIÇÃO!K19,'PROJETO PERFURAÇÃO'!$B:$B,0)),"")</f>
        <v/>
      </c>
      <c r="M19" s="17">
        <f>IFERROR(INDEX('PROJETO PERFURAÇÃO'!$AN:$AN,MATCH(MEDIÇÃO!K19,'PROJETO PERFURAÇÃO'!$B:$B,0)),"")</f>
        <v>13.74</v>
      </c>
      <c r="N19" s="3"/>
      <c r="O19" s="3"/>
      <c r="P19" s="3" t="str">
        <f>IFERROR(ROUND(INDEX('PROJETO PERFURAÇÃO'!$AB:$AB,MATCH(MEDIÇÃO!R19,'PROJETO PERFURAÇÃO'!$B:$B,0)),1)&amp;"''","")</f>
        <v>5''</v>
      </c>
      <c r="Q19" s="3" t="str">
        <f>IFERROR(IF(INDEX('PROJETO PERFURAÇÃO'!$P:$P,MATCH(MEDIÇÃO!R19,'PROJETO PERFURAÇÃO'!$B:$B,0))="Production","P",IF(INDEX('PROJETO PERFURAÇÃO'!$P:$P,MATCH(MEDIÇÃO!R19,'PROJETO PERFURAÇÃO'!$B:$B,0))="Buffer","B",IF(INDEX('PROJETO PERFURAÇÃO'!$P:$P,MATCH(MEDIÇÃO!R19,'PROJETO PERFURAÇÃO'!$B:$B,0))="Pre-Splitting","S"))),"")</f>
        <v>S</v>
      </c>
      <c r="R19" s="5">
        <f t="shared" si="2"/>
        <v>61</v>
      </c>
      <c r="S19" s="4" t="str">
        <f>IFERROR(INDEX('LEV R&amp;D'!$D:$D,MATCH(MEDIÇÃO!R19,'LEV R&amp;D'!$A:$A,0))-INDEX('PROJETO PERFURAÇÃO'!$AH:$AH,MATCH(MEDIÇÃO!R19,'PROJETO PERFURAÇÃO'!$B:$B,0)),"")</f>
        <v/>
      </c>
      <c r="T19" s="17">
        <f>IFERROR(INDEX('PROJETO PERFURAÇÃO'!$AN:$AN,MATCH(MEDIÇÃO!R19,'PROJETO PERFURAÇÃO'!$B:$B,0)),"")</f>
        <v>12.09</v>
      </c>
      <c r="U19" s="3"/>
      <c r="V19" s="3"/>
    </row>
    <row r="20" spans="2:22" ht="45" customHeight="1">
      <c r="B20" s="3" t="str">
        <f>IFERROR(ROUND(INDEX('PROJETO PERFURAÇÃO'!$AB:$AB,MATCH(MEDIÇÃO!D20,'PROJETO PERFURAÇÃO'!$B:$B,0)),1)&amp;"''","")</f>
        <v>5''</v>
      </c>
      <c r="C20" s="3" t="str">
        <f>IFERROR(IF(INDEX('PROJETO PERFURAÇÃO'!$P:$P,MATCH(MEDIÇÃO!D20,'PROJETO PERFURAÇÃO'!$B:$B,0))="Production","P",IF(INDEX('PROJETO PERFURAÇÃO'!$P:$P,MATCH(MEDIÇÃO!D20,'PROJETO PERFURAÇÃO'!$B:$B,0))="Buffer","B",IF(INDEX('PROJETO PERFURAÇÃO'!$P:$P,MATCH(MEDIÇÃO!D20,'PROJETO PERFURAÇÃO'!$B:$B,0))="Pre-Splitting","S"))),"")</f>
        <v>S</v>
      </c>
      <c r="D20" s="5">
        <f t="shared" si="0"/>
        <v>16</v>
      </c>
      <c r="E20" s="4" t="str">
        <f>IFERROR(INDEX('LEV R&amp;D'!$D:$D,MATCH(MEDIÇÃO!D20,'LEV R&amp;D'!$A:$A,0))-INDEX('PROJETO PERFURAÇÃO'!$AH:$AH,MATCH(MEDIÇÃO!D20,'PROJETO PERFURAÇÃO'!$B:$B,0)),"")</f>
        <v/>
      </c>
      <c r="F20" s="17">
        <f>IFERROR(INDEX('PROJETO PERFURAÇÃO'!$AN:$AN,MATCH(MEDIÇÃO!D20,'PROJETO PERFURAÇÃO'!$B:$B,0)),"")</f>
        <v>12.73</v>
      </c>
      <c r="G20" s="3"/>
      <c r="H20" s="3"/>
      <c r="I20" s="3" t="str">
        <f>IFERROR(ROUND(INDEX('PROJETO PERFURAÇÃO'!$AB:$AB,MATCH(MEDIÇÃO!K20,'PROJETO PERFURAÇÃO'!$B:$B,0)),1)&amp;"''","")</f>
        <v>5''</v>
      </c>
      <c r="J20" s="3" t="str">
        <f>IFERROR(IF(INDEX('PROJETO PERFURAÇÃO'!$P:$P,MATCH(MEDIÇÃO!K20,'PROJETO PERFURAÇÃO'!$B:$B,0))="Production","P",IF(INDEX('PROJETO PERFURAÇÃO'!$P:$P,MATCH(MEDIÇÃO!K20,'PROJETO PERFURAÇÃO'!$B:$B,0))="Buffer","B",IF(INDEX('PROJETO PERFURAÇÃO'!$P:$P,MATCH(MEDIÇÃO!K20,'PROJETO PERFURAÇÃO'!$B:$B,0))="Pre-Splitting","S"))),"")</f>
        <v>S</v>
      </c>
      <c r="K20" s="5">
        <f t="shared" si="1"/>
        <v>39</v>
      </c>
      <c r="L20" s="4" t="str">
        <f>IFERROR(INDEX('LEV R&amp;D'!$D:$D,MATCH(MEDIÇÃO!K20,'LEV R&amp;D'!$A:$A,0))-INDEX('PROJETO PERFURAÇÃO'!$AH:$AH,MATCH(MEDIÇÃO!K20,'PROJETO PERFURAÇÃO'!$B:$B,0)),"")</f>
        <v/>
      </c>
      <c r="M20" s="17">
        <f>IFERROR(INDEX('PROJETO PERFURAÇÃO'!$AN:$AN,MATCH(MEDIÇÃO!K20,'PROJETO PERFURAÇÃO'!$B:$B,0)),"")</f>
        <v>13.69</v>
      </c>
      <c r="N20" s="3"/>
      <c r="O20" s="3"/>
      <c r="P20" s="3" t="str">
        <f>IFERROR(ROUND(INDEX('PROJETO PERFURAÇÃO'!$AB:$AB,MATCH(MEDIÇÃO!R20,'PROJETO PERFURAÇÃO'!$B:$B,0)),1)&amp;"''","")</f>
        <v>5''</v>
      </c>
      <c r="Q20" s="3" t="str">
        <f>IFERROR(IF(INDEX('PROJETO PERFURAÇÃO'!$P:$P,MATCH(MEDIÇÃO!R20,'PROJETO PERFURAÇÃO'!$B:$B,0))="Production","P",IF(INDEX('PROJETO PERFURAÇÃO'!$P:$P,MATCH(MEDIÇÃO!R20,'PROJETO PERFURAÇÃO'!$B:$B,0))="Buffer","B",IF(INDEX('PROJETO PERFURAÇÃO'!$P:$P,MATCH(MEDIÇÃO!R20,'PROJETO PERFURAÇÃO'!$B:$B,0))="Pre-Splitting","S"))),"")</f>
        <v>S</v>
      </c>
      <c r="R20" s="5">
        <f t="shared" si="2"/>
        <v>62</v>
      </c>
      <c r="S20" s="4" t="str">
        <f>IFERROR(INDEX('LEV R&amp;D'!$D:$D,MATCH(MEDIÇÃO!R20,'LEV R&amp;D'!$A:$A,0))-INDEX('PROJETO PERFURAÇÃO'!$AH:$AH,MATCH(MEDIÇÃO!R20,'PROJETO PERFURAÇÃO'!$B:$B,0)),"")</f>
        <v/>
      </c>
      <c r="T20" s="17">
        <f>IFERROR(INDEX('PROJETO PERFURAÇÃO'!$AN:$AN,MATCH(MEDIÇÃO!R20,'PROJETO PERFURAÇÃO'!$B:$B,0)),"")</f>
        <v>12.09</v>
      </c>
      <c r="U20" s="3"/>
      <c r="V20" s="3"/>
    </row>
    <row r="21" spans="2:22" ht="45" customHeight="1">
      <c r="B21" s="3" t="str">
        <f>IFERROR(ROUND(INDEX('PROJETO PERFURAÇÃO'!$AB:$AB,MATCH(MEDIÇÃO!D21,'PROJETO PERFURAÇÃO'!$B:$B,0)),1)&amp;"''","")</f>
        <v>5''</v>
      </c>
      <c r="C21" s="3" t="str">
        <f>IFERROR(IF(INDEX('PROJETO PERFURAÇÃO'!$P:$P,MATCH(MEDIÇÃO!D21,'PROJETO PERFURAÇÃO'!$B:$B,0))="Production","P",IF(INDEX('PROJETO PERFURAÇÃO'!$P:$P,MATCH(MEDIÇÃO!D21,'PROJETO PERFURAÇÃO'!$B:$B,0))="Buffer","B",IF(INDEX('PROJETO PERFURAÇÃO'!$P:$P,MATCH(MEDIÇÃO!D21,'PROJETO PERFURAÇÃO'!$B:$B,0))="Pre-Splitting","S"))),"")</f>
        <v>S</v>
      </c>
      <c r="D21" s="5">
        <f t="shared" si="0"/>
        <v>17</v>
      </c>
      <c r="E21" s="4" t="str">
        <f>IFERROR(INDEX('LEV R&amp;D'!$D:$D,MATCH(MEDIÇÃO!D21,'LEV R&amp;D'!$A:$A,0))-INDEX('PROJETO PERFURAÇÃO'!$AH:$AH,MATCH(MEDIÇÃO!D21,'PROJETO PERFURAÇÃO'!$B:$B,0)),"")</f>
        <v/>
      </c>
      <c r="F21" s="17">
        <f>IFERROR(INDEX('PROJETO PERFURAÇÃO'!$AN:$AN,MATCH(MEDIÇÃO!D21,'PROJETO PERFURAÇÃO'!$B:$B,0)),"")</f>
        <v>12.68</v>
      </c>
      <c r="G21" s="3"/>
      <c r="H21" s="3"/>
      <c r="I21" s="3" t="str">
        <f>IFERROR(ROUND(INDEX('PROJETO PERFURAÇÃO'!$AB:$AB,MATCH(MEDIÇÃO!K21,'PROJETO PERFURAÇÃO'!$B:$B,0)),1)&amp;"''","")</f>
        <v>5''</v>
      </c>
      <c r="J21" s="3" t="str">
        <f>IFERROR(IF(INDEX('PROJETO PERFURAÇÃO'!$P:$P,MATCH(MEDIÇÃO!K21,'PROJETO PERFURAÇÃO'!$B:$B,0))="Production","P",IF(INDEX('PROJETO PERFURAÇÃO'!$P:$P,MATCH(MEDIÇÃO!K21,'PROJETO PERFURAÇÃO'!$B:$B,0))="Buffer","B",IF(INDEX('PROJETO PERFURAÇÃO'!$P:$P,MATCH(MEDIÇÃO!K21,'PROJETO PERFURAÇÃO'!$B:$B,0))="Pre-Splitting","S"))),"")</f>
        <v>S</v>
      </c>
      <c r="K21" s="5">
        <f t="shared" si="1"/>
        <v>40</v>
      </c>
      <c r="L21" s="4" t="str">
        <f>IFERROR(INDEX('LEV R&amp;D'!$D:$D,MATCH(MEDIÇÃO!K21,'LEV R&amp;D'!$A:$A,0))-INDEX('PROJETO PERFURAÇÃO'!$AH:$AH,MATCH(MEDIÇÃO!K21,'PROJETO PERFURAÇÃO'!$B:$B,0)),"")</f>
        <v/>
      </c>
      <c r="M21" s="17">
        <f>IFERROR(INDEX('PROJETO PERFURAÇÃO'!$AN:$AN,MATCH(MEDIÇÃO!K21,'PROJETO PERFURAÇÃO'!$B:$B,0)),"")</f>
        <v>13.92</v>
      </c>
      <c r="N21" s="3"/>
      <c r="O21" s="3"/>
      <c r="P21" s="3" t="str">
        <f>IFERROR(ROUND(INDEX('PROJETO PERFURAÇÃO'!$AB:$AB,MATCH(MEDIÇÃO!R21,'PROJETO PERFURAÇÃO'!$B:$B,0)),1)&amp;"''","")</f>
        <v>5''</v>
      </c>
      <c r="Q21" s="3" t="str">
        <f>IFERROR(IF(INDEX('PROJETO PERFURAÇÃO'!$P:$P,MATCH(MEDIÇÃO!R21,'PROJETO PERFURAÇÃO'!$B:$B,0))="Production","P",IF(INDEX('PROJETO PERFURAÇÃO'!$P:$P,MATCH(MEDIÇÃO!R21,'PROJETO PERFURAÇÃO'!$B:$B,0))="Buffer","B",IF(INDEX('PROJETO PERFURAÇÃO'!$P:$P,MATCH(MEDIÇÃO!R21,'PROJETO PERFURAÇÃO'!$B:$B,0))="Pre-Splitting","S"))),"")</f>
        <v>S</v>
      </c>
      <c r="R21" s="5">
        <f t="shared" si="2"/>
        <v>63</v>
      </c>
      <c r="S21" s="4" t="str">
        <f>IFERROR(INDEX('LEV R&amp;D'!$D:$D,MATCH(MEDIÇÃO!R21,'LEV R&amp;D'!$A:$A,0))-INDEX('PROJETO PERFURAÇÃO'!$AH:$AH,MATCH(MEDIÇÃO!R21,'PROJETO PERFURAÇÃO'!$B:$B,0)),"")</f>
        <v/>
      </c>
      <c r="T21" s="17">
        <f>IFERROR(INDEX('PROJETO PERFURAÇÃO'!$AN:$AN,MATCH(MEDIÇÃO!R21,'PROJETO PERFURAÇÃO'!$B:$B,0)),"")</f>
        <v>12.09</v>
      </c>
      <c r="U21" s="3"/>
      <c r="V21" s="3"/>
    </row>
    <row r="22" spans="2:22" ht="45" customHeight="1">
      <c r="B22" s="3" t="str">
        <f>IFERROR(ROUND(INDEX('PROJETO PERFURAÇÃO'!$AB:$AB,MATCH(MEDIÇÃO!D22,'PROJETO PERFURAÇÃO'!$B:$B,0)),1)&amp;"''","")</f>
        <v>5''</v>
      </c>
      <c r="C22" s="3" t="str">
        <f>IFERROR(IF(INDEX('PROJETO PERFURAÇÃO'!$P:$P,MATCH(MEDIÇÃO!D22,'PROJETO PERFURAÇÃO'!$B:$B,0))="Production","P",IF(INDEX('PROJETO PERFURAÇÃO'!$P:$P,MATCH(MEDIÇÃO!D22,'PROJETO PERFURAÇÃO'!$B:$B,0))="Buffer","B",IF(INDEX('PROJETO PERFURAÇÃO'!$P:$P,MATCH(MEDIÇÃO!D22,'PROJETO PERFURAÇÃO'!$B:$B,0))="Pre-Splitting","S"))),"")</f>
        <v>S</v>
      </c>
      <c r="D22" s="5">
        <f t="shared" si="0"/>
        <v>18</v>
      </c>
      <c r="E22" s="4" t="str">
        <f>IFERROR(INDEX('LEV R&amp;D'!$D:$D,MATCH(MEDIÇÃO!D22,'LEV R&amp;D'!$A:$A,0))-INDEX('PROJETO PERFURAÇÃO'!$AH:$AH,MATCH(MEDIÇÃO!D22,'PROJETO PERFURAÇÃO'!$B:$B,0)),"")</f>
        <v/>
      </c>
      <c r="F22" s="17">
        <f>IFERROR(INDEX('PROJETO PERFURAÇÃO'!$AN:$AN,MATCH(MEDIÇÃO!D22,'PROJETO PERFURAÇÃO'!$B:$B,0)),"")</f>
        <v>12.75</v>
      </c>
      <c r="G22" s="3"/>
      <c r="H22" s="3"/>
      <c r="I22" s="3" t="str">
        <f>IFERROR(ROUND(INDEX('PROJETO PERFURAÇÃO'!$AB:$AB,MATCH(MEDIÇÃO!K22,'PROJETO PERFURAÇÃO'!$B:$B,0)),1)&amp;"''","")</f>
        <v>5''</v>
      </c>
      <c r="J22" s="3" t="str">
        <f>IFERROR(IF(INDEX('PROJETO PERFURAÇÃO'!$P:$P,MATCH(MEDIÇÃO!K22,'PROJETO PERFURAÇÃO'!$B:$B,0))="Production","P",IF(INDEX('PROJETO PERFURAÇÃO'!$P:$P,MATCH(MEDIÇÃO!K22,'PROJETO PERFURAÇÃO'!$B:$B,0))="Buffer","B",IF(INDEX('PROJETO PERFURAÇÃO'!$P:$P,MATCH(MEDIÇÃO!K22,'PROJETO PERFURAÇÃO'!$B:$B,0))="Pre-Splitting","S"))),"")</f>
        <v>S</v>
      </c>
      <c r="K22" s="5">
        <f t="shared" si="1"/>
        <v>41</v>
      </c>
      <c r="L22" s="4" t="str">
        <f>IFERROR(INDEX('LEV R&amp;D'!$D:$D,MATCH(MEDIÇÃO!K22,'LEV R&amp;D'!$A:$A,0))-INDEX('PROJETO PERFURAÇÃO'!$AH:$AH,MATCH(MEDIÇÃO!K22,'PROJETO PERFURAÇÃO'!$B:$B,0)),"")</f>
        <v/>
      </c>
      <c r="M22" s="17">
        <f>IFERROR(INDEX('PROJETO PERFURAÇÃO'!$AN:$AN,MATCH(MEDIÇÃO!K22,'PROJETO PERFURAÇÃO'!$B:$B,0)),"")</f>
        <v>13.98</v>
      </c>
      <c r="N22" s="3"/>
      <c r="O22" s="3"/>
      <c r="P22" s="3" t="str">
        <f>IFERROR(ROUND(INDEX('PROJETO PERFURAÇÃO'!$AB:$AB,MATCH(MEDIÇÃO!R22,'PROJETO PERFURAÇÃO'!$B:$B,0)),1)&amp;"''","")</f>
        <v>5''</v>
      </c>
      <c r="Q22" s="3" t="str">
        <f>IFERROR(IF(INDEX('PROJETO PERFURAÇÃO'!$P:$P,MATCH(MEDIÇÃO!R22,'PROJETO PERFURAÇÃO'!$B:$B,0))="Production","P",IF(INDEX('PROJETO PERFURAÇÃO'!$P:$P,MATCH(MEDIÇÃO!R22,'PROJETO PERFURAÇÃO'!$B:$B,0))="Buffer","B",IF(INDEX('PROJETO PERFURAÇÃO'!$P:$P,MATCH(MEDIÇÃO!R22,'PROJETO PERFURAÇÃO'!$B:$B,0))="Pre-Splitting","S"))),"")</f>
        <v>S</v>
      </c>
      <c r="R22" s="5">
        <f t="shared" si="2"/>
        <v>64</v>
      </c>
      <c r="S22" s="4" t="str">
        <f>IFERROR(INDEX('LEV R&amp;D'!$D:$D,MATCH(MEDIÇÃO!R22,'LEV R&amp;D'!$A:$A,0))-INDEX('PROJETO PERFURAÇÃO'!$AH:$AH,MATCH(MEDIÇÃO!R22,'PROJETO PERFURAÇÃO'!$B:$B,0)),"")</f>
        <v/>
      </c>
      <c r="T22" s="17">
        <f>IFERROR(INDEX('PROJETO PERFURAÇÃO'!$AN:$AN,MATCH(MEDIÇÃO!R22,'PROJETO PERFURAÇÃO'!$B:$B,0)),"")</f>
        <v>12.09</v>
      </c>
      <c r="U22" s="3"/>
      <c r="V22" s="3"/>
    </row>
    <row r="23" spans="2:22" ht="45" customHeight="1">
      <c r="B23" s="3" t="str">
        <f>IFERROR(ROUND(INDEX('PROJETO PERFURAÇÃO'!$AB:$AB,MATCH(MEDIÇÃO!D23,'PROJETO PERFURAÇÃO'!$B:$B,0)),1)&amp;"''","")</f>
        <v>5''</v>
      </c>
      <c r="C23" s="3" t="str">
        <f>IFERROR(IF(INDEX('PROJETO PERFURAÇÃO'!$P:$P,MATCH(MEDIÇÃO!D23,'PROJETO PERFURAÇÃO'!$B:$B,0))="Production","P",IF(INDEX('PROJETO PERFURAÇÃO'!$P:$P,MATCH(MEDIÇÃO!D23,'PROJETO PERFURAÇÃO'!$B:$B,0))="Buffer","B",IF(INDEX('PROJETO PERFURAÇÃO'!$P:$P,MATCH(MEDIÇÃO!D23,'PROJETO PERFURAÇÃO'!$B:$B,0))="Pre-Splitting","S"))),"")</f>
        <v>S</v>
      </c>
      <c r="D23" s="5">
        <f t="shared" si="0"/>
        <v>19</v>
      </c>
      <c r="E23" s="4" t="str">
        <f>IFERROR(INDEX('LEV R&amp;D'!$D:$D,MATCH(MEDIÇÃO!D23,'LEV R&amp;D'!$A:$A,0))-INDEX('PROJETO PERFURAÇÃO'!$AH:$AH,MATCH(MEDIÇÃO!D23,'PROJETO PERFURAÇÃO'!$B:$B,0)),"")</f>
        <v/>
      </c>
      <c r="F23" s="17">
        <f>IFERROR(INDEX('PROJETO PERFURAÇÃO'!$AN:$AN,MATCH(MEDIÇÃO!D23,'PROJETO PERFURAÇÃO'!$B:$B,0)),"")</f>
        <v>13.19</v>
      </c>
      <c r="G23" s="3"/>
      <c r="H23" s="3"/>
      <c r="I23" s="3" t="str">
        <f>IFERROR(ROUND(INDEX('PROJETO PERFURAÇÃO'!$AB:$AB,MATCH(MEDIÇÃO!K23,'PROJETO PERFURAÇÃO'!$B:$B,0)),1)&amp;"''","")</f>
        <v>5''</v>
      </c>
      <c r="J23" s="3" t="str">
        <f>IFERROR(IF(INDEX('PROJETO PERFURAÇÃO'!$P:$P,MATCH(MEDIÇÃO!K23,'PROJETO PERFURAÇÃO'!$B:$B,0))="Production","P",IF(INDEX('PROJETO PERFURAÇÃO'!$P:$P,MATCH(MEDIÇÃO!K23,'PROJETO PERFURAÇÃO'!$B:$B,0))="Buffer","B",IF(INDEX('PROJETO PERFURAÇÃO'!$P:$P,MATCH(MEDIÇÃO!K23,'PROJETO PERFURAÇÃO'!$B:$B,0))="Pre-Splitting","S"))),"")</f>
        <v>S</v>
      </c>
      <c r="K23" s="5">
        <f t="shared" si="1"/>
        <v>42</v>
      </c>
      <c r="L23" s="4" t="str">
        <f>IFERROR(INDEX('LEV R&amp;D'!$D:$D,MATCH(MEDIÇÃO!K23,'LEV R&amp;D'!$A:$A,0))-INDEX('PROJETO PERFURAÇÃO'!$AH:$AH,MATCH(MEDIÇÃO!K23,'PROJETO PERFURAÇÃO'!$B:$B,0)),"")</f>
        <v/>
      </c>
      <c r="M23" s="17">
        <f>IFERROR(INDEX('PROJETO PERFURAÇÃO'!$AN:$AN,MATCH(MEDIÇÃO!K23,'PROJETO PERFURAÇÃO'!$B:$B,0)),"")</f>
        <v>13.73</v>
      </c>
      <c r="N23" s="3"/>
      <c r="O23" s="3"/>
      <c r="P23" s="3" t="str">
        <f>IFERROR(ROUND(INDEX('PROJETO PERFURAÇÃO'!$AB:$AB,MATCH(MEDIÇÃO!R23,'PROJETO PERFURAÇÃO'!$B:$B,0)),1)&amp;"''","")</f>
        <v>5''</v>
      </c>
      <c r="Q23" s="3" t="str">
        <f>IFERROR(IF(INDEX('PROJETO PERFURAÇÃO'!$P:$P,MATCH(MEDIÇÃO!R23,'PROJETO PERFURAÇÃO'!$B:$B,0))="Production","P",IF(INDEX('PROJETO PERFURAÇÃO'!$P:$P,MATCH(MEDIÇÃO!R23,'PROJETO PERFURAÇÃO'!$B:$B,0))="Buffer","B",IF(INDEX('PROJETO PERFURAÇÃO'!$P:$P,MATCH(MEDIÇÃO!R23,'PROJETO PERFURAÇÃO'!$B:$B,0))="Pre-Splitting","S"))),"")</f>
        <v>S</v>
      </c>
      <c r="R23" s="5">
        <f t="shared" si="2"/>
        <v>65</v>
      </c>
      <c r="S23" s="4" t="str">
        <f>IFERROR(INDEX('LEV R&amp;D'!$D:$D,MATCH(MEDIÇÃO!R23,'LEV R&amp;D'!$A:$A,0))-INDEX('PROJETO PERFURAÇÃO'!$AH:$AH,MATCH(MEDIÇÃO!R23,'PROJETO PERFURAÇÃO'!$B:$B,0)),"")</f>
        <v/>
      </c>
      <c r="T23" s="17">
        <f>IFERROR(INDEX('PROJETO PERFURAÇÃO'!$AN:$AN,MATCH(MEDIÇÃO!R23,'PROJETO PERFURAÇÃO'!$B:$B,0)),"")</f>
        <v>12.1</v>
      </c>
      <c r="U23" s="3"/>
      <c r="V23" s="3"/>
    </row>
    <row r="24" spans="2:22" ht="45" customHeight="1">
      <c r="B24" s="3" t="str">
        <f>IFERROR(ROUND(INDEX('PROJETO PERFURAÇÃO'!$AB:$AB,MATCH(MEDIÇÃO!D24,'PROJETO PERFURAÇÃO'!$B:$B,0)),1)&amp;"''","")</f>
        <v>5''</v>
      </c>
      <c r="C24" s="3" t="str">
        <f>IFERROR(IF(INDEX('PROJETO PERFURAÇÃO'!$P:$P,MATCH(MEDIÇÃO!D24,'PROJETO PERFURAÇÃO'!$B:$B,0))="Production","P",IF(INDEX('PROJETO PERFURAÇÃO'!$P:$P,MATCH(MEDIÇÃO!D24,'PROJETO PERFURAÇÃO'!$B:$B,0))="Buffer","B",IF(INDEX('PROJETO PERFURAÇÃO'!$P:$P,MATCH(MEDIÇÃO!D24,'PROJETO PERFURAÇÃO'!$B:$B,0))="Pre-Splitting","S"))),"")</f>
        <v>S</v>
      </c>
      <c r="D24" s="5">
        <f t="shared" si="0"/>
        <v>20</v>
      </c>
      <c r="E24" s="4" t="str">
        <f>IFERROR(INDEX('LEV R&amp;D'!$D:$D,MATCH(MEDIÇÃO!D24,'LEV R&amp;D'!$A:$A,0))-INDEX('PROJETO PERFURAÇÃO'!$AH:$AH,MATCH(MEDIÇÃO!D24,'PROJETO PERFURAÇÃO'!$B:$B,0)),"")</f>
        <v/>
      </c>
      <c r="F24" s="17">
        <f>IFERROR(INDEX('PROJETO PERFURAÇÃO'!$AN:$AN,MATCH(MEDIÇÃO!D24,'PROJETO PERFURAÇÃO'!$B:$B,0)),"")</f>
        <v>13.54</v>
      </c>
      <c r="G24" s="3"/>
      <c r="H24" s="3"/>
      <c r="I24" s="3" t="str">
        <f>IFERROR(ROUND(INDEX('PROJETO PERFURAÇÃO'!$AB:$AB,MATCH(MEDIÇÃO!K24,'PROJETO PERFURAÇÃO'!$B:$B,0)),1)&amp;"''","")</f>
        <v>5''</v>
      </c>
      <c r="J24" s="3" t="str">
        <f>IFERROR(IF(INDEX('PROJETO PERFURAÇÃO'!$P:$P,MATCH(MEDIÇÃO!K24,'PROJETO PERFURAÇÃO'!$B:$B,0))="Production","P",IF(INDEX('PROJETO PERFURAÇÃO'!$P:$P,MATCH(MEDIÇÃO!K24,'PROJETO PERFURAÇÃO'!$B:$B,0))="Buffer","B",IF(INDEX('PROJETO PERFURAÇÃO'!$P:$P,MATCH(MEDIÇÃO!K24,'PROJETO PERFURAÇÃO'!$B:$B,0))="Pre-Splitting","S"))),"")</f>
        <v>S</v>
      </c>
      <c r="K24" s="5">
        <f t="shared" si="1"/>
        <v>43</v>
      </c>
      <c r="L24" s="4" t="str">
        <f>IFERROR(INDEX('LEV R&amp;D'!$D:$D,MATCH(MEDIÇÃO!K24,'LEV R&amp;D'!$A:$A,0))-INDEX('PROJETO PERFURAÇÃO'!$AH:$AH,MATCH(MEDIÇÃO!K24,'PROJETO PERFURAÇÃO'!$B:$B,0)),"")</f>
        <v/>
      </c>
      <c r="M24" s="17">
        <f>IFERROR(INDEX('PROJETO PERFURAÇÃO'!$AN:$AN,MATCH(MEDIÇÃO!K24,'PROJETO PERFURAÇÃO'!$B:$B,0)),"")</f>
        <v>13.68</v>
      </c>
      <c r="N24" s="3"/>
      <c r="O24" s="3"/>
      <c r="P24" s="3" t="str">
        <f>IFERROR(ROUND(INDEX('PROJETO PERFURAÇÃO'!$AB:$AB,MATCH(MEDIÇÃO!R24,'PROJETO PERFURAÇÃO'!$B:$B,0)),1)&amp;"''","")</f>
        <v>5''</v>
      </c>
      <c r="Q24" s="3" t="str">
        <f>IFERROR(IF(INDEX('PROJETO PERFURAÇÃO'!$P:$P,MATCH(MEDIÇÃO!R24,'PROJETO PERFURAÇÃO'!$B:$B,0))="Production","P",IF(INDEX('PROJETO PERFURAÇÃO'!$P:$P,MATCH(MEDIÇÃO!R24,'PROJETO PERFURAÇÃO'!$B:$B,0))="Buffer","B",IF(INDEX('PROJETO PERFURAÇÃO'!$P:$P,MATCH(MEDIÇÃO!R24,'PROJETO PERFURAÇÃO'!$B:$B,0))="Pre-Splitting","S"))),"")</f>
        <v>S</v>
      </c>
      <c r="R24" s="5">
        <f t="shared" si="2"/>
        <v>66</v>
      </c>
      <c r="S24" s="4" t="str">
        <f>IFERROR(INDEX('LEV R&amp;D'!$D:$D,MATCH(MEDIÇÃO!R24,'LEV R&amp;D'!$A:$A,0))-INDEX('PROJETO PERFURAÇÃO'!$AH:$AH,MATCH(MEDIÇÃO!R24,'PROJETO PERFURAÇÃO'!$B:$B,0)),"")</f>
        <v/>
      </c>
      <c r="T24" s="17">
        <f>IFERROR(INDEX('PROJETO PERFURAÇÃO'!$AN:$AN,MATCH(MEDIÇÃO!R24,'PROJETO PERFURAÇÃO'!$B:$B,0)),"")</f>
        <v>12.09</v>
      </c>
      <c r="U24" s="3"/>
      <c r="V24" s="3"/>
    </row>
    <row r="25" spans="2:22" ht="45" customHeight="1">
      <c r="B25" s="3" t="str">
        <f>IFERROR(ROUND(INDEX('PROJETO PERFURAÇÃO'!$AB:$AB,MATCH(MEDIÇÃO!D25,'PROJETO PERFURAÇÃO'!$B:$B,0)),1)&amp;"''","")</f>
        <v>5''</v>
      </c>
      <c r="C25" s="3" t="str">
        <f>IFERROR(IF(INDEX('PROJETO PERFURAÇÃO'!$P:$P,MATCH(MEDIÇÃO!D25,'PROJETO PERFURAÇÃO'!$B:$B,0))="Production","P",IF(INDEX('PROJETO PERFURAÇÃO'!$P:$P,MATCH(MEDIÇÃO!D25,'PROJETO PERFURAÇÃO'!$B:$B,0))="Buffer","B",IF(INDEX('PROJETO PERFURAÇÃO'!$P:$P,MATCH(MEDIÇÃO!D25,'PROJETO PERFURAÇÃO'!$B:$B,0))="Pre-Splitting","S"))),"")</f>
        <v>S</v>
      </c>
      <c r="D25" s="5">
        <f t="shared" si="0"/>
        <v>21</v>
      </c>
      <c r="E25" s="4" t="str">
        <f>IFERROR(INDEX('LEV R&amp;D'!$D:$D,MATCH(MEDIÇÃO!D25,'LEV R&amp;D'!$A:$A,0))-INDEX('PROJETO PERFURAÇÃO'!$AH:$AH,MATCH(MEDIÇÃO!D25,'PROJETO PERFURAÇÃO'!$B:$B,0)),"")</f>
        <v/>
      </c>
      <c r="F25" s="17">
        <f>IFERROR(INDEX('PROJETO PERFURAÇÃO'!$AN:$AN,MATCH(MEDIÇÃO!D25,'PROJETO PERFURAÇÃO'!$B:$B,0)),"")</f>
        <v>13.71</v>
      </c>
      <c r="G25" s="3"/>
      <c r="H25" s="3"/>
      <c r="I25" s="3" t="str">
        <f>IFERROR(ROUND(INDEX('PROJETO PERFURAÇÃO'!$AB:$AB,MATCH(MEDIÇÃO!K25,'PROJETO PERFURAÇÃO'!$B:$B,0)),1)&amp;"''","")</f>
        <v>5''</v>
      </c>
      <c r="J25" s="3" t="str">
        <f>IFERROR(IF(INDEX('PROJETO PERFURAÇÃO'!$P:$P,MATCH(MEDIÇÃO!K25,'PROJETO PERFURAÇÃO'!$B:$B,0))="Production","P",IF(INDEX('PROJETO PERFURAÇÃO'!$P:$P,MATCH(MEDIÇÃO!K25,'PROJETO PERFURAÇÃO'!$B:$B,0))="Buffer","B",IF(INDEX('PROJETO PERFURAÇÃO'!$P:$P,MATCH(MEDIÇÃO!K25,'PROJETO PERFURAÇÃO'!$B:$B,0))="Pre-Splitting","S"))),"")</f>
        <v>S</v>
      </c>
      <c r="K25" s="5">
        <f t="shared" si="1"/>
        <v>44</v>
      </c>
      <c r="L25" s="4" t="str">
        <f>IFERROR(INDEX('LEV R&amp;D'!$D:$D,MATCH(MEDIÇÃO!K25,'LEV R&amp;D'!$A:$A,0))-INDEX('PROJETO PERFURAÇÃO'!$AH:$AH,MATCH(MEDIÇÃO!K25,'PROJETO PERFURAÇÃO'!$B:$B,0)),"")</f>
        <v/>
      </c>
      <c r="M25" s="17">
        <f>IFERROR(INDEX('PROJETO PERFURAÇÃO'!$AN:$AN,MATCH(MEDIÇÃO!K25,'PROJETO PERFURAÇÃO'!$B:$B,0)),"")</f>
        <v>13.61</v>
      </c>
      <c r="N25" s="3"/>
      <c r="O25" s="3"/>
      <c r="P25" s="3" t="str">
        <f>IFERROR(ROUND(INDEX('PROJETO PERFURAÇÃO'!$AB:$AB,MATCH(MEDIÇÃO!R25,'PROJETO PERFURAÇÃO'!$B:$B,0)),1)&amp;"''","")</f>
        <v>5''</v>
      </c>
      <c r="Q25" s="3" t="str">
        <f>IFERROR(IF(INDEX('PROJETO PERFURAÇÃO'!$P:$P,MATCH(MEDIÇÃO!R25,'PROJETO PERFURAÇÃO'!$B:$B,0))="Production","P",IF(INDEX('PROJETO PERFURAÇÃO'!$P:$P,MATCH(MEDIÇÃO!R25,'PROJETO PERFURAÇÃO'!$B:$B,0))="Buffer","B",IF(INDEX('PROJETO PERFURAÇÃO'!$P:$P,MATCH(MEDIÇÃO!R25,'PROJETO PERFURAÇÃO'!$B:$B,0))="Pre-Splitting","S"))),"")</f>
        <v>P</v>
      </c>
      <c r="R25" s="5">
        <f t="shared" si="2"/>
        <v>67</v>
      </c>
      <c r="S25" s="4" t="str">
        <f>IFERROR(INDEX('LEV R&amp;D'!$D:$D,MATCH(MEDIÇÃO!R25,'LEV R&amp;D'!$A:$A,0))-INDEX('PROJETO PERFURAÇÃO'!$AH:$AH,MATCH(MEDIÇÃO!R25,'PROJETO PERFURAÇÃO'!$B:$B,0)),"")</f>
        <v/>
      </c>
      <c r="T25" s="17">
        <f>IFERROR(INDEX('PROJETO PERFURAÇÃO'!$AN:$AN,MATCH(MEDIÇÃO!R25,'PROJETO PERFURAÇÃO'!$B:$B,0)),"")</f>
        <v>0</v>
      </c>
      <c r="U25" s="3"/>
      <c r="V25" s="3"/>
    </row>
    <row r="26" spans="2:22" ht="45" customHeight="1">
      <c r="B26" s="3" t="str">
        <f>IFERROR(ROUND(INDEX('PROJETO PERFURAÇÃO'!$AB:$AB,MATCH(MEDIÇÃO!D26,'PROJETO PERFURAÇÃO'!$B:$B,0)),1)&amp;"''","")</f>
        <v>5''</v>
      </c>
      <c r="C26" s="3" t="str">
        <f>IFERROR(IF(INDEX('PROJETO PERFURAÇÃO'!$P:$P,MATCH(MEDIÇÃO!D26,'PROJETO PERFURAÇÃO'!$B:$B,0))="Production","P",IF(INDEX('PROJETO PERFURAÇÃO'!$P:$P,MATCH(MEDIÇÃO!D26,'PROJETO PERFURAÇÃO'!$B:$B,0))="Buffer","B",IF(INDEX('PROJETO PERFURAÇÃO'!$P:$P,MATCH(MEDIÇÃO!D26,'PROJETO PERFURAÇÃO'!$B:$B,0))="Pre-Splitting","S"))),"")</f>
        <v>S</v>
      </c>
      <c r="D26" s="5">
        <f t="shared" si="0"/>
        <v>22</v>
      </c>
      <c r="E26" s="4" t="str">
        <f>IFERROR(INDEX('LEV R&amp;D'!$D:$D,MATCH(MEDIÇÃO!D26,'LEV R&amp;D'!$A:$A,0))-INDEX('PROJETO PERFURAÇÃO'!$AH:$AH,MATCH(MEDIÇÃO!D26,'PROJETO PERFURAÇÃO'!$B:$B,0)),"")</f>
        <v/>
      </c>
      <c r="F26" s="17">
        <f>IFERROR(INDEX('PROJETO PERFURAÇÃO'!$AN:$AN,MATCH(MEDIÇÃO!D26,'PROJETO PERFURAÇÃO'!$B:$B,0)),"")</f>
        <v>13.94</v>
      </c>
      <c r="G26" s="3"/>
      <c r="H26" s="3"/>
      <c r="I26" s="3" t="str">
        <f>IFERROR(ROUND(INDEX('PROJETO PERFURAÇÃO'!$AB:$AB,MATCH(MEDIÇÃO!K26,'PROJETO PERFURAÇÃO'!$B:$B,0)),1)&amp;"''","")</f>
        <v>5''</v>
      </c>
      <c r="J26" s="3" t="str">
        <f>IFERROR(IF(INDEX('PROJETO PERFURAÇÃO'!$P:$P,MATCH(MEDIÇÃO!K26,'PROJETO PERFURAÇÃO'!$B:$B,0))="Production","P",IF(INDEX('PROJETO PERFURAÇÃO'!$P:$P,MATCH(MEDIÇÃO!K26,'PROJETO PERFURAÇÃO'!$B:$B,0))="Buffer","B",IF(INDEX('PROJETO PERFURAÇÃO'!$P:$P,MATCH(MEDIÇÃO!K26,'PROJETO PERFURAÇÃO'!$B:$B,0))="Pre-Splitting","S"))),"")</f>
        <v>S</v>
      </c>
      <c r="K26" s="5">
        <f t="shared" si="1"/>
        <v>45</v>
      </c>
      <c r="L26" s="4" t="str">
        <f>IFERROR(INDEX('LEV R&amp;D'!$D:$D,MATCH(MEDIÇÃO!K26,'LEV R&amp;D'!$A:$A,0))-INDEX('PROJETO PERFURAÇÃO'!$AH:$AH,MATCH(MEDIÇÃO!K26,'PROJETO PERFURAÇÃO'!$B:$B,0)),"")</f>
        <v/>
      </c>
      <c r="M26" s="17">
        <f>IFERROR(INDEX('PROJETO PERFURAÇÃO'!$AN:$AN,MATCH(MEDIÇÃO!K26,'PROJETO PERFURAÇÃO'!$B:$B,0)),"")</f>
        <v>13.39</v>
      </c>
      <c r="N26" s="3"/>
      <c r="O26" s="3"/>
      <c r="P26" s="3" t="str">
        <f>IFERROR(ROUND(INDEX('PROJETO PERFURAÇÃO'!$AB:$AB,MATCH(MEDIÇÃO!R26,'PROJETO PERFURAÇÃO'!$B:$B,0)),1)&amp;"''","")</f>
        <v>5''</v>
      </c>
      <c r="Q26" s="3" t="str">
        <f>IFERROR(IF(INDEX('PROJETO PERFURAÇÃO'!$P:$P,MATCH(MEDIÇÃO!R26,'PROJETO PERFURAÇÃO'!$B:$B,0))="Production","P",IF(INDEX('PROJETO PERFURAÇÃO'!$P:$P,MATCH(MEDIÇÃO!R26,'PROJETO PERFURAÇÃO'!$B:$B,0))="Buffer","B",IF(INDEX('PROJETO PERFURAÇÃO'!$P:$P,MATCH(MEDIÇÃO!R26,'PROJETO PERFURAÇÃO'!$B:$B,0))="Pre-Splitting","S"))),"")</f>
        <v>P</v>
      </c>
      <c r="R26" s="5">
        <f t="shared" si="2"/>
        <v>68</v>
      </c>
      <c r="S26" s="4" t="str">
        <f>IFERROR(INDEX('LEV R&amp;D'!$D:$D,MATCH(MEDIÇÃO!R26,'LEV R&amp;D'!$A:$A,0))-INDEX('PROJETO PERFURAÇÃO'!$AH:$AH,MATCH(MEDIÇÃO!R26,'PROJETO PERFURAÇÃO'!$B:$B,0)),"")</f>
        <v/>
      </c>
      <c r="T26" s="17">
        <f>IFERROR(INDEX('PROJETO PERFURAÇÃO'!$AN:$AN,MATCH(MEDIÇÃO!R26,'PROJETO PERFURAÇÃO'!$B:$B,0)),"")</f>
        <v>0</v>
      </c>
      <c r="U26" s="3"/>
      <c r="V26" s="3"/>
    </row>
    <row r="27" spans="2:22" ht="45" customHeight="1">
      <c r="B27" s="3" t="str">
        <f>IFERROR(ROUND(INDEX('PROJETO PERFURAÇÃO'!$AB:$AB,MATCH(MEDIÇÃO!D27,'PROJETO PERFURAÇÃO'!$B:$B,0)),1)&amp;"''","")</f>
        <v>5''</v>
      </c>
      <c r="C27" s="3" t="str">
        <f>IFERROR(IF(INDEX('PROJETO PERFURAÇÃO'!$P:$P,MATCH(MEDIÇÃO!D27,'PROJETO PERFURAÇÃO'!$B:$B,0))="Production","P",IF(INDEX('PROJETO PERFURAÇÃO'!$P:$P,MATCH(MEDIÇÃO!D27,'PROJETO PERFURAÇÃO'!$B:$B,0))="Buffer","B",IF(INDEX('PROJETO PERFURAÇÃO'!$P:$P,MATCH(MEDIÇÃO!D27,'PROJETO PERFURAÇÃO'!$B:$B,0))="Pre-Splitting","S"))),"")</f>
        <v>S</v>
      </c>
      <c r="D27" s="5">
        <f t="shared" si="0"/>
        <v>23</v>
      </c>
      <c r="E27" s="4" t="str">
        <f>IFERROR(INDEX('LEV R&amp;D'!$D:$D,MATCH(MEDIÇÃO!D27,'LEV R&amp;D'!$A:$A,0))-INDEX('PROJETO PERFURAÇÃO'!$AH:$AH,MATCH(MEDIÇÃO!D27,'PROJETO PERFURAÇÃO'!$B:$B,0)),"")</f>
        <v/>
      </c>
      <c r="F27" s="17">
        <f>IFERROR(INDEX('PROJETO PERFURAÇÃO'!$AN:$AN,MATCH(MEDIÇÃO!D27,'PROJETO PERFURAÇÃO'!$B:$B,0)),"")</f>
        <v>14.13</v>
      </c>
      <c r="G27" s="3"/>
      <c r="H27" s="3"/>
      <c r="I27" s="3" t="str">
        <f>IFERROR(ROUND(INDEX('PROJETO PERFURAÇÃO'!$AB:$AB,MATCH(MEDIÇÃO!K27,'PROJETO PERFURAÇÃO'!$B:$B,0)),1)&amp;"''","")</f>
        <v>5''</v>
      </c>
      <c r="J27" s="3" t="str">
        <f>IFERROR(IF(INDEX('PROJETO PERFURAÇÃO'!$P:$P,MATCH(MEDIÇÃO!K27,'PROJETO PERFURAÇÃO'!$B:$B,0))="Production","P",IF(INDEX('PROJETO PERFURAÇÃO'!$P:$P,MATCH(MEDIÇÃO!K27,'PROJETO PERFURAÇÃO'!$B:$B,0))="Buffer","B",IF(INDEX('PROJETO PERFURAÇÃO'!$P:$P,MATCH(MEDIÇÃO!K27,'PROJETO PERFURAÇÃO'!$B:$B,0))="Pre-Splitting","S"))),"")</f>
        <v>S</v>
      </c>
      <c r="K27" s="5">
        <f t="shared" si="1"/>
        <v>46</v>
      </c>
      <c r="L27" s="4" t="str">
        <f>IFERROR(INDEX('LEV R&amp;D'!$D:$D,MATCH(MEDIÇÃO!K27,'LEV R&amp;D'!$A:$A,0))-INDEX('PROJETO PERFURAÇÃO'!$AH:$AH,MATCH(MEDIÇÃO!K27,'PROJETO PERFURAÇÃO'!$B:$B,0)),"")</f>
        <v/>
      </c>
      <c r="M27" s="17">
        <f>IFERROR(INDEX('PROJETO PERFURAÇÃO'!$AN:$AN,MATCH(MEDIÇÃO!K27,'PROJETO PERFURAÇÃO'!$B:$B,0)),"")</f>
        <v>13.21</v>
      </c>
      <c r="N27" s="3"/>
      <c r="O27" s="3"/>
      <c r="P27" s="3" t="str">
        <f>IFERROR(ROUND(INDEX('PROJETO PERFURAÇÃO'!$AB:$AB,MATCH(MEDIÇÃO!R27,'PROJETO PERFURAÇÃO'!$B:$B,0)),1)&amp;"''","")</f>
        <v>5''</v>
      </c>
      <c r="Q27" s="3" t="str">
        <f>IFERROR(IF(INDEX('PROJETO PERFURAÇÃO'!$P:$P,MATCH(MEDIÇÃO!R27,'PROJETO PERFURAÇÃO'!$B:$B,0))="Production","P",IF(INDEX('PROJETO PERFURAÇÃO'!$P:$P,MATCH(MEDIÇÃO!R27,'PROJETO PERFURAÇÃO'!$B:$B,0))="Buffer","B",IF(INDEX('PROJETO PERFURAÇÃO'!$P:$P,MATCH(MEDIÇÃO!R27,'PROJETO PERFURAÇÃO'!$B:$B,0))="Pre-Splitting","S"))),"")</f>
        <v>P</v>
      </c>
      <c r="R27" s="5">
        <f t="shared" si="2"/>
        <v>69</v>
      </c>
      <c r="S27" s="4" t="str">
        <f>IFERROR(INDEX('LEV R&amp;D'!$D:$D,MATCH(MEDIÇÃO!R27,'LEV R&amp;D'!$A:$A,0))-INDEX('PROJETO PERFURAÇÃO'!$AH:$AH,MATCH(MEDIÇÃO!R27,'PROJETO PERFURAÇÃO'!$B:$B,0)),"")</f>
        <v/>
      </c>
      <c r="T27" s="17">
        <f>IFERROR(INDEX('PROJETO PERFURAÇÃO'!$AN:$AN,MATCH(MEDIÇÃO!R27,'PROJETO PERFURAÇÃO'!$B:$B,0)),"")</f>
        <v>0</v>
      </c>
      <c r="U27" s="3"/>
      <c r="V27" s="3"/>
    </row>
    <row r="28" spans="2:22" ht="30" customHeight="1">
      <c r="B28" s="1"/>
      <c r="C28" s="1"/>
      <c r="D28" s="15"/>
      <c r="E28" s="2"/>
      <c r="F28" s="16"/>
      <c r="G28" s="1"/>
      <c r="H28" s="1"/>
      <c r="I28" s="1"/>
      <c r="J28" s="1"/>
      <c r="K28" s="15"/>
      <c r="L28" s="2"/>
      <c r="M28" s="16"/>
      <c r="N28" s="1"/>
      <c r="O28" s="1"/>
      <c r="P28" s="1"/>
      <c r="Q28" s="1"/>
      <c r="R28" s="15"/>
      <c r="S28" s="2"/>
      <c r="T28" s="16"/>
      <c r="U28" s="1"/>
      <c r="V28" s="1"/>
    </row>
    <row r="29" spans="2:22" ht="30" customHeight="1">
      <c r="C29" s="20"/>
      <c r="D29" s="20"/>
      <c r="E29" s="20"/>
      <c r="F29" s="20"/>
      <c r="G29" s="20"/>
      <c r="H29" s="20"/>
      <c r="I29" s="20"/>
      <c r="J29" s="20"/>
      <c r="K29" s="20"/>
      <c r="M29" s="20"/>
      <c r="N29" s="20"/>
      <c r="O29" s="20"/>
      <c r="P29" s="20"/>
      <c r="Q29" s="20"/>
      <c r="R29" s="20"/>
      <c r="S29" s="20"/>
      <c r="T29" s="20"/>
      <c r="U29" s="20"/>
    </row>
    <row r="30" spans="2:22" ht="30" customHeight="1">
      <c r="C30" s="21" t="s">
        <v>40</v>
      </c>
      <c r="D30" s="21"/>
      <c r="E30" s="21"/>
      <c r="F30" s="21"/>
      <c r="G30" s="21"/>
      <c r="H30" s="21"/>
      <c r="I30" s="21"/>
      <c r="J30" s="21"/>
      <c r="K30" s="21"/>
      <c r="L30" s="9"/>
      <c r="M30" s="21" t="s">
        <v>40</v>
      </c>
      <c r="N30" s="21"/>
      <c r="O30" s="21"/>
      <c r="P30" s="21"/>
      <c r="Q30" s="21"/>
      <c r="R30" s="21"/>
      <c r="S30" s="21"/>
      <c r="T30" s="21"/>
      <c r="U30" s="21"/>
      <c r="V30" s="9"/>
    </row>
    <row r="31" spans="2:22" ht="30" customHeight="1">
      <c r="D31" s="9"/>
      <c r="E31" s="9"/>
      <c r="F31" s="9"/>
      <c r="G31" s="9"/>
      <c r="H31" s="9"/>
      <c r="I31" s="9"/>
      <c r="J31" s="9"/>
      <c r="K31" s="9"/>
      <c r="L31" s="9"/>
      <c r="M31" s="9"/>
      <c r="N31" s="9"/>
      <c r="Q31" s="9"/>
      <c r="R31" s="9"/>
      <c r="S31" s="9"/>
      <c r="T31" s="9"/>
      <c r="U31" s="9"/>
      <c r="V31" s="9"/>
    </row>
    <row r="32" spans="2:22" ht="30" customHeight="1">
      <c r="B32" s="19" t="str">
        <f>'PROJETO PERFURAÇÃO'!$C$2&amp;" - "&amp;'PROJETO PERFURAÇÃO'!$H$2</f>
        <v>LIB037 - PP0370626</v>
      </c>
      <c r="C32" s="19"/>
      <c r="D32" s="19"/>
      <c r="E32" s="19"/>
      <c r="F32" s="19"/>
      <c r="G32" s="19"/>
      <c r="H32" s="19"/>
      <c r="I32" s="11" t="s">
        <v>34</v>
      </c>
      <c r="J32" s="10" t="s">
        <v>37</v>
      </c>
    </row>
    <row r="33" spans="1:23" ht="30" customHeight="1">
      <c r="B33" s="19"/>
      <c r="C33" s="19"/>
      <c r="D33" s="19"/>
      <c r="E33" s="19"/>
      <c r="F33" s="19"/>
      <c r="G33" s="19"/>
      <c r="H33" s="19"/>
      <c r="I33" s="12" t="s">
        <v>35</v>
      </c>
      <c r="J33" s="10" t="s">
        <v>38</v>
      </c>
      <c r="K33" s="9"/>
      <c r="L33" s="9"/>
      <c r="M33" s="9"/>
      <c r="N33" s="9"/>
      <c r="O33" s="9"/>
      <c r="P33" s="9"/>
      <c r="Q33" s="9"/>
      <c r="R33" s="9"/>
      <c r="S33" s="9"/>
      <c r="T33" s="9"/>
      <c r="U33" s="9"/>
      <c r="V33" s="9"/>
    </row>
    <row r="34" spans="1:23" ht="30" customHeight="1">
      <c r="B34" s="19"/>
      <c r="C34" s="19"/>
      <c r="D34" s="19"/>
      <c r="E34" s="19"/>
      <c r="F34" s="19"/>
      <c r="G34" s="19"/>
      <c r="H34" s="19"/>
      <c r="I34" s="13" t="s">
        <v>36</v>
      </c>
      <c r="J34" s="10" t="s">
        <v>39</v>
      </c>
    </row>
    <row r="35" spans="1:23" ht="30" customHeight="1">
      <c r="A35" s="1"/>
      <c r="B35" s="6" t="s">
        <v>33</v>
      </c>
      <c r="C35" s="6" t="s">
        <v>13</v>
      </c>
      <c r="D35" s="7" t="s">
        <v>1</v>
      </c>
      <c r="E35" s="7" t="s">
        <v>29</v>
      </c>
      <c r="F35" s="7" t="s">
        <v>30</v>
      </c>
      <c r="G35" s="7" t="s">
        <v>31</v>
      </c>
      <c r="H35" s="7" t="s">
        <v>32</v>
      </c>
      <c r="I35" s="6" t="s">
        <v>33</v>
      </c>
      <c r="J35" s="6" t="s">
        <v>13</v>
      </c>
      <c r="K35" s="7" t="s">
        <v>1</v>
      </c>
      <c r="L35" s="7" t="s">
        <v>29</v>
      </c>
      <c r="M35" s="7" t="s">
        <v>30</v>
      </c>
      <c r="N35" s="7" t="s">
        <v>31</v>
      </c>
      <c r="O35" s="7" t="s">
        <v>32</v>
      </c>
      <c r="P35" s="6" t="s">
        <v>33</v>
      </c>
      <c r="Q35" s="6" t="s">
        <v>13</v>
      </c>
      <c r="R35" s="7" t="s">
        <v>1</v>
      </c>
      <c r="S35" s="7" t="s">
        <v>29</v>
      </c>
      <c r="T35" s="7" t="s">
        <v>30</v>
      </c>
      <c r="U35" s="7" t="s">
        <v>31</v>
      </c>
      <c r="V35" s="7" t="s">
        <v>32</v>
      </c>
      <c r="W35" s="1"/>
    </row>
    <row r="36" spans="1:23" ht="45" customHeight="1">
      <c r="B36" s="3" t="str">
        <f>IFERROR(ROUND(INDEX('PROJETO PERFURAÇÃO'!$AB:$AB,MATCH(MEDIÇÃO!D36,'PROJETO PERFURAÇÃO'!$B:$B,0)),1)&amp;"''","")</f>
        <v>5''</v>
      </c>
      <c r="C36" s="3" t="str">
        <f>IFERROR(IF(INDEX('PROJETO PERFURAÇÃO'!$P:$P,MATCH(MEDIÇÃO!D36,'PROJETO PERFURAÇÃO'!$B:$B,0))="Production","P",IF(INDEX('PROJETO PERFURAÇÃO'!$P:$P,MATCH(MEDIÇÃO!D36,'PROJETO PERFURAÇÃO'!$B:$B,0))="Buffer","B",IF(INDEX('PROJETO PERFURAÇÃO'!$P:$P,MATCH(MEDIÇÃO!D36,'PROJETO PERFURAÇÃO'!$B:$B,0))="Pre-Splitting","S"))),"")</f>
        <v>P</v>
      </c>
      <c r="D36" s="14">
        <f>R27+1</f>
        <v>70</v>
      </c>
      <c r="E36" s="4" t="str">
        <f>IFERROR(INDEX('LEV R&amp;D'!$D:$D,MATCH(MEDIÇÃO!D36,'LEV R&amp;D'!$A:$A,0))-INDEX('PROJETO PERFURAÇÃO'!$AH:$AH,MATCH(MEDIÇÃO!D36,'PROJETO PERFURAÇÃO'!$B:$B,0)),"")</f>
        <v/>
      </c>
      <c r="F36" s="17">
        <f>IFERROR(INDEX('PROJETO PERFURAÇÃO'!$AN:$AN,MATCH(MEDIÇÃO!D36,'PROJETO PERFURAÇÃO'!$B:$B,0)),"")</f>
        <v>0</v>
      </c>
      <c r="G36" s="3"/>
      <c r="H36" s="3"/>
      <c r="I36" s="3" t="str">
        <f>IFERROR(ROUND(INDEX('PROJETO PERFURAÇÃO'!$AB:$AB,MATCH(MEDIÇÃO!K36,'PROJETO PERFURAÇÃO'!$B:$B,0)),1)&amp;"''","")</f>
        <v>5''</v>
      </c>
      <c r="J36" s="3" t="str">
        <f>IFERROR(IF(INDEX('PROJETO PERFURAÇÃO'!$P:$P,MATCH(MEDIÇÃO!K36,'PROJETO PERFURAÇÃO'!$B:$B,0))="Production","P",IF(INDEX('PROJETO PERFURAÇÃO'!$P:$P,MATCH(MEDIÇÃO!K36,'PROJETO PERFURAÇÃO'!$B:$B,0))="Buffer","B",IF(INDEX('PROJETO PERFURAÇÃO'!$P:$P,MATCH(MEDIÇÃO!K36,'PROJETO PERFURAÇÃO'!$B:$B,0))="Pre-Splitting","S"))),"")</f>
        <v>P</v>
      </c>
      <c r="K36" s="14">
        <f>D58+1</f>
        <v>93</v>
      </c>
      <c r="L36" s="4" t="str">
        <f>IFERROR(INDEX('LEV R&amp;D'!$D:$D,MATCH(MEDIÇÃO!K36,'LEV R&amp;D'!$A:$A,0))-INDEX('PROJETO PERFURAÇÃO'!$AH:$AH,MATCH(MEDIÇÃO!K36,'PROJETO PERFURAÇÃO'!$B:$B,0)),"")</f>
        <v/>
      </c>
      <c r="M36" s="17">
        <f>IFERROR(INDEX('PROJETO PERFURAÇÃO'!$AN:$AN,MATCH(MEDIÇÃO!K36,'PROJETO PERFURAÇÃO'!$B:$B,0)),"")</f>
        <v>0</v>
      </c>
      <c r="N36" s="3"/>
      <c r="O36" s="3"/>
      <c r="P36" s="3" t="str">
        <f>IFERROR(ROUND(INDEX('PROJETO PERFURAÇÃO'!$AB:$AB,MATCH(MEDIÇÃO!R36,'PROJETO PERFURAÇÃO'!$B:$B,0)),1)&amp;"''","")</f>
        <v>5''</v>
      </c>
      <c r="Q36" s="3" t="str">
        <f>IFERROR(IF(INDEX('PROJETO PERFURAÇÃO'!$P:$P,MATCH(MEDIÇÃO!R36,'PROJETO PERFURAÇÃO'!$B:$B,0))="Production","P",IF(INDEX('PROJETO PERFURAÇÃO'!$P:$P,MATCH(MEDIÇÃO!R36,'PROJETO PERFURAÇÃO'!$B:$B,0))="Buffer","B",IF(INDEX('PROJETO PERFURAÇÃO'!$P:$P,MATCH(MEDIÇÃO!R36,'PROJETO PERFURAÇÃO'!$B:$B,0))="Pre-Splitting","S"))),"")</f>
        <v>P</v>
      </c>
      <c r="R36" s="14">
        <f>K58+1</f>
        <v>116</v>
      </c>
      <c r="S36" s="4" t="str">
        <f>IFERROR(INDEX('LEV R&amp;D'!$D:$D,MATCH(MEDIÇÃO!R36,'LEV R&amp;D'!$A:$A,0))-INDEX('PROJETO PERFURAÇÃO'!$AH:$AH,MATCH(MEDIÇÃO!R36,'PROJETO PERFURAÇÃO'!$B:$B,0)),"")</f>
        <v/>
      </c>
      <c r="T36" s="17">
        <f>IFERROR(INDEX('PROJETO PERFURAÇÃO'!$AN:$AN,MATCH(MEDIÇÃO!R36,'PROJETO PERFURAÇÃO'!$B:$B,0)),"")</f>
        <v>0</v>
      </c>
      <c r="U36" s="3"/>
      <c r="V36" s="3"/>
    </row>
    <row r="37" spans="1:23" ht="45" customHeight="1">
      <c r="B37" s="3" t="str">
        <f>IFERROR(ROUND(INDEX('PROJETO PERFURAÇÃO'!$AB:$AB,MATCH(MEDIÇÃO!D37,'PROJETO PERFURAÇÃO'!$B:$B,0)),1)&amp;"''","")</f>
        <v>5''</v>
      </c>
      <c r="C37" s="3" t="str">
        <f>IFERROR(IF(INDEX('PROJETO PERFURAÇÃO'!$P:$P,MATCH(MEDIÇÃO!D37,'PROJETO PERFURAÇÃO'!$B:$B,0))="Production","P",IF(INDEX('PROJETO PERFURAÇÃO'!$P:$P,MATCH(MEDIÇÃO!D37,'PROJETO PERFURAÇÃO'!$B:$B,0))="Buffer","B",IF(INDEX('PROJETO PERFURAÇÃO'!$P:$P,MATCH(MEDIÇÃO!D37,'PROJETO PERFURAÇÃO'!$B:$B,0))="Pre-Splitting","S"))),"")</f>
        <v>P</v>
      </c>
      <c r="D37" s="14">
        <f>D36+1</f>
        <v>71</v>
      </c>
      <c r="E37" s="4" t="str">
        <f>IFERROR(INDEX('LEV R&amp;D'!$D:$D,MATCH(MEDIÇÃO!D37,'LEV R&amp;D'!$A:$A,0))-INDEX('PROJETO PERFURAÇÃO'!$AH:$AH,MATCH(MEDIÇÃO!D37,'PROJETO PERFURAÇÃO'!$B:$B,0)),"")</f>
        <v/>
      </c>
      <c r="F37" s="17">
        <f>IFERROR(INDEX('PROJETO PERFURAÇÃO'!$AN:$AN,MATCH(MEDIÇÃO!D37,'PROJETO PERFURAÇÃO'!$B:$B,0)),"")</f>
        <v>0</v>
      </c>
      <c r="G37" s="3"/>
      <c r="H37" s="3"/>
      <c r="I37" s="3" t="str">
        <f>IFERROR(ROUND(INDEX('PROJETO PERFURAÇÃO'!$AB:$AB,MATCH(MEDIÇÃO!K37,'PROJETO PERFURAÇÃO'!$B:$B,0)),1)&amp;"''","")</f>
        <v>5''</v>
      </c>
      <c r="J37" s="3" t="str">
        <f>IFERROR(IF(INDEX('PROJETO PERFURAÇÃO'!$P:$P,MATCH(MEDIÇÃO!K37,'PROJETO PERFURAÇÃO'!$B:$B,0))="Production","P",IF(INDEX('PROJETO PERFURAÇÃO'!$P:$P,MATCH(MEDIÇÃO!K37,'PROJETO PERFURAÇÃO'!$B:$B,0))="Buffer","B",IF(INDEX('PROJETO PERFURAÇÃO'!$P:$P,MATCH(MEDIÇÃO!K37,'PROJETO PERFURAÇÃO'!$B:$B,0))="Pre-Splitting","S"))),"")</f>
        <v>P</v>
      </c>
      <c r="K37" s="14">
        <f>K36+1</f>
        <v>94</v>
      </c>
      <c r="L37" s="4" t="str">
        <f>IFERROR(INDEX('LEV R&amp;D'!$D:$D,MATCH(MEDIÇÃO!K37,'LEV R&amp;D'!$A:$A,0))-INDEX('PROJETO PERFURAÇÃO'!$AH:$AH,MATCH(MEDIÇÃO!K37,'PROJETO PERFURAÇÃO'!$B:$B,0)),"")</f>
        <v/>
      </c>
      <c r="M37" s="17">
        <f>IFERROR(INDEX('PROJETO PERFURAÇÃO'!$AN:$AN,MATCH(MEDIÇÃO!K37,'PROJETO PERFURAÇÃO'!$B:$B,0)),"")</f>
        <v>0</v>
      </c>
      <c r="N37" s="3"/>
      <c r="O37" s="3"/>
      <c r="P37" s="3" t="str">
        <f>IFERROR(ROUND(INDEX('PROJETO PERFURAÇÃO'!$AB:$AB,MATCH(MEDIÇÃO!R37,'PROJETO PERFURAÇÃO'!$B:$B,0)),1)&amp;"''","")</f>
        <v>5''</v>
      </c>
      <c r="Q37" s="3" t="str">
        <f>IFERROR(IF(INDEX('PROJETO PERFURAÇÃO'!$P:$P,MATCH(MEDIÇÃO!R37,'PROJETO PERFURAÇÃO'!$B:$B,0))="Production","P",IF(INDEX('PROJETO PERFURAÇÃO'!$P:$P,MATCH(MEDIÇÃO!R37,'PROJETO PERFURAÇÃO'!$B:$B,0))="Buffer","B",IF(INDEX('PROJETO PERFURAÇÃO'!$P:$P,MATCH(MEDIÇÃO!R37,'PROJETO PERFURAÇÃO'!$B:$B,0))="Pre-Splitting","S"))),"")</f>
        <v>P</v>
      </c>
      <c r="R37" s="14">
        <f>R36+1</f>
        <v>117</v>
      </c>
      <c r="S37" s="4" t="str">
        <f>IFERROR(INDEX('LEV R&amp;D'!$D:$D,MATCH(MEDIÇÃO!R37,'LEV R&amp;D'!$A:$A,0))-INDEX('PROJETO PERFURAÇÃO'!$AH:$AH,MATCH(MEDIÇÃO!R37,'PROJETO PERFURAÇÃO'!$B:$B,0)),"")</f>
        <v/>
      </c>
      <c r="T37" s="17">
        <f>IFERROR(INDEX('PROJETO PERFURAÇÃO'!$AN:$AN,MATCH(MEDIÇÃO!R37,'PROJETO PERFURAÇÃO'!$B:$B,0)),"")</f>
        <v>0</v>
      </c>
      <c r="U37" s="3"/>
      <c r="V37" s="3"/>
    </row>
    <row r="38" spans="1:23" ht="45" customHeight="1">
      <c r="B38" s="3" t="str">
        <f>IFERROR(ROUND(INDEX('PROJETO PERFURAÇÃO'!$AB:$AB,MATCH(MEDIÇÃO!D38,'PROJETO PERFURAÇÃO'!$B:$B,0)),1)&amp;"''","")</f>
        <v>5''</v>
      </c>
      <c r="C38" s="3" t="str">
        <f>IFERROR(IF(INDEX('PROJETO PERFURAÇÃO'!$P:$P,MATCH(MEDIÇÃO!D38,'PROJETO PERFURAÇÃO'!$B:$B,0))="Production","P",IF(INDEX('PROJETO PERFURAÇÃO'!$P:$P,MATCH(MEDIÇÃO!D38,'PROJETO PERFURAÇÃO'!$B:$B,0))="Buffer","B",IF(INDEX('PROJETO PERFURAÇÃO'!$P:$P,MATCH(MEDIÇÃO!D38,'PROJETO PERFURAÇÃO'!$B:$B,0))="Pre-Splitting","S"))),"")</f>
        <v>P</v>
      </c>
      <c r="D38" s="14">
        <f t="shared" ref="D38:D58" si="3">D37+1</f>
        <v>72</v>
      </c>
      <c r="E38" s="4" t="str">
        <f>IFERROR(INDEX('LEV R&amp;D'!$D:$D,MATCH(MEDIÇÃO!D38,'LEV R&amp;D'!$A:$A,0))-INDEX('PROJETO PERFURAÇÃO'!$AH:$AH,MATCH(MEDIÇÃO!D38,'PROJETO PERFURAÇÃO'!$B:$B,0)),"")</f>
        <v/>
      </c>
      <c r="F38" s="17">
        <f>IFERROR(INDEX('PROJETO PERFURAÇÃO'!$AN:$AN,MATCH(MEDIÇÃO!D38,'PROJETO PERFURAÇÃO'!$B:$B,0)),"")</f>
        <v>0</v>
      </c>
      <c r="G38" s="3"/>
      <c r="H38" s="3"/>
      <c r="I38" s="3" t="str">
        <f>IFERROR(ROUND(INDEX('PROJETO PERFURAÇÃO'!$AB:$AB,MATCH(MEDIÇÃO!K38,'PROJETO PERFURAÇÃO'!$B:$B,0)),1)&amp;"''","")</f>
        <v>5''</v>
      </c>
      <c r="J38" s="3" t="str">
        <f>IFERROR(IF(INDEX('PROJETO PERFURAÇÃO'!$P:$P,MATCH(MEDIÇÃO!K38,'PROJETO PERFURAÇÃO'!$B:$B,0))="Production","P",IF(INDEX('PROJETO PERFURAÇÃO'!$P:$P,MATCH(MEDIÇÃO!K38,'PROJETO PERFURAÇÃO'!$B:$B,0))="Buffer","B",IF(INDEX('PROJETO PERFURAÇÃO'!$P:$P,MATCH(MEDIÇÃO!K38,'PROJETO PERFURAÇÃO'!$B:$B,0))="Pre-Splitting","S"))),"")</f>
        <v>P</v>
      </c>
      <c r="K38" s="14">
        <f t="shared" ref="K38:K58" si="4">K37+1</f>
        <v>95</v>
      </c>
      <c r="L38" s="4" t="str">
        <f>IFERROR(INDEX('LEV R&amp;D'!$D:$D,MATCH(MEDIÇÃO!K38,'LEV R&amp;D'!$A:$A,0))-INDEX('PROJETO PERFURAÇÃO'!$AH:$AH,MATCH(MEDIÇÃO!K38,'PROJETO PERFURAÇÃO'!$B:$B,0)),"")</f>
        <v/>
      </c>
      <c r="M38" s="17">
        <f>IFERROR(INDEX('PROJETO PERFURAÇÃO'!$AN:$AN,MATCH(MEDIÇÃO!K38,'PROJETO PERFURAÇÃO'!$B:$B,0)),"")</f>
        <v>0</v>
      </c>
      <c r="N38" s="3"/>
      <c r="O38" s="3"/>
      <c r="P38" s="3" t="str">
        <f>IFERROR(ROUND(INDEX('PROJETO PERFURAÇÃO'!$AB:$AB,MATCH(MEDIÇÃO!R38,'PROJETO PERFURAÇÃO'!$B:$B,0)),1)&amp;"''","")</f>
        <v>5''</v>
      </c>
      <c r="Q38" s="3" t="str">
        <f>IFERROR(IF(INDEX('PROJETO PERFURAÇÃO'!$P:$P,MATCH(MEDIÇÃO!R38,'PROJETO PERFURAÇÃO'!$B:$B,0))="Production","P",IF(INDEX('PROJETO PERFURAÇÃO'!$P:$P,MATCH(MEDIÇÃO!R38,'PROJETO PERFURAÇÃO'!$B:$B,0))="Buffer","B",IF(INDEX('PROJETO PERFURAÇÃO'!$P:$P,MATCH(MEDIÇÃO!R38,'PROJETO PERFURAÇÃO'!$B:$B,0))="Pre-Splitting","S"))),"")</f>
        <v>P</v>
      </c>
      <c r="R38" s="14">
        <f t="shared" ref="R38:R58" si="5">R37+1</f>
        <v>118</v>
      </c>
      <c r="S38" s="4" t="str">
        <f>IFERROR(INDEX('LEV R&amp;D'!$D:$D,MATCH(MEDIÇÃO!R38,'LEV R&amp;D'!$A:$A,0))-INDEX('PROJETO PERFURAÇÃO'!$AH:$AH,MATCH(MEDIÇÃO!R38,'PROJETO PERFURAÇÃO'!$B:$B,0)),"")</f>
        <v/>
      </c>
      <c r="T38" s="17">
        <f>IFERROR(INDEX('PROJETO PERFURAÇÃO'!$AN:$AN,MATCH(MEDIÇÃO!R38,'PROJETO PERFURAÇÃO'!$B:$B,0)),"")</f>
        <v>0</v>
      </c>
      <c r="U38" s="3"/>
      <c r="V38" s="3"/>
    </row>
    <row r="39" spans="1:23" ht="45" customHeight="1">
      <c r="B39" s="3" t="str">
        <f>IFERROR(ROUND(INDEX('PROJETO PERFURAÇÃO'!$AB:$AB,MATCH(MEDIÇÃO!D39,'PROJETO PERFURAÇÃO'!$B:$B,0)),1)&amp;"''","")</f>
        <v>5''</v>
      </c>
      <c r="C39" s="3" t="str">
        <f>IFERROR(IF(INDEX('PROJETO PERFURAÇÃO'!$P:$P,MATCH(MEDIÇÃO!D39,'PROJETO PERFURAÇÃO'!$B:$B,0))="Production","P",IF(INDEX('PROJETO PERFURAÇÃO'!$P:$P,MATCH(MEDIÇÃO!D39,'PROJETO PERFURAÇÃO'!$B:$B,0))="Buffer","B",IF(INDEX('PROJETO PERFURAÇÃO'!$P:$P,MATCH(MEDIÇÃO!D39,'PROJETO PERFURAÇÃO'!$B:$B,0))="Pre-Splitting","S"))),"")</f>
        <v>P</v>
      </c>
      <c r="D39" s="14">
        <f t="shared" si="3"/>
        <v>73</v>
      </c>
      <c r="E39" s="4" t="str">
        <f>IFERROR(INDEX('LEV R&amp;D'!$D:$D,MATCH(MEDIÇÃO!D39,'LEV R&amp;D'!$A:$A,0))-INDEX('PROJETO PERFURAÇÃO'!$AH:$AH,MATCH(MEDIÇÃO!D39,'PROJETO PERFURAÇÃO'!$B:$B,0)),"")</f>
        <v/>
      </c>
      <c r="F39" s="17">
        <f>IFERROR(INDEX('PROJETO PERFURAÇÃO'!$AN:$AN,MATCH(MEDIÇÃO!D39,'PROJETO PERFURAÇÃO'!$B:$B,0)),"")</f>
        <v>0</v>
      </c>
      <c r="G39" s="3"/>
      <c r="H39" s="3"/>
      <c r="I39" s="3" t="str">
        <f>IFERROR(ROUND(INDEX('PROJETO PERFURAÇÃO'!$AB:$AB,MATCH(MEDIÇÃO!K39,'PROJETO PERFURAÇÃO'!$B:$B,0)),1)&amp;"''","")</f>
        <v>5''</v>
      </c>
      <c r="J39" s="3" t="str">
        <f>IFERROR(IF(INDEX('PROJETO PERFURAÇÃO'!$P:$P,MATCH(MEDIÇÃO!K39,'PROJETO PERFURAÇÃO'!$B:$B,0))="Production","P",IF(INDEX('PROJETO PERFURAÇÃO'!$P:$P,MATCH(MEDIÇÃO!K39,'PROJETO PERFURAÇÃO'!$B:$B,0))="Buffer","B",IF(INDEX('PROJETO PERFURAÇÃO'!$P:$P,MATCH(MEDIÇÃO!K39,'PROJETO PERFURAÇÃO'!$B:$B,0))="Pre-Splitting","S"))),"")</f>
        <v>P</v>
      </c>
      <c r="K39" s="14">
        <f t="shared" si="4"/>
        <v>96</v>
      </c>
      <c r="L39" s="4" t="str">
        <f>IFERROR(INDEX('LEV R&amp;D'!$D:$D,MATCH(MEDIÇÃO!K39,'LEV R&amp;D'!$A:$A,0))-INDEX('PROJETO PERFURAÇÃO'!$AH:$AH,MATCH(MEDIÇÃO!K39,'PROJETO PERFURAÇÃO'!$B:$B,0)),"")</f>
        <v/>
      </c>
      <c r="M39" s="17">
        <f>IFERROR(INDEX('PROJETO PERFURAÇÃO'!$AN:$AN,MATCH(MEDIÇÃO!K39,'PROJETO PERFURAÇÃO'!$B:$B,0)),"")</f>
        <v>0</v>
      </c>
      <c r="N39" s="3"/>
      <c r="O39" s="3"/>
      <c r="P39" s="3" t="str">
        <f>IFERROR(ROUND(INDEX('PROJETO PERFURAÇÃO'!$AB:$AB,MATCH(MEDIÇÃO!R39,'PROJETO PERFURAÇÃO'!$B:$B,0)),1)&amp;"''","")</f>
        <v>5''</v>
      </c>
      <c r="Q39" s="3" t="str">
        <f>IFERROR(IF(INDEX('PROJETO PERFURAÇÃO'!$P:$P,MATCH(MEDIÇÃO!R39,'PROJETO PERFURAÇÃO'!$B:$B,0))="Production","P",IF(INDEX('PROJETO PERFURAÇÃO'!$P:$P,MATCH(MEDIÇÃO!R39,'PROJETO PERFURAÇÃO'!$B:$B,0))="Buffer","B",IF(INDEX('PROJETO PERFURAÇÃO'!$P:$P,MATCH(MEDIÇÃO!R39,'PROJETO PERFURAÇÃO'!$B:$B,0))="Pre-Splitting","S"))),"")</f>
        <v>P</v>
      </c>
      <c r="R39" s="14">
        <f t="shared" si="5"/>
        <v>119</v>
      </c>
      <c r="S39" s="4" t="str">
        <f>IFERROR(INDEX('LEV R&amp;D'!$D:$D,MATCH(MEDIÇÃO!R39,'LEV R&amp;D'!$A:$A,0))-INDEX('PROJETO PERFURAÇÃO'!$AH:$AH,MATCH(MEDIÇÃO!R39,'PROJETO PERFURAÇÃO'!$B:$B,0)),"")</f>
        <v/>
      </c>
      <c r="T39" s="17">
        <f>IFERROR(INDEX('PROJETO PERFURAÇÃO'!$AN:$AN,MATCH(MEDIÇÃO!R39,'PROJETO PERFURAÇÃO'!$B:$B,0)),"")</f>
        <v>0</v>
      </c>
      <c r="U39" s="3"/>
      <c r="V39" s="3"/>
    </row>
    <row r="40" spans="1:23" ht="45" customHeight="1">
      <c r="B40" s="3" t="str">
        <f>IFERROR(ROUND(INDEX('PROJETO PERFURAÇÃO'!$AB:$AB,MATCH(MEDIÇÃO!D40,'PROJETO PERFURAÇÃO'!$B:$B,0)),1)&amp;"''","")</f>
        <v>5''</v>
      </c>
      <c r="C40" s="3" t="str">
        <f>IFERROR(IF(INDEX('PROJETO PERFURAÇÃO'!$P:$P,MATCH(MEDIÇÃO!D40,'PROJETO PERFURAÇÃO'!$B:$B,0))="Production","P",IF(INDEX('PROJETO PERFURAÇÃO'!$P:$P,MATCH(MEDIÇÃO!D40,'PROJETO PERFURAÇÃO'!$B:$B,0))="Buffer","B",IF(INDEX('PROJETO PERFURAÇÃO'!$P:$P,MATCH(MEDIÇÃO!D40,'PROJETO PERFURAÇÃO'!$B:$B,0))="Pre-Splitting","S"))),"")</f>
        <v>P</v>
      </c>
      <c r="D40" s="14">
        <f t="shared" si="3"/>
        <v>74</v>
      </c>
      <c r="E40" s="4" t="str">
        <f>IFERROR(INDEX('LEV R&amp;D'!$D:$D,MATCH(MEDIÇÃO!D40,'LEV R&amp;D'!$A:$A,0))-INDEX('PROJETO PERFURAÇÃO'!$AH:$AH,MATCH(MEDIÇÃO!D40,'PROJETO PERFURAÇÃO'!$B:$B,0)),"")</f>
        <v/>
      </c>
      <c r="F40" s="17">
        <f>IFERROR(INDEX('PROJETO PERFURAÇÃO'!$AN:$AN,MATCH(MEDIÇÃO!D40,'PROJETO PERFURAÇÃO'!$B:$B,0)),"")</f>
        <v>0</v>
      </c>
      <c r="G40" s="3"/>
      <c r="H40" s="3"/>
      <c r="I40" s="3" t="str">
        <f>IFERROR(ROUND(INDEX('PROJETO PERFURAÇÃO'!$AB:$AB,MATCH(MEDIÇÃO!K40,'PROJETO PERFURAÇÃO'!$B:$B,0)),1)&amp;"''","")</f>
        <v>5''</v>
      </c>
      <c r="J40" s="3" t="str">
        <f>IFERROR(IF(INDEX('PROJETO PERFURAÇÃO'!$P:$P,MATCH(MEDIÇÃO!K40,'PROJETO PERFURAÇÃO'!$B:$B,0))="Production","P",IF(INDEX('PROJETO PERFURAÇÃO'!$P:$P,MATCH(MEDIÇÃO!K40,'PROJETO PERFURAÇÃO'!$B:$B,0))="Buffer","B",IF(INDEX('PROJETO PERFURAÇÃO'!$P:$P,MATCH(MEDIÇÃO!K40,'PROJETO PERFURAÇÃO'!$B:$B,0))="Pre-Splitting","S"))),"")</f>
        <v>P</v>
      </c>
      <c r="K40" s="14">
        <f t="shared" si="4"/>
        <v>97</v>
      </c>
      <c r="L40" s="4" t="str">
        <f>IFERROR(INDEX('LEV R&amp;D'!$D:$D,MATCH(MEDIÇÃO!K40,'LEV R&amp;D'!$A:$A,0))-INDEX('PROJETO PERFURAÇÃO'!$AH:$AH,MATCH(MEDIÇÃO!K40,'PROJETO PERFURAÇÃO'!$B:$B,0)),"")</f>
        <v/>
      </c>
      <c r="M40" s="17">
        <f>IFERROR(INDEX('PROJETO PERFURAÇÃO'!$AN:$AN,MATCH(MEDIÇÃO!K40,'PROJETO PERFURAÇÃO'!$B:$B,0)),"")</f>
        <v>0</v>
      </c>
      <c r="N40" s="3"/>
      <c r="O40" s="3"/>
      <c r="P40" s="3" t="str">
        <f>IFERROR(ROUND(INDEX('PROJETO PERFURAÇÃO'!$AB:$AB,MATCH(MEDIÇÃO!R40,'PROJETO PERFURAÇÃO'!$B:$B,0)),1)&amp;"''","")</f>
        <v>5''</v>
      </c>
      <c r="Q40" s="3" t="str">
        <f>IFERROR(IF(INDEX('PROJETO PERFURAÇÃO'!$P:$P,MATCH(MEDIÇÃO!R40,'PROJETO PERFURAÇÃO'!$B:$B,0))="Production","P",IF(INDEX('PROJETO PERFURAÇÃO'!$P:$P,MATCH(MEDIÇÃO!R40,'PROJETO PERFURAÇÃO'!$B:$B,0))="Buffer","B",IF(INDEX('PROJETO PERFURAÇÃO'!$P:$P,MATCH(MEDIÇÃO!R40,'PROJETO PERFURAÇÃO'!$B:$B,0))="Pre-Splitting","S"))),"")</f>
        <v>P</v>
      </c>
      <c r="R40" s="14">
        <f t="shared" si="5"/>
        <v>120</v>
      </c>
      <c r="S40" s="4" t="str">
        <f>IFERROR(INDEX('LEV R&amp;D'!$D:$D,MATCH(MEDIÇÃO!R40,'LEV R&amp;D'!$A:$A,0))-INDEX('PROJETO PERFURAÇÃO'!$AH:$AH,MATCH(MEDIÇÃO!R40,'PROJETO PERFURAÇÃO'!$B:$B,0)),"")</f>
        <v/>
      </c>
      <c r="T40" s="17">
        <f>IFERROR(INDEX('PROJETO PERFURAÇÃO'!$AN:$AN,MATCH(MEDIÇÃO!R40,'PROJETO PERFURAÇÃO'!$B:$B,0)),"")</f>
        <v>0</v>
      </c>
      <c r="U40" s="3"/>
      <c r="V40" s="3"/>
    </row>
    <row r="41" spans="1:23" ht="45" customHeight="1">
      <c r="B41" s="3" t="str">
        <f>IFERROR(ROUND(INDEX('PROJETO PERFURAÇÃO'!$AB:$AB,MATCH(MEDIÇÃO!D41,'PROJETO PERFURAÇÃO'!$B:$B,0)),1)&amp;"''","")</f>
        <v>5''</v>
      </c>
      <c r="C41" s="3" t="str">
        <f>IFERROR(IF(INDEX('PROJETO PERFURAÇÃO'!$P:$P,MATCH(MEDIÇÃO!D41,'PROJETO PERFURAÇÃO'!$B:$B,0))="Production","P",IF(INDEX('PROJETO PERFURAÇÃO'!$P:$P,MATCH(MEDIÇÃO!D41,'PROJETO PERFURAÇÃO'!$B:$B,0))="Buffer","B",IF(INDEX('PROJETO PERFURAÇÃO'!$P:$P,MATCH(MEDIÇÃO!D41,'PROJETO PERFURAÇÃO'!$B:$B,0))="Pre-Splitting","S"))),"")</f>
        <v>P</v>
      </c>
      <c r="D41" s="14">
        <f t="shared" si="3"/>
        <v>75</v>
      </c>
      <c r="E41" s="4" t="str">
        <f>IFERROR(INDEX('LEV R&amp;D'!$D:$D,MATCH(MEDIÇÃO!D41,'LEV R&amp;D'!$A:$A,0))-INDEX('PROJETO PERFURAÇÃO'!$AH:$AH,MATCH(MEDIÇÃO!D41,'PROJETO PERFURAÇÃO'!$B:$B,0)),"")</f>
        <v/>
      </c>
      <c r="F41" s="17">
        <f>IFERROR(INDEX('PROJETO PERFURAÇÃO'!$AN:$AN,MATCH(MEDIÇÃO!D41,'PROJETO PERFURAÇÃO'!$B:$B,0)),"")</f>
        <v>0</v>
      </c>
      <c r="G41" s="3"/>
      <c r="H41" s="3"/>
      <c r="I41" s="3" t="str">
        <f>IFERROR(ROUND(INDEX('PROJETO PERFURAÇÃO'!$AB:$AB,MATCH(MEDIÇÃO!K41,'PROJETO PERFURAÇÃO'!$B:$B,0)),1)&amp;"''","")</f>
        <v>5''</v>
      </c>
      <c r="J41" s="3" t="str">
        <f>IFERROR(IF(INDEX('PROJETO PERFURAÇÃO'!$P:$P,MATCH(MEDIÇÃO!K41,'PROJETO PERFURAÇÃO'!$B:$B,0))="Production","P",IF(INDEX('PROJETO PERFURAÇÃO'!$P:$P,MATCH(MEDIÇÃO!K41,'PROJETO PERFURAÇÃO'!$B:$B,0))="Buffer","B",IF(INDEX('PROJETO PERFURAÇÃO'!$P:$P,MATCH(MEDIÇÃO!K41,'PROJETO PERFURAÇÃO'!$B:$B,0))="Pre-Splitting","S"))),"")</f>
        <v>P</v>
      </c>
      <c r="K41" s="14">
        <f t="shared" si="4"/>
        <v>98</v>
      </c>
      <c r="L41" s="4" t="str">
        <f>IFERROR(INDEX('LEV R&amp;D'!$D:$D,MATCH(MEDIÇÃO!K41,'LEV R&amp;D'!$A:$A,0))-INDEX('PROJETO PERFURAÇÃO'!$AH:$AH,MATCH(MEDIÇÃO!K41,'PROJETO PERFURAÇÃO'!$B:$B,0)),"")</f>
        <v/>
      </c>
      <c r="M41" s="17">
        <f>IFERROR(INDEX('PROJETO PERFURAÇÃO'!$AN:$AN,MATCH(MEDIÇÃO!K41,'PROJETO PERFURAÇÃO'!$B:$B,0)),"")</f>
        <v>0</v>
      </c>
      <c r="N41" s="3"/>
      <c r="O41" s="3"/>
      <c r="P41" s="3" t="str">
        <f>IFERROR(ROUND(INDEX('PROJETO PERFURAÇÃO'!$AB:$AB,MATCH(MEDIÇÃO!R41,'PROJETO PERFURAÇÃO'!$B:$B,0)),1)&amp;"''","")</f>
        <v>5''</v>
      </c>
      <c r="Q41" s="3" t="str">
        <f>IFERROR(IF(INDEX('PROJETO PERFURAÇÃO'!$P:$P,MATCH(MEDIÇÃO!R41,'PROJETO PERFURAÇÃO'!$B:$B,0))="Production","P",IF(INDEX('PROJETO PERFURAÇÃO'!$P:$P,MATCH(MEDIÇÃO!R41,'PROJETO PERFURAÇÃO'!$B:$B,0))="Buffer","B",IF(INDEX('PROJETO PERFURAÇÃO'!$P:$P,MATCH(MEDIÇÃO!R41,'PROJETO PERFURAÇÃO'!$B:$B,0))="Pre-Splitting","S"))),"")</f>
        <v>P</v>
      </c>
      <c r="R41" s="14">
        <f t="shared" si="5"/>
        <v>121</v>
      </c>
      <c r="S41" s="4" t="str">
        <f>IFERROR(INDEX('LEV R&amp;D'!$D:$D,MATCH(MEDIÇÃO!R41,'LEV R&amp;D'!$A:$A,0))-INDEX('PROJETO PERFURAÇÃO'!$AH:$AH,MATCH(MEDIÇÃO!R41,'PROJETO PERFURAÇÃO'!$B:$B,0)),"")</f>
        <v/>
      </c>
      <c r="T41" s="17">
        <f>IFERROR(INDEX('PROJETO PERFURAÇÃO'!$AN:$AN,MATCH(MEDIÇÃO!R41,'PROJETO PERFURAÇÃO'!$B:$B,0)),"")</f>
        <v>0</v>
      </c>
      <c r="U41" s="3"/>
      <c r="V41" s="3"/>
    </row>
    <row r="42" spans="1:23" ht="45" customHeight="1">
      <c r="B42" s="3" t="str">
        <f>IFERROR(ROUND(INDEX('PROJETO PERFURAÇÃO'!$AB:$AB,MATCH(MEDIÇÃO!D42,'PROJETO PERFURAÇÃO'!$B:$B,0)),1)&amp;"''","")</f>
        <v>5''</v>
      </c>
      <c r="C42" s="3" t="str">
        <f>IFERROR(IF(INDEX('PROJETO PERFURAÇÃO'!$P:$P,MATCH(MEDIÇÃO!D42,'PROJETO PERFURAÇÃO'!$B:$B,0))="Production","P",IF(INDEX('PROJETO PERFURAÇÃO'!$P:$P,MATCH(MEDIÇÃO!D42,'PROJETO PERFURAÇÃO'!$B:$B,0))="Buffer","B",IF(INDEX('PROJETO PERFURAÇÃO'!$P:$P,MATCH(MEDIÇÃO!D42,'PROJETO PERFURAÇÃO'!$B:$B,0))="Pre-Splitting","S"))),"")</f>
        <v>P</v>
      </c>
      <c r="D42" s="14">
        <f t="shared" si="3"/>
        <v>76</v>
      </c>
      <c r="E42" s="4" t="str">
        <f>IFERROR(INDEX('LEV R&amp;D'!$D:$D,MATCH(MEDIÇÃO!D42,'LEV R&amp;D'!$A:$A,0))-INDEX('PROJETO PERFURAÇÃO'!$AH:$AH,MATCH(MEDIÇÃO!D42,'PROJETO PERFURAÇÃO'!$B:$B,0)),"")</f>
        <v/>
      </c>
      <c r="F42" s="17">
        <f>IFERROR(INDEX('PROJETO PERFURAÇÃO'!$AN:$AN,MATCH(MEDIÇÃO!D42,'PROJETO PERFURAÇÃO'!$B:$B,0)),"")</f>
        <v>0</v>
      </c>
      <c r="G42" s="3"/>
      <c r="H42" s="3"/>
      <c r="I42" s="3" t="str">
        <f>IFERROR(ROUND(INDEX('PROJETO PERFURAÇÃO'!$AB:$AB,MATCH(MEDIÇÃO!K42,'PROJETO PERFURAÇÃO'!$B:$B,0)),1)&amp;"''","")</f>
        <v>5''</v>
      </c>
      <c r="J42" s="3" t="str">
        <f>IFERROR(IF(INDEX('PROJETO PERFURAÇÃO'!$P:$P,MATCH(MEDIÇÃO!K42,'PROJETO PERFURAÇÃO'!$B:$B,0))="Production","P",IF(INDEX('PROJETO PERFURAÇÃO'!$P:$P,MATCH(MEDIÇÃO!K42,'PROJETO PERFURAÇÃO'!$B:$B,0))="Buffer","B",IF(INDEX('PROJETO PERFURAÇÃO'!$P:$P,MATCH(MEDIÇÃO!K42,'PROJETO PERFURAÇÃO'!$B:$B,0))="Pre-Splitting","S"))),"")</f>
        <v>P</v>
      </c>
      <c r="K42" s="14">
        <f t="shared" si="4"/>
        <v>99</v>
      </c>
      <c r="L42" s="4" t="str">
        <f>IFERROR(INDEX('LEV R&amp;D'!$D:$D,MATCH(MEDIÇÃO!K42,'LEV R&amp;D'!$A:$A,0))-INDEX('PROJETO PERFURAÇÃO'!$AH:$AH,MATCH(MEDIÇÃO!K42,'PROJETO PERFURAÇÃO'!$B:$B,0)),"")</f>
        <v/>
      </c>
      <c r="M42" s="17">
        <f>IFERROR(INDEX('PROJETO PERFURAÇÃO'!$AN:$AN,MATCH(MEDIÇÃO!K42,'PROJETO PERFURAÇÃO'!$B:$B,0)),"")</f>
        <v>0</v>
      </c>
      <c r="N42" s="3"/>
      <c r="O42" s="3"/>
      <c r="P42" s="3" t="str">
        <f>IFERROR(ROUND(INDEX('PROJETO PERFURAÇÃO'!$AB:$AB,MATCH(MEDIÇÃO!R42,'PROJETO PERFURAÇÃO'!$B:$B,0)),1)&amp;"''","")</f>
        <v>5''</v>
      </c>
      <c r="Q42" s="3" t="str">
        <f>IFERROR(IF(INDEX('PROJETO PERFURAÇÃO'!$P:$P,MATCH(MEDIÇÃO!R42,'PROJETO PERFURAÇÃO'!$B:$B,0))="Production","P",IF(INDEX('PROJETO PERFURAÇÃO'!$P:$P,MATCH(MEDIÇÃO!R42,'PROJETO PERFURAÇÃO'!$B:$B,0))="Buffer","B",IF(INDEX('PROJETO PERFURAÇÃO'!$P:$P,MATCH(MEDIÇÃO!R42,'PROJETO PERFURAÇÃO'!$B:$B,0))="Pre-Splitting","S"))),"")</f>
        <v>P</v>
      </c>
      <c r="R42" s="14">
        <f t="shared" si="5"/>
        <v>122</v>
      </c>
      <c r="S42" s="4" t="str">
        <f>IFERROR(INDEX('LEV R&amp;D'!$D:$D,MATCH(MEDIÇÃO!R42,'LEV R&amp;D'!$A:$A,0))-INDEX('PROJETO PERFURAÇÃO'!$AH:$AH,MATCH(MEDIÇÃO!R42,'PROJETO PERFURAÇÃO'!$B:$B,0)),"")</f>
        <v/>
      </c>
      <c r="T42" s="17">
        <f>IFERROR(INDEX('PROJETO PERFURAÇÃO'!$AN:$AN,MATCH(MEDIÇÃO!R42,'PROJETO PERFURAÇÃO'!$B:$B,0)),"")</f>
        <v>0</v>
      </c>
      <c r="U42" s="3"/>
      <c r="V42" s="3"/>
    </row>
    <row r="43" spans="1:23" ht="45" customHeight="1">
      <c r="B43" s="3" t="str">
        <f>IFERROR(ROUND(INDEX('PROJETO PERFURAÇÃO'!$AB:$AB,MATCH(MEDIÇÃO!D43,'PROJETO PERFURAÇÃO'!$B:$B,0)),1)&amp;"''","")</f>
        <v>5''</v>
      </c>
      <c r="C43" s="3" t="str">
        <f>IFERROR(IF(INDEX('PROJETO PERFURAÇÃO'!$P:$P,MATCH(MEDIÇÃO!D43,'PROJETO PERFURAÇÃO'!$B:$B,0))="Production","P",IF(INDEX('PROJETO PERFURAÇÃO'!$P:$P,MATCH(MEDIÇÃO!D43,'PROJETO PERFURAÇÃO'!$B:$B,0))="Buffer","B",IF(INDEX('PROJETO PERFURAÇÃO'!$P:$P,MATCH(MEDIÇÃO!D43,'PROJETO PERFURAÇÃO'!$B:$B,0))="Pre-Splitting","S"))),"")</f>
        <v>P</v>
      </c>
      <c r="D43" s="14">
        <f t="shared" si="3"/>
        <v>77</v>
      </c>
      <c r="E43" s="4" t="str">
        <f>IFERROR(INDEX('LEV R&amp;D'!$D:$D,MATCH(MEDIÇÃO!D43,'LEV R&amp;D'!$A:$A,0))-INDEX('PROJETO PERFURAÇÃO'!$AH:$AH,MATCH(MEDIÇÃO!D43,'PROJETO PERFURAÇÃO'!$B:$B,0)),"")</f>
        <v/>
      </c>
      <c r="F43" s="17">
        <f>IFERROR(INDEX('PROJETO PERFURAÇÃO'!$AN:$AN,MATCH(MEDIÇÃO!D43,'PROJETO PERFURAÇÃO'!$B:$B,0)),"")</f>
        <v>0</v>
      </c>
      <c r="G43" s="3"/>
      <c r="H43" s="3"/>
      <c r="I43" s="3" t="str">
        <f>IFERROR(ROUND(INDEX('PROJETO PERFURAÇÃO'!$AB:$AB,MATCH(MEDIÇÃO!K43,'PROJETO PERFURAÇÃO'!$B:$B,0)),1)&amp;"''","")</f>
        <v>5''</v>
      </c>
      <c r="J43" s="3" t="str">
        <f>IFERROR(IF(INDEX('PROJETO PERFURAÇÃO'!$P:$P,MATCH(MEDIÇÃO!K43,'PROJETO PERFURAÇÃO'!$B:$B,0))="Production","P",IF(INDEX('PROJETO PERFURAÇÃO'!$P:$P,MATCH(MEDIÇÃO!K43,'PROJETO PERFURAÇÃO'!$B:$B,0))="Buffer","B",IF(INDEX('PROJETO PERFURAÇÃO'!$P:$P,MATCH(MEDIÇÃO!K43,'PROJETO PERFURAÇÃO'!$B:$B,0))="Pre-Splitting","S"))),"")</f>
        <v>P</v>
      </c>
      <c r="K43" s="14">
        <f t="shared" si="4"/>
        <v>100</v>
      </c>
      <c r="L43" s="4" t="str">
        <f>IFERROR(INDEX('LEV R&amp;D'!$D:$D,MATCH(MEDIÇÃO!K43,'LEV R&amp;D'!$A:$A,0))-INDEX('PROJETO PERFURAÇÃO'!$AH:$AH,MATCH(MEDIÇÃO!K43,'PROJETO PERFURAÇÃO'!$B:$B,0)),"")</f>
        <v/>
      </c>
      <c r="M43" s="17">
        <f>IFERROR(INDEX('PROJETO PERFURAÇÃO'!$AN:$AN,MATCH(MEDIÇÃO!K43,'PROJETO PERFURAÇÃO'!$B:$B,0)),"")</f>
        <v>0</v>
      </c>
      <c r="N43" s="3"/>
      <c r="O43" s="3"/>
      <c r="P43" s="3" t="str">
        <f>IFERROR(ROUND(INDEX('PROJETO PERFURAÇÃO'!$AB:$AB,MATCH(MEDIÇÃO!R43,'PROJETO PERFURAÇÃO'!$B:$B,0)),1)&amp;"''","")</f>
        <v>5''</v>
      </c>
      <c r="Q43" s="3" t="str">
        <f>IFERROR(IF(INDEX('PROJETO PERFURAÇÃO'!$P:$P,MATCH(MEDIÇÃO!R43,'PROJETO PERFURAÇÃO'!$B:$B,0))="Production","P",IF(INDEX('PROJETO PERFURAÇÃO'!$P:$P,MATCH(MEDIÇÃO!R43,'PROJETO PERFURAÇÃO'!$B:$B,0))="Buffer","B",IF(INDEX('PROJETO PERFURAÇÃO'!$P:$P,MATCH(MEDIÇÃO!R43,'PROJETO PERFURAÇÃO'!$B:$B,0))="Pre-Splitting","S"))),"")</f>
        <v>P</v>
      </c>
      <c r="R43" s="14">
        <f t="shared" si="5"/>
        <v>123</v>
      </c>
      <c r="S43" s="4" t="str">
        <f>IFERROR(INDEX('LEV R&amp;D'!$D:$D,MATCH(MEDIÇÃO!R43,'LEV R&amp;D'!$A:$A,0))-INDEX('PROJETO PERFURAÇÃO'!$AH:$AH,MATCH(MEDIÇÃO!R43,'PROJETO PERFURAÇÃO'!$B:$B,0)),"")</f>
        <v/>
      </c>
      <c r="T43" s="17">
        <f>IFERROR(INDEX('PROJETO PERFURAÇÃO'!$AN:$AN,MATCH(MEDIÇÃO!R43,'PROJETO PERFURAÇÃO'!$B:$B,0)),"")</f>
        <v>0</v>
      </c>
      <c r="U43" s="3"/>
      <c r="V43" s="3"/>
    </row>
    <row r="44" spans="1:23" ht="45" customHeight="1">
      <c r="B44" s="3" t="str">
        <f>IFERROR(ROUND(INDEX('PROJETO PERFURAÇÃO'!$AB:$AB,MATCH(MEDIÇÃO!D44,'PROJETO PERFURAÇÃO'!$B:$B,0)),1)&amp;"''","")</f>
        <v>5''</v>
      </c>
      <c r="C44" s="3" t="str">
        <f>IFERROR(IF(INDEX('PROJETO PERFURAÇÃO'!$P:$P,MATCH(MEDIÇÃO!D44,'PROJETO PERFURAÇÃO'!$B:$B,0))="Production","P",IF(INDEX('PROJETO PERFURAÇÃO'!$P:$P,MATCH(MEDIÇÃO!D44,'PROJETO PERFURAÇÃO'!$B:$B,0))="Buffer","B",IF(INDEX('PROJETO PERFURAÇÃO'!$P:$P,MATCH(MEDIÇÃO!D44,'PROJETO PERFURAÇÃO'!$B:$B,0))="Pre-Splitting","S"))),"")</f>
        <v>P</v>
      </c>
      <c r="D44" s="14">
        <f t="shared" si="3"/>
        <v>78</v>
      </c>
      <c r="E44" s="4" t="str">
        <f>IFERROR(INDEX('LEV R&amp;D'!$D:$D,MATCH(MEDIÇÃO!D44,'LEV R&amp;D'!$A:$A,0))-INDEX('PROJETO PERFURAÇÃO'!$AH:$AH,MATCH(MEDIÇÃO!D44,'PROJETO PERFURAÇÃO'!$B:$B,0)),"")</f>
        <v/>
      </c>
      <c r="F44" s="17">
        <f>IFERROR(INDEX('PROJETO PERFURAÇÃO'!$AN:$AN,MATCH(MEDIÇÃO!D44,'PROJETO PERFURAÇÃO'!$B:$B,0)),"")</f>
        <v>0</v>
      </c>
      <c r="G44" s="3"/>
      <c r="H44" s="3"/>
      <c r="I44" s="3" t="str">
        <f>IFERROR(ROUND(INDEX('PROJETO PERFURAÇÃO'!$AB:$AB,MATCH(MEDIÇÃO!K44,'PROJETO PERFURAÇÃO'!$B:$B,0)),1)&amp;"''","")</f>
        <v>5''</v>
      </c>
      <c r="J44" s="3" t="str">
        <f>IFERROR(IF(INDEX('PROJETO PERFURAÇÃO'!$P:$P,MATCH(MEDIÇÃO!K44,'PROJETO PERFURAÇÃO'!$B:$B,0))="Production","P",IF(INDEX('PROJETO PERFURAÇÃO'!$P:$P,MATCH(MEDIÇÃO!K44,'PROJETO PERFURAÇÃO'!$B:$B,0))="Buffer","B",IF(INDEX('PROJETO PERFURAÇÃO'!$P:$P,MATCH(MEDIÇÃO!K44,'PROJETO PERFURAÇÃO'!$B:$B,0))="Pre-Splitting","S"))),"")</f>
        <v>P</v>
      </c>
      <c r="K44" s="14">
        <f t="shared" si="4"/>
        <v>101</v>
      </c>
      <c r="L44" s="4" t="str">
        <f>IFERROR(INDEX('LEV R&amp;D'!$D:$D,MATCH(MEDIÇÃO!K44,'LEV R&amp;D'!$A:$A,0))-INDEX('PROJETO PERFURAÇÃO'!$AH:$AH,MATCH(MEDIÇÃO!K44,'PROJETO PERFURAÇÃO'!$B:$B,0)),"")</f>
        <v/>
      </c>
      <c r="M44" s="17">
        <f>IFERROR(INDEX('PROJETO PERFURAÇÃO'!$AN:$AN,MATCH(MEDIÇÃO!K44,'PROJETO PERFURAÇÃO'!$B:$B,0)),"")</f>
        <v>0</v>
      </c>
      <c r="N44" s="3"/>
      <c r="O44" s="3"/>
      <c r="P44" s="3" t="str">
        <f>IFERROR(ROUND(INDEX('PROJETO PERFURAÇÃO'!$AB:$AB,MATCH(MEDIÇÃO!R44,'PROJETO PERFURAÇÃO'!$B:$B,0)),1)&amp;"''","")</f>
        <v>5''</v>
      </c>
      <c r="Q44" s="3" t="str">
        <f>IFERROR(IF(INDEX('PROJETO PERFURAÇÃO'!$P:$P,MATCH(MEDIÇÃO!R44,'PROJETO PERFURAÇÃO'!$B:$B,0))="Production","P",IF(INDEX('PROJETO PERFURAÇÃO'!$P:$P,MATCH(MEDIÇÃO!R44,'PROJETO PERFURAÇÃO'!$B:$B,0))="Buffer","B",IF(INDEX('PROJETO PERFURAÇÃO'!$P:$P,MATCH(MEDIÇÃO!R44,'PROJETO PERFURAÇÃO'!$B:$B,0))="Pre-Splitting","S"))),"")</f>
        <v>P</v>
      </c>
      <c r="R44" s="14">
        <f t="shared" si="5"/>
        <v>124</v>
      </c>
      <c r="S44" s="4" t="str">
        <f>IFERROR(INDEX('LEV R&amp;D'!$D:$D,MATCH(MEDIÇÃO!R44,'LEV R&amp;D'!$A:$A,0))-INDEX('PROJETO PERFURAÇÃO'!$AH:$AH,MATCH(MEDIÇÃO!R44,'PROJETO PERFURAÇÃO'!$B:$B,0)),"")</f>
        <v/>
      </c>
      <c r="T44" s="17">
        <f>IFERROR(INDEX('PROJETO PERFURAÇÃO'!$AN:$AN,MATCH(MEDIÇÃO!R44,'PROJETO PERFURAÇÃO'!$B:$B,0)),"")</f>
        <v>0</v>
      </c>
      <c r="U44" s="3"/>
      <c r="V44" s="3"/>
    </row>
    <row r="45" spans="1:23" ht="45" customHeight="1">
      <c r="B45" s="3" t="str">
        <f>IFERROR(ROUND(INDEX('PROJETO PERFURAÇÃO'!$AB:$AB,MATCH(MEDIÇÃO!D45,'PROJETO PERFURAÇÃO'!$B:$B,0)),1)&amp;"''","")</f>
        <v>5''</v>
      </c>
      <c r="C45" s="3" t="str">
        <f>IFERROR(IF(INDEX('PROJETO PERFURAÇÃO'!$P:$P,MATCH(MEDIÇÃO!D45,'PROJETO PERFURAÇÃO'!$B:$B,0))="Production","P",IF(INDEX('PROJETO PERFURAÇÃO'!$P:$P,MATCH(MEDIÇÃO!D45,'PROJETO PERFURAÇÃO'!$B:$B,0))="Buffer","B",IF(INDEX('PROJETO PERFURAÇÃO'!$P:$P,MATCH(MEDIÇÃO!D45,'PROJETO PERFURAÇÃO'!$B:$B,0))="Pre-Splitting","S"))),"")</f>
        <v>P</v>
      </c>
      <c r="D45" s="14">
        <f t="shared" si="3"/>
        <v>79</v>
      </c>
      <c r="E45" s="4" t="str">
        <f>IFERROR(INDEX('LEV R&amp;D'!$D:$D,MATCH(MEDIÇÃO!D45,'LEV R&amp;D'!$A:$A,0))-INDEX('PROJETO PERFURAÇÃO'!$AH:$AH,MATCH(MEDIÇÃO!D45,'PROJETO PERFURAÇÃO'!$B:$B,0)),"")</f>
        <v/>
      </c>
      <c r="F45" s="17">
        <f>IFERROR(INDEX('PROJETO PERFURAÇÃO'!$AN:$AN,MATCH(MEDIÇÃO!D45,'PROJETO PERFURAÇÃO'!$B:$B,0)),"")</f>
        <v>0</v>
      </c>
      <c r="G45" s="3"/>
      <c r="H45" s="3"/>
      <c r="I45" s="3" t="str">
        <f>IFERROR(ROUND(INDEX('PROJETO PERFURAÇÃO'!$AB:$AB,MATCH(MEDIÇÃO!K45,'PROJETO PERFURAÇÃO'!$B:$B,0)),1)&amp;"''","")</f>
        <v>5''</v>
      </c>
      <c r="J45" s="3" t="str">
        <f>IFERROR(IF(INDEX('PROJETO PERFURAÇÃO'!$P:$P,MATCH(MEDIÇÃO!K45,'PROJETO PERFURAÇÃO'!$B:$B,0))="Production","P",IF(INDEX('PROJETO PERFURAÇÃO'!$P:$P,MATCH(MEDIÇÃO!K45,'PROJETO PERFURAÇÃO'!$B:$B,0))="Buffer","B",IF(INDEX('PROJETO PERFURAÇÃO'!$P:$P,MATCH(MEDIÇÃO!K45,'PROJETO PERFURAÇÃO'!$B:$B,0))="Pre-Splitting","S"))),"")</f>
        <v>P</v>
      </c>
      <c r="K45" s="14">
        <f t="shared" si="4"/>
        <v>102</v>
      </c>
      <c r="L45" s="4" t="str">
        <f>IFERROR(INDEX('LEV R&amp;D'!$D:$D,MATCH(MEDIÇÃO!K45,'LEV R&amp;D'!$A:$A,0))-INDEX('PROJETO PERFURAÇÃO'!$AH:$AH,MATCH(MEDIÇÃO!K45,'PROJETO PERFURAÇÃO'!$B:$B,0)),"")</f>
        <v/>
      </c>
      <c r="M45" s="17">
        <f>IFERROR(INDEX('PROJETO PERFURAÇÃO'!$AN:$AN,MATCH(MEDIÇÃO!K45,'PROJETO PERFURAÇÃO'!$B:$B,0)),"")</f>
        <v>0</v>
      </c>
      <c r="N45" s="3"/>
      <c r="O45" s="3"/>
      <c r="P45" s="3" t="str">
        <f>IFERROR(ROUND(INDEX('PROJETO PERFURAÇÃO'!$AB:$AB,MATCH(MEDIÇÃO!R45,'PROJETO PERFURAÇÃO'!$B:$B,0)),1)&amp;"''","")</f>
        <v>5''</v>
      </c>
      <c r="Q45" s="3" t="str">
        <f>IFERROR(IF(INDEX('PROJETO PERFURAÇÃO'!$P:$P,MATCH(MEDIÇÃO!R45,'PROJETO PERFURAÇÃO'!$B:$B,0))="Production","P",IF(INDEX('PROJETO PERFURAÇÃO'!$P:$P,MATCH(MEDIÇÃO!R45,'PROJETO PERFURAÇÃO'!$B:$B,0))="Buffer","B",IF(INDEX('PROJETO PERFURAÇÃO'!$P:$P,MATCH(MEDIÇÃO!R45,'PROJETO PERFURAÇÃO'!$B:$B,0))="Pre-Splitting","S"))),"")</f>
        <v>P</v>
      </c>
      <c r="R45" s="14">
        <f t="shared" si="5"/>
        <v>125</v>
      </c>
      <c r="S45" s="4" t="str">
        <f>IFERROR(INDEX('LEV R&amp;D'!$D:$D,MATCH(MEDIÇÃO!R45,'LEV R&amp;D'!$A:$A,0))-INDEX('PROJETO PERFURAÇÃO'!$AH:$AH,MATCH(MEDIÇÃO!R45,'PROJETO PERFURAÇÃO'!$B:$B,0)),"")</f>
        <v/>
      </c>
      <c r="T45" s="17">
        <f>IFERROR(INDEX('PROJETO PERFURAÇÃO'!$AN:$AN,MATCH(MEDIÇÃO!R45,'PROJETO PERFURAÇÃO'!$B:$B,0)),"")</f>
        <v>0</v>
      </c>
      <c r="U45" s="3"/>
      <c r="V45" s="3"/>
    </row>
    <row r="46" spans="1:23" ht="45" customHeight="1">
      <c r="B46" s="3" t="str">
        <f>IFERROR(ROUND(INDEX('PROJETO PERFURAÇÃO'!$AB:$AB,MATCH(MEDIÇÃO!D46,'PROJETO PERFURAÇÃO'!$B:$B,0)),1)&amp;"''","")</f>
        <v>5''</v>
      </c>
      <c r="C46" s="3" t="str">
        <f>IFERROR(IF(INDEX('PROJETO PERFURAÇÃO'!$P:$P,MATCH(MEDIÇÃO!D46,'PROJETO PERFURAÇÃO'!$B:$B,0))="Production","P",IF(INDEX('PROJETO PERFURAÇÃO'!$P:$P,MATCH(MEDIÇÃO!D46,'PROJETO PERFURAÇÃO'!$B:$B,0))="Buffer","B",IF(INDEX('PROJETO PERFURAÇÃO'!$P:$P,MATCH(MEDIÇÃO!D46,'PROJETO PERFURAÇÃO'!$B:$B,0))="Pre-Splitting","S"))),"")</f>
        <v>P</v>
      </c>
      <c r="D46" s="14">
        <f t="shared" si="3"/>
        <v>80</v>
      </c>
      <c r="E46" s="4" t="str">
        <f>IFERROR(INDEX('LEV R&amp;D'!$D:$D,MATCH(MEDIÇÃO!D46,'LEV R&amp;D'!$A:$A,0))-INDEX('PROJETO PERFURAÇÃO'!$AH:$AH,MATCH(MEDIÇÃO!D46,'PROJETO PERFURAÇÃO'!$B:$B,0)),"")</f>
        <v/>
      </c>
      <c r="F46" s="17">
        <f>IFERROR(INDEX('PROJETO PERFURAÇÃO'!$AN:$AN,MATCH(MEDIÇÃO!D46,'PROJETO PERFURAÇÃO'!$B:$B,0)),"")</f>
        <v>0</v>
      </c>
      <c r="G46" s="3"/>
      <c r="H46" s="3"/>
      <c r="I46" s="3" t="str">
        <f>IFERROR(ROUND(INDEX('PROJETO PERFURAÇÃO'!$AB:$AB,MATCH(MEDIÇÃO!K46,'PROJETO PERFURAÇÃO'!$B:$B,0)),1)&amp;"''","")</f>
        <v>5''</v>
      </c>
      <c r="J46" s="3" t="str">
        <f>IFERROR(IF(INDEX('PROJETO PERFURAÇÃO'!$P:$P,MATCH(MEDIÇÃO!K46,'PROJETO PERFURAÇÃO'!$B:$B,0))="Production","P",IF(INDEX('PROJETO PERFURAÇÃO'!$P:$P,MATCH(MEDIÇÃO!K46,'PROJETO PERFURAÇÃO'!$B:$B,0))="Buffer","B",IF(INDEX('PROJETO PERFURAÇÃO'!$P:$P,MATCH(MEDIÇÃO!K46,'PROJETO PERFURAÇÃO'!$B:$B,0))="Pre-Splitting","S"))),"")</f>
        <v>P</v>
      </c>
      <c r="K46" s="14">
        <f t="shared" si="4"/>
        <v>103</v>
      </c>
      <c r="L46" s="4" t="str">
        <f>IFERROR(INDEX('LEV R&amp;D'!$D:$D,MATCH(MEDIÇÃO!K46,'LEV R&amp;D'!$A:$A,0))-INDEX('PROJETO PERFURAÇÃO'!$AH:$AH,MATCH(MEDIÇÃO!K46,'PROJETO PERFURAÇÃO'!$B:$B,0)),"")</f>
        <v/>
      </c>
      <c r="M46" s="17">
        <f>IFERROR(INDEX('PROJETO PERFURAÇÃO'!$AN:$AN,MATCH(MEDIÇÃO!K46,'PROJETO PERFURAÇÃO'!$B:$B,0)),"")</f>
        <v>0</v>
      </c>
      <c r="N46" s="3"/>
      <c r="O46" s="3"/>
      <c r="P46" s="3" t="str">
        <f>IFERROR(ROUND(INDEX('PROJETO PERFURAÇÃO'!$AB:$AB,MATCH(MEDIÇÃO!R46,'PROJETO PERFURAÇÃO'!$B:$B,0)),1)&amp;"''","")</f>
        <v>5''</v>
      </c>
      <c r="Q46" s="3" t="str">
        <f>IFERROR(IF(INDEX('PROJETO PERFURAÇÃO'!$P:$P,MATCH(MEDIÇÃO!R46,'PROJETO PERFURAÇÃO'!$B:$B,0))="Production","P",IF(INDEX('PROJETO PERFURAÇÃO'!$P:$P,MATCH(MEDIÇÃO!R46,'PROJETO PERFURAÇÃO'!$B:$B,0))="Buffer","B",IF(INDEX('PROJETO PERFURAÇÃO'!$P:$P,MATCH(MEDIÇÃO!R46,'PROJETO PERFURAÇÃO'!$B:$B,0))="Pre-Splitting","S"))),"")</f>
        <v>P</v>
      </c>
      <c r="R46" s="14">
        <f t="shared" si="5"/>
        <v>126</v>
      </c>
      <c r="S46" s="4" t="str">
        <f>IFERROR(INDEX('LEV R&amp;D'!$D:$D,MATCH(MEDIÇÃO!R46,'LEV R&amp;D'!$A:$A,0))-INDEX('PROJETO PERFURAÇÃO'!$AH:$AH,MATCH(MEDIÇÃO!R46,'PROJETO PERFURAÇÃO'!$B:$B,0)),"")</f>
        <v/>
      </c>
      <c r="T46" s="17">
        <f>IFERROR(INDEX('PROJETO PERFURAÇÃO'!$AN:$AN,MATCH(MEDIÇÃO!R46,'PROJETO PERFURAÇÃO'!$B:$B,0)),"")</f>
        <v>0</v>
      </c>
      <c r="U46" s="3"/>
      <c r="V46" s="3"/>
    </row>
    <row r="47" spans="1:23" ht="45" customHeight="1">
      <c r="B47" s="3" t="str">
        <f>IFERROR(ROUND(INDEX('PROJETO PERFURAÇÃO'!$AB:$AB,MATCH(MEDIÇÃO!D47,'PROJETO PERFURAÇÃO'!$B:$B,0)),1)&amp;"''","")</f>
        <v>5''</v>
      </c>
      <c r="C47" s="3" t="str">
        <f>IFERROR(IF(INDEX('PROJETO PERFURAÇÃO'!$P:$P,MATCH(MEDIÇÃO!D47,'PROJETO PERFURAÇÃO'!$B:$B,0))="Production","P",IF(INDEX('PROJETO PERFURAÇÃO'!$P:$P,MATCH(MEDIÇÃO!D47,'PROJETO PERFURAÇÃO'!$B:$B,0))="Buffer","B",IF(INDEX('PROJETO PERFURAÇÃO'!$P:$P,MATCH(MEDIÇÃO!D47,'PROJETO PERFURAÇÃO'!$B:$B,0))="Pre-Splitting","S"))),"")</f>
        <v>P</v>
      </c>
      <c r="D47" s="14">
        <f t="shared" si="3"/>
        <v>81</v>
      </c>
      <c r="E47" s="4" t="str">
        <f>IFERROR(INDEX('LEV R&amp;D'!$D:$D,MATCH(MEDIÇÃO!D47,'LEV R&amp;D'!$A:$A,0))-INDEX('PROJETO PERFURAÇÃO'!$AH:$AH,MATCH(MEDIÇÃO!D47,'PROJETO PERFURAÇÃO'!$B:$B,0)),"")</f>
        <v/>
      </c>
      <c r="F47" s="17">
        <f>IFERROR(INDEX('PROJETO PERFURAÇÃO'!$AN:$AN,MATCH(MEDIÇÃO!D47,'PROJETO PERFURAÇÃO'!$B:$B,0)),"")</f>
        <v>0</v>
      </c>
      <c r="G47" s="3"/>
      <c r="H47" s="3"/>
      <c r="I47" s="3" t="str">
        <f>IFERROR(ROUND(INDEX('PROJETO PERFURAÇÃO'!$AB:$AB,MATCH(MEDIÇÃO!K47,'PROJETO PERFURAÇÃO'!$B:$B,0)),1)&amp;"''","")</f>
        <v>5''</v>
      </c>
      <c r="J47" s="3" t="str">
        <f>IFERROR(IF(INDEX('PROJETO PERFURAÇÃO'!$P:$P,MATCH(MEDIÇÃO!K47,'PROJETO PERFURAÇÃO'!$B:$B,0))="Production","P",IF(INDEX('PROJETO PERFURAÇÃO'!$P:$P,MATCH(MEDIÇÃO!K47,'PROJETO PERFURAÇÃO'!$B:$B,0))="Buffer","B",IF(INDEX('PROJETO PERFURAÇÃO'!$P:$P,MATCH(MEDIÇÃO!K47,'PROJETO PERFURAÇÃO'!$B:$B,0))="Pre-Splitting","S"))),"")</f>
        <v>P</v>
      </c>
      <c r="K47" s="14">
        <f t="shared" si="4"/>
        <v>104</v>
      </c>
      <c r="L47" s="4" t="str">
        <f>IFERROR(INDEX('LEV R&amp;D'!$D:$D,MATCH(MEDIÇÃO!K47,'LEV R&amp;D'!$A:$A,0))-INDEX('PROJETO PERFURAÇÃO'!$AH:$AH,MATCH(MEDIÇÃO!K47,'PROJETO PERFURAÇÃO'!$B:$B,0)),"")</f>
        <v/>
      </c>
      <c r="M47" s="17">
        <f>IFERROR(INDEX('PROJETO PERFURAÇÃO'!$AN:$AN,MATCH(MEDIÇÃO!K47,'PROJETO PERFURAÇÃO'!$B:$B,0)),"")</f>
        <v>0</v>
      </c>
      <c r="N47" s="3"/>
      <c r="O47" s="3"/>
      <c r="P47" s="3" t="str">
        <f>IFERROR(ROUND(INDEX('PROJETO PERFURAÇÃO'!$AB:$AB,MATCH(MEDIÇÃO!R47,'PROJETO PERFURAÇÃO'!$B:$B,0)),1)&amp;"''","")</f>
        <v>5''</v>
      </c>
      <c r="Q47" s="3" t="str">
        <f>IFERROR(IF(INDEX('PROJETO PERFURAÇÃO'!$P:$P,MATCH(MEDIÇÃO!R47,'PROJETO PERFURAÇÃO'!$B:$B,0))="Production","P",IF(INDEX('PROJETO PERFURAÇÃO'!$P:$P,MATCH(MEDIÇÃO!R47,'PROJETO PERFURAÇÃO'!$B:$B,0))="Buffer","B",IF(INDEX('PROJETO PERFURAÇÃO'!$P:$P,MATCH(MEDIÇÃO!R47,'PROJETO PERFURAÇÃO'!$B:$B,0))="Pre-Splitting","S"))),"")</f>
        <v>P</v>
      </c>
      <c r="R47" s="14">
        <f t="shared" si="5"/>
        <v>127</v>
      </c>
      <c r="S47" s="4" t="str">
        <f>IFERROR(INDEX('LEV R&amp;D'!$D:$D,MATCH(MEDIÇÃO!R47,'LEV R&amp;D'!$A:$A,0))-INDEX('PROJETO PERFURAÇÃO'!$AH:$AH,MATCH(MEDIÇÃO!R47,'PROJETO PERFURAÇÃO'!$B:$B,0)),"")</f>
        <v/>
      </c>
      <c r="T47" s="17">
        <f>IFERROR(INDEX('PROJETO PERFURAÇÃO'!$AN:$AN,MATCH(MEDIÇÃO!R47,'PROJETO PERFURAÇÃO'!$B:$B,0)),"")</f>
        <v>0</v>
      </c>
      <c r="U47" s="3"/>
      <c r="V47" s="3"/>
    </row>
    <row r="48" spans="1:23" ht="45" customHeight="1">
      <c r="B48" s="3" t="str">
        <f>IFERROR(ROUND(INDEX('PROJETO PERFURAÇÃO'!$AB:$AB,MATCH(MEDIÇÃO!D48,'PROJETO PERFURAÇÃO'!$B:$B,0)),1)&amp;"''","")</f>
        <v>5''</v>
      </c>
      <c r="C48" s="3" t="str">
        <f>IFERROR(IF(INDEX('PROJETO PERFURAÇÃO'!$P:$P,MATCH(MEDIÇÃO!D48,'PROJETO PERFURAÇÃO'!$B:$B,0))="Production","P",IF(INDEX('PROJETO PERFURAÇÃO'!$P:$P,MATCH(MEDIÇÃO!D48,'PROJETO PERFURAÇÃO'!$B:$B,0))="Buffer","B",IF(INDEX('PROJETO PERFURAÇÃO'!$P:$P,MATCH(MEDIÇÃO!D48,'PROJETO PERFURAÇÃO'!$B:$B,0))="Pre-Splitting","S"))),"")</f>
        <v>P</v>
      </c>
      <c r="D48" s="14">
        <f t="shared" si="3"/>
        <v>82</v>
      </c>
      <c r="E48" s="4" t="str">
        <f>IFERROR(INDEX('LEV R&amp;D'!$D:$D,MATCH(MEDIÇÃO!D48,'LEV R&amp;D'!$A:$A,0))-INDEX('PROJETO PERFURAÇÃO'!$AH:$AH,MATCH(MEDIÇÃO!D48,'PROJETO PERFURAÇÃO'!$B:$B,0)),"")</f>
        <v/>
      </c>
      <c r="F48" s="17">
        <f>IFERROR(INDEX('PROJETO PERFURAÇÃO'!$AN:$AN,MATCH(MEDIÇÃO!D48,'PROJETO PERFURAÇÃO'!$B:$B,0)),"")</f>
        <v>0</v>
      </c>
      <c r="G48" s="3"/>
      <c r="H48" s="3"/>
      <c r="I48" s="3" t="str">
        <f>IFERROR(ROUND(INDEX('PROJETO PERFURAÇÃO'!$AB:$AB,MATCH(MEDIÇÃO!K48,'PROJETO PERFURAÇÃO'!$B:$B,0)),1)&amp;"''","")</f>
        <v>5''</v>
      </c>
      <c r="J48" s="3" t="str">
        <f>IFERROR(IF(INDEX('PROJETO PERFURAÇÃO'!$P:$P,MATCH(MEDIÇÃO!K48,'PROJETO PERFURAÇÃO'!$B:$B,0))="Production","P",IF(INDEX('PROJETO PERFURAÇÃO'!$P:$P,MATCH(MEDIÇÃO!K48,'PROJETO PERFURAÇÃO'!$B:$B,0))="Buffer","B",IF(INDEX('PROJETO PERFURAÇÃO'!$P:$P,MATCH(MEDIÇÃO!K48,'PROJETO PERFURAÇÃO'!$B:$B,0))="Pre-Splitting","S"))),"")</f>
        <v>P</v>
      </c>
      <c r="K48" s="14">
        <f t="shared" si="4"/>
        <v>105</v>
      </c>
      <c r="L48" s="4" t="str">
        <f>IFERROR(INDEX('LEV R&amp;D'!$D:$D,MATCH(MEDIÇÃO!K48,'LEV R&amp;D'!$A:$A,0))-INDEX('PROJETO PERFURAÇÃO'!$AH:$AH,MATCH(MEDIÇÃO!K48,'PROJETO PERFURAÇÃO'!$B:$B,0)),"")</f>
        <v/>
      </c>
      <c r="M48" s="17">
        <f>IFERROR(INDEX('PROJETO PERFURAÇÃO'!$AN:$AN,MATCH(MEDIÇÃO!K48,'PROJETO PERFURAÇÃO'!$B:$B,0)),"")</f>
        <v>0</v>
      </c>
      <c r="N48" s="3"/>
      <c r="O48" s="3"/>
      <c r="P48" s="3" t="str">
        <f>IFERROR(ROUND(INDEX('PROJETO PERFURAÇÃO'!$AB:$AB,MATCH(MEDIÇÃO!R48,'PROJETO PERFURAÇÃO'!$B:$B,0)),1)&amp;"''","")</f>
        <v>5''</v>
      </c>
      <c r="Q48" s="3" t="str">
        <f>IFERROR(IF(INDEX('PROJETO PERFURAÇÃO'!$P:$P,MATCH(MEDIÇÃO!R48,'PROJETO PERFURAÇÃO'!$B:$B,0))="Production","P",IF(INDEX('PROJETO PERFURAÇÃO'!$P:$P,MATCH(MEDIÇÃO!R48,'PROJETO PERFURAÇÃO'!$B:$B,0))="Buffer","B",IF(INDEX('PROJETO PERFURAÇÃO'!$P:$P,MATCH(MEDIÇÃO!R48,'PROJETO PERFURAÇÃO'!$B:$B,0))="Pre-Splitting","S"))),"")</f>
        <v>P</v>
      </c>
      <c r="R48" s="14">
        <f t="shared" si="5"/>
        <v>128</v>
      </c>
      <c r="S48" s="4" t="str">
        <f>IFERROR(INDEX('LEV R&amp;D'!$D:$D,MATCH(MEDIÇÃO!R48,'LEV R&amp;D'!$A:$A,0))-INDEX('PROJETO PERFURAÇÃO'!$AH:$AH,MATCH(MEDIÇÃO!R48,'PROJETO PERFURAÇÃO'!$B:$B,0)),"")</f>
        <v/>
      </c>
      <c r="T48" s="17">
        <f>IFERROR(INDEX('PROJETO PERFURAÇÃO'!$AN:$AN,MATCH(MEDIÇÃO!R48,'PROJETO PERFURAÇÃO'!$B:$B,0)),"")</f>
        <v>0</v>
      </c>
      <c r="U48" s="3"/>
      <c r="V48" s="3"/>
    </row>
    <row r="49" spans="2:22" ht="45" customHeight="1">
      <c r="B49" s="3" t="str">
        <f>IFERROR(ROUND(INDEX('PROJETO PERFURAÇÃO'!$AB:$AB,MATCH(MEDIÇÃO!D49,'PROJETO PERFURAÇÃO'!$B:$B,0)),1)&amp;"''","")</f>
        <v>5''</v>
      </c>
      <c r="C49" s="3" t="str">
        <f>IFERROR(IF(INDEX('PROJETO PERFURAÇÃO'!$P:$P,MATCH(MEDIÇÃO!D49,'PROJETO PERFURAÇÃO'!$B:$B,0))="Production","P",IF(INDEX('PROJETO PERFURAÇÃO'!$P:$P,MATCH(MEDIÇÃO!D49,'PROJETO PERFURAÇÃO'!$B:$B,0))="Buffer","B",IF(INDEX('PROJETO PERFURAÇÃO'!$P:$P,MATCH(MEDIÇÃO!D49,'PROJETO PERFURAÇÃO'!$B:$B,0))="Pre-Splitting","S"))),"")</f>
        <v>P</v>
      </c>
      <c r="D49" s="14">
        <f t="shared" si="3"/>
        <v>83</v>
      </c>
      <c r="E49" s="4" t="str">
        <f>IFERROR(INDEX('LEV R&amp;D'!$D:$D,MATCH(MEDIÇÃO!D49,'LEV R&amp;D'!$A:$A,0))-INDEX('PROJETO PERFURAÇÃO'!$AH:$AH,MATCH(MEDIÇÃO!D49,'PROJETO PERFURAÇÃO'!$B:$B,0)),"")</f>
        <v/>
      </c>
      <c r="F49" s="17">
        <f>IFERROR(INDEX('PROJETO PERFURAÇÃO'!$AN:$AN,MATCH(MEDIÇÃO!D49,'PROJETO PERFURAÇÃO'!$B:$B,0)),"")</f>
        <v>0</v>
      </c>
      <c r="G49" s="3"/>
      <c r="H49" s="3"/>
      <c r="I49" s="3" t="str">
        <f>IFERROR(ROUND(INDEX('PROJETO PERFURAÇÃO'!$AB:$AB,MATCH(MEDIÇÃO!K49,'PROJETO PERFURAÇÃO'!$B:$B,0)),1)&amp;"''","")</f>
        <v>5''</v>
      </c>
      <c r="J49" s="3" t="str">
        <f>IFERROR(IF(INDEX('PROJETO PERFURAÇÃO'!$P:$P,MATCH(MEDIÇÃO!K49,'PROJETO PERFURAÇÃO'!$B:$B,0))="Production","P",IF(INDEX('PROJETO PERFURAÇÃO'!$P:$P,MATCH(MEDIÇÃO!K49,'PROJETO PERFURAÇÃO'!$B:$B,0))="Buffer","B",IF(INDEX('PROJETO PERFURAÇÃO'!$P:$P,MATCH(MEDIÇÃO!K49,'PROJETO PERFURAÇÃO'!$B:$B,0))="Pre-Splitting","S"))),"")</f>
        <v>P</v>
      </c>
      <c r="K49" s="14">
        <f t="shared" si="4"/>
        <v>106</v>
      </c>
      <c r="L49" s="4" t="str">
        <f>IFERROR(INDEX('LEV R&amp;D'!$D:$D,MATCH(MEDIÇÃO!K49,'LEV R&amp;D'!$A:$A,0))-INDEX('PROJETO PERFURAÇÃO'!$AH:$AH,MATCH(MEDIÇÃO!K49,'PROJETO PERFURAÇÃO'!$B:$B,0)),"")</f>
        <v/>
      </c>
      <c r="M49" s="17">
        <f>IFERROR(INDEX('PROJETO PERFURAÇÃO'!$AN:$AN,MATCH(MEDIÇÃO!K49,'PROJETO PERFURAÇÃO'!$B:$B,0)),"")</f>
        <v>0</v>
      </c>
      <c r="N49" s="3"/>
      <c r="O49" s="3"/>
      <c r="P49" s="3" t="str">
        <f>IFERROR(ROUND(INDEX('PROJETO PERFURAÇÃO'!$AB:$AB,MATCH(MEDIÇÃO!R49,'PROJETO PERFURAÇÃO'!$B:$B,0)),1)&amp;"''","")</f>
        <v>5''</v>
      </c>
      <c r="Q49" s="3" t="str">
        <f>IFERROR(IF(INDEX('PROJETO PERFURAÇÃO'!$P:$P,MATCH(MEDIÇÃO!R49,'PROJETO PERFURAÇÃO'!$B:$B,0))="Production","P",IF(INDEX('PROJETO PERFURAÇÃO'!$P:$P,MATCH(MEDIÇÃO!R49,'PROJETO PERFURAÇÃO'!$B:$B,0))="Buffer","B",IF(INDEX('PROJETO PERFURAÇÃO'!$P:$P,MATCH(MEDIÇÃO!R49,'PROJETO PERFURAÇÃO'!$B:$B,0))="Pre-Splitting","S"))),"")</f>
        <v>P</v>
      </c>
      <c r="R49" s="14">
        <f t="shared" si="5"/>
        <v>129</v>
      </c>
      <c r="S49" s="4" t="str">
        <f>IFERROR(INDEX('LEV R&amp;D'!$D:$D,MATCH(MEDIÇÃO!R49,'LEV R&amp;D'!$A:$A,0))-INDEX('PROJETO PERFURAÇÃO'!$AH:$AH,MATCH(MEDIÇÃO!R49,'PROJETO PERFURAÇÃO'!$B:$B,0)),"")</f>
        <v/>
      </c>
      <c r="T49" s="17">
        <f>IFERROR(INDEX('PROJETO PERFURAÇÃO'!$AN:$AN,MATCH(MEDIÇÃO!R49,'PROJETO PERFURAÇÃO'!$B:$B,0)),"")</f>
        <v>0</v>
      </c>
      <c r="U49" s="3"/>
      <c r="V49" s="3"/>
    </row>
    <row r="50" spans="2:22" ht="45" customHeight="1">
      <c r="B50" s="3" t="str">
        <f>IFERROR(ROUND(INDEX('PROJETO PERFURAÇÃO'!$AB:$AB,MATCH(MEDIÇÃO!D50,'PROJETO PERFURAÇÃO'!$B:$B,0)),1)&amp;"''","")</f>
        <v>5''</v>
      </c>
      <c r="C50" s="3" t="str">
        <f>IFERROR(IF(INDEX('PROJETO PERFURAÇÃO'!$P:$P,MATCH(MEDIÇÃO!D50,'PROJETO PERFURAÇÃO'!$B:$B,0))="Production","P",IF(INDEX('PROJETO PERFURAÇÃO'!$P:$P,MATCH(MEDIÇÃO!D50,'PROJETO PERFURAÇÃO'!$B:$B,0))="Buffer","B",IF(INDEX('PROJETO PERFURAÇÃO'!$P:$P,MATCH(MEDIÇÃO!D50,'PROJETO PERFURAÇÃO'!$B:$B,0))="Pre-Splitting","S"))),"")</f>
        <v>P</v>
      </c>
      <c r="D50" s="14">
        <f t="shared" si="3"/>
        <v>84</v>
      </c>
      <c r="E50" s="4" t="str">
        <f>IFERROR(INDEX('LEV R&amp;D'!$D:$D,MATCH(MEDIÇÃO!D50,'LEV R&amp;D'!$A:$A,0))-INDEX('PROJETO PERFURAÇÃO'!$AH:$AH,MATCH(MEDIÇÃO!D50,'PROJETO PERFURAÇÃO'!$B:$B,0)),"")</f>
        <v/>
      </c>
      <c r="F50" s="17">
        <f>IFERROR(INDEX('PROJETO PERFURAÇÃO'!$AN:$AN,MATCH(MEDIÇÃO!D50,'PROJETO PERFURAÇÃO'!$B:$B,0)),"")</f>
        <v>0</v>
      </c>
      <c r="G50" s="3"/>
      <c r="H50" s="3"/>
      <c r="I50" s="3" t="str">
        <f>IFERROR(ROUND(INDEX('PROJETO PERFURAÇÃO'!$AB:$AB,MATCH(MEDIÇÃO!K50,'PROJETO PERFURAÇÃO'!$B:$B,0)),1)&amp;"''","")</f>
        <v>5''</v>
      </c>
      <c r="J50" s="3" t="str">
        <f>IFERROR(IF(INDEX('PROJETO PERFURAÇÃO'!$P:$P,MATCH(MEDIÇÃO!K50,'PROJETO PERFURAÇÃO'!$B:$B,0))="Production","P",IF(INDEX('PROJETO PERFURAÇÃO'!$P:$P,MATCH(MEDIÇÃO!K50,'PROJETO PERFURAÇÃO'!$B:$B,0))="Buffer","B",IF(INDEX('PROJETO PERFURAÇÃO'!$P:$P,MATCH(MEDIÇÃO!K50,'PROJETO PERFURAÇÃO'!$B:$B,0))="Pre-Splitting","S"))),"")</f>
        <v>P</v>
      </c>
      <c r="K50" s="14">
        <f t="shared" si="4"/>
        <v>107</v>
      </c>
      <c r="L50" s="4" t="str">
        <f>IFERROR(INDEX('LEV R&amp;D'!$D:$D,MATCH(MEDIÇÃO!K50,'LEV R&amp;D'!$A:$A,0))-INDEX('PROJETO PERFURAÇÃO'!$AH:$AH,MATCH(MEDIÇÃO!K50,'PROJETO PERFURAÇÃO'!$B:$B,0)),"")</f>
        <v/>
      </c>
      <c r="M50" s="17">
        <f>IFERROR(INDEX('PROJETO PERFURAÇÃO'!$AN:$AN,MATCH(MEDIÇÃO!K50,'PROJETO PERFURAÇÃO'!$B:$B,0)),"")</f>
        <v>0</v>
      </c>
      <c r="N50" s="3"/>
      <c r="O50" s="3"/>
      <c r="P50" s="3" t="str">
        <f>IFERROR(ROUND(INDEX('PROJETO PERFURAÇÃO'!$AB:$AB,MATCH(MEDIÇÃO!R50,'PROJETO PERFURAÇÃO'!$B:$B,0)),1)&amp;"''","")</f>
        <v>5''</v>
      </c>
      <c r="Q50" s="3" t="str">
        <f>IFERROR(IF(INDEX('PROJETO PERFURAÇÃO'!$P:$P,MATCH(MEDIÇÃO!R50,'PROJETO PERFURAÇÃO'!$B:$B,0))="Production","P",IF(INDEX('PROJETO PERFURAÇÃO'!$P:$P,MATCH(MEDIÇÃO!R50,'PROJETO PERFURAÇÃO'!$B:$B,0))="Buffer","B",IF(INDEX('PROJETO PERFURAÇÃO'!$P:$P,MATCH(MEDIÇÃO!R50,'PROJETO PERFURAÇÃO'!$B:$B,0))="Pre-Splitting","S"))),"")</f>
        <v>P</v>
      </c>
      <c r="R50" s="14">
        <f t="shared" si="5"/>
        <v>130</v>
      </c>
      <c r="S50" s="4" t="str">
        <f>IFERROR(INDEX('LEV R&amp;D'!$D:$D,MATCH(MEDIÇÃO!R50,'LEV R&amp;D'!$A:$A,0))-INDEX('PROJETO PERFURAÇÃO'!$AH:$AH,MATCH(MEDIÇÃO!R50,'PROJETO PERFURAÇÃO'!$B:$B,0)),"")</f>
        <v/>
      </c>
      <c r="T50" s="17">
        <f>IFERROR(INDEX('PROJETO PERFURAÇÃO'!$AN:$AN,MATCH(MEDIÇÃO!R50,'PROJETO PERFURAÇÃO'!$B:$B,0)),"")</f>
        <v>0</v>
      </c>
      <c r="U50" s="3"/>
      <c r="V50" s="3"/>
    </row>
    <row r="51" spans="2:22" ht="45" customHeight="1">
      <c r="B51" s="3" t="str">
        <f>IFERROR(ROUND(INDEX('PROJETO PERFURAÇÃO'!$AB:$AB,MATCH(MEDIÇÃO!D51,'PROJETO PERFURAÇÃO'!$B:$B,0)),1)&amp;"''","")</f>
        <v>5''</v>
      </c>
      <c r="C51" s="3" t="str">
        <f>IFERROR(IF(INDEX('PROJETO PERFURAÇÃO'!$P:$P,MATCH(MEDIÇÃO!D51,'PROJETO PERFURAÇÃO'!$B:$B,0))="Production","P",IF(INDEX('PROJETO PERFURAÇÃO'!$P:$P,MATCH(MEDIÇÃO!D51,'PROJETO PERFURAÇÃO'!$B:$B,0))="Buffer","B",IF(INDEX('PROJETO PERFURAÇÃO'!$P:$P,MATCH(MEDIÇÃO!D51,'PROJETO PERFURAÇÃO'!$B:$B,0))="Pre-Splitting","S"))),"")</f>
        <v>P</v>
      </c>
      <c r="D51" s="14">
        <f t="shared" si="3"/>
        <v>85</v>
      </c>
      <c r="E51" s="4" t="str">
        <f>IFERROR(INDEX('LEV R&amp;D'!$D:$D,MATCH(MEDIÇÃO!D51,'LEV R&amp;D'!$A:$A,0))-INDEX('PROJETO PERFURAÇÃO'!$AH:$AH,MATCH(MEDIÇÃO!D51,'PROJETO PERFURAÇÃO'!$B:$B,0)),"")</f>
        <v/>
      </c>
      <c r="F51" s="17">
        <f>IFERROR(INDEX('PROJETO PERFURAÇÃO'!$AN:$AN,MATCH(MEDIÇÃO!D51,'PROJETO PERFURAÇÃO'!$B:$B,0)),"")</f>
        <v>0</v>
      </c>
      <c r="G51" s="3"/>
      <c r="H51" s="3"/>
      <c r="I51" s="3" t="str">
        <f>IFERROR(ROUND(INDEX('PROJETO PERFURAÇÃO'!$AB:$AB,MATCH(MEDIÇÃO!K51,'PROJETO PERFURAÇÃO'!$B:$B,0)),1)&amp;"''","")</f>
        <v>5''</v>
      </c>
      <c r="J51" s="3" t="str">
        <f>IFERROR(IF(INDEX('PROJETO PERFURAÇÃO'!$P:$P,MATCH(MEDIÇÃO!K51,'PROJETO PERFURAÇÃO'!$B:$B,0))="Production","P",IF(INDEX('PROJETO PERFURAÇÃO'!$P:$P,MATCH(MEDIÇÃO!K51,'PROJETO PERFURAÇÃO'!$B:$B,0))="Buffer","B",IF(INDEX('PROJETO PERFURAÇÃO'!$P:$P,MATCH(MEDIÇÃO!K51,'PROJETO PERFURAÇÃO'!$B:$B,0))="Pre-Splitting","S"))),"")</f>
        <v>P</v>
      </c>
      <c r="K51" s="14">
        <f t="shared" si="4"/>
        <v>108</v>
      </c>
      <c r="L51" s="4" t="str">
        <f>IFERROR(INDEX('LEV R&amp;D'!$D:$D,MATCH(MEDIÇÃO!K51,'LEV R&amp;D'!$A:$A,0))-INDEX('PROJETO PERFURAÇÃO'!$AH:$AH,MATCH(MEDIÇÃO!K51,'PROJETO PERFURAÇÃO'!$B:$B,0)),"")</f>
        <v/>
      </c>
      <c r="M51" s="17">
        <f>IFERROR(INDEX('PROJETO PERFURAÇÃO'!$AN:$AN,MATCH(MEDIÇÃO!K51,'PROJETO PERFURAÇÃO'!$B:$B,0)),"")</f>
        <v>0</v>
      </c>
      <c r="N51" s="3"/>
      <c r="O51" s="3"/>
      <c r="P51" s="3" t="str">
        <f>IFERROR(ROUND(INDEX('PROJETO PERFURAÇÃO'!$AB:$AB,MATCH(MEDIÇÃO!R51,'PROJETO PERFURAÇÃO'!$B:$B,0)),1)&amp;"''","")</f>
        <v>5''</v>
      </c>
      <c r="Q51" s="3" t="str">
        <f>IFERROR(IF(INDEX('PROJETO PERFURAÇÃO'!$P:$P,MATCH(MEDIÇÃO!R51,'PROJETO PERFURAÇÃO'!$B:$B,0))="Production","P",IF(INDEX('PROJETO PERFURAÇÃO'!$P:$P,MATCH(MEDIÇÃO!R51,'PROJETO PERFURAÇÃO'!$B:$B,0))="Buffer","B",IF(INDEX('PROJETO PERFURAÇÃO'!$P:$P,MATCH(MEDIÇÃO!R51,'PROJETO PERFURAÇÃO'!$B:$B,0))="Pre-Splitting","S"))),"")</f>
        <v>P</v>
      </c>
      <c r="R51" s="14">
        <f t="shared" si="5"/>
        <v>131</v>
      </c>
      <c r="S51" s="4" t="str">
        <f>IFERROR(INDEX('LEV R&amp;D'!$D:$D,MATCH(MEDIÇÃO!R51,'LEV R&amp;D'!$A:$A,0))-INDEX('PROJETO PERFURAÇÃO'!$AH:$AH,MATCH(MEDIÇÃO!R51,'PROJETO PERFURAÇÃO'!$B:$B,0)),"")</f>
        <v/>
      </c>
      <c r="T51" s="17">
        <f>IFERROR(INDEX('PROJETO PERFURAÇÃO'!$AN:$AN,MATCH(MEDIÇÃO!R51,'PROJETO PERFURAÇÃO'!$B:$B,0)),"")</f>
        <v>0</v>
      </c>
      <c r="U51" s="3"/>
      <c r="V51" s="3"/>
    </row>
    <row r="52" spans="2:22" ht="45" customHeight="1">
      <c r="B52" s="3" t="str">
        <f>IFERROR(ROUND(INDEX('PROJETO PERFURAÇÃO'!$AB:$AB,MATCH(MEDIÇÃO!D52,'PROJETO PERFURAÇÃO'!$B:$B,0)),1)&amp;"''","")</f>
        <v>5''</v>
      </c>
      <c r="C52" s="3" t="str">
        <f>IFERROR(IF(INDEX('PROJETO PERFURAÇÃO'!$P:$P,MATCH(MEDIÇÃO!D52,'PROJETO PERFURAÇÃO'!$B:$B,0))="Production","P",IF(INDEX('PROJETO PERFURAÇÃO'!$P:$P,MATCH(MEDIÇÃO!D52,'PROJETO PERFURAÇÃO'!$B:$B,0))="Buffer","B",IF(INDEX('PROJETO PERFURAÇÃO'!$P:$P,MATCH(MEDIÇÃO!D52,'PROJETO PERFURAÇÃO'!$B:$B,0))="Pre-Splitting","S"))),"")</f>
        <v>P</v>
      </c>
      <c r="D52" s="14">
        <f t="shared" si="3"/>
        <v>86</v>
      </c>
      <c r="E52" s="4" t="str">
        <f>IFERROR(INDEX('LEV R&amp;D'!$D:$D,MATCH(MEDIÇÃO!D52,'LEV R&amp;D'!$A:$A,0))-INDEX('PROJETO PERFURAÇÃO'!$AH:$AH,MATCH(MEDIÇÃO!D52,'PROJETO PERFURAÇÃO'!$B:$B,0)),"")</f>
        <v/>
      </c>
      <c r="F52" s="17">
        <f>IFERROR(INDEX('PROJETO PERFURAÇÃO'!$AN:$AN,MATCH(MEDIÇÃO!D52,'PROJETO PERFURAÇÃO'!$B:$B,0)),"")</f>
        <v>0</v>
      </c>
      <c r="G52" s="3"/>
      <c r="H52" s="3"/>
      <c r="I52" s="3" t="str">
        <f>IFERROR(ROUND(INDEX('PROJETO PERFURAÇÃO'!$AB:$AB,MATCH(MEDIÇÃO!K52,'PROJETO PERFURAÇÃO'!$B:$B,0)),1)&amp;"''","")</f>
        <v>5''</v>
      </c>
      <c r="J52" s="3" t="str">
        <f>IFERROR(IF(INDEX('PROJETO PERFURAÇÃO'!$P:$P,MATCH(MEDIÇÃO!K52,'PROJETO PERFURAÇÃO'!$B:$B,0))="Production","P",IF(INDEX('PROJETO PERFURAÇÃO'!$P:$P,MATCH(MEDIÇÃO!K52,'PROJETO PERFURAÇÃO'!$B:$B,0))="Buffer","B",IF(INDEX('PROJETO PERFURAÇÃO'!$P:$P,MATCH(MEDIÇÃO!K52,'PROJETO PERFURAÇÃO'!$B:$B,0))="Pre-Splitting","S"))),"")</f>
        <v>P</v>
      </c>
      <c r="K52" s="14">
        <f t="shared" si="4"/>
        <v>109</v>
      </c>
      <c r="L52" s="4" t="str">
        <f>IFERROR(INDEX('LEV R&amp;D'!$D:$D,MATCH(MEDIÇÃO!K52,'LEV R&amp;D'!$A:$A,0))-INDEX('PROJETO PERFURAÇÃO'!$AH:$AH,MATCH(MEDIÇÃO!K52,'PROJETO PERFURAÇÃO'!$B:$B,0)),"")</f>
        <v/>
      </c>
      <c r="M52" s="17">
        <f>IFERROR(INDEX('PROJETO PERFURAÇÃO'!$AN:$AN,MATCH(MEDIÇÃO!K52,'PROJETO PERFURAÇÃO'!$B:$B,0)),"")</f>
        <v>0</v>
      </c>
      <c r="N52" s="3"/>
      <c r="O52" s="3"/>
      <c r="P52" s="3" t="str">
        <f>IFERROR(ROUND(INDEX('PROJETO PERFURAÇÃO'!$AB:$AB,MATCH(MEDIÇÃO!R52,'PROJETO PERFURAÇÃO'!$B:$B,0)),1)&amp;"''","")</f>
        <v>5''</v>
      </c>
      <c r="Q52" s="3" t="str">
        <f>IFERROR(IF(INDEX('PROJETO PERFURAÇÃO'!$P:$P,MATCH(MEDIÇÃO!R52,'PROJETO PERFURAÇÃO'!$B:$B,0))="Production","P",IF(INDEX('PROJETO PERFURAÇÃO'!$P:$P,MATCH(MEDIÇÃO!R52,'PROJETO PERFURAÇÃO'!$B:$B,0))="Buffer","B",IF(INDEX('PROJETO PERFURAÇÃO'!$P:$P,MATCH(MEDIÇÃO!R52,'PROJETO PERFURAÇÃO'!$B:$B,0))="Pre-Splitting","S"))),"")</f>
        <v>P</v>
      </c>
      <c r="R52" s="14">
        <f t="shared" si="5"/>
        <v>132</v>
      </c>
      <c r="S52" s="4" t="str">
        <f>IFERROR(INDEX('LEV R&amp;D'!$D:$D,MATCH(MEDIÇÃO!R52,'LEV R&amp;D'!$A:$A,0))-INDEX('PROJETO PERFURAÇÃO'!$AH:$AH,MATCH(MEDIÇÃO!R52,'PROJETO PERFURAÇÃO'!$B:$B,0)),"")</f>
        <v/>
      </c>
      <c r="T52" s="17">
        <f>IFERROR(INDEX('PROJETO PERFURAÇÃO'!$AN:$AN,MATCH(MEDIÇÃO!R52,'PROJETO PERFURAÇÃO'!$B:$B,0)),"")</f>
        <v>0</v>
      </c>
      <c r="U52" s="3"/>
      <c r="V52" s="3"/>
    </row>
    <row r="53" spans="2:22" ht="45" customHeight="1">
      <c r="B53" s="3" t="str">
        <f>IFERROR(ROUND(INDEX('PROJETO PERFURAÇÃO'!$AB:$AB,MATCH(MEDIÇÃO!D53,'PROJETO PERFURAÇÃO'!$B:$B,0)),1)&amp;"''","")</f>
        <v>5''</v>
      </c>
      <c r="C53" s="3" t="str">
        <f>IFERROR(IF(INDEX('PROJETO PERFURAÇÃO'!$P:$P,MATCH(MEDIÇÃO!D53,'PROJETO PERFURAÇÃO'!$B:$B,0))="Production","P",IF(INDEX('PROJETO PERFURAÇÃO'!$P:$P,MATCH(MEDIÇÃO!D53,'PROJETO PERFURAÇÃO'!$B:$B,0))="Buffer","B",IF(INDEX('PROJETO PERFURAÇÃO'!$P:$P,MATCH(MEDIÇÃO!D53,'PROJETO PERFURAÇÃO'!$B:$B,0))="Pre-Splitting","S"))),"")</f>
        <v>P</v>
      </c>
      <c r="D53" s="14">
        <f t="shared" si="3"/>
        <v>87</v>
      </c>
      <c r="E53" s="4" t="str">
        <f>IFERROR(INDEX('LEV R&amp;D'!$D:$D,MATCH(MEDIÇÃO!D53,'LEV R&amp;D'!$A:$A,0))-INDEX('PROJETO PERFURAÇÃO'!$AH:$AH,MATCH(MEDIÇÃO!D53,'PROJETO PERFURAÇÃO'!$B:$B,0)),"")</f>
        <v/>
      </c>
      <c r="F53" s="17">
        <f>IFERROR(INDEX('PROJETO PERFURAÇÃO'!$AN:$AN,MATCH(MEDIÇÃO!D53,'PROJETO PERFURAÇÃO'!$B:$B,0)),"")</f>
        <v>0</v>
      </c>
      <c r="G53" s="3"/>
      <c r="H53" s="3"/>
      <c r="I53" s="3" t="str">
        <f>IFERROR(ROUND(INDEX('PROJETO PERFURAÇÃO'!$AB:$AB,MATCH(MEDIÇÃO!K53,'PROJETO PERFURAÇÃO'!$B:$B,0)),1)&amp;"''","")</f>
        <v>5''</v>
      </c>
      <c r="J53" s="3" t="str">
        <f>IFERROR(IF(INDEX('PROJETO PERFURAÇÃO'!$P:$P,MATCH(MEDIÇÃO!K53,'PROJETO PERFURAÇÃO'!$B:$B,0))="Production","P",IF(INDEX('PROJETO PERFURAÇÃO'!$P:$P,MATCH(MEDIÇÃO!K53,'PROJETO PERFURAÇÃO'!$B:$B,0))="Buffer","B",IF(INDEX('PROJETO PERFURAÇÃO'!$P:$P,MATCH(MEDIÇÃO!K53,'PROJETO PERFURAÇÃO'!$B:$B,0))="Pre-Splitting","S"))),"")</f>
        <v>P</v>
      </c>
      <c r="K53" s="14">
        <f t="shared" si="4"/>
        <v>110</v>
      </c>
      <c r="L53" s="4" t="str">
        <f>IFERROR(INDEX('LEV R&amp;D'!$D:$D,MATCH(MEDIÇÃO!K53,'LEV R&amp;D'!$A:$A,0))-INDEX('PROJETO PERFURAÇÃO'!$AH:$AH,MATCH(MEDIÇÃO!K53,'PROJETO PERFURAÇÃO'!$B:$B,0)),"")</f>
        <v/>
      </c>
      <c r="M53" s="17">
        <f>IFERROR(INDEX('PROJETO PERFURAÇÃO'!$AN:$AN,MATCH(MEDIÇÃO!K53,'PROJETO PERFURAÇÃO'!$B:$B,0)),"")</f>
        <v>0</v>
      </c>
      <c r="N53" s="3"/>
      <c r="O53" s="3"/>
      <c r="P53" s="3" t="str">
        <f>IFERROR(ROUND(INDEX('PROJETO PERFURAÇÃO'!$AB:$AB,MATCH(MEDIÇÃO!R53,'PROJETO PERFURAÇÃO'!$B:$B,0)),1)&amp;"''","")</f>
        <v>5''</v>
      </c>
      <c r="Q53" s="3" t="str">
        <f>IFERROR(IF(INDEX('PROJETO PERFURAÇÃO'!$P:$P,MATCH(MEDIÇÃO!R53,'PROJETO PERFURAÇÃO'!$B:$B,0))="Production","P",IF(INDEX('PROJETO PERFURAÇÃO'!$P:$P,MATCH(MEDIÇÃO!R53,'PROJETO PERFURAÇÃO'!$B:$B,0))="Buffer","B",IF(INDEX('PROJETO PERFURAÇÃO'!$P:$P,MATCH(MEDIÇÃO!R53,'PROJETO PERFURAÇÃO'!$B:$B,0))="Pre-Splitting","S"))),"")</f>
        <v>P</v>
      </c>
      <c r="R53" s="14">
        <f t="shared" si="5"/>
        <v>133</v>
      </c>
      <c r="S53" s="4" t="str">
        <f>IFERROR(INDEX('LEV R&amp;D'!$D:$D,MATCH(MEDIÇÃO!R53,'LEV R&amp;D'!$A:$A,0))-INDEX('PROJETO PERFURAÇÃO'!$AH:$AH,MATCH(MEDIÇÃO!R53,'PROJETO PERFURAÇÃO'!$B:$B,0)),"")</f>
        <v/>
      </c>
      <c r="T53" s="17">
        <f>IFERROR(INDEX('PROJETO PERFURAÇÃO'!$AN:$AN,MATCH(MEDIÇÃO!R53,'PROJETO PERFURAÇÃO'!$B:$B,0)),"")</f>
        <v>0</v>
      </c>
      <c r="U53" s="3"/>
      <c r="V53" s="3"/>
    </row>
    <row r="54" spans="2:22" ht="45" customHeight="1">
      <c r="B54" s="3" t="str">
        <f>IFERROR(ROUND(INDEX('PROJETO PERFURAÇÃO'!$AB:$AB,MATCH(MEDIÇÃO!D54,'PROJETO PERFURAÇÃO'!$B:$B,0)),1)&amp;"''","")</f>
        <v>5''</v>
      </c>
      <c r="C54" s="3" t="str">
        <f>IFERROR(IF(INDEX('PROJETO PERFURAÇÃO'!$P:$P,MATCH(MEDIÇÃO!D54,'PROJETO PERFURAÇÃO'!$B:$B,0))="Production","P",IF(INDEX('PROJETO PERFURAÇÃO'!$P:$P,MATCH(MEDIÇÃO!D54,'PROJETO PERFURAÇÃO'!$B:$B,0))="Buffer","B",IF(INDEX('PROJETO PERFURAÇÃO'!$P:$P,MATCH(MEDIÇÃO!D54,'PROJETO PERFURAÇÃO'!$B:$B,0))="Pre-Splitting","S"))),"")</f>
        <v>P</v>
      </c>
      <c r="D54" s="14">
        <f t="shared" si="3"/>
        <v>88</v>
      </c>
      <c r="E54" s="4" t="str">
        <f>IFERROR(INDEX('LEV R&amp;D'!$D:$D,MATCH(MEDIÇÃO!D54,'LEV R&amp;D'!$A:$A,0))-INDEX('PROJETO PERFURAÇÃO'!$AH:$AH,MATCH(MEDIÇÃO!D54,'PROJETO PERFURAÇÃO'!$B:$B,0)),"")</f>
        <v/>
      </c>
      <c r="F54" s="17">
        <f>IFERROR(INDEX('PROJETO PERFURAÇÃO'!$AN:$AN,MATCH(MEDIÇÃO!D54,'PROJETO PERFURAÇÃO'!$B:$B,0)),"")</f>
        <v>0</v>
      </c>
      <c r="G54" s="3"/>
      <c r="H54" s="3"/>
      <c r="I54" s="3" t="str">
        <f>IFERROR(ROUND(INDEX('PROJETO PERFURAÇÃO'!$AB:$AB,MATCH(MEDIÇÃO!K54,'PROJETO PERFURAÇÃO'!$B:$B,0)),1)&amp;"''","")</f>
        <v>5''</v>
      </c>
      <c r="J54" s="3" t="str">
        <f>IFERROR(IF(INDEX('PROJETO PERFURAÇÃO'!$P:$P,MATCH(MEDIÇÃO!K54,'PROJETO PERFURAÇÃO'!$B:$B,0))="Production","P",IF(INDEX('PROJETO PERFURAÇÃO'!$P:$P,MATCH(MEDIÇÃO!K54,'PROJETO PERFURAÇÃO'!$B:$B,0))="Buffer","B",IF(INDEX('PROJETO PERFURAÇÃO'!$P:$P,MATCH(MEDIÇÃO!K54,'PROJETO PERFURAÇÃO'!$B:$B,0))="Pre-Splitting","S"))),"")</f>
        <v>P</v>
      </c>
      <c r="K54" s="14">
        <f t="shared" si="4"/>
        <v>111</v>
      </c>
      <c r="L54" s="4" t="str">
        <f>IFERROR(INDEX('LEV R&amp;D'!$D:$D,MATCH(MEDIÇÃO!K54,'LEV R&amp;D'!$A:$A,0))-INDEX('PROJETO PERFURAÇÃO'!$AH:$AH,MATCH(MEDIÇÃO!K54,'PROJETO PERFURAÇÃO'!$B:$B,0)),"")</f>
        <v/>
      </c>
      <c r="M54" s="17">
        <f>IFERROR(INDEX('PROJETO PERFURAÇÃO'!$AN:$AN,MATCH(MEDIÇÃO!K54,'PROJETO PERFURAÇÃO'!$B:$B,0)),"")</f>
        <v>0</v>
      </c>
      <c r="N54" s="3"/>
      <c r="O54" s="3"/>
      <c r="P54" s="3" t="str">
        <f>IFERROR(ROUND(INDEX('PROJETO PERFURAÇÃO'!$AB:$AB,MATCH(MEDIÇÃO!R54,'PROJETO PERFURAÇÃO'!$B:$B,0)),1)&amp;"''","")</f>
        <v>5''</v>
      </c>
      <c r="Q54" s="3" t="str">
        <f>IFERROR(IF(INDEX('PROJETO PERFURAÇÃO'!$P:$P,MATCH(MEDIÇÃO!R54,'PROJETO PERFURAÇÃO'!$B:$B,0))="Production","P",IF(INDEX('PROJETO PERFURAÇÃO'!$P:$P,MATCH(MEDIÇÃO!R54,'PROJETO PERFURAÇÃO'!$B:$B,0))="Buffer","B",IF(INDEX('PROJETO PERFURAÇÃO'!$P:$P,MATCH(MEDIÇÃO!R54,'PROJETO PERFURAÇÃO'!$B:$B,0))="Pre-Splitting","S"))),"")</f>
        <v>P</v>
      </c>
      <c r="R54" s="14">
        <f t="shared" si="5"/>
        <v>134</v>
      </c>
      <c r="S54" s="4" t="str">
        <f>IFERROR(INDEX('LEV R&amp;D'!$D:$D,MATCH(MEDIÇÃO!R54,'LEV R&amp;D'!$A:$A,0))-INDEX('PROJETO PERFURAÇÃO'!$AH:$AH,MATCH(MEDIÇÃO!R54,'PROJETO PERFURAÇÃO'!$B:$B,0)),"")</f>
        <v/>
      </c>
      <c r="T54" s="17">
        <f>IFERROR(INDEX('PROJETO PERFURAÇÃO'!$AN:$AN,MATCH(MEDIÇÃO!R54,'PROJETO PERFURAÇÃO'!$B:$B,0)),"")</f>
        <v>0</v>
      </c>
      <c r="U54" s="3"/>
      <c r="V54" s="3"/>
    </row>
    <row r="55" spans="2:22" ht="45" customHeight="1">
      <c r="B55" s="3" t="str">
        <f>IFERROR(ROUND(INDEX('PROJETO PERFURAÇÃO'!$AB:$AB,MATCH(MEDIÇÃO!D55,'PROJETO PERFURAÇÃO'!$B:$B,0)),1)&amp;"''","")</f>
        <v>5''</v>
      </c>
      <c r="C55" s="3" t="str">
        <f>IFERROR(IF(INDEX('PROJETO PERFURAÇÃO'!$P:$P,MATCH(MEDIÇÃO!D55,'PROJETO PERFURAÇÃO'!$B:$B,0))="Production","P",IF(INDEX('PROJETO PERFURAÇÃO'!$P:$P,MATCH(MEDIÇÃO!D55,'PROJETO PERFURAÇÃO'!$B:$B,0))="Buffer","B",IF(INDEX('PROJETO PERFURAÇÃO'!$P:$P,MATCH(MEDIÇÃO!D55,'PROJETO PERFURAÇÃO'!$B:$B,0))="Pre-Splitting","S"))),"")</f>
        <v>P</v>
      </c>
      <c r="D55" s="14">
        <f t="shared" si="3"/>
        <v>89</v>
      </c>
      <c r="E55" s="4" t="str">
        <f>IFERROR(INDEX('LEV R&amp;D'!$D:$D,MATCH(MEDIÇÃO!D55,'LEV R&amp;D'!$A:$A,0))-INDEX('PROJETO PERFURAÇÃO'!$AH:$AH,MATCH(MEDIÇÃO!D55,'PROJETO PERFURAÇÃO'!$B:$B,0)),"")</f>
        <v/>
      </c>
      <c r="F55" s="17">
        <f>IFERROR(INDEX('PROJETO PERFURAÇÃO'!$AN:$AN,MATCH(MEDIÇÃO!D55,'PROJETO PERFURAÇÃO'!$B:$B,0)),"")</f>
        <v>0</v>
      </c>
      <c r="G55" s="3"/>
      <c r="H55" s="3"/>
      <c r="I55" s="3" t="str">
        <f>IFERROR(ROUND(INDEX('PROJETO PERFURAÇÃO'!$AB:$AB,MATCH(MEDIÇÃO!K55,'PROJETO PERFURAÇÃO'!$B:$B,0)),1)&amp;"''","")</f>
        <v>5''</v>
      </c>
      <c r="J55" s="3" t="str">
        <f>IFERROR(IF(INDEX('PROJETO PERFURAÇÃO'!$P:$P,MATCH(MEDIÇÃO!K55,'PROJETO PERFURAÇÃO'!$B:$B,0))="Production","P",IF(INDEX('PROJETO PERFURAÇÃO'!$P:$P,MATCH(MEDIÇÃO!K55,'PROJETO PERFURAÇÃO'!$B:$B,0))="Buffer","B",IF(INDEX('PROJETO PERFURAÇÃO'!$P:$P,MATCH(MEDIÇÃO!K55,'PROJETO PERFURAÇÃO'!$B:$B,0))="Pre-Splitting","S"))),"")</f>
        <v>P</v>
      </c>
      <c r="K55" s="14">
        <f t="shared" si="4"/>
        <v>112</v>
      </c>
      <c r="L55" s="4" t="str">
        <f>IFERROR(INDEX('LEV R&amp;D'!$D:$D,MATCH(MEDIÇÃO!K55,'LEV R&amp;D'!$A:$A,0))-INDEX('PROJETO PERFURAÇÃO'!$AH:$AH,MATCH(MEDIÇÃO!K55,'PROJETO PERFURAÇÃO'!$B:$B,0)),"")</f>
        <v/>
      </c>
      <c r="M55" s="17">
        <f>IFERROR(INDEX('PROJETO PERFURAÇÃO'!$AN:$AN,MATCH(MEDIÇÃO!K55,'PROJETO PERFURAÇÃO'!$B:$B,0)),"")</f>
        <v>0</v>
      </c>
      <c r="N55" s="3"/>
      <c r="O55" s="3"/>
      <c r="P55" s="3" t="str">
        <f>IFERROR(ROUND(INDEX('PROJETO PERFURAÇÃO'!$AB:$AB,MATCH(MEDIÇÃO!R55,'PROJETO PERFURAÇÃO'!$B:$B,0)),1)&amp;"''","")</f>
        <v>5''</v>
      </c>
      <c r="Q55" s="3" t="str">
        <f>IFERROR(IF(INDEX('PROJETO PERFURAÇÃO'!$P:$P,MATCH(MEDIÇÃO!R55,'PROJETO PERFURAÇÃO'!$B:$B,0))="Production","P",IF(INDEX('PROJETO PERFURAÇÃO'!$P:$P,MATCH(MEDIÇÃO!R55,'PROJETO PERFURAÇÃO'!$B:$B,0))="Buffer","B",IF(INDEX('PROJETO PERFURAÇÃO'!$P:$P,MATCH(MEDIÇÃO!R55,'PROJETO PERFURAÇÃO'!$B:$B,0))="Pre-Splitting","S"))),"")</f>
        <v>P</v>
      </c>
      <c r="R55" s="14">
        <f t="shared" si="5"/>
        <v>135</v>
      </c>
      <c r="S55" s="4" t="str">
        <f>IFERROR(INDEX('LEV R&amp;D'!$D:$D,MATCH(MEDIÇÃO!R55,'LEV R&amp;D'!$A:$A,0))-INDEX('PROJETO PERFURAÇÃO'!$AH:$AH,MATCH(MEDIÇÃO!R55,'PROJETO PERFURAÇÃO'!$B:$B,0)),"")</f>
        <v/>
      </c>
      <c r="T55" s="17">
        <f>IFERROR(INDEX('PROJETO PERFURAÇÃO'!$AN:$AN,MATCH(MEDIÇÃO!R55,'PROJETO PERFURAÇÃO'!$B:$B,0)),"")</f>
        <v>0</v>
      </c>
      <c r="U55" s="3"/>
      <c r="V55" s="3"/>
    </row>
    <row r="56" spans="2:22" ht="45" customHeight="1">
      <c r="B56" s="3" t="str">
        <f>IFERROR(ROUND(INDEX('PROJETO PERFURAÇÃO'!$AB:$AB,MATCH(MEDIÇÃO!D56,'PROJETO PERFURAÇÃO'!$B:$B,0)),1)&amp;"''","")</f>
        <v>5''</v>
      </c>
      <c r="C56" s="3" t="str">
        <f>IFERROR(IF(INDEX('PROJETO PERFURAÇÃO'!$P:$P,MATCH(MEDIÇÃO!D56,'PROJETO PERFURAÇÃO'!$B:$B,0))="Production","P",IF(INDEX('PROJETO PERFURAÇÃO'!$P:$P,MATCH(MEDIÇÃO!D56,'PROJETO PERFURAÇÃO'!$B:$B,0))="Buffer","B",IF(INDEX('PROJETO PERFURAÇÃO'!$P:$P,MATCH(MEDIÇÃO!D56,'PROJETO PERFURAÇÃO'!$B:$B,0))="Pre-Splitting","S"))),"")</f>
        <v>P</v>
      </c>
      <c r="D56" s="14">
        <f t="shared" si="3"/>
        <v>90</v>
      </c>
      <c r="E56" s="4" t="str">
        <f>IFERROR(INDEX('LEV R&amp;D'!$D:$D,MATCH(MEDIÇÃO!D56,'LEV R&amp;D'!$A:$A,0))-INDEX('PROJETO PERFURAÇÃO'!$AH:$AH,MATCH(MEDIÇÃO!D56,'PROJETO PERFURAÇÃO'!$B:$B,0)),"")</f>
        <v/>
      </c>
      <c r="F56" s="17">
        <f>IFERROR(INDEX('PROJETO PERFURAÇÃO'!$AN:$AN,MATCH(MEDIÇÃO!D56,'PROJETO PERFURAÇÃO'!$B:$B,0)),"")</f>
        <v>0</v>
      </c>
      <c r="G56" s="3"/>
      <c r="H56" s="3"/>
      <c r="I56" s="3" t="str">
        <f>IFERROR(ROUND(INDEX('PROJETO PERFURAÇÃO'!$AB:$AB,MATCH(MEDIÇÃO!K56,'PROJETO PERFURAÇÃO'!$B:$B,0)),1)&amp;"''","")</f>
        <v>5''</v>
      </c>
      <c r="J56" s="3" t="str">
        <f>IFERROR(IF(INDEX('PROJETO PERFURAÇÃO'!$P:$P,MATCH(MEDIÇÃO!K56,'PROJETO PERFURAÇÃO'!$B:$B,0))="Production","P",IF(INDEX('PROJETO PERFURAÇÃO'!$P:$P,MATCH(MEDIÇÃO!K56,'PROJETO PERFURAÇÃO'!$B:$B,0))="Buffer","B",IF(INDEX('PROJETO PERFURAÇÃO'!$P:$P,MATCH(MEDIÇÃO!K56,'PROJETO PERFURAÇÃO'!$B:$B,0))="Pre-Splitting","S"))),"")</f>
        <v>P</v>
      </c>
      <c r="K56" s="14">
        <f t="shared" si="4"/>
        <v>113</v>
      </c>
      <c r="L56" s="4" t="str">
        <f>IFERROR(INDEX('LEV R&amp;D'!$D:$D,MATCH(MEDIÇÃO!K56,'LEV R&amp;D'!$A:$A,0))-INDEX('PROJETO PERFURAÇÃO'!$AH:$AH,MATCH(MEDIÇÃO!K56,'PROJETO PERFURAÇÃO'!$B:$B,0)),"")</f>
        <v/>
      </c>
      <c r="M56" s="17">
        <f>IFERROR(INDEX('PROJETO PERFURAÇÃO'!$AN:$AN,MATCH(MEDIÇÃO!K56,'PROJETO PERFURAÇÃO'!$B:$B,0)),"")</f>
        <v>0</v>
      </c>
      <c r="N56" s="3"/>
      <c r="O56" s="3"/>
      <c r="P56" s="3" t="str">
        <f>IFERROR(ROUND(INDEX('PROJETO PERFURAÇÃO'!$AB:$AB,MATCH(MEDIÇÃO!R56,'PROJETO PERFURAÇÃO'!$B:$B,0)),1)&amp;"''","")</f>
        <v>5''</v>
      </c>
      <c r="Q56" s="3" t="str">
        <f>IFERROR(IF(INDEX('PROJETO PERFURAÇÃO'!$P:$P,MATCH(MEDIÇÃO!R56,'PROJETO PERFURAÇÃO'!$B:$B,0))="Production","P",IF(INDEX('PROJETO PERFURAÇÃO'!$P:$P,MATCH(MEDIÇÃO!R56,'PROJETO PERFURAÇÃO'!$B:$B,0))="Buffer","B",IF(INDEX('PROJETO PERFURAÇÃO'!$P:$P,MATCH(MEDIÇÃO!R56,'PROJETO PERFURAÇÃO'!$B:$B,0))="Pre-Splitting","S"))),"")</f>
        <v>P</v>
      </c>
      <c r="R56" s="14">
        <f t="shared" si="5"/>
        <v>136</v>
      </c>
      <c r="S56" s="4" t="str">
        <f>IFERROR(INDEX('LEV R&amp;D'!$D:$D,MATCH(MEDIÇÃO!R56,'LEV R&amp;D'!$A:$A,0))-INDEX('PROJETO PERFURAÇÃO'!$AH:$AH,MATCH(MEDIÇÃO!R56,'PROJETO PERFURAÇÃO'!$B:$B,0)),"")</f>
        <v/>
      </c>
      <c r="T56" s="17">
        <f>IFERROR(INDEX('PROJETO PERFURAÇÃO'!$AN:$AN,MATCH(MEDIÇÃO!R56,'PROJETO PERFURAÇÃO'!$B:$B,0)),"")</f>
        <v>0</v>
      </c>
      <c r="U56" s="3"/>
      <c r="V56" s="3"/>
    </row>
    <row r="57" spans="2:22" ht="45" customHeight="1">
      <c r="B57" s="3" t="str">
        <f>IFERROR(ROUND(INDEX('PROJETO PERFURAÇÃO'!$AB:$AB,MATCH(MEDIÇÃO!D57,'PROJETO PERFURAÇÃO'!$B:$B,0)),1)&amp;"''","")</f>
        <v>5''</v>
      </c>
      <c r="C57" s="3" t="str">
        <f>IFERROR(IF(INDEX('PROJETO PERFURAÇÃO'!$P:$P,MATCH(MEDIÇÃO!D57,'PROJETO PERFURAÇÃO'!$B:$B,0))="Production","P",IF(INDEX('PROJETO PERFURAÇÃO'!$P:$P,MATCH(MEDIÇÃO!D57,'PROJETO PERFURAÇÃO'!$B:$B,0))="Buffer","B",IF(INDEX('PROJETO PERFURAÇÃO'!$P:$P,MATCH(MEDIÇÃO!D57,'PROJETO PERFURAÇÃO'!$B:$B,0))="Pre-Splitting","S"))),"")</f>
        <v>P</v>
      </c>
      <c r="D57" s="14">
        <f t="shared" si="3"/>
        <v>91</v>
      </c>
      <c r="E57" s="4" t="str">
        <f>IFERROR(INDEX('LEV R&amp;D'!$D:$D,MATCH(MEDIÇÃO!D57,'LEV R&amp;D'!$A:$A,0))-INDEX('PROJETO PERFURAÇÃO'!$AH:$AH,MATCH(MEDIÇÃO!D57,'PROJETO PERFURAÇÃO'!$B:$B,0)),"")</f>
        <v/>
      </c>
      <c r="F57" s="17">
        <f>IFERROR(INDEX('PROJETO PERFURAÇÃO'!$AN:$AN,MATCH(MEDIÇÃO!D57,'PROJETO PERFURAÇÃO'!$B:$B,0)),"")</f>
        <v>0</v>
      </c>
      <c r="G57" s="3"/>
      <c r="H57" s="3"/>
      <c r="I57" s="3" t="str">
        <f>IFERROR(ROUND(INDEX('PROJETO PERFURAÇÃO'!$AB:$AB,MATCH(MEDIÇÃO!K57,'PROJETO PERFURAÇÃO'!$B:$B,0)),1)&amp;"''","")</f>
        <v>5''</v>
      </c>
      <c r="J57" s="3" t="str">
        <f>IFERROR(IF(INDEX('PROJETO PERFURAÇÃO'!$P:$P,MATCH(MEDIÇÃO!K57,'PROJETO PERFURAÇÃO'!$B:$B,0))="Production","P",IF(INDEX('PROJETO PERFURAÇÃO'!$P:$P,MATCH(MEDIÇÃO!K57,'PROJETO PERFURAÇÃO'!$B:$B,0))="Buffer","B",IF(INDEX('PROJETO PERFURAÇÃO'!$P:$P,MATCH(MEDIÇÃO!K57,'PROJETO PERFURAÇÃO'!$B:$B,0))="Pre-Splitting","S"))),"")</f>
        <v>P</v>
      </c>
      <c r="K57" s="14">
        <f t="shared" si="4"/>
        <v>114</v>
      </c>
      <c r="L57" s="4" t="str">
        <f>IFERROR(INDEX('LEV R&amp;D'!$D:$D,MATCH(MEDIÇÃO!K57,'LEV R&amp;D'!$A:$A,0))-INDEX('PROJETO PERFURAÇÃO'!$AH:$AH,MATCH(MEDIÇÃO!K57,'PROJETO PERFURAÇÃO'!$B:$B,0)),"")</f>
        <v/>
      </c>
      <c r="M57" s="17">
        <f>IFERROR(INDEX('PROJETO PERFURAÇÃO'!$AN:$AN,MATCH(MEDIÇÃO!K57,'PROJETO PERFURAÇÃO'!$B:$B,0)),"")</f>
        <v>0</v>
      </c>
      <c r="N57" s="3"/>
      <c r="O57" s="3"/>
      <c r="P57" s="3" t="str">
        <f>IFERROR(ROUND(INDEX('PROJETO PERFURAÇÃO'!$AB:$AB,MATCH(MEDIÇÃO!R57,'PROJETO PERFURAÇÃO'!$B:$B,0)),1)&amp;"''","")</f>
        <v>5''</v>
      </c>
      <c r="Q57" s="3" t="str">
        <f>IFERROR(IF(INDEX('PROJETO PERFURAÇÃO'!$P:$P,MATCH(MEDIÇÃO!R57,'PROJETO PERFURAÇÃO'!$B:$B,0))="Production","P",IF(INDEX('PROJETO PERFURAÇÃO'!$P:$P,MATCH(MEDIÇÃO!R57,'PROJETO PERFURAÇÃO'!$B:$B,0))="Buffer","B",IF(INDEX('PROJETO PERFURAÇÃO'!$P:$P,MATCH(MEDIÇÃO!R57,'PROJETO PERFURAÇÃO'!$B:$B,0))="Pre-Splitting","S"))),"")</f>
        <v>P</v>
      </c>
      <c r="R57" s="14">
        <f t="shared" si="5"/>
        <v>137</v>
      </c>
      <c r="S57" s="4" t="str">
        <f>IFERROR(INDEX('LEV R&amp;D'!$D:$D,MATCH(MEDIÇÃO!R57,'LEV R&amp;D'!$A:$A,0))-INDEX('PROJETO PERFURAÇÃO'!$AH:$AH,MATCH(MEDIÇÃO!R57,'PROJETO PERFURAÇÃO'!$B:$B,0)),"")</f>
        <v/>
      </c>
      <c r="T57" s="17">
        <f>IFERROR(INDEX('PROJETO PERFURAÇÃO'!$AN:$AN,MATCH(MEDIÇÃO!R57,'PROJETO PERFURAÇÃO'!$B:$B,0)),"")</f>
        <v>0</v>
      </c>
      <c r="U57" s="3"/>
      <c r="V57" s="3"/>
    </row>
    <row r="58" spans="2:22" ht="45" customHeight="1">
      <c r="B58" s="3" t="str">
        <f>IFERROR(ROUND(INDEX('PROJETO PERFURAÇÃO'!$AB:$AB,MATCH(MEDIÇÃO!D58,'PROJETO PERFURAÇÃO'!$B:$B,0)),1)&amp;"''","")</f>
        <v>5''</v>
      </c>
      <c r="C58" s="3" t="str">
        <f>IFERROR(IF(INDEX('PROJETO PERFURAÇÃO'!$P:$P,MATCH(MEDIÇÃO!D58,'PROJETO PERFURAÇÃO'!$B:$B,0))="Production","P",IF(INDEX('PROJETO PERFURAÇÃO'!$P:$P,MATCH(MEDIÇÃO!D58,'PROJETO PERFURAÇÃO'!$B:$B,0))="Buffer","B",IF(INDEX('PROJETO PERFURAÇÃO'!$P:$P,MATCH(MEDIÇÃO!D58,'PROJETO PERFURAÇÃO'!$B:$B,0))="Pre-Splitting","S"))),"")</f>
        <v>P</v>
      </c>
      <c r="D58" s="14">
        <f t="shared" si="3"/>
        <v>92</v>
      </c>
      <c r="E58" s="4" t="str">
        <f>IFERROR(INDEX('LEV R&amp;D'!$D:$D,MATCH(MEDIÇÃO!D58,'LEV R&amp;D'!$A:$A,0))-INDEX('PROJETO PERFURAÇÃO'!$AH:$AH,MATCH(MEDIÇÃO!D58,'PROJETO PERFURAÇÃO'!$B:$B,0)),"")</f>
        <v/>
      </c>
      <c r="F58" s="17">
        <f>IFERROR(INDEX('PROJETO PERFURAÇÃO'!$AN:$AN,MATCH(MEDIÇÃO!D58,'PROJETO PERFURAÇÃO'!$B:$B,0)),"")</f>
        <v>0</v>
      </c>
      <c r="G58" s="3"/>
      <c r="H58" s="3"/>
      <c r="I58" s="3" t="str">
        <f>IFERROR(ROUND(INDEX('PROJETO PERFURAÇÃO'!$AB:$AB,MATCH(MEDIÇÃO!K58,'PROJETO PERFURAÇÃO'!$B:$B,0)),1)&amp;"''","")</f>
        <v>5''</v>
      </c>
      <c r="J58" s="3" t="str">
        <f>IFERROR(IF(INDEX('PROJETO PERFURAÇÃO'!$P:$P,MATCH(MEDIÇÃO!K58,'PROJETO PERFURAÇÃO'!$B:$B,0))="Production","P",IF(INDEX('PROJETO PERFURAÇÃO'!$P:$P,MATCH(MEDIÇÃO!K58,'PROJETO PERFURAÇÃO'!$B:$B,0))="Buffer","B",IF(INDEX('PROJETO PERFURAÇÃO'!$P:$P,MATCH(MEDIÇÃO!K58,'PROJETO PERFURAÇÃO'!$B:$B,0))="Pre-Splitting","S"))),"")</f>
        <v>P</v>
      </c>
      <c r="K58" s="14">
        <f t="shared" si="4"/>
        <v>115</v>
      </c>
      <c r="L58" s="4" t="str">
        <f>IFERROR(INDEX('LEV R&amp;D'!$D:$D,MATCH(MEDIÇÃO!K58,'LEV R&amp;D'!$A:$A,0))-INDEX('PROJETO PERFURAÇÃO'!$AH:$AH,MATCH(MEDIÇÃO!K58,'PROJETO PERFURAÇÃO'!$B:$B,0)),"")</f>
        <v/>
      </c>
      <c r="M58" s="17">
        <f>IFERROR(INDEX('PROJETO PERFURAÇÃO'!$AN:$AN,MATCH(MEDIÇÃO!K58,'PROJETO PERFURAÇÃO'!$B:$B,0)),"")</f>
        <v>0</v>
      </c>
      <c r="N58" s="3"/>
      <c r="O58" s="3"/>
      <c r="P58" s="3" t="str">
        <f>IFERROR(ROUND(INDEX('PROJETO PERFURAÇÃO'!$AB:$AB,MATCH(MEDIÇÃO!R58,'PROJETO PERFURAÇÃO'!$B:$B,0)),1)&amp;"''","")</f>
        <v>5''</v>
      </c>
      <c r="Q58" s="3" t="str">
        <f>IFERROR(IF(INDEX('PROJETO PERFURAÇÃO'!$P:$P,MATCH(MEDIÇÃO!R58,'PROJETO PERFURAÇÃO'!$B:$B,0))="Production","P",IF(INDEX('PROJETO PERFURAÇÃO'!$P:$P,MATCH(MEDIÇÃO!R58,'PROJETO PERFURAÇÃO'!$B:$B,0))="Buffer","B",IF(INDEX('PROJETO PERFURAÇÃO'!$P:$P,MATCH(MEDIÇÃO!R58,'PROJETO PERFURAÇÃO'!$B:$B,0))="Pre-Splitting","S"))),"")</f>
        <v>P</v>
      </c>
      <c r="R58" s="14">
        <f t="shared" si="5"/>
        <v>138</v>
      </c>
      <c r="S58" s="4" t="str">
        <f>IFERROR(INDEX('LEV R&amp;D'!$D:$D,MATCH(MEDIÇÃO!R58,'LEV R&amp;D'!$A:$A,0))-INDEX('PROJETO PERFURAÇÃO'!$AH:$AH,MATCH(MEDIÇÃO!R58,'PROJETO PERFURAÇÃO'!$B:$B,0)),"")</f>
        <v/>
      </c>
      <c r="T58" s="17">
        <f>IFERROR(INDEX('PROJETO PERFURAÇÃO'!$AN:$AN,MATCH(MEDIÇÃO!R58,'PROJETO PERFURAÇÃO'!$B:$B,0)),"")</f>
        <v>0</v>
      </c>
      <c r="U58" s="3"/>
      <c r="V58" s="3"/>
    </row>
    <row r="59" spans="2:22" ht="30" customHeight="1">
      <c r="B59" s="1"/>
      <c r="C59" s="1"/>
      <c r="D59" s="15"/>
      <c r="E59" s="2"/>
      <c r="F59" s="16"/>
      <c r="G59" s="1"/>
      <c r="H59" s="1"/>
      <c r="I59" s="1"/>
      <c r="J59" s="1"/>
      <c r="K59" s="15"/>
      <c r="L59" s="2"/>
      <c r="M59" s="16"/>
      <c r="N59" s="1"/>
      <c r="O59" s="1"/>
      <c r="P59" s="1"/>
      <c r="Q59" s="1"/>
      <c r="R59" s="15"/>
      <c r="S59" s="2"/>
      <c r="T59" s="16"/>
      <c r="U59" s="1"/>
      <c r="V59" s="1"/>
    </row>
    <row r="60" spans="2:22" ht="30" customHeight="1">
      <c r="C60" s="20"/>
      <c r="D60" s="20"/>
      <c r="E60" s="20"/>
      <c r="F60" s="20"/>
      <c r="G60" s="20"/>
      <c r="H60" s="20"/>
      <c r="I60" s="20"/>
      <c r="J60" s="20"/>
      <c r="K60" s="20"/>
      <c r="M60" s="20"/>
      <c r="N60" s="20"/>
      <c r="O60" s="20"/>
      <c r="P60" s="20"/>
      <c r="Q60" s="20"/>
      <c r="R60" s="20"/>
      <c r="S60" s="20"/>
      <c r="T60" s="20"/>
      <c r="U60" s="20"/>
    </row>
    <row r="61" spans="2:22" ht="30" customHeight="1">
      <c r="C61" s="21" t="s">
        <v>40</v>
      </c>
      <c r="D61" s="21"/>
      <c r="E61" s="21"/>
      <c r="F61" s="21"/>
      <c r="G61" s="21"/>
      <c r="H61" s="21"/>
      <c r="I61" s="21"/>
      <c r="J61" s="21"/>
      <c r="K61" s="21"/>
      <c r="L61" s="9"/>
      <c r="M61" s="21" t="s">
        <v>40</v>
      </c>
      <c r="N61" s="21"/>
      <c r="O61" s="21"/>
      <c r="P61" s="21"/>
      <c r="Q61" s="21"/>
      <c r="R61" s="21"/>
      <c r="S61" s="21"/>
      <c r="T61" s="21"/>
      <c r="U61" s="21"/>
      <c r="V61" s="9"/>
    </row>
    <row r="62" spans="2:22" ht="30" customHeight="1">
      <c r="D62" s="9"/>
      <c r="E62" s="9"/>
      <c r="F62" s="9"/>
      <c r="G62" s="9"/>
      <c r="H62" s="9"/>
      <c r="I62" s="9"/>
      <c r="J62" s="9"/>
      <c r="K62" s="9"/>
      <c r="L62" s="9"/>
      <c r="M62" s="9"/>
      <c r="N62" s="9"/>
      <c r="Q62" s="9"/>
      <c r="R62" s="9"/>
      <c r="S62" s="9"/>
      <c r="T62" s="9"/>
      <c r="U62" s="9"/>
      <c r="V62" s="9"/>
    </row>
    <row r="63" spans="2:22" ht="30" customHeight="1">
      <c r="B63" s="19" t="str">
        <f>'PROJETO PERFURAÇÃO'!$C$2&amp;" - "&amp;'PROJETO PERFURAÇÃO'!$H$2</f>
        <v>LIB037 - PP0370626</v>
      </c>
      <c r="C63" s="19"/>
      <c r="D63" s="19"/>
      <c r="E63" s="19"/>
      <c r="F63" s="19"/>
      <c r="G63" s="19"/>
      <c r="H63" s="19"/>
      <c r="I63" s="11" t="s">
        <v>34</v>
      </c>
      <c r="J63" s="10" t="s">
        <v>37</v>
      </c>
    </row>
    <row r="64" spans="2:22" ht="30" customHeight="1">
      <c r="B64" s="19"/>
      <c r="C64" s="19"/>
      <c r="D64" s="19"/>
      <c r="E64" s="19"/>
      <c r="F64" s="19"/>
      <c r="G64" s="19"/>
      <c r="H64" s="19"/>
      <c r="I64" s="12" t="s">
        <v>35</v>
      </c>
      <c r="J64" s="10" t="s">
        <v>38</v>
      </c>
      <c r="K64" s="9"/>
      <c r="L64" s="9"/>
      <c r="M64" s="9"/>
      <c r="N64" s="9"/>
      <c r="O64" s="9"/>
      <c r="P64" s="9"/>
      <c r="Q64" s="9"/>
      <c r="R64" s="9"/>
      <c r="S64" s="9"/>
      <c r="T64" s="9"/>
      <c r="U64" s="9"/>
      <c r="V64" s="9"/>
    </row>
    <row r="65" spans="1:23" ht="30" customHeight="1">
      <c r="B65" s="19"/>
      <c r="C65" s="19"/>
      <c r="D65" s="19"/>
      <c r="E65" s="19"/>
      <c r="F65" s="19"/>
      <c r="G65" s="19"/>
      <c r="H65" s="19"/>
      <c r="I65" s="13" t="s">
        <v>36</v>
      </c>
      <c r="J65" s="10" t="s">
        <v>39</v>
      </c>
    </row>
    <row r="66" spans="1:23" ht="30" customHeight="1">
      <c r="A66" s="1"/>
      <c r="B66" s="6" t="s">
        <v>33</v>
      </c>
      <c r="C66" s="6" t="s">
        <v>13</v>
      </c>
      <c r="D66" s="7" t="s">
        <v>1</v>
      </c>
      <c r="E66" s="7" t="s">
        <v>29</v>
      </c>
      <c r="F66" s="7" t="s">
        <v>30</v>
      </c>
      <c r="G66" s="7" t="s">
        <v>31</v>
      </c>
      <c r="H66" s="7" t="s">
        <v>32</v>
      </c>
      <c r="I66" s="6" t="s">
        <v>33</v>
      </c>
      <c r="J66" s="6" t="s">
        <v>13</v>
      </c>
      <c r="K66" s="7" t="s">
        <v>1</v>
      </c>
      <c r="L66" s="7" t="s">
        <v>29</v>
      </c>
      <c r="M66" s="7" t="s">
        <v>30</v>
      </c>
      <c r="N66" s="7" t="s">
        <v>31</v>
      </c>
      <c r="O66" s="7" t="s">
        <v>32</v>
      </c>
      <c r="P66" s="6" t="s">
        <v>33</v>
      </c>
      <c r="Q66" s="6" t="s">
        <v>13</v>
      </c>
      <c r="R66" s="7" t="s">
        <v>1</v>
      </c>
      <c r="S66" s="7" t="s">
        <v>29</v>
      </c>
      <c r="T66" s="7" t="s">
        <v>30</v>
      </c>
      <c r="U66" s="7" t="s">
        <v>31</v>
      </c>
      <c r="V66" s="7" t="s">
        <v>32</v>
      </c>
      <c r="W66" s="1"/>
    </row>
    <row r="67" spans="1:23" ht="45" customHeight="1">
      <c r="B67" s="3" t="str">
        <f>IFERROR(ROUND(INDEX('PROJETO PERFURAÇÃO'!$AB:$AB,MATCH(MEDIÇÃO!D67,'PROJETO PERFURAÇÃO'!$B:$B,0)),1)&amp;"''","")</f>
        <v>5''</v>
      </c>
      <c r="C67" s="3" t="str">
        <f>IFERROR(IF(INDEX('PROJETO PERFURAÇÃO'!$P:$P,MATCH(MEDIÇÃO!D67,'PROJETO PERFURAÇÃO'!$B:$B,0))="Production","P",IF(INDEX('PROJETO PERFURAÇÃO'!$P:$P,MATCH(MEDIÇÃO!D67,'PROJETO PERFURAÇÃO'!$B:$B,0))="Buffer","B",IF(INDEX('PROJETO PERFURAÇÃO'!$P:$P,MATCH(MEDIÇÃO!D67,'PROJETO PERFURAÇÃO'!$B:$B,0))="Pre-Splitting","S"))),"")</f>
        <v>P</v>
      </c>
      <c r="D67" s="14">
        <f>R58+1</f>
        <v>139</v>
      </c>
      <c r="E67" s="4" t="str">
        <f>IFERROR(INDEX('LEV R&amp;D'!$D:$D,MATCH(MEDIÇÃO!D67,'LEV R&amp;D'!$A:$A,0))-INDEX('PROJETO PERFURAÇÃO'!$AH:$AH,MATCH(MEDIÇÃO!D67,'PROJETO PERFURAÇÃO'!$B:$B,0)),"")</f>
        <v/>
      </c>
      <c r="F67" s="17">
        <f>IFERROR(INDEX('PROJETO PERFURAÇÃO'!$AN:$AN,MATCH(MEDIÇÃO!D67,'PROJETO PERFURAÇÃO'!$B:$B,0)),"")</f>
        <v>0</v>
      </c>
      <c r="G67" s="3"/>
      <c r="H67" s="3"/>
      <c r="I67" s="3" t="str">
        <f>IFERROR(ROUND(INDEX('PROJETO PERFURAÇÃO'!$AB:$AB,MATCH(MEDIÇÃO!K67,'PROJETO PERFURAÇÃO'!$B:$B,0)),1)&amp;"''","")</f>
        <v>5''</v>
      </c>
      <c r="J67" s="3" t="str">
        <f>IFERROR(IF(INDEX('PROJETO PERFURAÇÃO'!$P:$P,MATCH(MEDIÇÃO!K67,'PROJETO PERFURAÇÃO'!$B:$B,0))="Production","P",IF(INDEX('PROJETO PERFURAÇÃO'!$P:$P,MATCH(MEDIÇÃO!K67,'PROJETO PERFURAÇÃO'!$B:$B,0))="Buffer","B",IF(INDEX('PROJETO PERFURAÇÃO'!$P:$P,MATCH(MEDIÇÃO!K67,'PROJETO PERFURAÇÃO'!$B:$B,0))="Pre-Splitting","S"))),"")</f>
        <v>P</v>
      </c>
      <c r="K67" s="14">
        <f>D89+1</f>
        <v>162</v>
      </c>
      <c r="L67" s="4" t="str">
        <f>IFERROR(INDEX('LEV R&amp;D'!$D:$D,MATCH(MEDIÇÃO!K67,'LEV R&amp;D'!$A:$A,0))-INDEX('PROJETO PERFURAÇÃO'!$AH:$AH,MATCH(MEDIÇÃO!K67,'PROJETO PERFURAÇÃO'!$B:$B,0)),"")</f>
        <v/>
      </c>
      <c r="M67" s="17">
        <f>IFERROR(INDEX('PROJETO PERFURAÇÃO'!$AN:$AN,MATCH(MEDIÇÃO!K67,'PROJETO PERFURAÇÃO'!$B:$B,0)),"")</f>
        <v>0</v>
      </c>
      <c r="N67" s="3"/>
      <c r="O67" s="3"/>
      <c r="P67" s="3" t="str">
        <f>IFERROR(ROUND(INDEX('PROJETO PERFURAÇÃO'!$AB:$AB,MATCH(MEDIÇÃO!R67,'PROJETO PERFURAÇÃO'!$B:$B,0)),1)&amp;"''","")</f>
        <v>5''</v>
      </c>
      <c r="Q67" s="3" t="str">
        <f>IFERROR(IF(INDEX('PROJETO PERFURAÇÃO'!$P:$P,MATCH(MEDIÇÃO!R67,'PROJETO PERFURAÇÃO'!$B:$B,0))="Production","P",IF(INDEX('PROJETO PERFURAÇÃO'!$P:$P,MATCH(MEDIÇÃO!R67,'PROJETO PERFURAÇÃO'!$B:$B,0))="Buffer","B",IF(INDEX('PROJETO PERFURAÇÃO'!$P:$P,MATCH(MEDIÇÃO!R67,'PROJETO PERFURAÇÃO'!$B:$B,0))="Pre-Splitting","S"))),"")</f>
        <v>P</v>
      </c>
      <c r="R67" s="14">
        <f>K89+1</f>
        <v>185</v>
      </c>
      <c r="S67" s="4" t="str">
        <f>IFERROR(INDEX('LEV R&amp;D'!$D:$D,MATCH(MEDIÇÃO!R67,'LEV R&amp;D'!$A:$A,0))-INDEX('PROJETO PERFURAÇÃO'!$AH:$AH,MATCH(MEDIÇÃO!R67,'PROJETO PERFURAÇÃO'!$B:$B,0)),"")</f>
        <v/>
      </c>
      <c r="T67" s="17">
        <f>IFERROR(INDEX('PROJETO PERFURAÇÃO'!$AN:$AN,MATCH(MEDIÇÃO!R67,'PROJETO PERFURAÇÃO'!$B:$B,0)),"")</f>
        <v>0</v>
      </c>
      <c r="U67" s="3"/>
      <c r="V67" s="3"/>
    </row>
    <row r="68" spans="1:23" ht="45" customHeight="1">
      <c r="B68" s="3" t="str">
        <f>IFERROR(ROUND(INDEX('PROJETO PERFURAÇÃO'!$AB:$AB,MATCH(MEDIÇÃO!D68,'PROJETO PERFURAÇÃO'!$B:$B,0)),1)&amp;"''","")</f>
        <v>5''</v>
      </c>
      <c r="C68" s="3" t="str">
        <f>IFERROR(IF(INDEX('PROJETO PERFURAÇÃO'!$P:$P,MATCH(MEDIÇÃO!D68,'PROJETO PERFURAÇÃO'!$B:$B,0))="Production","P",IF(INDEX('PROJETO PERFURAÇÃO'!$P:$P,MATCH(MEDIÇÃO!D68,'PROJETO PERFURAÇÃO'!$B:$B,0))="Buffer","B",IF(INDEX('PROJETO PERFURAÇÃO'!$P:$P,MATCH(MEDIÇÃO!D68,'PROJETO PERFURAÇÃO'!$B:$B,0))="Pre-Splitting","S"))),"")</f>
        <v>P</v>
      </c>
      <c r="D68" s="14">
        <f>D67+1</f>
        <v>140</v>
      </c>
      <c r="E68" s="4" t="str">
        <f>IFERROR(INDEX('LEV R&amp;D'!$D:$D,MATCH(MEDIÇÃO!D68,'LEV R&amp;D'!$A:$A,0))-INDEX('PROJETO PERFURAÇÃO'!$AH:$AH,MATCH(MEDIÇÃO!D68,'PROJETO PERFURAÇÃO'!$B:$B,0)),"")</f>
        <v/>
      </c>
      <c r="F68" s="17">
        <f>IFERROR(INDEX('PROJETO PERFURAÇÃO'!$AN:$AN,MATCH(MEDIÇÃO!D68,'PROJETO PERFURAÇÃO'!$B:$B,0)),"")</f>
        <v>0</v>
      </c>
      <c r="G68" s="3"/>
      <c r="H68" s="3"/>
      <c r="I68" s="3" t="str">
        <f>IFERROR(ROUND(INDEX('PROJETO PERFURAÇÃO'!$AB:$AB,MATCH(MEDIÇÃO!K68,'PROJETO PERFURAÇÃO'!$B:$B,0)),1)&amp;"''","")</f>
        <v>5''</v>
      </c>
      <c r="J68" s="3" t="str">
        <f>IFERROR(IF(INDEX('PROJETO PERFURAÇÃO'!$P:$P,MATCH(MEDIÇÃO!K68,'PROJETO PERFURAÇÃO'!$B:$B,0))="Production","P",IF(INDEX('PROJETO PERFURAÇÃO'!$P:$P,MATCH(MEDIÇÃO!K68,'PROJETO PERFURAÇÃO'!$B:$B,0))="Buffer","B",IF(INDEX('PROJETO PERFURAÇÃO'!$P:$P,MATCH(MEDIÇÃO!K68,'PROJETO PERFURAÇÃO'!$B:$B,0))="Pre-Splitting","S"))),"")</f>
        <v>P</v>
      </c>
      <c r="K68" s="14">
        <f>K67+1</f>
        <v>163</v>
      </c>
      <c r="L68" s="4" t="str">
        <f>IFERROR(INDEX('LEV R&amp;D'!$D:$D,MATCH(MEDIÇÃO!K68,'LEV R&amp;D'!$A:$A,0))-INDEX('PROJETO PERFURAÇÃO'!$AH:$AH,MATCH(MEDIÇÃO!K68,'PROJETO PERFURAÇÃO'!$B:$B,0)),"")</f>
        <v/>
      </c>
      <c r="M68" s="17">
        <f>IFERROR(INDEX('PROJETO PERFURAÇÃO'!$AN:$AN,MATCH(MEDIÇÃO!K68,'PROJETO PERFURAÇÃO'!$B:$B,0)),"")</f>
        <v>0</v>
      </c>
      <c r="N68" s="3"/>
      <c r="O68" s="3"/>
      <c r="P68" s="3" t="str">
        <f>IFERROR(ROUND(INDEX('PROJETO PERFURAÇÃO'!$AB:$AB,MATCH(MEDIÇÃO!R68,'PROJETO PERFURAÇÃO'!$B:$B,0)),1)&amp;"''","")</f>
        <v>5''</v>
      </c>
      <c r="Q68" s="3" t="str">
        <f>IFERROR(IF(INDEX('PROJETO PERFURAÇÃO'!$P:$P,MATCH(MEDIÇÃO!R68,'PROJETO PERFURAÇÃO'!$B:$B,0))="Production","P",IF(INDEX('PROJETO PERFURAÇÃO'!$P:$P,MATCH(MEDIÇÃO!R68,'PROJETO PERFURAÇÃO'!$B:$B,0))="Buffer","B",IF(INDEX('PROJETO PERFURAÇÃO'!$P:$P,MATCH(MEDIÇÃO!R68,'PROJETO PERFURAÇÃO'!$B:$B,0))="Pre-Splitting","S"))),"")</f>
        <v>P</v>
      </c>
      <c r="R68" s="14">
        <f>R67+1</f>
        <v>186</v>
      </c>
      <c r="S68" s="4" t="str">
        <f>IFERROR(INDEX('LEV R&amp;D'!$D:$D,MATCH(MEDIÇÃO!R68,'LEV R&amp;D'!$A:$A,0))-INDEX('PROJETO PERFURAÇÃO'!$AH:$AH,MATCH(MEDIÇÃO!R68,'PROJETO PERFURAÇÃO'!$B:$B,0)),"")</f>
        <v/>
      </c>
      <c r="T68" s="17">
        <f>IFERROR(INDEX('PROJETO PERFURAÇÃO'!$AN:$AN,MATCH(MEDIÇÃO!R68,'PROJETO PERFURAÇÃO'!$B:$B,0)),"")</f>
        <v>0</v>
      </c>
      <c r="U68" s="3"/>
      <c r="V68" s="3"/>
    </row>
    <row r="69" spans="1:23" ht="45" customHeight="1">
      <c r="B69" s="3" t="str">
        <f>IFERROR(ROUND(INDEX('PROJETO PERFURAÇÃO'!$AB:$AB,MATCH(MEDIÇÃO!D69,'PROJETO PERFURAÇÃO'!$B:$B,0)),1)&amp;"''","")</f>
        <v>5''</v>
      </c>
      <c r="C69" s="3" t="str">
        <f>IFERROR(IF(INDEX('PROJETO PERFURAÇÃO'!$P:$P,MATCH(MEDIÇÃO!D69,'PROJETO PERFURAÇÃO'!$B:$B,0))="Production","P",IF(INDEX('PROJETO PERFURAÇÃO'!$P:$P,MATCH(MEDIÇÃO!D69,'PROJETO PERFURAÇÃO'!$B:$B,0))="Buffer","B",IF(INDEX('PROJETO PERFURAÇÃO'!$P:$P,MATCH(MEDIÇÃO!D69,'PROJETO PERFURAÇÃO'!$B:$B,0))="Pre-Splitting","S"))),"")</f>
        <v>P</v>
      </c>
      <c r="D69" s="14">
        <f t="shared" ref="D69:D89" si="6">D68+1</f>
        <v>141</v>
      </c>
      <c r="E69" s="4" t="str">
        <f>IFERROR(INDEX('LEV R&amp;D'!$D:$D,MATCH(MEDIÇÃO!D69,'LEV R&amp;D'!$A:$A,0))-INDEX('PROJETO PERFURAÇÃO'!$AH:$AH,MATCH(MEDIÇÃO!D69,'PROJETO PERFURAÇÃO'!$B:$B,0)),"")</f>
        <v/>
      </c>
      <c r="F69" s="17">
        <f>IFERROR(INDEX('PROJETO PERFURAÇÃO'!$AN:$AN,MATCH(MEDIÇÃO!D69,'PROJETO PERFURAÇÃO'!$B:$B,0)),"")</f>
        <v>0</v>
      </c>
      <c r="G69" s="3"/>
      <c r="H69" s="3"/>
      <c r="I69" s="3" t="str">
        <f>IFERROR(ROUND(INDEX('PROJETO PERFURAÇÃO'!$AB:$AB,MATCH(MEDIÇÃO!K69,'PROJETO PERFURAÇÃO'!$B:$B,0)),1)&amp;"''","")</f>
        <v>5''</v>
      </c>
      <c r="J69" s="3" t="str">
        <f>IFERROR(IF(INDEX('PROJETO PERFURAÇÃO'!$P:$P,MATCH(MEDIÇÃO!K69,'PROJETO PERFURAÇÃO'!$B:$B,0))="Production","P",IF(INDEX('PROJETO PERFURAÇÃO'!$P:$P,MATCH(MEDIÇÃO!K69,'PROJETO PERFURAÇÃO'!$B:$B,0))="Buffer","B",IF(INDEX('PROJETO PERFURAÇÃO'!$P:$P,MATCH(MEDIÇÃO!K69,'PROJETO PERFURAÇÃO'!$B:$B,0))="Pre-Splitting","S"))),"")</f>
        <v>P</v>
      </c>
      <c r="K69" s="14">
        <f t="shared" ref="K69:K89" si="7">K68+1</f>
        <v>164</v>
      </c>
      <c r="L69" s="4" t="str">
        <f>IFERROR(INDEX('LEV R&amp;D'!$D:$D,MATCH(MEDIÇÃO!K69,'LEV R&amp;D'!$A:$A,0))-INDEX('PROJETO PERFURAÇÃO'!$AH:$AH,MATCH(MEDIÇÃO!K69,'PROJETO PERFURAÇÃO'!$B:$B,0)),"")</f>
        <v/>
      </c>
      <c r="M69" s="17">
        <f>IFERROR(INDEX('PROJETO PERFURAÇÃO'!$AN:$AN,MATCH(MEDIÇÃO!K69,'PROJETO PERFURAÇÃO'!$B:$B,0)),"")</f>
        <v>0</v>
      </c>
      <c r="N69" s="3"/>
      <c r="O69" s="3"/>
      <c r="P69" s="3" t="str">
        <f>IFERROR(ROUND(INDEX('PROJETO PERFURAÇÃO'!$AB:$AB,MATCH(MEDIÇÃO!R69,'PROJETO PERFURAÇÃO'!$B:$B,0)),1)&amp;"''","")</f>
        <v>5''</v>
      </c>
      <c r="Q69" s="3" t="str">
        <f>IFERROR(IF(INDEX('PROJETO PERFURAÇÃO'!$P:$P,MATCH(MEDIÇÃO!R69,'PROJETO PERFURAÇÃO'!$B:$B,0))="Production","P",IF(INDEX('PROJETO PERFURAÇÃO'!$P:$P,MATCH(MEDIÇÃO!R69,'PROJETO PERFURAÇÃO'!$B:$B,0))="Buffer","B",IF(INDEX('PROJETO PERFURAÇÃO'!$P:$P,MATCH(MEDIÇÃO!R69,'PROJETO PERFURAÇÃO'!$B:$B,0))="Pre-Splitting","S"))),"")</f>
        <v>P</v>
      </c>
      <c r="R69" s="14">
        <f t="shared" ref="R69:R89" si="8">R68+1</f>
        <v>187</v>
      </c>
      <c r="S69" s="4" t="str">
        <f>IFERROR(INDEX('LEV R&amp;D'!$D:$D,MATCH(MEDIÇÃO!R69,'LEV R&amp;D'!$A:$A,0))-INDEX('PROJETO PERFURAÇÃO'!$AH:$AH,MATCH(MEDIÇÃO!R69,'PROJETO PERFURAÇÃO'!$B:$B,0)),"")</f>
        <v/>
      </c>
      <c r="T69" s="17">
        <f>IFERROR(INDEX('PROJETO PERFURAÇÃO'!$AN:$AN,MATCH(MEDIÇÃO!R69,'PROJETO PERFURAÇÃO'!$B:$B,0)),"")</f>
        <v>0</v>
      </c>
      <c r="U69" s="3"/>
      <c r="V69" s="3"/>
    </row>
    <row r="70" spans="1:23" ht="45" customHeight="1">
      <c r="B70" s="3" t="str">
        <f>IFERROR(ROUND(INDEX('PROJETO PERFURAÇÃO'!$AB:$AB,MATCH(MEDIÇÃO!D70,'PROJETO PERFURAÇÃO'!$B:$B,0)),1)&amp;"''","")</f>
        <v>5''</v>
      </c>
      <c r="C70" s="3" t="str">
        <f>IFERROR(IF(INDEX('PROJETO PERFURAÇÃO'!$P:$P,MATCH(MEDIÇÃO!D70,'PROJETO PERFURAÇÃO'!$B:$B,0))="Production","P",IF(INDEX('PROJETO PERFURAÇÃO'!$P:$P,MATCH(MEDIÇÃO!D70,'PROJETO PERFURAÇÃO'!$B:$B,0))="Buffer","B",IF(INDEX('PROJETO PERFURAÇÃO'!$P:$P,MATCH(MEDIÇÃO!D70,'PROJETO PERFURAÇÃO'!$B:$B,0))="Pre-Splitting","S"))),"")</f>
        <v>P</v>
      </c>
      <c r="D70" s="14">
        <f t="shared" si="6"/>
        <v>142</v>
      </c>
      <c r="E70" s="4" t="str">
        <f>IFERROR(INDEX('LEV R&amp;D'!$D:$D,MATCH(MEDIÇÃO!D70,'LEV R&amp;D'!$A:$A,0))-INDEX('PROJETO PERFURAÇÃO'!$AH:$AH,MATCH(MEDIÇÃO!D70,'PROJETO PERFURAÇÃO'!$B:$B,0)),"")</f>
        <v/>
      </c>
      <c r="F70" s="17">
        <f>IFERROR(INDEX('PROJETO PERFURAÇÃO'!$AN:$AN,MATCH(MEDIÇÃO!D70,'PROJETO PERFURAÇÃO'!$B:$B,0)),"")</f>
        <v>0</v>
      </c>
      <c r="G70" s="3"/>
      <c r="H70" s="3"/>
      <c r="I70" s="3" t="str">
        <f>IFERROR(ROUND(INDEX('PROJETO PERFURAÇÃO'!$AB:$AB,MATCH(MEDIÇÃO!K70,'PROJETO PERFURAÇÃO'!$B:$B,0)),1)&amp;"''","")</f>
        <v>5''</v>
      </c>
      <c r="J70" s="3" t="str">
        <f>IFERROR(IF(INDEX('PROJETO PERFURAÇÃO'!$P:$P,MATCH(MEDIÇÃO!K70,'PROJETO PERFURAÇÃO'!$B:$B,0))="Production","P",IF(INDEX('PROJETO PERFURAÇÃO'!$P:$P,MATCH(MEDIÇÃO!K70,'PROJETO PERFURAÇÃO'!$B:$B,0))="Buffer","B",IF(INDEX('PROJETO PERFURAÇÃO'!$P:$P,MATCH(MEDIÇÃO!K70,'PROJETO PERFURAÇÃO'!$B:$B,0))="Pre-Splitting","S"))),"")</f>
        <v>P</v>
      </c>
      <c r="K70" s="14">
        <f t="shared" si="7"/>
        <v>165</v>
      </c>
      <c r="L70" s="4" t="str">
        <f>IFERROR(INDEX('LEV R&amp;D'!$D:$D,MATCH(MEDIÇÃO!K70,'LEV R&amp;D'!$A:$A,0))-INDEX('PROJETO PERFURAÇÃO'!$AH:$AH,MATCH(MEDIÇÃO!K70,'PROJETO PERFURAÇÃO'!$B:$B,0)),"")</f>
        <v/>
      </c>
      <c r="M70" s="17">
        <f>IFERROR(INDEX('PROJETO PERFURAÇÃO'!$AN:$AN,MATCH(MEDIÇÃO!K70,'PROJETO PERFURAÇÃO'!$B:$B,0)),"")</f>
        <v>0</v>
      </c>
      <c r="N70" s="3"/>
      <c r="O70" s="3"/>
      <c r="P70" s="3" t="str">
        <f>IFERROR(ROUND(INDEX('PROJETO PERFURAÇÃO'!$AB:$AB,MATCH(MEDIÇÃO!R70,'PROJETO PERFURAÇÃO'!$B:$B,0)),1)&amp;"''","")</f>
        <v>5''</v>
      </c>
      <c r="Q70" s="3" t="str">
        <f>IFERROR(IF(INDEX('PROJETO PERFURAÇÃO'!$P:$P,MATCH(MEDIÇÃO!R70,'PROJETO PERFURAÇÃO'!$B:$B,0))="Production","P",IF(INDEX('PROJETO PERFURAÇÃO'!$P:$P,MATCH(MEDIÇÃO!R70,'PROJETO PERFURAÇÃO'!$B:$B,0))="Buffer","B",IF(INDEX('PROJETO PERFURAÇÃO'!$P:$P,MATCH(MEDIÇÃO!R70,'PROJETO PERFURAÇÃO'!$B:$B,0))="Pre-Splitting","S"))),"")</f>
        <v>P</v>
      </c>
      <c r="R70" s="14">
        <f t="shared" si="8"/>
        <v>188</v>
      </c>
      <c r="S70" s="4" t="str">
        <f>IFERROR(INDEX('LEV R&amp;D'!$D:$D,MATCH(MEDIÇÃO!R70,'LEV R&amp;D'!$A:$A,0))-INDEX('PROJETO PERFURAÇÃO'!$AH:$AH,MATCH(MEDIÇÃO!R70,'PROJETO PERFURAÇÃO'!$B:$B,0)),"")</f>
        <v/>
      </c>
      <c r="T70" s="17">
        <f>IFERROR(INDEX('PROJETO PERFURAÇÃO'!$AN:$AN,MATCH(MEDIÇÃO!R70,'PROJETO PERFURAÇÃO'!$B:$B,0)),"")</f>
        <v>0</v>
      </c>
      <c r="U70" s="3"/>
      <c r="V70" s="3"/>
    </row>
    <row r="71" spans="1:23" ht="45" customHeight="1">
      <c r="B71" s="3" t="str">
        <f>IFERROR(ROUND(INDEX('PROJETO PERFURAÇÃO'!$AB:$AB,MATCH(MEDIÇÃO!D71,'PROJETO PERFURAÇÃO'!$B:$B,0)),1)&amp;"''","")</f>
        <v>5''</v>
      </c>
      <c r="C71" s="3" t="str">
        <f>IFERROR(IF(INDEX('PROJETO PERFURAÇÃO'!$P:$P,MATCH(MEDIÇÃO!D71,'PROJETO PERFURAÇÃO'!$B:$B,0))="Production","P",IF(INDEX('PROJETO PERFURAÇÃO'!$P:$P,MATCH(MEDIÇÃO!D71,'PROJETO PERFURAÇÃO'!$B:$B,0))="Buffer","B",IF(INDEX('PROJETO PERFURAÇÃO'!$P:$P,MATCH(MEDIÇÃO!D71,'PROJETO PERFURAÇÃO'!$B:$B,0))="Pre-Splitting","S"))),"")</f>
        <v>P</v>
      </c>
      <c r="D71" s="14">
        <f t="shared" si="6"/>
        <v>143</v>
      </c>
      <c r="E71" s="4" t="str">
        <f>IFERROR(INDEX('LEV R&amp;D'!$D:$D,MATCH(MEDIÇÃO!D71,'LEV R&amp;D'!$A:$A,0))-INDEX('PROJETO PERFURAÇÃO'!$AH:$AH,MATCH(MEDIÇÃO!D71,'PROJETO PERFURAÇÃO'!$B:$B,0)),"")</f>
        <v/>
      </c>
      <c r="F71" s="17">
        <f>IFERROR(INDEX('PROJETO PERFURAÇÃO'!$AN:$AN,MATCH(MEDIÇÃO!D71,'PROJETO PERFURAÇÃO'!$B:$B,0)),"")</f>
        <v>0</v>
      </c>
      <c r="G71" s="3"/>
      <c r="H71" s="3"/>
      <c r="I71" s="3" t="str">
        <f>IFERROR(ROUND(INDEX('PROJETO PERFURAÇÃO'!$AB:$AB,MATCH(MEDIÇÃO!K71,'PROJETO PERFURAÇÃO'!$B:$B,0)),1)&amp;"''","")</f>
        <v>5''</v>
      </c>
      <c r="J71" s="3" t="str">
        <f>IFERROR(IF(INDEX('PROJETO PERFURAÇÃO'!$P:$P,MATCH(MEDIÇÃO!K71,'PROJETO PERFURAÇÃO'!$B:$B,0))="Production","P",IF(INDEX('PROJETO PERFURAÇÃO'!$P:$P,MATCH(MEDIÇÃO!K71,'PROJETO PERFURAÇÃO'!$B:$B,0))="Buffer","B",IF(INDEX('PROJETO PERFURAÇÃO'!$P:$P,MATCH(MEDIÇÃO!K71,'PROJETO PERFURAÇÃO'!$B:$B,0))="Pre-Splitting","S"))),"")</f>
        <v>P</v>
      </c>
      <c r="K71" s="14">
        <f t="shared" si="7"/>
        <v>166</v>
      </c>
      <c r="L71" s="4" t="str">
        <f>IFERROR(INDEX('LEV R&amp;D'!$D:$D,MATCH(MEDIÇÃO!K71,'LEV R&amp;D'!$A:$A,0))-INDEX('PROJETO PERFURAÇÃO'!$AH:$AH,MATCH(MEDIÇÃO!K71,'PROJETO PERFURAÇÃO'!$B:$B,0)),"")</f>
        <v/>
      </c>
      <c r="M71" s="17">
        <f>IFERROR(INDEX('PROJETO PERFURAÇÃO'!$AN:$AN,MATCH(MEDIÇÃO!K71,'PROJETO PERFURAÇÃO'!$B:$B,0)),"")</f>
        <v>0</v>
      </c>
      <c r="N71" s="3"/>
      <c r="O71" s="3"/>
      <c r="P71" s="3" t="str">
        <f>IFERROR(ROUND(INDEX('PROJETO PERFURAÇÃO'!$AB:$AB,MATCH(MEDIÇÃO!R71,'PROJETO PERFURAÇÃO'!$B:$B,0)),1)&amp;"''","")</f>
        <v>5''</v>
      </c>
      <c r="Q71" s="3" t="str">
        <f>IFERROR(IF(INDEX('PROJETO PERFURAÇÃO'!$P:$P,MATCH(MEDIÇÃO!R71,'PROJETO PERFURAÇÃO'!$B:$B,0))="Production","P",IF(INDEX('PROJETO PERFURAÇÃO'!$P:$P,MATCH(MEDIÇÃO!R71,'PROJETO PERFURAÇÃO'!$B:$B,0))="Buffer","B",IF(INDEX('PROJETO PERFURAÇÃO'!$P:$P,MATCH(MEDIÇÃO!R71,'PROJETO PERFURAÇÃO'!$B:$B,0))="Pre-Splitting","S"))),"")</f>
        <v>P</v>
      </c>
      <c r="R71" s="14">
        <f t="shared" si="8"/>
        <v>189</v>
      </c>
      <c r="S71" s="4" t="str">
        <f>IFERROR(INDEX('LEV R&amp;D'!$D:$D,MATCH(MEDIÇÃO!R71,'LEV R&amp;D'!$A:$A,0))-INDEX('PROJETO PERFURAÇÃO'!$AH:$AH,MATCH(MEDIÇÃO!R71,'PROJETO PERFURAÇÃO'!$B:$B,0)),"")</f>
        <v/>
      </c>
      <c r="T71" s="17">
        <f>IFERROR(INDEX('PROJETO PERFURAÇÃO'!$AN:$AN,MATCH(MEDIÇÃO!R71,'PROJETO PERFURAÇÃO'!$B:$B,0)),"")</f>
        <v>0</v>
      </c>
      <c r="U71" s="3"/>
      <c r="V71" s="3"/>
    </row>
    <row r="72" spans="1:23" ht="45" customHeight="1">
      <c r="B72" s="3" t="str">
        <f>IFERROR(ROUND(INDEX('PROJETO PERFURAÇÃO'!$AB:$AB,MATCH(MEDIÇÃO!D72,'PROJETO PERFURAÇÃO'!$B:$B,0)),1)&amp;"''","")</f>
        <v>5''</v>
      </c>
      <c r="C72" s="3" t="str">
        <f>IFERROR(IF(INDEX('PROJETO PERFURAÇÃO'!$P:$P,MATCH(MEDIÇÃO!D72,'PROJETO PERFURAÇÃO'!$B:$B,0))="Production","P",IF(INDEX('PROJETO PERFURAÇÃO'!$P:$P,MATCH(MEDIÇÃO!D72,'PROJETO PERFURAÇÃO'!$B:$B,0))="Buffer","B",IF(INDEX('PROJETO PERFURAÇÃO'!$P:$P,MATCH(MEDIÇÃO!D72,'PROJETO PERFURAÇÃO'!$B:$B,0))="Pre-Splitting","S"))),"")</f>
        <v>P</v>
      </c>
      <c r="D72" s="14">
        <f t="shared" si="6"/>
        <v>144</v>
      </c>
      <c r="E72" s="4" t="str">
        <f>IFERROR(INDEX('LEV R&amp;D'!$D:$D,MATCH(MEDIÇÃO!D72,'LEV R&amp;D'!$A:$A,0))-INDEX('PROJETO PERFURAÇÃO'!$AH:$AH,MATCH(MEDIÇÃO!D72,'PROJETO PERFURAÇÃO'!$B:$B,0)),"")</f>
        <v/>
      </c>
      <c r="F72" s="17">
        <f>IFERROR(INDEX('PROJETO PERFURAÇÃO'!$AN:$AN,MATCH(MEDIÇÃO!D72,'PROJETO PERFURAÇÃO'!$B:$B,0)),"")</f>
        <v>0</v>
      </c>
      <c r="G72" s="3"/>
      <c r="H72" s="3"/>
      <c r="I72" s="3" t="str">
        <f>IFERROR(ROUND(INDEX('PROJETO PERFURAÇÃO'!$AB:$AB,MATCH(MEDIÇÃO!K72,'PROJETO PERFURAÇÃO'!$B:$B,0)),1)&amp;"''","")</f>
        <v>5''</v>
      </c>
      <c r="J72" s="3" t="str">
        <f>IFERROR(IF(INDEX('PROJETO PERFURAÇÃO'!$P:$P,MATCH(MEDIÇÃO!K72,'PROJETO PERFURAÇÃO'!$B:$B,0))="Production","P",IF(INDEX('PROJETO PERFURAÇÃO'!$P:$P,MATCH(MEDIÇÃO!K72,'PROJETO PERFURAÇÃO'!$B:$B,0))="Buffer","B",IF(INDEX('PROJETO PERFURAÇÃO'!$P:$P,MATCH(MEDIÇÃO!K72,'PROJETO PERFURAÇÃO'!$B:$B,0))="Pre-Splitting","S"))),"")</f>
        <v>P</v>
      </c>
      <c r="K72" s="14">
        <f t="shared" si="7"/>
        <v>167</v>
      </c>
      <c r="L72" s="4" t="str">
        <f>IFERROR(INDEX('LEV R&amp;D'!$D:$D,MATCH(MEDIÇÃO!K72,'LEV R&amp;D'!$A:$A,0))-INDEX('PROJETO PERFURAÇÃO'!$AH:$AH,MATCH(MEDIÇÃO!K72,'PROJETO PERFURAÇÃO'!$B:$B,0)),"")</f>
        <v/>
      </c>
      <c r="M72" s="17">
        <f>IFERROR(INDEX('PROJETO PERFURAÇÃO'!$AN:$AN,MATCH(MEDIÇÃO!K72,'PROJETO PERFURAÇÃO'!$B:$B,0)),"")</f>
        <v>0</v>
      </c>
      <c r="N72" s="3"/>
      <c r="O72" s="3"/>
      <c r="P72" s="3" t="str">
        <f>IFERROR(ROUND(INDEX('PROJETO PERFURAÇÃO'!$AB:$AB,MATCH(MEDIÇÃO!R72,'PROJETO PERFURAÇÃO'!$B:$B,0)),1)&amp;"''","")</f>
        <v>5''</v>
      </c>
      <c r="Q72" s="3" t="str">
        <f>IFERROR(IF(INDEX('PROJETO PERFURAÇÃO'!$P:$P,MATCH(MEDIÇÃO!R72,'PROJETO PERFURAÇÃO'!$B:$B,0))="Production","P",IF(INDEX('PROJETO PERFURAÇÃO'!$P:$P,MATCH(MEDIÇÃO!R72,'PROJETO PERFURAÇÃO'!$B:$B,0))="Buffer","B",IF(INDEX('PROJETO PERFURAÇÃO'!$P:$P,MATCH(MEDIÇÃO!R72,'PROJETO PERFURAÇÃO'!$B:$B,0))="Pre-Splitting","S"))),"")</f>
        <v>P</v>
      </c>
      <c r="R72" s="14">
        <f t="shared" si="8"/>
        <v>190</v>
      </c>
      <c r="S72" s="4" t="str">
        <f>IFERROR(INDEX('LEV R&amp;D'!$D:$D,MATCH(MEDIÇÃO!R72,'LEV R&amp;D'!$A:$A,0))-INDEX('PROJETO PERFURAÇÃO'!$AH:$AH,MATCH(MEDIÇÃO!R72,'PROJETO PERFURAÇÃO'!$B:$B,0)),"")</f>
        <v/>
      </c>
      <c r="T72" s="17">
        <f>IFERROR(INDEX('PROJETO PERFURAÇÃO'!$AN:$AN,MATCH(MEDIÇÃO!R72,'PROJETO PERFURAÇÃO'!$B:$B,0)),"")</f>
        <v>0</v>
      </c>
      <c r="U72" s="3"/>
      <c r="V72" s="3"/>
    </row>
    <row r="73" spans="1:23" ht="45" customHeight="1">
      <c r="B73" s="3" t="str">
        <f>IFERROR(ROUND(INDEX('PROJETO PERFURAÇÃO'!$AB:$AB,MATCH(MEDIÇÃO!D73,'PROJETO PERFURAÇÃO'!$B:$B,0)),1)&amp;"''","")</f>
        <v>5''</v>
      </c>
      <c r="C73" s="3" t="str">
        <f>IFERROR(IF(INDEX('PROJETO PERFURAÇÃO'!$P:$P,MATCH(MEDIÇÃO!D73,'PROJETO PERFURAÇÃO'!$B:$B,0))="Production","P",IF(INDEX('PROJETO PERFURAÇÃO'!$P:$P,MATCH(MEDIÇÃO!D73,'PROJETO PERFURAÇÃO'!$B:$B,0))="Buffer","B",IF(INDEX('PROJETO PERFURAÇÃO'!$P:$P,MATCH(MEDIÇÃO!D73,'PROJETO PERFURAÇÃO'!$B:$B,0))="Pre-Splitting","S"))),"")</f>
        <v>P</v>
      </c>
      <c r="D73" s="14">
        <f t="shared" si="6"/>
        <v>145</v>
      </c>
      <c r="E73" s="4" t="str">
        <f>IFERROR(INDEX('LEV R&amp;D'!$D:$D,MATCH(MEDIÇÃO!D73,'LEV R&amp;D'!$A:$A,0))-INDEX('PROJETO PERFURAÇÃO'!$AH:$AH,MATCH(MEDIÇÃO!D73,'PROJETO PERFURAÇÃO'!$B:$B,0)),"")</f>
        <v/>
      </c>
      <c r="F73" s="17">
        <f>IFERROR(INDEX('PROJETO PERFURAÇÃO'!$AN:$AN,MATCH(MEDIÇÃO!D73,'PROJETO PERFURAÇÃO'!$B:$B,0)),"")</f>
        <v>0</v>
      </c>
      <c r="G73" s="3"/>
      <c r="H73" s="3"/>
      <c r="I73" s="3" t="str">
        <f>IFERROR(ROUND(INDEX('PROJETO PERFURAÇÃO'!$AB:$AB,MATCH(MEDIÇÃO!K73,'PROJETO PERFURAÇÃO'!$B:$B,0)),1)&amp;"''","")</f>
        <v>5''</v>
      </c>
      <c r="J73" s="3" t="str">
        <f>IFERROR(IF(INDEX('PROJETO PERFURAÇÃO'!$P:$P,MATCH(MEDIÇÃO!K73,'PROJETO PERFURAÇÃO'!$B:$B,0))="Production","P",IF(INDEX('PROJETO PERFURAÇÃO'!$P:$P,MATCH(MEDIÇÃO!K73,'PROJETO PERFURAÇÃO'!$B:$B,0))="Buffer","B",IF(INDEX('PROJETO PERFURAÇÃO'!$P:$P,MATCH(MEDIÇÃO!K73,'PROJETO PERFURAÇÃO'!$B:$B,0))="Pre-Splitting","S"))),"")</f>
        <v>P</v>
      </c>
      <c r="K73" s="14">
        <f t="shared" si="7"/>
        <v>168</v>
      </c>
      <c r="L73" s="4" t="str">
        <f>IFERROR(INDEX('LEV R&amp;D'!$D:$D,MATCH(MEDIÇÃO!K73,'LEV R&amp;D'!$A:$A,0))-INDEX('PROJETO PERFURAÇÃO'!$AH:$AH,MATCH(MEDIÇÃO!K73,'PROJETO PERFURAÇÃO'!$B:$B,0)),"")</f>
        <v/>
      </c>
      <c r="M73" s="17">
        <f>IFERROR(INDEX('PROJETO PERFURAÇÃO'!$AN:$AN,MATCH(MEDIÇÃO!K73,'PROJETO PERFURAÇÃO'!$B:$B,0)),"")</f>
        <v>0</v>
      </c>
      <c r="N73" s="3"/>
      <c r="O73" s="3"/>
      <c r="P73" s="3" t="str">
        <f>IFERROR(ROUND(INDEX('PROJETO PERFURAÇÃO'!$AB:$AB,MATCH(MEDIÇÃO!R73,'PROJETO PERFURAÇÃO'!$B:$B,0)),1)&amp;"''","")</f>
        <v>5''</v>
      </c>
      <c r="Q73" s="3" t="str">
        <f>IFERROR(IF(INDEX('PROJETO PERFURAÇÃO'!$P:$P,MATCH(MEDIÇÃO!R73,'PROJETO PERFURAÇÃO'!$B:$B,0))="Production","P",IF(INDEX('PROJETO PERFURAÇÃO'!$P:$P,MATCH(MEDIÇÃO!R73,'PROJETO PERFURAÇÃO'!$B:$B,0))="Buffer","B",IF(INDEX('PROJETO PERFURAÇÃO'!$P:$P,MATCH(MEDIÇÃO!R73,'PROJETO PERFURAÇÃO'!$B:$B,0))="Pre-Splitting","S"))),"")</f>
        <v>P</v>
      </c>
      <c r="R73" s="14">
        <f t="shared" si="8"/>
        <v>191</v>
      </c>
      <c r="S73" s="4" t="str">
        <f>IFERROR(INDEX('LEV R&amp;D'!$D:$D,MATCH(MEDIÇÃO!R73,'LEV R&amp;D'!$A:$A,0))-INDEX('PROJETO PERFURAÇÃO'!$AH:$AH,MATCH(MEDIÇÃO!R73,'PROJETO PERFURAÇÃO'!$B:$B,0)),"")</f>
        <v/>
      </c>
      <c r="T73" s="17">
        <f>IFERROR(INDEX('PROJETO PERFURAÇÃO'!$AN:$AN,MATCH(MEDIÇÃO!R73,'PROJETO PERFURAÇÃO'!$B:$B,0)),"")</f>
        <v>0</v>
      </c>
      <c r="U73" s="3"/>
      <c r="V73" s="3"/>
    </row>
    <row r="74" spans="1:23" ht="45" customHeight="1">
      <c r="B74" s="3" t="str">
        <f>IFERROR(ROUND(INDEX('PROJETO PERFURAÇÃO'!$AB:$AB,MATCH(MEDIÇÃO!D74,'PROJETO PERFURAÇÃO'!$B:$B,0)),1)&amp;"''","")</f>
        <v>5''</v>
      </c>
      <c r="C74" s="3" t="str">
        <f>IFERROR(IF(INDEX('PROJETO PERFURAÇÃO'!$P:$P,MATCH(MEDIÇÃO!D74,'PROJETO PERFURAÇÃO'!$B:$B,0))="Production","P",IF(INDEX('PROJETO PERFURAÇÃO'!$P:$P,MATCH(MEDIÇÃO!D74,'PROJETO PERFURAÇÃO'!$B:$B,0))="Buffer","B",IF(INDEX('PROJETO PERFURAÇÃO'!$P:$P,MATCH(MEDIÇÃO!D74,'PROJETO PERFURAÇÃO'!$B:$B,0))="Pre-Splitting","S"))),"")</f>
        <v>P</v>
      </c>
      <c r="D74" s="14">
        <f t="shared" si="6"/>
        <v>146</v>
      </c>
      <c r="E74" s="4" t="str">
        <f>IFERROR(INDEX('LEV R&amp;D'!$D:$D,MATCH(MEDIÇÃO!D74,'LEV R&amp;D'!$A:$A,0))-INDEX('PROJETO PERFURAÇÃO'!$AH:$AH,MATCH(MEDIÇÃO!D74,'PROJETO PERFURAÇÃO'!$B:$B,0)),"")</f>
        <v/>
      </c>
      <c r="F74" s="17">
        <f>IFERROR(INDEX('PROJETO PERFURAÇÃO'!$AN:$AN,MATCH(MEDIÇÃO!D74,'PROJETO PERFURAÇÃO'!$B:$B,0)),"")</f>
        <v>0</v>
      </c>
      <c r="G74" s="3"/>
      <c r="H74" s="3"/>
      <c r="I74" s="3" t="str">
        <f>IFERROR(ROUND(INDEX('PROJETO PERFURAÇÃO'!$AB:$AB,MATCH(MEDIÇÃO!K74,'PROJETO PERFURAÇÃO'!$B:$B,0)),1)&amp;"''","")</f>
        <v>5''</v>
      </c>
      <c r="J74" s="3" t="str">
        <f>IFERROR(IF(INDEX('PROJETO PERFURAÇÃO'!$P:$P,MATCH(MEDIÇÃO!K74,'PROJETO PERFURAÇÃO'!$B:$B,0))="Production","P",IF(INDEX('PROJETO PERFURAÇÃO'!$P:$P,MATCH(MEDIÇÃO!K74,'PROJETO PERFURAÇÃO'!$B:$B,0))="Buffer","B",IF(INDEX('PROJETO PERFURAÇÃO'!$P:$P,MATCH(MEDIÇÃO!K74,'PROJETO PERFURAÇÃO'!$B:$B,0))="Pre-Splitting","S"))),"")</f>
        <v>P</v>
      </c>
      <c r="K74" s="14">
        <f t="shared" si="7"/>
        <v>169</v>
      </c>
      <c r="L74" s="4" t="str">
        <f>IFERROR(INDEX('LEV R&amp;D'!$D:$D,MATCH(MEDIÇÃO!K74,'LEV R&amp;D'!$A:$A,0))-INDEX('PROJETO PERFURAÇÃO'!$AH:$AH,MATCH(MEDIÇÃO!K74,'PROJETO PERFURAÇÃO'!$B:$B,0)),"")</f>
        <v/>
      </c>
      <c r="M74" s="17">
        <f>IFERROR(INDEX('PROJETO PERFURAÇÃO'!$AN:$AN,MATCH(MEDIÇÃO!K74,'PROJETO PERFURAÇÃO'!$B:$B,0)),"")</f>
        <v>0</v>
      </c>
      <c r="N74" s="3"/>
      <c r="O74" s="3"/>
      <c r="P74" s="3" t="str">
        <f>IFERROR(ROUND(INDEX('PROJETO PERFURAÇÃO'!$AB:$AB,MATCH(MEDIÇÃO!R74,'PROJETO PERFURAÇÃO'!$B:$B,0)),1)&amp;"''","")</f>
        <v>5''</v>
      </c>
      <c r="Q74" s="3" t="str">
        <f>IFERROR(IF(INDEX('PROJETO PERFURAÇÃO'!$P:$P,MATCH(MEDIÇÃO!R74,'PROJETO PERFURAÇÃO'!$B:$B,0))="Production","P",IF(INDEX('PROJETO PERFURAÇÃO'!$P:$P,MATCH(MEDIÇÃO!R74,'PROJETO PERFURAÇÃO'!$B:$B,0))="Buffer","B",IF(INDEX('PROJETO PERFURAÇÃO'!$P:$P,MATCH(MEDIÇÃO!R74,'PROJETO PERFURAÇÃO'!$B:$B,0))="Pre-Splitting","S"))),"")</f>
        <v>P</v>
      </c>
      <c r="R74" s="14">
        <f t="shared" si="8"/>
        <v>192</v>
      </c>
      <c r="S74" s="4" t="str">
        <f>IFERROR(INDEX('LEV R&amp;D'!$D:$D,MATCH(MEDIÇÃO!R74,'LEV R&amp;D'!$A:$A,0))-INDEX('PROJETO PERFURAÇÃO'!$AH:$AH,MATCH(MEDIÇÃO!R74,'PROJETO PERFURAÇÃO'!$B:$B,0)),"")</f>
        <v/>
      </c>
      <c r="T74" s="17">
        <f>IFERROR(INDEX('PROJETO PERFURAÇÃO'!$AN:$AN,MATCH(MEDIÇÃO!R74,'PROJETO PERFURAÇÃO'!$B:$B,0)),"")</f>
        <v>0</v>
      </c>
      <c r="U74" s="3"/>
      <c r="V74" s="3"/>
    </row>
    <row r="75" spans="1:23" ht="45" customHeight="1">
      <c r="B75" s="3" t="str">
        <f>IFERROR(ROUND(INDEX('PROJETO PERFURAÇÃO'!$AB:$AB,MATCH(MEDIÇÃO!D75,'PROJETO PERFURAÇÃO'!$B:$B,0)),1)&amp;"''","")</f>
        <v>5''</v>
      </c>
      <c r="C75" s="3" t="str">
        <f>IFERROR(IF(INDEX('PROJETO PERFURAÇÃO'!$P:$P,MATCH(MEDIÇÃO!D75,'PROJETO PERFURAÇÃO'!$B:$B,0))="Production","P",IF(INDEX('PROJETO PERFURAÇÃO'!$P:$P,MATCH(MEDIÇÃO!D75,'PROJETO PERFURAÇÃO'!$B:$B,0))="Buffer","B",IF(INDEX('PROJETO PERFURAÇÃO'!$P:$P,MATCH(MEDIÇÃO!D75,'PROJETO PERFURAÇÃO'!$B:$B,0))="Pre-Splitting","S"))),"")</f>
        <v>P</v>
      </c>
      <c r="D75" s="14">
        <f t="shared" si="6"/>
        <v>147</v>
      </c>
      <c r="E75" s="4" t="str">
        <f>IFERROR(INDEX('LEV R&amp;D'!$D:$D,MATCH(MEDIÇÃO!D75,'LEV R&amp;D'!$A:$A,0))-INDEX('PROJETO PERFURAÇÃO'!$AH:$AH,MATCH(MEDIÇÃO!D75,'PROJETO PERFURAÇÃO'!$B:$B,0)),"")</f>
        <v/>
      </c>
      <c r="F75" s="17">
        <f>IFERROR(INDEX('PROJETO PERFURAÇÃO'!$AN:$AN,MATCH(MEDIÇÃO!D75,'PROJETO PERFURAÇÃO'!$B:$B,0)),"")</f>
        <v>0</v>
      </c>
      <c r="G75" s="3"/>
      <c r="H75" s="3"/>
      <c r="I75" s="3" t="str">
        <f>IFERROR(ROUND(INDEX('PROJETO PERFURAÇÃO'!$AB:$AB,MATCH(MEDIÇÃO!K75,'PROJETO PERFURAÇÃO'!$B:$B,0)),1)&amp;"''","")</f>
        <v>5''</v>
      </c>
      <c r="J75" s="3" t="str">
        <f>IFERROR(IF(INDEX('PROJETO PERFURAÇÃO'!$P:$P,MATCH(MEDIÇÃO!K75,'PROJETO PERFURAÇÃO'!$B:$B,0))="Production","P",IF(INDEX('PROJETO PERFURAÇÃO'!$P:$P,MATCH(MEDIÇÃO!K75,'PROJETO PERFURAÇÃO'!$B:$B,0))="Buffer","B",IF(INDEX('PROJETO PERFURAÇÃO'!$P:$P,MATCH(MEDIÇÃO!K75,'PROJETO PERFURAÇÃO'!$B:$B,0))="Pre-Splitting","S"))),"")</f>
        <v>P</v>
      </c>
      <c r="K75" s="14">
        <f t="shared" si="7"/>
        <v>170</v>
      </c>
      <c r="L75" s="4" t="str">
        <f>IFERROR(INDEX('LEV R&amp;D'!$D:$D,MATCH(MEDIÇÃO!K75,'LEV R&amp;D'!$A:$A,0))-INDEX('PROJETO PERFURAÇÃO'!$AH:$AH,MATCH(MEDIÇÃO!K75,'PROJETO PERFURAÇÃO'!$B:$B,0)),"")</f>
        <v/>
      </c>
      <c r="M75" s="17">
        <f>IFERROR(INDEX('PROJETO PERFURAÇÃO'!$AN:$AN,MATCH(MEDIÇÃO!K75,'PROJETO PERFURAÇÃO'!$B:$B,0)),"")</f>
        <v>0</v>
      </c>
      <c r="N75" s="3"/>
      <c r="O75" s="3"/>
      <c r="P75" s="3" t="str">
        <f>IFERROR(ROUND(INDEX('PROJETO PERFURAÇÃO'!$AB:$AB,MATCH(MEDIÇÃO!R75,'PROJETO PERFURAÇÃO'!$B:$B,0)),1)&amp;"''","")</f>
        <v>5''</v>
      </c>
      <c r="Q75" s="3" t="str">
        <f>IFERROR(IF(INDEX('PROJETO PERFURAÇÃO'!$P:$P,MATCH(MEDIÇÃO!R75,'PROJETO PERFURAÇÃO'!$B:$B,0))="Production","P",IF(INDEX('PROJETO PERFURAÇÃO'!$P:$P,MATCH(MEDIÇÃO!R75,'PROJETO PERFURAÇÃO'!$B:$B,0))="Buffer","B",IF(INDEX('PROJETO PERFURAÇÃO'!$P:$P,MATCH(MEDIÇÃO!R75,'PROJETO PERFURAÇÃO'!$B:$B,0))="Pre-Splitting","S"))),"")</f>
        <v>P</v>
      </c>
      <c r="R75" s="14">
        <f t="shared" si="8"/>
        <v>193</v>
      </c>
      <c r="S75" s="4" t="str">
        <f>IFERROR(INDEX('LEV R&amp;D'!$D:$D,MATCH(MEDIÇÃO!R75,'LEV R&amp;D'!$A:$A,0))-INDEX('PROJETO PERFURAÇÃO'!$AH:$AH,MATCH(MEDIÇÃO!R75,'PROJETO PERFURAÇÃO'!$B:$B,0)),"")</f>
        <v/>
      </c>
      <c r="T75" s="17">
        <f>IFERROR(INDEX('PROJETO PERFURAÇÃO'!$AN:$AN,MATCH(MEDIÇÃO!R75,'PROJETO PERFURAÇÃO'!$B:$B,0)),"")</f>
        <v>0</v>
      </c>
      <c r="U75" s="3"/>
      <c r="V75" s="3"/>
    </row>
    <row r="76" spans="1:23" ht="45" customHeight="1">
      <c r="B76" s="3" t="str">
        <f>IFERROR(ROUND(INDEX('PROJETO PERFURAÇÃO'!$AB:$AB,MATCH(MEDIÇÃO!D76,'PROJETO PERFURAÇÃO'!$B:$B,0)),1)&amp;"''","")</f>
        <v>5''</v>
      </c>
      <c r="C76" s="3" t="str">
        <f>IFERROR(IF(INDEX('PROJETO PERFURAÇÃO'!$P:$P,MATCH(MEDIÇÃO!D76,'PROJETO PERFURAÇÃO'!$B:$B,0))="Production","P",IF(INDEX('PROJETO PERFURAÇÃO'!$P:$P,MATCH(MEDIÇÃO!D76,'PROJETO PERFURAÇÃO'!$B:$B,0))="Buffer","B",IF(INDEX('PROJETO PERFURAÇÃO'!$P:$P,MATCH(MEDIÇÃO!D76,'PROJETO PERFURAÇÃO'!$B:$B,0))="Pre-Splitting","S"))),"")</f>
        <v>P</v>
      </c>
      <c r="D76" s="14">
        <f t="shared" si="6"/>
        <v>148</v>
      </c>
      <c r="E76" s="4" t="str">
        <f>IFERROR(INDEX('LEV R&amp;D'!$D:$D,MATCH(MEDIÇÃO!D76,'LEV R&amp;D'!$A:$A,0))-INDEX('PROJETO PERFURAÇÃO'!$AH:$AH,MATCH(MEDIÇÃO!D76,'PROJETO PERFURAÇÃO'!$B:$B,0)),"")</f>
        <v/>
      </c>
      <c r="F76" s="17">
        <f>IFERROR(INDEX('PROJETO PERFURAÇÃO'!$AN:$AN,MATCH(MEDIÇÃO!D76,'PROJETO PERFURAÇÃO'!$B:$B,0)),"")</f>
        <v>0</v>
      </c>
      <c r="G76" s="3"/>
      <c r="H76" s="3"/>
      <c r="I76" s="3" t="str">
        <f>IFERROR(ROUND(INDEX('PROJETO PERFURAÇÃO'!$AB:$AB,MATCH(MEDIÇÃO!K76,'PROJETO PERFURAÇÃO'!$B:$B,0)),1)&amp;"''","")</f>
        <v>5''</v>
      </c>
      <c r="J76" s="3" t="str">
        <f>IFERROR(IF(INDEX('PROJETO PERFURAÇÃO'!$P:$P,MATCH(MEDIÇÃO!K76,'PROJETO PERFURAÇÃO'!$B:$B,0))="Production","P",IF(INDEX('PROJETO PERFURAÇÃO'!$P:$P,MATCH(MEDIÇÃO!K76,'PROJETO PERFURAÇÃO'!$B:$B,0))="Buffer","B",IF(INDEX('PROJETO PERFURAÇÃO'!$P:$P,MATCH(MEDIÇÃO!K76,'PROJETO PERFURAÇÃO'!$B:$B,0))="Pre-Splitting","S"))),"")</f>
        <v>P</v>
      </c>
      <c r="K76" s="14">
        <f t="shared" si="7"/>
        <v>171</v>
      </c>
      <c r="L76" s="4" t="str">
        <f>IFERROR(INDEX('LEV R&amp;D'!$D:$D,MATCH(MEDIÇÃO!K76,'LEV R&amp;D'!$A:$A,0))-INDEX('PROJETO PERFURAÇÃO'!$AH:$AH,MATCH(MEDIÇÃO!K76,'PROJETO PERFURAÇÃO'!$B:$B,0)),"")</f>
        <v/>
      </c>
      <c r="M76" s="17">
        <f>IFERROR(INDEX('PROJETO PERFURAÇÃO'!$AN:$AN,MATCH(MEDIÇÃO!K76,'PROJETO PERFURAÇÃO'!$B:$B,0)),"")</f>
        <v>0</v>
      </c>
      <c r="N76" s="3"/>
      <c r="O76" s="3"/>
      <c r="P76" s="3" t="str">
        <f>IFERROR(ROUND(INDEX('PROJETO PERFURAÇÃO'!$AB:$AB,MATCH(MEDIÇÃO!R76,'PROJETO PERFURAÇÃO'!$B:$B,0)),1)&amp;"''","")</f>
        <v>5''</v>
      </c>
      <c r="Q76" s="3" t="str">
        <f>IFERROR(IF(INDEX('PROJETO PERFURAÇÃO'!$P:$P,MATCH(MEDIÇÃO!R76,'PROJETO PERFURAÇÃO'!$B:$B,0))="Production","P",IF(INDEX('PROJETO PERFURAÇÃO'!$P:$P,MATCH(MEDIÇÃO!R76,'PROJETO PERFURAÇÃO'!$B:$B,0))="Buffer","B",IF(INDEX('PROJETO PERFURAÇÃO'!$P:$P,MATCH(MEDIÇÃO!R76,'PROJETO PERFURAÇÃO'!$B:$B,0))="Pre-Splitting","S"))),"")</f>
        <v>P</v>
      </c>
      <c r="R76" s="14">
        <f t="shared" si="8"/>
        <v>194</v>
      </c>
      <c r="S76" s="4" t="str">
        <f>IFERROR(INDEX('LEV R&amp;D'!$D:$D,MATCH(MEDIÇÃO!R76,'LEV R&amp;D'!$A:$A,0))-INDEX('PROJETO PERFURAÇÃO'!$AH:$AH,MATCH(MEDIÇÃO!R76,'PROJETO PERFURAÇÃO'!$B:$B,0)),"")</f>
        <v/>
      </c>
      <c r="T76" s="17">
        <f>IFERROR(INDEX('PROJETO PERFURAÇÃO'!$AN:$AN,MATCH(MEDIÇÃO!R76,'PROJETO PERFURAÇÃO'!$B:$B,0)),"")</f>
        <v>0</v>
      </c>
      <c r="U76" s="3"/>
      <c r="V76" s="3"/>
    </row>
    <row r="77" spans="1:23" ht="45" customHeight="1">
      <c r="B77" s="3" t="str">
        <f>IFERROR(ROUND(INDEX('PROJETO PERFURAÇÃO'!$AB:$AB,MATCH(MEDIÇÃO!D77,'PROJETO PERFURAÇÃO'!$B:$B,0)),1)&amp;"''","")</f>
        <v>5''</v>
      </c>
      <c r="C77" s="3" t="str">
        <f>IFERROR(IF(INDEX('PROJETO PERFURAÇÃO'!$P:$P,MATCH(MEDIÇÃO!D77,'PROJETO PERFURAÇÃO'!$B:$B,0))="Production","P",IF(INDEX('PROJETO PERFURAÇÃO'!$P:$P,MATCH(MEDIÇÃO!D77,'PROJETO PERFURAÇÃO'!$B:$B,0))="Buffer","B",IF(INDEX('PROJETO PERFURAÇÃO'!$P:$P,MATCH(MEDIÇÃO!D77,'PROJETO PERFURAÇÃO'!$B:$B,0))="Pre-Splitting","S"))),"")</f>
        <v>P</v>
      </c>
      <c r="D77" s="14">
        <f t="shared" si="6"/>
        <v>149</v>
      </c>
      <c r="E77" s="4" t="str">
        <f>IFERROR(INDEX('LEV R&amp;D'!$D:$D,MATCH(MEDIÇÃO!D77,'LEV R&amp;D'!$A:$A,0))-INDEX('PROJETO PERFURAÇÃO'!$AH:$AH,MATCH(MEDIÇÃO!D77,'PROJETO PERFURAÇÃO'!$B:$B,0)),"")</f>
        <v/>
      </c>
      <c r="F77" s="17">
        <f>IFERROR(INDEX('PROJETO PERFURAÇÃO'!$AN:$AN,MATCH(MEDIÇÃO!D77,'PROJETO PERFURAÇÃO'!$B:$B,0)),"")</f>
        <v>0</v>
      </c>
      <c r="G77" s="3"/>
      <c r="H77" s="3"/>
      <c r="I77" s="3" t="str">
        <f>IFERROR(ROUND(INDEX('PROJETO PERFURAÇÃO'!$AB:$AB,MATCH(MEDIÇÃO!K77,'PROJETO PERFURAÇÃO'!$B:$B,0)),1)&amp;"''","")</f>
        <v>5''</v>
      </c>
      <c r="J77" s="3" t="str">
        <f>IFERROR(IF(INDEX('PROJETO PERFURAÇÃO'!$P:$P,MATCH(MEDIÇÃO!K77,'PROJETO PERFURAÇÃO'!$B:$B,0))="Production","P",IF(INDEX('PROJETO PERFURAÇÃO'!$P:$P,MATCH(MEDIÇÃO!K77,'PROJETO PERFURAÇÃO'!$B:$B,0))="Buffer","B",IF(INDEX('PROJETO PERFURAÇÃO'!$P:$P,MATCH(MEDIÇÃO!K77,'PROJETO PERFURAÇÃO'!$B:$B,0))="Pre-Splitting","S"))),"")</f>
        <v>P</v>
      </c>
      <c r="K77" s="14">
        <f t="shared" si="7"/>
        <v>172</v>
      </c>
      <c r="L77" s="4" t="str">
        <f>IFERROR(INDEX('LEV R&amp;D'!$D:$D,MATCH(MEDIÇÃO!K77,'LEV R&amp;D'!$A:$A,0))-INDEX('PROJETO PERFURAÇÃO'!$AH:$AH,MATCH(MEDIÇÃO!K77,'PROJETO PERFURAÇÃO'!$B:$B,0)),"")</f>
        <v/>
      </c>
      <c r="M77" s="17">
        <f>IFERROR(INDEX('PROJETO PERFURAÇÃO'!$AN:$AN,MATCH(MEDIÇÃO!K77,'PROJETO PERFURAÇÃO'!$B:$B,0)),"")</f>
        <v>0</v>
      </c>
      <c r="N77" s="3"/>
      <c r="O77" s="3"/>
      <c r="P77" s="3" t="str">
        <f>IFERROR(ROUND(INDEX('PROJETO PERFURAÇÃO'!$AB:$AB,MATCH(MEDIÇÃO!R77,'PROJETO PERFURAÇÃO'!$B:$B,0)),1)&amp;"''","")</f>
        <v>5''</v>
      </c>
      <c r="Q77" s="3" t="str">
        <f>IFERROR(IF(INDEX('PROJETO PERFURAÇÃO'!$P:$P,MATCH(MEDIÇÃO!R77,'PROJETO PERFURAÇÃO'!$B:$B,0))="Production","P",IF(INDEX('PROJETO PERFURAÇÃO'!$P:$P,MATCH(MEDIÇÃO!R77,'PROJETO PERFURAÇÃO'!$B:$B,0))="Buffer","B",IF(INDEX('PROJETO PERFURAÇÃO'!$P:$P,MATCH(MEDIÇÃO!R77,'PROJETO PERFURAÇÃO'!$B:$B,0))="Pre-Splitting","S"))),"")</f>
        <v>P</v>
      </c>
      <c r="R77" s="14">
        <f t="shared" si="8"/>
        <v>195</v>
      </c>
      <c r="S77" s="4" t="str">
        <f>IFERROR(INDEX('LEV R&amp;D'!$D:$D,MATCH(MEDIÇÃO!R77,'LEV R&amp;D'!$A:$A,0))-INDEX('PROJETO PERFURAÇÃO'!$AH:$AH,MATCH(MEDIÇÃO!R77,'PROJETO PERFURAÇÃO'!$B:$B,0)),"")</f>
        <v/>
      </c>
      <c r="T77" s="17">
        <f>IFERROR(INDEX('PROJETO PERFURAÇÃO'!$AN:$AN,MATCH(MEDIÇÃO!R77,'PROJETO PERFURAÇÃO'!$B:$B,0)),"")</f>
        <v>0</v>
      </c>
      <c r="U77" s="3"/>
      <c r="V77" s="3"/>
    </row>
    <row r="78" spans="1:23" ht="45" customHeight="1">
      <c r="B78" s="3" t="str">
        <f>IFERROR(ROUND(INDEX('PROJETO PERFURAÇÃO'!$AB:$AB,MATCH(MEDIÇÃO!D78,'PROJETO PERFURAÇÃO'!$B:$B,0)),1)&amp;"''","")</f>
        <v>5''</v>
      </c>
      <c r="C78" s="3" t="str">
        <f>IFERROR(IF(INDEX('PROJETO PERFURAÇÃO'!$P:$P,MATCH(MEDIÇÃO!D78,'PROJETO PERFURAÇÃO'!$B:$B,0))="Production","P",IF(INDEX('PROJETO PERFURAÇÃO'!$P:$P,MATCH(MEDIÇÃO!D78,'PROJETO PERFURAÇÃO'!$B:$B,0))="Buffer","B",IF(INDEX('PROJETO PERFURAÇÃO'!$P:$P,MATCH(MEDIÇÃO!D78,'PROJETO PERFURAÇÃO'!$B:$B,0))="Pre-Splitting","S"))),"")</f>
        <v>P</v>
      </c>
      <c r="D78" s="14">
        <f t="shared" si="6"/>
        <v>150</v>
      </c>
      <c r="E78" s="4" t="str">
        <f>IFERROR(INDEX('LEV R&amp;D'!$D:$D,MATCH(MEDIÇÃO!D78,'LEV R&amp;D'!$A:$A,0))-INDEX('PROJETO PERFURAÇÃO'!$AH:$AH,MATCH(MEDIÇÃO!D78,'PROJETO PERFURAÇÃO'!$B:$B,0)),"")</f>
        <v/>
      </c>
      <c r="F78" s="17">
        <f>IFERROR(INDEX('PROJETO PERFURAÇÃO'!$AN:$AN,MATCH(MEDIÇÃO!D78,'PROJETO PERFURAÇÃO'!$B:$B,0)),"")</f>
        <v>0</v>
      </c>
      <c r="G78" s="3"/>
      <c r="H78" s="3"/>
      <c r="I78" s="3" t="str">
        <f>IFERROR(ROUND(INDEX('PROJETO PERFURAÇÃO'!$AB:$AB,MATCH(MEDIÇÃO!K78,'PROJETO PERFURAÇÃO'!$B:$B,0)),1)&amp;"''","")</f>
        <v>5''</v>
      </c>
      <c r="J78" s="3" t="str">
        <f>IFERROR(IF(INDEX('PROJETO PERFURAÇÃO'!$P:$P,MATCH(MEDIÇÃO!K78,'PROJETO PERFURAÇÃO'!$B:$B,0))="Production","P",IF(INDEX('PROJETO PERFURAÇÃO'!$P:$P,MATCH(MEDIÇÃO!K78,'PROJETO PERFURAÇÃO'!$B:$B,0))="Buffer","B",IF(INDEX('PROJETO PERFURAÇÃO'!$P:$P,MATCH(MEDIÇÃO!K78,'PROJETO PERFURAÇÃO'!$B:$B,0))="Pre-Splitting","S"))),"")</f>
        <v>P</v>
      </c>
      <c r="K78" s="14">
        <f t="shared" si="7"/>
        <v>173</v>
      </c>
      <c r="L78" s="4" t="str">
        <f>IFERROR(INDEX('LEV R&amp;D'!$D:$D,MATCH(MEDIÇÃO!K78,'LEV R&amp;D'!$A:$A,0))-INDEX('PROJETO PERFURAÇÃO'!$AH:$AH,MATCH(MEDIÇÃO!K78,'PROJETO PERFURAÇÃO'!$B:$B,0)),"")</f>
        <v/>
      </c>
      <c r="M78" s="17">
        <f>IFERROR(INDEX('PROJETO PERFURAÇÃO'!$AN:$AN,MATCH(MEDIÇÃO!K78,'PROJETO PERFURAÇÃO'!$B:$B,0)),"")</f>
        <v>0</v>
      </c>
      <c r="N78" s="3"/>
      <c r="O78" s="3"/>
      <c r="P78" s="3" t="str">
        <f>IFERROR(ROUND(INDEX('PROJETO PERFURAÇÃO'!$AB:$AB,MATCH(MEDIÇÃO!R78,'PROJETO PERFURAÇÃO'!$B:$B,0)),1)&amp;"''","")</f>
        <v>5''</v>
      </c>
      <c r="Q78" s="3" t="str">
        <f>IFERROR(IF(INDEX('PROJETO PERFURAÇÃO'!$P:$P,MATCH(MEDIÇÃO!R78,'PROJETO PERFURAÇÃO'!$B:$B,0))="Production","P",IF(INDEX('PROJETO PERFURAÇÃO'!$P:$P,MATCH(MEDIÇÃO!R78,'PROJETO PERFURAÇÃO'!$B:$B,0))="Buffer","B",IF(INDEX('PROJETO PERFURAÇÃO'!$P:$P,MATCH(MEDIÇÃO!R78,'PROJETO PERFURAÇÃO'!$B:$B,0))="Pre-Splitting","S"))),"")</f>
        <v>P</v>
      </c>
      <c r="R78" s="14">
        <f t="shared" si="8"/>
        <v>196</v>
      </c>
      <c r="S78" s="4" t="str">
        <f>IFERROR(INDEX('LEV R&amp;D'!$D:$D,MATCH(MEDIÇÃO!R78,'LEV R&amp;D'!$A:$A,0))-INDEX('PROJETO PERFURAÇÃO'!$AH:$AH,MATCH(MEDIÇÃO!R78,'PROJETO PERFURAÇÃO'!$B:$B,0)),"")</f>
        <v/>
      </c>
      <c r="T78" s="17">
        <f>IFERROR(INDEX('PROJETO PERFURAÇÃO'!$AN:$AN,MATCH(MEDIÇÃO!R78,'PROJETO PERFURAÇÃO'!$B:$B,0)),"")</f>
        <v>0</v>
      </c>
      <c r="U78" s="3"/>
      <c r="V78" s="3"/>
    </row>
    <row r="79" spans="1:23" ht="45" customHeight="1">
      <c r="B79" s="3" t="str">
        <f>IFERROR(ROUND(INDEX('PROJETO PERFURAÇÃO'!$AB:$AB,MATCH(MEDIÇÃO!D79,'PROJETO PERFURAÇÃO'!$B:$B,0)),1)&amp;"''","")</f>
        <v>5''</v>
      </c>
      <c r="C79" s="3" t="str">
        <f>IFERROR(IF(INDEX('PROJETO PERFURAÇÃO'!$P:$P,MATCH(MEDIÇÃO!D79,'PROJETO PERFURAÇÃO'!$B:$B,0))="Production","P",IF(INDEX('PROJETO PERFURAÇÃO'!$P:$P,MATCH(MEDIÇÃO!D79,'PROJETO PERFURAÇÃO'!$B:$B,0))="Buffer","B",IF(INDEX('PROJETO PERFURAÇÃO'!$P:$P,MATCH(MEDIÇÃO!D79,'PROJETO PERFURAÇÃO'!$B:$B,0))="Pre-Splitting","S"))),"")</f>
        <v>P</v>
      </c>
      <c r="D79" s="14">
        <f t="shared" si="6"/>
        <v>151</v>
      </c>
      <c r="E79" s="4" t="str">
        <f>IFERROR(INDEX('LEV R&amp;D'!$D:$D,MATCH(MEDIÇÃO!D79,'LEV R&amp;D'!$A:$A,0))-INDEX('PROJETO PERFURAÇÃO'!$AH:$AH,MATCH(MEDIÇÃO!D79,'PROJETO PERFURAÇÃO'!$B:$B,0)),"")</f>
        <v/>
      </c>
      <c r="F79" s="17">
        <f>IFERROR(INDEX('PROJETO PERFURAÇÃO'!$AN:$AN,MATCH(MEDIÇÃO!D79,'PROJETO PERFURAÇÃO'!$B:$B,0)),"")</f>
        <v>0</v>
      </c>
      <c r="G79" s="3"/>
      <c r="H79" s="3"/>
      <c r="I79" s="3" t="str">
        <f>IFERROR(ROUND(INDEX('PROJETO PERFURAÇÃO'!$AB:$AB,MATCH(MEDIÇÃO!K79,'PROJETO PERFURAÇÃO'!$B:$B,0)),1)&amp;"''","")</f>
        <v>5''</v>
      </c>
      <c r="J79" s="3" t="str">
        <f>IFERROR(IF(INDEX('PROJETO PERFURAÇÃO'!$P:$P,MATCH(MEDIÇÃO!K79,'PROJETO PERFURAÇÃO'!$B:$B,0))="Production","P",IF(INDEX('PROJETO PERFURAÇÃO'!$P:$P,MATCH(MEDIÇÃO!K79,'PROJETO PERFURAÇÃO'!$B:$B,0))="Buffer","B",IF(INDEX('PROJETO PERFURAÇÃO'!$P:$P,MATCH(MEDIÇÃO!K79,'PROJETO PERFURAÇÃO'!$B:$B,0))="Pre-Splitting","S"))),"")</f>
        <v>P</v>
      </c>
      <c r="K79" s="14">
        <f t="shared" si="7"/>
        <v>174</v>
      </c>
      <c r="L79" s="4" t="str">
        <f>IFERROR(INDEX('LEV R&amp;D'!$D:$D,MATCH(MEDIÇÃO!K79,'LEV R&amp;D'!$A:$A,0))-INDEX('PROJETO PERFURAÇÃO'!$AH:$AH,MATCH(MEDIÇÃO!K79,'PROJETO PERFURAÇÃO'!$B:$B,0)),"")</f>
        <v/>
      </c>
      <c r="M79" s="17">
        <f>IFERROR(INDEX('PROJETO PERFURAÇÃO'!$AN:$AN,MATCH(MEDIÇÃO!K79,'PROJETO PERFURAÇÃO'!$B:$B,0)),"")</f>
        <v>0</v>
      </c>
      <c r="N79" s="3"/>
      <c r="O79" s="3"/>
      <c r="P79" s="3" t="str">
        <f>IFERROR(ROUND(INDEX('PROJETO PERFURAÇÃO'!$AB:$AB,MATCH(MEDIÇÃO!R79,'PROJETO PERFURAÇÃO'!$B:$B,0)),1)&amp;"''","")</f>
        <v>5''</v>
      </c>
      <c r="Q79" s="3" t="str">
        <f>IFERROR(IF(INDEX('PROJETO PERFURAÇÃO'!$P:$P,MATCH(MEDIÇÃO!R79,'PROJETO PERFURAÇÃO'!$B:$B,0))="Production","P",IF(INDEX('PROJETO PERFURAÇÃO'!$P:$P,MATCH(MEDIÇÃO!R79,'PROJETO PERFURAÇÃO'!$B:$B,0))="Buffer","B",IF(INDEX('PROJETO PERFURAÇÃO'!$P:$P,MATCH(MEDIÇÃO!R79,'PROJETO PERFURAÇÃO'!$B:$B,0))="Pre-Splitting","S"))),"")</f>
        <v>P</v>
      </c>
      <c r="R79" s="14">
        <f t="shared" si="8"/>
        <v>197</v>
      </c>
      <c r="S79" s="4" t="str">
        <f>IFERROR(INDEX('LEV R&amp;D'!$D:$D,MATCH(MEDIÇÃO!R79,'LEV R&amp;D'!$A:$A,0))-INDEX('PROJETO PERFURAÇÃO'!$AH:$AH,MATCH(MEDIÇÃO!R79,'PROJETO PERFURAÇÃO'!$B:$B,0)),"")</f>
        <v/>
      </c>
      <c r="T79" s="17">
        <f>IFERROR(INDEX('PROJETO PERFURAÇÃO'!$AN:$AN,MATCH(MEDIÇÃO!R79,'PROJETO PERFURAÇÃO'!$B:$B,0)),"")</f>
        <v>0</v>
      </c>
      <c r="U79" s="3"/>
      <c r="V79" s="3"/>
    </row>
    <row r="80" spans="1:23" ht="45" customHeight="1">
      <c r="B80" s="3" t="str">
        <f>IFERROR(ROUND(INDEX('PROJETO PERFURAÇÃO'!$AB:$AB,MATCH(MEDIÇÃO!D80,'PROJETO PERFURAÇÃO'!$B:$B,0)),1)&amp;"''","")</f>
        <v>5''</v>
      </c>
      <c r="C80" s="3" t="str">
        <f>IFERROR(IF(INDEX('PROJETO PERFURAÇÃO'!$P:$P,MATCH(MEDIÇÃO!D80,'PROJETO PERFURAÇÃO'!$B:$B,0))="Production","P",IF(INDEX('PROJETO PERFURAÇÃO'!$P:$P,MATCH(MEDIÇÃO!D80,'PROJETO PERFURAÇÃO'!$B:$B,0))="Buffer","B",IF(INDEX('PROJETO PERFURAÇÃO'!$P:$P,MATCH(MEDIÇÃO!D80,'PROJETO PERFURAÇÃO'!$B:$B,0))="Pre-Splitting","S"))),"")</f>
        <v>P</v>
      </c>
      <c r="D80" s="14">
        <f t="shared" si="6"/>
        <v>152</v>
      </c>
      <c r="E80" s="4" t="str">
        <f>IFERROR(INDEX('LEV R&amp;D'!$D:$D,MATCH(MEDIÇÃO!D80,'LEV R&amp;D'!$A:$A,0))-INDEX('PROJETO PERFURAÇÃO'!$AH:$AH,MATCH(MEDIÇÃO!D80,'PROJETO PERFURAÇÃO'!$B:$B,0)),"")</f>
        <v/>
      </c>
      <c r="F80" s="17">
        <f>IFERROR(INDEX('PROJETO PERFURAÇÃO'!$AN:$AN,MATCH(MEDIÇÃO!D80,'PROJETO PERFURAÇÃO'!$B:$B,0)),"")</f>
        <v>0</v>
      </c>
      <c r="G80" s="3"/>
      <c r="H80" s="3"/>
      <c r="I80" s="3" t="str">
        <f>IFERROR(ROUND(INDEX('PROJETO PERFURAÇÃO'!$AB:$AB,MATCH(MEDIÇÃO!K80,'PROJETO PERFURAÇÃO'!$B:$B,0)),1)&amp;"''","")</f>
        <v>5''</v>
      </c>
      <c r="J80" s="3" t="str">
        <f>IFERROR(IF(INDEX('PROJETO PERFURAÇÃO'!$P:$P,MATCH(MEDIÇÃO!K80,'PROJETO PERFURAÇÃO'!$B:$B,0))="Production","P",IF(INDEX('PROJETO PERFURAÇÃO'!$P:$P,MATCH(MEDIÇÃO!K80,'PROJETO PERFURAÇÃO'!$B:$B,0))="Buffer","B",IF(INDEX('PROJETO PERFURAÇÃO'!$P:$P,MATCH(MEDIÇÃO!K80,'PROJETO PERFURAÇÃO'!$B:$B,0))="Pre-Splitting","S"))),"")</f>
        <v>P</v>
      </c>
      <c r="K80" s="14">
        <f t="shared" si="7"/>
        <v>175</v>
      </c>
      <c r="L80" s="4" t="str">
        <f>IFERROR(INDEX('LEV R&amp;D'!$D:$D,MATCH(MEDIÇÃO!K80,'LEV R&amp;D'!$A:$A,0))-INDEX('PROJETO PERFURAÇÃO'!$AH:$AH,MATCH(MEDIÇÃO!K80,'PROJETO PERFURAÇÃO'!$B:$B,0)),"")</f>
        <v/>
      </c>
      <c r="M80" s="17">
        <f>IFERROR(INDEX('PROJETO PERFURAÇÃO'!$AN:$AN,MATCH(MEDIÇÃO!K80,'PROJETO PERFURAÇÃO'!$B:$B,0)),"")</f>
        <v>0</v>
      </c>
      <c r="N80" s="3"/>
      <c r="O80" s="3"/>
      <c r="P80" s="3" t="str">
        <f>IFERROR(ROUND(INDEX('PROJETO PERFURAÇÃO'!$AB:$AB,MATCH(MEDIÇÃO!R80,'PROJETO PERFURAÇÃO'!$B:$B,0)),1)&amp;"''","")</f>
        <v>5''</v>
      </c>
      <c r="Q80" s="3" t="str">
        <f>IFERROR(IF(INDEX('PROJETO PERFURAÇÃO'!$P:$P,MATCH(MEDIÇÃO!R80,'PROJETO PERFURAÇÃO'!$B:$B,0))="Production","P",IF(INDEX('PROJETO PERFURAÇÃO'!$P:$P,MATCH(MEDIÇÃO!R80,'PROJETO PERFURAÇÃO'!$B:$B,0))="Buffer","B",IF(INDEX('PROJETO PERFURAÇÃO'!$P:$P,MATCH(MEDIÇÃO!R80,'PROJETO PERFURAÇÃO'!$B:$B,0))="Pre-Splitting","S"))),"")</f>
        <v>P</v>
      </c>
      <c r="R80" s="14">
        <f t="shared" si="8"/>
        <v>198</v>
      </c>
      <c r="S80" s="4" t="str">
        <f>IFERROR(INDEX('LEV R&amp;D'!$D:$D,MATCH(MEDIÇÃO!R80,'LEV R&amp;D'!$A:$A,0))-INDEX('PROJETO PERFURAÇÃO'!$AH:$AH,MATCH(MEDIÇÃO!R80,'PROJETO PERFURAÇÃO'!$B:$B,0)),"")</f>
        <v/>
      </c>
      <c r="T80" s="17">
        <f>IFERROR(INDEX('PROJETO PERFURAÇÃO'!$AN:$AN,MATCH(MEDIÇÃO!R80,'PROJETO PERFURAÇÃO'!$B:$B,0)),"")</f>
        <v>0</v>
      </c>
      <c r="U80" s="3"/>
      <c r="V80" s="3"/>
    </row>
    <row r="81" spans="2:22" ht="45" customHeight="1">
      <c r="B81" s="3" t="str">
        <f>IFERROR(ROUND(INDEX('PROJETO PERFURAÇÃO'!$AB:$AB,MATCH(MEDIÇÃO!D81,'PROJETO PERFURAÇÃO'!$B:$B,0)),1)&amp;"''","")</f>
        <v>5''</v>
      </c>
      <c r="C81" s="3" t="str">
        <f>IFERROR(IF(INDEX('PROJETO PERFURAÇÃO'!$P:$P,MATCH(MEDIÇÃO!D81,'PROJETO PERFURAÇÃO'!$B:$B,0))="Production","P",IF(INDEX('PROJETO PERFURAÇÃO'!$P:$P,MATCH(MEDIÇÃO!D81,'PROJETO PERFURAÇÃO'!$B:$B,0))="Buffer","B",IF(INDEX('PROJETO PERFURAÇÃO'!$P:$P,MATCH(MEDIÇÃO!D81,'PROJETO PERFURAÇÃO'!$B:$B,0))="Pre-Splitting","S"))),"")</f>
        <v>P</v>
      </c>
      <c r="D81" s="14">
        <f t="shared" si="6"/>
        <v>153</v>
      </c>
      <c r="E81" s="4" t="str">
        <f>IFERROR(INDEX('LEV R&amp;D'!$D:$D,MATCH(MEDIÇÃO!D81,'LEV R&amp;D'!$A:$A,0))-INDEX('PROJETO PERFURAÇÃO'!$AH:$AH,MATCH(MEDIÇÃO!D81,'PROJETO PERFURAÇÃO'!$B:$B,0)),"")</f>
        <v/>
      </c>
      <c r="F81" s="17">
        <f>IFERROR(INDEX('PROJETO PERFURAÇÃO'!$AN:$AN,MATCH(MEDIÇÃO!D81,'PROJETO PERFURAÇÃO'!$B:$B,0)),"")</f>
        <v>0</v>
      </c>
      <c r="G81" s="3"/>
      <c r="H81" s="3"/>
      <c r="I81" s="3" t="str">
        <f>IFERROR(ROUND(INDEX('PROJETO PERFURAÇÃO'!$AB:$AB,MATCH(MEDIÇÃO!K81,'PROJETO PERFURAÇÃO'!$B:$B,0)),1)&amp;"''","")</f>
        <v>5''</v>
      </c>
      <c r="J81" s="3" t="str">
        <f>IFERROR(IF(INDEX('PROJETO PERFURAÇÃO'!$P:$P,MATCH(MEDIÇÃO!K81,'PROJETO PERFURAÇÃO'!$B:$B,0))="Production","P",IF(INDEX('PROJETO PERFURAÇÃO'!$P:$P,MATCH(MEDIÇÃO!K81,'PROJETO PERFURAÇÃO'!$B:$B,0))="Buffer","B",IF(INDEX('PROJETO PERFURAÇÃO'!$P:$P,MATCH(MEDIÇÃO!K81,'PROJETO PERFURAÇÃO'!$B:$B,0))="Pre-Splitting","S"))),"")</f>
        <v>P</v>
      </c>
      <c r="K81" s="14">
        <f t="shared" si="7"/>
        <v>176</v>
      </c>
      <c r="L81" s="4" t="str">
        <f>IFERROR(INDEX('LEV R&amp;D'!$D:$D,MATCH(MEDIÇÃO!K81,'LEV R&amp;D'!$A:$A,0))-INDEX('PROJETO PERFURAÇÃO'!$AH:$AH,MATCH(MEDIÇÃO!K81,'PROJETO PERFURAÇÃO'!$B:$B,0)),"")</f>
        <v/>
      </c>
      <c r="M81" s="17">
        <f>IFERROR(INDEX('PROJETO PERFURAÇÃO'!$AN:$AN,MATCH(MEDIÇÃO!K81,'PROJETO PERFURAÇÃO'!$B:$B,0)),"")</f>
        <v>0</v>
      </c>
      <c r="N81" s="3"/>
      <c r="O81" s="3"/>
      <c r="P81" s="3" t="str">
        <f>IFERROR(ROUND(INDEX('PROJETO PERFURAÇÃO'!$AB:$AB,MATCH(MEDIÇÃO!R81,'PROJETO PERFURAÇÃO'!$B:$B,0)),1)&amp;"''","")</f>
        <v>5''</v>
      </c>
      <c r="Q81" s="3" t="str">
        <f>IFERROR(IF(INDEX('PROJETO PERFURAÇÃO'!$P:$P,MATCH(MEDIÇÃO!R81,'PROJETO PERFURAÇÃO'!$B:$B,0))="Production","P",IF(INDEX('PROJETO PERFURAÇÃO'!$P:$P,MATCH(MEDIÇÃO!R81,'PROJETO PERFURAÇÃO'!$B:$B,0))="Buffer","B",IF(INDEX('PROJETO PERFURAÇÃO'!$P:$P,MATCH(MEDIÇÃO!R81,'PROJETO PERFURAÇÃO'!$B:$B,0))="Pre-Splitting","S"))),"")</f>
        <v>P</v>
      </c>
      <c r="R81" s="14">
        <f t="shared" si="8"/>
        <v>199</v>
      </c>
      <c r="S81" s="4" t="str">
        <f>IFERROR(INDEX('LEV R&amp;D'!$D:$D,MATCH(MEDIÇÃO!R81,'LEV R&amp;D'!$A:$A,0))-INDEX('PROJETO PERFURAÇÃO'!$AH:$AH,MATCH(MEDIÇÃO!R81,'PROJETO PERFURAÇÃO'!$B:$B,0)),"")</f>
        <v/>
      </c>
      <c r="T81" s="17">
        <f>IFERROR(INDEX('PROJETO PERFURAÇÃO'!$AN:$AN,MATCH(MEDIÇÃO!R81,'PROJETO PERFURAÇÃO'!$B:$B,0)),"")</f>
        <v>0</v>
      </c>
      <c r="U81" s="3"/>
      <c r="V81" s="3"/>
    </row>
    <row r="82" spans="2:22" ht="45" customHeight="1">
      <c r="B82" s="3" t="str">
        <f>IFERROR(ROUND(INDEX('PROJETO PERFURAÇÃO'!$AB:$AB,MATCH(MEDIÇÃO!D82,'PROJETO PERFURAÇÃO'!$B:$B,0)),1)&amp;"''","")</f>
        <v>5''</v>
      </c>
      <c r="C82" s="3" t="str">
        <f>IFERROR(IF(INDEX('PROJETO PERFURAÇÃO'!$P:$P,MATCH(MEDIÇÃO!D82,'PROJETO PERFURAÇÃO'!$B:$B,0))="Production","P",IF(INDEX('PROJETO PERFURAÇÃO'!$P:$P,MATCH(MEDIÇÃO!D82,'PROJETO PERFURAÇÃO'!$B:$B,0))="Buffer","B",IF(INDEX('PROJETO PERFURAÇÃO'!$P:$P,MATCH(MEDIÇÃO!D82,'PROJETO PERFURAÇÃO'!$B:$B,0))="Pre-Splitting","S"))),"")</f>
        <v>P</v>
      </c>
      <c r="D82" s="14">
        <f t="shared" si="6"/>
        <v>154</v>
      </c>
      <c r="E82" s="4" t="str">
        <f>IFERROR(INDEX('LEV R&amp;D'!$D:$D,MATCH(MEDIÇÃO!D82,'LEV R&amp;D'!$A:$A,0))-INDEX('PROJETO PERFURAÇÃO'!$AH:$AH,MATCH(MEDIÇÃO!D82,'PROJETO PERFURAÇÃO'!$B:$B,0)),"")</f>
        <v/>
      </c>
      <c r="F82" s="17">
        <f>IFERROR(INDEX('PROJETO PERFURAÇÃO'!$AN:$AN,MATCH(MEDIÇÃO!D82,'PROJETO PERFURAÇÃO'!$B:$B,0)),"")</f>
        <v>0</v>
      </c>
      <c r="G82" s="3"/>
      <c r="H82" s="3"/>
      <c r="I82" s="3" t="str">
        <f>IFERROR(ROUND(INDEX('PROJETO PERFURAÇÃO'!$AB:$AB,MATCH(MEDIÇÃO!K82,'PROJETO PERFURAÇÃO'!$B:$B,0)),1)&amp;"''","")</f>
        <v>5''</v>
      </c>
      <c r="J82" s="3" t="str">
        <f>IFERROR(IF(INDEX('PROJETO PERFURAÇÃO'!$P:$P,MATCH(MEDIÇÃO!K82,'PROJETO PERFURAÇÃO'!$B:$B,0))="Production","P",IF(INDEX('PROJETO PERFURAÇÃO'!$P:$P,MATCH(MEDIÇÃO!K82,'PROJETO PERFURAÇÃO'!$B:$B,0))="Buffer","B",IF(INDEX('PROJETO PERFURAÇÃO'!$P:$P,MATCH(MEDIÇÃO!K82,'PROJETO PERFURAÇÃO'!$B:$B,0))="Pre-Splitting","S"))),"")</f>
        <v>P</v>
      </c>
      <c r="K82" s="14">
        <f t="shared" si="7"/>
        <v>177</v>
      </c>
      <c r="L82" s="4" t="str">
        <f>IFERROR(INDEX('LEV R&amp;D'!$D:$D,MATCH(MEDIÇÃO!K82,'LEV R&amp;D'!$A:$A,0))-INDEX('PROJETO PERFURAÇÃO'!$AH:$AH,MATCH(MEDIÇÃO!K82,'PROJETO PERFURAÇÃO'!$B:$B,0)),"")</f>
        <v/>
      </c>
      <c r="M82" s="17">
        <f>IFERROR(INDEX('PROJETO PERFURAÇÃO'!$AN:$AN,MATCH(MEDIÇÃO!K82,'PROJETO PERFURAÇÃO'!$B:$B,0)),"")</f>
        <v>0</v>
      </c>
      <c r="N82" s="3"/>
      <c r="O82" s="3"/>
      <c r="P82" s="3" t="str">
        <f>IFERROR(ROUND(INDEX('PROJETO PERFURAÇÃO'!$AB:$AB,MATCH(MEDIÇÃO!R82,'PROJETO PERFURAÇÃO'!$B:$B,0)),1)&amp;"''","")</f>
        <v>5''</v>
      </c>
      <c r="Q82" s="3" t="str">
        <f>IFERROR(IF(INDEX('PROJETO PERFURAÇÃO'!$P:$P,MATCH(MEDIÇÃO!R82,'PROJETO PERFURAÇÃO'!$B:$B,0))="Production","P",IF(INDEX('PROJETO PERFURAÇÃO'!$P:$P,MATCH(MEDIÇÃO!R82,'PROJETO PERFURAÇÃO'!$B:$B,0))="Buffer","B",IF(INDEX('PROJETO PERFURAÇÃO'!$P:$P,MATCH(MEDIÇÃO!R82,'PROJETO PERFURAÇÃO'!$B:$B,0))="Pre-Splitting","S"))),"")</f>
        <v>P</v>
      </c>
      <c r="R82" s="14">
        <f t="shared" si="8"/>
        <v>200</v>
      </c>
      <c r="S82" s="4" t="str">
        <f>IFERROR(INDEX('LEV R&amp;D'!$D:$D,MATCH(MEDIÇÃO!R82,'LEV R&amp;D'!$A:$A,0))-INDEX('PROJETO PERFURAÇÃO'!$AH:$AH,MATCH(MEDIÇÃO!R82,'PROJETO PERFURAÇÃO'!$B:$B,0)),"")</f>
        <v/>
      </c>
      <c r="T82" s="17">
        <f>IFERROR(INDEX('PROJETO PERFURAÇÃO'!$AN:$AN,MATCH(MEDIÇÃO!R82,'PROJETO PERFURAÇÃO'!$B:$B,0)),"")</f>
        <v>0</v>
      </c>
      <c r="U82" s="3"/>
      <c r="V82" s="3"/>
    </row>
    <row r="83" spans="2:22" ht="45" customHeight="1">
      <c r="B83" s="3" t="str">
        <f>IFERROR(ROUND(INDEX('PROJETO PERFURAÇÃO'!$AB:$AB,MATCH(MEDIÇÃO!D83,'PROJETO PERFURAÇÃO'!$B:$B,0)),1)&amp;"''","")</f>
        <v>5''</v>
      </c>
      <c r="C83" s="3" t="str">
        <f>IFERROR(IF(INDEX('PROJETO PERFURAÇÃO'!$P:$P,MATCH(MEDIÇÃO!D83,'PROJETO PERFURAÇÃO'!$B:$B,0))="Production","P",IF(INDEX('PROJETO PERFURAÇÃO'!$P:$P,MATCH(MEDIÇÃO!D83,'PROJETO PERFURAÇÃO'!$B:$B,0))="Buffer","B",IF(INDEX('PROJETO PERFURAÇÃO'!$P:$P,MATCH(MEDIÇÃO!D83,'PROJETO PERFURAÇÃO'!$B:$B,0))="Pre-Splitting","S"))),"")</f>
        <v>P</v>
      </c>
      <c r="D83" s="14">
        <f t="shared" si="6"/>
        <v>155</v>
      </c>
      <c r="E83" s="4" t="str">
        <f>IFERROR(INDEX('LEV R&amp;D'!$D:$D,MATCH(MEDIÇÃO!D83,'LEV R&amp;D'!$A:$A,0))-INDEX('PROJETO PERFURAÇÃO'!$AH:$AH,MATCH(MEDIÇÃO!D83,'PROJETO PERFURAÇÃO'!$B:$B,0)),"")</f>
        <v/>
      </c>
      <c r="F83" s="17">
        <f>IFERROR(INDEX('PROJETO PERFURAÇÃO'!$AN:$AN,MATCH(MEDIÇÃO!D83,'PROJETO PERFURAÇÃO'!$B:$B,0)),"")</f>
        <v>0</v>
      </c>
      <c r="G83" s="3"/>
      <c r="H83" s="3"/>
      <c r="I83" s="3" t="str">
        <f>IFERROR(ROUND(INDEX('PROJETO PERFURAÇÃO'!$AB:$AB,MATCH(MEDIÇÃO!K83,'PROJETO PERFURAÇÃO'!$B:$B,0)),1)&amp;"''","")</f>
        <v>5''</v>
      </c>
      <c r="J83" s="3" t="str">
        <f>IFERROR(IF(INDEX('PROJETO PERFURAÇÃO'!$P:$P,MATCH(MEDIÇÃO!K83,'PROJETO PERFURAÇÃO'!$B:$B,0))="Production","P",IF(INDEX('PROJETO PERFURAÇÃO'!$P:$P,MATCH(MEDIÇÃO!K83,'PROJETO PERFURAÇÃO'!$B:$B,0))="Buffer","B",IF(INDEX('PROJETO PERFURAÇÃO'!$P:$P,MATCH(MEDIÇÃO!K83,'PROJETO PERFURAÇÃO'!$B:$B,0))="Pre-Splitting","S"))),"")</f>
        <v>P</v>
      </c>
      <c r="K83" s="14">
        <f t="shared" si="7"/>
        <v>178</v>
      </c>
      <c r="L83" s="4" t="str">
        <f>IFERROR(INDEX('LEV R&amp;D'!$D:$D,MATCH(MEDIÇÃO!K83,'LEV R&amp;D'!$A:$A,0))-INDEX('PROJETO PERFURAÇÃO'!$AH:$AH,MATCH(MEDIÇÃO!K83,'PROJETO PERFURAÇÃO'!$B:$B,0)),"")</f>
        <v/>
      </c>
      <c r="M83" s="17">
        <f>IFERROR(INDEX('PROJETO PERFURAÇÃO'!$AN:$AN,MATCH(MEDIÇÃO!K83,'PROJETO PERFURAÇÃO'!$B:$B,0)),"")</f>
        <v>0</v>
      </c>
      <c r="N83" s="3"/>
      <c r="O83" s="3"/>
      <c r="P83" s="3" t="str">
        <f>IFERROR(ROUND(INDEX('PROJETO PERFURAÇÃO'!$AB:$AB,MATCH(MEDIÇÃO!R83,'PROJETO PERFURAÇÃO'!$B:$B,0)),1)&amp;"''","")</f>
        <v>5''</v>
      </c>
      <c r="Q83" s="3" t="str">
        <f>IFERROR(IF(INDEX('PROJETO PERFURAÇÃO'!$P:$P,MATCH(MEDIÇÃO!R83,'PROJETO PERFURAÇÃO'!$B:$B,0))="Production","P",IF(INDEX('PROJETO PERFURAÇÃO'!$P:$P,MATCH(MEDIÇÃO!R83,'PROJETO PERFURAÇÃO'!$B:$B,0))="Buffer","B",IF(INDEX('PROJETO PERFURAÇÃO'!$P:$P,MATCH(MEDIÇÃO!R83,'PROJETO PERFURAÇÃO'!$B:$B,0))="Pre-Splitting","S"))),"")</f>
        <v>P</v>
      </c>
      <c r="R83" s="14">
        <f t="shared" si="8"/>
        <v>201</v>
      </c>
      <c r="S83" s="4" t="str">
        <f>IFERROR(INDEX('LEV R&amp;D'!$D:$D,MATCH(MEDIÇÃO!R83,'LEV R&amp;D'!$A:$A,0))-INDEX('PROJETO PERFURAÇÃO'!$AH:$AH,MATCH(MEDIÇÃO!R83,'PROJETO PERFURAÇÃO'!$B:$B,0)),"")</f>
        <v/>
      </c>
      <c r="T83" s="17">
        <f>IFERROR(INDEX('PROJETO PERFURAÇÃO'!$AN:$AN,MATCH(MEDIÇÃO!R83,'PROJETO PERFURAÇÃO'!$B:$B,0)),"")</f>
        <v>0</v>
      </c>
      <c r="U83" s="3"/>
      <c r="V83" s="3"/>
    </row>
    <row r="84" spans="2:22" ht="45" customHeight="1">
      <c r="B84" s="3" t="str">
        <f>IFERROR(ROUND(INDEX('PROJETO PERFURAÇÃO'!$AB:$AB,MATCH(MEDIÇÃO!D84,'PROJETO PERFURAÇÃO'!$B:$B,0)),1)&amp;"''","")</f>
        <v>5''</v>
      </c>
      <c r="C84" s="3" t="str">
        <f>IFERROR(IF(INDEX('PROJETO PERFURAÇÃO'!$P:$P,MATCH(MEDIÇÃO!D84,'PROJETO PERFURAÇÃO'!$B:$B,0))="Production","P",IF(INDEX('PROJETO PERFURAÇÃO'!$P:$P,MATCH(MEDIÇÃO!D84,'PROJETO PERFURAÇÃO'!$B:$B,0))="Buffer","B",IF(INDEX('PROJETO PERFURAÇÃO'!$P:$P,MATCH(MEDIÇÃO!D84,'PROJETO PERFURAÇÃO'!$B:$B,0))="Pre-Splitting","S"))),"")</f>
        <v>P</v>
      </c>
      <c r="D84" s="14">
        <f t="shared" si="6"/>
        <v>156</v>
      </c>
      <c r="E84" s="4" t="str">
        <f>IFERROR(INDEX('LEV R&amp;D'!$D:$D,MATCH(MEDIÇÃO!D84,'LEV R&amp;D'!$A:$A,0))-INDEX('PROJETO PERFURAÇÃO'!$AH:$AH,MATCH(MEDIÇÃO!D84,'PROJETO PERFURAÇÃO'!$B:$B,0)),"")</f>
        <v/>
      </c>
      <c r="F84" s="17">
        <f>IFERROR(INDEX('PROJETO PERFURAÇÃO'!$AN:$AN,MATCH(MEDIÇÃO!D84,'PROJETO PERFURAÇÃO'!$B:$B,0)),"")</f>
        <v>0</v>
      </c>
      <c r="G84" s="3"/>
      <c r="H84" s="3"/>
      <c r="I84" s="3" t="str">
        <f>IFERROR(ROUND(INDEX('PROJETO PERFURAÇÃO'!$AB:$AB,MATCH(MEDIÇÃO!K84,'PROJETO PERFURAÇÃO'!$B:$B,0)),1)&amp;"''","")</f>
        <v>5''</v>
      </c>
      <c r="J84" s="3" t="str">
        <f>IFERROR(IF(INDEX('PROJETO PERFURAÇÃO'!$P:$P,MATCH(MEDIÇÃO!K84,'PROJETO PERFURAÇÃO'!$B:$B,0))="Production","P",IF(INDEX('PROJETO PERFURAÇÃO'!$P:$P,MATCH(MEDIÇÃO!K84,'PROJETO PERFURAÇÃO'!$B:$B,0))="Buffer","B",IF(INDEX('PROJETO PERFURAÇÃO'!$P:$P,MATCH(MEDIÇÃO!K84,'PROJETO PERFURAÇÃO'!$B:$B,0))="Pre-Splitting","S"))),"")</f>
        <v>P</v>
      </c>
      <c r="K84" s="14">
        <f t="shared" si="7"/>
        <v>179</v>
      </c>
      <c r="L84" s="4" t="str">
        <f>IFERROR(INDEX('LEV R&amp;D'!$D:$D,MATCH(MEDIÇÃO!K84,'LEV R&amp;D'!$A:$A,0))-INDEX('PROJETO PERFURAÇÃO'!$AH:$AH,MATCH(MEDIÇÃO!K84,'PROJETO PERFURAÇÃO'!$B:$B,0)),"")</f>
        <v/>
      </c>
      <c r="M84" s="17">
        <f>IFERROR(INDEX('PROJETO PERFURAÇÃO'!$AN:$AN,MATCH(MEDIÇÃO!K84,'PROJETO PERFURAÇÃO'!$B:$B,0)),"")</f>
        <v>0</v>
      </c>
      <c r="N84" s="3"/>
      <c r="O84" s="3"/>
      <c r="P84" s="3" t="str">
        <f>IFERROR(ROUND(INDEX('PROJETO PERFURAÇÃO'!$AB:$AB,MATCH(MEDIÇÃO!R84,'PROJETO PERFURAÇÃO'!$B:$B,0)),1)&amp;"''","")</f>
        <v>5''</v>
      </c>
      <c r="Q84" s="3" t="str">
        <f>IFERROR(IF(INDEX('PROJETO PERFURAÇÃO'!$P:$P,MATCH(MEDIÇÃO!R84,'PROJETO PERFURAÇÃO'!$B:$B,0))="Production","P",IF(INDEX('PROJETO PERFURAÇÃO'!$P:$P,MATCH(MEDIÇÃO!R84,'PROJETO PERFURAÇÃO'!$B:$B,0))="Buffer","B",IF(INDEX('PROJETO PERFURAÇÃO'!$P:$P,MATCH(MEDIÇÃO!R84,'PROJETO PERFURAÇÃO'!$B:$B,0))="Pre-Splitting","S"))),"")</f>
        <v>P</v>
      </c>
      <c r="R84" s="14">
        <f t="shared" si="8"/>
        <v>202</v>
      </c>
      <c r="S84" s="4" t="str">
        <f>IFERROR(INDEX('LEV R&amp;D'!$D:$D,MATCH(MEDIÇÃO!R84,'LEV R&amp;D'!$A:$A,0))-INDEX('PROJETO PERFURAÇÃO'!$AH:$AH,MATCH(MEDIÇÃO!R84,'PROJETO PERFURAÇÃO'!$B:$B,0)),"")</f>
        <v/>
      </c>
      <c r="T84" s="17">
        <f>IFERROR(INDEX('PROJETO PERFURAÇÃO'!$AN:$AN,MATCH(MEDIÇÃO!R84,'PROJETO PERFURAÇÃO'!$B:$B,0)),"")</f>
        <v>0</v>
      </c>
      <c r="U84" s="3"/>
      <c r="V84" s="3"/>
    </row>
    <row r="85" spans="2:22" ht="45" customHeight="1">
      <c r="B85" s="3" t="str">
        <f>IFERROR(ROUND(INDEX('PROJETO PERFURAÇÃO'!$AB:$AB,MATCH(MEDIÇÃO!D85,'PROJETO PERFURAÇÃO'!$B:$B,0)),1)&amp;"''","")</f>
        <v>5''</v>
      </c>
      <c r="C85" s="3" t="str">
        <f>IFERROR(IF(INDEX('PROJETO PERFURAÇÃO'!$P:$P,MATCH(MEDIÇÃO!D85,'PROJETO PERFURAÇÃO'!$B:$B,0))="Production","P",IF(INDEX('PROJETO PERFURAÇÃO'!$P:$P,MATCH(MEDIÇÃO!D85,'PROJETO PERFURAÇÃO'!$B:$B,0))="Buffer","B",IF(INDEX('PROJETO PERFURAÇÃO'!$P:$P,MATCH(MEDIÇÃO!D85,'PROJETO PERFURAÇÃO'!$B:$B,0))="Pre-Splitting","S"))),"")</f>
        <v>P</v>
      </c>
      <c r="D85" s="14">
        <f t="shared" si="6"/>
        <v>157</v>
      </c>
      <c r="E85" s="4" t="str">
        <f>IFERROR(INDEX('LEV R&amp;D'!$D:$D,MATCH(MEDIÇÃO!D85,'LEV R&amp;D'!$A:$A,0))-INDEX('PROJETO PERFURAÇÃO'!$AH:$AH,MATCH(MEDIÇÃO!D85,'PROJETO PERFURAÇÃO'!$B:$B,0)),"")</f>
        <v/>
      </c>
      <c r="F85" s="17">
        <f>IFERROR(INDEX('PROJETO PERFURAÇÃO'!$AN:$AN,MATCH(MEDIÇÃO!D85,'PROJETO PERFURAÇÃO'!$B:$B,0)),"")</f>
        <v>0</v>
      </c>
      <c r="G85" s="3"/>
      <c r="H85" s="3"/>
      <c r="I85" s="3" t="str">
        <f>IFERROR(ROUND(INDEX('PROJETO PERFURAÇÃO'!$AB:$AB,MATCH(MEDIÇÃO!K85,'PROJETO PERFURAÇÃO'!$B:$B,0)),1)&amp;"''","")</f>
        <v>5''</v>
      </c>
      <c r="J85" s="3" t="str">
        <f>IFERROR(IF(INDEX('PROJETO PERFURAÇÃO'!$P:$P,MATCH(MEDIÇÃO!K85,'PROJETO PERFURAÇÃO'!$B:$B,0))="Production","P",IF(INDEX('PROJETO PERFURAÇÃO'!$P:$P,MATCH(MEDIÇÃO!K85,'PROJETO PERFURAÇÃO'!$B:$B,0))="Buffer","B",IF(INDEX('PROJETO PERFURAÇÃO'!$P:$P,MATCH(MEDIÇÃO!K85,'PROJETO PERFURAÇÃO'!$B:$B,0))="Pre-Splitting","S"))),"")</f>
        <v>P</v>
      </c>
      <c r="K85" s="14">
        <f t="shared" si="7"/>
        <v>180</v>
      </c>
      <c r="L85" s="4" t="str">
        <f>IFERROR(INDEX('LEV R&amp;D'!$D:$D,MATCH(MEDIÇÃO!K85,'LEV R&amp;D'!$A:$A,0))-INDEX('PROJETO PERFURAÇÃO'!$AH:$AH,MATCH(MEDIÇÃO!K85,'PROJETO PERFURAÇÃO'!$B:$B,0)),"")</f>
        <v/>
      </c>
      <c r="M85" s="17">
        <f>IFERROR(INDEX('PROJETO PERFURAÇÃO'!$AN:$AN,MATCH(MEDIÇÃO!K85,'PROJETO PERFURAÇÃO'!$B:$B,0)),"")</f>
        <v>0</v>
      </c>
      <c r="N85" s="3"/>
      <c r="O85" s="3"/>
      <c r="P85" s="3" t="str">
        <f>IFERROR(ROUND(INDEX('PROJETO PERFURAÇÃO'!$AB:$AB,MATCH(MEDIÇÃO!R85,'PROJETO PERFURAÇÃO'!$B:$B,0)),1)&amp;"''","")</f>
        <v>5''</v>
      </c>
      <c r="Q85" s="3" t="str">
        <f>IFERROR(IF(INDEX('PROJETO PERFURAÇÃO'!$P:$P,MATCH(MEDIÇÃO!R85,'PROJETO PERFURAÇÃO'!$B:$B,0))="Production","P",IF(INDEX('PROJETO PERFURAÇÃO'!$P:$P,MATCH(MEDIÇÃO!R85,'PROJETO PERFURAÇÃO'!$B:$B,0))="Buffer","B",IF(INDEX('PROJETO PERFURAÇÃO'!$P:$P,MATCH(MEDIÇÃO!R85,'PROJETO PERFURAÇÃO'!$B:$B,0))="Pre-Splitting","S"))),"")</f>
        <v>P</v>
      </c>
      <c r="R85" s="14">
        <f t="shared" si="8"/>
        <v>203</v>
      </c>
      <c r="S85" s="4" t="str">
        <f>IFERROR(INDEX('LEV R&amp;D'!$D:$D,MATCH(MEDIÇÃO!R85,'LEV R&amp;D'!$A:$A,0))-INDEX('PROJETO PERFURAÇÃO'!$AH:$AH,MATCH(MEDIÇÃO!R85,'PROJETO PERFURAÇÃO'!$B:$B,0)),"")</f>
        <v/>
      </c>
      <c r="T85" s="17">
        <f>IFERROR(INDEX('PROJETO PERFURAÇÃO'!$AN:$AN,MATCH(MEDIÇÃO!R85,'PROJETO PERFURAÇÃO'!$B:$B,0)),"")</f>
        <v>0</v>
      </c>
      <c r="U85" s="3"/>
      <c r="V85" s="3"/>
    </row>
    <row r="86" spans="2:22" ht="45" customHeight="1">
      <c r="B86" s="3" t="str">
        <f>IFERROR(ROUND(INDEX('PROJETO PERFURAÇÃO'!$AB:$AB,MATCH(MEDIÇÃO!D86,'PROJETO PERFURAÇÃO'!$B:$B,0)),1)&amp;"''","")</f>
        <v>5''</v>
      </c>
      <c r="C86" s="3" t="str">
        <f>IFERROR(IF(INDEX('PROJETO PERFURAÇÃO'!$P:$P,MATCH(MEDIÇÃO!D86,'PROJETO PERFURAÇÃO'!$B:$B,0))="Production","P",IF(INDEX('PROJETO PERFURAÇÃO'!$P:$P,MATCH(MEDIÇÃO!D86,'PROJETO PERFURAÇÃO'!$B:$B,0))="Buffer","B",IF(INDEX('PROJETO PERFURAÇÃO'!$P:$P,MATCH(MEDIÇÃO!D86,'PROJETO PERFURAÇÃO'!$B:$B,0))="Pre-Splitting","S"))),"")</f>
        <v>P</v>
      </c>
      <c r="D86" s="14">
        <f t="shared" si="6"/>
        <v>158</v>
      </c>
      <c r="E86" s="4" t="str">
        <f>IFERROR(INDEX('LEV R&amp;D'!$D:$D,MATCH(MEDIÇÃO!D86,'LEV R&amp;D'!$A:$A,0))-INDEX('PROJETO PERFURAÇÃO'!$AH:$AH,MATCH(MEDIÇÃO!D86,'PROJETO PERFURAÇÃO'!$B:$B,0)),"")</f>
        <v/>
      </c>
      <c r="F86" s="17">
        <f>IFERROR(INDEX('PROJETO PERFURAÇÃO'!$AN:$AN,MATCH(MEDIÇÃO!D86,'PROJETO PERFURAÇÃO'!$B:$B,0)),"")</f>
        <v>0</v>
      </c>
      <c r="G86" s="3"/>
      <c r="H86" s="3"/>
      <c r="I86" s="3" t="str">
        <f>IFERROR(ROUND(INDEX('PROJETO PERFURAÇÃO'!$AB:$AB,MATCH(MEDIÇÃO!K86,'PROJETO PERFURAÇÃO'!$B:$B,0)),1)&amp;"''","")</f>
        <v>5''</v>
      </c>
      <c r="J86" s="3" t="str">
        <f>IFERROR(IF(INDEX('PROJETO PERFURAÇÃO'!$P:$P,MATCH(MEDIÇÃO!K86,'PROJETO PERFURAÇÃO'!$B:$B,0))="Production","P",IF(INDEX('PROJETO PERFURAÇÃO'!$P:$P,MATCH(MEDIÇÃO!K86,'PROJETO PERFURAÇÃO'!$B:$B,0))="Buffer","B",IF(INDEX('PROJETO PERFURAÇÃO'!$P:$P,MATCH(MEDIÇÃO!K86,'PROJETO PERFURAÇÃO'!$B:$B,0))="Pre-Splitting","S"))),"")</f>
        <v>P</v>
      </c>
      <c r="K86" s="14">
        <f t="shared" si="7"/>
        <v>181</v>
      </c>
      <c r="L86" s="4" t="str">
        <f>IFERROR(INDEX('LEV R&amp;D'!$D:$D,MATCH(MEDIÇÃO!K86,'LEV R&amp;D'!$A:$A,0))-INDEX('PROJETO PERFURAÇÃO'!$AH:$AH,MATCH(MEDIÇÃO!K86,'PROJETO PERFURAÇÃO'!$B:$B,0)),"")</f>
        <v/>
      </c>
      <c r="M86" s="17">
        <f>IFERROR(INDEX('PROJETO PERFURAÇÃO'!$AN:$AN,MATCH(MEDIÇÃO!K86,'PROJETO PERFURAÇÃO'!$B:$B,0)),"")</f>
        <v>0</v>
      </c>
      <c r="N86" s="3"/>
      <c r="O86" s="3"/>
      <c r="P86" s="3" t="str">
        <f>IFERROR(ROUND(INDEX('PROJETO PERFURAÇÃO'!$AB:$AB,MATCH(MEDIÇÃO!R86,'PROJETO PERFURAÇÃO'!$B:$B,0)),1)&amp;"''","")</f>
        <v>5''</v>
      </c>
      <c r="Q86" s="3" t="str">
        <f>IFERROR(IF(INDEX('PROJETO PERFURAÇÃO'!$P:$P,MATCH(MEDIÇÃO!R86,'PROJETO PERFURAÇÃO'!$B:$B,0))="Production","P",IF(INDEX('PROJETO PERFURAÇÃO'!$P:$P,MATCH(MEDIÇÃO!R86,'PROJETO PERFURAÇÃO'!$B:$B,0))="Buffer","B",IF(INDEX('PROJETO PERFURAÇÃO'!$P:$P,MATCH(MEDIÇÃO!R86,'PROJETO PERFURAÇÃO'!$B:$B,0))="Pre-Splitting","S"))),"")</f>
        <v>P</v>
      </c>
      <c r="R86" s="14">
        <f t="shared" si="8"/>
        <v>204</v>
      </c>
      <c r="S86" s="4" t="str">
        <f>IFERROR(INDEX('LEV R&amp;D'!$D:$D,MATCH(MEDIÇÃO!R86,'LEV R&amp;D'!$A:$A,0))-INDEX('PROJETO PERFURAÇÃO'!$AH:$AH,MATCH(MEDIÇÃO!R86,'PROJETO PERFURAÇÃO'!$B:$B,0)),"")</f>
        <v/>
      </c>
      <c r="T86" s="17">
        <f>IFERROR(INDEX('PROJETO PERFURAÇÃO'!$AN:$AN,MATCH(MEDIÇÃO!R86,'PROJETO PERFURAÇÃO'!$B:$B,0)),"")</f>
        <v>0</v>
      </c>
      <c r="U86" s="3"/>
      <c r="V86" s="3"/>
    </row>
    <row r="87" spans="2:22" ht="45" customHeight="1">
      <c r="B87" s="3" t="str">
        <f>IFERROR(ROUND(INDEX('PROJETO PERFURAÇÃO'!$AB:$AB,MATCH(MEDIÇÃO!D87,'PROJETO PERFURAÇÃO'!$B:$B,0)),1)&amp;"''","")</f>
        <v>5''</v>
      </c>
      <c r="C87" s="3" t="str">
        <f>IFERROR(IF(INDEX('PROJETO PERFURAÇÃO'!$P:$P,MATCH(MEDIÇÃO!D87,'PROJETO PERFURAÇÃO'!$B:$B,0))="Production","P",IF(INDEX('PROJETO PERFURAÇÃO'!$P:$P,MATCH(MEDIÇÃO!D87,'PROJETO PERFURAÇÃO'!$B:$B,0))="Buffer","B",IF(INDEX('PROJETO PERFURAÇÃO'!$P:$P,MATCH(MEDIÇÃO!D87,'PROJETO PERFURAÇÃO'!$B:$B,0))="Pre-Splitting","S"))),"")</f>
        <v>P</v>
      </c>
      <c r="D87" s="14">
        <f t="shared" si="6"/>
        <v>159</v>
      </c>
      <c r="E87" s="4" t="str">
        <f>IFERROR(INDEX('LEV R&amp;D'!$D:$D,MATCH(MEDIÇÃO!D87,'LEV R&amp;D'!$A:$A,0))-INDEX('PROJETO PERFURAÇÃO'!$AH:$AH,MATCH(MEDIÇÃO!D87,'PROJETO PERFURAÇÃO'!$B:$B,0)),"")</f>
        <v/>
      </c>
      <c r="F87" s="17">
        <f>IFERROR(INDEX('PROJETO PERFURAÇÃO'!$AN:$AN,MATCH(MEDIÇÃO!D87,'PROJETO PERFURAÇÃO'!$B:$B,0)),"")</f>
        <v>0</v>
      </c>
      <c r="G87" s="3"/>
      <c r="H87" s="3"/>
      <c r="I87" s="3" t="str">
        <f>IFERROR(ROUND(INDEX('PROJETO PERFURAÇÃO'!$AB:$AB,MATCH(MEDIÇÃO!K87,'PROJETO PERFURAÇÃO'!$B:$B,0)),1)&amp;"''","")</f>
        <v>5''</v>
      </c>
      <c r="J87" s="3" t="str">
        <f>IFERROR(IF(INDEX('PROJETO PERFURAÇÃO'!$P:$P,MATCH(MEDIÇÃO!K87,'PROJETO PERFURAÇÃO'!$B:$B,0))="Production","P",IF(INDEX('PROJETO PERFURAÇÃO'!$P:$P,MATCH(MEDIÇÃO!K87,'PROJETO PERFURAÇÃO'!$B:$B,0))="Buffer","B",IF(INDEX('PROJETO PERFURAÇÃO'!$P:$P,MATCH(MEDIÇÃO!K87,'PROJETO PERFURAÇÃO'!$B:$B,0))="Pre-Splitting","S"))),"")</f>
        <v>P</v>
      </c>
      <c r="K87" s="14">
        <f t="shared" si="7"/>
        <v>182</v>
      </c>
      <c r="L87" s="4" t="str">
        <f>IFERROR(INDEX('LEV R&amp;D'!$D:$D,MATCH(MEDIÇÃO!K87,'LEV R&amp;D'!$A:$A,0))-INDEX('PROJETO PERFURAÇÃO'!$AH:$AH,MATCH(MEDIÇÃO!K87,'PROJETO PERFURAÇÃO'!$B:$B,0)),"")</f>
        <v/>
      </c>
      <c r="M87" s="17">
        <f>IFERROR(INDEX('PROJETO PERFURAÇÃO'!$AN:$AN,MATCH(MEDIÇÃO!K87,'PROJETO PERFURAÇÃO'!$B:$B,0)),"")</f>
        <v>0</v>
      </c>
      <c r="N87" s="3"/>
      <c r="O87" s="3"/>
      <c r="P87" s="3" t="str">
        <f>IFERROR(ROUND(INDEX('PROJETO PERFURAÇÃO'!$AB:$AB,MATCH(MEDIÇÃO!R87,'PROJETO PERFURAÇÃO'!$B:$B,0)),1)&amp;"''","")</f>
        <v>5''</v>
      </c>
      <c r="Q87" s="3" t="str">
        <f>IFERROR(IF(INDEX('PROJETO PERFURAÇÃO'!$P:$P,MATCH(MEDIÇÃO!R87,'PROJETO PERFURAÇÃO'!$B:$B,0))="Production","P",IF(INDEX('PROJETO PERFURAÇÃO'!$P:$P,MATCH(MEDIÇÃO!R87,'PROJETO PERFURAÇÃO'!$B:$B,0))="Buffer","B",IF(INDEX('PROJETO PERFURAÇÃO'!$P:$P,MATCH(MEDIÇÃO!R87,'PROJETO PERFURAÇÃO'!$B:$B,0))="Pre-Splitting","S"))),"")</f>
        <v>P</v>
      </c>
      <c r="R87" s="14">
        <f t="shared" si="8"/>
        <v>205</v>
      </c>
      <c r="S87" s="4" t="str">
        <f>IFERROR(INDEX('LEV R&amp;D'!$D:$D,MATCH(MEDIÇÃO!R87,'LEV R&amp;D'!$A:$A,0))-INDEX('PROJETO PERFURAÇÃO'!$AH:$AH,MATCH(MEDIÇÃO!R87,'PROJETO PERFURAÇÃO'!$B:$B,0)),"")</f>
        <v/>
      </c>
      <c r="T87" s="17">
        <f>IFERROR(INDEX('PROJETO PERFURAÇÃO'!$AN:$AN,MATCH(MEDIÇÃO!R87,'PROJETO PERFURAÇÃO'!$B:$B,0)),"")</f>
        <v>0</v>
      </c>
      <c r="U87" s="3"/>
      <c r="V87" s="3"/>
    </row>
    <row r="88" spans="2:22" ht="45" customHeight="1">
      <c r="B88" s="3" t="str">
        <f>IFERROR(ROUND(INDEX('PROJETO PERFURAÇÃO'!$AB:$AB,MATCH(MEDIÇÃO!D88,'PROJETO PERFURAÇÃO'!$B:$B,0)),1)&amp;"''","")</f>
        <v>5''</v>
      </c>
      <c r="C88" s="3" t="str">
        <f>IFERROR(IF(INDEX('PROJETO PERFURAÇÃO'!$P:$P,MATCH(MEDIÇÃO!D88,'PROJETO PERFURAÇÃO'!$B:$B,0))="Production","P",IF(INDEX('PROJETO PERFURAÇÃO'!$P:$P,MATCH(MEDIÇÃO!D88,'PROJETO PERFURAÇÃO'!$B:$B,0))="Buffer","B",IF(INDEX('PROJETO PERFURAÇÃO'!$P:$P,MATCH(MEDIÇÃO!D88,'PROJETO PERFURAÇÃO'!$B:$B,0))="Pre-Splitting","S"))),"")</f>
        <v>P</v>
      </c>
      <c r="D88" s="14">
        <f t="shared" si="6"/>
        <v>160</v>
      </c>
      <c r="E88" s="4" t="str">
        <f>IFERROR(INDEX('LEV R&amp;D'!$D:$D,MATCH(MEDIÇÃO!D88,'LEV R&amp;D'!$A:$A,0))-INDEX('PROJETO PERFURAÇÃO'!$AH:$AH,MATCH(MEDIÇÃO!D88,'PROJETO PERFURAÇÃO'!$B:$B,0)),"")</f>
        <v/>
      </c>
      <c r="F88" s="17">
        <f>IFERROR(INDEX('PROJETO PERFURAÇÃO'!$AN:$AN,MATCH(MEDIÇÃO!D88,'PROJETO PERFURAÇÃO'!$B:$B,0)),"")</f>
        <v>0</v>
      </c>
      <c r="G88" s="3"/>
      <c r="H88" s="3"/>
      <c r="I88" s="3" t="str">
        <f>IFERROR(ROUND(INDEX('PROJETO PERFURAÇÃO'!$AB:$AB,MATCH(MEDIÇÃO!K88,'PROJETO PERFURAÇÃO'!$B:$B,0)),1)&amp;"''","")</f>
        <v>5''</v>
      </c>
      <c r="J88" s="3" t="str">
        <f>IFERROR(IF(INDEX('PROJETO PERFURAÇÃO'!$P:$P,MATCH(MEDIÇÃO!K88,'PROJETO PERFURAÇÃO'!$B:$B,0))="Production","P",IF(INDEX('PROJETO PERFURAÇÃO'!$P:$P,MATCH(MEDIÇÃO!K88,'PROJETO PERFURAÇÃO'!$B:$B,0))="Buffer","B",IF(INDEX('PROJETO PERFURAÇÃO'!$P:$P,MATCH(MEDIÇÃO!K88,'PROJETO PERFURAÇÃO'!$B:$B,0))="Pre-Splitting","S"))),"")</f>
        <v>P</v>
      </c>
      <c r="K88" s="14">
        <f t="shared" si="7"/>
        <v>183</v>
      </c>
      <c r="L88" s="4" t="str">
        <f>IFERROR(INDEX('LEV R&amp;D'!$D:$D,MATCH(MEDIÇÃO!K88,'LEV R&amp;D'!$A:$A,0))-INDEX('PROJETO PERFURAÇÃO'!$AH:$AH,MATCH(MEDIÇÃO!K88,'PROJETO PERFURAÇÃO'!$B:$B,0)),"")</f>
        <v/>
      </c>
      <c r="M88" s="17">
        <f>IFERROR(INDEX('PROJETO PERFURAÇÃO'!$AN:$AN,MATCH(MEDIÇÃO!K88,'PROJETO PERFURAÇÃO'!$B:$B,0)),"")</f>
        <v>0</v>
      </c>
      <c r="N88" s="3"/>
      <c r="O88" s="3"/>
      <c r="P88" s="3" t="str">
        <f>IFERROR(ROUND(INDEX('PROJETO PERFURAÇÃO'!$AB:$AB,MATCH(MEDIÇÃO!R88,'PROJETO PERFURAÇÃO'!$B:$B,0)),1)&amp;"''","")</f>
        <v>5''</v>
      </c>
      <c r="Q88" s="3" t="str">
        <f>IFERROR(IF(INDEX('PROJETO PERFURAÇÃO'!$P:$P,MATCH(MEDIÇÃO!R88,'PROJETO PERFURAÇÃO'!$B:$B,0))="Production","P",IF(INDEX('PROJETO PERFURAÇÃO'!$P:$P,MATCH(MEDIÇÃO!R88,'PROJETO PERFURAÇÃO'!$B:$B,0))="Buffer","B",IF(INDEX('PROJETO PERFURAÇÃO'!$P:$P,MATCH(MEDIÇÃO!R88,'PROJETO PERFURAÇÃO'!$B:$B,0))="Pre-Splitting","S"))),"")</f>
        <v>P</v>
      </c>
      <c r="R88" s="14">
        <f t="shared" si="8"/>
        <v>206</v>
      </c>
      <c r="S88" s="4" t="str">
        <f>IFERROR(INDEX('LEV R&amp;D'!$D:$D,MATCH(MEDIÇÃO!R88,'LEV R&amp;D'!$A:$A,0))-INDEX('PROJETO PERFURAÇÃO'!$AH:$AH,MATCH(MEDIÇÃO!R88,'PROJETO PERFURAÇÃO'!$B:$B,0)),"")</f>
        <v/>
      </c>
      <c r="T88" s="17">
        <f>IFERROR(INDEX('PROJETO PERFURAÇÃO'!$AN:$AN,MATCH(MEDIÇÃO!R88,'PROJETO PERFURAÇÃO'!$B:$B,0)),"")</f>
        <v>0</v>
      </c>
      <c r="U88" s="3"/>
      <c r="V88" s="3"/>
    </row>
    <row r="89" spans="2:22" ht="45" customHeight="1">
      <c r="B89" s="3" t="str">
        <f>IFERROR(ROUND(INDEX('PROJETO PERFURAÇÃO'!$AB:$AB,MATCH(MEDIÇÃO!D89,'PROJETO PERFURAÇÃO'!$B:$B,0)),1)&amp;"''","")</f>
        <v>5''</v>
      </c>
      <c r="C89" s="3" t="str">
        <f>IFERROR(IF(INDEX('PROJETO PERFURAÇÃO'!$P:$P,MATCH(MEDIÇÃO!D89,'PROJETO PERFURAÇÃO'!$B:$B,0))="Production","P",IF(INDEX('PROJETO PERFURAÇÃO'!$P:$P,MATCH(MEDIÇÃO!D89,'PROJETO PERFURAÇÃO'!$B:$B,0))="Buffer","B",IF(INDEX('PROJETO PERFURAÇÃO'!$P:$P,MATCH(MEDIÇÃO!D89,'PROJETO PERFURAÇÃO'!$B:$B,0))="Pre-Splitting","S"))),"")</f>
        <v>P</v>
      </c>
      <c r="D89" s="14">
        <f t="shared" si="6"/>
        <v>161</v>
      </c>
      <c r="E89" s="4" t="str">
        <f>IFERROR(INDEX('LEV R&amp;D'!$D:$D,MATCH(MEDIÇÃO!D89,'LEV R&amp;D'!$A:$A,0))-INDEX('PROJETO PERFURAÇÃO'!$AH:$AH,MATCH(MEDIÇÃO!D89,'PROJETO PERFURAÇÃO'!$B:$B,0)),"")</f>
        <v/>
      </c>
      <c r="F89" s="17">
        <f>IFERROR(INDEX('PROJETO PERFURAÇÃO'!$AN:$AN,MATCH(MEDIÇÃO!D89,'PROJETO PERFURAÇÃO'!$B:$B,0)),"")</f>
        <v>0</v>
      </c>
      <c r="G89" s="3"/>
      <c r="H89" s="3"/>
      <c r="I89" s="3" t="str">
        <f>IFERROR(ROUND(INDEX('PROJETO PERFURAÇÃO'!$AB:$AB,MATCH(MEDIÇÃO!K89,'PROJETO PERFURAÇÃO'!$B:$B,0)),1)&amp;"''","")</f>
        <v>5''</v>
      </c>
      <c r="J89" s="3" t="str">
        <f>IFERROR(IF(INDEX('PROJETO PERFURAÇÃO'!$P:$P,MATCH(MEDIÇÃO!K89,'PROJETO PERFURAÇÃO'!$B:$B,0))="Production","P",IF(INDEX('PROJETO PERFURAÇÃO'!$P:$P,MATCH(MEDIÇÃO!K89,'PROJETO PERFURAÇÃO'!$B:$B,0))="Buffer","B",IF(INDEX('PROJETO PERFURAÇÃO'!$P:$P,MATCH(MEDIÇÃO!K89,'PROJETO PERFURAÇÃO'!$B:$B,0))="Pre-Splitting","S"))),"")</f>
        <v>P</v>
      </c>
      <c r="K89" s="14">
        <f t="shared" si="7"/>
        <v>184</v>
      </c>
      <c r="L89" s="4" t="str">
        <f>IFERROR(INDEX('LEV R&amp;D'!$D:$D,MATCH(MEDIÇÃO!K89,'LEV R&amp;D'!$A:$A,0))-INDEX('PROJETO PERFURAÇÃO'!$AH:$AH,MATCH(MEDIÇÃO!K89,'PROJETO PERFURAÇÃO'!$B:$B,0)),"")</f>
        <v/>
      </c>
      <c r="M89" s="17">
        <f>IFERROR(INDEX('PROJETO PERFURAÇÃO'!$AN:$AN,MATCH(MEDIÇÃO!K89,'PROJETO PERFURAÇÃO'!$B:$B,0)),"")</f>
        <v>0</v>
      </c>
      <c r="N89" s="3"/>
      <c r="O89" s="3"/>
      <c r="P89" s="3" t="str">
        <f>IFERROR(ROUND(INDEX('PROJETO PERFURAÇÃO'!$AB:$AB,MATCH(MEDIÇÃO!R89,'PROJETO PERFURAÇÃO'!$B:$B,0)),1)&amp;"''","")</f>
        <v>5''</v>
      </c>
      <c r="Q89" s="3" t="str">
        <f>IFERROR(IF(INDEX('PROJETO PERFURAÇÃO'!$P:$P,MATCH(MEDIÇÃO!R89,'PROJETO PERFURAÇÃO'!$B:$B,0))="Production","P",IF(INDEX('PROJETO PERFURAÇÃO'!$P:$P,MATCH(MEDIÇÃO!R89,'PROJETO PERFURAÇÃO'!$B:$B,0))="Buffer","B",IF(INDEX('PROJETO PERFURAÇÃO'!$P:$P,MATCH(MEDIÇÃO!R89,'PROJETO PERFURAÇÃO'!$B:$B,0))="Pre-Splitting","S"))),"")</f>
        <v>P</v>
      </c>
      <c r="R89" s="14">
        <f t="shared" si="8"/>
        <v>207</v>
      </c>
      <c r="S89" s="4" t="str">
        <f>IFERROR(INDEX('LEV R&amp;D'!$D:$D,MATCH(MEDIÇÃO!R89,'LEV R&amp;D'!$A:$A,0))-INDEX('PROJETO PERFURAÇÃO'!$AH:$AH,MATCH(MEDIÇÃO!R89,'PROJETO PERFURAÇÃO'!$B:$B,0)),"")</f>
        <v/>
      </c>
      <c r="T89" s="17">
        <f>IFERROR(INDEX('PROJETO PERFURAÇÃO'!$AN:$AN,MATCH(MEDIÇÃO!R89,'PROJETO PERFURAÇÃO'!$B:$B,0)),"")</f>
        <v>0</v>
      </c>
      <c r="U89" s="3"/>
      <c r="V89" s="3"/>
    </row>
    <row r="90" spans="2:22" ht="30" customHeight="1">
      <c r="B90" s="1"/>
      <c r="C90" s="1"/>
      <c r="D90" s="15"/>
      <c r="E90" s="2"/>
      <c r="F90" s="16"/>
      <c r="G90" s="1"/>
      <c r="H90" s="1"/>
      <c r="I90" s="1"/>
      <c r="J90" s="1"/>
      <c r="K90" s="15"/>
      <c r="L90" s="2"/>
      <c r="M90" s="16"/>
      <c r="N90" s="1"/>
      <c r="O90" s="1"/>
      <c r="P90" s="1"/>
      <c r="Q90" s="1"/>
      <c r="R90" s="15"/>
      <c r="S90" s="2"/>
      <c r="T90" s="16"/>
      <c r="U90" s="1"/>
      <c r="V90" s="1"/>
    </row>
    <row r="91" spans="2:22" ht="30" customHeight="1">
      <c r="C91" s="20"/>
      <c r="D91" s="20"/>
      <c r="E91" s="20"/>
      <c r="F91" s="20"/>
      <c r="G91" s="20"/>
      <c r="H91" s="20"/>
      <c r="I91" s="20"/>
      <c r="J91" s="20"/>
      <c r="K91" s="20"/>
      <c r="M91" s="20"/>
      <c r="N91" s="20"/>
      <c r="O91" s="20"/>
      <c r="P91" s="20"/>
      <c r="Q91" s="20"/>
      <c r="R91" s="20"/>
      <c r="S91" s="20"/>
      <c r="T91" s="20"/>
      <c r="U91" s="20"/>
    </row>
    <row r="92" spans="2:22" ht="30" customHeight="1">
      <c r="C92" s="21" t="s">
        <v>40</v>
      </c>
      <c r="D92" s="21"/>
      <c r="E92" s="21"/>
      <c r="F92" s="21"/>
      <c r="G92" s="21"/>
      <c r="H92" s="21"/>
      <c r="I92" s="21"/>
      <c r="J92" s="21"/>
      <c r="K92" s="21"/>
      <c r="L92" s="9"/>
      <c r="M92" s="21" t="s">
        <v>40</v>
      </c>
      <c r="N92" s="21"/>
      <c r="O92" s="21"/>
      <c r="P92" s="21"/>
      <c r="Q92" s="21"/>
      <c r="R92" s="21"/>
      <c r="S92" s="21"/>
      <c r="T92" s="21"/>
      <c r="U92" s="21"/>
      <c r="V92" s="9"/>
    </row>
    <row r="93" spans="2:22" ht="30" customHeight="1">
      <c r="D93" s="9"/>
      <c r="E93" s="9"/>
      <c r="F93" s="9"/>
      <c r="G93" s="9"/>
      <c r="H93" s="9"/>
      <c r="I93" s="9"/>
      <c r="J93" s="9"/>
      <c r="K93" s="9"/>
      <c r="L93" s="9"/>
      <c r="M93" s="9"/>
      <c r="N93" s="9"/>
      <c r="Q93" s="9"/>
      <c r="R93" s="9"/>
      <c r="S93" s="9"/>
      <c r="T93" s="9"/>
      <c r="U93" s="9"/>
      <c r="V93" s="9"/>
    </row>
    <row r="94" spans="2:22" ht="30" customHeight="1">
      <c r="B94" s="19" t="str">
        <f>'PROJETO PERFURAÇÃO'!$C$2&amp;" - "&amp;'PROJETO PERFURAÇÃO'!$H$2</f>
        <v>LIB037 - PP0370626</v>
      </c>
      <c r="C94" s="19"/>
      <c r="D94" s="19"/>
      <c r="E94" s="19"/>
      <c r="F94" s="19"/>
      <c r="G94" s="19"/>
      <c r="H94" s="19"/>
      <c r="I94" s="11" t="s">
        <v>34</v>
      </c>
      <c r="J94" s="10" t="s">
        <v>37</v>
      </c>
    </row>
    <row r="95" spans="2:22" ht="30" customHeight="1">
      <c r="B95" s="19"/>
      <c r="C95" s="19"/>
      <c r="D95" s="19"/>
      <c r="E95" s="19"/>
      <c r="F95" s="19"/>
      <c r="G95" s="19"/>
      <c r="H95" s="19"/>
      <c r="I95" s="12" t="s">
        <v>35</v>
      </c>
      <c r="J95" s="10" t="s">
        <v>38</v>
      </c>
      <c r="K95" s="9"/>
      <c r="L95" s="9"/>
      <c r="M95" s="9"/>
      <c r="N95" s="9"/>
      <c r="O95" s="9"/>
      <c r="P95" s="9"/>
      <c r="Q95" s="9"/>
      <c r="R95" s="9"/>
      <c r="S95" s="9"/>
      <c r="T95" s="9"/>
      <c r="U95" s="9"/>
      <c r="V95" s="9"/>
    </row>
    <row r="96" spans="2:22" ht="30" customHeight="1">
      <c r="B96" s="19"/>
      <c r="C96" s="19"/>
      <c r="D96" s="19"/>
      <c r="E96" s="19"/>
      <c r="F96" s="19"/>
      <c r="G96" s="19"/>
      <c r="H96" s="19"/>
      <c r="I96" s="13" t="s">
        <v>36</v>
      </c>
      <c r="J96" s="10" t="s">
        <v>39</v>
      </c>
    </row>
    <row r="97" spans="1:23" ht="30" customHeight="1">
      <c r="A97" s="1"/>
      <c r="B97" s="6" t="s">
        <v>33</v>
      </c>
      <c r="C97" s="6" t="s">
        <v>13</v>
      </c>
      <c r="D97" s="7" t="s">
        <v>1</v>
      </c>
      <c r="E97" s="7" t="s">
        <v>29</v>
      </c>
      <c r="F97" s="7" t="s">
        <v>30</v>
      </c>
      <c r="G97" s="7" t="s">
        <v>31</v>
      </c>
      <c r="H97" s="7" t="s">
        <v>32</v>
      </c>
      <c r="I97" s="6" t="s">
        <v>33</v>
      </c>
      <c r="J97" s="6" t="s">
        <v>13</v>
      </c>
      <c r="K97" s="7" t="s">
        <v>1</v>
      </c>
      <c r="L97" s="7" t="s">
        <v>29</v>
      </c>
      <c r="M97" s="7" t="s">
        <v>30</v>
      </c>
      <c r="N97" s="7" t="s">
        <v>31</v>
      </c>
      <c r="O97" s="7" t="s">
        <v>32</v>
      </c>
      <c r="P97" s="6" t="s">
        <v>33</v>
      </c>
      <c r="Q97" s="6" t="s">
        <v>13</v>
      </c>
      <c r="R97" s="7" t="s">
        <v>1</v>
      </c>
      <c r="S97" s="7" t="s">
        <v>29</v>
      </c>
      <c r="T97" s="7" t="s">
        <v>30</v>
      </c>
      <c r="U97" s="7" t="s">
        <v>31</v>
      </c>
      <c r="V97" s="7" t="s">
        <v>32</v>
      </c>
      <c r="W97" s="1"/>
    </row>
    <row r="98" spans="1:23" ht="45" customHeight="1">
      <c r="B98" s="3" t="str">
        <f>IFERROR(ROUND(INDEX('PROJETO PERFURAÇÃO'!$AB:$AB,MATCH(MEDIÇÃO!D98,'PROJETO PERFURAÇÃO'!$B:$B,0)),1)&amp;"''","")</f>
        <v>5''</v>
      </c>
      <c r="C98" s="3" t="str">
        <f>IFERROR(IF(INDEX('PROJETO PERFURAÇÃO'!$P:$P,MATCH(MEDIÇÃO!D98,'PROJETO PERFURAÇÃO'!$B:$B,0))="Production","P",IF(INDEX('PROJETO PERFURAÇÃO'!$P:$P,MATCH(MEDIÇÃO!D98,'PROJETO PERFURAÇÃO'!$B:$B,0))="Buffer","B",IF(INDEX('PROJETO PERFURAÇÃO'!$P:$P,MATCH(MEDIÇÃO!D98,'PROJETO PERFURAÇÃO'!$B:$B,0))="Pre-Splitting","S"))),"")</f>
        <v>P</v>
      </c>
      <c r="D98" s="14">
        <f>R89+1</f>
        <v>208</v>
      </c>
      <c r="E98" s="4" t="str">
        <f>IFERROR(INDEX('LEV R&amp;D'!$D:$D,MATCH(MEDIÇÃO!D98,'LEV R&amp;D'!$A:$A,0))-INDEX('PROJETO PERFURAÇÃO'!$AH:$AH,MATCH(MEDIÇÃO!D98,'PROJETO PERFURAÇÃO'!$B:$B,0)),"")</f>
        <v/>
      </c>
      <c r="F98" s="17">
        <f>IFERROR(INDEX('PROJETO PERFURAÇÃO'!$AN:$AN,MATCH(MEDIÇÃO!D98,'PROJETO PERFURAÇÃO'!$B:$B,0)),"")</f>
        <v>0</v>
      </c>
      <c r="G98" s="3"/>
      <c r="H98" s="3"/>
      <c r="I98" s="3" t="str">
        <f>IFERROR(ROUND(INDEX('PROJETO PERFURAÇÃO'!$AB:$AB,MATCH(MEDIÇÃO!K98,'PROJETO PERFURAÇÃO'!$B:$B,0)),1)&amp;"''","")</f>
        <v>5''</v>
      </c>
      <c r="J98" s="3" t="str">
        <f>IFERROR(IF(INDEX('PROJETO PERFURAÇÃO'!$P:$P,MATCH(MEDIÇÃO!K98,'PROJETO PERFURAÇÃO'!$B:$B,0))="Production","P",IF(INDEX('PROJETO PERFURAÇÃO'!$P:$P,MATCH(MEDIÇÃO!K98,'PROJETO PERFURAÇÃO'!$B:$B,0))="Buffer","B",IF(INDEX('PROJETO PERFURAÇÃO'!$P:$P,MATCH(MEDIÇÃO!K98,'PROJETO PERFURAÇÃO'!$B:$B,0))="Pre-Splitting","S"))),"")</f>
        <v>P</v>
      </c>
      <c r="K98" s="14">
        <f>D120+1</f>
        <v>231</v>
      </c>
      <c r="L98" s="4" t="str">
        <f>IFERROR(INDEX('LEV R&amp;D'!$D:$D,MATCH(MEDIÇÃO!K98,'LEV R&amp;D'!$A:$A,0))-INDEX('PROJETO PERFURAÇÃO'!$AH:$AH,MATCH(MEDIÇÃO!K98,'PROJETO PERFURAÇÃO'!$B:$B,0)),"")</f>
        <v/>
      </c>
      <c r="M98" s="17">
        <f>IFERROR(INDEX('PROJETO PERFURAÇÃO'!$AN:$AN,MATCH(MEDIÇÃO!K98,'PROJETO PERFURAÇÃO'!$B:$B,0)),"")</f>
        <v>0</v>
      </c>
      <c r="N98" s="3"/>
      <c r="O98" s="3"/>
      <c r="P98" s="3" t="str">
        <f>IFERROR(ROUND(INDEX('PROJETO PERFURAÇÃO'!$AB:$AB,MATCH(MEDIÇÃO!R98,'PROJETO PERFURAÇÃO'!$B:$B,0)),1)&amp;"''","")</f>
        <v>5''</v>
      </c>
      <c r="Q98" s="3" t="str">
        <f>IFERROR(IF(INDEX('PROJETO PERFURAÇÃO'!$P:$P,MATCH(MEDIÇÃO!R98,'PROJETO PERFURAÇÃO'!$B:$B,0))="Production","P",IF(INDEX('PROJETO PERFURAÇÃO'!$P:$P,MATCH(MEDIÇÃO!R98,'PROJETO PERFURAÇÃO'!$B:$B,0))="Buffer","B",IF(INDEX('PROJETO PERFURAÇÃO'!$P:$P,MATCH(MEDIÇÃO!R98,'PROJETO PERFURAÇÃO'!$B:$B,0))="Pre-Splitting","S"))),"")</f>
        <v>P</v>
      </c>
      <c r="R98" s="14">
        <f>K120+1</f>
        <v>254</v>
      </c>
      <c r="S98" s="4" t="str">
        <f>IFERROR(INDEX('LEV R&amp;D'!$D:$D,MATCH(MEDIÇÃO!R98,'LEV R&amp;D'!$A:$A,0))-INDEX('PROJETO PERFURAÇÃO'!$AH:$AH,MATCH(MEDIÇÃO!R98,'PROJETO PERFURAÇÃO'!$B:$B,0)),"")</f>
        <v/>
      </c>
      <c r="T98" s="17">
        <f>IFERROR(INDEX('PROJETO PERFURAÇÃO'!$AN:$AN,MATCH(MEDIÇÃO!R98,'PROJETO PERFURAÇÃO'!$B:$B,0)),"")</f>
        <v>0</v>
      </c>
      <c r="U98" s="3"/>
      <c r="V98" s="3"/>
    </row>
    <row r="99" spans="1:23" ht="45" customHeight="1">
      <c r="B99" s="3" t="str">
        <f>IFERROR(ROUND(INDEX('PROJETO PERFURAÇÃO'!$AB:$AB,MATCH(MEDIÇÃO!D99,'PROJETO PERFURAÇÃO'!$B:$B,0)),1)&amp;"''","")</f>
        <v>5''</v>
      </c>
      <c r="C99" s="3" t="str">
        <f>IFERROR(IF(INDEX('PROJETO PERFURAÇÃO'!$P:$P,MATCH(MEDIÇÃO!D99,'PROJETO PERFURAÇÃO'!$B:$B,0))="Production","P",IF(INDEX('PROJETO PERFURAÇÃO'!$P:$P,MATCH(MEDIÇÃO!D99,'PROJETO PERFURAÇÃO'!$B:$B,0))="Buffer","B",IF(INDEX('PROJETO PERFURAÇÃO'!$P:$P,MATCH(MEDIÇÃO!D99,'PROJETO PERFURAÇÃO'!$B:$B,0))="Pre-Splitting","S"))),"")</f>
        <v>P</v>
      </c>
      <c r="D99" s="14">
        <f>D98+1</f>
        <v>209</v>
      </c>
      <c r="E99" s="4" t="str">
        <f>IFERROR(INDEX('LEV R&amp;D'!$D:$D,MATCH(MEDIÇÃO!D99,'LEV R&amp;D'!$A:$A,0))-INDEX('PROJETO PERFURAÇÃO'!$AH:$AH,MATCH(MEDIÇÃO!D99,'PROJETO PERFURAÇÃO'!$B:$B,0)),"")</f>
        <v/>
      </c>
      <c r="F99" s="17">
        <f>IFERROR(INDEX('PROJETO PERFURAÇÃO'!$AN:$AN,MATCH(MEDIÇÃO!D99,'PROJETO PERFURAÇÃO'!$B:$B,0)),"")</f>
        <v>0</v>
      </c>
      <c r="G99" s="3"/>
      <c r="H99" s="3"/>
      <c r="I99" s="3" t="str">
        <f>IFERROR(ROUND(INDEX('PROJETO PERFURAÇÃO'!$AB:$AB,MATCH(MEDIÇÃO!K99,'PROJETO PERFURAÇÃO'!$B:$B,0)),1)&amp;"''","")</f>
        <v>5''</v>
      </c>
      <c r="J99" s="3" t="str">
        <f>IFERROR(IF(INDEX('PROJETO PERFURAÇÃO'!$P:$P,MATCH(MEDIÇÃO!K99,'PROJETO PERFURAÇÃO'!$B:$B,0))="Production","P",IF(INDEX('PROJETO PERFURAÇÃO'!$P:$P,MATCH(MEDIÇÃO!K99,'PROJETO PERFURAÇÃO'!$B:$B,0))="Buffer","B",IF(INDEX('PROJETO PERFURAÇÃO'!$P:$P,MATCH(MEDIÇÃO!K99,'PROJETO PERFURAÇÃO'!$B:$B,0))="Pre-Splitting","S"))),"")</f>
        <v>P</v>
      </c>
      <c r="K99" s="14">
        <f>K98+1</f>
        <v>232</v>
      </c>
      <c r="L99" s="4" t="str">
        <f>IFERROR(INDEX('LEV R&amp;D'!$D:$D,MATCH(MEDIÇÃO!K99,'LEV R&amp;D'!$A:$A,0))-INDEX('PROJETO PERFURAÇÃO'!$AH:$AH,MATCH(MEDIÇÃO!K99,'PROJETO PERFURAÇÃO'!$B:$B,0)),"")</f>
        <v/>
      </c>
      <c r="M99" s="17">
        <f>IFERROR(INDEX('PROJETO PERFURAÇÃO'!$AN:$AN,MATCH(MEDIÇÃO!K99,'PROJETO PERFURAÇÃO'!$B:$B,0)),"")</f>
        <v>0</v>
      </c>
      <c r="N99" s="3"/>
      <c r="O99" s="3"/>
      <c r="P99" s="3" t="str">
        <f>IFERROR(ROUND(INDEX('PROJETO PERFURAÇÃO'!$AB:$AB,MATCH(MEDIÇÃO!R99,'PROJETO PERFURAÇÃO'!$B:$B,0)),1)&amp;"''","")</f>
        <v>5''</v>
      </c>
      <c r="Q99" s="3" t="str">
        <f>IFERROR(IF(INDEX('PROJETO PERFURAÇÃO'!$P:$P,MATCH(MEDIÇÃO!R99,'PROJETO PERFURAÇÃO'!$B:$B,0))="Production","P",IF(INDEX('PROJETO PERFURAÇÃO'!$P:$P,MATCH(MEDIÇÃO!R99,'PROJETO PERFURAÇÃO'!$B:$B,0))="Buffer","B",IF(INDEX('PROJETO PERFURAÇÃO'!$P:$P,MATCH(MEDIÇÃO!R99,'PROJETO PERFURAÇÃO'!$B:$B,0))="Pre-Splitting","S"))),"")</f>
        <v>P</v>
      </c>
      <c r="R99" s="14">
        <f>R98+1</f>
        <v>255</v>
      </c>
      <c r="S99" s="4" t="str">
        <f>IFERROR(INDEX('LEV R&amp;D'!$D:$D,MATCH(MEDIÇÃO!R99,'LEV R&amp;D'!$A:$A,0))-INDEX('PROJETO PERFURAÇÃO'!$AH:$AH,MATCH(MEDIÇÃO!R99,'PROJETO PERFURAÇÃO'!$B:$B,0)),"")</f>
        <v/>
      </c>
      <c r="T99" s="17">
        <f>IFERROR(INDEX('PROJETO PERFURAÇÃO'!$AN:$AN,MATCH(MEDIÇÃO!R99,'PROJETO PERFURAÇÃO'!$B:$B,0)),"")</f>
        <v>0</v>
      </c>
      <c r="U99" s="3"/>
      <c r="V99" s="3"/>
    </row>
    <row r="100" spans="1:23" ht="45" customHeight="1">
      <c r="B100" s="3" t="str">
        <f>IFERROR(ROUND(INDEX('PROJETO PERFURAÇÃO'!$AB:$AB,MATCH(MEDIÇÃO!D100,'PROJETO PERFURAÇÃO'!$B:$B,0)),1)&amp;"''","")</f>
        <v>5''</v>
      </c>
      <c r="C100" s="3" t="str">
        <f>IFERROR(IF(INDEX('PROJETO PERFURAÇÃO'!$P:$P,MATCH(MEDIÇÃO!D100,'PROJETO PERFURAÇÃO'!$B:$B,0))="Production","P",IF(INDEX('PROJETO PERFURAÇÃO'!$P:$P,MATCH(MEDIÇÃO!D100,'PROJETO PERFURAÇÃO'!$B:$B,0))="Buffer","B",IF(INDEX('PROJETO PERFURAÇÃO'!$P:$P,MATCH(MEDIÇÃO!D100,'PROJETO PERFURAÇÃO'!$B:$B,0))="Pre-Splitting","S"))),"")</f>
        <v>P</v>
      </c>
      <c r="D100" s="14">
        <f t="shared" ref="D100:D120" si="9">D99+1</f>
        <v>210</v>
      </c>
      <c r="E100" s="4" t="str">
        <f>IFERROR(INDEX('LEV R&amp;D'!$D:$D,MATCH(MEDIÇÃO!D100,'LEV R&amp;D'!$A:$A,0))-INDEX('PROJETO PERFURAÇÃO'!$AH:$AH,MATCH(MEDIÇÃO!D100,'PROJETO PERFURAÇÃO'!$B:$B,0)),"")</f>
        <v/>
      </c>
      <c r="F100" s="17">
        <f>IFERROR(INDEX('PROJETO PERFURAÇÃO'!$AN:$AN,MATCH(MEDIÇÃO!D100,'PROJETO PERFURAÇÃO'!$B:$B,0)),"")</f>
        <v>0</v>
      </c>
      <c r="G100" s="3"/>
      <c r="H100" s="3"/>
      <c r="I100" s="3" t="str">
        <f>IFERROR(ROUND(INDEX('PROJETO PERFURAÇÃO'!$AB:$AB,MATCH(MEDIÇÃO!K100,'PROJETO PERFURAÇÃO'!$B:$B,0)),1)&amp;"''","")</f>
        <v>5''</v>
      </c>
      <c r="J100" s="3" t="str">
        <f>IFERROR(IF(INDEX('PROJETO PERFURAÇÃO'!$P:$P,MATCH(MEDIÇÃO!K100,'PROJETO PERFURAÇÃO'!$B:$B,0))="Production","P",IF(INDEX('PROJETO PERFURAÇÃO'!$P:$P,MATCH(MEDIÇÃO!K100,'PROJETO PERFURAÇÃO'!$B:$B,0))="Buffer","B",IF(INDEX('PROJETO PERFURAÇÃO'!$P:$P,MATCH(MEDIÇÃO!K100,'PROJETO PERFURAÇÃO'!$B:$B,0))="Pre-Splitting","S"))),"")</f>
        <v>P</v>
      </c>
      <c r="K100" s="14">
        <f t="shared" ref="K100:K120" si="10">K99+1</f>
        <v>233</v>
      </c>
      <c r="L100" s="4" t="str">
        <f>IFERROR(INDEX('LEV R&amp;D'!$D:$D,MATCH(MEDIÇÃO!K100,'LEV R&amp;D'!$A:$A,0))-INDEX('PROJETO PERFURAÇÃO'!$AH:$AH,MATCH(MEDIÇÃO!K100,'PROJETO PERFURAÇÃO'!$B:$B,0)),"")</f>
        <v/>
      </c>
      <c r="M100" s="17">
        <f>IFERROR(INDEX('PROJETO PERFURAÇÃO'!$AN:$AN,MATCH(MEDIÇÃO!K100,'PROJETO PERFURAÇÃO'!$B:$B,0)),"")</f>
        <v>0</v>
      </c>
      <c r="N100" s="3"/>
      <c r="O100" s="3"/>
      <c r="P100" s="3" t="str">
        <f>IFERROR(ROUND(INDEX('PROJETO PERFURAÇÃO'!$AB:$AB,MATCH(MEDIÇÃO!R100,'PROJETO PERFURAÇÃO'!$B:$B,0)),1)&amp;"''","")</f>
        <v>5''</v>
      </c>
      <c r="Q100" s="3" t="str">
        <f>IFERROR(IF(INDEX('PROJETO PERFURAÇÃO'!$P:$P,MATCH(MEDIÇÃO!R100,'PROJETO PERFURAÇÃO'!$B:$B,0))="Production","P",IF(INDEX('PROJETO PERFURAÇÃO'!$P:$P,MATCH(MEDIÇÃO!R100,'PROJETO PERFURAÇÃO'!$B:$B,0))="Buffer","B",IF(INDEX('PROJETO PERFURAÇÃO'!$P:$P,MATCH(MEDIÇÃO!R100,'PROJETO PERFURAÇÃO'!$B:$B,0))="Pre-Splitting","S"))),"")</f>
        <v>P</v>
      </c>
      <c r="R100" s="14">
        <f t="shared" ref="R100:R120" si="11">R99+1</f>
        <v>256</v>
      </c>
      <c r="S100" s="4" t="str">
        <f>IFERROR(INDEX('LEV R&amp;D'!$D:$D,MATCH(MEDIÇÃO!R100,'LEV R&amp;D'!$A:$A,0))-INDEX('PROJETO PERFURAÇÃO'!$AH:$AH,MATCH(MEDIÇÃO!R100,'PROJETO PERFURAÇÃO'!$B:$B,0)),"")</f>
        <v/>
      </c>
      <c r="T100" s="17">
        <f>IFERROR(INDEX('PROJETO PERFURAÇÃO'!$AN:$AN,MATCH(MEDIÇÃO!R100,'PROJETO PERFURAÇÃO'!$B:$B,0)),"")</f>
        <v>0</v>
      </c>
      <c r="U100" s="3"/>
      <c r="V100" s="3"/>
    </row>
    <row r="101" spans="1:23" ht="45" customHeight="1">
      <c r="B101" s="3" t="str">
        <f>IFERROR(ROUND(INDEX('PROJETO PERFURAÇÃO'!$AB:$AB,MATCH(MEDIÇÃO!D101,'PROJETO PERFURAÇÃO'!$B:$B,0)),1)&amp;"''","")</f>
        <v>5''</v>
      </c>
      <c r="C101" s="3" t="str">
        <f>IFERROR(IF(INDEX('PROJETO PERFURAÇÃO'!$P:$P,MATCH(MEDIÇÃO!D101,'PROJETO PERFURAÇÃO'!$B:$B,0))="Production","P",IF(INDEX('PROJETO PERFURAÇÃO'!$P:$P,MATCH(MEDIÇÃO!D101,'PROJETO PERFURAÇÃO'!$B:$B,0))="Buffer","B",IF(INDEX('PROJETO PERFURAÇÃO'!$P:$P,MATCH(MEDIÇÃO!D101,'PROJETO PERFURAÇÃO'!$B:$B,0))="Pre-Splitting","S"))),"")</f>
        <v>P</v>
      </c>
      <c r="D101" s="14">
        <f t="shared" si="9"/>
        <v>211</v>
      </c>
      <c r="E101" s="4" t="str">
        <f>IFERROR(INDEX('LEV R&amp;D'!$D:$D,MATCH(MEDIÇÃO!D101,'LEV R&amp;D'!$A:$A,0))-INDEX('PROJETO PERFURAÇÃO'!$AH:$AH,MATCH(MEDIÇÃO!D101,'PROJETO PERFURAÇÃO'!$B:$B,0)),"")</f>
        <v/>
      </c>
      <c r="F101" s="17">
        <f>IFERROR(INDEX('PROJETO PERFURAÇÃO'!$AN:$AN,MATCH(MEDIÇÃO!D101,'PROJETO PERFURAÇÃO'!$B:$B,0)),"")</f>
        <v>0</v>
      </c>
      <c r="G101" s="3"/>
      <c r="H101" s="3"/>
      <c r="I101" s="3" t="str">
        <f>IFERROR(ROUND(INDEX('PROJETO PERFURAÇÃO'!$AB:$AB,MATCH(MEDIÇÃO!K101,'PROJETO PERFURAÇÃO'!$B:$B,0)),1)&amp;"''","")</f>
        <v>5''</v>
      </c>
      <c r="J101" s="3" t="str">
        <f>IFERROR(IF(INDEX('PROJETO PERFURAÇÃO'!$P:$P,MATCH(MEDIÇÃO!K101,'PROJETO PERFURAÇÃO'!$B:$B,0))="Production","P",IF(INDEX('PROJETO PERFURAÇÃO'!$P:$P,MATCH(MEDIÇÃO!K101,'PROJETO PERFURAÇÃO'!$B:$B,0))="Buffer","B",IF(INDEX('PROJETO PERFURAÇÃO'!$P:$P,MATCH(MEDIÇÃO!K101,'PROJETO PERFURAÇÃO'!$B:$B,0))="Pre-Splitting","S"))),"")</f>
        <v>P</v>
      </c>
      <c r="K101" s="14">
        <f t="shared" si="10"/>
        <v>234</v>
      </c>
      <c r="L101" s="4" t="str">
        <f>IFERROR(INDEX('LEV R&amp;D'!$D:$D,MATCH(MEDIÇÃO!K101,'LEV R&amp;D'!$A:$A,0))-INDEX('PROJETO PERFURAÇÃO'!$AH:$AH,MATCH(MEDIÇÃO!K101,'PROJETO PERFURAÇÃO'!$B:$B,0)),"")</f>
        <v/>
      </c>
      <c r="M101" s="17">
        <f>IFERROR(INDEX('PROJETO PERFURAÇÃO'!$AN:$AN,MATCH(MEDIÇÃO!K101,'PROJETO PERFURAÇÃO'!$B:$B,0)),"")</f>
        <v>0</v>
      </c>
      <c r="N101" s="3"/>
      <c r="O101" s="3"/>
      <c r="P101" s="3" t="str">
        <f>IFERROR(ROUND(INDEX('PROJETO PERFURAÇÃO'!$AB:$AB,MATCH(MEDIÇÃO!R101,'PROJETO PERFURAÇÃO'!$B:$B,0)),1)&amp;"''","")</f>
        <v>5''</v>
      </c>
      <c r="Q101" s="3" t="str">
        <f>IFERROR(IF(INDEX('PROJETO PERFURAÇÃO'!$P:$P,MATCH(MEDIÇÃO!R101,'PROJETO PERFURAÇÃO'!$B:$B,0))="Production","P",IF(INDEX('PROJETO PERFURAÇÃO'!$P:$P,MATCH(MEDIÇÃO!R101,'PROJETO PERFURAÇÃO'!$B:$B,0))="Buffer","B",IF(INDEX('PROJETO PERFURAÇÃO'!$P:$P,MATCH(MEDIÇÃO!R101,'PROJETO PERFURAÇÃO'!$B:$B,0))="Pre-Splitting","S"))),"")</f>
        <v>P</v>
      </c>
      <c r="R101" s="14">
        <f t="shared" si="11"/>
        <v>257</v>
      </c>
      <c r="S101" s="4" t="str">
        <f>IFERROR(INDEX('LEV R&amp;D'!$D:$D,MATCH(MEDIÇÃO!R101,'LEV R&amp;D'!$A:$A,0))-INDEX('PROJETO PERFURAÇÃO'!$AH:$AH,MATCH(MEDIÇÃO!R101,'PROJETO PERFURAÇÃO'!$B:$B,0)),"")</f>
        <v/>
      </c>
      <c r="T101" s="17">
        <f>IFERROR(INDEX('PROJETO PERFURAÇÃO'!$AN:$AN,MATCH(MEDIÇÃO!R101,'PROJETO PERFURAÇÃO'!$B:$B,0)),"")</f>
        <v>0</v>
      </c>
      <c r="U101" s="3"/>
      <c r="V101" s="3"/>
    </row>
    <row r="102" spans="1:23" ht="45" customHeight="1">
      <c r="B102" s="3" t="str">
        <f>IFERROR(ROUND(INDEX('PROJETO PERFURAÇÃO'!$AB:$AB,MATCH(MEDIÇÃO!D102,'PROJETO PERFURAÇÃO'!$B:$B,0)),1)&amp;"''","")</f>
        <v>5''</v>
      </c>
      <c r="C102" s="3" t="str">
        <f>IFERROR(IF(INDEX('PROJETO PERFURAÇÃO'!$P:$P,MATCH(MEDIÇÃO!D102,'PROJETO PERFURAÇÃO'!$B:$B,0))="Production","P",IF(INDEX('PROJETO PERFURAÇÃO'!$P:$P,MATCH(MEDIÇÃO!D102,'PROJETO PERFURAÇÃO'!$B:$B,0))="Buffer","B",IF(INDEX('PROJETO PERFURAÇÃO'!$P:$P,MATCH(MEDIÇÃO!D102,'PROJETO PERFURAÇÃO'!$B:$B,0))="Pre-Splitting","S"))),"")</f>
        <v>P</v>
      </c>
      <c r="D102" s="14">
        <f t="shared" si="9"/>
        <v>212</v>
      </c>
      <c r="E102" s="4" t="str">
        <f>IFERROR(INDEX('LEV R&amp;D'!$D:$D,MATCH(MEDIÇÃO!D102,'LEV R&amp;D'!$A:$A,0))-INDEX('PROJETO PERFURAÇÃO'!$AH:$AH,MATCH(MEDIÇÃO!D102,'PROJETO PERFURAÇÃO'!$B:$B,0)),"")</f>
        <v/>
      </c>
      <c r="F102" s="17">
        <f>IFERROR(INDEX('PROJETO PERFURAÇÃO'!$AN:$AN,MATCH(MEDIÇÃO!D102,'PROJETO PERFURAÇÃO'!$B:$B,0)),"")</f>
        <v>0</v>
      </c>
      <c r="G102" s="3"/>
      <c r="H102" s="3"/>
      <c r="I102" s="3" t="str">
        <f>IFERROR(ROUND(INDEX('PROJETO PERFURAÇÃO'!$AB:$AB,MATCH(MEDIÇÃO!K102,'PROJETO PERFURAÇÃO'!$B:$B,0)),1)&amp;"''","")</f>
        <v>5''</v>
      </c>
      <c r="J102" s="3" t="str">
        <f>IFERROR(IF(INDEX('PROJETO PERFURAÇÃO'!$P:$P,MATCH(MEDIÇÃO!K102,'PROJETO PERFURAÇÃO'!$B:$B,0))="Production","P",IF(INDEX('PROJETO PERFURAÇÃO'!$P:$P,MATCH(MEDIÇÃO!K102,'PROJETO PERFURAÇÃO'!$B:$B,0))="Buffer","B",IF(INDEX('PROJETO PERFURAÇÃO'!$P:$P,MATCH(MEDIÇÃO!K102,'PROJETO PERFURAÇÃO'!$B:$B,0))="Pre-Splitting","S"))),"")</f>
        <v>P</v>
      </c>
      <c r="K102" s="14">
        <f t="shared" si="10"/>
        <v>235</v>
      </c>
      <c r="L102" s="4" t="str">
        <f>IFERROR(INDEX('LEV R&amp;D'!$D:$D,MATCH(MEDIÇÃO!K102,'LEV R&amp;D'!$A:$A,0))-INDEX('PROJETO PERFURAÇÃO'!$AH:$AH,MATCH(MEDIÇÃO!K102,'PROJETO PERFURAÇÃO'!$B:$B,0)),"")</f>
        <v/>
      </c>
      <c r="M102" s="17">
        <f>IFERROR(INDEX('PROJETO PERFURAÇÃO'!$AN:$AN,MATCH(MEDIÇÃO!K102,'PROJETO PERFURAÇÃO'!$B:$B,0)),"")</f>
        <v>0</v>
      </c>
      <c r="N102" s="3"/>
      <c r="O102" s="3"/>
      <c r="P102" s="3" t="str">
        <f>IFERROR(ROUND(INDEX('PROJETO PERFURAÇÃO'!$AB:$AB,MATCH(MEDIÇÃO!R102,'PROJETO PERFURAÇÃO'!$B:$B,0)),1)&amp;"''","")</f>
        <v>5''</v>
      </c>
      <c r="Q102" s="3" t="str">
        <f>IFERROR(IF(INDEX('PROJETO PERFURAÇÃO'!$P:$P,MATCH(MEDIÇÃO!R102,'PROJETO PERFURAÇÃO'!$B:$B,0))="Production","P",IF(INDEX('PROJETO PERFURAÇÃO'!$P:$P,MATCH(MEDIÇÃO!R102,'PROJETO PERFURAÇÃO'!$B:$B,0))="Buffer","B",IF(INDEX('PROJETO PERFURAÇÃO'!$P:$P,MATCH(MEDIÇÃO!R102,'PROJETO PERFURAÇÃO'!$B:$B,0))="Pre-Splitting","S"))),"")</f>
        <v>P</v>
      </c>
      <c r="R102" s="14">
        <f t="shared" si="11"/>
        <v>258</v>
      </c>
      <c r="S102" s="4" t="str">
        <f>IFERROR(INDEX('LEV R&amp;D'!$D:$D,MATCH(MEDIÇÃO!R102,'LEV R&amp;D'!$A:$A,0))-INDEX('PROJETO PERFURAÇÃO'!$AH:$AH,MATCH(MEDIÇÃO!R102,'PROJETO PERFURAÇÃO'!$B:$B,0)),"")</f>
        <v/>
      </c>
      <c r="T102" s="17">
        <f>IFERROR(INDEX('PROJETO PERFURAÇÃO'!$AN:$AN,MATCH(MEDIÇÃO!R102,'PROJETO PERFURAÇÃO'!$B:$B,0)),"")</f>
        <v>0</v>
      </c>
      <c r="U102" s="3"/>
      <c r="V102" s="3"/>
    </row>
    <row r="103" spans="1:23" ht="45" customHeight="1">
      <c r="B103" s="3" t="str">
        <f>IFERROR(ROUND(INDEX('PROJETO PERFURAÇÃO'!$AB:$AB,MATCH(MEDIÇÃO!D103,'PROJETO PERFURAÇÃO'!$B:$B,0)),1)&amp;"''","")</f>
        <v>5''</v>
      </c>
      <c r="C103" s="3" t="str">
        <f>IFERROR(IF(INDEX('PROJETO PERFURAÇÃO'!$P:$P,MATCH(MEDIÇÃO!D103,'PROJETO PERFURAÇÃO'!$B:$B,0))="Production","P",IF(INDEX('PROJETO PERFURAÇÃO'!$P:$P,MATCH(MEDIÇÃO!D103,'PROJETO PERFURAÇÃO'!$B:$B,0))="Buffer","B",IF(INDEX('PROJETO PERFURAÇÃO'!$P:$P,MATCH(MEDIÇÃO!D103,'PROJETO PERFURAÇÃO'!$B:$B,0))="Pre-Splitting","S"))),"")</f>
        <v>P</v>
      </c>
      <c r="D103" s="14">
        <f t="shared" si="9"/>
        <v>213</v>
      </c>
      <c r="E103" s="4" t="str">
        <f>IFERROR(INDEX('LEV R&amp;D'!$D:$D,MATCH(MEDIÇÃO!D103,'LEV R&amp;D'!$A:$A,0))-INDEX('PROJETO PERFURAÇÃO'!$AH:$AH,MATCH(MEDIÇÃO!D103,'PROJETO PERFURAÇÃO'!$B:$B,0)),"")</f>
        <v/>
      </c>
      <c r="F103" s="17">
        <f>IFERROR(INDEX('PROJETO PERFURAÇÃO'!$AN:$AN,MATCH(MEDIÇÃO!D103,'PROJETO PERFURAÇÃO'!$B:$B,0)),"")</f>
        <v>0</v>
      </c>
      <c r="G103" s="3"/>
      <c r="H103" s="3"/>
      <c r="I103" s="3" t="str">
        <f>IFERROR(ROUND(INDEX('PROJETO PERFURAÇÃO'!$AB:$AB,MATCH(MEDIÇÃO!K103,'PROJETO PERFURAÇÃO'!$B:$B,0)),1)&amp;"''","")</f>
        <v>5''</v>
      </c>
      <c r="J103" s="3" t="str">
        <f>IFERROR(IF(INDEX('PROJETO PERFURAÇÃO'!$P:$P,MATCH(MEDIÇÃO!K103,'PROJETO PERFURAÇÃO'!$B:$B,0))="Production","P",IF(INDEX('PROJETO PERFURAÇÃO'!$P:$P,MATCH(MEDIÇÃO!K103,'PROJETO PERFURAÇÃO'!$B:$B,0))="Buffer","B",IF(INDEX('PROJETO PERFURAÇÃO'!$P:$P,MATCH(MEDIÇÃO!K103,'PROJETO PERFURAÇÃO'!$B:$B,0))="Pre-Splitting","S"))),"")</f>
        <v>P</v>
      </c>
      <c r="K103" s="14">
        <f t="shared" si="10"/>
        <v>236</v>
      </c>
      <c r="L103" s="4" t="str">
        <f>IFERROR(INDEX('LEV R&amp;D'!$D:$D,MATCH(MEDIÇÃO!K103,'LEV R&amp;D'!$A:$A,0))-INDEX('PROJETO PERFURAÇÃO'!$AH:$AH,MATCH(MEDIÇÃO!K103,'PROJETO PERFURAÇÃO'!$B:$B,0)),"")</f>
        <v/>
      </c>
      <c r="M103" s="17">
        <f>IFERROR(INDEX('PROJETO PERFURAÇÃO'!$AN:$AN,MATCH(MEDIÇÃO!K103,'PROJETO PERFURAÇÃO'!$B:$B,0)),"")</f>
        <v>0</v>
      </c>
      <c r="N103" s="3"/>
      <c r="O103" s="3"/>
      <c r="P103" s="3" t="str">
        <f>IFERROR(ROUND(INDEX('PROJETO PERFURAÇÃO'!$AB:$AB,MATCH(MEDIÇÃO!R103,'PROJETO PERFURAÇÃO'!$B:$B,0)),1)&amp;"''","")</f>
        <v>5''</v>
      </c>
      <c r="Q103" s="3" t="str">
        <f>IFERROR(IF(INDEX('PROJETO PERFURAÇÃO'!$P:$P,MATCH(MEDIÇÃO!R103,'PROJETO PERFURAÇÃO'!$B:$B,0))="Production","P",IF(INDEX('PROJETO PERFURAÇÃO'!$P:$P,MATCH(MEDIÇÃO!R103,'PROJETO PERFURAÇÃO'!$B:$B,0))="Buffer","B",IF(INDEX('PROJETO PERFURAÇÃO'!$P:$P,MATCH(MEDIÇÃO!R103,'PROJETO PERFURAÇÃO'!$B:$B,0))="Pre-Splitting","S"))),"")</f>
        <v>P</v>
      </c>
      <c r="R103" s="14">
        <f t="shared" si="11"/>
        <v>259</v>
      </c>
      <c r="S103" s="4" t="str">
        <f>IFERROR(INDEX('LEV R&amp;D'!$D:$D,MATCH(MEDIÇÃO!R103,'LEV R&amp;D'!$A:$A,0))-INDEX('PROJETO PERFURAÇÃO'!$AH:$AH,MATCH(MEDIÇÃO!R103,'PROJETO PERFURAÇÃO'!$B:$B,0)),"")</f>
        <v/>
      </c>
      <c r="T103" s="17">
        <f>IFERROR(INDEX('PROJETO PERFURAÇÃO'!$AN:$AN,MATCH(MEDIÇÃO!R103,'PROJETO PERFURAÇÃO'!$B:$B,0)),"")</f>
        <v>0</v>
      </c>
      <c r="U103" s="3"/>
      <c r="V103" s="3"/>
    </row>
    <row r="104" spans="1:23" ht="45" customHeight="1">
      <c r="B104" s="3" t="str">
        <f>IFERROR(ROUND(INDEX('PROJETO PERFURAÇÃO'!$AB:$AB,MATCH(MEDIÇÃO!D104,'PROJETO PERFURAÇÃO'!$B:$B,0)),1)&amp;"''","")</f>
        <v>5''</v>
      </c>
      <c r="C104" s="3" t="str">
        <f>IFERROR(IF(INDEX('PROJETO PERFURAÇÃO'!$P:$P,MATCH(MEDIÇÃO!D104,'PROJETO PERFURAÇÃO'!$B:$B,0))="Production","P",IF(INDEX('PROJETO PERFURAÇÃO'!$P:$P,MATCH(MEDIÇÃO!D104,'PROJETO PERFURAÇÃO'!$B:$B,0))="Buffer","B",IF(INDEX('PROJETO PERFURAÇÃO'!$P:$P,MATCH(MEDIÇÃO!D104,'PROJETO PERFURAÇÃO'!$B:$B,0))="Pre-Splitting","S"))),"")</f>
        <v>P</v>
      </c>
      <c r="D104" s="14">
        <f t="shared" si="9"/>
        <v>214</v>
      </c>
      <c r="E104" s="4" t="str">
        <f>IFERROR(INDEX('LEV R&amp;D'!$D:$D,MATCH(MEDIÇÃO!D104,'LEV R&amp;D'!$A:$A,0))-INDEX('PROJETO PERFURAÇÃO'!$AH:$AH,MATCH(MEDIÇÃO!D104,'PROJETO PERFURAÇÃO'!$B:$B,0)),"")</f>
        <v/>
      </c>
      <c r="F104" s="17">
        <f>IFERROR(INDEX('PROJETO PERFURAÇÃO'!$AN:$AN,MATCH(MEDIÇÃO!D104,'PROJETO PERFURAÇÃO'!$B:$B,0)),"")</f>
        <v>0</v>
      </c>
      <c r="G104" s="3"/>
      <c r="H104" s="3"/>
      <c r="I104" s="3" t="str">
        <f>IFERROR(ROUND(INDEX('PROJETO PERFURAÇÃO'!$AB:$AB,MATCH(MEDIÇÃO!K104,'PROJETO PERFURAÇÃO'!$B:$B,0)),1)&amp;"''","")</f>
        <v>5''</v>
      </c>
      <c r="J104" s="3" t="str">
        <f>IFERROR(IF(INDEX('PROJETO PERFURAÇÃO'!$P:$P,MATCH(MEDIÇÃO!K104,'PROJETO PERFURAÇÃO'!$B:$B,0))="Production","P",IF(INDEX('PROJETO PERFURAÇÃO'!$P:$P,MATCH(MEDIÇÃO!K104,'PROJETO PERFURAÇÃO'!$B:$B,0))="Buffer","B",IF(INDEX('PROJETO PERFURAÇÃO'!$P:$P,MATCH(MEDIÇÃO!K104,'PROJETO PERFURAÇÃO'!$B:$B,0))="Pre-Splitting","S"))),"")</f>
        <v>P</v>
      </c>
      <c r="K104" s="14">
        <f t="shared" si="10"/>
        <v>237</v>
      </c>
      <c r="L104" s="4" t="str">
        <f>IFERROR(INDEX('LEV R&amp;D'!$D:$D,MATCH(MEDIÇÃO!K104,'LEV R&amp;D'!$A:$A,0))-INDEX('PROJETO PERFURAÇÃO'!$AH:$AH,MATCH(MEDIÇÃO!K104,'PROJETO PERFURAÇÃO'!$B:$B,0)),"")</f>
        <v/>
      </c>
      <c r="M104" s="17">
        <f>IFERROR(INDEX('PROJETO PERFURAÇÃO'!$AN:$AN,MATCH(MEDIÇÃO!K104,'PROJETO PERFURAÇÃO'!$B:$B,0)),"")</f>
        <v>0</v>
      </c>
      <c r="N104" s="3"/>
      <c r="O104" s="3"/>
      <c r="P104" s="3" t="str">
        <f>IFERROR(ROUND(INDEX('PROJETO PERFURAÇÃO'!$AB:$AB,MATCH(MEDIÇÃO!R104,'PROJETO PERFURAÇÃO'!$B:$B,0)),1)&amp;"''","")</f>
        <v>5''</v>
      </c>
      <c r="Q104" s="3" t="str">
        <f>IFERROR(IF(INDEX('PROJETO PERFURAÇÃO'!$P:$P,MATCH(MEDIÇÃO!R104,'PROJETO PERFURAÇÃO'!$B:$B,0))="Production","P",IF(INDEX('PROJETO PERFURAÇÃO'!$P:$P,MATCH(MEDIÇÃO!R104,'PROJETO PERFURAÇÃO'!$B:$B,0))="Buffer","B",IF(INDEX('PROJETO PERFURAÇÃO'!$P:$P,MATCH(MEDIÇÃO!R104,'PROJETO PERFURAÇÃO'!$B:$B,0))="Pre-Splitting","S"))),"")</f>
        <v>P</v>
      </c>
      <c r="R104" s="14">
        <f t="shared" si="11"/>
        <v>260</v>
      </c>
      <c r="S104" s="4" t="str">
        <f>IFERROR(INDEX('LEV R&amp;D'!$D:$D,MATCH(MEDIÇÃO!R104,'LEV R&amp;D'!$A:$A,0))-INDEX('PROJETO PERFURAÇÃO'!$AH:$AH,MATCH(MEDIÇÃO!R104,'PROJETO PERFURAÇÃO'!$B:$B,0)),"")</f>
        <v/>
      </c>
      <c r="T104" s="17">
        <f>IFERROR(INDEX('PROJETO PERFURAÇÃO'!$AN:$AN,MATCH(MEDIÇÃO!R104,'PROJETO PERFURAÇÃO'!$B:$B,0)),"")</f>
        <v>0</v>
      </c>
      <c r="U104" s="3"/>
      <c r="V104" s="3"/>
    </row>
    <row r="105" spans="1:23" ht="45" customHeight="1">
      <c r="B105" s="3" t="str">
        <f>IFERROR(ROUND(INDEX('PROJETO PERFURAÇÃO'!$AB:$AB,MATCH(MEDIÇÃO!D105,'PROJETO PERFURAÇÃO'!$B:$B,0)),1)&amp;"''","")</f>
        <v>5''</v>
      </c>
      <c r="C105" s="3" t="str">
        <f>IFERROR(IF(INDEX('PROJETO PERFURAÇÃO'!$P:$P,MATCH(MEDIÇÃO!D105,'PROJETO PERFURAÇÃO'!$B:$B,0))="Production","P",IF(INDEX('PROJETO PERFURAÇÃO'!$P:$P,MATCH(MEDIÇÃO!D105,'PROJETO PERFURAÇÃO'!$B:$B,0))="Buffer","B",IF(INDEX('PROJETO PERFURAÇÃO'!$P:$P,MATCH(MEDIÇÃO!D105,'PROJETO PERFURAÇÃO'!$B:$B,0))="Pre-Splitting","S"))),"")</f>
        <v>P</v>
      </c>
      <c r="D105" s="14">
        <f t="shared" si="9"/>
        <v>215</v>
      </c>
      <c r="E105" s="4" t="str">
        <f>IFERROR(INDEX('LEV R&amp;D'!$D:$D,MATCH(MEDIÇÃO!D105,'LEV R&amp;D'!$A:$A,0))-INDEX('PROJETO PERFURAÇÃO'!$AH:$AH,MATCH(MEDIÇÃO!D105,'PROJETO PERFURAÇÃO'!$B:$B,0)),"")</f>
        <v/>
      </c>
      <c r="F105" s="17">
        <f>IFERROR(INDEX('PROJETO PERFURAÇÃO'!$AN:$AN,MATCH(MEDIÇÃO!D105,'PROJETO PERFURAÇÃO'!$B:$B,0)),"")</f>
        <v>0</v>
      </c>
      <c r="G105" s="3"/>
      <c r="H105" s="3"/>
      <c r="I105" s="3" t="str">
        <f>IFERROR(ROUND(INDEX('PROJETO PERFURAÇÃO'!$AB:$AB,MATCH(MEDIÇÃO!K105,'PROJETO PERFURAÇÃO'!$B:$B,0)),1)&amp;"''","")</f>
        <v>5''</v>
      </c>
      <c r="J105" s="3" t="str">
        <f>IFERROR(IF(INDEX('PROJETO PERFURAÇÃO'!$P:$P,MATCH(MEDIÇÃO!K105,'PROJETO PERFURAÇÃO'!$B:$B,0))="Production","P",IF(INDEX('PROJETO PERFURAÇÃO'!$P:$P,MATCH(MEDIÇÃO!K105,'PROJETO PERFURAÇÃO'!$B:$B,0))="Buffer","B",IF(INDEX('PROJETO PERFURAÇÃO'!$P:$P,MATCH(MEDIÇÃO!K105,'PROJETO PERFURAÇÃO'!$B:$B,0))="Pre-Splitting","S"))),"")</f>
        <v>P</v>
      </c>
      <c r="K105" s="14">
        <f t="shared" si="10"/>
        <v>238</v>
      </c>
      <c r="L105" s="4" t="str">
        <f>IFERROR(INDEX('LEV R&amp;D'!$D:$D,MATCH(MEDIÇÃO!K105,'LEV R&amp;D'!$A:$A,0))-INDEX('PROJETO PERFURAÇÃO'!$AH:$AH,MATCH(MEDIÇÃO!K105,'PROJETO PERFURAÇÃO'!$B:$B,0)),"")</f>
        <v/>
      </c>
      <c r="M105" s="17">
        <f>IFERROR(INDEX('PROJETO PERFURAÇÃO'!$AN:$AN,MATCH(MEDIÇÃO!K105,'PROJETO PERFURAÇÃO'!$B:$B,0)),"")</f>
        <v>0</v>
      </c>
      <c r="N105" s="3"/>
      <c r="O105" s="3"/>
      <c r="P105" s="3" t="str">
        <f>IFERROR(ROUND(INDEX('PROJETO PERFURAÇÃO'!$AB:$AB,MATCH(MEDIÇÃO!R105,'PROJETO PERFURAÇÃO'!$B:$B,0)),1)&amp;"''","")</f>
        <v>5''</v>
      </c>
      <c r="Q105" s="3" t="str">
        <f>IFERROR(IF(INDEX('PROJETO PERFURAÇÃO'!$P:$P,MATCH(MEDIÇÃO!R105,'PROJETO PERFURAÇÃO'!$B:$B,0))="Production","P",IF(INDEX('PROJETO PERFURAÇÃO'!$P:$P,MATCH(MEDIÇÃO!R105,'PROJETO PERFURAÇÃO'!$B:$B,0))="Buffer","B",IF(INDEX('PROJETO PERFURAÇÃO'!$P:$P,MATCH(MEDIÇÃO!R105,'PROJETO PERFURAÇÃO'!$B:$B,0))="Pre-Splitting","S"))),"")</f>
        <v>P</v>
      </c>
      <c r="R105" s="14">
        <f t="shared" si="11"/>
        <v>261</v>
      </c>
      <c r="S105" s="4" t="str">
        <f>IFERROR(INDEX('LEV R&amp;D'!$D:$D,MATCH(MEDIÇÃO!R105,'LEV R&amp;D'!$A:$A,0))-INDEX('PROJETO PERFURAÇÃO'!$AH:$AH,MATCH(MEDIÇÃO!R105,'PROJETO PERFURAÇÃO'!$B:$B,0)),"")</f>
        <v/>
      </c>
      <c r="T105" s="17">
        <f>IFERROR(INDEX('PROJETO PERFURAÇÃO'!$AN:$AN,MATCH(MEDIÇÃO!R105,'PROJETO PERFURAÇÃO'!$B:$B,0)),"")</f>
        <v>0</v>
      </c>
      <c r="U105" s="3"/>
      <c r="V105" s="3"/>
    </row>
    <row r="106" spans="1:23" ht="45" customHeight="1">
      <c r="B106" s="3" t="str">
        <f>IFERROR(ROUND(INDEX('PROJETO PERFURAÇÃO'!$AB:$AB,MATCH(MEDIÇÃO!D106,'PROJETO PERFURAÇÃO'!$B:$B,0)),1)&amp;"''","")</f>
        <v>5''</v>
      </c>
      <c r="C106" s="3" t="str">
        <f>IFERROR(IF(INDEX('PROJETO PERFURAÇÃO'!$P:$P,MATCH(MEDIÇÃO!D106,'PROJETO PERFURAÇÃO'!$B:$B,0))="Production","P",IF(INDEX('PROJETO PERFURAÇÃO'!$P:$P,MATCH(MEDIÇÃO!D106,'PROJETO PERFURAÇÃO'!$B:$B,0))="Buffer","B",IF(INDEX('PROJETO PERFURAÇÃO'!$P:$P,MATCH(MEDIÇÃO!D106,'PROJETO PERFURAÇÃO'!$B:$B,0))="Pre-Splitting","S"))),"")</f>
        <v>P</v>
      </c>
      <c r="D106" s="14">
        <f t="shared" si="9"/>
        <v>216</v>
      </c>
      <c r="E106" s="4" t="str">
        <f>IFERROR(INDEX('LEV R&amp;D'!$D:$D,MATCH(MEDIÇÃO!D106,'LEV R&amp;D'!$A:$A,0))-INDEX('PROJETO PERFURAÇÃO'!$AH:$AH,MATCH(MEDIÇÃO!D106,'PROJETO PERFURAÇÃO'!$B:$B,0)),"")</f>
        <v/>
      </c>
      <c r="F106" s="17">
        <f>IFERROR(INDEX('PROJETO PERFURAÇÃO'!$AN:$AN,MATCH(MEDIÇÃO!D106,'PROJETO PERFURAÇÃO'!$B:$B,0)),"")</f>
        <v>0</v>
      </c>
      <c r="G106" s="3"/>
      <c r="H106" s="3"/>
      <c r="I106" s="3" t="str">
        <f>IFERROR(ROUND(INDEX('PROJETO PERFURAÇÃO'!$AB:$AB,MATCH(MEDIÇÃO!K106,'PROJETO PERFURAÇÃO'!$B:$B,0)),1)&amp;"''","")</f>
        <v>5''</v>
      </c>
      <c r="J106" s="3" t="str">
        <f>IFERROR(IF(INDEX('PROJETO PERFURAÇÃO'!$P:$P,MATCH(MEDIÇÃO!K106,'PROJETO PERFURAÇÃO'!$B:$B,0))="Production","P",IF(INDEX('PROJETO PERFURAÇÃO'!$P:$P,MATCH(MEDIÇÃO!K106,'PROJETO PERFURAÇÃO'!$B:$B,0))="Buffer","B",IF(INDEX('PROJETO PERFURAÇÃO'!$P:$P,MATCH(MEDIÇÃO!K106,'PROJETO PERFURAÇÃO'!$B:$B,0))="Pre-Splitting","S"))),"")</f>
        <v>P</v>
      </c>
      <c r="K106" s="14">
        <f t="shared" si="10"/>
        <v>239</v>
      </c>
      <c r="L106" s="4" t="str">
        <f>IFERROR(INDEX('LEV R&amp;D'!$D:$D,MATCH(MEDIÇÃO!K106,'LEV R&amp;D'!$A:$A,0))-INDEX('PROJETO PERFURAÇÃO'!$AH:$AH,MATCH(MEDIÇÃO!K106,'PROJETO PERFURAÇÃO'!$B:$B,0)),"")</f>
        <v/>
      </c>
      <c r="M106" s="17">
        <f>IFERROR(INDEX('PROJETO PERFURAÇÃO'!$AN:$AN,MATCH(MEDIÇÃO!K106,'PROJETO PERFURAÇÃO'!$B:$B,0)),"")</f>
        <v>0</v>
      </c>
      <c r="N106" s="3"/>
      <c r="O106" s="3"/>
      <c r="P106" s="3" t="str">
        <f>IFERROR(ROUND(INDEX('PROJETO PERFURAÇÃO'!$AB:$AB,MATCH(MEDIÇÃO!R106,'PROJETO PERFURAÇÃO'!$B:$B,0)),1)&amp;"''","")</f>
        <v>5''</v>
      </c>
      <c r="Q106" s="3" t="str">
        <f>IFERROR(IF(INDEX('PROJETO PERFURAÇÃO'!$P:$P,MATCH(MEDIÇÃO!R106,'PROJETO PERFURAÇÃO'!$B:$B,0))="Production","P",IF(INDEX('PROJETO PERFURAÇÃO'!$P:$P,MATCH(MEDIÇÃO!R106,'PROJETO PERFURAÇÃO'!$B:$B,0))="Buffer","B",IF(INDEX('PROJETO PERFURAÇÃO'!$P:$P,MATCH(MEDIÇÃO!R106,'PROJETO PERFURAÇÃO'!$B:$B,0))="Pre-Splitting","S"))),"")</f>
        <v>P</v>
      </c>
      <c r="R106" s="14">
        <f t="shared" si="11"/>
        <v>262</v>
      </c>
      <c r="S106" s="4" t="str">
        <f>IFERROR(INDEX('LEV R&amp;D'!$D:$D,MATCH(MEDIÇÃO!R106,'LEV R&amp;D'!$A:$A,0))-INDEX('PROJETO PERFURAÇÃO'!$AH:$AH,MATCH(MEDIÇÃO!R106,'PROJETO PERFURAÇÃO'!$B:$B,0)),"")</f>
        <v/>
      </c>
      <c r="T106" s="17">
        <f>IFERROR(INDEX('PROJETO PERFURAÇÃO'!$AN:$AN,MATCH(MEDIÇÃO!R106,'PROJETO PERFURAÇÃO'!$B:$B,0)),"")</f>
        <v>0</v>
      </c>
      <c r="U106" s="3"/>
      <c r="V106" s="3"/>
    </row>
    <row r="107" spans="1:23" ht="45" customHeight="1">
      <c r="B107" s="3" t="str">
        <f>IFERROR(ROUND(INDEX('PROJETO PERFURAÇÃO'!$AB:$AB,MATCH(MEDIÇÃO!D107,'PROJETO PERFURAÇÃO'!$B:$B,0)),1)&amp;"''","")</f>
        <v>5''</v>
      </c>
      <c r="C107" s="3" t="str">
        <f>IFERROR(IF(INDEX('PROJETO PERFURAÇÃO'!$P:$P,MATCH(MEDIÇÃO!D107,'PROJETO PERFURAÇÃO'!$B:$B,0))="Production","P",IF(INDEX('PROJETO PERFURAÇÃO'!$P:$P,MATCH(MEDIÇÃO!D107,'PROJETO PERFURAÇÃO'!$B:$B,0))="Buffer","B",IF(INDEX('PROJETO PERFURAÇÃO'!$P:$P,MATCH(MEDIÇÃO!D107,'PROJETO PERFURAÇÃO'!$B:$B,0))="Pre-Splitting","S"))),"")</f>
        <v>P</v>
      </c>
      <c r="D107" s="14">
        <f t="shared" si="9"/>
        <v>217</v>
      </c>
      <c r="E107" s="4" t="str">
        <f>IFERROR(INDEX('LEV R&amp;D'!$D:$D,MATCH(MEDIÇÃO!D107,'LEV R&amp;D'!$A:$A,0))-INDEX('PROJETO PERFURAÇÃO'!$AH:$AH,MATCH(MEDIÇÃO!D107,'PROJETO PERFURAÇÃO'!$B:$B,0)),"")</f>
        <v/>
      </c>
      <c r="F107" s="17">
        <f>IFERROR(INDEX('PROJETO PERFURAÇÃO'!$AN:$AN,MATCH(MEDIÇÃO!D107,'PROJETO PERFURAÇÃO'!$B:$B,0)),"")</f>
        <v>0</v>
      </c>
      <c r="G107" s="3"/>
      <c r="H107" s="3"/>
      <c r="I107" s="3" t="str">
        <f>IFERROR(ROUND(INDEX('PROJETO PERFURAÇÃO'!$AB:$AB,MATCH(MEDIÇÃO!K107,'PROJETO PERFURAÇÃO'!$B:$B,0)),1)&amp;"''","")</f>
        <v>5''</v>
      </c>
      <c r="J107" s="3" t="str">
        <f>IFERROR(IF(INDEX('PROJETO PERFURAÇÃO'!$P:$P,MATCH(MEDIÇÃO!K107,'PROJETO PERFURAÇÃO'!$B:$B,0))="Production","P",IF(INDEX('PROJETO PERFURAÇÃO'!$P:$P,MATCH(MEDIÇÃO!K107,'PROJETO PERFURAÇÃO'!$B:$B,0))="Buffer","B",IF(INDEX('PROJETO PERFURAÇÃO'!$P:$P,MATCH(MEDIÇÃO!K107,'PROJETO PERFURAÇÃO'!$B:$B,0))="Pre-Splitting","S"))),"")</f>
        <v>P</v>
      </c>
      <c r="K107" s="14">
        <f t="shared" si="10"/>
        <v>240</v>
      </c>
      <c r="L107" s="4" t="str">
        <f>IFERROR(INDEX('LEV R&amp;D'!$D:$D,MATCH(MEDIÇÃO!K107,'LEV R&amp;D'!$A:$A,0))-INDEX('PROJETO PERFURAÇÃO'!$AH:$AH,MATCH(MEDIÇÃO!K107,'PROJETO PERFURAÇÃO'!$B:$B,0)),"")</f>
        <v/>
      </c>
      <c r="M107" s="17">
        <f>IFERROR(INDEX('PROJETO PERFURAÇÃO'!$AN:$AN,MATCH(MEDIÇÃO!K107,'PROJETO PERFURAÇÃO'!$B:$B,0)),"")</f>
        <v>0</v>
      </c>
      <c r="N107" s="3"/>
      <c r="O107" s="3"/>
      <c r="P107" s="3" t="str">
        <f>IFERROR(ROUND(INDEX('PROJETO PERFURAÇÃO'!$AB:$AB,MATCH(MEDIÇÃO!R107,'PROJETO PERFURAÇÃO'!$B:$B,0)),1)&amp;"''","")</f>
        <v>5''</v>
      </c>
      <c r="Q107" s="3" t="str">
        <f>IFERROR(IF(INDEX('PROJETO PERFURAÇÃO'!$P:$P,MATCH(MEDIÇÃO!R107,'PROJETO PERFURAÇÃO'!$B:$B,0))="Production","P",IF(INDEX('PROJETO PERFURAÇÃO'!$P:$P,MATCH(MEDIÇÃO!R107,'PROJETO PERFURAÇÃO'!$B:$B,0))="Buffer","B",IF(INDEX('PROJETO PERFURAÇÃO'!$P:$P,MATCH(MEDIÇÃO!R107,'PROJETO PERFURAÇÃO'!$B:$B,0))="Pre-Splitting","S"))),"")</f>
        <v>P</v>
      </c>
      <c r="R107" s="14">
        <f t="shared" si="11"/>
        <v>263</v>
      </c>
      <c r="S107" s="4" t="str">
        <f>IFERROR(INDEX('LEV R&amp;D'!$D:$D,MATCH(MEDIÇÃO!R107,'LEV R&amp;D'!$A:$A,0))-INDEX('PROJETO PERFURAÇÃO'!$AH:$AH,MATCH(MEDIÇÃO!R107,'PROJETO PERFURAÇÃO'!$B:$B,0)),"")</f>
        <v/>
      </c>
      <c r="T107" s="17">
        <f>IFERROR(INDEX('PROJETO PERFURAÇÃO'!$AN:$AN,MATCH(MEDIÇÃO!R107,'PROJETO PERFURAÇÃO'!$B:$B,0)),"")</f>
        <v>0</v>
      </c>
      <c r="U107" s="3"/>
      <c r="V107" s="3"/>
    </row>
    <row r="108" spans="1:23" ht="45" customHeight="1">
      <c r="B108" s="3" t="str">
        <f>IFERROR(ROUND(INDEX('PROJETO PERFURAÇÃO'!$AB:$AB,MATCH(MEDIÇÃO!D108,'PROJETO PERFURAÇÃO'!$B:$B,0)),1)&amp;"''","")</f>
        <v>5''</v>
      </c>
      <c r="C108" s="3" t="str">
        <f>IFERROR(IF(INDEX('PROJETO PERFURAÇÃO'!$P:$P,MATCH(MEDIÇÃO!D108,'PROJETO PERFURAÇÃO'!$B:$B,0))="Production","P",IF(INDEX('PROJETO PERFURAÇÃO'!$P:$P,MATCH(MEDIÇÃO!D108,'PROJETO PERFURAÇÃO'!$B:$B,0))="Buffer","B",IF(INDEX('PROJETO PERFURAÇÃO'!$P:$P,MATCH(MEDIÇÃO!D108,'PROJETO PERFURAÇÃO'!$B:$B,0))="Pre-Splitting","S"))),"")</f>
        <v>P</v>
      </c>
      <c r="D108" s="14">
        <f t="shared" si="9"/>
        <v>218</v>
      </c>
      <c r="E108" s="4" t="str">
        <f>IFERROR(INDEX('LEV R&amp;D'!$D:$D,MATCH(MEDIÇÃO!D108,'LEV R&amp;D'!$A:$A,0))-INDEX('PROJETO PERFURAÇÃO'!$AH:$AH,MATCH(MEDIÇÃO!D108,'PROJETO PERFURAÇÃO'!$B:$B,0)),"")</f>
        <v/>
      </c>
      <c r="F108" s="17">
        <f>IFERROR(INDEX('PROJETO PERFURAÇÃO'!$AN:$AN,MATCH(MEDIÇÃO!D108,'PROJETO PERFURAÇÃO'!$B:$B,0)),"")</f>
        <v>0</v>
      </c>
      <c r="G108" s="3"/>
      <c r="H108" s="3"/>
      <c r="I108" s="3" t="str">
        <f>IFERROR(ROUND(INDEX('PROJETO PERFURAÇÃO'!$AB:$AB,MATCH(MEDIÇÃO!K108,'PROJETO PERFURAÇÃO'!$B:$B,0)),1)&amp;"''","")</f>
        <v>5''</v>
      </c>
      <c r="J108" s="3" t="str">
        <f>IFERROR(IF(INDEX('PROJETO PERFURAÇÃO'!$P:$P,MATCH(MEDIÇÃO!K108,'PROJETO PERFURAÇÃO'!$B:$B,0))="Production","P",IF(INDEX('PROJETO PERFURAÇÃO'!$P:$P,MATCH(MEDIÇÃO!K108,'PROJETO PERFURAÇÃO'!$B:$B,0))="Buffer","B",IF(INDEX('PROJETO PERFURAÇÃO'!$P:$P,MATCH(MEDIÇÃO!K108,'PROJETO PERFURAÇÃO'!$B:$B,0))="Pre-Splitting","S"))),"")</f>
        <v>P</v>
      </c>
      <c r="K108" s="14">
        <f t="shared" si="10"/>
        <v>241</v>
      </c>
      <c r="L108" s="4" t="str">
        <f>IFERROR(INDEX('LEV R&amp;D'!$D:$D,MATCH(MEDIÇÃO!K108,'LEV R&amp;D'!$A:$A,0))-INDEX('PROJETO PERFURAÇÃO'!$AH:$AH,MATCH(MEDIÇÃO!K108,'PROJETO PERFURAÇÃO'!$B:$B,0)),"")</f>
        <v/>
      </c>
      <c r="M108" s="17">
        <f>IFERROR(INDEX('PROJETO PERFURAÇÃO'!$AN:$AN,MATCH(MEDIÇÃO!K108,'PROJETO PERFURAÇÃO'!$B:$B,0)),"")</f>
        <v>0</v>
      </c>
      <c r="N108" s="3"/>
      <c r="O108" s="3"/>
      <c r="P108" s="3" t="str">
        <f>IFERROR(ROUND(INDEX('PROJETO PERFURAÇÃO'!$AB:$AB,MATCH(MEDIÇÃO!R108,'PROJETO PERFURAÇÃO'!$B:$B,0)),1)&amp;"''","")</f>
        <v>5''</v>
      </c>
      <c r="Q108" s="3" t="str">
        <f>IFERROR(IF(INDEX('PROJETO PERFURAÇÃO'!$P:$P,MATCH(MEDIÇÃO!R108,'PROJETO PERFURAÇÃO'!$B:$B,0))="Production","P",IF(INDEX('PROJETO PERFURAÇÃO'!$P:$P,MATCH(MEDIÇÃO!R108,'PROJETO PERFURAÇÃO'!$B:$B,0))="Buffer","B",IF(INDEX('PROJETO PERFURAÇÃO'!$P:$P,MATCH(MEDIÇÃO!R108,'PROJETO PERFURAÇÃO'!$B:$B,0))="Pre-Splitting","S"))),"")</f>
        <v>P</v>
      </c>
      <c r="R108" s="14">
        <f t="shared" si="11"/>
        <v>264</v>
      </c>
      <c r="S108" s="4" t="str">
        <f>IFERROR(INDEX('LEV R&amp;D'!$D:$D,MATCH(MEDIÇÃO!R108,'LEV R&amp;D'!$A:$A,0))-INDEX('PROJETO PERFURAÇÃO'!$AH:$AH,MATCH(MEDIÇÃO!R108,'PROJETO PERFURAÇÃO'!$B:$B,0)),"")</f>
        <v/>
      </c>
      <c r="T108" s="17">
        <f>IFERROR(INDEX('PROJETO PERFURAÇÃO'!$AN:$AN,MATCH(MEDIÇÃO!R108,'PROJETO PERFURAÇÃO'!$B:$B,0)),"")</f>
        <v>0</v>
      </c>
      <c r="U108" s="3"/>
      <c r="V108" s="3"/>
    </row>
    <row r="109" spans="1:23" ht="45" customHeight="1">
      <c r="B109" s="3" t="str">
        <f>IFERROR(ROUND(INDEX('PROJETO PERFURAÇÃO'!$AB:$AB,MATCH(MEDIÇÃO!D109,'PROJETO PERFURAÇÃO'!$B:$B,0)),1)&amp;"''","")</f>
        <v>5''</v>
      </c>
      <c r="C109" s="3" t="str">
        <f>IFERROR(IF(INDEX('PROJETO PERFURAÇÃO'!$P:$P,MATCH(MEDIÇÃO!D109,'PROJETO PERFURAÇÃO'!$B:$B,0))="Production","P",IF(INDEX('PROJETO PERFURAÇÃO'!$P:$P,MATCH(MEDIÇÃO!D109,'PROJETO PERFURAÇÃO'!$B:$B,0))="Buffer","B",IF(INDEX('PROJETO PERFURAÇÃO'!$P:$P,MATCH(MEDIÇÃO!D109,'PROJETO PERFURAÇÃO'!$B:$B,0))="Pre-Splitting","S"))),"")</f>
        <v>P</v>
      </c>
      <c r="D109" s="14">
        <f t="shared" si="9"/>
        <v>219</v>
      </c>
      <c r="E109" s="4" t="str">
        <f>IFERROR(INDEX('LEV R&amp;D'!$D:$D,MATCH(MEDIÇÃO!D109,'LEV R&amp;D'!$A:$A,0))-INDEX('PROJETO PERFURAÇÃO'!$AH:$AH,MATCH(MEDIÇÃO!D109,'PROJETO PERFURAÇÃO'!$B:$B,0)),"")</f>
        <v/>
      </c>
      <c r="F109" s="17">
        <f>IFERROR(INDEX('PROJETO PERFURAÇÃO'!$AN:$AN,MATCH(MEDIÇÃO!D109,'PROJETO PERFURAÇÃO'!$B:$B,0)),"")</f>
        <v>0</v>
      </c>
      <c r="G109" s="3"/>
      <c r="H109" s="3"/>
      <c r="I109" s="3" t="str">
        <f>IFERROR(ROUND(INDEX('PROJETO PERFURAÇÃO'!$AB:$AB,MATCH(MEDIÇÃO!K109,'PROJETO PERFURAÇÃO'!$B:$B,0)),1)&amp;"''","")</f>
        <v>5''</v>
      </c>
      <c r="J109" s="3" t="str">
        <f>IFERROR(IF(INDEX('PROJETO PERFURAÇÃO'!$P:$P,MATCH(MEDIÇÃO!K109,'PROJETO PERFURAÇÃO'!$B:$B,0))="Production","P",IF(INDEX('PROJETO PERFURAÇÃO'!$P:$P,MATCH(MEDIÇÃO!K109,'PROJETO PERFURAÇÃO'!$B:$B,0))="Buffer","B",IF(INDEX('PROJETO PERFURAÇÃO'!$P:$P,MATCH(MEDIÇÃO!K109,'PROJETO PERFURAÇÃO'!$B:$B,0))="Pre-Splitting","S"))),"")</f>
        <v>P</v>
      </c>
      <c r="K109" s="14">
        <f t="shared" si="10"/>
        <v>242</v>
      </c>
      <c r="L109" s="4" t="str">
        <f>IFERROR(INDEX('LEV R&amp;D'!$D:$D,MATCH(MEDIÇÃO!K109,'LEV R&amp;D'!$A:$A,0))-INDEX('PROJETO PERFURAÇÃO'!$AH:$AH,MATCH(MEDIÇÃO!K109,'PROJETO PERFURAÇÃO'!$B:$B,0)),"")</f>
        <v/>
      </c>
      <c r="M109" s="17">
        <f>IFERROR(INDEX('PROJETO PERFURAÇÃO'!$AN:$AN,MATCH(MEDIÇÃO!K109,'PROJETO PERFURAÇÃO'!$B:$B,0)),"")</f>
        <v>0</v>
      </c>
      <c r="N109" s="3"/>
      <c r="O109" s="3"/>
      <c r="P109" s="3" t="str">
        <f>IFERROR(ROUND(INDEX('PROJETO PERFURAÇÃO'!$AB:$AB,MATCH(MEDIÇÃO!R109,'PROJETO PERFURAÇÃO'!$B:$B,0)),1)&amp;"''","")</f>
        <v>5''</v>
      </c>
      <c r="Q109" s="3" t="str">
        <f>IFERROR(IF(INDEX('PROJETO PERFURAÇÃO'!$P:$P,MATCH(MEDIÇÃO!R109,'PROJETO PERFURAÇÃO'!$B:$B,0))="Production","P",IF(INDEX('PROJETO PERFURAÇÃO'!$P:$P,MATCH(MEDIÇÃO!R109,'PROJETO PERFURAÇÃO'!$B:$B,0))="Buffer","B",IF(INDEX('PROJETO PERFURAÇÃO'!$P:$P,MATCH(MEDIÇÃO!R109,'PROJETO PERFURAÇÃO'!$B:$B,0))="Pre-Splitting","S"))),"")</f>
        <v>P</v>
      </c>
      <c r="R109" s="14">
        <f t="shared" si="11"/>
        <v>265</v>
      </c>
      <c r="S109" s="4" t="str">
        <f>IFERROR(INDEX('LEV R&amp;D'!$D:$D,MATCH(MEDIÇÃO!R109,'LEV R&amp;D'!$A:$A,0))-INDEX('PROJETO PERFURAÇÃO'!$AH:$AH,MATCH(MEDIÇÃO!R109,'PROJETO PERFURAÇÃO'!$B:$B,0)),"")</f>
        <v/>
      </c>
      <c r="T109" s="17">
        <f>IFERROR(INDEX('PROJETO PERFURAÇÃO'!$AN:$AN,MATCH(MEDIÇÃO!R109,'PROJETO PERFURAÇÃO'!$B:$B,0)),"")</f>
        <v>0</v>
      </c>
      <c r="U109" s="3"/>
      <c r="V109" s="3"/>
    </row>
    <row r="110" spans="1:23" ht="45" customHeight="1">
      <c r="B110" s="3" t="str">
        <f>IFERROR(ROUND(INDEX('PROJETO PERFURAÇÃO'!$AB:$AB,MATCH(MEDIÇÃO!D110,'PROJETO PERFURAÇÃO'!$B:$B,0)),1)&amp;"''","")</f>
        <v>5''</v>
      </c>
      <c r="C110" s="3" t="str">
        <f>IFERROR(IF(INDEX('PROJETO PERFURAÇÃO'!$P:$P,MATCH(MEDIÇÃO!D110,'PROJETO PERFURAÇÃO'!$B:$B,0))="Production","P",IF(INDEX('PROJETO PERFURAÇÃO'!$P:$P,MATCH(MEDIÇÃO!D110,'PROJETO PERFURAÇÃO'!$B:$B,0))="Buffer","B",IF(INDEX('PROJETO PERFURAÇÃO'!$P:$P,MATCH(MEDIÇÃO!D110,'PROJETO PERFURAÇÃO'!$B:$B,0))="Pre-Splitting","S"))),"")</f>
        <v>P</v>
      </c>
      <c r="D110" s="14">
        <f t="shared" si="9"/>
        <v>220</v>
      </c>
      <c r="E110" s="4" t="str">
        <f>IFERROR(INDEX('LEV R&amp;D'!$D:$D,MATCH(MEDIÇÃO!D110,'LEV R&amp;D'!$A:$A,0))-INDEX('PROJETO PERFURAÇÃO'!$AH:$AH,MATCH(MEDIÇÃO!D110,'PROJETO PERFURAÇÃO'!$B:$B,0)),"")</f>
        <v/>
      </c>
      <c r="F110" s="17">
        <f>IFERROR(INDEX('PROJETO PERFURAÇÃO'!$AN:$AN,MATCH(MEDIÇÃO!D110,'PROJETO PERFURAÇÃO'!$B:$B,0)),"")</f>
        <v>0</v>
      </c>
      <c r="G110" s="3"/>
      <c r="H110" s="3"/>
      <c r="I110" s="3" t="str">
        <f>IFERROR(ROUND(INDEX('PROJETO PERFURAÇÃO'!$AB:$AB,MATCH(MEDIÇÃO!K110,'PROJETO PERFURAÇÃO'!$B:$B,0)),1)&amp;"''","")</f>
        <v>5''</v>
      </c>
      <c r="J110" s="3" t="str">
        <f>IFERROR(IF(INDEX('PROJETO PERFURAÇÃO'!$P:$P,MATCH(MEDIÇÃO!K110,'PROJETO PERFURAÇÃO'!$B:$B,0))="Production","P",IF(INDEX('PROJETO PERFURAÇÃO'!$P:$P,MATCH(MEDIÇÃO!K110,'PROJETO PERFURAÇÃO'!$B:$B,0))="Buffer","B",IF(INDEX('PROJETO PERFURAÇÃO'!$P:$P,MATCH(MEDIÇÃO!K110,'PROJETO PERFURAÇÃO'!$B:$B,0))="Pre-Splitting","S"))),"")</f>
        <v>P</v>
      </c>
      <c r="K110" s="14">
        <f t="shared" si="10"/>
        <v>243</v>
      </c>
      <c r="L110" s="4" t="str">
        <f>IFERROR(INDEX('LEV R&amp;D'!$D:$D,MATCH(MEDIÇÃO!K110,'LEV R&amp;D'!$A:$A,0))-INDEX('PROJETO PERFURAÇÃO'!$AH:$AH,MATCH(MEDIÇÃO!K110,'PROJETO PERFURAÇÃO'!$B:$B,0)),"")</f>
        <v/>
      </c>
      <c r="M110" s="17">
        <f>IFERROR(INDEX('PROJETO PERFURAÇÃO'!$AN:$AN,MATCH(MEDIÇÃO!K110,'PROJETO PERFURAÇÃO'!$B:$B,0)),"")</f>
        <v>0</v>
      </c>
      <c r="N110" s="3"/>
      <c r="O110" s="3"/>
      <c r="P110" s="3" t="str">
        <f>IFERROR(ROUND(INDEX('PROJETO PERFURAÇÃO'!$AB:$AB,MATCH(MEDIÇÃO!R110,'PROJETO PERFURAÇÃO'!$B:$B,0)),1)&amp;"''","")</f>
        <v>5''</v>
      </c>
      <c r="Q110" s="3" t="str">
        <f>IFERROR(IF(INDEX('PROJETO PERFURAÇÃO'!$P:$P,MATCH(MEDIÇÃO!R110,'PROJETO PERFURAÇÃO'!$B:$B,0))="Production","P",IF(INDEX('PROJETO PERFURAÇÃO'!$P:$P,MATCH(MEDIÇÃO!R110,'PROJETO PERFURAÇÃO'!$B:$B,0))="Buffer","B",IF(INDEX('PROJETO PERFURAÇÃO'!$P:$P,MATCH(MEDIÇÃO!R110,'PROJETO PERFURAÇÃO'!$B:$B,0))="Pre-Splitting","S"))),"")</f>
        <v>P</v>
      </c>
      <c r="R110" s="14">
        <f t="shared" si="11"/>
        <v>266</v>
      </c>
      <c r="S110" s="4" t="str">
        <f>IFERROR(INDEX('LEV R&amp;D'!$D:$D,MATCH(MEDIÇÃO!R110,'LEV R&amp;D'!$A:$A,0))-INDEX('PROJETO PERFURAÇÃO'!$AH:$AH,MATCH(MEDIÇÃO!R110,'PROJETO PERFURAÇÃO'!$B:$B,0)),"")</f>
        <v/>
      </c>
      <c r="T110" s="17">
        <f>IFERROR(INDEX('PROJETO PERFURAÇÃO'!$AN:$AN,MATCH(MEDIÇÃO!R110,'PROJETO PERFURAÇÃO'!$B:$B,0)),"")</f>
        <v>0</v>
      </c>
      <c r="U110" s="3"/>
      <c r="V110" s="3"/>
    </row>
    <row r="111" spans="1:23" ht="45" customHeight="1">
      <c r="B111" s="3" t="str">
        <f>IFERROR(ROUND(INDEX('PROJETO PERFURAÇÃO'!$AB:$AB,MATCH(MEDIÇÃO!D111,'PROJETO PERFURAÇÃO'!$B:$B,0)),1)&amp;"''","")</f>
        <v>5''</v>
      </c>
      <c r="C111" s="3" t="str">
        <f>IFERROR(IF(INDEX('PROJETO PERFURAÇÃO'!$P:$P,MATCH(MEDIÇÃO!D111,'PROJETO PERFURAÇÃO'!$B:$B,0))="Production","P",IF(INDEX('PROJETO PERFURAÇÃO'!$P:$P,MATCH(MEDIÇÃO!D111,'PROJETO PERFURAÇÃO'!$B:$B,0))="Buffer","B",IF(INDEX('PROJETO PERFURAÇÃO'!$P:$P,MATCH(MEDIÇÃO!D111,'PROJETO PERFURAÇÃO'!$B:$B,0))="Pre-Splitting","S"))),"")</f>
        <v>P</v>
      </c>
      <c r="D111" s="14">
        <f t="shared" si="9"/>
        <v>221</v>
      </c>
      <c r="E111" s="4" t="str">
        <f>IFERROR(INDEX('LEV R&amp;D'!$D:$D,MATCH(MEDIÇÃO!D111,'LEV R&amp;D'!$A:$A,0))-INDEX('PROJETO PERFURAÇÃO'!$AH:$AH,MATCH(MEDIÇÃO!D111,'PROJETO PERFURAÇÃO'!$B:$B,0)),"")</f>
        <v/>
      </c>
      <c r="F111" s="17">
        <f>IFERROR(INDEX('PROJETO PERFURAÇÃO'!$AN:$AN,MATCH(MEDIÇÃO!D111,'PROJETO PERFURAÇÃO'!$B:$B,0)),"")</f>
        <v>0</v>
      </c>
      <c r="G111" s="3"/>
      <c r="H111" s="3"/>
      <c r="I111" s="3" t="str">
        <f>IFERROR(ROUND(INDEX('PROJETO PERFURAÇÃO'!$AB:$AB,MATCH(MEDIÇÃO!K111,'PROJETO PERFURAÇÃO'!$B:$B,0)),1)&amp;"''","")</f>
        <v>5''</v>
      </c>
      <c r="J111" s="3" t="str">
        <f>IFERROR(IF(INDEX('PROJETO PERFURAÇÃO'!$P:$P,MATCH(MEDIÇÃO!K111,'PROJETO PERFURAÇÃO'!$B:$B,0))="Production","P",IF(INDEX('PROJETO PERFURAÇÃO'!$P:$P,MATCH(MEDIÇÃO!K111,'PROJETO PERFURAÇÃO'!$B:$B,0))="Buffer","B",IF(INDEX('PROJETO PERFURAÇÃO'!$P:$P,MATCH(MEDIÇÃO!K111,'PROJETO PERFURAÇÃO'!$B:$B,0))="Pre-Splitting","S"))),"")</f>
        <v>P</v>
      </c>
      <c r="K111" s="14">
        <f t="shared" si="10"/>
        <v>244</v>
      </c>
      <c r="L111" s="4" t="str">
        <f>IFERROR(INDEX('LEV R&amp;D'!$D:$D,MATCH(MEDIÇÃO!K111,'LEV R&amp;D'!$A:$A,0))-INDEX('PROJETO PERFURAÇÃO'!$AH:$AH,MATCH(MEDIÇÃO!K111,'PROJETO PERFURAÇÃO'!$B:$B,0)),"")</f>
        <v/>
      </c>
      <c r="M111" s="17">
        <f>IFERROR(INDEX('PROJETO PERFURAÇÃO'!$AN:$AN,MATCH(MEDIÇÃO!K111,'PROJETO PERFURAÇÃO'!$B:$B,0)),"")</f>
        <v>0</v>
      </c>
      <c r="N111" s="3"/>
      <c r="O111" s="3"/>
      <c r="P111" s="3" t="str">
        <f>IFERROR(ROUND(INDEX('PROJETO PERFURAÇÃO'!$AB:$AB,MATCH(MEDIÇÃO!R111,'PROJETO PERFURAÇÃO'!$B:$B,0)),1)&amp;"''","")</f>
        <v>5''</v>
      </c>
      <c r="Q111" s="3" t="str">
        <f>IFERROR(IF(INDEX('PROJETO PERFURAÇÃO'!$P:$P,MATCH(MEDIÇÃO!R111,'PROJETO PERFURAÇÃO'!$B:$B,0))="Production","P",IF(INDEX('PROJETO PERFURAÇÃO'!$P:$P,MATCH(MEDIÇÃO!R111,'PROJETO PERFURAÇÃO'!$B:$B,0))="Buffer","B",IF(INDEX('PROJETO PERFURAÇÃO'!$P:$P,MATCH(MEDIÇÃO!R111,'PROJETO PERFURAÇÃO'!$B:$B,0))="Pre-Splitting","S"))),"")</f>
        <v>P</v>
      </c>
      <c r="R111" s="14">
        <f t="shared" si="11"/>
        <v>267</v>
      </c>
      <c r="S111" s="4" t="str">
        <f>IFERROR(INDEX('LEV R&amp;D'!$D:$D,MATCH(MEDIÇÃO!R111,'LEV R&amp;D'!$A:$A,0))-INDEX('PROJETO PERFURAÇÃO'!$AH:$AH,MATCH(MEDIÇÃO!R111,'PROJETO PERFURAÇÃO'!$B:$B,0)),"")</f>
        <v/>
      </c>
      <c r="T111" s="17">
        <f>IFERROR(INDEX('PROJETO PERFURAÇÃO'!$AN:$AN,MATCH(MEDIÇÃO!R111,'PROJETO PERFURAÇÃO'!$B:$B,0)),"")</f>
        <v>0</v>
      </c>
      <c r="U111" s="3"/>
      <c r="V111" s="3"/>
    </row>
    <row r="112" spans="1:23" ht="45" customHeight="1">
      <c r="B112" s="3" t="str">
        <f>IFERROR(ROUND(INDEX('PROJETO PERFURAÇÃO'!$AB:$AB,MATCH(MEDIÇÃO!D112,'PROJETO PERFURAÇÃO'!$B:$B,0)),1)&amp;"''","")</f>
        <v>5''</v>
      </c>
      <c r="C112" s="3" t="str">
        <f>IFERROR(IF(INDEX('PROJETO PERFURAÇÃO'!$P:$P,MATCH(MEDIÇÃO!D112,'PROJETO PERFURAÇÃO'!$B:$B,0))="Production","P",IF(INDEX('PROJETO PERFURAÇÃO'!$P:$P,MATCH(MEDIÇÃO!D112,'PROJETO PERFURAÇÃO'!$B:$B,0))="Buffer","B",IF(INDEX('PROJETO PERFURAÇÃO'!$P:$P,MATCH(MEDIÇÃO!D112,'PROJETO PERFURAÇÃO'!$B:$B,0))="Pre-Splitting","S"))),"")</f>
        <v>P</v>
      </c>
      <c r="D112" s="14">
        <f t="shared" si="9"/>
        <v>222</v>
      </c>
      <c r="E112" s="4" t="str">
        <f>IFERROR(INDEX('LEV R&amp;D'!$D:$D,MATCH(MEDIÇÃO!D112,'LEV R&amp;D'!$A:$A,0))-INDEX('PROJETO PERFURAÇÃO'!$AH:$AH,MATCH(MEDIÇÃO!D112,'PROJETO PERFURAÇÃO'!$B:$B,0)),"")</f>
        <v/>
      </c>
      <c r="F112" s="17">
        <f>IFERROR(INDEX('PROJETO PERFURAÇÃO'!$AN:$AN,MATCH(MEDIÇÃO!D112,'PROJETO PERFURAÇÃO'!$B:$B,0)),"")</f>
        <v>0</v>
      </c>
      <c r="G112" s="3"/>
      <c r="H112" s="3"/>
      <c r="I112" s="3" t="str">
        <f>IFERROR(ROUND(INDEX('PROJETO PERFURAÇÃO'!$AB:$AB,MATCH(MEDIÇÃO!K112,'PROJETO PERFURAÇÃO'!$B:$B,0)),1)&amp;"''","")</f>
        <v>5''</v>
      </c>
      <c r="J112" s="3" t="str">
        <f>IFERROR(IF(INDEX('PROJETO PERFURAÇÃO'!$P:$P,MATCH(MEDIÇÃO!K112,'PROJETO PERFURAÇÃO'!$B:$B,0))="Production","P",IF(INDEX('PROJETO PERFURAÇÃO'!$P:$P,MATCH(MEDIÇÃO!K112,'PROJETO PERFURAÇÃO'!$B:$B,0))="Buffer","B",IF(INDEX('PROJETO PERFURAÇÃO'!$P:$P,MATCH(MEDIÇÃO!K112,'PROJETO PERFURAÇÃO'!$B:$B,0))="Pre-Splitting","S"))),"")</f>
        <v>P</v>
      </c>
      <c r="K112" s="14">
        <f t="shared" si="10"/>
        <v>245</v>
      </c>
      <c r="L112" s="4" t="str">
        <f>IFERROR(INDEX('LEV R&amp;D'!$D:$D,MATCH(MEDIÇÃO!K112,'LEV R&amp;D'!$A:$A,0))-INDEX('PROJETO PERFURAÇÃO'!$AH:$AH,MATCH(MEDIÇÃO!K112,'PROJETO PERFURAÇÃO'!$B:$B,0)),"")</f>
        <v/>
      </c>
      <c r="M112" s="17">
        <f>IFERROR(INDEX('PROJETO PERFURAÇÃO'!$AN:$AN,MATCH(MEDIÇÃO!K112,'PROJETO PERFURAÇÃO'!$B:$B,0)),"")</f>
        <v>0</v>
      </c>
      <c r="N112" s="3"/>
      <c r="O112" s="3"/>
      <c r="P112" s="3" t="str">
        <f>IFERROR(ROUND(INDEX('PROJETO PERFURAÇÃO'!$AB:$AB,MATCH(MEDIÇÃO!R112,'PROJETO PERFURAÇÃO'!$B:$B,0)),1)&amp;"''","")</f>
        <v>5''</v>
      </c>
      <c r="Q112" s="3" t="str">
        <f>IFERROR(IF(INDEX('PROJETO PERFURAÇÃO'!$P:$P,MATCH(MEDIÇÃO!R112,'PROJETO PERFURAÇÃO'!$B:$B,0))="Production","P",IF(INDEX('PROJETO PERFURAÇÃO'!$P:$P,MATCH(MEDIÇÃO!R112,'PROJETO PERFURAÇÃO'!$B:$B,0))="Buffer","B",IF(INDEX('PROJETO PERFURAÇÃO'!$P:$P,MATCH(MEDIÇÃO!R112,'PROJETO PERFURAÇÃO'!$B:$B,0))="Pre-Splitting","S"))),"")</f>
        <v>P</v>
      </c>
      <c r="R112" s="14">
        <f t="shared" si="11"/>
        <v>268</v>
      </c>
      <c r="S112" s="4" t="str">
        <f>IFERROR(INDEX('LEV R&amp;D'!$D:$D,MATCH(MEDIÇÃO!R112,'LEV R&amp;D'!$A:$A,0))-INDEX('PROJETO PERFURAÇÃO'!$AH:$AH,MATCH(MEDIÇÃO!R112,'PROJETO PERFURAÇÃO'!$B:$B,0)),"")</f>
        <v/>
      </c>
      <c r="T112" s="17">
        <f>IFERROR(INDEX('PROJETO PERFURAÇÃO'!$AN:$AN,MATCH(MEDIÇÃO!R112,'PROJETO PERFURAÇÃO'!$B:$B,0)),"")</f>
        <v>0</v>
      </c>
      <c r="U112" s="3"/>
      <c r="V112" s="3"/>
    </row>
    <row r="113" spans="1:23" ht="45" customHeight="1">
      <c r="B113" s="3" t="str">
        <f>IFERROR(ROUND(INDEX('PROJETO PERFURAÇÃO'!$AB:$AB,MATCH(MEDIÇÃO!D113,'PROJETO PERFURAÇÃO'!$B:$B,0)),1)&amp;"''","")</f>
        <v>5''</v>
      </c>
      <c r="C113" s="3" t="str">
        <f>IFERROR(IF(INDEX('PROJETO PERFURAÇÃO'!$P:$P,MATCH(MEDIÇÃO!D113,'PROJETO PERFURAÇÃO'!$B:$B,0))="Production","P",IF(INDEX('PROJETO PERFURAÇÃO'!$P:$P,MATCH(MEDIÇÃO!D113,'PROJETO PERFURAÇÃO'!$B:$B,0))="Buffer","B",IF(INDEX('PROJETO PERFURAÇÃO'!$P:$P,MATCH(MEDIÇÃO!D113,'PROJETO PERFURAÇÃO'!$B:$B,0))="Pre-Splitting","S"))),"")</f>
        <v>P</v>
      </c>
      <c r="D113" s="14">
        <f t="shared" si="9"/>
        <v>223</v>
      </c>
      <c r="E113" s="4" t="str">
        <f>IFERROR(INDEX('LEV R&amp;D'!$D:$D,MATCH(MEDIÇÃO!D113,'LEV R&amp;D'!$A:$A,0))-INDEX('PROJETO PERFURAÇÃO'!$AH:$AH,MATCH(MEDIÇÃO!D113,'PROJETO PERFURAÇÃO'!$B:$B,0)),"")</f>
        <v/>
      </c>
      <c r="F113" s="17">
        <f>IFERROR(INDEX('PROJETO PERFURAÇÃO'!$AN:$AN,MATCH(MEDIÇÃO!D113,'PROJETO PERFURAÇÃO'!$B:$B,0)),"")</f>
        <v>0</v>
      </c>
      <c r="G113" s="3"/>
      <c r="H113" s="3"/>
      <c r="I113" s="3" t="str">
        <f>IFERROR(ROUND(INDEX('PROJETO PERFURAÇÃO'!$AB:$AB,MATCH(MEDIÇÃO!K113,'PROJETO PERFURAÇÃO'!$B:$B,0)),1)&amp;"''","")</f>
        <v>5''</v>
      </c>
      <c r="J113" s="3" t="str">
        <f>IFERROR(IF(INDEX('PROJETO PERFURAÇÃO'!$P:$P,MATCH(MEDIÇÃO!K113,'PROJETO PERFURAÇÃO'!$B:$B,0))="Production","P",IF(INDEX('PROJETO PERFURAÇÃO'!$P:$P,MATCH(MEDIÇÃO!K113,'PROJETO PERFURAÇÃO'!$B:$B,0))="Buffer","B",IF(INDEX('PROJETO PERFURAÇÃO'!$P:$P,MATCH(MEDIÇÃO!K113,'PROJETO PERFURAÇÃO'!$B:$B,0))="Pre-Splitting","S"))),"")</f>
        <v>P</v>
      </c>
      <c r="K113" s="14">
        <f t="shared" si="10"/>
        <v>246</v>
      </c>
      <c r="L113" s="4" t="str">
        <f>IFERROR(INDEX('LEV R&amp;D'!$D:$D,MATCH(MEDIÇÃO!K113,'LEV R&amp;D'!$A:$A,0))-INDEX('PROJETO PERFURAÇÃO'!$AH:$AH,MATCH(MEDIÇÃO!K113,'PROJETO PERFURAÇÃO'!$B:$B,0)),"")</f>
        <v/>
      </c>
      <c r="M113" s="17">
        <f>IFERROR(INDEX('PROJETO PERFURAÇÃO'!$AN:$AN,MATCH(MEDIÇÃO!K113,'PROJETO PERFURAÇÃO'!$B:$B,0)),"")</f>
        <v>0</v>
      </c>
      <c r="N113" s="3"/>
      <c r="O113" s="3"/>
      <c r="P113" s="3" t="str">
        <f>IFERROR(ROUND(INDEX('PROJETO PERFURAÇÃO'!$AB:$AB,MATCH(MEDIÇÃO!R113,'PROJETO PERFURAÇÃO'!$B:$B,0)),1)&amp;"''","")</f>
        <v>5''</v>
      </c>
      <c r="Q113" s="3" t="str">
        <f>IFERROR(IF(INDEX('PROJETO PERFURAÇÃO'!$P:$P,MATCH(MEDIÇÃO!R113,'PROJETO PERFURAÇÃO'!$B:$B,0))="Production","P",IF(INDEX('PROJETO PERFURAÇÃO'!$P:$P,MATCH(MEDIÇÃO!R113,'PROJETO PERFURAÇÃO'!$B:$B,0))="Buffer","B",IF(INDEX('PROJETO PERFURAÇÃO'!$P:$P,MATCH(MEDIÇÃO!R113,'PROJETO PERFURAÇÃO'!$B:$B,0))="Pre-Splitting","S"))),"")</f>
        <v>P</v>
      </c>
      <c r="R113" s="14">
        <f t="shared" si="11"/>
        <v>269</v>
      </c>
      <c r="S113" s="4" t="str">
        <f>IFERROR(INDEX('LEV R&amp;D'!$D:$D,MATCH(MEDIÇÃO!R113,'LEV R&amp;D'!$A:$A,0))-INDEX('PROJETO PERFURAÇÃO'!$AH:$AH,MATCH(MEDIÇÃO!R113,'PROJETO PERFURAÇÃO'!$B:$B,0)),"")</f>
        <v/>
      </c>
      <c r="T113" s="17">
        <f>IFERROR(INDEX('PROJETO PERFURAÇÃO'!$AN:$AN,MATCH(MEDIÇÃO!R113,'PROJETO PERFURAÇÃO'!$B:$B,0)),"")</f>
        <v>0</v>
      </c>
      <c r="U113" s="3"/>
      <c r="V113" s="3"/>
    </row>
    <row r="114" spans="1:23" ht="45" customHeight="1">
      <c r="B114" s="3" t="str">
        <f>IFERROR(ROUND(INDEX('PROJETO PERFURAÇÃO'!$AB:$AB,MATCH(MEDIÇÃO!D114,'PROJETO PERFURAÇÃO'!$B:$B,0)),1)&amp;"''","")</f>
        <v>5''</v>
      </c>
      <c r="C114" s="3" t="str">
        <f>IFERROR(IF(INDEX('PROJETO PERFURAÇÃO'!$P:$P,MATCH(MEDIÇÃO!D114,'PROJETO PERFURAÇÃO'!$B:$B,0))="Production","P",IF(INDEX('PROJETO PERFURAÇÃO'!$P:$P,MATCH(MEDIÇÃO!D114,'PROJETO PERFURAÇÃO'!$B:$B,0))="Buffer","B",IF(INDEX('PROJETO PERFURAÇÃO'!$P:$P,MATCH(MEDIÇÃO!D114,'PROJETO PERFURAÇÃO'!$B:$B,0))="Pre-Splitting","S"))),"")</f>
        <v>P</v>
      </c>
      <c r="D114" s="14">
        <f t="shared" si="9"/>
        <v>224</v>
      </c>
      <c r="E114" s="4" t="str">
        <f>IFERROR(INDEX('LEV R&amp;D'!$D:$D,MATCH(MEDIÇÃO!D114,'LEV R&amp;D'!$A:$A,0))-INDEX('PROJETO PERFURAÇÃO'!$AH:$AH,MATCH(MEDIÇÃO!D114,'PROJETO PERFURAÇÃO'!$B:$B,0)),"")</f>
        <v/>
      </c>
      <c r="F114" s="17">
        <f>IFERROR(INDEX('PROJETO PERFURAÇÃO'!$AN:$AN,MATCH(MEDIÇÃO!D114,'PROJETO PERFURAÇÃO'!$B:$B,0)),"")</f>
        <v>0</v>
      </c>
      <c r="G114" s="3"/>
      <c r="H114" s="3"/>
      <c r="I114" s="3" t="str">
        <f>IFERROR(ROUND(INDEX('PROJETO PERFURAÇÃO'!$AB:$AB,MATCH(MEDIÇÃO!K114,'PROJETO PERFURAÇÃO'!$B:$B,0)),1)&amp;"''","")</f>
        <v>5''</v>
      </c>
      <c r="J114" s="3" t="str">
        <f>IFERROR(IF(INDEX('PROJETO PERFURAÇÃO'!$P:$P,MATCH(MEDIÇÃO!K114,'PROJETO PERFURAÇÃO'!$B:$B,0))="Production","P",IF(INDEX('PROJETO PERFURAÇÃO'!$P:$P,MATCH(MEDIÇÃO!K114,'PROJETO PERFURAÇÃO'!$B:$B,0))="Buffer","B",IF(INDEX('PROJETO PERFURAÇÃO'!$P:$P,MATCH(MEDIÇÃO!K114,'PROJETO PERFURAÇÃO'!$B:$B,0))="Pre-Splitting","S"))),"")</f>
        <v>P</v>
      </c>
      <c r="K114" s="14">
        <f t="shared" si="10"/>
        <v>247</v>
      </c>
      <c r="L114" s="4" t="str">
        <f>IFERROR(INDEX('LEV R&amp;D'!$D:$D,MATCH(MEDIÇÃO!K114,'LEV R&amp;D'!$A:$A,0))-INDEX('PROJETO PERFURAÇÃO'!$AH:$AH,MATCH(MEDIÇÃO!K114,'PROJETO PERFURAÇÃO'!$B:$B,0)),"")</f>
        <v/>
      </c>
      <c r="M114" s="17">
        <f>IFERROR(INDEX('PROJETO PERFURAÇÃO'!$AN:$AN,MATCH(MEDIÇÃO!K114,'PROJETO PERFURAÇÃO'!$B:$B,0)),"")</f>
        <v>0</v>
      </c>
      <c r="N114" s="3"/>
      <c r="O114" s="3"/>
      <c r="P114" s="3" t="str">
        <f>IFERROR(ROUND(INDEX('PROJETO PERFURAÇÃO'!$AB:$AB,MATCH(MEDIÇÃO!R114,'PROJETO PERFURAÇÃO'!$B:$B,0)),1)&amp;"''","")</f>
        <v>5''</v>
      </c>
      <c r="Q114" s="3" t="str">
        <f>IFERROR(IF(INDEX('PROJETO PERFURAÇÃO'!$P:$P,MATCH(MEDIÇÃO!R114,'PROJETO PERFURAÇÃO'!$B:$B,0))="Production","P",IF(INDEX('PROJETO PERFURAÇÃO'!$P:$P,MATCH(MEDIÇÃO!R114,'PROJETO PERFURAÇÃO'!$B:$B,0))="Buffer","B",IF(INDEX('PROJETO PERFURAÇÃO'!$P:$P,MATCH(MEDIÇÃO!R114,'PROJETO PERFURAÇÃO'!$B:$B,0))="Pre-Splitting","S"))),"")</f>
        <v>P</v>
      </c>
      <c r="R114" s="14">
        <f t="shared" si="11"/>
        <v>270</v>
      </c>
      <c r="S114" s="4" t="str">
        <f>IFERROR(INDEX('LEV R&amp;D'!$D:$D,MATCH(MEDIÇÃO!R114,'LEV R&amp;D'!$A:$A,0))-INDEX('PROJETO PERFURAÇÃO'!$AH:$AH,MATCH(MEDIÇÃO!R114,'PROJETO PERFURAÇÃO'!$B:$B,0)),"")</f>
        <v/>
      </c>
      <c r="T114" s="17">
        <f>IFERROR(INDEX('PROJETO PERFURAÇÃO'!$AN:$AN,MATCH(MEDIÇÃO!R114,'PROJETO PERFURAÇÃO'!$B:$B,0)),"")</f>
        <v>0</v>
      </c>
      <c r="U114" s="3"/>
      <c r="V114" s="3"/>
    </row>
    <row r="115" spans="1:23" ht="45" customHeight="1">
      <c r="B115" s="3" t="str">
        <f>IFERROR(ROUND(INDEX('PROJETO PERFURAÇÃO'!$AB:$AB,MATCH(MEDIÇÃO!D115,'PROJETO PERFURAÇÃO'!$B:$B,0)),1)&amp;"''","")</f>
        <v>5''</v>
      </c>
      <c r="C115" s="3" t="str">
        <f>IFERROR(IF(INDEX('PROJETO PERFURAÇÃO'!$P:$P,MATCH(MEDIÇÃO!D115,'PROJETO PERFURAÇÃO'!$B:$B,0))="Production","P",IF(INDEX('PROJETO PERFURAÇÃO'!$P:$P,MATCH(MEDIÇÃO!D115,'PROJETO PERFURAÇÃO'!$B:$B,0))="Buffer","B",IF(INDEX('PROJETO PERFURAÇÃO'!$P:$P,MATCH(MEDIÇÃO!D115,'PROJETO PERFURAÇÃO'!$B:$B,0))="Pre-Splitting","S"))),"")</f>
        <v>P</v>
      </c>
      <c r="D115" s="14">
        <f t="shared" si="9"/>
        <v>225</v>
      </c>
      <c r="E115" s="4" t="str">
        <f>IFERROR(INDEX('LEV R&amp;D'!$D:$D,MATCH(MEDIÇÃO!D115,'LEV R&amp;D'!$A:$A,0))-INDEX('PROJETO PERFURAÇÃO'!$AH:$AH,MATCH(MEDIÇÃO!D115,'PROJETO PERFURAÇÃO'!$B:$B,0)),"")</f>
        <v/>
      </c>
      <c r="F115" s="17">
        <f>IFERROR(INDEX('PROJETO PERFURAÇÃO'!$AN:$AN,MATCH(MEDIÇÃO!D115,'PROJETO PERFURAÇÃO'!$B:$B,0)),"")</f>
        <v>0</v>
      </c>
      <c r="G115" s="3"/>
      <c r="H115" s="3"/>
      <c r="I115" s="3" t="str">
        <f>IFERROR(ROUND(INDEX('PROJETO PERFURAÇÃO'!$AB:$AB,MATCH(MEDIÇÃO!K115,'PROJETO PERFURAÇÃO'!$B:$B,0)),1)&amp;"''","")</f>
        <v>5''</v>
      </c>
      <c r="J115" s="3" t="str">
        <f>IFERROR(IF(INDEX('PROJETO PERFURAÇÃO'!$P:$P,MATCH(MEDIÇÃO!K115,'PROJETO PERFURAÇÃO'!$B:$B,0))="Production","P",IF(INDEX('PROJETO PERFURAÇÃO'!$P:$P,MATCH(MEDIÇÃO!K115,'PROJETO PERFURAÇÃO'!$B:$B,0))="Buffer","B",IF(INDEX('PROJETO PERFURAÇÃO'!$P:$P,MATCH(MEDIÇÃO!K115,'PROJETO PERFURAÇÃO'!$B:$B,0))="Pre-Splitting","S"))),"")</f>
        <v>P</v>
      </c>
      <c r="K115" s="14">
        <f t="shared" si="10"/>
        <v>248</v>
      </c>
      <c r="L115" s="4" t="str">
        <f>IFERROR(INDEX('LEV R&amp;D'!$D:$D,MATCH(MEDIÇÃO!K115,'LEV R&amp;D'!$A:$A,0))-INDEX('PROJETO PERFURAÇÃO'!$AH:$AH,MATCH(MEDIÇÃO!K115,'PROJETO PERFURAÇÃO'!$B:$B,0)),"")</f>
        <v/>
      </c>
      <c r="M115" s="17">
        <f>IFERROR(INDEX('PROJETO PERFURAÇÃO'!$AN:$AN,MATCH(MEDIÇÃO!K115,'PROJETO PERFURAÇÃO'!$B:$B,0)),"")</f>
        <v>0</v>
      </c>
      <c r="N115" s="3"/>
      <c r="O115" s="3"/>
      <c r="P115" s="3" t="str">
        <f>IFERROR(ROUND(INDEX('PROJETO PERFURAÇÃO'!$AB:$AB,MATCH(MEDIÇÃO!R115,'PROJETO PERFURAÇÃO'!$B:$B,0)),1)&amp;"''","")</f>
        <v>5''</v>
      </c>
      <c r="Q115" s="3" t="str">
        <f>IFERROR(IF(INDEX('PROJETO PERFURAÇÃO'!$P:$P,MATCH(MEDIÇÃO!R115,'PROJETO PERFURAÇÃO'!$B:$B,0))="Production","P",IF(INDEX('PROJETO PERFURAÇÃO'!$P:$P,MATCH(MEDIÇÃO!R115,'PROJETO PERFURAÇÃO'!$B:$B,0))="Buffer","B",IF(INDEX('PROJETO PERFURAÇÃO'!$P:$P,MATCH(MEDIÇÃO!R115,'PROJETO PERFURAÇÃO'!$B:$B,0))="Pre-Splitting","S"))),"")</f>
        <v>P</v>
      </c>
      <c r="R115" s="14">
        <f t="shared" si="11"/>
        <v>271</v>
      </c>
      <c r="S115" s="4" t="str">
        <f>IFERROR(INDEX('LEV R&amp;D'!$D:$D,MATCH(MEDIÇÃO!R115,'LEV R&amp;D'!$A:$A,0))-INDEX('PROJETO PERFURAÇÃO'!$AH:$AH,MATCH(MEDIÇÃO!R115,'PROJETO PERFURAÇÃO'!$B:$B,0)),"")</f>
        <v/>
      </c>
      <c r="T115" s="17">
        <f>IFERROR(INDEX('PROJETO PERFURAÇÃO'!$AN:$AN,MATCH(MEDIÇÃO!R115,'PROJETO PERFURAÇÃO'!$B:$B,0)),"")</f>
        <v>0</v>
      </c>
      <c r="U115" s="3"/>
      <c r="V115" s="3"/>
    </row>
    <row r="116" spans="1:23" ht="45" customHeight="1">
      <c r="B116" s="3" t="str">
        <f>IFERROR(ROUND(INDEX('PROJETO PERFURAÇÃO'!$AB:$AB,MATCH(MEDIÇÃO!D116,'PROJETO PERFURAÇÃO'!$B:$B,0)),1)&amp;"''","")</f>
        <v>5''</v>
      </c>
      <c r="C116" s="3" t="str">
        <f>IFERROR(IF(INDEX('PROJETO PERFURAÇÃO'!$P:$P,MATCH(MEDIÇÃO!D116,'PROJETO PERFURAÇÃO'!$B:$B,0))="Production","P",IF(INDEX('PROJETO PERFURAÇÃO'!$P:$P,MATCH(MEDIÇÃO!D116,'PROJETO PERFURAÇÃO'!$B:$B,0))="Buffer","B",IF(INDEX('PROJETO PERFURAÇÃO'!$P:$P,MATCH(MEDIÇÃO!D116,'PROJETO PERFURAÇÃO'!$B:$B,0))="Pre-Splitting","S"))),"")</f>
        <v>P</v>
      </c>
      <c r="D116" s="14">
        <f t="shared" si="9"/>
        <v>226</v>
      </c>
      <c r="E116" s="4" t="str">
        <f>IFERROR(INDEX('LEV R&amp;D'!$D:$D,MATCH(MEDIÇÃO!D116,'LEV R&amp;D'!$A:$A,0))-INDEX('PROJETO PERFURAÇÃO'!$AH:$AH,MATCH(MEDIÇÃO!D116,'PROJETO PERFURAÇÃO'!$B:$B,0)),"")</f>
        <v/>
      </c>
      <c r="F116" s="17">
        <f>IFERROR(INDEX('PROJETO PERFURAÇÃO'!$AN:$AN,MATCH(MEDIÇÃO!D116,'PROJETO PERFURAÇÃO'!$B:$B,0)),"")</f>
        <v>0</v>
      </c>
      <c r="G116" s="3"/>
      <c r="H116" s="3"/>
      <c r="I116" s="3" t="str">
        <f>IFERROR(ROUND(INDEX('PROJETO PERFURAÇÃO'!$AB:$AB,MATCH(MEDIÇÃO!K116,'PROJETO PERFURAÇÃO'!$B:$B,0)),1)&amp;"''","")</f>
        <v>5''</v>
      </c>
      <c r="J116" s="3" t="str">
        <f>IFERROR(IF(INDEX('PROJETO PERFURAÇÃO'!$P:$P,MATCH(MEDIÇÃO!K116,'PROJETO PERFURAÇÃO'!$B:$B,0))="Production","P",IF(INDEX('PROJETO PERFURAÇÃO'!$P:$P,MATCH(MEDIÇÃO!K116,'PROJETO PERFURAÇÃO'!$B:$B,0))="Buffer","B",IF(INDEX('PROJETO PERFURAÇÃO'!$P:$P,MATCH(MEDIÇÃO!K116,'PROJETO PERFURAÇÃO'!$B:$B,0))="Pre-Splitting","S"))),"")</f>
        <v>P</v>
      </c>
      <c r="K116" s="14">
        <f t="shared" si="10"/>
        <v>249</v>
      </c>
      <c r="L116" s="4" t="str">
        <f>IFERROR(INDEX('LEV R&amp;D'!$D:$D,MATCH(MEDIÇÃO!K116,'LEV R&amp;D'!$A:$A,0))-INDEX('PROJETO PERFURAÇÃO'!$AH:$AH,MATCH(MEDIÇÃO!K116,'PROJETO PERFURAÇÃO'!$B:$B,0)),"")</f>
        <v/>
      </c>
      <c r="M116" s="17">
        <f>IFERROR(INDEX('PROJETO PERFURAÇÃO'!$AN:$AN,MATCH(MEDIÇÃO!K116,'PROJETO PERFURAÇÃO'!$B:$B,0)),"")</f>
        <v>0</v>
      </c>
      <c r="N116" s="3"/>
      <c r="O116" s="3"/>
      <c r="P116" s="3" t="str">
        <f>IFERROR(ROUND(INDEX('PROJETO PERFURAÇÃO'!$AB:$AB,MATCH(MEDIÇÃO!R116,'PROJETO PERFURAÇÃO'!$B:$B,0)),1)&amp;"''","")</f>
        <v>5''</v>
      </c>
      <c r="Q116" s="3" t="str">
        <f>IFERROR(IF(INDEX('PROJETO PERFURAÇÃO'!$P:$P,MATCH(MEDIÇÃO!R116,'PROJETO PERFURAÇÃO'!$B:$B,0))="Production","P",IF(INDEX('PROJETO PERFURAÇÃO'!$P:$P,MATCH(MEDIÇÃO!R116,'PROJETO PERFURAÇÃO'!$B:$B,0))="Buffer","B",IF(INDEX('PROJETO PERFURAÇÃO'!$P:$P,MATCH(MEDIÇÃO!R116,'PROJETO PERFURAÇÃO'!$B:$B,0))="Pre-Splitting","S"))),"")</f>
        <v>P</v>
      </c>
      <c r="R116" s="14">
        <f t="shared" si="11"/>
        <v>272</v>
      </c>
      <c r="S116" s="4" t="str">
        <f>IFERROR(INDEX('LEV R&amp;D'!$D:$D,MATCH(MEDIÇÃO!R116,'LEV R&amp;D'!$A:$A,0))-INDEX('PROJETO PERFURAÇÃO'!$AH:$AH,MATCH(MEDIÇÃO!R116,'PROJETO PERFURAÇÃO'!$B:$B,0)),"")</f>
        <v/>
      </c>
      <c r="T116" s="17">
        <f>IFERROR(INDEX('PROJETO PERFURAÇÃO'!$AN:$AN,MATCH(MEDIÇÃO!R116,'PROJETO PERFURAÇÃO'!$B:$B,0)),"")</f>
        <v>0</v>
      </c>
      <c r="U116" s="3"/>
      <c r="V116" s="3"/>
    </row>
    <row r="117" spans="1:23" ht="45" customHeight="1">
      <c r="B117" s="3" t="str">
        <f>IFERROR(ROUND(INDEX('PROJETO PERFURAÇÃO'!$AB:$AB,MATCH(MEDIÇÃO!D117,'PROJETO PERFURAÇÃO'!$B:$B,0)),1)&amp;"''","")</f>
        <v>5''</v>
      </c>
      <c r="C117" s="3" t="str">
        <f>IFERROR(IF(INDEX('PROJETO PERFURAÇÃO'!$P:$P,MATCH(MEDIÇÃO!D117,'PROJETO PERFURAÇÃO'!$B:$B,0))="Production","P",IF(INDEX('PROJETO PERFURAÇÃO'!$P:$P,MATCH(MEDIÇÃO!D117,'PROJETO PERFURAÇÃO'!$B:$B,0))="Buffer","B",IF(INDEX('PROJETO PERFURAÇÃO'!$P:$P,MATCH(MEDIÇÃO!D117,'PROJETO PERFURAÇÃO'!$B:$B,0))="Pre-Splitting","S"))),"")</f>
        <v>P</v>
      </c>
      <c r="D117" s="14">
        <f t="shared" si="9"/>
        <v>227</v>
      </c>
      <c r="E117" s="4" t="str">
        <f>IFERROR(INDEX('LEV R&amp;D'!$D:$D,MATCH(MEDIÇÃO!D117,'LEV R&amp;D'!$A:$A,0))-INDEX('PROJETO PERFURAÇÃO'!$AH:$AH,MATCH(MEDIÇÃO!D117,'PROJETO PERFURAÇÃO'!$B:$B,0)),"")</f>
        <v/>
      </c>
      <c r="F117" s="17">
        <f>IFERROR(INDEX('PROJETO PERFURAÇÃO'!$AN:$AN,MATCH(MEDIÇÃO!D117,'PROJETO PERFURAÇÃO'!$B:$B,0)),"")</f>
        <v>0</v>
      </c>
      <c r="G117" s="3"/>
      <c r="H117" s="3"/>
      <c r="I117" s="3" t="str">
        <f>IFERROR(ROUND(INDEX('PROJETO PERFURAÇÃO'!$AB:$AB,MATCH(MEDIÇÃO!K117,'PROJETO PERFURAÇÃO'!$B:$B,0)),1)&amp;"''","")</f>
        <v>5''</v>
      </c>
      <c r="J117" s="3" t="str">
        <f>IFERROR(IF(INDEX('PROJETO PERFURAÇÃO'!$P:$P,MATCH(MEDIÇÃO!K117,'PROJETO PERFURAÇÃO'!$B:$B,0))="Production","P",IF(INDEX('PROJETO PERFURAÇÃO'!$P:$P,MATCH(MEDIÇÃO!K117,'PROJETO PERFURAÇÃO'!$B:$B,0))="Buffer","B",IF(INDEX('PROJETO PERFURAÇÃO'!$P:$P,MATCH(MEDIÇÃO!K117,'PROJETO PERFURAÇÃO'!$B:$B,0))="Pre-Splitting","S"))),"")</f>
        <v>P</v>
      </c>
      <c r="K117" s="14">
        <f t="shared" si="10"/>
        <v>250</v>
      </c>
      <c r="L117" s="4" t="str">
        <f>IFERROR(INDEX('LEV R&amp;D'!$D:$D,MATCH(MEDIÇÃO!K117,'LEV R&amp;D'!$A:$A,0))-INDEX('PROJETO PERFURAÇÃO'!$AH:$AH,MATCH(MEDIÇÃO!K117,'PROJETO PERFURAÇÃO'!$B:$B,0)),"")</f>
        <v/>
      </c>
      <c r="M117" s="17">
        <f>IFERROR(INDEX('PROJETO PERFURAÇÃO'!$AN:$AN,MATCH(MEDIÇÃO!K117,'PROJETO PERFURAÇÃO'!$B:$B,0)),"")</f>
        <v>0</v>
      </c>
      <c r="N117" s="3"/>
      <c r="O117" s="3"/>
      <c r="P117" s="3" t="str">
        <f>IFERROR(ROUND(INDEX('PROJETO PERFURAÇÃO'!$AB:$AB,MATCH(MEDIÇÃO!R117,'PROJETO PERFURAÇÃO'!$B:$B,0)),1)&amp;"''","")</f>
        <v>5''</v>
      </c>
      <c r="Q117" s="3" t="str">
        <f>IFERROR(IF(INDEX('PROJETO PERFURAÇÃO'!$P:$P,MATCH(MEDIÇÃO!R117,'PROJETO PERFURAÇÃO'!$B:$B,0))="Production","P",IF(INDEX('PROJETO PERFURAÇÃO'!$P:$P,MATCH(MEDIÇÃO!R117,'PROJETO PERFURAÇÃO'!$B:$B,0))="Buffer","B",IF(INDEX('PROJETO PERFURAÇÃO'!$P:$P,MATCH(MEDIÇÃO!R117,'PROJETO PERFURAÇÃO'!$B:$B,0))="Pre-Splitting","S"))),"")</f>
        <v>P</v>
      </c>
      <c r="R117" s="14">
        <f t="shared" si="11"/>
        <v>273</v>
      </c>
      <c r="S117" s="4" t="str">
        <f>IFERROR(INDEX('LEV R&amp;D'!$D:$D,MATCH(MEDIÇÃO!R117,'LEV R&amp;D'!$A:$A,0))-INDEX('PROJETO PERFURAÇÃO'!$AH:$AH,MATCH(MEDIÇÃO!R117,'PROJETO PERFURAÇÃO'!$B:$B,0)),"")</f>
        <v/>
      </c>
      <c r="T117" s="17">
        <f>IFERROR(INDEX('PROJETO PERFURAÇÃO'!$AN:$AN,MATCH(MEDIÇÃO!R117,'PROJETO PERFURAÇÃO'!$B:$B,0)),"")</f>
        <v>0</v>
      </c>
      <c r="U117" s="3"/>
      <c r="V117" s="3"/>
    </row>
    <row r="118" spans="1:23" ht="45" customHeight="1">
      <c r="B118" s="3" t="str">
        <f>IFERROR(ROUND(INDEX('PROJETO PERFURAÇÃO'!$AB:$AB,MATCH(MEDIÇÃO!D118,'PROJETO PERFURAÇÃO'!$B:$B,0)),1)&amp;"''","")</f>
        <v>5''</v>
      </c>
      <c r="C118" s="3" t="str">
        <f>IFERROR(IF(INDEX('PROJETO PERFURAÇÃO'!$P:$P,MATCH(MEDIÇÃO!D118,'PROJETO PERFURAÇÃO'!$B:$B,0))="Production","P",IF(INDEX('PROJETO PERFURAÇÃO'!$P:$P,MATCH(MEDIÇÃO!D118,'PROJETO PERFURAÇÃO'!$B:$B,0))="Buffer","B",IF(INDEX('PROJETO PERFURAÇÃO'!$P:$P,MATCH(MEDIÇÃO!D118,'PROJETO PERFURAÇÃO'!$B:$B,0))="Pre-Splitting","S"))),"")</f>
        <v>P</v>
      </c>
      <c r="D118" s="14">
        <f t="shared" si="9"/>
        <v>228</v>
      </c>
      <c r="E118" s="4" t="str">
        <f>IFERROR(INDEX('LEV R&amp;D'!$D:$D,MATCH(MEDIÇÃO!D118,'LEV R&amp;D'!$A:$A,0))-INDEX('PROJETO PERFURAÇÃO'!$AH:$AH,MATCH(MEDIÇÃO!D118,'PROJETO PERFURAÇÃO'!$B:$B,0)),"")</f>
        <v/>
      </c>
      <c r="F118" s="17">
        <f>IFERROR(INDEX('PROJETO PERFURAÇÃO'!$AN:$AN,MATCH(MEDIÇÃO!D118,'PROJETO PERFURAÇÃO'!$B:$B,0)),"")</f>
        <v>0</v>
      </c>
      <c r="G118" s="3"/>
      <c r="H118" s="3"/>
      <c r="I118" s="3" t="str">
        <f>IFERROR(ROUND(INDEX('PROJETO PERFURAÇÃO'!$AB:$AB,MATCH(MEDIÇÃO!K118,'PROJETO PERFURAÇÃO'!$B:$B,0)),1)&amp;"''","")</f>
        <v>5''</v>
      </c>
      <c r="J118" s="3" t="str">
        <f>IFERROR(IF(INDEX('PROJETO PERFURAÇÃO'!$P:$P,MATCH(MEDIÇÃO!K118,'PROJETO PERFURAÇÃO'!$B:$B,0))="Production","P",IF(INDEX('PROJETO PERFURAÇÃO'!$P:$P,MATCH(MEDIÇÃO!K118,'PROJETO PERFURAÇÃO'!$B:$B,0))="Buffer","B",IF(INDEX('PROJETO PERFURAÇÃO'!$P:$P,MATCH(MEDIÇÃO!K118,'PROJETO PERFURAÇÃO'!$B:$B,0))="Pre-Splitting","S"))),"")</f>
        <v>P</v>
      </c>
      <c r="K118" s="14">
        <f t="shared" si="10"/>
        <v>251</v>
      </c>
      <c r="L118" s="4" t="str">
        <f>IFERROR(INDEX('LEV R&amp;D'!$D:$D,MATCH(MEDIÇÃO!K118,'LEV R&amp;D'!$A:$A,0))-INDEX('PROJETO PERFURAÇÃO'!$AH:$AH,MATCH(MEDIÇÃO!K118,'PROJETO PERFURAÇÃO'!$B:$B,0)),"")</f>
        <v/>
      </c>
      <c r="M118" s="17">
        <f>IFERROR(INDEX('PROJETO PERFURAÇÃO'!$AN:$AN,MATCH(MEDIÇÃO!K118,'PROJETO PERFURAÇÃO'!$B:$B,0)),"")</f>
        <v>0</v>
      </c>
      <c r="N118" s="3"/>
      <c r="O118" s="3"/>
      <c r="P118" s="3" t="str">
        <f>IFERROR(ROUND(INDEX('PROJETO PERFURAÇÃO'!$AB:$AB,MATCH(MEDIÇÃO!R118,'PROJETO PERFURAÇÃO'!$B:$B,0)),1)&amp;"''","")</f>
        <v>5''</v>
      </c>
      <c r="Q118" s="3" t="str">
        <f>IFERROR(IF(INDEX('PROJETO PERFURAÇÃO'!$P:$P,MATCH(MEDIÇÃO!R118,'PROJETO PERFURAÇÃO'!$B:$B,0))="Production","P",IF(INDEX('PROJETO PERFURAÇÃO'!$P:$P,MATCH(MEDIÇÃO!R118,'PROJETO PERFURAÇÃO'!$B:$B,0))="Buffer","B",IF(INDEX('PROJETO PERFURAÇÃO'!$P:$P,MATCH(MEDIÇÃO!R118,'PROJETO PERFURAÇÃO'!$B:$B,0))="Pre-Splitting","S"))),"")</f>
        <v>P</v>
      </c>
      <c r="R118" s="14">
        <f t="shared" si="11"/>
        <v>274</v>
      </c>
      <c r="S118" s="4" t="str">
        <f>IFERROR(INDEX('LEV R&amp;D'!$D:$D,MATCH(MEDIÇÃO!R118,'LEV R&amp;D'!$A:$A,0))-INDEX('PROJETO PERFURAÇÃO'!$AH:$AH,MATCH(MEDIÇÃO!R118,'PROJETO PERFURAÇÃO'!$B:$B,0)),"")</f>
        <v/>
      </c>
      <c r="T118" s="17">
        <f>IFERROR(INDEX('PROJETO PERFURAÇÃO'!$AN:$AN,MATCH(MEDIÇÃO!R118,'PROJETO PERFURAÇÃO'!$B:$B,0)),"")</f>
        <v>0</v>
      </c>
      <c r="U118" s="3"/>
      <c r="V118" s="3"/>
    </row>
    <row r="119" spans="1:23" ht="45" customHeight="1">
      <c r="B119" s="3" t="str">
        <f>IFERROR(ROUND(INDEX('PROJETO PERFURAÇÃO'!$AB:$AB,MATCH(MEDIÇÃO!D119,'PROJETO PERFURAÇÃO'!$B:$B,0)),1)&amp;"''","")</f>
        <v>5''</v>
      </c>
      <c r="C119" s="3" t="str">
        <f>IFERROR(IF(INDEX('PROJETO PERFURAÇÃO'!$P:$P,MATCH(MEDIÇÃO!D119,'PROJETO PERFURAÇÃO'!$B:$B,0))="Production","P",IF(INDEX('PROJETO PERFURAÇÃO'!$P:$P,MATCH(MEDIÇÃO!D119,'PROJETO PERFURAÇÃO'!$B:$B,0))="Buffer","B",IF(INDEX('PROJETO PERFURAÇÃO'!$P:$P,MATCH(MEDIÇÃO!D119,'PROJETO PERFURAÇÃO'!$B:$B,0))="Pre-Splitting","S"))),"")</f>
        <v>P</v>
      </c>
      <c r="D119" s="14">
        <f t="shared" si="9"/>
        <v>229</v>
      </c>
      <c r="E119" s="4" t="str">
        <f>IFERROR(INDEX('LEV R&amp;D'!$D:$D,MATCH(MEDIÇÃO!D119,'LEV R&amp;D'!$A:$A,0))-INDEX('PROJETO PERFURAÇÃO'!$AH:$AH,MATCH(MEDIÇÃO!D119,'PROJETO PERFURAÇÃO'!$B:$B,0)),"")</f>
        <v/>
      </c>
      <c r="F119" s="17">
        <f>IFERROR(INDEX('PROJETO PERFURAÇÃO'!$AN:$AN,MATCH(MEDIÇÃO!D119,'PROJETO PERFURAÇÃO'!$B:$B,0)),"")</f>
        <v>0</v>
      </c>
      <c r="G119" s="3"/>
      <c r="H119" s="3"/>
      <c r="I119" s="3" t="str">
        <f>IFERROR(ROUND(INDEX('PROJETO PERFURAÇÃO'!$AB:$AB,MATCH(MEDIÇÃO!K119,'PROJETO PERFURAÇÃO'!$B:$B,0)),1)&amp;"''","")</f>
        <v>5''</v>
      </c>
      <c r="J119" s="3" t="str">
        <f>IFERROR(IF(INDEX('PROJETO PERFURAÇÃO'!$P:$P,MATCH(MEDIÇÃO!K119,'PROJETO PERFURAÇÃO'!$B:$B,0))="Production","P",IF(INDEX('PROJETO PERFURAÇÃO'!$P:$P,MATCH(MEDIÇÃO!K119,'PROJETO PERFURAÇÃO'!$B:$B,0))="Buffer","B",IF(INDEX('PROJETO PERFURAÇÃO'!$P:$P,MATCH(MEDIÇÃO!K119,'PROJETO PERFURAÇÃO'!$B:$B,0))="Pre-Splitting","S"))),"")</f>
        <v>P</v>
      </c>
      <c r="K119" s="14">
        <f t="shared" si="10"/>
        <v>252</v>
      </c>
      <c r="L119" s="4" t="str">
        <f>IFERROR(INDEX('LEV R&amp;D'!$D:$D,MATCH(MEDIÇÃO!K119,'LEV R&amp;D'!$A:$A,0))-INDEX('PROJETO PERFURAÇÃO'!$AH:$AH,MATCH(MEDIÇÃO!K119,'PROJETO PERFURAÇÃO'!$B:$B,0)),"")</f>
        <v/>
      </c>
      <c r="M119" s="17">
        <f>IFERROR(INDEX('PROJETO PERFURAÇÃO'!$AN:$AN,MATCH(MEDIÇÃO!K119,'PROJETO PERFURAÇÃO'!$B:$B,0)),"")</f>
        <v>0</v>
      </c>
      <c r="N119" s="3"/>
      <c r="O119" s="3"/>
      <c r="P119" s="3" t="str">
        <f>IFERROR(ROUND(INDEX('PROJETO PERFURAÇÃO'!$AB:$AB,MATCH(MEDIÇÃO!R119,'PROJETO PERFURAÇÃO'!$B:$B,0)),1)&amp;"''","")</f>
        <v>5''</v>
      </c>
      <c r="Q119" s="3" t="str">
        <f>IFERROR(IF(INDEX('PROJETO PERFURAÇÃO'!$P:$P,MATCH(MEDIÇÃO!R119,'PROJETO PERFURAÇÃO'!$B:$B,0))="Production","P",IF(INDEX('PROJETO PERFURAÇÃO'!$P:$P,MATCH(MEDIÇÃO!R119,'PROJETO PERFURAÇÃO'!$B:$B,0))="Buffer","B",IF(INDEX('PROJETO PERFURAÇÃO'!$P:$P,MATCH(MEDIÇÃO!R119,'PROJETO PERFURAÇÃO'!$B:$B,0))="Pre-Splitting","S"))),"")</f>
        <v>P</v>
      </c>
      <c r="R119" s="14">
        <f t="shared" si="11"/>
        <v>275</v>
      </c>
      <c r="S119" s="4" t="str">
        <f>IFERROR(INDEX('LEV R&amp;D'!$D:$D,MATCH(MEDIÇÃO!R119,'LEV R&amp;D'!$A:$A,0))-INDEX('PROJETO PERFURAÇÃO'!$AH:$AH,MATCH(MEDIÇÃO!R119,'PROJETO PERFURAÇÃO'!$B:$B,0)),"")</f>
        <v/>
      </c>
      <c r="T119" s="17">
        <f>IFERROR(INDEX('PROJETO PERFURAÇÃO'!$AN:$AN,MATCH(MEDIÇÃO!R119,'PROJETO PERFURAÇÃO'!$B:$B,0)),"")</f>
        <v>0</v>
      </c>
      <c r="U119" s="3"/>
      <c r="V119" s="3"/>
    </row>
    <row r="120" spans="1:23" ht="45" customHeight="1">
      <c r="B120" s="3" t="str">
        <f>IFERROR(ROUND(INDEX('PROJETO PERFURAÇÃO'!$AB:$AB,MATCH(MEDIÇÃO!D120,'PROJETO PERFURAÇÃO'!$B:$B,0)),1)&amp;"''","")</f>
        <v>5''</v>
      </c>
      <c r="C120" s="3" t="str">
        <f>IFERROR(IF(INDEX('PROJETO PERFURAÇÃO'!$P:$P,MATCH(MEDIÇÃO!D120,'PROJETO PERFURAÇÃO'!$B:$B,0))="Production","P",IF(INDEX('PROJETO PERFURAÇÃO'!$P:$P,MATCH(MEDIÇÃO!D120,'PROJETO PERFURAÇÃO'!$B:$B,0))="Buffer","B",IF(INDEX('PROJETO PERFURAÇÃO'!$P:$P,MATCH(MEDIÇÃO!D120,'PROJETO PERFURAÇÃO'!$B:$B,0))="Pre-Splitting","S"))),"")</f>
        <v>P</v>
      </c>
      <c r="D120" s="14">
        <f t="shared" si="9"/>
        <v>230</v>
      </c>
      <c r="E120" s="4" t="str">
        <f>IFERROR(INDEX('LEV R&amp;D'!$D:$D,MATCH(MEDIÇÃO!D120,'LEV R&amp;D'!$A:$A,0))-INDEX('PROJETO PERFURAÇÃO'!$AH:$AH,MATCH(MEDIÇÃO!D120,'PROJETO PERFURAÇÃO'!$B:$B,0)),"")</f>
        <v/>
      </c>
      <c r="F120" s="17">
        <f>IFERROR(INDEX('PROJETO PERFURAÇÃO'!$AN:$AN,MATCH(MEDIÇÃO!D120,'PROJETO PERFURAÇÃO'!$B:$B,0)),"")</f>
        <v>0</v>
      </c>
      <c r="G120" s="3"/>
      <c r="H120" s="3"/>
      <c r="I120" s="3" t="str">
        <f>IFERROR(ROUND(INDEX('PROJETO PERFURAÇÃO'!$AB:$AB,MATCH(MEDIÇÃO!K120,'PROJETO PERFURAÇÃO'!$B:$B,0)),1)&amp;"''","")</f>
        <v>5''</v>
      </c>
      <c r="J120" s="3" t="str">
        <f>IFERROR(IF(INDEX('PROJETO PERFURAÇÃO'!$P:$P,MATCH(MEDIÇÃO!K120,'PROJETO PERFURAÇÃO'!$B:$B,0))="Production","P",IF(INDEX('PROJETO PERFURAÇÃO'!$P:$P,MATCH(MEDIÇÃO!K120,'PROJETO PERFURAÇÃO'!$B:$B,0))="Buffer","B",IF(INDEX('PROJETO PERFURAÇÃO'!$P:$P,MATCH(MEDIÇÃO!K120,'PROJETO PERFURAÇÃO'!$B:$B,0))="Pre-Splitting","S"))),"")</f>
        <v>P</v>
      </c>
      <c r="K120" s="14">
        <f t="shared" si="10"/>
        <v>253</v>
      </c>
      <c r="L120" s="4" t="str">
        <f>IFERROR(INDEX('LEV R&amp;D'!$D:$D,MATCH(MEDIÇÃO!K120,'LEV R&amp;D'!$A:$A,0))-INDEX('PROJETO PERFURAÇÃO'!$AH:$AH,MATCH(MEDIÇÃO!K120,'PROJETO PERFURAÇÃO'!$B:$B,0)),"")</f>
        <v/>
      </c>
      <c r="M120" s="17">
        <f>IFERROR(INDEX('PROJETO PERFURAÇÃO'!$AN:$AN,MATCH(MEDIÇÃO!K120,'PROJETO PERFURAÇÃO'!$B:$B,0)),"")</f>
        <v>0</v>
      </c>
      <c r="N120" s="3"/>
      <c r="O120" s="3"/>
      <c r="P120" s="3" t="str">
        <f>IFERROR(ROUND(INDEX('PROJETO PERFURAÇÃO'!$AB:$AB,MATCH(MEDIÇÃO!R120,'PROJETO PERFURAÇÃO'!$B:$B,0)),1)&amp;"''","")</f>
        <v>5''</v>
      </c>
      <c r="Q120" s="3" t="str">
        <f>IFERROR(IF(INDEX('PROJETO PERFURAÇÃO'!$P:$P,MATCH(MEDIÇÃO!R120,'PROJETO PERFURAÇÃO'!$B:$B,0))="Production","P",IF(INDEX('PROJETO PERFURAÇÃO'!$P:$P,MATCH(MEDIÇÃO!R120,'PROJETO PERFURAÇÃO'!$B:$B,0))="Buffer","B",IF(INDEX('PROJETO PERFURAÇÃO'!$P:$P,MATCH(MEDIÇÃO!R120,'PROJETO PERFURAÇÃO'!$B:$B,0))="Pre-Splitting","S"))),"")</f>
        <v>P</v>
      </c>
      <c r="R120" s="14">
        <f t="shared" si="11"/>
        <v>276</v>
      </c>
      <c r="S120" s="4" t="str">
        <f>IFERROR(INDEX('LEV R&amp;D'!$D:$D,MATCH(MEDIÇÃO!R120,'LEV R&amp;D'!$A:$A,0))-INDEX('PROJETO PERFURAÇÃO'!$AH:$AH,MATCH(MEDIÇÃO!R120,'PROJETO PERFURAÇÃO'!$B:$B,0)),"")</f>
        <v/>
      </c>
      <c r="T120" s="17">
        <f>IFERROR(INDEX('PROJETO PERFURAÇÃO'!$AN:$AN,MATCH(MEDIÇÃO!R120,'PROJETO PERFURAÇÃO'!$B:$B,0)),"")</f>
        <v>0</v>
      </c>
      <c r="U120" s="3"/>
      <c r="V120" s="3"/>
    </row>
    <row r="121" spans="1:23" ht="30" customHeight="1">
      <c r="B121" s="1"/>
      <c r="C121" s="1"/>
      <c r="D121" s="15"/>
      <c r="E121" s="2"/>
      <c r="F121" s="16"/>
      <c r="G121" s="1"/>
      <c r="H121" s="1"/>
      <c r="I121" s="1"/>
      <c r="J121" s="1"/>
      <c r="K121" s="15"/>
      <c r="L121" s="2"/>
      <c r="M121" s="16"/>
      <c r="N121" s="1"/>
      <c r="O121" s="1"/>
      <c r="P121" s="1"/>
      <c r="Q121" s="1"/>
      <c r="R121" s="15"/>
      <c r="S121" s="2"/>
      <c r="T121" s="16"/>
      <c r="U121" s="1"/>
      <c r="V121" s="1"/>
    </row>
    <row r="122" spans="1:23" ht="30" customHeight="1">
      <c r="C122" s="20"/>
      <c r="D122" s="20"/>
      <c r="E122" s="20"/>
      <c r="F122" s="20"/>
      <c r="G122" s="20"/>
      <c r="H122" s="20"/>
      <c r="I122" s="20"/>
      <c r="J122" s="20"/>
      <c r="K122" s="20"/>
      <c r="M122" s="20"/>
      <c r="N122" s="20"/>
      <c r="O122" s="20"/>
      <c r="P122" s="20"/>
      <c r="Q122" s="20"/>
      <c r="R122" s="20"/>
      <c r="S122" s="20"/>
      <c r="T122" s="20"/>
      <c r="U122" s="20"/>
    </row>
    <row r="123" spans="1:23" ht="30" customHeight="1">
      <c r="C123" s="21" t="s">
        <v>40</v>
      </c>
      <c r="D123" s="21"/>
      <c r="E123" s="21"/>
      <c r="F123" s="21"/>
      <c r="G123" s="21"/>
      <c r="H123" s="21"/>
      <c r="I123" s="21"/>
      <c r="J123" s="21"/>
      <c r="K123" s="21"/>
      <c r="L123" s="9"/>
      <c r="M123" s="21" t="s">
        <v>40</v>
      </c>
      <c r="N123" s="21"/>
      <c r="O123" s="21"/>
      <c r="P123" s="21"/>
      <c r="Q123" s="21"/>
      <c r="R123" s="21"/>
      <c r="S123" s="21"/>
      <c r="T123" s="21"/>
      <c r="U123" s="21"/>
      <c r="V123" s="9"/>
    </row>
    <row r="124" spans="1:23" ht="30" customHeight="1">
      <c r="D124" s="9"/>
      <c r="E124" s="9"/>
      <c r="F124" s="9"/>
      <c r="G124" s="9"/>
      <c r="H124" s="9"/>
      <c r="I124" s="9"/>
      <c r="J124" s="9"/>
      <c r="K124" s="9"/>
      <c r="L124" s="9"/>
      <c r="M124" s="9"/>
      <c r="N124" s="9"/>
      <c r="Q124" s="9"/>
      <c r="R124" s="9"/>
      <c r="S124" s="9"/>
      <c r="T124" s="9"/>
      <c r="U124" s="9"/>
      <c r="V124" s="9"/>
    </row>
    <row r="125" spans="1:23" ht="30" customHeight="1">
      <c r="B125" s="19" t="str">
        <f>'PROJETO PERFURAÇÃO'!$C$2&amp;" - "&amp;'PROJETO PERFURAÇÃO'!$H$2</f>
        <v>LIB037 - PP0370626</v>
      </c>
      <c r="C125" s="19"/>
      <c r="D125" s="19"/>
      <c r="E125" s="19"/>
      <c r="F125" s="19"/>
      <c r="G125" s="19"/>
      <c r="H125" s="19"/>
      <c r="I125" s="11" t="s">
        <v>34</v>
      </c>
      <c r="J125" s="10" t="s">
        <v>37</v>
      </c>
    </row>
    <row r="126" spans="1:23" ht="30" customHeight="1">
      <c r="B126" s="19"/>
      <c r="C126" s="19"/>
      <c r="D126" s="19"/>
      <c r="E126" s="19"/>
      <c r="F126" s="19"/>
      <c r="G126" s="19"/>
      <c r="H126" s="19"/>
      <c r="I126" s="12" t="s">
        <v>35</v>
      </c>
      <c r="J126" s="10" t="s">
        <v>38</v>
      </c>
      <c r="K126" s="9"/>
      <c r="L126" s="9"/>
      <c r="M126" s="9"/>
      <c r="N126" s="9"/>
      <c r="O126" s="9"/>
      <c r="P126" s="9"/>
      <c r="Q126" s="9"/>
      <c r="R126" s="9"/>
      <c r="S126" s="9"/>
      <c r="T126" s="9"/>
      <c r="U126" s="9"/>
      <c r="V126" s="9"/>
    </row>
    <row r="127" spans="1:23" ht="30" customHeight="1">
      <c r="B127" s="19"/>
      <c r="C127" s="19"/>
      <c r="D127" s="19"/>
      <c r="E127" s="19"/>
      <c r="F127" s="19"/>
      <c r="G127" s="19"/>
      <c r="H127" s="19"/>
      <c r="I127" s="13" t="s">
        <v>36</v>
      </c>
      <c r="J127" s="10" t="s">
        <v>39</v>
      </c>
    </row>
    <row r="128" spans="1:23" ht="30" customHeight="1">
      <c r="A128" s="1"/>
      <c r="B128" s="6" t="s">
        <v>33</v>
      </c>
      <c r="C128" s="6" t="s">
        <v>13</v>
      </c>
      <c r="D128" s="7" t="s">
        <v>1</v>
      </c>
      <c r="E128" s="7" t="s">
        <v>29</v>
      </c>
      <c r="F128" s="7" t="s">
        <v>30</v>
      </c>
      <c r="G128" s="7" t="s">
        <v>31</v>
      </c>
      <c r="H128" s="7" t="s">
        <v>32</v>
      </c>
      <c r="I128" s="6" t="s">
        <v>33</v>
      </c>
      <c r="J128" s="6" t="s">
        <v>13</v>
      </c>
      <c r="K128" s="7" t="s">
        <v>1</v>
      </c>
      <c r="L128" s="7" t="s">
        <v>29</v>
      </c>
      <c r="M128" s="7" t="s">
        <v>30</v>
      </c>
      <c r="N128" s="7" t="s">
        <v>31</v>
      </c>
      <c r="O128" s="7" t="s">
        <v>32</v>
      </c>
      <c r="P128" s="6" t="s">
        <v>33</v>
      </c>
      <c r="Q128" s="6" t="s">
        <v>13</v>
      </c>
      <c r="R128" s="7" t="s">
        <v>1</v>
      </c>
      <c r="S128" s="7" t="s">
        <v>29</v>
      </c>
      <c r="T128" s="7" t="s">
        <v>30</v>
      </c>
      <c r="U128" s="7" t="s">
        <v>31</v>
      </c>
      <c r="V128" s="7" t="s">
        <v>32</v>
      </c>
      <c r="W128" s="1"/>
    </row>
    <row r="129" spans="2:22" ht="45" customHeight="1">
      <c r="B129" s="3" t="str">
        <f>IFERROR(ROUND(INDEX('PROJETO PERFURAÇÃO'!$AB:$AB,MATCH(MEDIÇÃO!D129,'PROJETO PERFURAÇÃO'!$B:$B,0)),1)&amp;"''","")</f>
        <v>5''</v>
      </c>
      <c r="C129" s="3" t="str">
        <f>IFERROR(IF(INDEX('PROJETO PERFURAÇÃO'!$P:$P,MATCH(MEDIÇÃO!D129,'PROJETO PERFURAÇÃO'!$B:$B,0))="Production","P",IF(INDEX('PROJETO PERFURAÇÃO'!$P:$P,MATCH(MEDIÇÃO!D129,'PROJETO PERFURAÇÃO'!$B:$B,0))="Buffer","B",IF(INDEX('PROJETO PERFURAÇÃO'!$P:$P,MATCH(MEDIÇÃO!D129,'PROJETO PERFURAÇÃO'!$B:$B,0))="Pre-Splitting","S"))),"")</f>
        <v>P</v>
      </c>
      <c r="D129" s="14">
        <f>R120+1</f>
        <v>277</v>
      </c>
      <c r="E129" s="4" t="str">
        <f>IFERROR(INDEX('LEV R&amp;D'!$D:$D,MATCH(MEDIÇÃO!D129,'LEV R&amp;D'!$A:$A,0))-INDEX('PROJETO PERFURAÇÃO'!$AH:$AH,MATCH(MEDIÇÃO!D129,'PROJETO PERFURAÇÃO'!$B:$B,0)),"")</f>
        <v/>
      </c>
      <c r="F129" s="17">
        <f>IFERROR(INDEX('PROJETO PERFURAÇÃO'!$AN:$AN,MATCH(MEDIÇÃO!D129,'PROJETO PERFURAÇÃO'!$B:$B,0)),"")</f>
        <v>0</v>
      </c>
      <c r="G129" s="3"/>
      <c r="H129" s="3"/>
      <c r="I129" s="3" t="str">
        <f>IFERROR(ROUND(INDEX('PROJETO PERFURAÇÃO'!$AB:$AB,MATCH(MEDIÇÃO!K129,'PROJETO PERFURAÇÃO'!$B:$B,0)),1)&amp;"''","")</f>
        <v>5''</v>
      </c>
      <c r="J129" s="3" t="str">
        <f>IFERROR(IF(INDEX('PROJETO PERFURAÇÃO'!$P:$P,MATCH(MEDIÇÃO!K129,'PROJETO PERFURAÇÃO'!$B:$B,0))="Production","P",IF(INDEX('PROJETO PERFURAÇÃO'!$P:$P,MATCH(MEDIÇÃO!K129,'PROJETO PERFURAÇÃO'!$B:$B,0))="Buffer","B",IF(INDEX('PROJETO PERFURAÇÃO'!$P:$P,MATCH(MEDIÇÃO!K129,'PROJETO PERFURAÇÃO'!$B:$B,0))="Pre-Splitting","S"))),"")</f>
        <v>P</v>
      </c>
      <c r="K129" s="14">
        <f>D151+1</f>
        <v>300</v>
      </c>
      <c r="L129" s="4" t="str">
        <f>IFERROR(INDEX('LEV R&amp;D'!$D:$D,MATCH(MEDIÇÃO!K129,'LEV R&amp;D'!$A:$A,0))-INDEX('PROJETO PERFURAÇÃO'!$AH:$AH,MATCH(MEDIÇÃO!K129,'PROJETO PERFURAÇÃO'!$B:$B,0)),"")</f>
        <v/>
      </c>
      <c r="M129" s="17">
        <f>IFERROR(INDEX('PROJETO PERFURAÇÃO'!$AN:$AN,MATCH(MEDIÇÃO!K129,'PROJETO PERFURAÇÃO'!$B:$B,0)),"")</f>
        <v>0</v>
      </c>
      <c r="N129" s="3"/>
      <c r="O129" s="3"/>
      <c r="P129" s="3" t="str">
        <f>IFERROR(ROUND(INDEX('PROJETO PERFURAÇÃO'!$AB:$AB,MATCH(MEDIÇÃO!R129,'PROJETO PERFURAÇÃO'!$B:$B,0)),1)&amp;"''","")</f>
        <v>5''</v>
      </c>
      <c r="Q129" s="3" t="str">
        <f>IFERROR(IF(INDEX('PROJETO PERFURAÇÃO'!$P:$P,MATCH(MEDIÇÃO!R129,'PROJETO PERFURAÇÃO'!$B:$B,0))="Production","P",IF(INDEX('PROJETO PERFURAÇÃO'!$P:$P,MATCH(MEDIÇÃO!R129,'PROJETO PERFURAÇÃO'!$B:$B,0))="Buffer","B",IF(INDEX('PROJETO PERFURAÇÃO'!$P:$P,MATCH(MEDIÇÃO!R129,'PROJETO PERFURAÇÃO'!$B:$B,0))="Pre-Splitting","S"))),"")</f>
        <v>P</v>
      </c>
      <c r="R129" s="14">
        <f>K151+1</f>
        <v>323</v>
      </c>
      <c r="S129" s="4" t="str">
        <f>IFERROR(INDEX('LEV R&amp;D'!$D:$D,MATCH(MEDIÇÃO!R129,'LEV R&amp;D'!$A:$A,0))-INDEX('PROJETO PERFURAÇÃO'!$AH:$AH,MATCH(MEDIÇÃO!R129,'PROJETO PERFURAÇÃO'!$B:$B,0)),"")</f>
        <v/>
      </c>
      <c r="T129" s="17">
        <f>IFERROR(INDEX('PROJETO PERFURAÇÃO'!$AN:$AN,MATCH(MEDIÇÃO!R129,'PROJETO PERFURAÇÃO'!$B:$B,0)),"")</f>
        <v>0</v>
      </c>
      <c r="U129" s="3"/>
      <c r="V129" s="3"/>
    </row>
    <row r="130" spans="2:22" ht="45" customHeight="1">
      <c r="B130" s="3" t="str">
        <f>IFERROR(ROUND(INDEX('PROJETO PERFURAÇÃO'!$AB:$AB,MATCH(MEDIÇÃO!D130,'PROJETO PERFURAÇÃO'!$B:$B,0)),1)&amp;"''","")</f>
        <v>5''</v>
      </c>
      <c r="C130" s="3" t="str">
        <f>IFERROR(IF(INDEX('PROJETO PERFURAÇÃO'!$P:$P,MATCH(MEDIÇÃO!D130,'PROJETO PERFURAÇÃO'!$B:$B,0))="Production","P",IF(INDEX('PROJETO PERFURAÇÃO'!$P:$P,MATCH(MEDIÇÃO!D130,'PROJETO PERFURAÇÃO'!$B:$B,0))="Buffer","B",IF(INDEX('PROJETO PERFURAÇÃO'!$P:$P,MATCH(MEDIÇÃO!D130,'PROJETO PERFURAÇÃO'!$B:$B,0))="Pre-Splitting","S"))),"")</f>
        <v>P</v>
      </c>
      <c r="D130" s="14">
        <f>D129+1</f>
        <v>278</v>
      </c>
      <c r="E130" s="4" t="str">
        <f>IFERROR(INDEX('LEV R&amp;D'!$D:$D,MATCH(MEDIÇÃO!D130,'LEV R&amp;D'!$A:$A,0))-INDEX('PROJETO PERFURAÇÃO'!$AH:$AH,MATCH(MEDIÇÃO!D130,'PROJETO PERFURAÇÃO'!$B:$B,0)),"")</f>
        <v/>
      </c>
      <c r="F130" s="17">
        <f>IFERROR(INDEX('PROJETO PERFURAÇÃO'!$AN:$AN,MATCH(MEDIÇÃO!D130,'PROJETO PERFURAÇÃO'!$B:$B,0)),"")</f>
        <v>0</v>
      </c>
      <c r="G130" s="3"/>
      <c r="H130" s="3"/>
      <c r="I130" s="3" t="str">
        <f>IFERROR(ROUND(INDEX('PROJETO PERFURAÇÃO'!$AB:$AB,MATCH(MEDIÇÃO!K130,'PROJETO PERFURAÇÃO'!$B:$B,0)),1)&amp;"''","")</f>
        <v>5''</v>
      </c>
      <c r="J130" s="3" t="str">
        <f>IFERROR(IF(INDEX('PROJETO PERFURAÇÃO'!$P:$P,MATCH(MEDIÇÃO!K130,'PROJETO PERFURAÇÃO'!$B:$B,0))="Production","P",IF(INDEX('PROJETO PERFURAÇÃO'!$P:$P,MATCH(MEDIÇÃO!K130,'PROJETO PERFURAÇÃO'!$B:$B,0))="Buffer","B",IF(INDEX('PROJETO PERFURAÇÃO'!$P:$P,MATCH(MEDIÇÃO!K130,'PROJETO PERFURAÇÃO'!$B:$B,0))="Pre-Splitting","S"))),"")</f>
        <v>P</v>
      </c>
      <c r="K130" s="14">
        <f>K129+1</f>
        <v>301</v>
      </c>
      <c r="L130" s="4" t="str">
        <f>IFERROR(INDEX('LEV R&amp;D'!$D:$D,MATCH(MEDIÇÃO!K130,'LEV R&amp;D'!$A:$A,0))-INDEX('PROJETO PERFURAÇÃO'!$AH:$AH,MATCH(MEDIÇÃO!K130,'PROJETO PERFURAÇÃO'!$B:$B,0)),"")</f>
        <v/>
      </c>
      <c r="M130" s="17">
        <f>IFERROR(INDEX('PROJETO PERFURAÇÃO'!$AN:$AN,MATCH(MEDIÇÃO!K130,'PROJETO PERFURAÇÃO'!$B:$B,0)),"")</f>
        <v>0</v>
      </c>
      <c r="N130" s="3"/>
      <c r="O130" s="3"/>
      <c r="P130" s="3" t="str">
        <f>IFERROR(ROUND(INDEX('PROJETO PERFURAÇÃO'!$AB:$AB,MATCH(MEDIÇÃO!R130,'PROJETO PERFURAÇÃO'!$B:$B,0)),1)&amp;"''","")</f>
        <v>5''</v>
      </c>
      <c r="Q130" s="3" t="str">
        <f>IFERROR(IF(INDEX('PROJETO PERFURAÇÃO'!$P:$P,MATCH(MEDIÇÃO!R130,'PROJETO PERFURAÇÃO'!$B:$B,0))="Production","P",IF(INDEX('PROJETO PERFURAÇÃO'!$P:$P,MATCH(MEDIÇÃO!R130,'PROJETO PERFURAÇÃO'!$B:$B,0))="Buffer","B",IF(INDEX('PROJETO PERFURAÇÃO'!$P:$P,MATCH(MEDIÇÃO!R130,'PROJETO PERFURAÇÃO'!$B:$B,0))="Pre-Splitting","S"))),"")</f>
        <v>P</v>
      </c>
      <c r="R130" s="14">
        <f>R129+1</f>
        <v>324</v>
      </c>
      <c r="S130" s="4" t="str">
        <f>IFERROR(INDEX('LEV R&amp;D'!$D:$D,MATCH(MEDIÇÃO!R130,'LEV R&amp;D'!$A:$A,0))-INDEX('PROJETO PERFURAÇÃO'!$AH:$AH,MATCH(MEDIÇÃO!R130,'PROJETO PERFURAÇÃO'!$B:$B,0)),"")</f>
        <v/>
      </c>
      <c r="T130" s="17">
        <f>IFERROR(INDEX('PROJETO PERFURAÇÃO'!$AN:$AN,MATCH(MEDIÇÃO!R130,'PROJETO PERFURAÇÃO'!$B:$B,0)),"")</f>
        <v>0</v>
      </c>
      <c r="U130" s="3"/>
      <c r="V130" s="3"/>
    </row>
    <row r="131" spans="2:22" ht="45" customHeight="1">
      <c r="B131" s="3" t="str">
        <f>IFERROR(ROUND(INDEX('PROJETO PERFURAÇÃO'!$AB:$AB,MATCH(MEDIÇÃO!D131,'PROJETO PERFURAÇÃO'!$B:$B,0)),1)&amp;"''","")</f>
        <v>5''</v>
      </c>
      <c r="C131" s="3" t="str">
        <f>IFERROR(IF(INDEX('PROJETO PERFURAÇÃO'!$P:$P,MATCH(MEDIÇÃO!D131,'PROJETO PERFURAÇÃO'!$B:$B,0))="Production","P",IF(INDEX('PROJETO PERFURAÇÃO'!$P:$P,MATCH(MEDIÇÃO!D131,'PROJETO PERFURAÇÃO'!$B:$B,0))="Buffer","B",IF(INDEX('PROJETO PERFURAÇÃO'!$P:$P,MATCH(MEDIÇÃO!D131,'PROJETO PERFURAÇÃO'!$B:$B,0))="Pre-Splitting","S"))),"")</f>
        <v>P</v>
      </c>
      <c r="D131" s="14">
        <f t="shared" ref="D131:D151" si="12">D130+1</f>
        <v>279</v>
      </c>
      <c r="E131" s="4" t="str">
        <f>IFERROR(INDEX('LEV R&amp;D'!$D:$D,MATCH(MEDIÇÃO!D131,'LEV R&amp;D'!$A:$A,0))-INDEX('PROJETO PERFURAÇÃO'!$AH:$AH,MATCH(MEDIÇÃO!D131,'PROJETO PERFURAÇÃO'!$B:$B,0)),"")</f>
        <v/>
      </c>
      <c r="F131" s="17">
        <f>IFERROR(INDEX('PROJETO PERFURAÇÃO'!$AN:$AN,MATCH(MEDIÇÃO!D131,'PROJETO PERFURAÇÃO'!$B:$B,0)),"")</f>
        <v>0</v>
      </c>
      <c r="G131" s="3"/>
      <c r="H131" s="3"/>
      <c r="I131" s="3" t="str">
        <f>IFERROR(ROUND(INDEX('PROJETO PERFURAÇÃO'!$AB:$AB,MATCH(MEDIÇÃO!K131,'PROJETO PERFURAÇÃO'!$B:$B,0)),1)&amp;"''","")</f>
        <v>5''</v>
      </c>
      <c r="J131" s="3" t="str">
        <f>IFERROR(IF(INDEX('PROJETO PERFURAÇÃO'!$P:$P,MATCH(MEDIÇÃO!K131,'PROJETO PERFURAÇÃO'!$B:$B,0))="Production","P",IF(INDEX('PROJETO PERFURAÇÃO'!$P:$P,MATCH(MEDIÇÃO!K131,'PROJETO PERFURAÇÃO'!$B:$B,0))="Buffer","B",IF(INDEX('PROJETO PERFURAÇÃO'!$P:$P,MATCH(MEDIÇÃO!K131,'PROJETO PERFURAÇÃO'!$B:$B,0))="Pre-Splitting","S"))),"")</f>
        <v>P</v>
      </c>
      <c r="K131" s="14">
        <f t="shared" ref="K131:K151" si="13">K130+1</f>
        <v>302</v>
      </c>
      <c r="L131" s="4" t="str">
        <f>IFERROR(INDEX('LEV R&amp;D'!$D:$D,MATCH(MEDIÇÃO!K131,'LEV R&amp;D'!$A:$A,0))-INDEX('PROJETO PERFURAÇÃO'!$AH:$AH,MATCH(MEDIÇÃO!K131,'PROJETO PERFURAÇÃO'!$B:$B,0)),"")</f>
        <v/>
      </c>
      <c r="M131" s="17">
        <f>IFERROR(INDEX('PROJETO PERFURAÇÃO'!$AN:$AN,MATCH(MEDIÇÃO!K131,'PROJETO PERFURAÇÃO'!$B:$B,0)),"")</f>
        <v>0</v>
      </c>
      <c r="N131" s="3"/>
      <c r="O131" s="3"/>
      <c r="P131" s="3" t="str">
        <f>IFERROR(ROUND(INDEX('PROJETO PERFURAÇÃO'!$AB:$AB,MATCH(MEDIÇÃO!R131,'PROJETO PERFURAÇÃO'!$B:$B,0)),1)&amp;"''","")</f>
        <v>5''</v>
      </c>
      <c r="Q131" s="3" t="str">
        <f>IFERROR(IF(INDEX('PROJETO PERFURAÇÃO'!$P:$P,MATCH(MEDIÇÃO!R131,'PROJETO PERFURAÇÃO'!$B:$B,0))="Production","P",IF(INDEX('PROJETO PERFURAÇÃO'!$P:$P,MATCH(MEDIÇÃO!R131,'PROJETO PERFURAÇÃO'!$B:$B,0))="Buffer","B",IF(INDEX('PROJETO PERFURAÇÃO'!$P:$P,MATCH(MEDIÇÃO!R131,'PROJETO PERFURAÇÃO'!$B:$B,0))="Pre-Splitting","S"))),"")</f>
        <v>P</v>
      </c>
      <c r="R131" s="14">
        <f t="shared" ref="R131:R151" si="14">R130+1</f>
        <v>325</v>
      </c>
      <c r="S131" s="4" t="str">
        <f>IFERROR(INDEX('LEV R&amp;D'!$D:$D,MATCH(MEDIÇÃO!R131,'LEV R&amp;D'!$A:$A,0))-INDEX('PROJETO PERFURAÇÃO'!$AH:$AH,MATCH(MEDIÇÃO!R131,'PROJETO PERFURAÇÃO'!$B:$B,0)),"")</f>
        <v/>
      </c>
      <c r="T131" s="17">
        <f>IFERROR(INDEX('PROJETO PERFURAÇÃO'!$AN:$AN,MATCH(MEDIÇÃO!R131,'PROJETO PERFURAÇÃO'!$B:$B,0)),"")</f>
        <v>0</v>
      </c>
      <c r="U131" s="3"/>
      <c r="V131" s="3"/>
    </row>
    <row r="132" spans="2:22" ht="45" customHeight="1">
      <c r="B132" s="3" t="str">
        <f>IFERROR(ROUND(INDEX('PROJETO PERFURAÇÃO'!$AB:$AB,MATCH(MEDIÇÃO!D132,'PROJETO PERFURAÇÃO'!$B:$B,0)),1)&amp;"''","")</f>
        <v>5''</v>
      </c>
      <c r="C132" s="3" t="str">
        <f>IFERROR(IF(INDEX('PROJETO PERFURAÇÃO'!$P:$P,MATCH(MEDIÇÃO!D132,'PROJETO PERFURAÇÃO'!$B:$B,0))="Production","P",IF(INDEX('PROJETO PERFURAÇÃO'!$P:$P,MATCH(MEDIÇÃO!D132,'PROJETO PERFURAÇÃO'!$B:$B,0))="Buffer","B",IF(INDEX('PROJETO PERFURAÇÃO'!$P:$P,MATCH(MEDIÇÃO!D132,'PROJETO PERFURAÇÃO'!$B:$B,0))="Pre-Splitting","S"))),"")</f>
        <v>P</v>
      </c>
      <c r="D132" s="14">
        <f t="shared" si="12"/>
        <v>280</v>
      </c>
      <c r="E132" s="4" t="str">
        <f>IFERROR(INDEX('LEV R&amp;D'!$D:$D,MATCH(MEDIÇÃO!D132,'LEV R&amp;D'!$A:$A,0))-INDEX('PROJETO PERFURAÇÃO'!$AH:$AH,MATCH(MEDIÇÃO!D132,'PROJETO PERFURAÇÃO'!$B:$B,0)),"")</f>
        <v/>
      </c>
      <c r="F132" s="17">
        <f>IFERROR(INDEX('PROJETO PERFURAÇÃO'!$AN:$AN,MATCH(MEDIÇÃO!D132,'PROJETO PERFURAÇÃO'!$B:$B,0)),"")</f>
        <v>0</v>
      </c>
      <c r="G132" s="3"/>
      <c r="H132" s="3"/>
      <c r="I132" s="3" t="str">
        <f>IFERROR(ROUND(INDEX('PROJETO PERFURAÇÃO'!$AB:$AB,MATCH(MEDIÇÃO!K132,'PROJETO PERFURAÇÃO'!$B:$B,0)),1)&amp;"''","")</f>
        <v>5''</v>
      </c>
      <c r="J132" s="3" t="str">
        <f>IFERROR(IF(INDEX('PROJETO PERFURAÇÃO'!$P:$P,MATCH(MEDIÇÃO!K132,'PROJETO PERFURAÇÃO'!$B:$B,0))="Production","P",IF(INDEX('PROJETO PERFURAÇÃO'!$P:$P,MATCH(MEDIÇÃO!K132,'PROJETO PERFURAÇÃO'!$B:$B,0))="Buffer","B",IF(INDEX('PROJETO PERFURAÇÃO'!$P:$P,MATCH(MEDIÇÃO!K132,'PROJETO PERFURAÇÃO'!$B:$B,0))="Pre-Splitting","S"))),"")</f>
        <v>P</v>
      </c>
      <c r="K132" s="14">
        <f t="shared" si="13"/>
        <v>303</v>
      </c>
      <c r="L132" s="4" t="str">
        <f>IFERROR(INDEX('LEV R&amp;D'!$D:$D,MATCH(MEDIÇÃO!K132,'LEV R&amp;D'!$A:$A,0))-INDEX('PROJETO PERFURAÇÃO'!$AH:$AH,MATCH(MEDIÇÃO!K132,'PROJETO PERFURAÇÃO'!$B:$B,0)),"")</f>
        <v/>
      </c>
      <c r="M132" s="17">
        <f>IFERROR(INDEX('PROJETO PERFURAÇÃO'!$AN:$AN,MATCH(MEDIÇÃO!K132,'PROJETO PERFURAÇÃO'!$B:$B,0)),"")</f>
        <v>0</v>
      </c>
      <c r="N132" s="3"/>
      <c r="O132" s="3"/>
      <c r="P132" s="3" t="str">
        <f>IFERROR(ROUND(INDEX('PROJETO PERFURAÇÃO'!$AB:$AB,MATCH(MEDIÇÃO!R132,'PROJETO PERFURAÇÃO'!$B:$B,0)),1)&amp;"''","")</f>
        <v>5''</v>
      </c>
      <c r="Q132" s="3" t="str">
        <f>IFERROR(IF(INDEX('PROJETO PERFURAÇÃO'!$P:$P,MATCH(MEDIÇÃO!R132,'PROJETO PERFURAÇÃO'!$B:$B,0))="Production","P",IF(INDEX('PROJETO PERFURAÇÃO'!$P:$P,MATCH(MEDIÇÃO!R132,'PROJETO PERFURAÇÃO'!$B:$B,0))="Buffer","B",IF(INDEX('PROJETO PERFURAÇÃO'!$P:$P,MATCH(MEDIÇÃO!R132,'PROJETO PERFURAÇÃO'!$B:$B,0))="Pre-Splitting","S"))),"")</f>
        <v>P</v>
      </c>
      <c r="R132" s="14">
        <f t="shared" si="14"/>
        <v>326</v>
      </c>
      <c r="S132" s="4" t="str">
        <f>IFERROR(INDEX('LEV R&amp;D'!$D:$D,MATCH(MEDIÇÃO!R132,'LEV R&amp;D'!$A:$A,0))-INDEX('PROJETO PERFURAÇÃO'!$AH:$AH,MATCH(MEDIÇÃO!R132,'PROJETO PERFURAÇÃO'!$B:$B,0)),"")</f>
        <v/>
      </c>
      <c r="T132" s="17">
        <f>IFERROR(INDEX('PROJETO PERFURAÇÃO'!$AN:$AN,MATCH(MEDIÇÃO!R132,'PROJETO PERFURAÇÃO'!$B:$B,0)),"")</f>
        <v>0</v>
      </c>
      <c r="U132" s="3"/>
      <c r="V132" s="3"/>
    </row>
    <row r="133" spans="2:22" ht="45" customHeight="1">
      <c r="B133" s="3" t="str">
        <f>IFERROR(ROUND(INDEX('PROJETO PERFURAÇÃO'!$AB:$AB,MATCH(MEDIÇÃO!D133,'PROJETO PERFURAÇÃO'!$B:$B,0)),1)&amp;"''","")</f>
        <v>5''</v>
      </c>
      <c r="C133" s="3" t="str">
        <f>IFERROR(IF(INDEX('PROJETO PERFURAÇÃO'!$P:$P,MATCH(MEDIÇÃO!D133,'PROJETO PERFURAÇÃO'!$B:$B,0))="Production","P",IF(INDEX('PROJETO PERFURAÇÃO'!$P:$P,MATCH(MEDIÇÃO!D133,'PROJETO PERFURAÇÃO'!$B:$B,0))="Buffer","B",IF(INDEX('PROJETO PERFURAÇÃO'!$P:$P,MATCH(MEDIÇÃO!D133,'PROJETO PERFURAÇÃO'!$B:$B,0))="Pre-Splitting","S"))),"")</f>
        <v>P</v>
      </c>
      <c r="D133" s="14">
        <f t="shared" si="12"/>
        <v>281</v>
      </c>
      <c r="E133" s="4" t="str">
        <f>IFERROR(INDEX('LEV R&amp;D'!$D:$D,MATCH(MEDIÇÃO!D133,'LEV R&amp;D'!$A:$A,0))-INDEX('PROJETO PERFURAÇÃO'!$AH:$AH,MATCH(MEDIÇÃO!D133,'PROJETO PERFURAÇÃO'!$B:$B,0)),"")</f>
        <v/>
      </c>
      <c r="F133" s="17">
        <f>IFERROR(INDEX('PROJETO PERFURAÇÃO'!$AN:$AN,MATCH(MEDIÇÃO!D133,'PROJETO PERFURAÇÃO'!$B:$B,0)),"")</f>
        <v>0</v>
      </c>
      <c r="G133" s="3"/>
      <c r="H133" s="3"/>
      <c r="I133" s="3" t="str">
        <f>IFERROR(ROUND(INDEX('PROJETO PERFURAÇÃO'!$AB:$AB,MATCH(MEDIÇÃO!K133,'PROJETO PERFURAÇÃO'!$B:$B,0)),1)&amp;"''","")</f>
        <v>5''</v>
      </c>
      <c r="J133" s="3" t="str">
        <f>IFERROR(IF(INDEX('PROJETO PERFURAÇÃO'!$P:$P,MATCH(MEDIÇÃO!K133,'PROJETO PERFURAÇÃO'!$B:$B,0))="Production","P",IF(INDEX('PROJETO PERFURAÇÃO'!$P:$P,MATCH(MEDIÇÃO!K133,'PROJETO PERFURAÇÃO'!$B:$B,0))="Buffer","B",IF(INDEX('PROJETO PERFURAÇÃO'!$P:$P,MATCH(MEDIÇÃO!K133,'PROJETO PERFURAÇÃO'!$B:$B,0))="Pre-Splitting","S"))),"")</f>
        <v>P</v>
      </c>
      <c r="K133" s="14">
        <f t="shared" si="13"/>
        <v>304</v>
      </c>
      <c r="L133" s="4" t="str">
        <f>IFERROR(INDEX('LEV R&amp;D'!$D:$D,MATCH(MEDIÇÃO!K133,'LEV R&amp;D'!$A:$A,0))-INDEX('PROJETO PERFURAÇÃO'!$AH:$AH,MATCH(MEDIÇÃO!K133,'PROJETO PERFURAÇÃO'!$B:$B,0)),"")</f>
        <v/>
      </c>
      <c r="M133" s="17">
        <f>IFERROR(INDEX('PROJETO PERFURAÇÃO'!$AN:$AN,MATCH(MEDIÇÃO!K133,'PROJETO PERFURAÇÃO'!$B:$B,0)),"")</f>
        <v>0</v>
      </c>
      <c r="N133" s="3"/>
      <c r="O133" s="3"/>
      <c r="P133" s="3" t="str">
        <f>IFERROR(ROUND(INDEX('PROJETO PERFURAÇÃO'!$AB:$AB,MATCH(MEDIÇÃO!R133,'PROJETO PERFURAÇÃO'!$B:$B,0)),1)&amp;"''","")</f>
        <v>5''</v>
      </c>
      <c r="Q133" s="3" t="str">
        <f>IFERROR(IF(INDEX('PROJETO PERFURAÇÃO'!$P:$P,MATCH(MEDIÇÃO!R133,'PROJETO PERFURAÇÃO'!$B:$B,0))="Production","P",IF(INDEX('PROJETO PERFURAÇÃO'!$P:$P,MATCH(MEDIÇÃO!R133,'PROJETO PERFURAÇÃO'!$B:$B,0))="Buffer","B",IF(INDEX('PROJETO PERFURAÇÃO'!$P:$P,MATCH(MEDIÇÃO!R133,'PROJETO PERFURAÇÃO'!$B:$B,0))="Pre-Splitting","S"))),"")</f>
        <v>P</v>
      </c>
      <c r="R133" s="14">
        <f t="shared" si="14"/>
        <v>327</v>
      </c>
      <c r="S133" s="4" t="str">
        <f>IFERROR(INDEX('LEV R&amp;D'!$D:$D,MATCH(MEDIÇÃO!R133,'LEV R&amp;D'!$A:$A,0))-INDEX('PROJETO PERFURAÇÃO'!$AH:$AH,MATCH(MEDIÇÃO!R133,'PROJETO PERFURAÇÃO'!$B:$B,0)),"")</f>
        <v/>
      </c>
      <c r="T133" s="17">
        <f>IFERROR(INDEX('PROJETO PERFURAÇÃO'!$AN:$AN,MATCH(MEDIÇÃO!R133,'PROJETO PERFURAÇÃO'!$B:$B,0)),"")</f>
        <v>0</v>
      </c>
      <c r="U133" s="3"/>
      <c r="V133" s="3"/>
    </row>
    <row r="134" spans="2:22" ht="45" customHeight="1">
      <c r="B134" s="3" t="str">
        <f>IFERROR(ROUND(INDEX('PROJETO PERFURAÇÃO'!$AB:$AB,MATCH(MEDIÇÃO!D134,'PROJETO PERFURAÇÃO'!$B:$B,0)),1)&amp;"''","")</f>
        <v>5''</v>
      </c>
      <c r="C134" s="3" t="str">
        <f>IFERROR(IF(INDEX('PROJETO PERFURAÇÃO'!$P:$P,MATCH(MEDIÇÃO!D134,'PROJETO PERFURAÇÃO'!$B:$B,0))="Production","P",IF(INDEX('PROJETO PERFURAÇÃO'!$P:$P,MATCH(MEDIÇÃO!D134,'PROJETO PERFURAÇÃO'!$B:$B,0))="Buffer","B",IF(INDEX('PROJETO PERFURAÇÃO'!$P:$P,MATCH(MEDIÇÃO!D134,'PROJETO PERFURAÇÃO'!$B:$B,0))="Pre-Splitting","S"))),"")</f>
        <v>P</v>
      </c>
      <c r="D134" s="14">
        <f t="shared" si="12"/>
        <v>282</v>
      </c>
      <c r="E134" s="4" t="str">
        <f>IFERROR(INDEX('LEV R&amp;D'!$D:$D,MATCH(MEDIÇÃO!D134,'LEV R&amp;D'!$A:$A,0))-INDEX('PROJETO PERFURAÇÃO'!$AH:$AH,MATCH(MEDIÇÃO!D134,'PROJETO PERFURAÇÃO'!$B:$B,0)),"")</f>
        <v/>
      </c>
      <c r="F134" s="17">
        <f>IFERROR(INDEX('PROJETO PERFURAÇÃO'!$AN:$AN,MATCH(MEDIÇÃO!D134,'PROJETO PERFURAÇÃO'!$B:$B,0)),"")</f>
        <v>0</v>
      </c>
      <c r="G134" s="3"/>
      <c r="H134" s="3"/>
      <c r="I134" s="3" t="str">
        <f>IFERROR(ROUND(INDEX('PROJETO PERFURAÇÃO'!$AB:$AB,MATCH(MEDIÇÃO!K134,'PROJETO PERFURAÇÃO'!$B:$B,0)),1)&amp;"''","")</f>
        <v>5''</v>
      </c>
      <c r="J134" s="3" t="str">
        <f>IFERROR(IF(INDEX('PROJETO PERFURAÇÃO'!$P:$P,MATCH(MEDIÇÃO!K134,'PROJETO PERFURAÇÃO'!$B:$B,0))="Production","P",IF(INDEX('PROJETO PERFURAÇÃO'!$P:$P,MATCH(MEDIÇÃO!K134,'PROJETO PERFURAÇÃO'!$B:$B,0))="Buffer","B",IF(INDEX('PROJETO PERFURAÇÃO'!$P:$P,MATCH(MEDIÇÃO!K134,'PROJETO PERFURAÇÃO'!$B:$B,0))="Pre-Splitting","S"))),"")</f>
        <v>P</v>
      </c>
      <c r="K134" s="14">
        <f t="shared" si="13"/>
        <v>305</v>
      </c>
      <c r="L134" s="4" t="str">
        <f>IFERROR(INDEX('LEV R&amp;D'!$D:$D,MATCH(MEDIÇÃO!K134,'LEV R&amp;D'!$A:$A,0))-INDEX('PROJETO PERFURAÇÃO'!$AH:$AH,MATCH(MEDIÇÃO!K134,'PROJETO PERFURAÇÃO'!$B:$B,0)),"")</f>
        <v/>
      </c>
      <c r="M134" s="17">
        <f>IFERROR(INDEX('PROJETO PERFURAÇÃO'!$AN:$AN,MATCH(MEDIÇÃO!K134,'PROJETO PERFURAÇÃO'!$B:$B,0)),"")</f>
        <v>0</v>
      </c>
      <c r="N134" s="3"/>
      <c r="O134" s="3"/>
      <c r="P134" s="3" t="str">
        <f>IFERROR(ROUND(INDEX('PROJETO PERFURAÇÃO'!$AB:$AB,MATCH(MEDIÇÃO!R134,'PROJETO PERFURAÇÃO'!$B:$B,0)),1)&amp;"''","")</f>
        <v>5''</v>
      </c>
      <c r="Q134" s="3" t="str">
        <f>IFERROR(IF(INDEX('PROJETO PERFURAÇÃO'!$P:$P,MATCH(MEDIÇÃO!R134,'PROJETO PERFURAÇÃO'!$B:$B,0))="Production","P",IF(INDEX('PROJETO PERFURAÇÃO'!$P:$P,MATCH(MEDIÇÃO!R134,'PROJETO PERFURAÇÃO'!$B:$B,0))="Buffer","B",IF(INDEX('PROJETO PERFURAÇÃO'!$P:$P,MATCH(MEDIÇÃO!R134,'PROJETO PERFURAÇÃO'!$B:$B,0))="Pre-Splitting","S"))),"")</f>
        <v>P</v>
      </c>
      <c r="R134" s="14">
        <f t="shared" si="14"/>
        <v>328</v>
      </c>
      <c r="S134" s="4" t="str">
        <f>IFERROR(INDEX('LEV R&amp;D'!$D:$D,MATCH(MEDIÇÃO!R134,'LEV R&amp;D'!$A:$A,0))-INDEX('PROJETO PERFURAÇÃO'!$AH:$AH,MATCH(MEDIÇÃO!R134,'PROJETO PERFURAÇÃO'!$B:$B,0)),"")</f>
        <v/>
      </c>
      <c r="T134" s="17">
        <f>IFERROR(INDEX('PROJETO PERFURAÇÃO'!$AN:$AN,MATCH(MEDIÇÃO!R134,'PROJETO PERFURAÇÃO'!$B:$B,0)),"")</f>
        <v>0</v>
      </c>
      <c r="U134" s="3"/>
      <c r="V134" s="3"/>
    </row>
    <row r="135" spans="2:22" ht="45" customHeight="1">
      <c r="B135" s="3" t="str">
        <f>IFERROR(ROUND(INDEX('PROJETO PERFURAÇÃO'!$AB:$AB,MATCH(MEDIÇÃO!D135,'PROJETO PERFURAÇÃO'!$B:$B,0)),1)&amp;"''","")</f>
        <v>5''</v>
      </c>
      <c r="C135" s="3" t="str">
        <f>IFERROR(IF(INDEX('PROJETO PERFURAÇÃO'!$P:$P,MATCH(MEDIÇÃO!D135,'PROJETO PERFURAÇÃO'!$B:$B,0))="Production","P",IF(INDEX('PROJETO PERFURAÇÃO'!$P:$P,MATCH(MEDIÇÃO!D135,'PROJETO PERFURAÇÃO'!$B:$B,0))="Buffer","B",IF(INDEX('PROJETO PERFURAÇÃO'!$P:$P,MATCH(MEDIÇÃO!D135,'PROJETO PERFURAÇÃO'!$B:$B,0))="Pre-Splitting","S"))),"")</f>
        <v>P</v>
      </c>
      <c r="D135" s="14">
        <f t="shared" si="12"/>
        <v>283</v>
      </c>
      <c r="E135" s="4" t="str">
        <f>IFERROR(INDEX('LEV R&amp;D'!$D:$D,MATCH(MEDIÇÃO!D135,'LEV R&amp;D'!$A:$A,0))-INDEX('PROJETO PERFURAÇÃO'!$AH:$AH,MATCH(MEDIÇÃO!D135,'PROJETO PERFURAÇÃO'!$B:$B,0)),"")</f>
        <v/>
      </c>
      <c r="F135" s="17">
        <f>IFERROR(INDEX('PROJETO PERFURAÇÃO'!$AN:$AN,MATCH(MEDIÇÃO!D135,'PROJETO PERFURAÇÃO'!$B:$B,0)),"")</f>
        <v>0</v>
      </c>
      <c r="G135" s="3"/>
      <c r="H135" s="3"/>
      <c r="I135" s="3" t="str">
        <f>IFERROR(ROUND(INDEX('PROJETO PERFURAÇÃO'!$AB:$AB,MATCH(MEDIÇÃO!K135,'PROJETO PERFURAÇÃO'!$B:$B,0)),1)&amp;"''","")</f>
        <v>5''</v>
      </c>
      <c r="J135" s="3" t="str">
        <f>IFERROR(IF(INDEX('PROJETO PERFURAÇÃO'!$P:$P,MATCH(MEDIÇÃO!K135,'PROJETO PERFURAÇÃO'!$B:$B,0))="Production","P",IF(INDEX('PROJETO PERFURAÇÃO'!$P:$P,MATCH(MEDIÇÃO!K135,'PROJETO PERFURAÇÃO'!$B:$B,0))="Buffer","B",IF(INDEX('PROJETO PERFURAÇÃO'!$P:$P,MATCH(MEDIÇÃO!K135,'PROJETO PERFURAÇÃO'!$B:$B,0))="Pre-Splitting","S"))),"")</f>
        <v>P</v>
      </c>
      <c r="K135" s="14">
        <f t="shared" si="13"/>
        <v>306</v>
      </c>
      <c r="L135" s="4" t="str">
        <f>IFERROR(INDEX('LEV R&amp;D'!$D:$D,MATCH(MEDIÇÃO!K135,'LEV R&amp;D'!$A:$A,0))-INDEX('PROJETO PERFURAÇÃO'!$AH:$AH,MATCH(MEDIÇÃO!K135,'PROJETO PERFURAÇÃO'!$B:$B,0)),"")</f>
        <v/>
      </c>
      <c r="M135" s="17">
        <f>IFERROR(INDEX('PROJETO PERFURAÇÃO'!$AN:$AN,MATCH(MEDIÇÃO!K135,'PROJETO PERFURAÇÃO'!$B:$B,0)),"")</f>
        <v>0</v>
      </c>
      <c r="N135" s="3"/>
      <c r="O135" s="3"/>
      <c r="P135" s="3" t="str">
        <f>IFERROR(ROUND(INDEX('PROJETO PERFURAÇÃO'!$AB:$AB,MATCH(MEDIÇÃO!R135,'PROJETO PERFURAÇÃO'!$B:$B,0)),1)&amp;"''","")</f>
        <v>5''</v>
      </c>
      <c r="Q135" s="3" t="str">
        <f>IFERROR(IF(INDEX('PROJETO PERFURAÇÃO'!$P:$P,MATCH(MEDIÇÃO!R135,'PROJETO PERFURAÇÃO'!$B:$B,0))="Production","P",IF(INDEX('PROJETO PERFURAÇÃO'!$P:$P,MATCH(MEDIÇÃO!R135,'PROJETO PERFURAÇÃO'!$B:$B,0))="Buffer","B",IF(INDEX('PROJETO PERFURAÇÃO'!$P:$P,MATCH(MEDIÇÃO!R135,'PROJETO PERFURAÇÃO'!$B:$B,0))="Pre-Splitting","S"))),"")</f>
        <v>P</v>
      </c>
      <c r="R135" s="14">
        <f t="shared" si="14"/>
        <v>329</v>
      </c>
      <c r="S135" s="4" t="str">
        <f>IFERROR(INDEX('LEV R&amp;D'!$D:$D,MATCH(MEDIÇÃO!R135,'LEV R&amp;D'!$A:$A,0))-INDEX('PROJETO PERFURAÇÃO'!$AH:$AH,MATCH(MEDIÇÃO!R135,'PROJETO PERFURAÇÃO'!$B:$B,0)),"")</f>
        <v/>
      </c>
      <c r="T135" s="17">
        <f>IFERROR(INDEX('PROJETO PERFURAÇÃO'!$AN:$AN,MATCH(MEDIÇÃO!R135,'PROJETO PERFURAÇÃO'!$B:$B,0)),"")</f>
        <v>0</v>
      </c>
      <c r="U135" s="3"/>
      <c r="V135" s="3"/>
    </row>
    <row r="136" spans="2:22" ht="45" customHeight="1">
      <c r="B136" s="3" t="str">
        <f>IFERROR(ROUND(INDEX('PROJETO PERFURAÇÃO'!$AB:$AB,MATCH(MEDIÇÃO!D136,'PROJETO PERFURAÇÃO'!$B:$B,0)),1)&amp;"''","")</f>
        <v>5''</v>
      </c>
      <c r="C136" s="3" t="str">
        <f>IFERROR(IF(INDEX('PROJETO PERFURAÇÃO'!$P:$P,MATCH(MEDIÇÃO!D136,'PROJETO PERFURAÇÃO'!$B:$B,0))="Production","P",IF(INDEX('PROJETO PERFURAÇÃO'!$P:$P,MATCH(MEDIÇÃO!D136,'PROJETO PERFURAÇÃO'!$B:$B,0))="Buffer","B",IF(INDEX('PROJETO PERFURAÇÃO'!$P:$P,MATCH(MEDIÇÃO!D136,'PROJETO PERFURAÇÃO'!$B:$B,0))="Pre-Splitting","S"))),"")</f>
        <v>P</v>
      </c>
      <c r="D136" s="14">
        <f t="shared" si="12"/>
        <v>284</v>
      </c>
      <c r="E136" s="4" t="str">
        <f>IFERROR(INDEX('LEV R&amp;D'!$D:$D,MATCH(MEDIÇÃO!D136,'LEV R&amp;D'!$A:$A,0))-INDEX('PROJETO PERFURAÇÃO'!$AH:$AH,MATCH(MEDIÇÃO!D136,'PROJETO PERFURAÇÃO'!$B:$B,0)),"")</f>
        <v/>
      </c>
      <c r="F136" s="17">
        <f>IFERROR(INDEX('PROJETO PERFURAÇÃO'!$AN:$AN,MATCH(MEDIÇÃO!D136,'PROJETO PERFURAÇÃO'!$B:$B,0)),"")</f>
        <v>0</v>
      </c>
      <c r="G136" s="3"/>
      <c r="H136" s="3"/>
      <c r="I136" s="3" t="str">
        <f>IFERROR(ROUND(INDEX('PROJETO PERFURAÇÃO'!$AB:$AB,MATCH(MEDIÇÃO!K136,'PROJETO PERFURAÇÃO'!$B:$B,0)),1)&amp;"''","")</f>
        <v>5''</v>
      </c>
      <c r="J136" s="3" t="str">
        <f>IFERROR(IF(INDEX('PROJETO PERFURAÇÃO'!$P:$P,MATCH(MEDIÇÃO!K136,'PROJETO PERFURAÇÃO'!$B:$B,0))="Production","P",IF(INDEX('PROJETO PERFURAÇÃO'!$P:$P,MATCH(MEDIÇÃO!K136,'PROJETO PERFURAÇÃO'!$B:$B,0))="Buffer","B",IF(INDEX('PROJETO PERFURAÇÃO'!$P:$P,MATCH(MEDIÇÃO!K136,'PROJETO PERFURAÇÃO'!$B:$B,0))="Pre-Splitting","S"))),"")</f>
        <v>P</v>
      </c>
      <c r="K136" s="14">
        <f t="shared" si="13"/>
        <v>307</v>
      </c>
      <c r="L136" s="4" t="str">
        <f>IFERROR(INDEX('LEV R&amp;D'!$D:$D,MATCH(MEDIÇÃO!K136,'LEV R&amp;D'!$A:$A,0))-INDEX('PROJETO PERFURAÇÃO'!$AH:$AH,MATCH(MEDIÇÃO!K136,'PROJETO PERFURAÇÃO'!$B:$B,0)),"")</f>
        <v/>
      </c>
      <c r="M136" s="17">
        <f>IFERROR(INDEX('PROJETO PERFURAÇÃO'!$AN:$AN,MATCH(MEDIÇÃO!K136,'PROJETO PERFURAÇÃO'!$B:$B,0)),"")</f>
        <v>0</v>
      </c>
      <c r="N136" s="3"/>
      <c r="O136" s="3"/>
      <c r="P136" s="3" t="str">
        <f>IFERROR(ROUND(INDEX('PROJETO PERFURAÇÃO'!$AB:$AB,MATCH(MEDIÇÃO!R136,'PROJETO PERFURAÇÃO'!$B:$B,0)),1)&amp;"''","")</f>
        <v>5''</v>
      </c>
      <c r="Q136" s="3" t="str">
        <f>IFERROR(IF(INDEX('PROJETO PERFURAÇÃO'!$P:$P,MATCH(MEDIÇÃO!R136,'PROJETO PERFURAÇÃO'!$B:$B,0))="Production","P",IF(INDEX('PROJETO PERFURAÇÃO'!$P:$P,MATCH(MEDIÇÃO!R136,'PROJETO PERFURAÇÃO'!$B:$B,0))="Buffer","B",IF(INDEX('PROJETO PERFURAÇÃO'!$P:$P,MATCH(MEDIÇÃO!R136,'PROJETO PERFURAÇÃO'!$B:$B,0))="Pre-Splitting","S"))),"")</f>
        <v>P</v>
      </c>
      <c r="R136" s="14">
        <f t="shared" si="14"/>
        <v>330</v>
      </c>
      <c r="S136" s="4" t="str">
        <f>IFERROR(INDEX('LEV R&amp;D'!$D:$D,MATCH(MEDIÇÃO!R136,'LEV R&amp;D'!$A:$A,0))-INDEX('PROJETO PERFURAÇÃO'!$AH:$AH,MATCH(MEDIÇÃO!R136,'PROJETO PERFURAÇÃO'!$B:$B,0)),"")</f>
        <v/>
      </c>
      <c r="T136" s="17">
        <f>IFERROR(INDEX('PROJETO PERFURAÇÃO'!$AN:$AN,MATCH(MEDIÇÃO!R136,'PROJETO PERFURAÇÃO'!$B:$B,0)),"")</f>
        <v>0</v>
      </c>
      <c r="U136" s="3"/>
      <c r="V136" s="3"/>
    </row>
    <row r="137" spans="2:22" ht="45" customHeight="1">
      <c r="B137" s="3" t="str">
        <f>IFERROR(ROUND(INDEX('PROJETO PERFURAÇÃO'!$AB:$AB,MATCH(MEDIÇÃO!D137,'PROJETO PERFURAÇÃO'!$B:$B,0)),1)&amp;"''","")</f>
        <v>5''</v>
      </c>
      <c r="C137" s="3" t="str">
        <f>IFERROR(IF(INDEX('PROJETO PERFURAÇÃO'!$P:$P,MATCH(MEDIÇÃO!D137,'PROJETO PERFURAÇÃO'!$B:$B,0))="Production","P",IF(INDEX('PROJETO PERFURAÇÃO'!$P:$P,MATCH(MEDIÇÃO!D137,'PROJETO PERFURAÇÃO'!$B:$B,0))="Buffer","B",IF(INDEX('PROJETO PERFURAÇÃO'!$P:$P,MATCH(MEDIÇÃO!D137,'PROJETO PERFURAÇÃO'!$B:$B,0))="Pre-Splitting","S"))),"")</f>
        <v>P</v>
      </c>
      <c r="D137" s="14">
        <f t="shared" si="12"/>
        <v>285</v>
      </c>
      <c r="E137" s="4" t="str">
        <f>IFERROR(INDEX('LEV R&amp;D'!$D:$D,MATCH(MEDIÇÃO!D137,'LEV R&amp;D'!$A:$A,0))-INDEX('PROJETO PERFURAÇÃO'!$AH:$AH,MATCH(MEDIÇÃO!D137,'PROJETO PERFURAÇÃO'!$B:$B,0)),"")</f>
        <v/>
      </c>
      <c r="F137" s="17">
        <f>IFERROR(INDEX('PROJETO PERFURAÇÃO'!$AN:$AN,MATCH(MEDIÇÃO!D137,'PROJETO PERFURAÇÃO'!$B:$B,0)),"")</f>
        <v>0</v>
      </c>
      <c r="G137" s="3"/>
      <c r="H137" s="3"/>
      <c r="I137" s="3" t="str">
        <f>IFERROR(ROUND(INDEX('PROJETO PERFURAÇÃO'!$AB:$AB,MATCH(MEDIÇÃO!K137,'PROJETO PERFURAÇÃO'!$B:$B,0)),1)&amp;"''","")</f>
        <v>5''</v>
      </c>
      <c r="J137" s="3" t="str">
        <f>IFERROR(IF(INDEX('PROJETO PERFURAÇÃO'!$P:$P,MATCH(MEDIÇÃO!K137,'PROJETO PERFURAÇÃO'!$B:$B,0))="Production","P",IF(INDEX('PROJETO PERFURAÇÃO'!$P:$P,MATCH(MEDIÇÃO!K137,'PROJETO PERFURAÇÃO'!$B:$B,0))="Buffer","B",IF(INDEX('PROJETO PERFURAÇÃO'!$P:$P,MATCH(MEDIÇÃO!K137,'PROJETO PERFURAÇÃO'!$B:$B,0))="Pre-Splitting","S"))),"")</f>
        <v>P</v>
      </c>
      <c r="K137" s="14">
        <f t="shared" si="13"/>
        <v>308</v>
      </c>
      <c r="L137" s="4" t="str">
        <f>IFERROR(INDEX('LEV R&amp;D'!$D:$D,MATCH(MEDIÇÃO!K137,'LEV R&amp;D'!$A:$A,0))-INDEX('PROJETO PERFURAÇÃO'!$AH:$AH,MATCH(MEDIÇÃO!K137,'PROJETO PERFURAÇÃO'!$B:$B,0)),"")</f>
        <v/>
      </c>
      <c r="M137" s="17">
        <f>IFERROR(INDEX('PROJETO PERFURAÇÃO'!$AN:$AN,MATCH(MEDIÇÃO!K137,'PROJETO PERFURAÇÃO'!$B:$B,0)),"")</f>
        <v>0</v>
      </c>
      <c r="N137" s="3"/>
      <c r="O137" s="3"/>
      <c r="P137" s="3" t="str">
        <f>IFERROR(ROUND(INDEX('PROJETO PERFURAÇÃO'!$AB:$AB,MATCH(MEDIÇÃO!R137,'PROJETO PERFURAÇÃO'!$B:$B,0)),1)&amp;"''","")</f>
        <v>5''</v>
      </c>
      <c r="Q137" s="3" t="str">
        <f>IFERROR(IF(INDEX('PROJETO PERFURAÇÃO'!$P:$P,MATCH(MEDIÇÃO!R137,'PROJETO PERFURAÇÃO'!$B:$B,0))="Production","P",IF(INDEX('PROJETO PERFURAÇÃO'!$P:$P,MATCH(MEDIÇÃO!R137,'PROJETO PERFURAÇÃO'!$B:$B,0))="Buffer","B",IF(INDEX('PROJETO PERFURAÇÃO'!$P:$P,MATCH(MEDIÇÃO!R137,'PROJETO PERFURAÇÃO'!$B:$B,0))="Pre-Splitting","S"))),"")</f>
        <v>P</v>
      </c>
      <c r="R137" s="14">
        <f t="shared" si="14"/>
        <v>331</v>
      </c>
      <c r="S137" s="4" t="str">
        <f>IFERROR(INDEX('LEV R&amp;D'!$D:$D,MATCH(MEDIÇÃO!R137,'LEV R&amp;D'!$A:$A,0))-INDEX('PROJETO PERFURAÇÃO'!$AH:$AH,MATCH(MEDIÇÃO!R137,'PROJETO PERFURAÇÃO'!$B:$B,0)),"")</f>
        <v/>
      </c>
      <c r="T137" s="17">
        <f>IFERROR(INDEX('PROJETO PERFURAÇÃO'!$AN:$AN,MATCH(MEDIÇÃO!R137,'PROJETO PERFURAÇÃO'!$B:$B,0)),"")</f>
        <v>0</v>
      </c>
      <c r="U137" s="3"/>
      <c r="V137" s="3"/>
    </row>
    <row r="138" spans="2:22" ht="45" customHeight="1">
      <c r="B138" s="3" t="str">
        <f>IFERROR(ROUND(INDEX('PROJETO PERFURAÇÃO'!$AB:$AB,MATCH(MEDIÇÃO!D138,'PROJETO PERFURAÇÃO'!$B:$B,0)),1)&amp;"''","")</f>
        <v>5''</v>
      </c>
      <c r="C138" s="3" t="str">
        <f>IFERROR(IF(INDEX('PROJETO PERFURAÇÃO'!$P:$P,MATCH(MEDIÇÃO!D138,'PROJETO PERFURAÇÃO'!$B:$B,0))="Production","P",IF(INDEX('PROJETO PERFURAÇÃO'!$P:$P,MATCH(MEDIÇÃO!D138,'PROJETO PERFURAÇÃO'!$B:$B,0))="Buffer","B",IF(INDEX('PROJETO PERFURAÇÃO'!$P:$P,MATCH(MEDIÇÃO!D138,'PROJETO PERFURAÇÃO'!$B:$B,0))="Pre-Splitting","S"))),"")</f>
        <v>P</v>
      </c>
      <c r="D138" s="14">
        <f t="shared" si="12"/>
        <v>286</v>
      </c>
      <c r="E138" s="4" t="str">
        <f>IFERROR(INDEX('LEV R&amp;D'!$D:$D,MATCH(MEDIÇÃO!D138,'LEV R&amp;D'!$A:$A,0))-INDEX('PROJETO PERFURAÇÃO'!$AH:$AH,MATCH(MEDIÇÃO!D138,'PROJETO PERFURAÇÃO'!$B:$B,0)),"")</f>
        <v/>
      </c>
      <c r="F138" s="17">
        <f>IFERROR(INDEX('PROJETO PERFURAÇÃO'!$AN:$AN,MATCH(MEDIÇÃO!D138,'PROJETO PERFURAÇÃO'!$B:$B,0)),"")</f>
        <v>0</v>
      </c>
      <c r="G138" s="3"/>
      <c r="H138" s="3"/>
      <c r="I138" s="3" t="str">
        <f>IFERROR(ROUND(INDEX('PROJETO PERFURAÇÃO'!$AB:$AB,MATCH(MEDIÇÃO!K138,'PROJETO PERFURAÇÃO'!$B:$B,0)),1)&amp;"''","")</f>
        <v>5''</v>
      </c>
      <c r="J138" s="3" t="str">
        <f>IFERROR(IF(INDEX('PROJETO PERFURAÇÃO'!$P:$P,MATCH(MEDIÇÃO!K138,'PROJETO PERFURAÇÃO'!$B:$B,0))="Production","P",IF(INDEX('PROJETO PERFURAÇÃO'!$P:$P,MATCH(MEDIÇÃO!K138,'PROJETO PERFURAÇÃO'!$B:$B,0))="Buffer","B",IF(INDEX('PROJETO PERFURAÇÃO'!$P:$P,MATCH(MEDIÇÃO!K138,'PROJETO PERFURAÇÃO'!$B:$B,0))="Pre-Splitting","S"))),"")</f>
        <v>P</v>
      </c>
      <c r="K138" s="14">
        <f t="shared" si="13"/>
        <v>309</v>
      </c>
      <c r="L138" s="4" t="str">
        <f>IFERROR(INDEX('LEV R&amp;D'!$D:$D,MATCH(MEDIÇÃO!K138,'LEV R&amp;D'!$A:$A,0))-INDEX('PROJETO PERFURAÇÃO'!$AH:$AH,MATCH(MEDIÇÃO!K138,'PROJETO PERFURAÇÃO'!$B:$B,0)),"")</f>
        <v/>
      </c>
      <c r="M138" s="17">
        <f>IFERROR(INDEX('PROJETO PERFURAÇÃO'!$AN:$AN,MATCH(MEDIÇÃO!K138,'PROJETO PERFURAÇÃO'!$B:$B,0)),"")</f>
        <v>0</v>
      </c>
      <c r="N138" s="3"/>
      <c r="O138" s="3"/>
      <c r="P138" s="3" t="str">
        <f>IFERROR(ROUND(INDEX('PROJETO PERFURAÇÃO'!$AB:$AB,MATCH(MEDIÇÃO!R138,'PROJETO PERFURAÇÃO'!$B:$B,0)),1)&amp;"''","")</f>
        <v>5''</v>
      </c>
      <c r="Q138" s="3" t="str">
        <f>IFERROR(IF(INDEX('PROJETO PERFURAÇÃO'!$P:$P,MATCH(MEDIÇÃO!R138,'PROJETO PERFURAÇÃO'!$B:$B,0))="Production","P",IF(INDEX('PROJETO PERFURAÇÃO'!$P:$P,MATCH(MEDIÇÃO!R138,'PROJETO PERFURAÇÃO'!$B:$B,0))="Buffer","B",IF(INDEX('PROJETO PERFURAÇÃO'!$P:$P,MATCH(MEDIÇÃO!R138,'PROJETO PERFURAÇÃO'!$B:$B,0))="Pre-Splitting","S"))),"")</f>
        <v>P</v>
      </c>
      <c r="R138" s="14">
        <f t="shared" si="14"/>
        <v>332</v>
      </c>
      <c r="S138" s="4" t="str">
        <f>IFERROR(INDEX('LEV R&amp;D'!$D:$D,MATCH(MEDIÇÃO!R138,'LEV R&amp;D'!$A:$A,0))-INDEX('PROJETO PERFURAÇÃO'!$AH:$AH,MATCH(MEDIÇÃO!R138,'PROJETO PERFURAÇÃO'!$B:$B,0)),"")</f>
        <v/>
      </c>
      <c r="T138" s="17">
        <f>IFERROR(INDEX('PROJETO PERFURAÇÃO'!$AN:$AN,MATCH(MEDIÇÃO!R138,'PROJETO PERFURAÇÃO'!$B:$B,0)),"")</f>
        <v>0</v>
      </c>
      <c r="U138" s="3"/>
      <c r="V138" s="3"/>
    </row>
    <row r="139" spans="2:22" ht="45" customHeight="1">
      <c r="B139" s="3" t="str">
        <f>IFERROR(ROUND(INDEX('PROJETO PERFURAÇÃO'!$AB:$AB,MATCH(MEDIÇÃO!D139,'PROJETO PERFURAÇÃO'!$B:$B,0)),1)&amp;"''","")</f>
        <v>5''</v>
      </c>
      <c r="C139" s="3" t="str">
        <f>IFERROR(IF(INDEX('PROJETO PERFURAÇÃO'!$P:$P,MATCH(MEDIÇÃO!D139,'PROJETO PERFURAÇÃO'!$B:$B,0))="Production","P",IF(INDEX('PROJETO PERFURAÇÃO'!$P:$P,MATCH(MEDIÇÃO!D139,'PROJETO PERFURAÇÃO'!$B:$B,0))="Buffer","B",IF(INDEX('PROJETO PERFURAÇÃO'!$P:$P,MATCH(MEDIÇÃO!D139,'PROJETO PERFURAÇÃO'!$B:$B,0))="Pre-Splitting","S"))),"")</f>
        <v>P</v>
      </c>
      <c r="D139" s="14">
        <f t="shared" si="12"/>
        <v>287</v>
      </c>
      <c r="E139" s="4" t="str">
        <f>IFERROR(INDEX('LEV R&amp;D'!$D:$D,MATCH(MEDIÇÃO!D139,'LEV R&amp;D'!$A:$A,0))-INDEX('PROJETO PERFURAÇÃO'!$AH:$AH,MATCH(MEDIÇÃO!D139,'PROJETO PERFURAÇÃO'!$B:$B,0)),"")</f>
        <v/>
      </c>
      <c r="F139" s="17">
        <f>IFERROR(INDEX('PROJETO PERFURAÇÃO'!$AN:$AN,MATCH(MEDIÇÃO!D139,'PROJETO PERFURAÇÃO'!$B:$B,0)),"")</f>
        <v>0</v>
      </c>
      <c r="G139" s="3"/>
      <c r="H139" s="3"/>
      <c r="I139" s="3" t="str">
        <f>IFERROR(ROUND(INDEX('PROJETO PERFURAÇÃO'!$AB:$AB,MATCH(MEDIÇÃO!K139,'PROJETO PERFURAÇÃO'!$B:$B,0)),1)&amp;"''","")</f>
        <v>5''</v>
      </c>
      <c r="J139" s="3" t="str">
        <f>IFERROR(IF(INDEX('PROJETO PERFURAÇÃO'!$P:$P,MATCH(MEDIÇÃO!K139,'PROJETO PERFURAÇÃO'!$B:$B,0))="Production","P",IF(INDEX('PROJETO PERFURAÇÃO'!$P:$P,MATCH(MEDIÇÃO!K139,'PROJETO PERFURAÇÃO'!$B:$B,0))="Buffer","B",IF(INDEX('PROJETO PERFURAÇÃO'!$P:$P,MATCH(MEDIÇÃO!K139,'PROJETO PERFURAÇÃO'!$B:$B,0))="Pre-Splitting","S"))),"")</f>
        <v>P</v>
      </c>
      <c r="K139" s="14">
        <f t="shared" si="13"/>
        <v>310</v>
      </c>
      <c r="L139" s="4" t="str">
        <f>IFERROR(INDEX('LEV R&amp;D'!$D:$D,MATCH(MEDIÇÃO!K139,'LEV R&amp;D'!$A:$A,0))-INDEX('PROJETO PERFURAÇÃO'!$AH:$AH,MATCH(MEDIÇÃO!K139,'PROJETO PERFURAÇÃO'!$B:$B,0)),"")</f>
        <v/>
      </c>
      <c r="M139" s="17">
        <f>IFERROR(INDEX('PROJETO PERFURAÇÃO'!$AN:$AN,MATCH(MEDIÇÃO!K139,'PROJETO PERFURAÇÃO'!$B:$B,0)),"")</f>
        <v>0</v>
      </c>
      <c r="N139" s="3"/>
      <c r="O139" s="3"/>
      <c r="P139" s="3" t="str">
        <f>IFERROR(ROUND(INDEX('PROJETO PERFURAÇÃO'!$AB:$AB,MATCH(MEDIÇÃO!R139,'PROJETO PERFURAÇÃO'!$B:$B,0)),1)&amp;"''","")</f>
        <v>5''</v>
      </c>
      <c r="Q139" s="3" t="str">
        <f>IFERROR(IF(INDEX('PROJETO PERFURAÇÃO'!$P:$P,MATCH(MEDIÇÃO!R139,'PROJETO PERFURAÇÃO'!$B:$B,0))="Production","P",IF(INDEX('PROJETO PERFURAÇÃO'!$P:$P,MATCH(MEDIÇÃO!R139,'PROJETO PERFURAÇÃO'!$B:$B,0))="Buffer","B",IF(INDEX('PROJETO PERFURAÇÃO'!$P:$P,MATCH(MEDIÇÃO!R139,'PROJETO PERFURAÇÃO'!$B:$B,0))="Pre-Splitting","S"))),"")</f>
        <v>P</v>
      </c>
      <c r="R139" s="14">
        <f t="shared" si="14"/>
        <v>333</v>
      </c>
      <c r="S139" s="4" t="str">
        <f>IFERROR(INDEX('LEV R&amp;D'!$D:$D,MATCH(MEDIÇÃO!R139,'LEV R&amp;D'!$A:$A,0))-INDEX('PROJETO PERFURAÇÃO'!$AH:$AH,MATCH(MEDIÇÃO!R139,'PROJETO PERFURAÇÃO'!$B:$B,0)),"")</f>
        <v/>
      </c>
      <c r="T139" s="17">
        <f>IFERROR(INDEX('PROJETO PERFURAÇÃO'!$AN:$AN,MATCH(MEDIÇÃO!R139,'PROJETO PERFURAÇÃO'!$B:$B,0)),"")</f>
        <v>0</v>
      </c>
      <c r="U139" s="3"/>
      <c r="V139" s="3"/>
    </row>
    <row r="140" spans="2:22" ht="45" customHeight="1">
      <c r="B140" s="3" t="str">
        <f>IFERROR(ROUND(INDEX('PROJETO PERFURAÇÃO'!$AB:$AB,MATCH(MEDIÇÃO!D140,'PROJETO PERFURAÇÃO'!$B:$B,0)),1)&amp;"''","")</f>
        <v>5''</v>
      </c>
      <c r="C140" s="3" t="str">
        <f>IFERROR(IF(INDEX('PROJETO PERFURAÇÃO'!$P:$P,MATCH(MEDIÇÃO!D140,'PROJETO PERFURAÇÃO'!$B:$B,0))="Production","P",IF(INDEX('PROJETO PERFURAÇÃO'!$P:$P,MATCH(MEDIÇÃO!D140,'PROJETO PERFURAÇÃO'!$B:$B,0))="Buffer","B",IF(INDEX('PROJETO PERFURAÇÃO'!$P:$P,MATCH(MEDIÇÃO!D140,'PROJETO PERFURAÇÃO'!$B:$B,0))="Pre-Splitting","S"))),"")</f>
        <v>P</v>
      </c>
      <c r="D140" s="14">
        <f t="shared" si="12"/>
        <v>288</v>
      </c>
      <c r="E140" s="4" t="str">
        <f>IFERROR(INDEX('LEV R&amp;D'!$D:$D,MATCH(MEDIÇÃO!D140,'LEV R&amp;D'!$A:$A,0))-INDEX('PROJETO PERFURAÇÃO'!$AH:$AH,MATCH(MEDIÇÃO!D140,'PROJETO PERFURAÇÃO'!$B:$B,0)),"")</f>
        <v/>
      </c>
      <c r="F140" s="17">
        <f>IFERROR(INDEX('PROJETO PERFURAÇÃO'!$AN:$AN,MATCH(MEDIÇÃO!D140,'PROJETO PERFURAÇÃO'!$B:$B,0)),"")</f>
        <v>0</v>
      </c>
      <c r="G140" s="3"/>
      <c r="H140" s="3"/>
      <c r="I140" s="3" t="str">
        <f>IFERROR(ROUND(INDEX('PROJETO PERFURAÇÃO'!$AB:$AB,MATCH(MEDIÇÃO!K140,'PROJETO PERFURAÇÃO'!$B:$B,0)),1)&amp;"''","")</f>
        <v>5''</v>
      </c>
      <c r="J140" s="3" t="str">
        <f>IFERROR(IF(INDEX('PROJETO PERFURAÇÃO'!$P:$P,MATCH(MEDIÇÃO!K140,'PROJETO PERFURAÇÃO'!$B:$B,0))="Production","P",IF(INDEX('PROJETO PERFURAÇÃO'!$P:$P,MATCH(MEDIÇÃO!K140,'PROJETO PERFURAÇÃO'!$B:$B,0))="Buffer","B",IF(INDEX('PROJETO PERFURAÇÃO'!$P:$P,MATCH(MEDIÇÃO!K140,'PROJETO PERFURAÇÃO'!$B:$B,0))="Pre-Splitting","S"))),"")</f>
        <v>P</v>
      </c>
      <c r="K140" s="14">
        <f t="shared" si="13"/>
        <v>311</v>
      </c>
      <c r="L140" s="4" t="str">
        <f>IFERROR(INDEX('LEV R&amp;D'!$D:$D,MATCH(MEDIÇÃO!K140,'LEV R&amp;D'!$A:$A,0))-INDEX('PROJETO PERFURAÇÃO'!$AH:$AH,MATCH(MEDIÇÃO!K140,'PROJETO PERFURAÇÃO'!$B:$B,0)),"")</f>
        <v/>
      </c>
      <c r="M140" s="17">
        <f>IFERROR(INDEX('PROJETO PERFURAÇÃO'!$AN:$AN,MATCH(MEDIÇÃO!K140,'PROJETO PERFURAÇÃO'!$B:$B,0)),"")</f>
        <v>0</v>
      </c>
      <c r="N140" s="3"/>
      <c r="O140" s="3"/>
      <c r="P140" s="3" t="str">
        <f>IFERROR(ROUND(INDEX('PROJETO PERFURAÇÃO'!$AB:$AB,MATCH(MEDIÇÃO!R140,'PROJETO PERFURAÇÃO'!$B:$B,0)),1)&amp;"''","")</f>
        <v>5''</v>
      </c>
      <c r="Q140" s="3" t="str">
        <f>IFERROR(IF(INDEX('PROJETO PERFURAÇÃO'!$P:$P,MATCH(MEDIÇÃO!R140,'PROJETO PERFURAÇÃO'!$B:$B,0))="Production","P",IF(INDEX('PROJETO PERFURAÇÃO'!$P:$P,MATCH(MEDIÇÃO!R140,'PROJETO PERFURAÇÃO'!$B:$B,0))="Buffer","B",IF(INDEX('PROJETO PERFURAÇÃO'!$P:$P,MATCH(MEDIÇÃO!R140,'PROJETO PERFURAÇÃO'!$B:$B,0))="Pre-Splitting","S"))),"")</f>
        <v>P</v>
      </c>
      <c r="R140" s="14">
        <f t="shared" si="14"/>
        <v>334</v>
      </c>
      <c r="S140" s="4" t="str">
        <f>IFERROR(INDEX('LEV R&amp;D'!$D:$D,MATCH(MEDIÇÃO!R140,'LEV R&amp;D'!$A:$A,0))-INDEX('PROJETO PERFURAÇÃO'!$AH:$AH,MATCH(MEDIÇÃO!R140,'PROJETO PERFURAÇÃO'!$B:$B,0)),"")</f>
        <v/>
      </c>
      <c r="T140" s="17">
        <f>IFERROR(INDEX('PROJETO PERFURAÇÃO'!$AN:$AN,MATCH(MEDIÇÃO!R140,'PROJETO PERFURAÇÃO'!$B:$B,0)),"")</f>
        <v>0</v>
      </c>
      <c r="U140" s="3"/>
      <c r="V140" s="3"/>
    </row>
    <row r="141" spans="2:22" ht="45" customHeight="1">
      <c r="B141" s="3" t="str">
        <f>IFERROR(ROUND(INDEX('PROJETO PERFURAÇÃO'!$AB:$AB,MATCH(MEDIÇÃO!D141,'PROJETO PERFURAÇÃO'!$B:$B,0)),1)&amp;"''","")</f>
        <v>5''</v>
      </c>
      <c r="C141" s="3" t="str">
        <f>IFERROR(IF(INDEX('PROJETO PERFURAÇÃO'!$P:$P,MATCH(MEDIÇÃO!D141,'PROJETO PERFURAÇÃO'!$B:$B,0))="Production","P",IF(INDEX('PROJETO PERFURAÇÃO'!$P:$P,MATCH(MEDIÇÃO!D141,'PROJETO PERFURAÇÃO'!$B:$B,0))="Buffer","B",IF(INDEX('PROJETO PERFURAÇÃO'!$P:$P,MATCH(MEDIÇÃO!D141,'PROJETO PERFURAÇÃO'!$B:$B,0))="Pre-Splitting","S"))),"")</f>
        <v>P</v>
      </c>
      <c r="D141" s="14">
        <f t="shared" si="12"/>
        <v>289</v>
      </c>
      <c r="E141" s="4" t="str">
        <f>IFERROR(INDEX('LEV R&amp;D'!$D:$D,MATCH(MEDIÇÃO!D141,'LEV R&amp;D'!$A:$A,0))-INDEX('PROJETO PERFURAÇÃO'!$AH:$AH,MATCH(MEDIÇÃO!D141,'PROJETO PERFURAÇÃO'!$B:$B,0)),"")</f>
        <v/>
      </c>
      <c r="F141" s="17">
        <f>IFERROR(INDEX('PROJETO PERFURAÇÃO'!$AN:$AN,MATCH(MEDIÇÃO!D141,'PROJETO PERFURAÇÃO'!$B:$B,0)),"")</f>
        <v>0</v>
      </c>
      <c r="G141" s="3"/>
      <c r="H141" s="3"/>
      <c r="I141" s="3" t="str">
        <f>IFERROR(ROUND(INDEX('PROJETO PERFURAÇÃO'!$AB:$AB,MATCH(MEDIÇÃO!K141,'PROJETO PERFURAÇÃO'!$B:$B,0)),1)&amp;"''","")</f>
        <v>5''</v>
      </c>
      <c r="J141" s="3" t="str">
        <f>IFERROR(IF(INDEX('PROJETO PERFURAÇÃO'!$P:$P,MATCH(MEDIÇÃO!K141,'PROJETO PERFURAÇÃO'!$B:$B,0))="Production","P",IF(INDEX('PROJETO PERFURAÇÃO'!$P:$P,MATCH(MEDIÇÃO!K141,'PROJETO PERFURAÇÃO'!$B:$B,0))="Buffer","B",IF(INDEX('PROJETO PERFURAÇÃO'!$P:$P,MATCH(MEDIÇÃO!K141,'PROJETO PERFURAÇÃO'!$B:$B,0))="Pre-Splitting","S"))),"")</f>
        <v>P</v>
      </c>
      <c r="K141" s="14">
        <f t="shared" si="13"/>
        <v>312</v>
      </c>
      <c r="L141" s="4" t="str">
        <f>IFERROR(INDEX('LEV R&amp;D'!$D:$D,MATCH(MEDIÇÃO!K141,'LEV R&amp;D'!$A:$A,0))-INDEX('PROJETO PERFURAÇÃO'!$AH:$AH,MATCH(MEDIÇÃO!K141,'PROJETO PERFURAÇÃO'!$B:$B,0)),"")</f>
        <v/>
      </c>
      <c r="M141" s="17">
        <f>IFERROR(INDEX('PROJETO PERFURAÇÃO'!$AN:$AN,MATCH(MEDIÇÃO!K141,'PROJETO PERFURAÇÃO'!$B:$B,0)),"")</f>
        <v>0</v>
      </c>
      <c r="N141" s="3"/>
      <c r="O141" s="3"/>
      <c r="P141" s="3" t="str">
        <f>IFERROR(ROUND(INDEX('PROJETO PERFURAÇÃO'!$AB:$AB,MATCH(MEDIÇÃO!R141,'PROJETO PERFURAÇÃO'!$B:$B,0)),1)&amp;"''","")</f>
        <v>5''</v>
      </c>
      <c r="Q141" s="3" t="str">
        <f>IFERROR(IF(INDEX('PROJETO PERFURAÇÃO'!$P:$P,MATCH(MEDIÇÃO!R141,'PROJETO PERFURAÇÃO'!$B:$B,0))="Production","P",IF(INDEX('PROJETO PERFURAÇÃO'!$P:$P,MATCH(MEDIÇÃO!R141,'PROJETO PERFURAÇÃO'!$B:$B,0))="Buffer","B",IF(INDEX('PROJETO PERFURAÇÃO'!$P:$P,MATCH(MEDIÇÃO!R141,'PROJETO PERFURAÇÃO'!$B:$B,0))="Pre-Splitting","S"))),"")</f>
        <v>P</v>
      </c>
      <c r="R141" s="14">
        <f t="shared" si="14"/>
        <v>335</v>
      </c>
      <c r="S141" s="4" t="str">
        <f>IFERROR(INDEX('LEV R&amp;D'!$D:$D,MATCH(MEDIÇÃO!R141,'LEV R&amp;D'!$A:$A,0))-INDEX('PROJETO PERFURAÇÃO'!$AH:$AH,MATCH(MEDIÇÃO!R141,'PROJETO PERFURAÇÃO'!$B:$B,0)),"")</f>
        <v/>
      </c>
      <c r="T141" s="17">
        <f>IFERROR(INDEX('PROJETO PERFURAÇÃO'!$AN:$AN,MATCH(MEDIÇÃO!R141,'PROJETO PERFURAÇÃO'!$B:$B,0)),"")</f>
        <v>0</v>
      </c>
      <c r="U141" s="3"/>
      <c r="V141" s="3"/>
    </row>
    <row r="142" spans="2:22" ht="45" customHeight="1">
      <c r="B142" s="3" t="str">
        <f>IFERROR(ROUND(INDEX('PROJETO PERFURAÇÃO'!$AB:$AB,MATCH(MEDIÇÃO!D142,'PROJETO PERFURAÇÃO'!$B:$B,0)),1)&amp;"''","")</f>
        <v>5''</v>
      </c>
      <c r="C142" s="3" t="str">
        <f>IFERROR(IF(INDEX('PROJETO PERFURAÇÃO'!$P:$P,MATCH(MEDIÇÃO!D142,'PROJETO PERFURAÇÃO'!$B:$B,0))="Production","P",IF(INDEX('PROJETO PERFURAÇÃO'!$P:$P,MATCH(MEDIÇÃO!D142,'PROJETO PERFURAÇÃO'!$B:$B,0))="Buffer","B",IF(INDEX('PROJETO PERFURAÇÃO'!$P:$P,MATCH(MEDIÇÃO!D142,'PROJETO PERFURAÇÃO'!$B:$B,0))="Pre-Splitting","S"))),"")</f>
        <v>P</v>
      </c>
      <c r="D142" s="14">
        <f t="shared" si="12"/>
        <v>290</v>
      </c>
      <c r="E142" s="4" t="str">
        <f>IFERROR(INDEX('LEV R&amp;D'!$D:$D,MATCH(MEDIÇÃO!D142,'LEV R&amp;D'!$A:$A,0))-INDEX('PROJETO PERFURAÇÃO'!$AH:$AH,MATCH(MEDIÇÃO!D142,'PROJETO PERFURAÇÃO'!$B:$B,0)),"")</f>
        <v/>
      </c>
      <c r="F142" s="17">
        <f>IFERROR(INDEX('PROJETO PERFURAÇÃO'!$AN:$AN,MATCH(MEDIÇÃO!D142,'PROJETO PERFURAÇÃO'!$B:$B,0)),"")</f>
        <v>0</v>
      </c>
      <c r="G142" s="3"/>
      <c r="H142" s="3"/>
      <c r="I142" s="3" t="str">
        <f>IFERROR(ROUND(INDEX('PROJETO PERFURAÇÃO'!$AB:$AB,MATCH(MEDIÇÃO!K142,'PROJETO PERFURAÇÃO'!$B:$B,0)),1)&amp;"''","")</f>
        <v>5''</v>
      </c>
      <c r="J142" s="3" t="str">
        <f>IFERROR(IF(INDEX('PROJETO PERFURAÇÃO'!$P:$P,MATCH(MEDIÇÃO!K142,'PROJETO PERFURAÇÃO'!$B:$B,0))="Production","P",IF(INDEX('PROJETO PERFURAÇÃO'!$P:$P,MATCH(MEDIÇÃO!K142,'PROJETO PERFURAÇÃO'!$B:$B,0))="Buffer","B",IF(INDEX('PROJETO PERFURAÇÃO'!$P:$P,MATCH(MEDIÇÃO!K142,'PROJETO PERFURAÇÃO'!$B:$B,0))="Pre-Splitting","S"))),"")</f>
        <v>P</v>
      </c>
      <c r="K142" s="14">
        <f t="shared" si="13"/>
        <v>313</v>
      </c>
      <c r="L142" s="4" t="str">
        <f>IFERROR(INDEX('LEV R&amp;D'!$D:$D,MATCH(MEDIÇÃO!K142,'LEV R&amp;D'!$A:$A,0))-INDEX('PROJETO PERFURAÇÃO'!$AH:$AH,MATCH(MEDIÇÃO!K142,'PROJETO PERFURAÇÃO'!$B:$B,0)),"")</f>
        <v/>
      </c>
      <c r="M142" s="17">
        <f>IFERROR(INDEX('PROJETO PERFURAÇÃO'!$AN:$AN,MATCH(MEDIÇÃO!K142,'PROJETO PERFURAÇÃO'!$B:$B,0)),"")</f>
        <v>0</v>
      </c>
      <c r="N142" s="3"/>
      <c r="O142" s="3"/>
      <c r="P142" s="3" t="str">
        <f>IFERROR(ROUND(INDEX('PROJETO PERFURAÇÃO'!$AB:$AB,MATCH(MEDIÇÃO!R142,'PROJETO PERFURAÇÃO'!$B:$B,0)),1)&amp;"''","")</f>
        <v>5''</v>
      </c>
      <c r="Q142" s="3" t="str">
        <f>IFERROR(IF(INDEX('PROJETO PERFURAÇÃO'!$P:$P,MATCH(MEDIÇÃO!R142,'PROJETO PERFURAÇÃO'!$B:$B,0))="Production","P",IF(INDEX('PROJETO PERFURAÇÃO'!$P:$P,MATCH(MEDIÇÃO!R142,'PROJETO PERFURAÇÃO'!$B:$B,0))="Buffer","B",IF(INDEX('PROJETO PERFURAÇÃO'!$P:$P,MATCH(MEDIÇÃO!R142,'PROJETO PERFURAÇÃO'!$B:$B,0))="Pre-Splitting","S"))),"")</f>
        <v>P</v>
      </c>
      <c r="R142" s="14">
        <f t="shared" si="14"/>
        <v>336</v>
      </c>
      <c r="S142" s="4" t="str">
        <f>IFERROR(INDEX('LEV R&amp;D'!$D:$D,MATCH(MEDIÇÃO!R142,'LEV R&amp;D'!$A:$A,0))-INDEX('PROJETO PERFURAÇÃO'!$AH:$AH,MATCH(MEDIÇÃO!R142,'PROJETO PERFURAÇÃO'!$B:$B,0)),"")</f>
        <v/>
      </c>
      <c r="T142" s="17">
        <f>IFERROR(INDEX('PROJETO PERFURAÇÃO'!$AN:$AN,MATCH(MEDIÇÃO!R142,'PROJETO PERFURAÇÃO'!$B:$B,0)),"")</f>
        <v>0</v>
      </c>
      <c r="U142" s="3"/>
      <c r="V142" s="3"/>
    </row>
    <row r="143" spans="2:22" ht="45" customHeight="1">
      <c r="B143" s="3" t="str">
        <f>IFERROR(ROUND(INDEX('PROJETO PERFURAÇÃO'!$AB:$AB,MATCH(MEDIÇÃO!D143,'PROJETO PERFURAÇÃO'!$B:$B,0)),1)&amp;"''","")</f>
        <v>5''</v>
      </c>
      <c r="C143" s="3" t="str">
        <f>IFERROR(IF(INDEX('PROJETO PERFURAÇÃO'!$P:$P,MATCH(MEDIÇÃO!D143,'PROJETO PERFURAÇÃO'!$B:$B,0))="Production","P",IF(INDEX('PROJETO PERFURAÇÃO'!$P:$P,MATCH(MEDIÇÃO!D143,'PROJETO PERFURAÇÃO'!$B:$B,0))="Buffer","B",IF(INDEX('PROJETO PERFURAÇÃO'!$P:$P,MATCH(MEDIÇÃO!D143,'PROJETO PERFURAÇÃO'!$B:$B,0))="Pre-Splitting","S"))),"")</f>
        <v>P</v>
      </c>
      <c r="D143" s="14">
        <f t="shared" si="12"/>
        <v>291</v>
      </c>
      <c r="E143" s="4" t="str">
        <f>IFERROR(INDEX('LEV R&amp;D'!$D:$D,MATCH(MEDIÇÃO!D143,'LEV R&amp;D'!$A:$A,0))-INDEX('PROJETO PERFURAÇÃO'!$AH:$AH,MATCH(MEDIÇÃO!D143,'PROJETO PERFURAÇÃO'!$B:$B,0)),"")</f>
        <v/>
      </c>
      <c r="F143" s="17">
        <f>IFERROR(INDEX('PROJETO PERFURAÇÃO'!$AN:$AN,MATCH(MEDIÇÃO!D143,'PROJETO PERFURAÇÃO'!$B:$B,0)),"")</f>
        <v>0</v>
      </c>
      <c r="G143" s="3"/>
      <c r="H143" s="3"/>
      <c r="I143" s="3" t="str">
        <f>IFERROR(ROUND(INDEX('PROJETO PERFURAÇÃO'!$AB:$AB,MATCH(MEDIÇÃO!K143,'PROJETO PERFURAÇÃO'!$B:$B,0)),1)&amp;"''","")</f>
        <v>5''</v>
      </c>
      <c r="J143" s="3" t="str">
        <f>IFERROR(IF(INDEX('PROJETO PERFURAÇÃO'!$P:$P,MATCH(MEDIÇÃO!K143,'PROJETO PERFURAÇÃO'!$B:$B,0))="Production","P",IF(INDEX('PROJETO PERFURAÇÃO'!$P:$P,MATCH(MEDIÇÃO!K143,'PROJETO PERFURAÇÃO'!$B:$B,0))="Buffer","B",IF(INDEX('PROJETO PERFURAÇÃO'!$P:$P,MATCH(MEDIÇÃO!K143,'PROJETO PERFURAÇÃO'!$B:$B,0))="Pre-Splitting","S"))),"")</f>
        <v>P</v>
      </c>
      <c r="K143" s="14">
        <f t="shared" si="13"/>
        <v>314</v>
      </c>
      <c r="L143" s="4" t="str">
        <f>IFERROR(INDEX('LEV R&amp;D'!$D:$D,MATCH(MEDIÇÃO!K143,'LEV R&amp;D'!$A:$A,0))-INDEX('PROJETO PERFURAÇÃO'!$AH:$AH,MATCH(MEDIÇÃO!K143,'PROJETO PERFURAÇÃO'!$B:$B,0)),"")</f>
        <v/>
      </c>
      <c r="M143" s="17">
        <f>IFERROR(INDEX('PROJETO PERFURAÇÃO'!$AN:$AN,MATCH(MEDIÇÃO!K143,'PROJETO PERFURAÇÃO'!$B:$B,0)),"")</f>
        <v>0</v>
      </c>
      <c r="N143" s="3"/>
      <c r="O143" s="3"/>
      <c r="P143" s="3" t="str">
        <f>IFERROR(ROUND(INDEX('PROJETO PERFURAÇÃO'!$AB:$AB,MATCH(MEDIÇÃO!R143,'PROJETO PERFURAÇÃO'!$B:$B,0)),1)&amp;"''","")</f>
        <v>5''</v>
      </c>
      <c r="Q143" s="3" t="str">
        <f>IFERROR(IF(INDEX('PROJETO PERFURAÇÃO'!$P:$P,MATCH(MEDIÇÃO!R143,'PROJETO PERFURAÇÃO'!$B:$B,0))="Production","P",IF(INDEX('PROJETO PERFURAÇÃO'!$P:$P,MATCH(MEDIÇÃO!R143,'PROJETO PERFURAÇÃO'!$B:$B,0))="Buffer","B",IF(INDEX('PROJETO PERFURAÇÃO'!$P:$P,MATCH(MEDIÇÃO!R143,'PROJETO PERFURAÇÃO'!$B:$B,0))="Pre-Splitting","S"))),"")</f>
        <v>P</v>
      </c>
      <c r="R143" s="14">
        <f t="shared" si="14"/>
        <v>337</v>
      </c>
      <c r="S143" s="4" t="str">
        <f>IFERROR(INDEX('LEV R&amp;D'!$D:$D,MATCH(MEDIÇÃO!R143,'LEV R&amp;D'!$A:$A,0))-INDEX('PROJETO PERFURAÇÃO'!$AH:$AH,MATCH(MEDIÇÃO!R143,'PROJETO PERFURAÇÃO'!$B:$B,0)),"")</f>
        <v/>
      </c>
      <c r="T143" s="17">
        <f>IFERROR(INDEX('PROJETO PERFURAÇÃO'!$AN:$AN,MATCH(MEDIÇÃO!R143,'PROJETO PERFURAÇÃO'!$B:$B,0)),"")</f>
        <v>0</v>
      </c>
      <c r="U143" s="3"/>
      <c r="V143" s="3"/>
    </row>
    <row r="144" spans="2:22" ht="45" customHeight="1">
      <c r="B144" s="3" t="str">
        <f>IFERROR(ROUND(INDEX('PROJETO PERFURAÇÃO'!$AB:$AB,MATCH(MEDIÇÃO!D144,'PROJETO PERFURAÇÃO'!$B:$B,0)),1)&amp;"''","")</f>
        <v>5''</v>
      </c>
      <c r="C144" s="3" t="str">
        <f>IFERROR(IF(INDEX('PROJETO PERFURAÇÃO'!$P:$P,MATCH(MEDIÇÃO!D144,'PROJETO PERFURAÇÃO'!$B:$B,0))="Production","P",IF(INDEX('PROJETO PERFURAÇÃO'!$P:$P,MATCH(MEDIÇÃO!D144,'PROJETO PERFURAÇÃO'!$B:$B,0))="Buffer","B",IF(INDEX('PROJETO PERFURAÇÃO'!$P:$P,MATCH(MEDIÇÃO!D144,'PROJETO PERFURAÇÃO'!$B:$B,0))="Pre-Splitting","S"))),"")</f>
        <v>P</v>
      </c>
      <c r="D144" s="14">
        <f t="shared" si="12"/>
        <v>292</v>
      </c>
      <c r="E144" s="4" t="str">
        <f>IFERROR(INDEX('LEV R&amp;D'!$D:$D,MATCH(MEDIÇÃO!D144,'LEV R&amp;D'!$A:$A,0))-INDEX('PROJETO PERFURAÇÃO'!$AH:$AH,MATCH(MEDIÇÃO!D144,'PROJETO PERFURAÇÃO'!$B:$B,0)),"")</f>
        <v/>
      </c>
      <c r="F144" s="17">
        <f>IFERROR(INDEX('PROJETO PERFURAÇÃO'!$AN:$AN,MATCH(MEDIÇÃO!D144,'PROJETO PERFURAÇÃO'!$B:$B,0)),"")</f>
        <v>0</v>
      </c>
      <c r="G144" s="3"/>
      <c r="H144" s="3"/>
      <c r="I144" s="3" t="str">
        <f>IFERROR(ROUND(INDEX('PROJETO PERFURAÇÃO'!$AB:$AB,MATCH(MEDIÇÃO!K144,'PROJETO PERFURAÇÃO'!$B:$B,0)),1)&amp;"''","")</f>
        <v>5''</v>
      </c>
      <c r="J144" s="3" t="str">
        <f>IFERROR(IF(INDEX('PROJETO PERFURAÇÃO'!$P:$P,MATCH(MEDIÇÃO!K144,'PROJETO PERFURAÇÃO'!$B:$B,0))="Production","P",IF(INDEX('PROJETO PERFURAÇÃO'!$P:$P,MATCH(MEDIÇÃO!K144,'PROJETO PERFURAÇÃO'!$B:$B,0))="Buffer","B",IF(INDEX('PROJETO PERFURAÇÃO'!$P:$P,MATCH(MEDIÇÃO!K144,'PROJETO PERFURAÇÃO'!$B:$B,0))="Pre-Splitting","S"))),"")</f>
        <v>P</v>
      </c>
      <c r="K144" s="14">
        <f t="shared" si="13"/>
        <v>315</v>
      </c>
      <c r="L144" s="4" t="str">
        <f>IFERROR(INDEX('LEV R&amp;D'!$D:$D,MATCH(MEDIÇÃO!K144,'LEV R&amp;D'!$A:$A,0))-INDEX('PROJETO PERFURAÇÃO'!$AH:$AH,MATCH(MEDIÇÃO!K144,'PROJETO PERFURAÇÃO'!$B:$B,0)),"")</f>
        <v/>
      </c>
      <c r="M144" s="17">
        <f>IFERROR(INDEX('PROJETO PERFURAÇÃO'!$AN:$AN,MATCH(MEDIÇÃO!K144,'PROJETO PERFURAÇÃO'!$B:$B,0)),"")</f>
        <v>0</v>
      </c>
      <c r="N144" s="3"/>
      <c r="O144" s="3"/>
      <c r="P144" s="3" t="str">
        <f>IFERROR(ROUND(INDEX('PROJETO PERFURAÇÃO'!$AB:$AB,MATCH(MEDIÇÃO!R144,'PROJETO PERFURAÇÃO'!$B:$B,0)),1)&amp;"''","")</f>
        <v>5''</v>
      </c>
      <c r="Q144" s="3" t="str">
        <f>IFERROR(IF(INDEX('PROJETO PERFURAÇÃO'!$P:$P,MATCH(MEDIÇÃO!R144,'PROJETO PERFURAÇÃO'!$B:$B,0))="Production","P",IF(INDEX('PROJETO PERFURAÇÃO'!$P:$P,MATCH(MEDIÇÃO!R144,'PROJETO PERFURAÇÃO'!$B:$B,0))="Buffer","B",IF(INDEX('PROJETO PERFURAÇÃO'!$P:$P,MATCH(MEDIÇÃO!R144,'PROJETO PERFURAÇÃO'!$B:$B,0))="Pre-Splitting","S"))),"")</f>
        <v>P</v>
      </c>
      <c r="R144" s="14">
        <f t="shared" si="14"/>
        <v>338</v>
      </c>
      <c r="S144" s="4" t="str">
        <f>IFERROR(INDEX('LEV R&amp;D'!$D:$D,MATCH(MEDIÇÃO!R144,'LEV R&amp;D'!$A:$A,0))-INDEX('PROJETO PERFURAÇÃO'!$AH:$AH,MATCH(MEDIÇÃO!R144,'PROJETO PERFURAÇÃO'!$B:$B,0)),"")</f>
        <v/>
      </c>
      <c r="T144" s="17">
        <f>IFERROR(INDEX('PROJETO PERFURAÇÃO'!$AN:$AN,MATCH(MEDIÇÃO!R144,'PROJETO PERFURAÇÃO'!$B:$B,0)),"")</f>
        <v>0</v>
      </c>
      <c r="U144" s="3"/>
      <c r="V144" s="3"/>
    </row>
    <row r="145" spans="1:23" ht="45" customHeight="1">
      <c r="B145" s="3" t="str">
        <f>IFERROR(ROUND(INDEX('PROJETO PERFURAÇÃO'!$AB:$AB,MATCH(MEDIÇÃO!D145,'PROJETO PERFURAÇÃO'!$B:$B,0)),1)&amp;"''","")</f>
        <v>5''</v>
      </c>
      <c r="C145" s="3" t="str">
        <f>IFERROR(IF(INDEX('PROJETO PERFURAÇÃO'!$P:$P,MATCH(MEDIÇÃO!D145,'PROJETO PERFURAÇÃO'!$B:$B,0))="Production","P",IF(INDEX('PROJETO PERFURAÇÃO'!$P:$P,MATCH(MEDIÇÃO!D145,'PROJETO PERFURAÇÃO'!$B:$B,0))="Buffer","B",IF(INDEX('PROJETO PERFURAÇÃO'!$P:$P,MATCH(MEDIÇÃO!D145,'PROJETO PERFURAÇÃO'!$B:$B,0))="Pre-Splitting","S"))),"")</f>
        <v>P</v>
      </c>
      <c r="D145" s="14">
        <f t="shared" si="12"/>
        <v>293</v>
      </c>
      <c r="E145" s="4" t="str">
        <f>IFERROR(INDEX('LEV R&amp;D'!$D:$D,MATCH(MEDIÇÃO!D145,'LEV R&amp;D'!$A:$A,0))-INDEX('PROJETO PERFURAÇÃO'!$AH:$AH,MATCH(MEDIÇÃO!D145,'PROJETO PERFURAÇÃO'!$B:$B,0)),"")</f>
        <v/>
      </c>
      <c r="F145" s="17">
        <f>IFERROR(INDEX('PROJETO PERFURAÇÃO'!$AN:$AN,MATCH(MEDIÇÃO!D145,'PROJETO PERFURAÇÃO'!$B:$B,0)),"")</f>
        <v>0</v>
      </c>
      <c r="G145" s="3"/>
      <c r="H145" s="3"/>
      <c r="I145" s="3" t="str">
        <f>IFERROR(ROUND(INDEX('PROJETO PERFURAÇÃO'!$AB:$AB,MATCH(MEDIÇÃO!K145,'PROJETO PERFURAÇÃO'!$B:$B,0)),1)&amp;"''","")</f>
        <v>5''</v>
      </c>
      <c r="J145" s="3" t="str">
        <f>IFERROR(IF(INDEX('PROJETO PERFURAÇÃO'!$P:$P,MATCH(MEDIÇÃO!K145,'PROJETO PERFURAÇÃO'!$B:$B,0))="Production","P",IF(INDEX('PROJETO PERFURAÇÃO'!$P:$P,MATCH(MEDIÇÃO!K145,'PROJETO PERFURAÇÃO'!$B:$B,0))="Buffer","B",IF(INDEX('PROJETO PERFURAÇÃO'!$P:$P,MATCH(MEDIÇÃO!K145,'PROJETO PERFURAÇÃO'!$B:$B,0))="Pre-Splitting","S"))),"")</f>
        <v>P</v>
      </c>
      <c r="K145" s="14">
        <f t="shared" si="13"/>
        <v>316</v>
      </c>
      <c r="L145" s="4" t="str">
        <f>IFERROR(INDEX('LEV R&amp;D'!$D:$D,MATCH(MEDIÇÃO!K145,'LEV R&amp;D'!$A:$A,0))-INDEX('PROJETO PERFURAÇÃO'!$AH:$AH,MATCH(MEDIÇÃO!K145,'PROJETO PERFURAÇÃO'!$B:$B,0)),"")</f>
        <v/>
      </c>
      <c r="M145" s="17">
        <f>IFERROR(INDEX('PROJETO PERFURAÇÃO'!$AN:$AN,MATCH(MEDIÇÃO!K145,'PROJETO PERFURAÇÃO'!$B:$B,0)),"")</f>
        <v>0</v>
      </c>
      <c r="N145" s="3"/>
      <c r="O145" s="3"/>
      <c r="P145" s="3" t="str">
        <f>IFERROR(ROUND(INDEX('PROJETO PERFURAÇÃO'!$AB:$AB,MATCH(MEDIÇÃO!R145,'PROJETO PERFURAÇÃO'!$B:$B,0)),1)&amp;"''","")</f>
        <v>5''</v>
      </c>
      <c r="Q145" s="3" t="str">
        <f>IFERROR(IF(INDEX('PROJETO PERFURAÇÃO'!$P:$P,MATCH(MEDIÇÃO!R145,'PROJETO PERFURAÇÃO'!$B:$B,0))="Production","P",IF(INDEX('PROJETO PERFURAÇÃO'!$P:$P,MATCH(MEDIÇÃO!R145,'PROJETO PERFURAÇÃO'!$B:$B,0))="Buffer","B",IF(INDEX('PROJETO PERFURAÇÃO'!$P:$P,MATCH(MEDIÇÃO!R145,'PROJETO PERFURAÇÃO'!$B:$B,0))="Pre-Splitting","S"))),"")</f>
        <v>P</v>
      </c>
      <c r="R145" s="14">
        <f t="shared" si="14"/>
        <v>339</v>
      </c>
      <c r="S145" s="4" t="str">
        <f>IFERROR(INDEX('LEV R&amp;D'!$D:$D,MATCH(MEDIÇÃO!R145,'LEV R&amp;D'!$A:$A,0))-INDEX('PROJETO PERFURAÇÃO'!$AH:$AH,MATCH(MEDIÇÃO!R145,'PROJETO PERFURAÇÃO'!$B:$B,0)),"")</f>
        <v/>
      </c>
      <c r="T145" s="17">
        <f>IFERROR(INDEX('PROJETO PERFURAÇÃO'!$AN:$AN,MATCH(MEDIÇÃO!R145,'PROJETO PERFURAÇÃO'!$B:$B,0)),"")</f>
        <v>0</v>
      </c>
      <c r="U145" s="3"/>
      <c r="V145" s="3"/>
    </row>
    <row r="146" spans="1:23" ht="45" customHeight="1">
      <c r="B146" s="3" t="str">
        <f>IFERROR(ROUND(INDEX('PROJETO PERFURAÇÃO'!$AB:$AB,MATCH(MEDIÇÃO!D146,'PROJETO PERFURAÇÃO'!$B:$B,0)),1)&amp;"''","")</f>
        <v>5''</v>
      </c>
      <c r="C146" s="3" t="str">
        <f>IFERROR(IF(INDEX('PROJETO PERFURAÇÃO'!$P:$P,MATCH(MEDIÇÃO!D146,'PROJETO PERFURAÇÃO'!$B:$B,0))="Production","P",IF(INDEX('PROJETO PERFURAÇÃO'!$P:$P,MATCH(MEDIÇÃO!D146,'PROJETO PERFURAÇÃO'!$B:$B,0))="Buffer","B",IF(INDEX('PROJETO PERFURAÇÃO'!$P:$P,MATCH(MEDIÇÃO!D146,'PROJETO PERFURAÇÃO'!$B:$B,0))="Pre-Splitting","S"))),"")</f>
        <v>P</v>
      </c>
      <c r="D146" s="14">
        <f t="shared" si="12"/>
        <v>294</v>
      </c>
      <c r="E146" s="4" t="str">
        <f>IFERROR(INDEX('LEV R&amp;D'!$D:$D,MATCH(MEDIÇÃO!D146,'LEV R&amp;D'!$A:$A,0))-INDEX('PROJETO PERFURAÇÃO'!$AH:$AH,MATCH(MEDIÇÃO!D146,'PROJETO PERFURAÇÃO'!$B:$B,0)),"")</f>
        <v/>
      </c>
      <c r="F146" s="17">
        <f>IFERROR(INDEX('PROJETO PERFURAÇÃO'!$AN:$AN,MATCH(MEDIÇÃO!D146,'PROJETO PERFURAÇÃO'!$B:$B,0)),"")</f>
        <v>0</v>
      </c>
      <c r="G146" s="3"/>
      <c r="H146" s="3"/>
      <c r="I146" s="3" t="str">
        <f>IFERROR(ROUND(INDEX('PROJETO PERFURAÇÃO'!$AB:$AB,MATCH(MEDIÇÃO!K146,'PROJETO PERFURAÇÃO'!$B:$B,0)),1)&amp;"''","")</f>
        <v>5''</v>
      </c>
      <c r="J146" s="3" t="str">
        <f>IFERROR(IF(INDEX('PROJETO PERFURAÇÃO'!$P:$P,MATCH(MEDIÇÃO!K146,'PROJETO PERFURAÇÃO'!$B:$B,0))="Production","P",IF(INDEX('PROJETO PERFURAÇÃO'!$P:$P,MATCH(MEDIÇÃO!K146,'PROJETO PERFURAÇÃO'!$B:$B,0))="Buffer","B",IF(INDEX('PROJETO PERFURAÇÃO'!$P:$P,MATCH(MEDIÇÃO!K146,'PROJETO PERFURAÇÃO'!$B:$B,0))="Pre-Splitting","S"))),"")</f>
        <v>P</v>
      </c>
      <c r="K146" s="14">
        <f t="shared" si="13"/>
        <v>317</v>
      </c>
      <c r="L146" s="4" t="str">
        <f>IFERROR(INDEX('LEV R&amp;D'!$D:$D,MATCH(MEDIÇÃO!K146,'LEV R&amp;D'!$A:$A,0))-INDEX('PROJETO PERFURAÇÃO'!$AH:$AH,MATCH(MEDIÇÃO!K146,'PROJETO PERFURAÇÃO'!$B:$B,0)),"")</f>
        <v/>
      </c>
      <c r="M146" s="17">
        <f>IFERROR(INDEX('PROJETO PERFURAÇÃO'!$AN:$AN,MATCH(MEDIÇÃO!K146,'PROJETO PERFURAÇÃO'!$B:$B,0)),"")</f>
        <v>0</v>
      </c>
      <c r="N146" s="3"/>
      <c r="O146" s="3"/>
      <c r="P146" s="3" t="str">
        <f>IFERROR(ROUND(INDEX('PROJETO PERFURAÇÃO'!$AB:$AB,MATCH(MEDIÇÃO!R146,'PROJETO PERFURAÇÃO'!$B:$B,0)),1)&amp;"''","")</f>
        <v>5''</v>
      </c>
      <c r="Q146" s="3" t="str">
        <f>IFERROR(IF(INDEX('PROJETO PERFURAÇÃO'!$P:$P,MATCH(MEDIÇÃO!R146,'PROJETO PERFURAÇÃO'!$B:$B,0))="Production","P",IF(INDEX('PROJETO PERFURAÇÃO'!$P:$P,MATCH(MEDIÇÃO!R146,'PROJETO PERFURAÇÃO'!$B:$B,0))="Buffer","B",IF(INDEX('PROJETO PERFURAÇÃO'!$P:$P,MATCH(MEDIÇÃO!R146,'PROJETO PERFURAÇÃO'!$B:$B,0))="Pre-Splitting","S"))),"")</f>
        <v>P</v>
      </c>
      <c r="R146" s="14">
        <f t="shared" si="14"/>
        <v>340</v>
      </c>
      <c r="S146" s="4" t="str">
        <f>IFERROR(INDEX('LEV R&amp;D'!$D:$D,MATCH(MEDIÇÃO!R146,'LEV R&amp;D'!$A:$A,0))-INDEX('PROJETO PERFURAÇÃO'!$AH:$AH,MATCH(MEDIÇÃO!R146,'PROJETO PERFURAÇÃO'!$B:$B,0)),"")</f>
        <v/>
      </c>
      <c r="T146" s="17">
        <f>IFERROR(INDEX('PROJETO PERFURAÇÃO'!$AN:$AN,MATCH(MEDIÇÃO!R146,'PROJETO PERFURAÇÃO'!$B:$B,0)),"")</f>
        <v>0</v>
      </c>
      <c r="U146" s="3"/>
      <c r="V146" s="3"/>
    </row>
    <row r="147" spans="1:23" ht="45" customHeight="1">
      <c r="B147" s="3" t="str">
        <f>IFERROR(ROUND(INDEX('PROJETO PERFURAÇÃO'!$AB:$AB,MATCH(MEDIÇÃO!D147,'PROJETO PERFURAÇÃO'!$B:$B,0)),1)&amp;"''","")</f>
        <v>5''</v>
      </c>
      <c r="C147" s="3" t="str">
        <f>IFERROR(IF(INDEX('PROJETO PERFURAÇÃO'!$P:$P,MATCH(MEDIÇÃO!D147,'PROJETO PERFURAÇÃO'!$B:$B,0))="Production","P",IF(INDEX('PROJETO PERFURAÇÃO'!$P:$P,MATCH(MEDIÇÃO!D147,'PROJETO PERFURAÇÃO'!$B:$B,0))="Buffer","B",IF(INDEX('PROJETO PERFURAÇÃO'!$P:$P,MATCH(MEDIÇÃO!D147,'PROJETO PERFURAÇÃO'!$B:$B,0))="Pre-Splitting","S"))),"")</f>
        <v>P</v>
      </c>
      <c r="D147" s="14">
        <f t="shared" si="12"/>
        <v>295</v>
      </c>
      <c r="E147" s="4" t="str">
        <f>IFERROR(INDEX('LEV R&amp;D'!$D:$D,MATCH(MEDIÇÃO!D147,'LEV R&amp;D'!$A:$A,0))-INDEX('PROJETO PERFURAÇÃO'!$AH:$AH,MATCH(MEDIÇÃO!D147,'PROJETO PERFURAÇÃO'!$B:$B,0)),"")</f>
        <v/>
      </c>
      <c r="F147" s="17">
        <f>IFERROR(INDEX('PROJETO PERFURAÇÃO'!$AN:$AN,MATCH(MEDIÇÃO!D147,'PROJETO PERFURAÇÃO'!$B:$B,0)),"")</f>
        <v>0</v>
      </c>
      <c r="G147" s="3"/>
      <c r="H147" s="3"/>
      <c r="I147" s="3" t="str">
        <f>IFERROR(ROUND(INDEX('PROJETO PERFURAÇÃO'!$AB:$AB,MATCH(MEDIÇÃO!K147,'PROJETO PERFURAÇÃO'!$B:$B,0)),1)&amp;"''","")</f>
        <v>5''</v>
      </c>
      <c r="J147" s="3" t="str">
        <f>IFERROR(IF(INDEX('PROJETO PERFURAÇÃO'!$P:$P,MATCH(MEDIÇÃO!K147,'PROJETO PERFURAÇÃO'!$B:$B,0))="Production","P",IF(INDEX('PROJETO PERFURAÇÃO'!$P:$P,MATCH(MEDIÇÃO!K147,'PROJETO PERFURAÇÃO'!$B:$B,0))="Buffer","B",IF(INDEX('PROJETO PERFURAÇÃO'!$P:$P,MATCH(MEDIÇÃO!K147,'PROJETO PERFURAÇÃO'!$B:$B,0))="Pre-Splitting","S"))),"")</f>
        <v>P</v>
      </c>
      <c r="K147" s="14">
        <f t="shared" si="13"/>
        <v>318</v>
      </c>
      <c r="L147" s="4" t="str">
        <f>IFERROR(INDEX('LEV R&amp;D'!$D:$D,MATCH(MEDIÇÃO!K147,'LEV R&amp;D'!$A:$A,0))-INDEX('PROJETO PERFURAÇÃO'!$AH:$AH,MATCH(MEDIÇÃO!K147,'PROJETO PERFURAÇÃO'!$B:$B,0)),"")</f>
        <v/>
      </c>
      <c r="M147" s="17">
        <f>IFERROR(INDEX('PROJETO PERFURAÇÃO'!$AN:$AN,MATCH(MEDIÇÃO!K147,'PROJETO PERFURAÇÃO'!$B:$B,0)),"")</f>
        <v>0</v>
      </c>
      <c r="N147" s="3"/>
      <c r="O147" s="3"/>
      <c r="P147" s="3" t="str">
        <f>IFERROR(ROUND(INDEX('PROJETO PERFURAÇÃO'!$AB:$AB,MATCH(MEDIÇÃO!R147,'PROJETO PERFURAÇÃO'!$B:$B,0)),1)&amp;"''","")</f>
        <v>5''</v>
      </c>
      <c r="Q147" s="3" t="str">
        <f>IFERROR(IF(INDEX('PROJETO PERFURAÇÃO'!$P:$P,MATCH(MEDIÇÃO!R147,'PROJETO PERFURAÇÃO'!$B:$B,0))="Production","P",IF(INDEX('PROJETO PERFURAÇÃO'!$P:$P,MATCH(MEDIÇÃO!R147,'PROJETO PERFURAÇÃO'!$B:$B,0))="Buffer","B",IF(INDEX('PROJETO PERFURAÇÃO'!$P:$P,MATCH(MEDIÇÃO!R147,'PROJETO PERFURAÇÃO'!$B:$B,0))="Pre-Splitting","S"))),"")</f>
        <v>P</v>
      </c>
      <c r="R147" s="14">
        <f t="shared" si="14"/>
        <v>341</v>
      </c>
      <c r="S147" s="4" t="str">
        <f>IFERROR(INDEX('LEV R&amp;D'!$D:$D,MATCH(MEDIÇÃO!R147,'LEV R&amp;D'!$A:$A,0))-INDEX('PROJETO PERFURAÇÃO'!$AH:$AH,MATCH(MEDIÇÃO!R147,'PROJETO PERFURAÇÃO'!$B:$B,0)),"")</f>
        <v/>
      </c>
      <c r="T147" s="17">
        <f>IFERROR(INDEX('PROJETO PERFURAÇÃO'!$AN:$AN,MATCH(MEDIÇÃO!R147,'PROJETO PERFURAÇÃO'!$B:$B,0)),"")</f>
        <v>0</v>
      </c>
      <c r="U147" s="3"/>
      <c r="V147" s="3"/>
    </row>
    <row r="148" spans="1:23" ht="45" customHeight="1">
      <c r="B148" s="3" t="str">
        <f>IFERROR(ROUND(INDEX('PROJETO PERFURAÇÃO'!$AB:$AB,MATCH(MEDIÇÃO!D148,'PROJETO PERFURAÇÃO'!$B:$B,0)),1)&amp;"''","")</f>
        <v>5''</v>
      </c>
      <c r="C148" s="3" t="str">
        <f>IFERROR(IF(INDEX('PROJETO PERFURAÇÃO'!$P:$P,MATCH(MEDIÇÃO!D148,'PROJETO PERFURAÇÃO'!$B:$B,0))="Production","P",IF(INDEX('PROJETO PERFURAÇÃO'!$P:$P,MATCH(MEDIÇÃO!D148,'PROJETO PERFURAÇÃO'!$B:$B,0))="Buffer","B",IF(INDEX('PROJETO PERFURAÇÃO'!$P:$P,MATCH(MEDIÇÃO!D148,'PROJETO PERFURAÇÃO'!$B:$B,0))="Pre-Splitting","S"))),"")</f>
        <v>P</v>
      </c>
      <c r="D148" s="14">
        <f t="shared" si="12"/>
        <v>296</v>
      </c>
      <c r="E148" s="4" t="str">
        <f>IFERROR(INDEX('LEV R&amp;D'!$D:$D,MATCH(MEDIÇÃO!D148,'LEV R&amp;D'!$A:$A,0))-INDEX('PROJETO PERFURAÇÃO'!$AH:$AH,MATCH(MEDIÇÃO!D148,'PROJETO PERFURAÇÃO'!$B:$B,0)),"")</f>
        <v/>
      </c>
      <c r="F148" s="17">
        <f>IFERROR(INDEX('PROJETO PERFURAÇÃO'!$AN:$AN,MATCH(MEDIÇÃO!D148,'PROJETO PERFURAÇÃO'!$B:$B,0)),"")</f>
        <v>0</v>
      </c>
      <c r="G148" s="3"/>
      <c r="H148" s="3"/>
      <c r="I148" s="3" t="str">
        <f>IFERROR(ROUND(INDEX('PROJETO PERFURAÇÃO'!$AB:$AB,MATCH(MEDIÇÃO!K148,'PROJETO PERFURAÇÃO'!$B:$B,0)),1)&amp;"''","")</f>
        <v>5''</v>
      </c>
      <c r="J148" s="3" t="str">
        <f>IFERROR(IF(INDEX('PROJETO PERFURAÇÃO'!$P:$P,MATCH(MEDIÇÃO!K148,'PROJETO PERFURAÇÃO'!$B:$B,0))="Production","P",IF(INDEX('PROJETO PERFURAÇÃO'!$P:$P,MATCH(MEDIÇÃO!K148,'PROJETO PERFURAÇÃO'!$B:$B,0))="Buffer","B",IF(INDEX('PROJETO PERFURAÇÃO'!$P:$P,MATCH(MEDIÇÃO!K148,'PROJETO PERFURAÇÃO'!$B:$B,0))="Pre-Splitting","S"))),"")</f>
        <v>P</v>
      </c>
      <c r="K148" s="14">
        <f t="shared" si="13"/>
        <v>319</v>
      </c>
      <c r="L148" s="4" t="str">
        <f>IFERROR(INDEX('LEV R&amp;D'!$D:$D,MATCH(MEDIÇÃO!K148,'LEV R&amp;D'!$A:$A,0))-INDEX('PROJETO PERFURAÇÃO'!$AH:$AH,MATCH(MEDIÇÃO!K148,'PROJETO PERFURAÇÃO'!$B:$B,0)),"")</f>
        <v/>
      </c>
      <c r="M148" s="17">
        <f>IFERROR(INDEX('PROJETO PERFURAÇÃO'!$AN:$AN,MATCH(MEDIÇÃO!K148,'PROJETO PERFURAÇÃO'!$B:$B,0)),"")</f>
        <v>0</v>
      </c>
      <c r="N148" s="3"/>
      <c r="O148" s="3"/>
      <c r="P148" s="3" t="str">
        <f>IFERROR(ROUND(INDEX('PROJETO PERFURAÇÃO'!$AB:$AB,MATCH(MEDIÇÃO!R148,'PROJETO PERFURAÇÃO'!$B:$B,0)),1)&amp;"''","")</f>
        <v>5''</v>
      </c>
      <c r="Q148" s="3" t="str">
        <f>IFERROR(IF(INDEX('PROJETO PERFURAÇÃO'!$P:$P,MATCH(MEDIÇÃO!R148,'PROJETO PERFURAÇÃO'!$B:$B,0))="Production","P",IF(INDEX('PROJETO PERFURAÇÃO'!$P:$P,MATCH(MEDIÇÃO!R148,'PROJETO PERFURAÇÃO'!$B:$B,0))="Buffer","B",IF(INDEX('PROJETO PERFURAÇÃO'!$P:$P,MATCH(MEDIÇÃO!R148,'PROJETO PERFURAÇÃO'!$B:$B,0))="Pre-Splitting","S"))),"")</f>
        <v>P</v>
      </c>
      <c r="R148" s="14">
        <f t="shared" si="14"/>
        <v>342</v>
      </c>
      <c r="S148" s="4" t="str">
        <f>IFERROR(INDEX('LEV R&amp;D'!$D:$D,MATCH(MEDIÇÃO!R148,'LEV R&amp;D'!$A:$A,0))-INDEX('PROJETO PERFURAÇÃO'!$AH:$AH,MATCH(MEDIÇÃO!R148,'PROJETO PERFURAÇÃO'!$B:$B,0)),"")</f>
        <v/>
      </c>
      <c r="T148" s="17">
        <f>IFERROR(INDEX('PROJETO PERFURAÇÃO'!$AN:$AN,MATCH(MEDIÇÃO!R148,'PROJETO PERFURAÇÃO'!$B:$B,0)),"")</f>
        <v>0</v>
      </c>
      <c r="U148" s="3"/>
      <c r="V148" s="3"/>
    </row>
    <row r="149" spans="1:23" ht="45" customHeight="1">
      <c r="B149" s="3" t="str">
        <f>IFERROR(ROUND(INDEX('PROJETO PERFURAÇÃO'!$AB:$AB,MATCH(MEDIÇÃO!D149,'PROJETO PERFURAÇÃO'!$B:$B,0)),1)&amp;"''","")</f>
        <v>5''</v>
      </c>
      <c r="C149" s="3" t="str">
        <f>IFERROR(IF(INDEX('PROJETO PERFURAÇÃO'!$P:$P,MATCH(MEDIÇÃO!D149,'PROJETO PERFURAÇÃO'!$B:$B,0))="Production","P",IF(INDEX('PROJETO PERFURAÇÃO'!$P:$P,MATCH(MEDIÇÃO!D149,'PROJETO PERFURAÇÃO'!$B:$B,0))="Buffer","B",IF(INDEX('PROJETO PERFURAÇÃO'!$P:$P,MATCH(MEDIÇÃO!D149,'PROJETO PERFURAÇÃO'!$B:$B,0))="Pre-Splitting","S"))),"")</f>
        <v>P</v>
      </c>
      <c r="D149" s="14">
        <f t="shared" si="12"/>
        <v>297</v>
      </c>
      <c r="E149" s="4" t="str">
        <f>IFERROR(INDEX('LEV R&amp;D'!$D:$D,MATCH(MEDIÇÃO!D149,'LEV R&amp;D'!$A:$A,0))-INDEX('PROJETO PERFURAÇÃO'!$AH:$AH,MATCH(MEDIÇÃO!D149,'PROJETO PERFURAÇÃO'!$B:$B,0)),"")</f>
        <v/>
      </c>
      <c r="F149" s="17">
        <f>IFERROR(INDEX('PROJETO PERFURAÇÃO'!$AN:$AN,MATCH(MEDIÇÃO!D149,'PROJETO PERFURAÇÃO'!$B:$B,0)),"")</f>
        <v>0</v>
      </c>
      <c r="G149" s="3"/>
      <c r="H149" s="3"/>
      <c r="I149" s="3" t="str">
        <f>IFERROR(ROUND(INDEX('PROJETO PERFURAÇÃO'!$AB:$AB,MATCH(MEDIÇÃO!K149,'PROJETO PERFURAÇÃO'!$B:$B,0)),1)&amp;"''","")</f>
        <v>5''</v>
      </c>
      <c r="J149" s="3" t="str">
        <f>IFERROR(IF(INDEX('PROJETO PERFURAÇÃO'!$P:$P,MATCH(MEDIÇÃO!K149,'PROJETO PERFURAÇÃO'!$B:$B,0))="Production","P",IF(INDEX('PROJETO PERFURAÇÃO'!$P:$P,MATCH(MEDIÇÃO!K149,'PROJETO PERFURAÇÃO'!$B:$B,0))="Buffer","B",IF(INDEX('PROJETO PERFURAÇÃO'!$P:$P,MATCH(MEDIÇÃO!K149,'PROJETO PERFURAÇÃO'!$B:$B,0))="Pre-Splitting","S"))),"")</f>
        <v>P</v>
      </c>
      <c r="K149" s="14">
        <f t="shared" si="13"/>
        <v>320</v>
      </c>
      <c r="L149" s="4" t="str">
        <f>IFERROR(INDEX('LEV R&amp;D'!$D:$D,MATCH(MEDIÇÃO!K149,'LEV R&amp;D'!$A:$A,0))-INDEX('PROJETO PERFURAÇÃO'!$AH:$AH,MATCH(MEDIÇÃO!K149,'PROJETO PERFURAÇÃO'!$B:$B,0)),"")</f>
        <v/>
      </c>
      <c r="M149" s="17">
        <f>IFERROR(INDEX('PROJETO PERFURAÇÃO'!$AN:$AN,MATCH(MEDIÇÃO!K149,'PROJETO PERFURAÇÃO'!$B:$B,0)),"")</f>
        <v>0</v>
      </c>
      <c r="N149" s="3"/>
      <c r="O149" s="3"/>
      <c r="P149" s="3" t="str">
        <f>IFERROR(ROUND(INDEX('PROJETO PERFURAÇÃO'!$AB:$AB,MATCH(MEDIÇÃO!R149,'PROJETO PERFURAÇÃO'!$B:$B,0)),1)&amp;"''","")</f>
        <v>5''</v>
      </c>
      <c r="Q149" s="3" t="str">
        <f>IFERROR(IF(INDEX('PROJETO PERFURAÇÃO'!$P:$P,MATCH(MEDIÇÃO!R149,'PROJETO PERFURAÇÃO'!$B:$B,0))="Production","P",IF(INDEX('PROJETO PERFURAÇÃO'!$P:$P,MATCH(MEDIÇÃO!R149,'PROJETO PERFURAÇÃO'!$B:$B,0))="Buffer","B",IF(INDEX('PROJETO PERFURAÇÃO'!$P:$P,MATCH(MEDIÇÃO!R149,'PROJETO PERFURAÇÃO'!$B:$B,0))="Pre-Splitting","S"))),"")</f>
        <v>P</v>
      </c>
      <c r="R149" s="14">
        <f t="shared" si="14"/>
        <v>343</v>
      </c>
      <c r="S149" s="4" t="str">
        <f>IFERROR(INDEX('LEV R&amp;D'!$D:$D,MATCH(MEDIÇÃO!R149,'LEV R&amp;D'!$A:$A,0))-INDEX('PROJETO PERFURAÇÃO'!$AH:$AH,MATCH(MEDIÇÃO!R149,'PROJETO PERFURAÇÃO'!$B:$B,0)),"")</f>
        <v/>
      </c>
      <c r="T149" s="17">
        <f>IFERROR(INDEX('PROJETO PERFURAÇÃO'!$AN:$AN,MATCH(MEDIÇÃO!R149,'PROJETO PERFURAÇÃO'!$B:$B,0)),"")</f>
        <v>0</v>
      </c>
      <c r="U149" s="3"/>
      <c r="V149" s="3"/>
    </row>
    <row r="150" spans="1:23" ht="45" customHeight="1">
      <c r="B150" s="3" t="str">
        <f>IFERROR(ROUND(INDEX('PROJETO PERFURAÇÃO'!$AB:$AB,MATCH(MEDIÇÃO!D150,'PROJETO PERFURAÇÃO'!$B:$B,0)),1)&amp;"''","")</f>
        <v>5''</v>
      </c>
      <c r="C150" s="3" t="str">
        <f>IFERROR(IF(INDEX('PROJETO PERFURAÇÃO'!$P:$P,MATCH(MEDIÇÃO!D150,'PROJETO PERFURAÇÃO'!$B:$B,0))="Production","P",IF(INDEX('PROJETO PERFURAÇÃO'!$P:$P,MATCH(MEDIÇÃO!D150,'PROJETO PERFURAÇÃO'!$B:$B,0))="Buffer","B",IF(INDEX('PROJETO PERFURAÇÃO'!$P:$P,MATCH(MEDIÇÃO!D150,'PROJETO PERFURAÇÃO'!$B:$B,0))="Pre-Splitting","S"))),"")</f>
        <v>P</v>
      </c>
      <c r="D150" s="14">
        <f t="shared" si="12"/>
        <v>298</v>
      </c>
      <c r="E150" s="4" t="str">
        <f>IFERROR(INDEX('LEV R&amp;D'!$D:$D,MATCH(MEDIÇÃO!D150,'LEV R&amp;D'!$A:$A,0))-INDEX('PROJETO PERFURAÇÃO'!$AH:$AH,MATCH(MEDIÇÃO!D150,'PROJETO PERFURAÇÃO'!$B:$B,0)),"")</f>
        <v/>
      </c>
      <c r="F150" s="17">
        <f>IFERROR(INDEX('PROJETO PERFURAÇÃO'!$AN:$AN,MATCH(MEDIÇÃO!D150,'PROJETO PERFURAÇÃO'!$B:$B,0)),"")</f>
        <v>0</v>
      </c>
      <c r="G150" s="3"/>
      <c r="H150" s="3"/>
      <c r="I150" s="3" t="str">
        <f>IFERROR(ROUND(INDEX('PROJETO PERFURAÇÃO'!$AB:$AB,MATCH(MEDIÇÃO!K150,'PROJETO PERFURAÇÃO'!$B:$B,0)),1)&amp;"''","")</f>
        <v>5''</v>
      </c>
      <c r="J150" s="3" t="str">
        <f>IFERROR(IF(INDEX('PROJETO PERFURAÇÃO'!$P:$P,MATCH(MEDIÇÃO!K150,'PROJETO PERFURAÇÃO'!$B:$B,0))="Production","P",IF(INDEX('PROJETO PERFURAÇÃO'!$P:$P,MATCH(MEDIÇÃO!K150,'PROJETO PERFURAÇÃO'!$B:$B,0))="Buffer","B",IF(INDEX('PROJETO PERFURAÇÃO'!$P:$P,MATCH(MEDIÇÃO!K150,'PROJETO PERFURAÇÃO'!$B:$B,0))="Pre-Splitting","S"))),"")</f>
        <v>P</v>
      </c>
      <c r="K150" s="14">
        <f t="shared" si="13"/>
        <v>321</v>
      </c>
      <c r="L150" s="4" t="str">
        <f>IFERROR(INDEX('LEV R&amp;D'!$D:$D,MATCH(MEDIÇÃO!K150,'LEV R&amp;D'!$A:$A,0))-INDEX('PROJETO PERFURAÇÃO'!$AH:$AH,MATCH(MEDIÇÃO!K150,'PROJETO PERFURAÇÃO'!$B:$B,0)),"")</f>
        <v/>
      </c>
      <c r="M150" s="17">
        <f>IFERROR(INDEX('PROJETO PERFURAÇÃO'!$AN:$AN,MATCH(MEDIÇÃO!K150,'PROJETO PERFURAÇÃO'!$B:$B,0)),"")</f>
        <v>0</v>
      </c>
      <c r="N150" s="3"/>
      <c r="O150" s="3"/>
      <c r="P150" s="3" t="str">
        <f>IFERROR(ROUND(INDEX('PROJETO PERFURAÇÃO'!$AB:$AB,MATCH(MEDIÇÃO!R150,'PROJETO PERFURAÇÃO'!$B:$B,0)),1)&amp;"''","")</f>
        <v>5''</v>
      </c>
      <c r="Q150" s="3" t="str">
        <f>IFERROR(IF(INDEX('PROJETO PERFURAÇÃO'!$P:$P,MATCH(MEDIÇÃO!R150,'PROJETO PERFURAÇÃO'!$B:$B,0))="Production","P",IF(INDEX('PROJETO PERFURAÇÃO'!$P:$P,MATCH(MEDIÇÃO!R150,'PROJETO PERFURAÇÃO'!$B:$B,0))="Buffer","B",IF(INDEX('PROJETO PERFURAÇÃO'!$P:$P,MATCH(MEDIÇÃO!R150,'PROJETO PERFURAÇÃO'!$B:$B,0))="Pre-Splitting","S"))),"")</f>
        <v>P</v>
      </c>
      <c r="R150" s="14">
        <f t="shared" si="14"/>
        <v>344</v>
      </c>
      <c r="S150" s="4" t="str">
        <f>IFERROR(INDEX('LEV R&amp;D'!$D:$D,MATCH(MEDIÇÃO!R150,'LEV R&amp;D'!$A:$A,0))-INDEX('PROJETO PERFURAÇÃO'!$AH:$AH,MATCH(MEDIÇÃO!R150,'PROJETO PERFURAÇÃO'!$B:$B,0)),"")</f>
        <v/>
      </c>
      <c r="T150" s="17">
        <f>IFERROR(INDEX('PROJETO PERFURAÇÃO'!$AN:$AN,MATCH(MEDIÇÃO!R150,'PROJETO PERFURAÇÃO'!$B:$B,0)),"")</f>
        <v>0</v>
      </c>
      <c r="U150" s="3"/>
      <c r="V150" s="3"/>
    </row>
    <row r="151" spans="1:23" ht="45" customHeight="1">
      <c r="B151" s="3" t="str">
        <f>IFERROR(ROUND(INDEX('PROJETO PERFURAÇÃO'!$AB:$AB,MATCH(MEDIÇÃO!D151,'PROJETO PERFURAÇÃO'!$B:$B,0)),1)&amp;"''","")</f>
        <v>5''</v>
      </c>
      <c r="C151" s="3" t="str">
        <f>IFERROR(IF(INDEX('PROJETO PERFURAÇÃO'!$P:$P,MATCH(MEDIÇÃO!D151,'PROJETO PERFURAÇÃO'!$B:$B,0))="Production","P",IF(INDEX('PROJETO PERFURAÇÃO'!$P:$P,MATCH(MEDIÇÃO!D151,'PROJETO PERFURAÇÃO'!$B:$B,0))="Buffer","B",IF(INDEX('PROJETO PERFURAÇÃO'!$P:$P,MATCH(MEDIÇÃO!D151,'PROJETO PERFURAÇÃO'!$B:$B,0))="Pre-Splitting","S"))),"")</f>
        <v>P</v>
      </c>
      <c r="D151" s="14">
        <f t="shared" si="12"/>
        <v>299</v>
      </c>
      <c r="E151" s="4" t="str">
        <f>IFERROR(INDEX('LEV R&amp;D'!$D:$D,MATCH(MEDIÇÃO!D151,'LEV R&amp;D'!$A:$A,0))-INDEX('PROJETO PERFURAÇÃO'!$AH:$AH,MATCH(MEDIÇÃO!D151,'PROJETO PERFURAÇÃO'!$B:$B,0)),"")</f>
        <v/>
      </c>
      <c r="F151" s="17">
        <f>IFERROR(INDEX('PROJETO PERFURAÇÃO'!$AN:$AN,MATCH(MEDIÇÃO!D151,'PROJETO PERFURAÇÃO'!$B:$B,0)),"")</f>
        <v>0</v>
      </c>
      <c r="G151" s="3"/>
      <c r="H151" s="3"/>
      <c r="I151" s="3" t="str">
        <f>IFERROR(ROUND(INDEX('PROJETO PERFURAÇÃO'!$AB:$AB,MATCH(MEDIÇÃO!K151,'PROJETO PERFURAÇÃO'!$B:$B,0)),1)&amp;"''","")</f>
        <v>5''</v>
      </c>
      <c r="J151" s="3" t="str">
        <f>IFERROR(IF(INDEX('PROJETO PERFURAÇÃO'!$P:$P,MATCH(MEDIÇÃO!K151,'PROJETO PERFURAÇÃO'!$B:$B,0))="Production","P",IF(INDEX('PROJETO PERFURAÇÃO'!$P:$P,MATCH(MEDIÇÃO!K151,'PROJETO PERFURAÇÃO'!$B:$B,0))="Buffer","B",IF(INDEX('PROJETO PERFURAÇÃO'!$P:$P,MATCH(MEDIÇÃO!K151,'PROJETO PERFURAÇÃO'!$B:$B,0))="Pre-Splitting","S"))),"")</f>
        <v>P</v>
      </c>
      <c r="K151" s="14">
        <f t="shared" si="13"/>
        <v>322</v>
      </c>
      <c r="L151" s="4" t="str">
        <f>IFERROR(INDEX('LEV R&amp;D'!$D:$D,MATCH(MEDIÇÃO!K151,'LEV R&amp;D'!$A:$A,0))-INDEX('PROJETO PERFURAÇÃO'!$AH:$AH,MATCH(MEDIÇÃO!K151,'PROJETO PERFURAÇÃO'!$B:$B,0)),"")</f>
        <v/>
      </c>
      <c r="M151" s="17">
        <f>IFERROR(INDEX('PROJETO PERFURAÇÃO'!$AN:$AN,MATCH(MEDIÇÃO!K151,'PROJETO PERFURAÇÃO'!$B:$B,0)),"")</f>
        <v>0</v>
      </c>
      <c r="N151" s="3"/>
      <c r="O151" s="3"/>
      <c r="P151" s="3" t="str">
        <f>IFERROR(ROUND(INDEX('PROJETO PERFURAÇÃO'!$AB:$AB,MATCH(MEDIÇÃO!R151,'PROJETO PERFURAÇÃO'!$B:$B,0)),1)&amp;"''","")</f>
        <v>5''</v>
      </c>
      <c r="Q151" s="3" t="str">
        <f>IFERROR(IF(INDEX('PROJETO PERFURAÇÃO'!$P:$P,MATCH(MEDIÇÃO!R151,'PROJETO PERFURAÇÃO'!$B:$B,0))="Production","P",IF(INDEX('PROJETO PERFURAÇÃO'!$P:$P,MATCH(MEDIÇÃO!R151,'PROJETO PERFURAÇÃO'!$B:$B,0))="Buffer","B",IF(INDEX('PROJETO PERFURAÇÃO'!$P:$P,MATCH(MEDIÇÃO!R151,'PROJETO PERFURAÇÃO'!$B:$B,0))="Pre-Splitting","S"))),"")</f>
        <v>P</v>
      </c>
      <c r="R151" s="14">
        <f t="shared" si="14"/>
        <v>345</v>
      </c>
      <c r="S151" s="4" t="str">
        <f>IFERROR(INDEX('LEV R&amp;D'!$D:$D,MATCH(MEDIÇÃO!R151,'LEV R&amp;D'!$A:$A,0))-INDEX('PROJETO PERFURAÇÃO'!$AH:$AH,MATCH(MEDIÇÃO!R151,'PROJETO PERFURAÇÃO'!$B:$B,0)),"")</f>
        <v/>
      </c>
      <c r="T151" s="17">
        <f>IFERROR(INDEX('PROJETO PERFURAÇÃO'!$AN:$AN,MATCH(MEDIÇÃO!R151,'PROJETO PERFURAÇÃO'!$B:$B,0)),"")</f>
        <v>0</v>
      </c>
      <c r="U151" s="3"/>
      <c r="V151" s="3"/>
    </row>
    <row r="152" spans="1:23" ht="30" customHeight="1">
      <c r="B152" s="1"/>
      <c r="C152" s="1"/>
      <c r="D152" s="15"/>
      <c r="E152" s="2"/>
      <c r="F152" s="16"/>
      <c r="G152" s="1"/>
      <c r="H152" s="1"/>
      <c r="I152" s="1"/>
      <c r="J152" s="1"/>
      <c r="K152" s="15"/>
      <c r="L152" s="2"/>
      <c r="M152" s="16"/>
      <c r="N152" s="1"/>
      <c r="O152" s="1"/>
      <c r="P152" s="1"/>
      <c r="Q152" s="1"/>
      <c r="R152" s="15"/>
      <c r="S152" s="2"/>
      <c r="T152" s="16"/>
      <c r="U152" s="1"/>
      <c r="V152" s="1"/>
    </row>
    <row r="153" spans="1:23" ht="30" customHeight="1">
      <c r="C153" s="20"/>
      <c r="D153" s="20"/>
      <c r="E153" s="20"/>
      <c r="F153" s="20"/>
      <c r="G153" s="20"/>
      <c r="H153" s="20"/>
      <c r="I153" s="20"/>
      <c r="J153" s="20"/>
      <c r="K153" s="20"/>
      <c r="M153" s="20"/>
      <c r="N153" s="20"/>
      <c r="O153" s="20"/>
      <c r="P153" s="20"/>
      <c r="Q153" s="20"/>
      <c r="R153" s="20"/>
      <c r="S153" s="20"/>
      <c r="T153" s="20"/>
      <c r="U153" s="20"/>
    </row>
    <row r="154" spans="1:23" ht="30" customHeight="1">
      <c r="C154" s="21" t="s">
        <v>40</v>
      </c>
      <c r="D154" s="21"/>
      <c r="E154" s="21"/>
      <c r="F154" s="21"/>
      <c r="G154" s="21"/>
      <c r="H154" s="21"/>
      <c r="I154" s="21"/>
      <c r="J154" s="21"/>
      <c r="K154" s="21"/>
      <c r="L154" s="9"/>
      <c r="M154" s="21" t="s">
        <v>40</v>
      </c>
      <c r="N154" s="21"/>
      <c r="O154" s="21"/>
      <c r="P154" s="21"/>
      <c r="Q154" s="21"/>
      <c r="R154" s="21"/>
      <c r="S154" s="21"/>
      <c r="T154" s="21"/>
      <c r="U154" s="21"/>
      <c r="V154" s="9"/>
    </row>
    <row r="155" spans="1:23" ht="30" customHeight="1">
      <c r="D155" s="9"/>
      <c r="E155" s="9"/>
      <c r="F155" s="9"/>
      <c r="G155" s="9"/>
      <c r="H155" s="9"/>
      <c r="I155" s="9"/>
      <c r="J155" s="9"/>
      <c r="K155" s="9"/>
      <c r="L155" s="9"/>
      <c r="M155" s="9"/>
      <c r="N155" s="9"/>
      <c r="Q155" s="9"/>
      <c r="R155" s="9"/>
      <c r="S155" s="9"/>
      <c r="T155" s="9"/>
      <c r="U155" s="9"/>
      <c r="V155" s="9"/>
    </row>
    <row r="156" spans="1:23" ht="30" customHeight="1">
      <c r="B156" s="19" t="str">
        <f>'PROJETO PERFURAÇÃO'!$C$2&amp;" - "&amp;'PROJETO PERFURAÇÃO'!$H$2</f>
        <v>LIB037 - PP0370626</v>
      </c>
      <c r="C156" s="19"/>
      <c r="D156" s="19"/>
      <c r="E156" s="19"/>
      <c r="F156" s="19"/>
      <c r="G156" s="19"/>
      <c r="H156" s="19"/>
      <c r="I156" s="11" t="s">
        <v>34</v>
      </c>
      <c r="J156" s="10" t="s">
        <v>37</v>
      </c>
    </row>
    <row r="157" spans="1:23" ht="30" customHeight="1">
      <c r="B157" s="19"/>
      <c r="C157" s="19"/>
      <c r="D157" s="19"/>
      <c r="E157" s="19"/>
      <c r="F157" s="19"/>
      <c r="G157" s="19"/>
      <c r="H157" s="19"/>
      <c r="I157" s="12" t="s">
        <v>35</v>
      </c>
      <c r="J157" s="10" t="s">
        <v>38</v>
      </c>
      <c r="K157" s="9"/>
      <c r="L157" s="9"/>
      <c r="M157" s="9"/>
      <c r="N157" s="9"/>
      <c r="O157" s="9"/>
      <c r="P157" s="9"/>
      <c r="Q157" s="9"/>
      <c r="R157" s="9"/>
      <c r="S157" s="9"/>
      <c r="T157" s="9"/>
      <c r="U157" s="9"/>
      <c r="V157" s="9"/>
    </row>
    <row r="158" spans="1:23" ht="30" customHeight="1">
      <c r="B158" s="19"/>
      <c r="C158" s="19"/>
      <c r="D158" s="19"/>
      <c r="E158" s="19"/>
      <c r="F158" s="19"/>
      <c r="G158" s="19"/>
      <c r="H158" s="19"/>
      <c r="I158" s="13" t="s">
        <v>36</v>
      </c>
      <c r="J158" s="10" t="s">
        <v>39</v>
      </c>
    </row>
    <row r="159" spans="1:23" ht="30" customHeight="1">
      <c r="A159" s="1"/>
      <c r="B159" s="6" t="s">
        <v>33</v>
      </c>
      <c r="C159" s="6" t="s">
        <v>13</v>
      </c>
      <c r="D159" s="7" t="s">
        <v>1</v>
      </c>
      <c r="E159" s="7" t="s">
        <v>29</v>
      </c>
      <c r="F159" s="7" t="s">
        <v>30</v>
      </c>
      <c r="G159" s="7" t="s">
        <v>31</v>
      </c>
      <c r="H159" s="7" t="s">
        <v>32</v>
      </c>
      <c r="I159" s="6" t="s">
        <v>33</v>
      </c>
      <c r="J159" s="6" t="s">
        <v>13</v>
      </c>
      <c r="K159" s="7" t="s">
        <v>1</v>
      </c>
      <c r="L159" s="7" t="s">
        <v>29</v>
      </c>
      <c r="M159" s="7" t="s">
        <v>30</v>
      </c>
      <c r="N159" s="7" t="s">
        <v>31</v>
      </c>
      <c r="O159" s="7" t="s">
        <v>32</v>
      </c>
      <c r="P159" s="6" t="s">
        <v>33</v>
      </c>
      <c r="Q159" s="6" t="s">
        <v>13</v>
      </c>
      <c r="R159" s="7" t="s">
        <v>1</v>
      </c>
      <c r="S159" s="7" t="s">
        <v>29</v>
      </c>
      <c r="T159" s="7" t="s">
        <v>30</v>
      </c>
      <c r="U159" s="7" t="s">
        <v>31</v>
      </c>
      <c r="V159" s="7" t="s">
        <v>32</v>
      </c>
      <c r="W159" s="1"/>
    </row>
    <row r="160" spans="1:23" ht="45" customHeight="1">
      <c r="B160" s="3" t="str">
        <f>IFERROR(ROUND(INDEX('PROJETO PERFURAÇÃO'!$AB:$AB,MATCH(MEDIÇÃO!D160,'PROJETO PERFURAÇÃO'!$B:$B,0)),1)&amp;"''","")</f>
        <v>5''</v>
      </c>
      <c r="C160" s="3" t="str">
        <f>IFERROR(IF(INDEX('PROJETO PERFURAÇÃO'!$P:$P,MATCH(MEDIÇÃO!D160,'PROJETO PERFURAÇÃO'!$B:$B,0))="Production","P",IF(INDEX('PROJETO PERFURAÇÃO'!$P:$P,MATCH(MEDIÇÃO!D160,'PROJETO PERFURAÇÃO'!$B:$B,0))="Buffer","B",IF(INDEX('PROJETO PERFURAÇÃO'!$P:$P,MATCH(MEDIÇÃO!D160,'PROJETO PERFURAÇÃO'!$B:$B,0))="Pre-Splitting","S"))),"")</f>
        <v>P</v>
      </c>
      <c r="D160" s="14">
        <f>R151+1</f>
        <v>346</v>
      </c>
      <c r="E160" s="4" t="str">
        <f>IFERROR(INDEX('LEV R&amp;D'!$D:$D,MATCH(MEDIÇÃO!D160,'LEV R&amp;D'!$A:$A,0))-INDEX('PROJETO PERFURAÇÃO'!$AH:$AH,MATCH(MEDIÇÃO!D160,'PROJETO PERFURAÇÃO'!$B:$B,0)),"")</f>
        <v/>
      </c>
      <c r="F160" s="17">
        <f>IFERROR(INDEX('PROJETO PERFURAÇÃO'!$AN:$AN,MATCH(MEDIÇÃO!D160,'PROJETO PERFURAÇÃO'!$B:$B,0)),"")</f>
        <v>0</v>
      </c>
      <c r="G160" s="3"/>
      <c r="H160" s="3"/>
      <c r="I160" s="3" t="str">
        <f>IFERROR(ROUND(INDEX('PROJETO PERFURAÇÃO'!$AB:$AB,MATCH(MEDIÇÃO!K160,'PROJETO PERFURAÇÃO'!$B:$B,0)),1)&amp;"''","")</f>
        <v>5''</v>
      </c>
      <c r="J160" s="3" t="str">
        <f>IFERROR(IF(INDEX('PROJETO PERFURAÇÃO'!$P:$P,MATCH(MEDIÇÃO!K160,'PROJETO PERFURAÇÃO'!$B:$B,0))="Production","P",IF(INDEX('PROJETO PERFURAÇÃO'!$P:$P,MATCH(MEDIÇÃO!K160,'PROJETO PERFURAÇÃO'!$B:$B,0))="Buffer","B",IF(INDEX('PROJETO PERFURAÇÃO'!$P:$P,MATCH(MEDIÇÃO!K160,'PROJETO PERFURAÇÃO'!$B:$B,0))="Pre-Splitting","S"))),"")</f>
        <v>P</v>
      </c>
      <c r="K160" s="14">
        <f>D182+1</f>
        <v>369</v>
      </c>
      <c r="L160" s="4" t="str">
        <f>IFERROR(INDEX('LEV R&amp;D'!$D:$D,MATCH(MEDIÇÃO!K160,'LEV R&amp;D'!$A:$A,0))-INDEX('PROJETO PERFURAÇÃO'!$AH:$AH,MATCH(MEDIÇÃO!K160,'PROJETO PERFURAÇÃO'!$B:$B,0)),"")</f>
        <v/>
      </c>
      <c r="M160" s="17">
        <f>IFERROR(INDEX('PROJETO PERFURAÇÃO'!$AN:$AN,MATCH(MEDIÇÃO!K160,'PROJETO PERFURAÇÃO'!$B:$B,0)),"")</f>
        <v>0</v>
      </c>
      <c r="N160" s="3"/>
      <c r="O160" s="3"/>
      <c r="P160" s="3" t="str">
        <f>IFERROR(ROUND(INDEX('PROJETO PERFURAÇÃO'!$AB:$AB,MATCH(MEDIÇÃO!R160,'PROJETO PERFURAÇÃO'!$B:$B,0)),1)&amp;"''","")</f>
        <v>5''</v>
      </c>
      <c r="Q160" s="3" t="str">
        <f>IFERROR(IF(INDEX('PROJETO PERFURAÇÃO'!$P:$P,MATCH(MEDIÇÃO!R160,'PROJETO PERFURAÇÃO'!$B:$B,0))="Production","P",IF(INDEX('PROJETO PERFURAÇÃO'!$P:$P,MATCH(MEDIÇÃO!R160,'PROJETO PERFURAÇÃO'!$B:$B,0))="Buffer","B",IF(INDEX('PROJETO PERFURAÇÃO'!$P:$P,MATCH(MEDIÇÃO!R160,'PROJETO PERFURAÇÃO'!$B:$B,0))="Pre-Splitting","S"))),"")</f>
        <v>P</v>
      </c>
      <c r="R160" s="14">
        <f>K182+1</f>
        <v>392</v>
      </c>
      <c r="S160" s="4" t="str">
        <f>IFERROR(INDEX('LEV R&amp;D'!$D:$D,MATCH(MEDIÇÃO!R160,'LEV R&amp;D'!$A:$A,0))-INDEX('PROJETO PERFURAÇÃO'!$AH:$AH,MATCH(MEDIÇÃO!R160,'PROJETO PERFURAÇÃO'!$B:$B,0)),"")</f>
        <v/>
      </c>
      <c r="T160" s="17">
        <f>IFERROR(INDEX('PROJETO PERFURAÇÃO'!$AN:$AN,MATCH(MEDIÇÃO!R160,'PROJETO PERFURAÇÃO'!$B:$B,0)),"")</f>
        <v>0</v>
      </c>
      <c r="U160" s="3"/>
      <c r="V160" s="3"/>
    </row>
    <row r="161" spans="2:22" ht="45" customHeight="1">
      <c r="B161" s="3" t="str">
        <f>IFERROR(ROUND(INDEX('PROJETO PERFURAÇÃO'!$AB:$AB,MATCH(MEDIÇÃO!D161,'PROJETO PERFURAÇÃO'!$B:$B,0)),1)&amp;"''","")</f>
        <v>5''</v>
      </c>
      <c r="C161" s="3" t="str">
        <f>IFERROR(IF(INDEX('PROJETO PERFURAÇÃO'!$P:$P,MATCH(MEDIÇÃO!D161,'PROJETO PERFURAÇÃO'!$B:$B,0))="Production","P",IF(INDEX('PROJETO PERFURAÇÃO'!$P:$P,MATCH(MEDIÇÃO!D161,'PROJETO PERFURAÇÃO'!$B:$B,0))="Buffer","B",IF(INDEX('PROJETO PERFURAÇÃO'!$P:$P,MATCH(MEDIÇÃO!D161,'PROJETO PERFURAÇÃO'!$B:$B,0))="Pre-Splitting","S"))),"")</f>
        <v>P</v>
      </c>
      <c r="D161" s="14">
        <f>D160+1</f>
        <v>347</v>
      </c>
      <c r="E161" s="4" t="str">
        <f>IFERROR(INDEX('LEV R&amp;D'!$D:$D,MATCH(MEDIÇÃO!D161,'LEV R&amp;D'!$A:$A,0))-INDEX('PROJETO PERFURAÇÃO'!$AH:$AH,MATCH(MEDIÇÃO!D161,'PROJETO PERFURAÇÃO'!$B:$B,0)),"")</f>
        <v/>
      </c>
      <c r="F161" s="17">
        <f>IFERROR(INDEX('PROJETO PERFURAÇÃO'!$AN:$AN,MATCH(MEDIÇÃO!D161,'PROJETO PERFURAÇÃO'!$B:$B,0)),"")</f>
        <v>0</v>
      </c>
      <c r="G161" s="3"/>
      <c r="H161" s="3"/>
      <c r="I161" s="3" t="str">
        <f>IFERROR(ROUND(INDEX('PROJETO PERFURAÇÃO'!$AB:$AB,MATCH(MEDIÇÃO!K161,'PROJETO PERFURAÇÃO'!$B:$B,0)),1)&amp;"''","")</f>
        <v>5''</v>
      </c>
      <c r="J161" s="3" t="str">
        <f>IFERROR(IF(INDEX('PROJETO PERFURAÇÃO'!$P:$P,MATCH(MEDIÇÃO!K161,'PROJETO PERFURAÇÃO'!$B:$B,0))="Production","P",IF(INDEX('PROJETO PERFURAÇÃO'!$P:$P,MATCH(MEDIÇÃO!K161,'PROJETO PERFURAÇÃO'!$B:$B,0))="Buffer","B",IF(INDEX('PROJETO PERFURAÇÃO'!$P:$P,MATCH(MEDIÇÃO!K161,'PROJETO PERFURAÇÃO'!$B:$B,0))="Pre-Splitting","S"))),"")</f>
        <v>P</v>
      </c>
      <c r="K161" s="14">
        <f>K160+1</f>
        <v>370</v>
      </c>
      <c r="L161" s="4" t="str">
        <f>IFERROR(INDEX('LEV R&amp;D'!$D:$D,MATCH(MEDIÇÃO!K161,'LEV R&amp;D'!$A:$A,0))-INDEX('PROJETO PERFURAÇÃO'!$AH:$AH,MATCH(MEDIÇÃO!K161,'PROJETO PERFURAÇÃO'!$B:$B,0)),"")</f>
        <v/>
      </c>
      <c r="M161" s="17">
        <f>IFERROR(INDEX('PROJETO PERFURAÇÃO'!$AN:$AN,MATCH(MEDIÇÃO!K161,'PROJETO PERFURAÇÃO'!$B:$B,0)),"")</f>
        <v>0</v>
      </c>
      <c r="N161" s="3"/>
      <c r="O161" s="3"/>
      <c r="P161" s="3" t="str">
        <f>IFERROR(ROUND(INDEX('PROJETO PERFURAÇÃO'!$AB:$AB,MATCH(MEDIÇÃO!R161,'PROJETO PERFURAÇÃO'!$B:$B,0)),1)&amp;"''","")</f>
        <v>5''</v>
      </c>
      <c r="Q161" s="3" t="str">
        <f>IFERROR(IF(INDEX('PROJETO PERFURAÇÃO'!$P:$P,MATCH(MEDIÇÃO!R161,'PROJETO PERFURAÇÃO'!$B:$B,0))="Production","P",IF(INDEX('PROJETO PERFURAÇÃO'!$P:$P,MATCH(MEDIÇÃO!R161,'PROJETO PERFURAÇÃO'!$B:$B,0))="Buffer","B",IF(INDEX('PROJETO PERFURAÇÃO'!$P:$P,MATCH(MEDIÇÃO!R161,'PROJETO PERFURAÇÃO'!$B:$B,0))="Pre-Splitting","S"))),"")</f>
        <v>P</v>
      </c>
      <c r="R161" s="14">
        <f>R160+1</f>
        <v>393</v>
      </c>
      <c r="S161" s="4" t="str">
        <f>IFERROR(INDEX('LEV R&amp;D'!$D:$D,MATCH(MEDIÇÃO!R161,'LEV R&amp;D'!$A:$A,0))-INDEX('PROJETO PERFURAÇÃO'!$AH:$AH,MATCH(MEDIÇÃO!R161,'PROJETO PERFURAÇÃO'!$B:$B,0)),"")</f>
        <v/>
      </c>
      <c r="T161" s="17">
        <f>IFERROR(INDEX('PROJETO PERFURAÇÃO'!$AN:$AN,MATCH(MEDIÇÃO!R161,'PROJETO PERFURAÇÃO'!$B:$B,0)),"")</f>
        <v>0</v>
      </c>
      <c r="U161" s="3"/>
      <c r="V161" s="3"/>
    </row>
    <row r="162" spans="2:22" ht="45" customHeight="1">
      <c r="B162" s="3" t="str">
        <f>IFERROR(ROUND(INDEX('PROJETO PERFURAÇÃO'!$AB:$AB,MATCH(MEDIÇÃO!D162,'PROJETO PERFURAÇÃO'!$B:$B,0)),1)&amp;"''","")</f>
        <v>5''</v>
      </c>
      <c r="C162" s="3" t="str">
        <f>IFERROR(IF(INDEX('PROJETO PERFURAÇÃO'!$P:$P,MATCH(MEDIÇÃO!D162,'PROJETO PERFURAÇÃO'!$B:$B,0))="Production","P",IF(INDEX('PROJETO PERFURAÇÃO'!$P:$P,MATCH(MEDIÇÃO!D162,'PROJETO PERFURAÇÃO'!$B:$B,0))="Buffer","B",IF(INDEX('PROJETO PERFURAÇÃO'!$P:$P,MATCH(MEDIÇÃO!D162,'PROJETO PERFURAÇÃO'!$B:$B,0))="Pre-Splitting","S"))),"")</f>
        <v>P</v>
      </c>
      <c r="D162" s="14">
        <f t="shared" ref="D162:D182" si="15">D161+1</f>
        <v>348</v>
      </c>
      <c r="E162" s="4" t="str">
        <f>IFERROR(INDEX('LEV R&amp;D'!$D:$D,MATCH(MEDIÇÃO!D162,'LEV R&amp;D'!$A:$A,0))-INDEX('PROJETO PERFURAÇÃO'!$AH:$AH,MATCH(MEDIÇÃO!D162,'PROJETO PERFURAÇÃO'!$B:$B,0)),"")</f>
        <v/>
      </c>
      <c r="F162" s="17">
        <f>IFERROR(INDEX('PROJETO PERFURAÇÃO'!$AN:$AN,MATCH(MEDIÇÃO!D162,'PROJETO PERFURAÇÃO'!$B:$B,0)),"")</f>
        <v>0</v>
      </c>
      <c r="G162" s="3"/>
      <c r="H162" s="3"/>
      <c r="I162" s="3" t="str">
        <f>IFERROR(ROUND(INDEX('PROJETO PERFURAÇÃO'!$AB:$AB,MATCH(MEDIÇÃO!K162,'PROJETO PERFURAÇÃO'!$B:$B,0)),1)&amp;"''","")</f>
        <v>5''</v>
      </c>
      <c r="J162" s="3" t="str">
        <f>IFERROR(IF(INDEX('PROJETO PERFURAÇÃO'!$P:$P,MATCH(MEDIÇÃO!K162,'PROJETO PERFURAÇÃO'!$B:$B,0))="Production","P",IF(INDEX('PROJETO PERFURAÇÃO'!$P:$P,MATCH(MEDIÇÃO!K162,'PROJETO PERFURAÇÃO'!$B:$B,0))="Buffer","B",IF(INDEX('PROJETO PERFURAÇÃO'!$P:$P,MATCH(MEDIÇÃO!K162,'PROJETO PERFURAÇÃO'!$B:$B,0))="Pre-Splitting","S"))),"")</f>
        <v>P</v>
      </c>
      <c r="K162" s="14">
        <f t="shared" ref="K162:K182" si="16">K161+1</f>
        <v>371</v>
      </c>
      <c r="L162" s="4" t="str">
        <f>IFERROR(INDEX('LEV R&amp;D'!$D:$D,MATCH(MEDIÇÃO!K162,'LEV R&amp;D'!$A:$A,0))-INDEX('PROJETO PERFURAÇÃO'!$AH:$AH,MATCH(MEDIÇÃO!K162,'PROJETO PERFURAÇÃO'!$B:$B,0)),"")</f>
        <v/>
      </c>
      <c r="M162" s="17">
        <f>IFERROR(INDEX('PROJETO PERFURAÇÃO'!$AN:$AN,MATCH(MEDIÇÃO!K162,'PROJETO PERFURAÇÃO'!$B:$B,0)),"")</f>
        <v>0</v>
      </c>
      <c r="N162" s="3"/>
      <c r="O162" s="3"/>
      <c r="P162" s="3" t="str">
        <f>IFERROR(ROUND(INDEX('PROJETO PERFURAÇÃO'!$AB:$AB,MATCH(MEDIÇÃO!R162,'PROJETO PERFURAÇÃO'!$B:$B,0)),1)&amp;"''","")</f>
        <v>5''</v>
      </c>
      <c r="Q162" s="3" t="str">
        <f>IFERROR(IF(INDEX('PROJETO PERFURAÇÃO'!$P:$P,MATCH(MEDIÇÃO!R162,'PROJETO PERFURAÇÃO'!$B:$B,0))="Production","P",IF(INDEX('PROJETO PERFURAÇÃO'!$P:$P,MATCH(MEDIÇÃO!R162,'PROJETO PERFURAÇÃO'!$B:$B,0))="Buffer","B",IF(INDEX('PROJETO PERFURAÇÃO'!$P:$P,MATCH(MEDIÇÃO!R162,'PROJETO PERFURAÇÃO'!$B:$B,0))="Pre-Splitting","S"))),"")</f>
        <v>P</v>
      </c>
      <c r="R162" s="14">
        <f t="shared" ref="R162:R182" si="17">R161+1</f>
        <v>394</v>
      </c>
      <c r="S162" s="4" t="str">
        <f>IFERROR(INDEX('LEV R&amp;D'!$D:$D,MATCH(MEDIÇÃO!R162,'LEV R&amp;D'!$A:$A,0))-INDEX('PROJETO PERFURAÇÃO'!$AH:$AH,MATCH(MEDIÇÃO!R162,'PROJETO PERFURAÇÃO'!$B:$B,0)),"")</f>
        <v/>
      </c>
      <c r="T162" s="17">
        <f>IFERROR(INDEX('PROJETO PERFURAÇÃO'!$AN:$AN,MATCH(MEDIÇÃO!R162,'PROJETO PERFURAÇÃO'!$B:$B,0)),"")</f>
        <v>0</v>
      </c>
      <c r="U162" s="3"/>
      <c r="V162" s="3"/>
    </row>
    <row r="163" spans="2:22" ht="45" customHeight="1">
      <c r="B163" s="3" t="str">
        <f>IFERROR(ROUND(INDEX('PROJETO PERFURAÇÃO'!$AB:$AB,MATCH(MEDIÇÃO!D163,'PROJETO PERFURAÇÃO'!$B:$B,0)),1)&amp;"''","")</f>
        <v>5''</v>
      </c>
      <c r="C163" s="3" t="str">
        <f>IFERROR(IF(INDEX('PROJETO PERFURAÇÃO'!$P:$P,MATCH(MEDIÇÃO!D163,'PROJETO PERFURAÇÃO'!$B:$B,0))="Production","P",IF(INDEX('PROJETO PERFURAÇÃO'!$P:$P,MATCH(MEDIÇÃO!D163,'PROJETO PERFURAÇÃO'!$B:$B,0))="Buffer","B",IF(INDEX('PROJETO PERFURAÇÃO'!$P:$P,MATCH(MEDIÇÃO!D163,'PROJETO PERFURAÇÃO'!$B:$B,0))="Pre-Splitting","S"))),"")</f>
        <v>P</v>
      </c>
      <c r="D163" s="14">
        <f t="shared" si="15"/>
        <v>349</v>
      </c>
      <c r="E163" s="4" t="str">
        <f>IFERROR(INDEX('LEV R&amp;D'!$D:$D,MATCH(MEDIÇÃO!D163,'LEV R&amp;D'!$A:$A,0))-INDEX('PROJETO PERFURAÇÃO'!$AH:$AH,MATCH(MEDIÇÃO!D163,'PROJETO PERFURAÇÃO'!$B:$B,0)),"")</f>
        <v/>
      </c>
      <c r="F163" s="17">
        <f>IFERROR(INDEX('PROJETO PERFURAÇÃO'!$AN:$AN,MATCH(MEDIÇÃO!D163,'PROJETO PERFURAÇÃO'!$B:$B,0)),"")</f>
        <v>0</v>
      </c>
      <c r="G163" s="3"/>
      <c r="H163" s="3"/>
      <c r="I163" s="3" t="str">
        <f>IFERROR(ROUND(INDEX('PROJETO PERFURAÇÃO'!$AB:$AB,MATCH(MEDIÇÃO!K163,'PROJETO PERFURAÇÃO'!$B:$B,0)),1)&amp;"''","")</f>
        <v>5''</v>
      </c>
      <c r="J163" s="3" t="str">
        <f>IFERROR(IF(INDEX('PROJETO PERFURAÇÃO'!$P:$P,MATCH(MEDIÇÃO!K163,'PROJETO PERFURAÇÃO'!$B:$B,0))="Production","P",IF(INDEX('PROJETO PERFURAÇÃO'!$P:$P,MATCH(MEDIÇÃO!K163,'PROJETO PERFURAÇÃO'!$B:$B,0))="Buffer","B",IF(INDEX('PROJETO PERFURAÇÃO'!$P:$P,MATCH(MEDIÇÃO!K163,'PROJETO PERFURAÇÃO'!$B:$B,0))="Pre-Splitting","S"))),"")</f>
        <v>P</v>
      </c>
      <c r="K163" s="14">
        <f t="shared" si="16"/>
        <v>372</v>
      </c>
      <c r="L163" s="4" t="str">
        <f>IFERROR(INDEX('LEV R&amp;D'!$D:$D,MATCH(MEDIÇÃO!K163,'LEV R&amp;D'!$A:$A,0))-INDEX('PROJETO PERFURAÇÃO'!$AH:$AH,MATCH(MEDIÇÃO!K163,'PROJETO PERFURAÇÃO'!$B:$B,0)),"")</f>
        <v/>
      </c>
      <c r="M163" s="17">
        <f>IFERROR(INDEX('PROJETO PERFURAÇÃO'!$AN:$AN,MATCH(MEDIÇÃO!K163,'PROJETO PERFURAÇÃO'!$B:$B,0)),"")</f>
        <v>0</v>
      </c>
      <c r="N163" s="3"/>
      <c r="O163" s="3"/>
      <c r="P163" s="3" t="str">
        <f>IFERROR(ROUND(INDEX('PROJETO PERFURAÇÃO'!$AB:$AB,MATCH(MEDIÇÃO!R163,'PROJETO PERFURAÇÃO'!$B:$B,0)),1)&amp;"''","")</f>
        <v>5''</v>
      </c>
      <c r="Q163" s="3" t="str">
        <f>IFERROR(IF(INDEX('PROJETO PERFURAÇÃO'!$P:$P,MATCH(MEDIÇÃO!R163,'PROJETO PERFURAÇÃO'!$B:$B,0))="Production","P",IF(INDEX('PROJETO PERFURAÇÃO'!$P:$P,MATCH(MEDIÇÃO!R163,'PROJETO PERFURAÇÃO'!$B:$B,0))="Buffer","B",IF(INDEX('PROJETO PERFURAÇÃO'!$P:$P,MATCH(MEDIÇÃO!R163,'PROJETO PERFURAÇÃO'!$B:$B,0))="Pre-Splitting","S"))),"")</f>
        <v>P</v>
      </c>
      <c r="R163" s="14">
        <f t="shared" si="17"/>
        <v>395</v>
      </c>
      <c r="S163" s="4" t="str">
        <f>IFERROR(INDEX('LEV R&amp;D'!$D:$D,MATCH(MEDIÇÃO!R163,'LEV R&amp;D'!$A:$A,0))-INDEX('PROJETO PERFURAÇÃO'!$AH:$AH,MATCH(MEDIÇÃO!R163,'PROJETO PERFURAÇÃO'!$B:$B,0)),"")</f>
        <v/>
      </c>
      <c r="T163" s="17">
        <f>IFERROR(INDEX('PROJETO PERFURAÇÃO'!$AN:$AN,MATCH(MEDIÇÃO!R163,'PROJETO PERFURAÇÃO'!$B:$B,0)),"")</f>
        <v>0</v>
      </c>
      <c r="U163" s="3"/>
      <c r="V163" s="3"/>
    </row>
    <row r="164" spans="2:22" ht="45" customHeight="1">
      <c r="B164" s="3" t="str">
        <f>IFERROR(ROUND(INDEX('PROJETO PERFURAÇÃO'!$AB:$AB,MATCH(MEDIÇÃO!D164,'PROJETO PERFURAÇÃO'!$B:$B,0)),1)&amp;"''","")</f>
        <v>5''</v>
      </c>
      <c r="C164" s="3" t="str">
        <f>IFERROR(IF(INDEX('PROJETO PERFURAÇÃO'!$P:$P,MATCH(MEDIÇÃO!D164,'PROJETO PERFURAÇÃO'!$B:$B,0))="Production","P",IF(INDEX('PROJETO PERFURAÇÃO'!$P:$P,MATCH(MEDIÇÃO!D164,'PROJETO PERFURAÇÃO'!$B:$B,0))="Buffer","B",IF(INDEX('PROJETO PERFURAÇÃO'!$P:$P,MATCH(MEDIÇÃO!D164,'PROJETO PERFURAÇÃO'!$B:$B,0))="Pre-Splitting","S"))),"")</f>
        <v>P</v>
      </c>
      <c r="D164" s="14">
        <f t="shared" si="15"/>
        <v>350</v>
      </c>
      <c r="E164" s="4" t="str">
        <f>IFERROR(INDEX('LEV R&amp;D'!$D:$D,MATCH(MEDIÇÃO!D164,'LEV R&amp;D'!$A:$A,0))-INDEX('PROJETO PERFURAÇÃO'!$AH:$AH,MATCH(MEDIÇÃO!D164,'PROJETO PERFURAÇÃO'!$B:$B,0)),"")</f>
        <v/>
      </c>
      <c r="F164" s="17">
        <f>IFERROR(INDEX('PROJETO PERFURAÇÃO'!$AN:$AN,MATCH(MEDIÇÃO!D164,'PROJETO PERFURAÇÃO'!$B:$B,0)),"")</f>
        <v>0</v>
      </c>
      <c r="G164" s="3"/>
      <c r="H164" s="3"/>
      <c r="I164" s="3" t="str">
        <f>IFERROR(ROUND(INDEX('PROJETO PERFURAÇÃO'!$AB:$AB,MATCH(MEDIÇÃO!K164,'PROJETO PERFURAÇÃO'!$B:$B,0)),1)&amp;"''","")</f>
        <v>5''</v>
      </c>
      <c r="J164" s="3" t="str">
        <f>IFERROR(IF(INDEX('PROJETO PERFURAÇÃO'!$P:$P,MATCH(MEDIÇÃO!K164,'PROJETO PERFURAÇÃO'!$B:$B,0))="Production","P",IF(INDEX('PROJETO PERFURAÇÃO'!$P:$P,MATCH(MEDIÇÃO!K164,'PROJETO PERFURAÇÃO'!$B:$B,0))="Buffer","B",IF(INDEX('PROJETO PERFURAÇÃO'!$P:$P,MATCH(MEDIÇÃO!K164,'PROJETO PERFURAÇÃO'!$B:$B,0))="Pre-Splitting","S"))),"")</f>
        <v>P</v>
      </c>
      <c r="K164" s="14">
        <f t="shared" si="16"/>
        <v>373</v>
      </c>
      <c r="L164" s="4" t="str">
        <f>IFERROR(INDEX('LEV R&amp;D'!$D:$D,MATCH(MEDIÇÃO!K164,'LEV R&amp;D'!$A:$A,0))-INDEX('PROJETO PERFURAÇÃO'!$AH:$AH,MATCH(MEDIÇÃO!K164,'PROJETO PERFURAÇÃO'!$B:$B,0)),"")</f>
        <v/>
      </c>
      <c r="M164" s="17">
        <f>IFERROR(INDEX('PROJETO PERFURAÇÃO'!$AN:$AN,MATCH(MEDIÇÃO!K164,'PROJETO PERFURAÇÃO'!$B:$B,0)),"")</f>
        <v>0</v>
      </c>
      <c r="N164" s="3"/>
      <c r="O164" s="3"/>
      <c r="P164" s="3" t="str">
        <f>IFERROR(ROUND(INDEX('PROJETO PERFURAÇÃO'!$AB:$AB,MATCH(MEDIÇÃO!R164,'PROJETO PERFURAÇÃO'!$B:$B,0)),1)&amp;"''","")</f>
        <v>5''</v>
      </c>
      <c r="Q164" s="3" t="str">
        <f>IFERROR(IF(INDEX('PROJETO PERFURAÇÃO'!$P:$P,MATCH(MEDIÇÃO!R164,'PROJETO PERFURAÇÃO'!$B:$B,0))="Production","P",IF(INDEX('PROJETO PERFURAÇÃO'!$P:$P,MATCH(MEDIÇÃO!R164,'PROJETO PERFURAÇÃO'!$B:$B,0))="Buffer","B",IF(INDEX('PROJETO PERFURAÇÃO'!$P:$P,MATCH(MEDIÇÃO!R164,'PROJETO PERFURAÇÃO'!$B:$B,0))="Pre-Splitting","S"))),"")</f>
        <v>P</v>
      </c>
      <c r="R164" s="14">
        <f t="shared" si="17"/>
        <v>396</v>
      </c>
      <c r="S164" s="4" t="str">
        <f>IFERROR(INDEX('LEV R&amp;D'!$D:$D,MATCH(MEDIÇÃO!R164,'LEV R&amp;D'!$A:$A,0))-INDEX('PROJETO PERFURAÇÃO'!$AH:$AH,MATCH(MEDIÇÃO!R164,'PROJETO PERFURAÇÃO'!$B:$B,0)),"")</f>
        <v/>
      </c>
      <c r="T164" s="17">
        <f>IFERROR(INDEX('PROJETO PERFURAÇÃO'!$AN:$AN,MATCH(MEDIÇÃO!R164,'PROJETO PERFURAÇÃO'!$B:$B,0)),"")</f>
        <v>0</v>
      </c>
      <c r="U164" s="3"/>
      <c r="V164" s="3"/>
    </row>
    <row r="165" spans="2:22" ht="45" customHeight="1">
      <c r="B165" s="3" t="str">
        <f>IFERROR(ROUND(INDEX('PROJETO PERFURAÇÃO'!$AB:$AB,MATCH(MEDIÇÃO!D165,'PROJETO PERFURAÇÃO'!$B:$B,0)),1)&amp;"''","")</f>
        <v>5''</v>
      </c>
      <c r="C165" s="3" t="str">
        <f>IFERROR(IF(INDEX('PROJETO PERFURAÇÃO'!$P:$P,MATCH(MEDIÇÃO!D165,'PROJETO PERFURAÇÃO'!$B:$B,0))="Production","P",IF(INDEX('PROJETO PERFURAÇÃO'!$P:$P,MATCH(MEDIÇÃO!D165,'PROJETO PERFURAÇÃO'!$B:$B,0))="Buffer","B",IF(INDEX('PROJETO PERFURAÇÃO'!$P:$P,MATCH(MEDIÇÃO!D165,'PROJETO PERFURAÇÃO'!$B:$B,0))="Pre-Splitting","S"))),"")</f>
        <v>P</v>
      </c>
      <c r="D165" s="14">
        <f t="shared" si="15"/>
        <v>351</v>
      </c>
      <c r="E165" s="4" t="str">
        <f>IFERROR(INDEX('LEV R&amp;D'!$D:$D,MATCH(MEDIÇÃO!D165,'LEV R&amp;D'!$A:$A,0))-INDEX('PROJETO PERFURAÇÃO'!$AH:$AH,MATCH(MEDIÇÃO!D165,'PROJETO PERFURAÇÃO'!$B:$B,0)),"")</f>
        <v/>
      </c>
      <c r="F165" s="17">
        <f>IFERROR(INDEX('PROJETO PERFURAÇÃO'!$AN:$AN,MATCH(MEDIÇÃO!D165,'PROJETO PERFURAÇÃO'!$B:$B,0)),"")</f>
        <v>0</v>
      </c>
      <c r="G165" s="3"/>
      <c r="H165" s="3"/>
      <c r="I165" s="3" t="str">
        <f>IFERROR(ROUND(INDEX('PROJETO PERFURAÇÃO'!$AB:$AB,MATCH(MEDIÇÃO!K165,'PROJETO PERFURAÇÃO'!$B:$B,0)),1)&amp;"''","")</f>
        <v>5''</v>
      </c>
      <c r="J165" s="3" t="str">
        <f>IFERROR(IF(INDEX('PROJETO PERFURAÇÃO'!$P:$P,MATCH(MEDIÇÃO!K165,'PROJETO PERFURAÇÃO'!$B:$B,0))="Production","P",IF(INDEX('PROJETO PERFURAÇÃO'!$P:$P,MATCH(MEDIÇÃO!K165,'PROJETO PERFURAÇÃO'!$B:$B,0))="Buffer","B",IF(INDEX('PROJETO PERFURAÇÃO'!$P:$P,MATCH(MEDIÇÃO!K165,'PROJETO PERFURAÇÃO'!$B:$B,0))="Pre-Splitting","S"))),"")</f>
        <v>P</v>
      </c>
      <c r="K165" s="14">
        <f t="shared" si="16"/>
        <v>374</v>
      </c>
      <c r="L165" s="4" t="str">
        <f>IFERROR(INDEX('LEV R&amp;D'!$D:$D,MATCH(MEDIÇÃO!K165,'LEV R&amp;D'!$A:$A,0))-INDEX('PROJETO PERFURAÇÃO'!$AH:$AH,MATCH(MEDIÇÃO!K165,'PROJETO PERFURAÇÃO'!$B:$B,0)),"")</f>
        <v/>
      </c>
      <c r="M165" s="17">
        <f>IFERROR(INDEX('PROJETO PERFURAÇÃO'!$AN:$AN,MATCH(MEDIÇÃO!K165,'PROJETO PERFURAÇÃO'!$B:$B,0)),"")</f>
        <v>0</v>
      </c>
      <c r="N165" s="3"/>
      <c r="O165" s="3"/>
      <c r="P165" s="3" t="str">
        <f>IFERROR(ROUND(INDEX('PROJETO PERFURAÇÃO'!$AB:$AB,MATCH(MEDIÇÃO!R165,'PROJETO PERFURAÇÃO'!$B:$B,0)),1)&amp;"''","")</f>
        <v>5''</v>
      </c>
      <c r="Q165" s="3" t="str">
        <f>IFERROR(IF(INDEX('PROJETO PERFURAÇÃO'!$P:$P,MATCH(MEDIÇÃO!R165,'PROJETO PERFURAÇÃO'!$B:$B,0))="Production","P",IF(INDEX('PROJETO PERFURAÇÃO'!$P:$P,MATCH(MEDIÇÃO!R165,'PROJETO PERFURAÇÃO'!$B:$B,0))="Buffer","B",IF(INDEX('PROJETO PERFURAÇÃO'!$P:$P,MATCH(MEDIÇÃO!R165,'PROJETO PERFURAÇÃO'!$B:$B,0))="Pre-Splitting","S"))),"")</f>
        <v>P</v>
      </c>
      <c r="R165" s="14">
        <f t="shared" si="17"/>
        <v>397</v>
      </c>
      <c r="S165" s="4" t="str">
        <f>IFERROR(INDEX('LEV R&amp;D'!$D:$D,MATCH(MEDIÇÃO!R165,'LEV R&amp;D'!$A:$A,0))-INDEX('PROJETO PERFURAÇÃO'!$AH:$AH,MATCH(MEDIÇÃO!R165,'PROJETO PERFURAÇÃO'!$B:$B,0)),"")</f>
        <v/>
      </c>
      <c r="T165" s="17">
        <f>IFERROR(INDEX('PROJETO PERFURAÇÃO'!$AN:$AN,MATCH(MEDIÇÃO!R165,'PROJETO PERFURAÇÃO'!$B:$B,0)),"")</f>
        <v>0</v>
      </c>
      <c r="U165" s="3"/>
      <c r="V165" s="3"/>
    </row>
    <row r="166" spans="2:22" ht="45" customHeight="1">
      <c r="B166" s="3" t="str">
        <f>IFERROR(ROUND(INDEX('PROJETO PERFURAÇÃO'!$AB:$AB,MATCH(MEDIÇÃO!D166,'PROJETO PERFURAÇÃO'!$B:$B,0)),1)&amp;"''","")</f>
        <v>5''</v>
      </c>
      <c r="C166" s="3" t="str">
        <f>IFERROR(IF(INDEX('PROJETO PERFURAÇÃO'!$P:$P,MATCH(MEDIÇÃO!D166,'PROJETO PERFURAÇÃO'!$B:$B,0))="Production","P",IF(INDEX('PROJETO PERFURAÇÃO'!$P:$P,MATCH(MEDIÇÃO!D166,'PROJETO PERFURAÇÃO'!$B:$B,0))="Buffer","B",IF(INDEX('PROJETO PERFURAÇÃO'!$P:$P,MATCH(MEDIÇÃO!D166,'PROJETO PERFURAÇÃO'!$B:$B,0))="Pre-Splitting","S"))),"")</f>
        <v>P</v>
      </c>
      <c r="D166" s="14">
        <f t="shared" si="15"/>
        <v>352</v>
      </c>
      <c r="E166" s="4" t="str">
        <f>IFERROR(INDEX('LEV R&amp;D'!$D:$D,MATCH(MEDIÇÃO!D166,'LEV R&amp;D'!$A:$A,0))-INDEX('PROJETO PERFURAÇÃO'!$AH:$AH,MATCH(MEDIÇÃO!D166,'PROJETO PERFURAÇÃO'!$B:$B,0)),"")</f>
        <v/>
      </c>
      <c r="F166" s="17">
        <f>IFERROR(INDEX('PROJETO PERFURAÇÃO'!$AN:$AN,MATCH(MEDIÇÃO!D166,'PROJETO PERFURAÇÃO'!$B:$B,0)),"")</f>
        <v>0</v>
      </c>
      <c r="G166" s="3"/>
      <c r="H166" s="3"/>
      <c r="I166" s="3" t="str">
        <f>IFERROR(ROUND(INDEX('PROJETO PERFURAÇÃO'!$AB:$AB,MATCH(MEDIÇÃO!K166,'PROJETO PERFURAÇÃO'!$B:$B,0)),1)&amp;"''","")</f>
        <v>5''</v>
      </c>
      <c r="J166" s="3" t="str">
        <f>IFERROR(IF(INDEX('PROJETO PERFURAÇÃO'!$P:$P,MATCH(MEDIÇÃO!K166,'PROJETO PERFURAÇÃO'!$B:$B,0))="Production","P",IF(INDEX('PROJETO PERFURAÇÃO'!$P:$P,MATCH(MEDIÇÃO!K166,'PROJETO PERFURAÇÃO'!$B:$B,0))="Buffer","B",IF(INDEX('PROJETO PERFURAÇÃO'!$P:$P,MATCH(MEDIÇÃO!K166,'PROJETO PERFURAÇÃO'!$B:$B,0))="Pre-Splitting","S"))),"")</f>
        <v>P</v>
      </c>
      <c r="K166" s="14">
        <f t="shared" si="16"/>
        <v>375</v>
      </c>
      <c r="L166" s="4" t="str">
        <f>IFERROR(INDEX('LEV R&amp;D'!$D:$D,MATCH(MEDIÇÃO!K166,'LEV R&amp;D'!$A:$A,0))-INDEX('PROJETO PERFURAÇÃO'!$AH:$AH,MATCH(MEDIÇÃO!K166,'PROJETO PERFURAÇÃO'!$B:$B,0)),"")</f>
        <v/>
      </c>
      <c r="M166" s="17">
        <f>IFERROR(INDEX('PROJETO PERFURAÇÃO'!$AN:$AN,MATCH(MEDIÇÃO!K166,'PROJETO PERFURAÇÃO'!$B:$B,0)),"")</f>
        <v>0</v>
      </c>
      <c r="N166" s="3"/>
      <c r="O166" s="3"/>
      <c r="P166" s="3" t="str">
        <f>IFERROR(ROUND(INDEX('PROJETO PERFURAÇÃO'!$AB:$AB,MATCH(MEDIÇÃO!R166,'PROJETO PERFURAÇÃO'!$B:$B,0)),1)&amp;"''","")</f>
        <v>5''</v>
      </c>
      <c r="Q166" s="3" t="str">
        <f>IFERROR(IF(INDEX('PROJETO PERFURAÇÃO'!$P:$P,MATCH(MEDIÇÃO!R166,'PROJETO PERFURAÇÃO'!$B:$B,0))="Production","P",IF(INDEX('PROJETO PERFURAÇÃO'!$P:$P,MATCH(MEDIÇÃO!R166,'PROJETO PERFURAÇÃO'!$B:$B,0))="Buffer","B",IF(INDEX('PROJETO PERFURAÇÃO'!$P:$P,MATCH(MEDIÇÃO!R166,'PROJETO PERFURAÇÃO'!$B:$B,0))="Pre-Splitting","S"))),"")</f>
        <v>P</v>
      </c>
      <c r="R166" s="14">
        <f t="shared" si="17"/>
        <v>398</v>
      </c>
      <c r="S166" s="4" t="str">
        <f>IFERROR(INDEX('LEV R&amp;D'!$D:$D,MATCH(MEDIÇÃO!R166,'LEV R&amp;D'!$A:$A,0))-INDEX('PROJETO PERFURAÇÃO'!$AH:$AH,MATCH(MEDIÇÃO!R166,'PROJETO PERFURAÇÃO'!$B:$B,0)),"")</f>
        <v/>
      </c>
      <c r="T166" s="17">
        <f>IFERROR(INDEX('PROJETO PERFURAÇÃO'!$AN:$AN,MATCH(MEDIÇÃO!R166,'PROJETO PERFURAÇÃO'!$B:$B,0)),"")</f>
        <v>0</v>
      </c>
      <c r="U166" s="3"/>
      <c r="V166" s="3"/>
    </row>
    <row r="167" spans="2:22" ht="45" customHeight="1">
      <c r="B167" s="3" t="str">
        <f>IFERROR(ROUND(INDEX('PROJETO PERFURAÇÃO'!$AB:$AB,MATCH(MEDIÇÃO!D167,'PROJETO PERFURAÇÃO'!$B:$B,0)),1)&amp;"''","")</f>
        <v>5''</v>
      </c>
      <c r="C167" s="3" t="str">
        <f>IFERROR(IF(INDEX('PROJETO PERFURAÇÃO'!$P:$P,MATCH(MEDIÇÃO!D167,'PROJETO PERFURAÇÃO'!$B:$B,0))="Production","P",IF(INDEX('PROJETO PERFURAÇÃO'!$P:$P,MATCH(MEDIÇÃO!D167,'PROJETO PERFURAÇÃO'!$B:$B,0))="Buffer","B",IF(INDEX('PROJETO PERFURAÇÃO'!$P:$P,MATCH(MEDIÇÃO!D167,'PROJETO PERFURAÇÃO'!$B:$B,0))="Pre-Splitting","S"))),"")</f>
        <v>P</v>
      </c>
      <c r="D167" s="14">
        <f t="shared" si="15"/>
        <v>353</v>
      </c>
      <c r="E167" s="4" t="str">
        <f>IFERROR(INDEX('LEV R&amp;D'!$D:$D,MATCH(MEDIÇÃO!D167,'LEV R&amp;D'!$A:$A,0))-INDEX('PROJETO PERFURAÇÃO'!$AH:$AH,MATCH(MEDIÇÃO!D167,'PROJETO PERFURAÇÃO'!$B:$B,0)),"")</f>
        <v/>
      </c>
      <c r="F167" s="17">
        <f>IFERROR(INDEX('PROJETO PERFURAÇÃO'!$AN:$AN,MATCH(MEDIÇÃO!D167,'PROJETO PERFURAÇÃO'!$B:$B,0)),"")</f>
        <v>0</v>
      </c>
      <c r="G167" s="3"/>
      <c r="H167" s="3"/>
      <c r="I167" s="3" t="str">
        <f>IFERROR(ROUND(INDEX('PROJETO PERFURAÇÃO'!$AB:$AB,MATCH(MEDIÇÃO!K167,'PROJETO PERFURAÇÃO'!$B:$B,0)),1)&amp;"''","")</f>
        <v>5''</v>
      </c>
      <c r="J167" s="3" t="str">
        <f>IFERROR(IF(INDEX('PROJETO PERFURAÇÃO'!$P:$P,MATCH(MEDIÇÃO!K167,'PROJETO PERFURAÇÃO'!$B:$B,0))="Production","P",IF(INDEX('PROJETO PERFURAÇÃO'!$P:$P,MATCH(MEDIÇÃO!K167,'PROJETO PERFURAÇÃO'!$B:$B,0))="Buffer","B",IF(INDEX('PROJETO PERFURAÇÃO'!$P:$P,MATCH(MEDIÇÃO!K167,'PROJETO PERFURAÇÃO'!$B:$B,0))="Pre-Splitting","S"))),"")</f>
        <v>P</v>
      </c>
      <c r="K167" s="14">
        <f t="shared" si="16"/>
        <v>376</v>
      </c>
      <c r="L167" s="4" t="str">
        <f>IFERROR(INDEX('LEV R&amp;D'!$D:$D,MATCH(MEDIÇÃO!K167,'LEV R&amp;D'!$A:$A,0))-INDEX('PROJETO PERFURAÇÃO'!$AH:$AH,MATCH(MEDIÇÃO!K167,'PROJETO PERFURAÇÃO'!$B:$B,0)),"")</f>
        <v/>
      </c>
      <c r="M167" s="17">
        <f>IFERROR(INDEX('PROJETO PERFURAÇÃO'!$AN:$AN,MATCH(MEDIÇÃO!K167,'PROJETO PERFURAÇÃO'!$B:$B,0)),"")</f>
        <v>0</v>
      </c>
      <c r="N167" s="3"/>
      <c r="O167" s="3"/>
      <c r="P167" s="3" t="str">
        <f>IFERROR(ROUND(INDEX('PROJETO PERFURAÇÃO'!$AB:$AB,MATCH(MEDIÇÃO!R167,'PROJETO PERFURAÇÃO'!$B:$B,0)),1)&amp;"''","")</f>
        <v>5''</v>
      </c>
      <c r="Q167" s="3" t="str">
        <f>IFERROR(IF(INDEX('PROJETO PERFURAÇÃO'!$P:$P,MATCH(MEDIÇÃO!R167,'PROJETO PERFURAÇÃO'!$B:$B,0))="Production","P",IF(INDEX('PROJETO PERFURAÇÃO'!$P:$P,MATCH(MEDIÇÃO!R167,'PROJETO PERFURAÇÃO'!$B:$B,0))="Buffer","B",IF(INDEX('PROJETO PERFURAÇÃO'!$P:$P,MATCH(MEDIÇÃO!R167,'PROJETO PERFURAÇÃO'!$B:$B,0))="Pre-Splitting","S"))),"")</f>
        <v>P</v>
      </c>
      <c r="R167" s="14">
        <f t="shared" si="17"/>
        <v>399</v>
      </c>
      <c r="S167" s="4" t="str">
        <f>IFERROR(INDEX('LEV R&amp;D'!$D:$D,MATCH(MEDIÇÃO!R167,'LEV R&amp;D'!$A:$A,0))-INDEX('PROJETO PERFURAÇÃO'!$AH:$AH,MATCH(MEDIÇÃO!R167,'PROJETO PERFURAÇÃO'!$B:$B,0)),"")</f>
        <v/>
      </c>
      <c r="T167" s="17">
        <f>IFERROR(INDEX('PROJETO PERFURAÇÃO'!$AN:$AN,MATCH(MEDIÇÃO!R167,'PROJETO PERFURAÇÃO'!$B:$B,0)),"")</f>
        <v>0</v>
      </c>
      <c r="U167" s="3"/>
      <c r="V167" s="3"/>
    </row>
    <row r="168" spans="2:22" ht="45" customHeight="1">
      <c r="B168" s="3" t="str">
        <f>IFERROR(ROUND(INDEX('PROJETO PERFURAÇÃO'!$AB:$AB,MATCH(MEDIÇÃO!D168,'PROJETO PERFURAÇÃO'!$B:$B,0)),1)&amp;"''","")</f>
        <v>5''</v>
      </c>
      <c r="C168" s="3" t="str">
        <f>IFERROR(IF(INDEX('PROJETO PERFURAÇÃO'!$P:$P,MATCH(MEDIÇÃO!D168,'PROJETO PERFURAÇÃO'!$B:$B,0))="Production","P",IF(INDEX('PROJETO PERFURAÇÃO'!$P:$P,MATCH(MEDIÇÃO!D168,'PROJETO PERFURAÇÃO'!$B:$B,0))="Buffer","B",IF(INDEX('PROJETO PERFURAÇÃO'!$P:$P,MATCH(MEDIÇÃO!D168,'PROJETO PERFURAÇÃO'!$B:$B,0))="Pre-Splitting","S"))),"")</f>
        <v>P</v>
      </c>
      <c r="D168" s="14">
        <f t="shared" si="15"/>
        <v>354</v>
      </c>
      <c r="E168" s="4" t="str">
        <f>IFERROR(INDEX('LEV R&amp;D'!$D:$D,MATCH(MEDIÇÃO!D168,'LEV R&amp;D'!$A:$A,0))-INDEX('PROJETO PERFURAÇÃO'!$AH:$AH,MATCH(MEDIÇÃO!D168,'PROJETO PERFURAÇÃO'!$B:$B,0)),"")</f>
        <v/>
      </c>
      <c r="F168" s="17">
        <f>IFERROR(INDEX('PROJETO PERFURAÇÃO'!$AN:$AN,MATCH(MEDIÇÃO!D168,'PROJETO PERFURAÇÃO'!$B:$B,0)),"")</f>
        <v>0</v>
      </c>
      <c r="G168" s="3"/>
      <c r="H168" s="3"/>
      <c r="I168" s="3" t="str">
        <f>IFERROR(ROUND(INDEX('PROJETO PERFURAÇÃO'!$AB:$AB,MATCH(MEDIÇÃO!K168,'PROJETO PERFURAÇÃO'!$B:$B,0)),1)&amp;"''","")</f>
        <v>5''</v>
      </c>
      <c r="J168" s="3" t="str">
        <f>IFERROR(IF(INDEX('PROJETO PERFURAÇÃO'!$P:$P,MATCH(MEDIÇÃO!K168,'PROJETO PERFURAÇÃO'!$B:$B,0))="Production","P",IF(INDEX('PROJETO PERFURAÇÃO'!$P:$P,MATCH(MEDIÇÃO!K168,'PROJETO PERFURAÇÃO'!$B:$B,0))="Buffer","B",IF(INDEX('PROJETO PERFURAÇÃO'!$P:$P,MATCH(MEDIÇÃO!K168,'PROJETO PERFURAÇÃO'!$B:$B,0))="Pre-Splitting","S"))),"")</f>
        <v>P</v>
      </c>
      <c r="K168" s="14">
        <f t="shared" si="16"/>
        <v>377</v>
      </c>
      <c r="L168" s="4" t="str">
        <f>IFERROR(INDEX('LEV R&amp;D'!$D:$D,MATCH(MEDIÇÃO!K168,'LEV R&amp;D'!$A:$A,0))-INDEX('PROJETO PERFURAÇÃO'!$AH:$AH,MATCH(MEDIÇÃO!K168,'PROJETO PERFURAÇÃO'!$B:$B,0)),"")</f>
        <v/>
      </c>
      <c r="M168" s="17">
        <f>IFERROR(INDEX('PROJETO PERFURAÇÃO'!$AN:$AN,MATCH(MEDIÇÃO!K168,'PROJETO PERFURAÇÃO'!$B:$B,0)),"")</f>
        <v>0</v>
      </c>
      <c r="N168" s="3"/>
      <c r="O168" s="3"/>
      <c r="P168" s="3" t="str">
        <f>IFERROR(ROUND(INDEX('PROJETO PERFURAÇÃO'!$AB:$AB,MATCH(MEDIÇÃO!R168,'PROJETO PERFURAÇÃO'!$B:$B,0)),1)&amp;"''","")</f>
        <v>5''</v>
      </c>
      <c r="Q168" s="3" t="str">
        <f>IFERROR(IF(INDEX('PROJETO PERFURAÇÃO'!$P:$P,MATCH(MEDIÇÃO!R168,'PROJETO PERFURAÇÃO'!$B:$B,0))="Production","P",IF(INDEX('PROJETO PERFURAÇÃO'!$P:$P,MATCH(MEDIÇÃO!R168,'PROJETO PERFURAÇÃO'!$B:$B,0))="Buffer","B",IF(INDEX('PROJETO PERFURAÇÃO'!$P:$P,MATCH(MEDIÇÃO!R168,'PROJETO PERFURAÇÃO'!$B:$B,0))="Pre-Splitting","S"))),"")</f>
        <v>P</v>
      </c>
      <c r="R168" s="14">
        <f t="shared" si="17"/>
        <v>400</v>
      </c>
      <c r="S168" s="4" t="str">
        <f>IFERROR(INDEX('LEV R&amp;D'!$D:$D,MATCH(MEDIÇÃO!R168,'LEV R&amp;D'!$A:$A,0))-INDEX('PROJETO PERFURAÇÃO'!$AH:$AH,MATCH(MEDIÇÃO!R168,'PROJETO PERFURAÇÃO'!$B:$B,0)),"")</f>
        <v/>
      </c>
      <c r="T168" s="17">
        <f>IFERROR(INDEX('PROJETO PERFURAÇÃO'!$AN:$AN,MATCH(MEDIÇÃO!R168,'PROJETO PERFURAÇÃO'!$B:$B,0)),"")</f>
        <v>0</v>
      </c>
      <c r="U168" s="3"/>
      <c r="V168" s="3"/>
    </row>
    <row r="169" spans="2:22" ht="45" customHeight="1">
      <c r="B169" s="3" t="str">
        <f>IFERROR(ROUND(INDEX('PROJETO PERFURAÇÃO'!$AB:$AB,MATCH(MEDIÇÃO!D169,'PROJETO PERFURAÇÃO'!$B:$B,0)),1)&amp;"''","")</f>
        <v>5''</v>
      </c>
      <c r="C169" s="3" t="str">
        <f>IFERROR(IF(INDEX('PROJETO PERFURAÇÃO'!$P:$P,MATCH(MEDIÇÃO!D169,'PROJETO PERFURAÇÃO'!$B:$B,0))="Production","P",IF(INDEX('PROJETO PERFURAÇÃO'!$P:$P,MATCH(MEDIÇÃO!D169,'PROJETO PERFURAÇÃO'!$B:$B,0))="Buffer","B",IF(INDEX('PROJETO PERFURAÇÃO'!$P:$P,MATCH(MEDIÇÃO!D169,'PROJETO PERFURAÇÃO'!$B:$B,0))="Pre-Splitting","S"))),"")</f>
        <v>P</v>
      </c>
      <c r="D169" s="14">
        <f t="shared" si="15"/>
        <v>355</v>
      </c>
      <c r="E169" s="4" t="str">
        <f>IFERROR(INDEX('LEV R&amp;D'!$D:$D,MATCH(MEDIÇÃO!D169,'LEV R&amp;D'!$A:$A,0))-INDEX('PROJETO PERFURAÇÃO'!$AH:$AH,MATCH(MEDIÇÃO!D169,'PROJETO PERFURAÇÃO'!$B:$B,0)),"")</f>
        <v/>
      </c>
      <c r="F169" s="17">
        <f>IFERROR(INDEX('PROJETO PERFURAÇÃO'!$AN:$AN,MATCH(MEDIÇÃO!D169,'PROJETO PERFURAÇÃO'!$B:$B,0)),"")</f>
        <v>0</v>
      </c>
      <c r="G169" s="3"/>
      <c r="H169" s="3"/>
      <c r="I169" s="3" t="str">
        <f>IFERROR(ROUND(INDEX('PROJETO PERFURAÇÃO'!$AB:$AB,MATCH(MEDIÇÃO!K169,'PROJETO PERFURAÇÃO'!$B:$B,0)),1)&amp;"''","")</f>
        <v>5''</v>
      </c>
      <c r="J169" s="3" t="str">
        <f>IFERROR(IF(INDEX('PROJETO PERFURAÇÃO'!$P:$P,MATCH(MEDIÇÃO!K169,'PROJETO PERFURAÇÃO'!$B:$B,0))="Production","P",IF(INDEX('PROJETO PERFURAÇÃO'!$P:$P,MATCH(MEDIÇÃO!K169,'PROJETO PERFURAÇÃO'!$B:$B,0))="Buffer","B",IF(INDEX('PROJETO PERFURAÇÃO'!$P:$P,MATCH(MEDIÇÃO!K169,'PROJETO PERFURAÇÃO'!$B:$B,0))="Pre-Splitting","S"))),"")</f>
        <v>P</v>
      </c>
      <c r="K169" s="14">
        <f t="shared" si="16"/>
        <v>378</v>
      </c>
      <c r="L169" s="4" t="str">
        <f>IFERROR(INDEX('LEV R&amp;D'!$D:$D,MATCH(MEDIÇÃO!K169,'LEV R&amp;D'!$A:$A,0))-INDEX('PROJETO PERFURAÇÃO'!$AH:$AH,MATCH(MEDIÇÃO!K169,'PROJETO PERFURAÇÃO'!$B:$B,0)),"")</f>
        <v/>
      </c>
      <c r="M169" s="17">
        <f>IFERROR(INDEX('PROJETO PERFURAÇÃO'!$AN:$AN,MATCH(MEDIÇÃO!K169,'PROJETO PERFURAÇÃO'!$B:$B,0)),"")</f>
        <v>0</v>
      </c>
      <c r="N169" s="3"/>
      <c r="O169" s="3"/>
      <c r="P169" s="3" t="str">
        <f>IFERROR(ROUND(INDEX('PROJETO PERFURAÇÃO'!$AB:$AB,MATCH(MEDIÇÃO!R169,'PROJETO PERFURAÇÃO'!$B:$B,0)),1)&amp;"''","")</f>
        <v>5''</v>
      </c>
      <c r="Q169" s="3" t="str">
        <f>IFERROR(IF(INDEX('PROJETO PERFURAÇÃO'!$P:$P,MATCH(MEDIÇÃO!R169,'PROJETO PERFURAÇÃO'!$B:$B,0))="Production","P",IF(INDEX('PROJETO PERFURAÇÃO'!$P:$P,MATCH(MEDIÇÃO!R169,'PROJETO PERFURAÇÃO'!$B:$B,0))="Buffer","B",IF(INDEX('PROJETO PERFURAÇÃO'!$P:$P,MATCH(MEDIÇÃO!R169,'PROJETO PERFURAÇÃO'!$B:$B,0))="Pre-Splitting","S"))),"")</f>
        <v>P</v>
      </c>
      <c r="R169" s="14">
        <f t="shared" si="17"/>
        <v>401</v>
      </c>
      <c r="S169" s="4" t="str">
        <f>IFERROR(INDEX('LEV R&amp;D'!$D:$D,MATCH(MEDIÇÃO!R169,'LEV R&amp;D'!$A:$A,0))-INDEX('PROJETO PERFURAÇÃO'!$AH:$AH,MATCH(MEDIÇÃO!R169,'PROJETO PERFURAÇÃO'!$B:$B,0)),"")</f>
        <v/>
      </c>
      <c r="T169" s="17">
        <f>IFERROR(INDEX('PROJETO PERFURAÇÃO'!$AN:$AN,MATCH(MEDIÇÃO!R169,'PROJETO PERFURAÇÃO'!$B:$B,0)),"")</f>
        <v>0</v>
      </c>
      <c r="U169" s="3"/>
      <c r="V169" s="3"/>
    </row>
    <row r="170" spans="2:22" ht="45" customHeight="1">
      <c r="B170" s="3" t="str">
        <f>IFERROR(ROUND(INDEX('PROJETO PERFURAÇÃO'!$AB:$AB,MATCH(MEDIÇÃO!D170,'PROJETO PERFURAÇÃO'!$B:$B,0)),1)&amp;"''","")</f>
        <v>5''</v>
      </c>
      <c r="C170" s="3" t="str">
        <f>IFERROR(IF(INDEX('PROJETO PERFURAÇÃO'!$P:$P,MATCH(MEDIÇÃO!D170,'PROJETO PERFURAÇÃO'!$B:$B,0))="Production","P",IF(INDEX('PROJETO PERFURAÇÃO'!$P:$P,MATCH(MEDIÇÃO!D170,'PROJETO PERFURAÇÃO'!$B:$B,0))="Buffer","B",IF(INDEX('PROJETO PERFURAÇÃO'!$P:$P,MATCH(MEDIÇÃO!D170,'PROJETO PERFURAÇÃO'!$B:$B,0))="Pre-Splitting","S"))),"")</f>
        <v>P</v>
      </c>
      <c r="D170" s="14">
        <f t="shared" si="15"/>
        <v>356</v>
      </c>
      <c r="E170" s="4" t="str">
        <f>IFERROR(INDEX('LEV R&amp;D'!$D:$D,MATCH(MEDIÇÃO!D170,'LEV R&amp;D'!$A:$A,0))-INDEX('PROJETO PERFURAÇÃO'!$AH:$AH,MATCH(MEDIÇÃO!D170,'PROJETO PERFURAÇÃO'!$B:$B,0)),"")</f>
        <v/>
      </c>
      <c r="F170" s="17">
        <f>IFERROR(INDEX('PROJETO PERFURAÇÃO'!$AN:$AN,MATCH(MEDIÇÃO!D170,'PROJETO PERFURAÇÃO'!$B:$B,0)),"")</f>
        <v>0</v>
      </c>
      <c r="G170" s="3"/>
      <c r="H170" s="3"/>
      <c r="I170" s="3" t="str">
        <f>IFERROR(ROUND(INDEX('PROJETO PERFURAÇÃO'!$AB:$AB,MATCH(MEDIÇÃO!K170,'PROJETO PERFURAÇÃO'!$B:$B,0)),1)&amp;"''","")</f>
        <v>5''</v>
      </c>
      <c r="J170" s="3" t="str">
        <f>IFERROR(IF(INDEX('PROJETO PERFURAÇÃO'!$P:$P,MATCH(MEDIÇÃO!K170,'PROJETO PERFURAÇÃO'!$B:$B,0))="Production","P",IF(INDEX('PROJETO PERFURAÇÃO'!$P:$P,MATCH(MEDIÇÃO!K170,'PROJETO PERFURAÇÃO'!$B:$B,0))="Buffer","B",IF(INDEX('PROJETO PERFURAÇÃO'!$P:$P,MATCH(MEDIÇÃO!K170,'PROJETO PERFURAÇÃO'!$B:$B,0))="Pre-Splitting","S"))),"")</f>
        <v>P</v>
      </c>
      <c r="K170" s="14">
        <f t="shared" si="16"/>
        <v>379</v>
      </c>
      <c r="L170" s="4" t="str">
        <f>IFERROR(INDEX('LEV R&amp;D'!$D:$D,MATCH(MEDIÇÃO!K170,'LEV R&amp;D'!$A:$A,0))-INDEX('PROJETO PERFURAÇÃO'!$AH:$AH,MATCH(MEDIÇÃO!K170,'PROJETO PERFURAÇÃO'!$B:$B,0)),"")</f>
        <v/>
      </c>
      <c r="M170" s="17">
        <f>IFERROR(INDEX('PROJETO PERFURAÇÃO'!$AN:$AN,MATCH(MEDIÇÃO!K170,'PROJETO PERFURAÇÃO'!$B:$B,0)),"")</f>
        <v>0</v>
      </c>
      <c r="N170" s="3"/>
      <c r="O170" s="3"/>
      <c r="P170" s="3" t="str">
        <f>IFERROR(ROUND(INDEX('PROJETO PERFURAÇÃO'!$AB:$AB,MATCH(MEDIÇÃO!R170,'PROJETO PERFURAÇÃO'!$B:$B,0)),1)&amp;"''","")</f>
        <v>5''</v>
      </c>
      <c r="Q170" s="3" t="str">
        <f>IFERROR(IF(INDEX('PROJETO PERFURAÇÃO'!$P:$P,MATCH(MEDIÇÃO!R170,'PROJETO PERFURAÇÃO'!$B:$B,0))="Production","P",IF(INDEX('PROJETO PERFURAÇÃO'!$P:$P,MATCH(MEDIÇÃO!R170,'PROJETO PERFURAÇÃO'!$B:$B,0))="Buffer","B",IF(INDEX('PROJETO PERFURAÇÃO'!$P:$P,MATCH(MEDIÇÃO!R170,'PROJETO PERFURAÇÃO'!$B:$B,0))="Pre-Splitting","S"))),"")</f>
        <v>P</v>
      </c>
      <c r="R170" s="14">
        <f t="shared" si="17"/>
        <v>402</v>
      </c>
      <c r="S170" s="4" t="str">
        <f>IFERROR(INDEX('LEV R&amp;D'!$D:$D,MATCH(MEDIÇÃO!R170,'LEV R&amp;D'!$A:$A,0))-INDEX('PROJETO PERFURAÇÃO'!$AH:$AH,MATCH(MEDIÇÃO!R170,'PROJETO PERFURAÇÃO'!$B:$B,0)),"")</f>
        <v/>
      </c>
      <c r="T170" s="17">
        <f>IFERROR(INDEX('PROJETO PERFURAÇÃO'!$AN:$AN,MATCH(MEDIÇÃO!R170,'PROJETO PERFURAÇÃO'!$B:$B,0)),"")</f>
        <v>0</v>
      </c>
      <c r="U170" s="3"/>
      <c r="V170" s="3"/>
    </row>
    <row r="171" spans="2:22" ht="45" customHeight="1">
      <c r="B171" s="3" t="str">
        <f>IFERROR(ROUND(INDEX('PROJETO PERFURAÇÃO'!$AB:$AB,MATCH(MEDIÇÃO!D171,'PROJETO PERFURAÇÃO'!$B:$B,0)),1)&amp;"''","")</f>
        <v>5''</v>
      </c>
      <c r="C171" s="3" t="str">
        <f>IFERROR(IF(INDEX('PROJETO PERFURAÇÃO'!$P:$P,MATCH(MEDIÇÃO!D171,'PROJETO PERFURAÇÃO'!$B:$B,0))="Production","P",IF(INDEX('PROJETO PERFURAÇÃO'!$P:$P,MATCH(MEDIÇÃO!D171,'PROJETO PERFURAÇÃO'!$B:$B,0))="Buffer","B",IF(INDEX('PROJETO PERFURAÇÃO'!$P:$P,MATCH(MEDIÇÃO!D171,'PROJETO PERFURAÇÃO'!$B:$B,0))="Pre-Splitting","S"))),"")</f>
        <v>P</v>
      </c>
      <c r="D171" s="14">
        <f t="shared" si="15"/>
        <v>357</v>
      </c>
      <c r="E171" s="4" t="str">
        <f>IFERROR(INDEX('LEV R&amp;D'!$D:$D,MATCH(MEDIÇÃO!D171,'LEV R&amp;D'!$A:$A,0))-INDEX('PROJETO PERFURAÇÃO'!$AH:$AH,MATCH(MEDIÇÃO!D171,'PROJETO PERFURAÇÃO'!$B:$B,0)),"")</f>
        <v/>
      </c>
      <c r="F171" s="17">
        <f>IFERROR(INDEX('PROJETO PERFURAÇÃO'!$AN:$AN,MATCH(MEDIÇÃO!D171,'PROJETO PERFURAÇÃO'!$B:$B,0)),"")</f>
        <v>0</v>
      </c>
      <c r="G171" s="3"/>
      <c r="H171" s="3"/>
      <c r="I171" s="3" t="str">
        <f>IFERROR(ROUND(INDEX('PROJETO PERFURAÇÃO'!$AB:$AB,MATCH(MEDIÇÃO!K171,'PROJETO PERFURAÇÃO'!$B:$B,0)),1)&amp;"''","")</f>
        <v>5''</v>
      </c>
      <c r="J171" s="3" t="str">
        <f>IFERROR(IF(INDEX('PROJETO PERFURAÇÃO'!$P:$P,MATCH(MEDIÇÃO!K171,'PROJETO PERFURAÇÃO'!$B:$B,0))="Production","P",IF(INDEX('PROJETO PERFURAÇÃO'!$P:$P,MATCH(MEDIÇÃO!K171,'PROJETO PERFURAÇÃO'!$B:$B,0))="Buffer","B",IF(INDEX('PROJETO PERFURAÇÃO'!$P:$P,MATCH(MEDIÇÃO!K171,'PROJETO PERFURAÇÃO'!$B:$B,0))="Pre-Splitting","S"))),"")</f>
        <v>P</v>
      </c>
      <c r="K171" s="14">
        <f t="shared" si="16"/>
        <v>380</v>
      </c>
      <c r="L171" s="4" t="str">
        <f>IFERROR(INDEX('LEV R&amp;D'!$D:$D,MATCH(MEDIÇÃO!K171,'LEV R&amp;D'!$A:$A,0))-INDEX('PROJETO PERFURAÇÃO'!$AH:$AH,MATCH(MEDIÇÃO!K171,'PROJETO PERFURAÇÃO'!$B:$B,0)),"")</f>
        <v/>
      </c>
      <c r="M171" s="17">
        <f>IFERROR(INDEX('PROJETO PERFURAÇÃO'!$AN:$AN,MATCH(MEDIÇÃO!K171,'PROJETO PERFURAÇÃO'!$B:$B,0)),"")</f>
        <v>0</v>
      </c>
      <c r="N171" s="3"/>
      <c r="O171" s="3"/>
      <c r="P171" s="3" t="str">
        <f>IFERROR(ROUND(INDEX('PROJETO PERFURAÇÃO'!$AB:$AB,MATCH(MEDIÇÃO!R171,'PROJETO PERFURAÇÃO'!$B:$B,0)),1)&amp;"''","")</f>
        <v>5''</v>
      </c>
      <c r="Q171" s="3" t="str">
        <f>IFERROR(IF(INDEX('PROJETO PERFURAÇÃO'!$P:$P,MATCH(MEDIÇÃO!R171,'PROJETO PERFURAÇÃO'!$B:$B,0))="Production","P",IF(INDEX('PROJETO PERFURAÇÃO'!$P:$P,MATCH(MEDIÇÃO!R171,'PROJETO PERFURAÇÃO'!$B:$B,0))="Buffer","B",IF(INDEX('PROJETO PERFURAÇÃO'!$P:$P,MATCH(MEDIÇÃO!R171,'PROJETO PERFURAÇÃO'!$B:$B,0))="Pre-Splitting","S"))),"")</f>
        <v>P</v>
      </c>
      <c r="R171" s="14">
        <f t="shared" si="17"/>
        <v>403</v>
      </c>
      <c r="S171" s="4" t="str">
        <f>IFERROR(INDEX('LEV R&amp;D'!$D:$D,MATCH(MEDIÇÃO!R171,'LEV R&amp;D'!$A:$A,0))-INDEX('PROJETO PERFURAÇÃO'!$AH:$AH,MATCH(MEDIÇÃO!R171,'PROJETO PERFURAÇÃO'!$B:$B,0)),"")</f>
        <v/>
      </c>
      <c r="T171" s="17">
        <f>IFERROR(INDEX('PROJETO PERFURAÇÃO'!$AN:$AN,MATCH(MEDIÇÃO!R171,'PROJETO PERFURAÇÃO'!$B:$B,0)),"")</f>
        <v>0</v>
      </c>
      <c r="U171" s="3"/>
      <c r="V171" s="3"/>
    </row>
    <row r="172" spans="2:22" ht="45" customHeight="1">
      <c r="B172" s="3" t="str">
        <f>IFERROR(ROUND(INDEX('PROJETO PERFURAÇÃO'!$AB:$AB,MATCH(MEDIÇÃO!D172,'PROJETO PERFURAÇÃO'!$B:$B,0)),1)&amp;"''","")</f>
        <v>5''</v>
      </c>
      <c r="C172" s="3" t="str">
        <f>IFERROR(IF(INDEX('PROJETO PERFURAÇÃO'!$P:$P,MATCH(MEDIÇÃO!D172,'PROJETO PERFURAÇÃO'!$B:$B,0))="Production","P",IF(INDEX('PROJETO PERFURAÇÃO'!$P:$P,MATCH(MEDIÇÃO!D172,'PROJETO PERFURAÇÃO'!$B:$B,0))="Buffer","B",IF(INDEX('PROJETO PERFURAÇÃO'!$P:$P,MATCH(MEDIÇÃO!D172,'PROJETO PERFURAÇÃO'!$B:$B,0))="Pre-Splitting","S"))),"")</f>
        <v>P</v>
      </c>
      <c r="D172" s="14">
        <f t="shared" si="15"/>
        <v>358</v>
      </c>
      <c r="E172" s="4" t="str">
        <f>IFERROR(INDEX('LEV R&amp;D'!$D:$D,MATCH(MEDIÇÃO!D172,'LEV R&amp;D'!$A:$A,0))-INDEX('PROJETO PERFURAÇÃO'!$AH:$AH,MATCH(MEDIÇÃO!D172,'PROJETO PERFURAÇÃO'!$B:$B,0)),"")</f>
        <v/>
      </c>
      <c r="F172" s="17">
        <f>IFERROR(INDEX('PROJETO PERFURAÇÃO'!$AN:$AN,MATCH(MEDIÇÃO!D172,'PROJETO PERFURAÇÃO'!$B:$B,0)),"")</f>
        <v>0</v>
      </c>
      <c r="G172" s="3"/>
      <c r="H172" s="3"/>
      <c r="I172" s="3" t="str">
        <f>IFERROR(ROUND(INDEX('PROJETO PERFURAÇÃO'!$AB:$AB,MATCH(MEDIÇÃO!K172,'PROJETO PERFURAÇÃO'!$B:$B,0)),1)&amp;"''","")</f>
        <v>5''</v>
      </c>
      <c r="J172" s="3" t="str">
        <f>IFERROR(IF(INDEX('PROJETO PERFURAÇÃO'!$P:$P,MATCH(MEDIÇÃO!K172,'PROJETO PERFURAÇÃO'!$B:$B,0))="Production","P",IF(INDEX('PROJETO PERFURAÇÃO'!$P:$P,MATCH(MEDIÇÃO!K172,'PROJETO PERFURAÇÃO'!$B:$B,0))="Buffer","B",IF(INDEX('PROJETO PERFURAÇÃO'!$P:$P,MATCH(MEDIÇÃO!K172,'PROJETO PERFURAÇÃO'!$B:$B,0))="Pre-Splitting","S"))),"")</f>
        <v>P</v>
      </c>
      <c r="K172" s="14">
        <f t="shared" si="16"/>
        <v>381</v>
      </c>
      <c r="L172" s="4" t="str">
        <f>IFERROR(INDEX('LEV R&amp;D'!$D:$D,MATCH(MEDIÇÃO!K172,'LEV R&amp;D'!$A:$A,0))-INDEX('PROJETO PERFURAÇÃO'!$AH:$AH,MATCH(MEDIÇÃO!K172,'PROJETO PERFURAÇÃO'!$B:$B,0)),"")</f>
        <v/>
      </c>
      <c r="M172" s="17">
        <f>IFERROR(INDEX('PROJETO PERFURAÇÃO'!$AN:$AN,MATCH(MEDIÇÃO!K172,'PROJETO PERFURAÇÃO'!$B:$B,0)),"")</f>
        <v>0</v>
      </c>
      <c r="N172" s="3"/>
      <c r="O172" s="3"/>
      <c r="P172" s="3" t="str">
        <f>IFERROR(ROUND(INDEX('PROJETO PERFURAÇÃO'!$AB:$AB,MATCH(MEDIÇÃO!R172,'PROJETO PERFURAÇÃO'!$B:$B,0)),1)&amp;"''","")</f>
        <v>5''</v>
      </c>
      <c r="Q172" s="3" t="str">
        <f>IFERROR(IF(INDEX('PROJETO PERFURAÇÃO'!$P:$P,MATCH(MEDIÇÃO!R172,'PROJETO PERFURAÇÃO'!$B:$B,0))="Production","P",IF(INDEX('PROJETO PERFURAÇÃO'!$P:$P,MATCH(MEDIÇÃO!R172,'PROJETO PERFURAÇÃO'!$B:$B,0))="Buffer","B",IF(INDEX('PROJETO PERFURAÇÃO'!$P:$P,MATCH(MEDIÇÃO!R172,'PROJETO PERFURAÇÃO'!$B:$B,0))="Pre-Splitting","S"))),"")</f>
        <v>P</v>
      </c>
      <c r="R172" s="14">
        <f t="shared" si="17"/>
        <v>404</v>
      </c>
      <c r="S172" s="4" t="str">
        <f>IFERROR(INDEX('LEV R&amp;D'!$D:$D,MATCH(MEDIÇÃO!R172,'LEV R&amp;D'!$A:$A,0))-INDEX('PROJETO PERFURAÇÃO'!$AH:$AH,MATCH(MEDIÇÃO!R172,'PROJETO PERFURAÇÃO'!$B:$B,0)),"")</f>
        <v/>
      </c>
      <c r="T172" s="17">
        <f>IFERROR(INDEX('PROJETO PERFURAÇÃO'!$AN:$AN,MATCH(MEDIÇÃO!R172,'PROJETO PERFURAÇÃO'!$B:$B,0)),"")</f>
        <v>0</v>
      </c>
      <c r="U172" s="3"/>
      <c r="V172" s="3"/>
    </row>
    <row r="173" spans="2:22" ht="45" customHeight="1">
      <c r="B173" s="3" t="str">
        <f>IFERROR(ROUND(INDEX('PROJETO PERFURAÇÃO'!$AB:$AB,MATCH(MEDIÇÃO!D173,'PROJETO PERFURAÇÃO'!$B:$B,0)),1)&amp;"''","")</f>
        <v>5''</v>
      </c>
      <c r="C173" s="3" t="str">
        <f>IFERROR(IF(INDEX('PROJETO PERFURAÇÃO'!$P:$P,MATCH(MEDIÇÃO!D173,'PROJETO PERFURAÇÃO'!$B:$B,0))="Production","P",IF(INDEX('PROJETO PERFURAÇÃO'!$P:$P,MATCH(MEDIÇÃO!D173,'PROJETO PERFURAÇÃO'!$B:$B,0))="Buffer","B",IF(INDEX('PROJETO PERFURAÇÃO'!$P:$P,MATCH(MEDIÇÃO!D173,'PROJETO PERFURAÇÃO'!$B:$B,0))="Pre-Splitting","S"))),"")</f>
        <v>P</v>
      </c>
      <c r="D173" s="14">
        <f t="shared" si="15"/>
        <v>359</v>
      </c>
      <c r="E173" s="4" t="str">
        <f>IFERROR(INDEX('LEV R&amp;D'!$D:$D,MATCH(MEDIÇÃO!D173,'LEV R&amp;D'!$A:$A,0))-INDEX('PROJETO PERFURAÇÃO'!$AH:$AH,MATCH(MEDIÇÃO!D173,'PROJETO PERFURAÇÃO'!$B:$B,0)),"")</f>
        <v/>
      </c>
      <c r="F173" s="17">
        <f>IFERROR(INDEX('PROJETO PERFURAÇÃO'!$AN:$AN,MATCH(MEDIÇÃO!D173,'PROJETO PERFURAÇÃO'!$B:$B,0)),"")</f>
        <v>0</v>
      </c>
      <c r="G173" s="3"/>
      <c r="H173" s="3"/>
      <c r="I173" s="3" t="str">
        <f>IFERROR(ROUND(INDEX('PROJETO PERFURAÇÃO'!$AB:$AB,MATCH(MEDIÇÃO!K173,'PROJETO PERFURAÇÃO'!$B:$B,0)),1)&amp;"''","")</f>
        <v>5''</v>
      </c>
      <c r="J173" s="3" t="str">
        <f>IFERROR(IF(INDEX('PROJETO PERFURAÇÃO'!$P:$P,MATCH(MEDIÇÃO!K173,'PROJETO PERFURAÇÃO'!$B:$B,0))="Production","P",IF(INDEX('PROJETO PERFURAÇÃO'!$P:$P,MATCH(MEDIÇÃO!K173,'PROJETO PERFURAÇÃO'!$B:$B,0))="Buffer","B",IF(INDEX('PROJETO PERFURAÇÃO'!$P:$P,MATCH(MEDIÇÃO!K173,'PROJETO PERFURAÇÃO'!$B:$B,0))="Pre-Splitting","S"))),"")</f>
        <v>P</v>
      </c>
      <c r="K173" s="14">
        <f t="shared" si="16"/>
        <v>382</v>
      </c>
      <c r="L173" s="4" t="str">
        <f>IFERROR(INDEX('LEV R&amp;D'!$D:$D,MATCH(MEDIÇÃO!K173,'LEV R&amp;D'!$A:$A,0))-INDEX('PROJETO PERFURAÇÃO'!$AH:$AH,MATCH(MEDIÇÃO!K173,'PROJETO PERFURAÇÃO'!$B:$B,0)),"")</f>
        <v/>
      </c>
      <c r="M173" s="17">
        <f>IFERROR(INDEX('PROJETO PERFURAÇÃO'!$AN:$AN,MATCH(MEDIÇÃO!K173,'PROJETO PERFURAÇÃO'!$B:$B,0)),"")</f>
        <v>0</v>
      </c>
      <c r="N173" s="3"/>
      <c r="O173" s="3"/>
      <c r="P173" s="3" t="str">
        <f>IFERROR(ROUND(INDEX('PROJETO PERFURAÇÃO'!$AB:$AB,MATCH(MEDIÇÃO!R173,'PROJETO PERFURAÇÃO'!$B:$B,0)),1)&amp;"''","")</f>
        <v>5''</v>
      </c>
      <c r="Q173" s="3" t="str">
        <f>IFERROR(IF(INDEX('PROJETO PERFURAÇÃO'!$P:$P,MATCH(MEDIÇÃO!R173,'PROJETO PERFURAÇÃO'!$B:$B,0))="Production","P",IF(INDEX('PROJETO PERFURAÇÃO'!$P:$P,MATCH(MEDIÇÃO!R173,'PROJETO PERFURAÇÃO'!$B:$B,0))="Buffer","B",IF(INDEX('PROJETO PERFURAÇÃO'!$P:$P,MATCH(MEDIÇÃO!R173,'PROJETO PERFURAÇÃO'!$B:$B,0))="Pre-Splitting","S"))),"")</f>
        <v>P</v>
      </c>
      <c r="R173" s="14">
        <f t="shared" si="17"/>
        <v>405</v>
      </c>
      <c r="S173" s="4" t="str">
        <f>IFERROR(INDEX('LEV R&amp;D'!$D:$D,MATCH(MEDIÇÃO!R173,'LEV R&amp;D'!$A:$A,0))-INDEX('PROJETO PERFURAÇÃO'!$AH:$AH,MATCH(MEDIÇÃO!R173,'PROJETO PERFURAÇÃO'!$B:$B,0)),"")</f>
        <v/>
      </c>
      <c r="T173" s="17">
        <f>IFERROR(INDEX('PROJETO PERFURAÇÃO'!$AN:$AN,MATCH(MEDIÇÃO!R173,'PROJETO PERFURAÇÃO'!$B:$B,0)),"")</f>
        <v>0</v>
      </c>
      <c r="U173" s="3"/>
      <c r="V173" s="3"/>
    </row>
    <row r="174" spans="2:22" ht="45" customHeight="1">
      <c r="B174" s="3" t="str">
        <f>IFERROR(ROUND(INDEX('PROJETO PERFURAÇÃO'!$AB:$AB,MATCH(MEDIÇÃO!D174,'PROJETO PERFURAÇÃO'!$B:$B,0)),1)&amp;"''","")</f>
        <v>5''</v>
      </c>
      <c r="C174" s="3" t="str">
        <f>IFERROR(IF(INDEX('PROJETO PERFURAÇÃO'!$P:$P,MATCH(MEDIÇÃO!D174,'PROJETO PERFURAÇÃO'!$B:$B,0))="Production","P",IF(INDEX('PROJETO PERFURAÇÃO'!$P:$P,MATCH(MEDIÇÃO!D174,'PROJETO PERFURAÇÃO'!$B:$B,0))="Buffer","B",IF(INDEX('PROJETO PERFURAÇÃO'!$P:$P,MATCH(MEDIÇÃO!D174,'PROJETO PERFURAÇÃO'!$B:$B,0))="Pre-Splitting","S"))),"")</f>
        <v>P</v>
      </c>
      <c r="D174" s="14">
        <f t="shared" si="15"/>
        <v>360</v>
      </c>
      <c r="E174" s="4" t="str">
        <f>IFERROR(INDEX('LEV R&amp;D'!$D:$D,MATCH(MEDIÇÃO!D174,'LEV R&amp;D'!$A:$A,0))-INDEX('PROJETO PERFURAÇÃO'!$AH:$AH,MATCH(MEDIÇÃO!D174,'PROJETO PERFURAÇÃO'!$B:$B,0)),"")</f>
        <v/>
      </c>
      <c r="F174" s="17">
        <f>IFERROR(INDEX('PROJETO PERFURAÇÃO'!$AN:$AN,MATCH(MEDIÇÃO!D174,'PROJETO PERFURAÇÃO'!$B:$B,0)),"")</f>
        <v>0</v>
      </c>
      <c r="G174" s="3"/>
      <c r="H174" s="3"/>
      <c r="I174" s="3" t="str">
        <f>IFERROR(ROUND(INDEX('PROJETO PERFURAÇÃO'!$AB:$AB,MATCH(MEDIÇÃO!K174,'PROJETO PERFURAÇÃO'!$B:$B,0)),1)&amp;"''","")</f>
        <v>5''</v>
      </c>
      <c r="J174" s="3" t="str">
        <f>IFERROR(IF(INDEX('PROJETO PERFURAÇÃO'!$P:$P,MATCH(MEDIÇÃO!K174,'PROJETO PERFURAÇÃO'!$B:$B,0))="Production","P",IF(INDEX('PROJETO PERFURAÇÃO'!$P:$P,MATCH(MEDIÇÃO!K174,'PROJETO PERFURAÇÃO'!$B:$B,0))="Buffer","B",IF(INDEX('PROJETO PERFURAÇÃO'!$P:$P,MATCH(MEDIÇÃO!K174,'PROJETO PERFURAÇÃO'!$B:$B,0))="Pre-Splitting","S"))),"")</f>
        <v>P</v>
      </c>
      <c r="K174" s="14">
        <f t="shared" si="16"/>
        <v>383</v>
      </c>
      <c r="L174" s="4" t="str">
        <f>IFERROR(INDEX('LEV R&amp;D'!$D:$D,MATCH(MEDIÇÃO!K174,'LEV R&amp;D'!$A:$A,0))-INDEX('PROJETO PERFURAÇÃO'!$AH:$AH,MATCH(MEDIÇÃO!K174,'PROJETO PERFURAÇÃO'!$B:$B,0)),"")</f>
        <v/>
      </c>
      <c r="M174" s="17">
        <f>IFERROR(INDEX('PROJETO PERFURAÇÃO'!$AN:$AN,MATCH(MEDIÇÃO!K174,'PROJETO PERFURAÇÃO'!$B:$B,0)),"")</f>
        <v>0</v>
      </c>
      <c r="N174" s="3"/>
      <c r="O174" s="3"/>
      <c r="P174" s="3" t="str">
        <f>IFERROR(ROUND(INDEX('PROJETO PERFURAÇÃO'!$AB:$AB,MATCH(MEDIÇÃO!R174,'PROJETO PERFURAÇÃO'!$B:$B,0)),1)&amp;"''","")</f>
        <v>5''</v>
      </c>
      <c r="Q174" s="3" t="str">
        <f>IFERROR(IF(INDEX('PROJETO PERFURAÇÃO'!$P:$P,MATCH(MEDIÇÃO!R174,'PROJETO PERFURAÇÃO'!$B:$B,0))="Production","P",IF(INDEX('PROJETO PERFURAÇÃO'!$P:$P,MATCH(MEDIÇÃO!R174,'PROJETO PERFURAÇÃO'!$B:$B,0))="Buffer","B",IF(INDEX('PROJETO PERFURAÇÃO'!$P:$P,MATCH(MEDIÇÃO!R174,'PROJETO PERFURAÇÃO'!$B:$B,0))="Pre-Splitting","S"))),"")</f>
        <v>P</v>
      </c>
      <c r="R174" s="14">
        <f t="shared" si="17"/>
        <v>406</v>
      </c>
      <c r="S174" s="4" t="str">
        <f>IFERROR(INDEX('LEV R&amp;D'!$D:$D,MATCH(MEDIÇÃO!R174,'LEV R&amp;D'!$A:$A,0))-INDEX('PROJETO PERFURAÇÃO'!$AH:$AH,MATCH(MEDIÇÃO!R174,'PROJETO PERFURAÇÃO'!$B:$B,0)),"")</f>
        <v/>
      </c>
      <c r="T174" s="17">
        <f>IFERROR(INDEX('PROJETO PERFURAÇÃO'!$AN:$AN,MATCH(MEDIÇÃO!R174,'PROJETO PERFURAÇÃO'!$B:$B,0)),"")</f>
        <v>0</v>
      </c>
      <c r="U174" s="3"/>
      <c r="V174" s="3"/>
    </row>
    <row r="175" spans="2:22" ht="45" customHeight="1">
      <c r="B175" s="3" t="str">
        <f>IFERROR(ROUND(INDEX('PROJETO PERFURAÇÃO'!$AB:$AB,MATCH(MEDIÇÃO!D175,'PROJETO PERFURAÇÃO'!$B:$B,0)),1)&amp;"''","")</f>
        <v>5''</v>
      </c>
      <c r="C175" s="3" t="str">
        <f>IFERROR(IF(INDEX('PROJETO PERFURAÇÃO'!$P:$P,MATCH(MEDIÇÃO!D175,'PROJETO PERFURAÇÃO'!$B:$B,0))="Production","P",IF(INDEX('PROJETO PERFURAÇÃO'!$P:$P,MATCH(MEDIÇÃO!D175,'PROJETO PERFURAÇÃO'!$B:$B,0))="Buffer","B",IF(INDEX('PROJETO PERFURAÇÃO'!$P:$P,MATCH(MEDIÇÃO!D175,'PROJETO PERFURAÇÃO'!$B:$B,0))="Pre-Splitting","S"))),"")</f>
        <v>P</v>
      </c>
      <c r="D175" s="14">
        <f t="shared" si="15"/>
        <v>361</v>
      </c>
      <c r="E175" s="4" t="str">
        <f>IFERROR(INDEX('LEV R&amp;D'!$D:$D,MATCH(MEDIÇÃO!D175,'LEV R&amp;D'!$A:$A,0))-INDEX('PROJETO PERFURAÇÃO'!$AH:$AH,MATCH(MEDIÇÃO!D175,'PROJETO PERFURAÇÃO'!$B:$B,0)),"")</f>
        <v/>
      </c>
      <c r="F175" s="17">
        <f>IFERROR(INDEX('PROJETO PERFURAÇÃO'!$AN:$AN,MATCH(MEDIÇÃO!D175,'PROJETO PERFURAÇÃO'!$B:$B,0)),"")</f>
        <v>0</v>
      </c>
      <c r="G175" s="3"/>
      <c r="H175" s="3"/>
      <c r="I175" s="3" t="str">
        <f>IFERROR(ROUND(INDEX('PROJETO PERFURAÇÃO'!$AB:$AB,MATCH(MEDIÇÃO!K175,'PROJETO PERFURAÇÃO'!$B:$B,0)),1)&amp;"''","")</f>
        <v>5''</v>
      </c>
      <c r="J175" s="3" t="str">
        <f>IFERROR(IF(INDEX('PROJETO PERFURAÇÃO'!$P:$P,MATCH(MEDIÇÃO!K175,'PROJETO PERFURAÇÃO'!$B:$B,0))="Production","P",IF(INDEX('PROJETO PERFURAÇÃO'!$P:$P,MATCH(MEDIÇÃO!K175,'PROJETO PERFURAÇÃO'!$B:$B,0))="Buffer","B",IF(INDEX('PROJETO PERFURAÇÃO'!$P:$P,MATCH(MEDIÇÃO!K175,'PROJETO PERFURAÇÃO'!$B:$B,0))="Pre-Splitting","S"))),"")</f>
        <v>P</v>
      </c>
      <c r="K175" s="14">
        <f t="shared" si="16"/>
        <v>384</v>
      </c>
      <c r="L175" s="4" t="str">
        <f>IFERROR(INDEX('LEV R&amp;D'!$D:$D,MATCH(MEDIÇÃO!K175,'LEV R&amp;D'!$A:$A,0))-INDEX('PROJETO PERFURAÇÃO'!$AH:$AH,MATCH(MEDIÇÃO!K175,'PROJETO PERFURAÇÃO'!$B:$B,0)),"")</f>
        <v/>
      </c>
      <c r="M175" s="17">
        <f>IFERROR(INDEX('PROJETO PERFURAÇÃO'!$AN:$AN,MATCH(MEDIÇÃO!K175,'PROJETO PERFURAÇÃO'!$B:$B,0)),"")</f>
        <v>0</v>
      </c>
      <c r="N175" s="3"/>
      <c r="O175" s="3"/>
      <c r="P175" s="3" t="str">
        <f>IFERROR(ROUND(INDEX('PROJETO PERFURAÇÃO'!$AB:$AB,MATCH(MEDIÇÃO!R175,'PROJETO PERFURAÇÃO'!$B:$B,0)),1)&amp;"''","")</f>
        <v>5''</v>
      </c>
      <c r="Q175" s="3" t="str">
        <f>IFERROR(IF(INDEX('PROJETO PERFURAÇÃO'!$P:$P,MATCH(MEDIÇÃO!R175,'PROJETO PERFURAÇÃO'!$B:$B,0))="Production","P",IF(INDEX('PROJETO PERFURAÇÃO'!$P:$P,MATCH(MEDIÇÃO!R175,'PROJETO PERFURAÇÃO'!$B:$B,0))="Buffer","B",IF(INDEX('PROJETO PERFURAÇÃO'!$P:$P,MATCH(MEDIÇÃO!R175,'PROJETO PERFURAÇÃO'!$B:$B,0))="Pre-Splitting","S"))),"")</f>
        <v>P</v>
      </c>
      <c r="R175" s="14">
        <f t="shared" si="17"/>
        <v>407</v>
      </c>
      <c r="S175" s="4" t="str">
        <f>IFERROR(INDEX('LEV R&amp;D'!$D:$D,MATCH(MEDIÇÃO!R175,'LEV R&amp;D'!$A:$A,0))-INDEX('PROJETO PERFURAÇÃO'!$AH:$AH,MATCH(MEDIÇÃO!R175,'PROJETO PERFURAÇÃO'!$B:$B,0)),"")</f>
        <v/>
      </c>
      <c r="T175" s="17">
        <f>IFERROR(INDEX('PROJETO PERFURAÇÃO'!$AN:$AN,MATCH(MEDIÇÃO!R175,'PROJETO PERFURAÇÃO'!$B:$B,0)),"")</f>
        <v>0</v>
      </c>
      <c r="U175" s="3"/>
      <c r="V175" s="3"/>
    </row>
    <row r="176" spans="2:22" ht="45" customHeight="1">
      <c r="B176" s="3" t="str">
        <f>IFERROR(ROUND(INDEX('PROJETO PERFURAÇÃO'!$AB:$AB,MATCH(MEDIÇÃO!D176,'PROJETO PERFURAÇÃO'!$B:$B,0)),1)&amp;"''","")</f>
        <v>5''</v>
      </c>
      <c r="C176" s="3" t="str">
        <f>IFERROR(IF(INDEX('PROJETO PERFURAÇÃO'!$P:$P,MATCH(MEDIÇÃO!D176,'PROJETO PERFURAÇÃO'!$B:$B,0))="Production","P",IF(INDEX('PROJETO PERFURAÇÃO'!$P:$P,MATCH(MEDIÇÃO!D176,'PROJETO PERFURAÇÃO'!$B:$B,0))="Buffer","B",IF(INDEX('PROJETO PERFURAÇÃO'!$P:$P,MATCH(MEDIÇÃO!D176,'PROJETO PERFURAÇÃO'!$B:$B,0))="Pre-Splitting","S"))),"")</f>
        <v>P</v>
      </c>
      <c r="D176" s="14">
        <f t="shared" si="15"/>
        <v>362</v>
      </c>
      <c r="E176" s="4" t="str">
        <f>IFERROR(INDEX('LEV R&amp;D'!$D:$D,MATCH(MEDIÇÃO!D176,'LEV R&amp;D'!$A:$A,0))-INDEX('PROJETO PERFURAÇÃO'!$AH:$AH,MATCH(MEDIÇÃO!D176,'PROJETO PERFURAÇÃO'!$B:$B,0)),"")</f>
        <v/>
      </c>
      <c r="F176" s="17">
        <f>IFERROR(INDEX('PROJETO PERFURAÇÃO'!$AN:$AN,MATCH(MEDIÇÃO!D176,'PROJETO PERFURAÇÃO'!$B:$B,0)),"")</f>
        <v>0</v>
      </c>
      <c r="G176" s="3"/>
      <c r="H176" s="3"/>
      <c r="I176" s="3" t="str">
        <f>IFERROR(ROUND(INDEX('PROJETO PERFURAÇÃO'!$AB:$AB,MATCH(MEDIÇÃO!K176,'PROJETO PERFURAÇÃO'!$B:$B,0)),1)&amp;"''","")</f>
        <v>5''</v>
      </c>
      <c r="J176" s="3" t="str">
        <f>IFERROR(IF(INDEX('PROJETO PERFURAÇÃO'!$P:$P,MATCH(MEDIÇÃO!K176,'PROJETO PERFURAÇÃO'!$B:$B,0))="Production","P",IF(INDEX('PROJETO PERFURAÇÃO'!$P:$P,MATCH(MEDIÇÃO!K176,'PROJETO PERFURAÇÃO'!$B:$B,0))="Buffer","B",IF(INDEX('PROJETO PERFURAÇÃO'!$P:$P,MATCH(MEDIÇÃO!K176,'PROJETO PERFURAÇÃO'!$B:$B,0))="Pre-Splitting","S"))),"")</f>
        <v>P</v>
      </c>
      <c r="K176" s="14">
        <f t="shared" si="16"/>
        <v>385</v>
      </c>
      <c r="L176" s="4" t="str">
        <f>IFERROR(INDEX('LEV R&amp;D'!$D:$D,MATCH(MEDIÇÃO!K176,'LEV R&amp;D'!$A:$A,0))-INDEX('PROJETO PERFURAÇÃO'!$AH:$AH,MATCH(MEDIÇÃO!K176,'PROJETO PERFURAÇÃO'!$B:$B,0)),"")</f>
        <v/>
      </c>
      <c r="M176" s="17">
        <f>IFERROR(INDEX('PROJETO PERFURAÇÃO'!$AN:$AN,MATCH(MEDIÇÃO!K176,'PROJETO PERFURAÇÃO'!$B:$B,0)),"")</f>
        <v>0</v>
      </c>
      <c r="N176" s="3"/>
      <c r="O176" s="3"/>
      <c r="P176" s="3" t="str">
        <f>IFERROR(ROUND(INDEX('PROJETO PERFURAÇÃO'!$AB:$AB,MATCH(MEDIÇÃO!R176,'PROJETO PERFURAÇÃO'!$B:$B,0)),1)&amp;"''","")</f>
        <v>5''</v>
      </c>
      <c r="Q176" s="3" t="str">
        <f>IFERROR(IF(INDEX('PROJETO PERFURAÇÃO'!$P:$P,MATCH(MEDIÇÃO!R176,'PROJETO PERFURAÇÃO'!$B:$B,0))="Production","P",IF(INDEX('PROJETO PERFURAÇÃO'!$P:$P,MATCH(MEDIÇÃO!R176,'PROJETO PERFURAÇÃO'!$B:$B,0))="Buffer","B",IF(INDEX('PROJETO PERFURAÇÃO'!$P:$P,MATCH(MEDIÇÃO!R176,'PROJETO PERFURAÇÃO'!$B:$B,0))="Pre-Splitting","S"))),"")</f>
        <v>P</v>
      </c>
      <c r="R176" s="14">
        <f t="shared" si="17"/>
        <v>408</v>
      </c>
      <c r="S176" s="4" t="str">
        <f>IFERROR(INDEX('LEV R&amp;D'!$D:$D,MATCH(MEDIÇÃO!R176,'LEV R&amp;D'!$A:$A,0))-INDEX('PROJETO PERFURAÇÃO'!$AH:$AH,MATCH(MEDIÇÃO!R176,'PROJETO PERFURAÇÃO'!$B:$B,0)),"")</f>
        <v/>
      </c>
      <c r="T176" s="17">
        <f>IFERROR(INDEX('PROJETO PERFURAÇÃO'!$AN:$AN,MATCH(MEDIÇÃO!R176,'PROJETO PERFURAÇÃO'!$B:$B,0)),"")</f>
        <v>0</v>
      </c>
      <c r="U176" s="3"/>
      <c r="V176" s="3"/>
    </row>
    <row r="177" spans="1:23" ht="45" customHeight="1">
      <c r="B177" s="3" t="str">
        <f>IFERROR(ROUND(INDEX('PROJETO PERFURAÇÃO'!$AB:$AB,MATCH(MEDIÇÃO!D177,'PROJETO PERFURAÇÃO'!$B:$B,0)),1)&amp;"''","")</f>
        <v>5''</v>
      </c>
      <c r="C177" s="3" t="str">
        <f>IFERROR(IF(INDEX('PROJETO PERFURAÇÃO'!$P:$P,MATCH(MEDIÇÃO!D177,'PROJETO PERFURAÇÃO'!$B:$B,0))="Production","P",IF(INDEX('PROJETO PERFURAÇÃO'!$P:$P,MATCH(MEDIÇÃO!D177,'PROJETO PERFURAÇÃO'!$B:$B,0))="Buffer","B",IF(INDEX('PROJETO PERFURAÇÃO'!$P:$P,MATCH(MEDIÇÃO!D177,'PROJETO PERFURAÇÃO'!$B:$B,0))="Pre-Splitting","S"))),"")</f>
        <v>P</v>
      </c>
      <c r="D177" s="14">
        <f t="shared" si="15"/>
        <v>363</v>
      </c>
      <c r="E177" s="4" t="str">
        <f>IFERROR(INDEX('LEV R&amp;D'!$D:$D,MATCH(MEDIÇÃO!D177,'LEV R&amp;D'!$A:$A,0))-INDEX('PROJETO PERFURAÇÃO'!$AH:$AH,MATCH(MEDIÇÃO!D177,'PROJETO PERFURAÇÃO'!$B:$B,0)),"")</f>
        <v/>
      </c>
      <c r="F177" s="17">
        <f>IFERROR(INDEX('PROJETO PERFURAÇÃO'!$AN:$AN,MATCH(MEDIÇÃO!D177,'PROJETO PERFURAÇÃO'!$B:$B,0)),"")</f>
        <v>0</v>
      </c>
      <c r="G177" s="3"/>
      <c r="H177" s="3"/>
      <c r="I177" s="3" t="str">
        <f>IFERROR(ROUND(INDEX('PROJETO PERFURAÇÃO'!$AB:$AB,MATCH(MEDIÇÃO!K177,'PROJETO PERFURAÇÃO'!$B:$B,0)),1)&amp;"''","")</f>
        <v>5''</v>
      </c>
      <c r="J177" s="3" t="str">
        <f>IFERROR(IF(INDEX('PROJETO PERFURAÇÃO'!$P:$P,MATCH(MEDIÇÃO!K177,'PROJETO PERFURAÇÃO'!$B:$B,0))="Production","P",IF(INDEX('PROJETO PERFURAÇÃO'!$P:$P,MATCH(MEDIÇÃO!K177,'PROJETO PERFURAÇÃO'!$B:$B,0))="Buffer","B",IF(INDEX('PROJETO PERFURAÇÃO'!$P:$P,MATCH(MEDIÇÃO!K177,'PROJETO PERFURAÇÃO'!$B:$B,0))="Pre-Splitting","S"))),"")</f>
        <v>P</v>
      </c>
      <c r="K177" s="14">
        <f t="shared" si="16"/>
        <v>386</v>
      </c>
      <c r="L177" s="4" t="str">
        <f>IFERROR(INDEX('LEV R&amp;D'!$D:$D,MATCH(MEDIÇÃO!K177,'LEV R&amp;D'!$A:$A,0))-INDEX('PROJETO PERFURAÇÃO'!$AH:$AH,MATCH(MEDIÇÃO!K177,'PROJETO PERFURAÇÃO'!$B:$B,0)),"")</f>
        <v/>
      </c>
      <c r="M177" s="17">
        <f>IFERROR(INDEX('PROJETO PERFURAÇÃO'!$AN:$AN,MATCH(MEDIÇÃO!K177,'PROJETO PERFURAÇÃO'!$B:$B,0)),"")</f>
        <v>0</v>
      </c>
      <c r="N177" s="3"/>
      <c r="O177" s="3"/>
      <c r="P177" s="3" t="str">
        <f>IFERROR(ROUND(INDEX('PROJETO PERFURAÇÃO'!$AB:$AB,MATCH(MEDIÇÃO!R177,'PROJETO PERFURAÇÃO'!$B:$B,0)),1)&amp;"''","")</f>
        <v>5''</v>
      </c>
      <c r="Q177" s="3" t="str">
        <f>IFERROR(IF(INDEX('PROJETO PERFURAÇÃO'!$P:$P,MATCH(MEDIÇÃO!R177,'PROJETO PERFURAÇÃO'!$B:$B,0))="Production","P",IF(INDEX('PROJETO PERFURAÇÃO'!$P:$P,MATCH(MEDIÇÃO!R177,'PROJETO PERFURAÇÃO'!$B:$B,0))="Buffer","B",IF(INDEX('PROJETO PERFURAÇÃO'!$P:$P,MATCH(MEDIÇÃO!R177,'PROJETO PERFURAÇÃO'!$B:$B,0))="Pre-Splitting","S"))),"")</f>
        <v>P</v>
      </c>
      <c r="R177" s="14">
        <f t="shared" si="17"/>
        <v>409</v>
      </c>
      <c r="S177" s="4" t="str">
        <f>IFERROR(INDEX('LEV R&amp;D'!$D:$D,MATCH(MEDIÇÃO!R177,'LEV R&amp;D'!$A:$A,0))-INDEX('PROJETO PERFURAÇÃO'!$AH:$AH,MATCH(MEDIÇÃO!R177,'PROJETO PERFURAÇÃO'!$B:$B,0)),"")</f>
        <v/>
      </c>
      <c r="T177" s="17">
        <f>IFERROR(INDEX('PROJETO PERFURAÇÃO'!$AN:$AN,MATCH(MEDIÇÃO!R177,'PROJETO PERFURAÇÃO'!$B:$B,0)),"")</f>
        <v>0</v>
      </c>
      <c r="U177" s="3"/>
      <c r="V177" s="3"/>
    </row>
    <row r="178" spans="1:23" ht="45" customHeight="1">
      <c r="B178" s="3" t="str">
        <f>IFERROR(ROUND(INDEX('PROJETO PERFURAÇÃO'!$AB:$AB,MATCH(MEDIÇÃO!D178,'PROJETO PERFURAÇÃO'!$B:$B,0)),1)&amp;"''","")</f>
        <v>5''</v>
      </c>
      <c r="C178" s="3" t="str">
        <f>IFERROR(IF(INDEX('PROJETO PERFURAÇÃO'!$P:$P,MATCH(MEDIÇÃO!D178,'PROJETO PERFURAÇÃO'!$B:$B,0))="Production","P",IF(INDEX('PROJETO PERFURAÇÃO'!$P:$P,MATCH(MEDIÇÃO!D178,'PROJETO PERFURAÇÃO'!$B:$B,0))="Buffer","B",IF(INDEX('PROJETO PERFURAÇÃO'!$P:$P,MATCH(MEDIÇÃO!D178,'PROJETO PERFURAÇÃO'!$B:$B,0))="Pre-Splitting","S"))),"")</f>
        <v>P</v>
      </c>
      <c r="D178" s="14">
        <f t="shared" si="15"/>
        <v>364</v>
      </c>
      <c r="E178" s="4" t="str">
        <f>IFERROR(INDEX('LEV R&amp;D'!$D:$D,MATCH(MEDIÇÃO!D178,'LEV R&amp;D'!$A:$A,0))-INDEX('PROJETO PERFURAÇÃO'!$AH:$AH,MATCH(MEDIÇÃO!D178,'PROJETO PERFURAÇÃO'!$B:$B,0)),"")</f>
        <v/>
      </c>
      <c r="F178" s="17">
        <f>IFERROR(INDEX('PROJETO PERFURAÇÃO'!$AN:$AN,MATCH(MEDIÇÃO!D178,'PROJETO PERFURAÇÃO'!$B:$B,0)),"")</f>
        <v>0</v>
      </c>
      <c r="G178" s="3"/>
      <c r="H178" s="3"/>
      <c r="I178" s="3" t="str">
        <f>IFERROR(ROUND(INDEX('PROJETO PERFURAÇÃO'!$AB:$AB,MATCH(MEDIÇÃO!K178,'PROJETO PERFURAÇÃO'!$B:$B,0)),1)&amp;"''","")</f>
        <v>5''</v>
      </c>
      <c r="J178" s="3" t="str">
        <f>IFERROR(IF(INDEX('PROJETO PERFURAÇÃO'!$P:$P,MATCH(MEDIÇÃO!K178,'PROJETO PERFURAÇÃO'!$B:$B,0))="Production","P",IF(INDEX('PROJETO PERFURAÇÃO'!$P:$P,MATCH(MEDIÇÃO!K178,'PROJETO PERFURAÇÃO'!$B:$B,0))="Buffer","B",IF(INDEX('PROJETO PERFURAÇÃO'!$P:$P,MATCH(MEDIÇÃO!K178,'PROJETO PERFURAÇÃO'!$B:$B,0))="Pre-Splitting","S"))),"")</f>
        <v>P</v>
      </c>
      <c r="K178" s="14">
        <f t="shared" si="16"/>
        <v>387</v>
      </c>
      <c r="L178" s="4" t="str">
        <f>IFERROR(INDEX('LEV R&amp;D'!$D:$D,MATCH(MEDIÇÃO!K178,'LEV R&amp;D'!$A:$A,0))-INDEX('PROJETO PERFURAÇÃO'!$AH:$AH,MATCH(MEDIÇÃO!K178,'PROJETO PERFURAÇÃO'!$B:$B,0)),"")</f>
        <v/>
      </c>
      <c r="M178" s="17">
        <f>IFERROR(INDEX('PROJETO PERFURAÇÃO'!$AN:$AN,MATCH(MEDIÇÃO!K178,'PROJETO PERFURAÇÃO'!$B:$B,0)),"")</f>
        <v>0</v>
      </c>
      <c r="N178" s="3"/>
      <c r="O178" s="3"/>
      <c r="P178" s="3" t="str">
        <f>IFERROR(ROUND(INDEX('PROJETO PERFURAÇÃO'!$AB:$AB,MATCH(MEDIÇÃO!R178,'PROJETO PERFURAÇÃO'!$B:$B,0)),1)&amp;"''","")</f>
        <v>5''</v>
      </c>
      <c r="Q178" s="3" t="str">
        <f>IFERROR(IF(INDEX('PROJETO PERFURAÇÃO'!$P:$P,MATCH(MEDIÇÃO!R178,'PROJETO PERFURAÇÃO'!$B:$B,0))="Production","P",IF(INDEX('PROJETO PERFURAÇÃO'!$P:$P,MATCH(MEDIÇÃO!R178,'PROJETO PERFURAÇÃO'!$B:$B,0))="Buffer","B",IF(INDEX('PROJETO PERFURAÇÃO'!$P:$P,MATCH(MEDIÇÃO!R178,'PROJETO PERFURAÇÃO'!$B:$B,0))="Pre-Splitting","S"))),"")</f>
        <v>P</v>
      </c>
      <c r="R178" s="14">
        <f t="shared" si="17"/>
        <v>410</v>
      </c>
      <c r="S178" s="4" t="str">
        <f>IFERROR(INDEX('LEV R&amp;D'!$D:$D,MATCH(MEDIÇÃO!R178,'LEV R&amp;D'!$A:$A,0))-INDEX('PROJETO PERFURAÇÃO'!$AH:$AH,MATCH(MEDIÇÃO!R178,'PROJETO PERFURAÇÃO'!$B:$B,0)),"")</f>
        <v/>
      </c>
      <c r="T178" s="17">
        <f>IFERROR(INDEX('PROJETO PERFURAÇÃO'!$AN:$AN,MATCH(MEDIÇÃO!R178,'PROJETO PERFURAÇÃO'!$B:$B,0)),"")</f>
        <v>0</v>
      </c>
      <c r="U178" s="3"/>
      <c r="V178" s="3"/>
    </row>
    <row r="179" spans="1:23" ht="45" customHeight="1">
      <c r="B179" s="3" t="str">
        <f>IFERROR(ROUND(INDEX('PROJETO PERFURAÇÃO'!$AB:$AB,MATCH(MEDIÇÃO!D179,'PROJETO PERFURAÇÃO'!$B:$B,0)),1)&amp;"''","")</f>
        <v>5''</v>
      </c>
      <c r="C179" s="3" t="str">
        <f>IFERROR(IF(INDEX('PROJETO PERFURAÇÃO'!$P:$P,MATCH(MEDIÇÃO!D179,'PROJETO PERFURAÇÃO'!$B:$B,0))="Production","P",IF(INDEX('PROJETO PERFURAÇÃO'!$P:$P,MATCH(MEDIÇÃO!D179,'PROJETO PERFURAÇÃO'!$B:$B,0))="Buffer","B",IF(INDEX('PROJETO PERFURAÇÃO'!$P:$P,MATCH(MEDIÇÃO!D179,'PROJETO PERFURAÇÃO'!$B:$B,0))="Pre-Splitting","S"))),"")</f>
        <v>P</v>
      </c>
      <c r="D179" s="14">
        <f t="shared" si="15"/>
        <v>365</v>
      </c>
      <c r="E179" s="4" t="str">
        <f>IFERROR(INDEX('LEV R&amp;D'!$D:$D,MATCH(MEDIÇÃO!D179,'LEV R&amp;D'!$A:$A,0))-INDEX('PROJETO PERFURAÇÃO'!$AH:$AH,MATCH(MEDIÇÃO!D179,'PROJETO PERFURAÇÃO'!$B:$B,0)),"")</f>
        <v/>
      </c>
      <c r="F179" s="17">
        <f>IFERROR(INDEX('PROJETO PERFURAÇÃO'!$AN:$AN,MATCH(MEDIÇÃO!D179,'PROJETO PERFURAÇÃO'!$B:$B,0)),"")</f>
        <v>0</v>
      </c>
      <c r="G179" s="3"/>
      <c r="H179" s="3"/>
      <c r="I179" s="3" t="str">
        <f>IFERROR(ROUND(INDEX('PROJETO PERFURAÇÃO'!$AB:$AB,MATCH(MEDIÇÃO!K179,'PROJETO PERFURAÇÃO'!$B:$B,0)),1)&amp;"''","")</f>
        <v>5''</v>
      </c>
      <c r="J179" s="3" t="str">
        <f>IFERROR(IF(INDEX('PROJETO PERFURAÇÃO'!$P:$P,MATCH(MEDIÇÃO!K179,'PROJETO PERFURAÇÃO'!$B:$B,0))="Production","P",IF(INDEX('PROJETO PERFURAÇÃO'!$P:$P,MATCH(MEDIÇÃO!K179,'PROJETO PERFURAÇÃO'!$B:$B,0))="Buffer","B",IF(INDEX('PROJETO PERFURAÇÃO'!$P:$P,MATCH(MEDIÇÃO!K179,'PROJETO PERFURAÇÃO'!$B:$B,0))="Pre-Splitting","S"))),"")</f>
        <v>P</v>
      </c>
      <c r="K179" s="14">
        <f t="shared" si="16"/>
        <v>388</v>
      </c>
      <c r="L179" s="4" t="str">
        <f>IFERROR(INDEX('LEV R&amp;D'!$D:$D,MATCH(MEDIÇÃO!K179,'LEV R&amp;D'!$A:$A,0))-INDEX('PROJETO PERFURAÇÃO'!$AH:$AH,MATCH(MEDIÇÃO!K179,'PROJETO PERFURAÇÃO'!$B:$B,0)),"")</f>
        <v/>
      </c>
      <c r="M179" s="17">
        <f>IFERROR(INDEX('PROJETO PERFURAÇÃO'!$AN:$AN,MATCH(MEDIÇÃO!K179,'PROJETO PERFURAÇÃO'!$B:$B,0)),"")</f>
        <v>0</v>
      </c>
      <c r="N179" s="3"/>
      <c r="O179" s="3"/>
      <c r="P179" s="3" t="str">
        <f>IFERROR(ROUND(INDEX('PROJETO PERFURAÇÃO'!$AB:$AB,MATCH(MEDIÇÃO!R179,'PROJETO PERFURAÇÃO'!$B:$B,0)),1)&amp;"''","")</f>
        <v>5''</v>
      </c>
      <c r="Q179" s="3" t="str">
        <f>IFERROR(IF(INDEX('PROJETO PERFURAÇÃO'!$P:$P,MATCH(MEDIÇÃO!R179,'PROJETO PERFURAÇÃO'!$B:$B,0))="Production","P",IF(INDEX('PROJETO PERFURAÇÃO'!$P:$P,MATCH(MEDIÇÃO!R179,'PROJETO PERFURAÇÃO'!$B:$B,0))="Buffer","B",IF(INDEX('PROJETO PERFURAÇÃO'!$P:$P,MATCH(MEDIÇÃO!R179,'PROJETO PERFURAÇÃO'!$B:$B,0))="Pre-Splitting","S"))),"")</f>
        <v>P</v>
      </c>
      <c r="R179" s="14">
        <f t="shared" si="17"/>
        <v>411</v>
      </c>
      <c r="S179" s="4" t="str">
        <f>IFERROR(INDEX('LEV R&amp;D'!$D:$D,MATCH(MEDIÇÃO!R179,'LEV R&amp;D'!$A:$A,0))-INDEX('PROJETO PERFURAÇÃO'!$AH:$AH,MATCH(MEDIÇÃO!R179,'PROJETO PERFURAÇÃO'!$B:$B,0)),"")</f>
        <v/>
      </c>
      <c r="T179" s="17">
        <f>IFERROR(INDEX('PROJETO PERFURAÇÃO'!$AN:$AN,MATCH(MEDIÇÃO!R179,'PROJETO PERFURAÇÃO'!$B:$B,0)),"")</f>
        <v>0</v>
      </c>
      <c r="U179" s="3"/>
      <c r="V179" s="3"/>
    </row>
    <row r="180" spans="1:23" ht="45" customHeight="1">
      <c r="B180" s="3" t="str">
        <f>IFERROR(ROUND(INDEX('PROJETO PERFURAÇÃO'!$AB:$AB,MATCH(MEDIÇÃO!D180,'PROJETO PERFURAÇÃO'!$B:$B,0)),1)&amp;"''","")</f>
        <v>5''</v>
      </c>
      <c r="C180" s="3" t="str">
        <f>IFERROR(IF(INDEX('PROJETO PERFURAÇÃO'!$P:$P,MATCH(MEDIÇÃO!D180,'PROJETO PERFURAÇÃO'!$B:$B,0))="Production","P",IF(INDEX('PROJETO PERFURAÇÃO'!$P:$P,MATCH(MEDIÇÃO!D180,'PROJETO PERFURAÇÃO'!$B:$B,0))="Buffer","B",IF(INDEX('PROJETO PERFURAÇÃO'!$P:$P,MATCH(MEDIÇÃO!D180,'PROJETO PERFURAÇÃO'!$B:$B,0))="Pre-Splitting","S"))),"")</f>
        <v>P</v>
      </c>
      <c r="D180" s="14">
        <f t="shared" si="15"/>
        <v>366</v>
      </c>
      <c r="E180" s="4" t="str">
        <f>IFERROR(INDEX('LEV R&amp;D'!$D:$D,MATCH(MEDIÇÃO!D180,'LEV R&amp;D'!$A:$A,0))-INDEX('PROJETO PERFURAÇÃO'!$AH:$AH,MATCH(MEDIÇÃO!D180,'PROJETO PERFURAÇÃO'!$B:$B,0)),"")</f>
        <v/>
      </c>
      <c r="F180" s="17">
        <f>IFERROR(INDEX('PROJETO PERFURAÇÃO'!$AN:$AN,MATCH(MEDIÇÃO!D180,'PROJETO PERFURAÇÃO'!$B:$B,0)),"")</f>
        <v>0</v>
      </c>
      <c r="G180" s="3"/>
      <c r="H180" s="3"/>
      <c r="I180" s="3" t="str">
        <f>IFERROR(ROUND(INDEX('PROJETO PERFURAÇÃO'!$AB:$AB,MATCH(MEDIÇÃO!K180,'PROJETO PERFURAÇÃO'!$B:$B,0)),1)&amp;"''","")</f>
        <v>5''</v>
      </c>
      <c r="J180" s="3" t="str">
        <f>IFERROR(IF(INDEX('PROJETO PERFURAÇÃO'!$P:$P,MATCH(MEDIÇÃO!K180,'PROJETO PERFURAÇÃO'!$B:$B,0))="Production","P",IF(INDEX('PROJETO PERFURAÇÃO'!$P:$P,MATCH(MEDIÇÃO!K180,'PROJETO PERFURAÇÃO'!$B:$B,0))="Buffer","B",IF(INDEX('PROJETO PERFURAÇÃO'!$P:$P,MATCH(MEDIÇÃO!K180,'PROJETO PERFURAÇÃO'!$B:$B,0))="Pre-Splitting","S"))),"")</f>
        <v>P</v>
      </c>
      <c r="K180" s="14">
        <f t="shared" si="16"/>
        <v>389</v>
      </c>
      <c r="L180" s="4" t="str">
        <f>IFERROR(INDEX('LEV R&amp;D'!$D:$D,MATCH(MEDIÇÃO!K180,'LEV R&amp;D'!$A:$A,0))-INDEX('PROJETO PERFURAÇÃO'!$AH:$AH,MATCH(MEDIÇÃO!K180,'PROJETO PERFURAÇÃO'!$B:$B,0)),"")</f>
        <v/>
      </c>
      <c r="M180" s="17">
        <f>IFERROR(INDEX('PROJETO PERFURAÇÃO'!$AN:$AN,MATCH(MEDIÇÃO!K180,'PROJETO PERFURAÇÃO'!$B:$B,0)),"")</f>
        <v>0</v>
      </c>
      <c r="N180" s="3"/>
      <c r="O180" s="3"/>
      <c r="P180" s="3" t="str">
        <f>IFERROR(ROUND(INDEX('PROJETO PERFURAÇÃO'!$AB:$AB,MATCH(MEDIÇÃO!R180,'PROJETO PERFURAÇÃO'!$B:$B,0)),1)&amp;"''","")</f>
        <v>5''</v>
      </c>
      <c r="Q180" s="3" t="str">
        <f>IFERROR(IF(INDEX('PROJETO PERFURAÇÃO'!$P:$P,MATCH(MEDIÇÃO!R180,'PROJETO PERFURAÇÃO'!$B:$B,0))="Production","P",IF(INDEX('PROJETO PERFURAÇÃO'!$P:$P,MATCH(MEDIÇÃO!R180,'PROJETO PERFURAÇÃO'!$B:$B,0))="Buffer","B",IF(INDEX('PROJETO PERFURAÇÃO'!$P:$P,MATCH(MEDIÇÃO!R180,'PROJETO PERFURAÇÃO'!$B:$B,0))="Pre-Splitting","S"))),"")</f>
        <v>P</v>
      </c>
      <c r="R180" s="14">
        <f t="shared" si="17"/>
        <v>412</v>
      </c>
      <c r="S180" s="4" t="str">
        <f>IFERROR(INDEX('LEV R&amp;D'!$D:$D,MATCH(MEDIÇÃO!R180,'LEV R&amp;D'!$A:$A,0))-INDEX('PROJETO PERFURAÇÃO'!$AH:$AH,MATCH(MEDIÇÃO!R180,'PROJETO PERFURAÇÃO'!$B:$B,0)),"")</f>
        <v/>
      </c>
      <c r="T180" s="17">
        <f>IFERROR(INDEX('PROJETO PERFURAÇÃO'!$AN:$AN,MATCH(MEDIÇÃO!R180,'PROJETO PERFURAÇÃO'!$B:$B,0)),"")</f>
        <v>0</v>
      </c>
      <c r="U180" s="3"/>
      <c r="V180" s="3"/>
    </row>
    <row r="181" spans="1:23" ht="45" customHeight="1">
      <c r="B181" s="3" t="str">
        <f>IFERROR(ROUND(INDEX('PROJETO PERFURAÇÃO'!$AB:$AB,MATCH(MEDIÇÃO!D181,'PROJETO PERFURAÇÃO'!$B:$B,0)),1)&amp;"''","")</f>
        <v>5''</v>
      </c>
      <c r="C181" s="3" t="str">
        <f>IFERROR(IF(INDEX('PROJETO PERFURAÇÃO'!$P:$P,MATCH(MEDIÇÃO!D181,'PROJETO PERFURAÇÃO'!$B:$B,0))="Production","P",IF(INDEX('PROJETO PERFURAÇÃO'!$P:$P,MATCH(MEDIÇÃO!D181,'PROJETO PERFURAÇÃO'!$B:$B,0))="Buffer","B",IF(INDEX('PROJETO PERFURAÇÃO'!$P:$P,MATCH(MEDIÇÃO!D181,'PROJETO PERFURAÇÃO'!$B:$B,0))="Pre-Splitting","S"))),"")</f>
        <v>P</v>
      </c>
      <c r="D181" s="14">
        <f t="shared" si="15"/>
        <v>367</v>
      </c>
      <c r="E181" s="4" t="str">
        <f>IFERROR(INDEX('LEV R&amp;D'!$D:$D,MATCH(MEDIÇÃO!D181,'LEV R&amp;D'!$A:$A,0))-INDEX('PROJETO PERFURAÇÃO'!$AH:$AH,MATCH(MEDIÇÃO!D181,'PROJETO PERFURAÇÃO'!$B:$B,0)),"")</f>
        <v/>
      </c>
      <c r="F181" s="17">
        <f>IFERROR(INDEX('PROJETO PERFURAÇÃO'!$AN:$AN,MATCH(MEDIÇÃO!D181,'PROJETO PERFURAÇÃO'!$B:$B,0)),"")</f>
        <v>0</v>
      </c>
      <c r="G181" s="3"/>
      <c r="H181" s="3"/>
      <c r="I181" s="3" t="str">
        <f>IFERROR(ROUND(INDEX('PROJETO PERFURAÇÃO'!$AB:$AB,MATCH(MEDIÇÃO!K181,'PROJETO PERFURAÇÃO'!$B:$B,0)),1)&amp;"''","")</f>
        <v>5''</v>
      </c>
      <c r="J181" s="3" t="str">
        <f>IFERROR(IF(INDEX('PROJETO PERFURAÇÃO'!$P:$P,MATCH(MEDIÇÃO!K181,'PROJETO PERFURAÇÃO'!$B:$B,0))="Production","P",IF(INDEX('PROJETO PERFURAÇÃO'!$P:$P,MATCH(MEDIÇÃO!K181,'PROJETO PERFURAÇÃO'!$B:$B,0))="Buffer","B",IF(INDEX('PROJETO PERFURAÇÃO'!$P:$P,MATCH(MEDIÇÃO!K181,'PROJETO PERFURAÇÃO'!$B:$B,0))="Pre-Splitting","S"))),"")</f>
        <v>P</v>
      </c>
      <c r="K181" s="14">
        <f t="shared" si="16"/>
        <v>390</v>
      </c>
      <c r="L181" s="4" t="str">
        <f>IFERROR(INDEX('LEV R&amp;D'!$D:$D,MATCH(MEDIÇÃO!K181,'LEV R&amp;D'!$A:$A,0))-INDEX('PROJETO PERFURAÇÃO'!$AH:$AH,MATCH(MEDIÇÃO!K181,'PROJETO PERFURAÇÃO'!$B:$B,0)),"")</f>
        <v/>
      </c>
      <c r="M181" s="17">
        <f>IFERROR(INDEX('PROJETO PERFURAÇÃO'!$AN:$AN,MATCH(MEDIÇÃO!K181,'PROJETO PERFURAÇÃO'!$B:$B,0)),"")</f>
        <v>0</v>
      </c>
      <c r="N181" s="3"/>
      <c r="O181" s="3"/>
      <c r="P181" s="3" t="str">
        <f>IFERROR(ROUND(INDEX('PROJETO PERFURAÇÃO'!$AB:$AB,MATCH(MEDIÇÃO!R181,'PROJETO PERFURAÇÃO'!$B:$B,0)),1)&amp;"''","")</f>
        <v>5''</v>
      </c>
      <c r="Q181" s="3" t="str">
        <f>IFERROR(IF(INDEX('PROJETO PERFURAÇÃO'!$P:$P,MATCH(MEDIÇÃO!R181,'PROJETO PERFURAÇÃO'!$B:$B,0))="Production","P",IF(INDEX('PROJETO PERFURAÇÃO'!$P:$P,MATCH(MEDIÇÃO!R181,'PROJETO PERFURAÇÃO'!$B:$B,0))="Buffer","B",IF(INDEX('PROJETO PERFURAÇÃO'!$P:$P,MATCH(MEDIÇÃO!R181,'PROJETO PERFURAÇÃO'!$B:$B,0))="Pre-Splitting","S"))),"")</f>
        <v>P</v>
      </c>
      <c r="R181" s="14">
        <f t="shared" si="17"/>
        <v>413</v>
      </c>
      <c r="S181" s="4" t="str">
        <f>IFERROR(INDEX('LEV R&amp;D'!$D:$D,MATCH(MEDIÇÃO!R181,'LEV R&amp;D'!$A:$A,0))-INDEX('PROJETO PERFURAÇÃO'!$AH:$AH,MATCH(MEDIÇÃO!R181,'PROJETO PERFURAÇÃO'!$B:$B,0)),"")</f>
        <v/>
      </c>
      <c r="T181" s="17">
        <f>IFERROR(INDEX('PROJETO PERFURAÇÃO'!$AN:$AN,MATCH(MEDIÇÃO!R181,'PROJETO PERFURAÇÃO'!$B:$B,0)),"")</f>
        <v>0</v>
      </c>
      <c r="U181" s="3"/>
      <c r="V181" s="3"/>
    </row>
    <row r="182" spans="1:23" ht="45" customHeight="1">
      <c r="B182" s="3" t="str">
        <f>IFERROR(ROUND(INDEX('PROJETO PERFURAÇÃO'!$AB:$AB,MATCH(MEDIÇÃO!D182,'PROJETO PERFURAÇÃO'!$B:$B,0)),1)&amp;"''","")</f>
        <v>5''</v>
      </c>
      <c r="C182" s="3" t="str">
        <f>IFERROR(IF(INDEX('PROJETO PERFURAÇÃO'!$P:$P,MATCH(MEDIÇÃO!D182,'PROJETO PERFURAÇÃO'!$B:$B,0))="Production","P",IF(INDEX('PROJETO PERFURAÇÃO'!$P:$P,MATCH(MEDIÇÃO!D182,'PROJETO PERFURAÇÃO'!$B:$B,0))="Buffer","B",IF(INDEX('PROJETO PERFURAÇÃO'!$P:$P,MATCH(MEDIÇÃO!D182,'PROJETO PERFURAÇÃO'!$B:$B,0))="Pre-Splitting","S"))),"")</f>
        <v>P</v>
      </c>
      <c r="D182" s="14">
        <f t="shared" si="15"/>
        <v>368</v>
      </c>
      <c r="E182" s="4" t="str">
        <f>IFERROR(INDEX('LEV R&amp;D'!$D:$D,MATCH(MEDIÇÃO!D182,'LEV R&amp;D'!$A:$A,0))-INDEX('PROJETO PERFURAÇÃO'!$AH:$AH,MATCH(MEDIÇÃO!D182,'PROJETO PERFURAÇÃO'!$B:$B,0)),"")</f>
        <v/>
      </c>
      <c r="F182" s="17">
        <f>IFERROR(INDEX('PROJETO PERFURAÇÃO'!$AN:$AN,MATCH(MEDIÇÃO!D182,'PROJETO PERFURAÇÃO'!$B:$B,0)),"")</f>
        <v>0</v>
      </c>
      <c r="G182" s="3"/>
      <c r="H182" s="3"/>
      <c r="I182" s="3" t="str">
        <f>IFERROR(ROUND(INDEX('PROJETO PERFURAÇÃO'!$AB:$AB,MATCH(MEDIÇÃO!K182,'PROJETO PERFURAÇÃO'!$B:$B,0)),1)&amp;"''","")</f>
        <v>5''</v>
      </c>
      <c r="J182" s="3" t="str">
        <f>IFERROR(IF(INDEX('PROJETO PERFURAÇÃO'!$P:$P,MATCH(MEDIÇÃO!K182,'PROJETO PERFURAÇÃO'!$B:$B,0))="Production","P",IF(INDEX('PROJETO PERFURAÇÃO'!$P:$P,MATCH(MEDIÇÃO!K182,'PROJETO PERFURAÇÃO'!$B:$B,0))="Buffer","B",IF(INDEX('PROJETO PERFURAÇÃO'!$P:$P,MATCH(MEDIÇÃO!K182,'PROJETO PERFURAÇÃO'!$B:$B,0))="Pre-Splitting","S"))),"")</f>
        <v>P</v>
      </c>
      <c r="K182" s="14">
        <f t="shared" si="16"/>
        <v>391</v>
      </c>
      <c r="L182" s="4" t="str">
        <f>IFERROR(INDEX('LEV R&amp;D'!$D:$D,MATCH(MEDIÇÃO!K182,'LEV R&amp;D'!$A:$A,0))-INDEX('PROJETO PERFURAÇÃO'!$AH:$AH,MATCH(MEDIÇÃO!K182,'PROJETO PERFURAÇÃO'!$B:$B,0)),"")</f>
        <v/>
      </c>
      <c r="M182" s="17">
        <f>IFERROR(INDEX('PROJETO PERFURAÇÃO'!$AN:$AN,MATCH(MEDIÇÃO!K182,'PROJETO PERFURAÇÃO'!$B:$B,0)),"")</f>
        <v>0</v>
      </c>
      <c r="N182" s="3"/>
      <c r="O182" s="3"/>
      <c r="P182" s="3" t="str">
        <f>IFERROR(ROUND(INDEX('PROJETO PERFURAÇÃO'!$AB:$AB,MATCH(MEDIÇÃO!R182,'PROJETO PERFURAÇÃO'!$B:$B,0)),1)&amp;"''","")</f>
        <v>5''</v>
      </c>
      <c r="Q182" s="3" t="str">
        <f>IFERROR(IF(INDEX('PROJETO PERFURAÇÃO'!$P:$P,MATCH(MEDIÇÃO!R182,'PROJETO PERFURAÇÃO'!$B:$B,0))="Production","P",IF(INDEX('PROJETO PERFURAÇÃO'!$P:$P,MATCH(MEDIÇÃO!R182,'PROJETO PERFURAÇÃO'!$B:$B,0))="Buffer","B",IF(INDEX('PROJETO PERFURAÇÃO'!$P:$P,MATCH(MEDIÇÃO!R182,'PROJETO PERFURAÇÃO'!$B:$B,0))="Pre-Splitting","S"))),"")</f>
        <v>P</v>
      </c>
      <c r="R182" s="14">
        <f t="shared" si="17"/>
        <v>414</v>
      </c>
      <c r="S182" s="4" t="str">
        <f>IFERROR(INDEX('LEV R&amp;D'!$D:$D,MATCH(MEDIÇÃO!R182,'LEV R&amp;D'!$A:$A,0))-INDEX('PROJETO PERFURAÇÃO'!$AH:$AH,MATCH(MEDIÇÃO!R182,'PROJETO PERFURAÇÃO'!$B:$B,0)),"")</f>
        <v/>
      </c>
      <c r="T182" s="17">
        <f>IFERROR(INDEX('PROJETO PERFURAÇÃO'!$AN:$AN,MATCH(MEDIÇÃO!R182,'PROJETO PERFURAÇÃO'!$B:$B,0)),"")</f>
        <v>0</v>
      </c>
      <c r="U182" s="3"/>
      <c r="V182" s="3"/>
    </row>
    <row r="183" spans="1:23" ht="30" customHeight="1">
      <c r="B183" s="1"/>
      <c r="C183" s="1"/>
      <c r="D183" s="15"/>
      <c r="E183" s="2"/>
      <c r="F183" s="16"/>
      <c r="G183" s="1"/>
      <c r="H183" s="1"/>
      <c r="I183" s="1"/>
      <c r="J183" s="1"/>
      <c r="K183" s="15"/>
      <c r="L183" s="2"/>
      <c r="M183" s="16"/>
      <c r="N183" s="1"/>
      <c r="O183" s="1"/>
      <c r="P183" s="1"/>
      <c r="Q183" s="1"/>
      <c r="R183" s="15"/>
      <c r="S183" s="2"/>
      <c r="T183" s="16"/>
      <c r="U183" s="1"/>
      <c r="V183" s="1"/>
    </row>
    <row r="184" spans="1:23" ht="30" customHeight="1">
      <c r="C184" s="20"/>
      <c r="D184" s="20"/>
      <c r="E184" s="20"/>
      <c r="F184" s="20"/>
      <c r="G184" s="20"/>
      <c r="H184" s="20"/>
      <c r="I184" s="20"/>
      <c r="J184" s="20"/>
      <c r="K184" s="20"/>
      <c r="M184" s="20"/>
      <c r="N184" s="20"/>
      <c r="O184" s="20"/>
      <c r="P184" s="20"/>
      <c r="Q184" s="20"/>
      <c r="R184" s="20"/>
      <c r="S184" s="20"/>
      <c r="T184" s="20"/>
      <c r="U184" s="20"/>
    </row>
    <row r="185" spans="1:23" ht="30" customHeight="1">
      <c r="C185" s="21" t="s">
        <v>40</v>
      </c>
      <c r="D185" s="21"/>
      <c r="E185" s="21"/>
      <c r="F185" s="21"/>
      <c r="G185" s="21"/>
      <c r="H185" s="21"/>
      <c r="I185" s="21"/>
      <c r="J185" s="21"/>
      <c r="K185" s="21"/>
      <c r="L185" s="9"/>
      <c r="M185" s="21" t="s">
        <v>40</v>
      </c>
      <c r="N185" s="21"/>
      <c r="O185" s="21"/>
      <c r="P185" s="21"/>
      <c r="Q185" s="21"/>
      <c r="R185" s="21"/>
      <c r="S185" s="21"/>
      <c r="T185" s="21"/>
      <c r="U185" s="21"/>
      <c r="V185" s="9"/>
    </row>
    <row r="186" spans="1:23" ht="30" customHeight="1">
      <c r="D186" s="9"/>
      <c r="E186" s="9"/>
      <c r="F186" s="9"/>
      <c r="G186" s="9"/>
      <c r="H186" s="9"/>
      <c r="I186" s="9"/>
      <c r="J186" s="9"/>
      <c r="K186" s="9"/>
      <c r="L186" s="9"/>
      <c r="M186" s="9"/>
      <c r="N186" s="9"/>
      <c r="Q186" s="9"/>
      <c r="R186" s="9"/>
      <c r="S186" s="9"/>
      <c r="T186" s="9"/>
      <c r="U186" s="9"/>
      <c r="V186" s="9"/>
    </row>
    <row r="187" spans="1:23" ht="30" customHeight="1">
      <c r="B187" s="19" t="str">
        <f>'PROJETO PERFURAÇÃO'!$C$2&amp;" - "&amp;'PROJETO PERFURAÇÃO'!$H$2</f>
        <v>LIB037 - PP0370626</v>
      </c>
      <c r="C187" s="19"/>
      <c r="D187" s="19"/>
      <c r="E187" s="19"/>
      <c r="F187" s="19"/>
      <c r="G187" s="19"/>
      <c r="H187" s="19"/>
      <c r="I187" s="11" t="s">
        <v>34</v>
      </c>
      <c r="J187" s="10" t="s">
        <v>37</v>
      </c>
    </row>
    <row r="188" spans="1:23" ht="30" customHeight="1">
      <c r="B188" s="19"/>
      <c r="C188" s="19"/>
      <c r="D188" s="19"/>
      <c r="E188" s="19"/>
      <c r="F188" s="19"/>
      <c r="G188" s="19"/>
      <c r="H188" s="19"/>
      <c r="I188" s="12" t="s">
        <v>35</v>
      </c>
      <c r="J188" s="10" t="s">
        <v>38</v>
      </c>
      <c r="K188" s="9"/>
      <c r="L188" s="9"/>
      <c r="M188" s="9"/>
      <c r="N188" s="9"/>
      <c r="O188" s="9"/>
      <c r="P188" s="9"/>
      <c r="Q188" s="9"/>
      <c r="R188" s="9"/>
      <c r="S188" s="9"/>
      <c r="T188" s="9"/>
      <c r="U188" s="9"/>
      <c r="V188" s="9"/>
    </row>
    <row r="189" spans="1:23" ht="30" customHeight="1">
      <c r="B189" s="19"/>
      <c r="C189" s="19"/>
      <c r="D189" s="19"/>
      <c r="E189" s="19"/>
      <c r="F189" s="19"/>
      <c r="G189" s="19"/>
      <c r="H189" s="19"/>
      <c r="I189" s="13" t="s">
        <v>36</v>
      </c>
      <c r="J189" s="10" t="s">
        <v>39</v>
      </c>
    </row>
    <row r="190" spans="1:23" ht="30" customHeight="1">
      <c r="A190" s="1"/>
      <c r="B190" s="6" t="s">
        <v>33</v>
      </c>
      <c r="C190" s="6" t="s">
        <v>13</v>
      </c>
      <c r="D190" s="7" t="s">
        <v>1</v>
      </c>
      <c r="E190" s="7" t="s">
        <v>29</v>
      </c>
      <c r="F190" s="7" t="s">
        <v>30</v>
      </c>
      <c r="G190" s="7" t="s">
        <v>31</v>
      </c>
      <c r="H190" s="7" t="s">
        <v>32</v>
      </c>
      <c r="I190" s="6" t="s">
        <v>33</v>
      </c>
      <c r="J190" s="6" t="s">
        <v>13</v>
      </c>
      <c r="K190" s="7" t="s">
        <v>1</v>
      </c>
      <c r="L190" s="7" t="s">
        <v>29</v>
      </c>
      <c r="M190" s="7" t="s">
        <v>30</v>
      </c>
      <c r="N190" s="7" t="s">
        <v>31</v>
      </c>
      <c r="O190" s="7" t="s">
        <v>32</v>
      </c>
      <c r="P190" s="6" t="s">
        <v>33</v>
      </c>
      <c r="Q190" s="6" t="s">
        <v>13</v>
      </c>
      <c r="R190" s="7" t="s">
        <v>1</v>
      </c>
      <c r="S190" s="7" t="s">
        <v>29</v>
      </c>
      <c r="T190" s="7" t="s">
        <v>30</v>
      </c>
      <c r="U190" s="7" t="s">
        <v>31</v>
      </c>
      <c r="V190" s="7" t="s">
        <v>32</v>
      </c>
      <c r="W190" s="1"/>
    </row>
    <row r="191" spans="1:23" ht="45" customHeight="1">
      <c r="B191" s="3" t="str">
        <f>IFERROR(ROUND(INDEX('PROJETO PERFURAÇÃO'!$AB:$AB,MATCH(MEDIÇÃO!D191,'PROJETO PERFURAÇÃO'!$B:$B,0)),1)&amp;"''","")</f>
        <v>5''</v>
      </c>
      <c r="C191" s="3" t="str">
        <f>IFERROR(IF(INDEX('PROJETO PERFURAÇÃO'!$P:$P,MATCH(MEDIÇÃO!D191,'PROJETO PERFURAÇÃO'!$B:$B,0))="Production","P",IF(INDEX('PROJETO PERFURAÇÃO'!$P:$P,MATCH(MEDIÇÃO!D191,'PROJETO PERFURAÇÃO'!$B:$B,0))="Buffer","B",IF(INDEX('PROJETO PERFURAÇÃO'!$P:$P,MATCH(MEDIÇÃO!D191,'PROJETO PERFURAÇÃO'!$B:$B,0))="Pre-Splitting","S"))),"")</f>
        <v>P</v>
      </c>
      <c r="D191" s="14">
        <f>R182+1</f>
        <v>415</v>
      </c>
      <c r="E191" s="4" t="str">
        <f>IFERROR(INDEX('LEV R&amp;D'!$D:$D,MATCH(MEDIÇÃO!D191,'LEV R&amp;D'!$A:$A,0))-INDEX('PROJETO PERFURAÇÃO'!$AH:$AH,MATCH(MEDIÇÃO!D191,'PROJETO PERFURAÇÃO'!$B:$B,0)),"")</f>
        <v/>
      </c>
      <c r="F191" s="17">
        <f>IFERROR(INDEX('PROJETO PERFURAÇÃO'!$AN:$AN,MATCH(MEDIÇÃO!D191,'PROJETO PERFURAÇÃO'!$B:$B,0)),"")</f>
        <v>0</v>
      </c>
      <c r="G191" s="3"/>
      <c r="H191" s="3"/>
      <c r="I191" s="3" t="str">
        <f>IFERROR(ROUND(INDEX('PROJETO PERFURAÇÃO'!$AB:$AB,MATCH(MEDIÇÃO!K191,'PROJETO PERFURAÇÃO'!$B:$B,0)),1)&amp;"''","")</f>
        <v>5''</v>
      </c>
      <c r="J191" s="3" t="str">
        <f>IFERROR(IF(INDEX('PROJETO PERFURAÇÃO'!$P:$P,MATCH(MEDIÇÃO!K191,'PROJETO PERFURAÇÃO'!$B:$B,0))="Production","P",IF(INDEX('PROJETO PERFURAÇÃO'!$P:$P,MATCH(MEDIÇÃO!K191,'PROJETO PERFURAÇÃO'!$B:$B,0))="Buffer","B",IF(INDEX('PROJETO PERFURAÇÃO'!$P:$P,MATCH(MEDIÇÃO!K191,'PROJETO PERFURAÇÃO'!$B:$B,0))="Pre-Splitting","S"))),"")</f>
        <v>P</v>
      </c>
      <c r="K191" s="14">
        <f>D213+1</f>
        <v>438</v>
      </c>
      <c r="L191" s="4" t="str">
        <f>IFERROR(INDEX('LEV R&amp;D'!$D:$D,MATCH(MEDIÇÃO!K191,'LEV R&amp;D'!$A:$A,0))-INDEX('PROJETO PERFURAÇÃO'!$AH:$AH,MATCH(MEDIÇÃO!K191,'PROJETO PERFURAÇÃO'!$B:$B,0)),"")</f>
        <v/>
      </c>
      <c r="M191" s="17">
        <f>IFERROR(INDEX('PROJETO PERFURAÇÃO'!$AN:$AN,MATCH(MEDIÇÃO!K191,'PROJETO PERFURAÇÃO'!$B:$B,0)),"")</f>
        <v>0</v>
      </c>
      <c r="N191" s="3"/>
      <c r="O191" s="3"/>
      <c r="P191" s="3" t="str">
        <f>IFERROR(ROUND(INDEX('PROJETO PERFURAÇÃO'!$AB:$AB,MATCH(MEDIÇÃO!R191,'PROJETO PERFURAÇÃO'!$B:$B,0)),1)&amp;"''","")</f>
        <v>5''</v>
      </c>
      <c r="Q191" s="3" t="str">
        <f>IFERROR(IF(INDEX('PROJETO PERFURAÇÃO'!$P:$P,MATCH(MEDIÇÃO!R191,'PROJETO PERFURAÇÃO'!$B:$B,0))="Production","P",IF(INDEX('PROJETO PERFURAÇÃO'!$P:$P,MATCH(MEDIÇÃO!R191,'PROJETO PERFURAÇÃO'!$B:$B,0))="Buffer","B",IF(INDEX('PROJETO PERFURAÇÃO'!$P:$P,MATCH(MEDIÇÃO!R191,'PROJETO PERFURAÇÃO'!$B:$B,0))="Pre-Splitting","S"))),"")</f>
        <v>P</v>
      </c>
      <c r="R191" s="14">
        <f>K213+1</f>
        <v>461</v>
      </c>
      <c r="S191" s="4" t="str">
        <f>IFERROR(INDEX('LEV R&amp;D'!$D:$D,MATCH(MEDIÇÃO!R191,'LEV R&amp;D'!$A:$A,0))-INDEX('PROJETO PERFURAÇÃO'!$AH:$AH,MATCH(MEDIÇÃO!R191,'PROJETO PERFURAÇÃO'!$B:$B,0)),"")</f>
        <v/>
      </c>
      <c r="T191" s="17">
        <f>IFERROR(INDEX('PROJETO PERFURAÇÃO'!$AN:$AN,MATCH(MEDIÇÃO!R191,'PROJETO PERFURAÇÃO'!$B:$B,0)),"")</f>
        <v>0</v>
      </c>
      <c r="U191" s="3"/>
      <c r="V191" s="3"/>
    </row>
    <row r="192" spans="1:23" ht="45" customHeight="1">
      <c r="B192" s="3" t="str">
        <f>IFERROR(ROUND(INDEX('PROJETO PERFURAÇÃO'!$AB:$AB,MATCH(MEDIÇÃO!D192,'PROJETO PERFURAÇÃO'!$B:$B,0)),1)&amp;"''","")</f>
        <v>5''</v>
      </c>
      <c r="C192" s="3" t="str">
        <f>IFERROR(IF(INDEX('PROJETO PERFURAÇÃO'!$P:$P,MATCH(MEDIÇÃO!D192,'PROJETO PERFURAÇÃO'!$B:$B,0))="Production","P",IF(INDEX('PROJETO PERFURAÇÃO'!$P:$P,MATCH(MEDIÇÃO!D192,'PROJETO PERFURAÇÃO'!$B:$B,0))="Buffer","B",IF(INDEX('PROJETO PERFURAÇÃO'!$P:$P,MATCH(MEDIÇÃO!D192,'PROJETO PERFURAÇÃO'!$B:$B,0))="Pre-Splitting","S"))),"")</f>
        <v>P</v>
      </c>
      <c r="D192" s="14">
        <f>D191+1</f>
        <v>416</v>
      </c>
      <c r="E192" s="4" t="str">
        <f>IFERROR(INDEX('LEV R&amp;D'!$D:$D,MATCH(MEDIÇÃO!D192,'LEV R&amp;D'!$A:$A,0))-INDEX('PROJETO PERFURAÇÃO'!$AH:$AH,MATCH(MEDIÇÃO!D192,'PROJETO PERFURAÇÃO'!$B:$B,0)),"")</f>
        <v/>
      </c>
      <c r="F192" s="17">
        <f>IFERROR(INDEX('PROJETO PERFURAÇÃO'!$AN:$AN,MATCH(MEDIÇÃO!D192,'PROJETO PERFURAÇÃO'!$B:$B,0)),"")</f>
        <v>0</v>
      </c>
      <c r="G192" s="3"/>
      <c r="H192" s="3"/>
      <c r="I192" s="3" t="str">
        <f>IFERROR(ROUND(INDEX('PROJETO PERFURAÇÃO'!$AB:$AB,MATCH(MEDIÇÃO!K192,'PROJETO PERFURAÇÃO'!$B:$B,0)),1)&amp;"''","")</f>
        <v>5''</v>
      </c>
      <c r="J192" s="3" t="str">
        <f>IFERROR(IF(INDEX('PROJETO PERFURAÇÃO'!$P:$P,MATCH(MEDIÇÃO!K192,'PROJETO PERFURAÇÃO'!$B:$B,0))="Production","P",IF(INDEX('PROJETO PERFURAÇÃO'!$P:$P,MATCH(MEDIÇÃO!K192,'PROJETO PERFURAÇÃO'!$B:$B,0))="Buffer","B",IF(INDEX('PROJETO PERFURAÇÃO'!$P:$P,MATCH(MEDIÇÃO!K192,'PROJETO PERFURAÇÃO'!$B:$B,0))="Pre-Splitting","S"))),"")</f>
        <v>P</v>
      </c>
      <c r="K192" s="14">
        <f>K191+1</f>
        <v>439</v>
      </c>
      <c r="L192" s="4" t="str">
        <f>IFERROR(INDEX('LEV R&amp;D'!$D:$D,MATCH(MEDIÇÃO!K192,'LEV R&amp;D'!$A:$A,0))-INDEX('PROJETO PERFURAÇÃO'!$AH:$AH,MATCH(MEDIÇÃO!K192,'PROJETO PERFURAÇÃO'!$B:$B,0)),"")</f>
        <v/>
      </c>
      <c r="M192" s="17">
        <f>IFERROR(INDEX('PROJETO PERFURAÇÃO'!$AN:$AN,MATCH(MEDIÇÃO!K192,'PROJETO PERFURAÇÃO'!$B:$B,0)),"")</f>
        <v>0</v>
      </c>
      <c r="N192" s="3"/>
      <c r="O192" s="3"/>
      <c r="P192" s="3" t="str">
        <f>IFERROR(ROUND(INDEX('PROJETO PERFURAÇÃO'!$AB:$AB,MATCH(MEDIÇÃO!R192,'PROJETO PERFURAÇÃO'!$B:$B,0)),1)&amp;"''","")</f>
        <v>5''</v>
      </c>
      <c r="Q192" s="3" t="str">
        <f>IFERROR(IF(INDEX('PROJETO PERFURAÇÃO'!$P:$P,MATCH(MEDIÇÃO!R192,'PROJETO PERFURAÇÃO'!$B:$B,0))="Production","P",IF(INDEX('PROJETO PERFURAÇÃO'!$P:$P,MATCH(MEDIÇÃO!R192,'PROJETO PERFURAÇÃO'!$B:$B,0))="Buffer","B",IF(INDEX('PROJETO PERFURAÇÃO'!$P:$P,MATCH(MEDIÇÃO!R192,'PROJETO PERFURAÇÃO'!$B:$B,0))="Pre-Splitting","S"))),"")</f>
        <v>P</v>
      </c>
      <c r="R192" s="14">
        <f>R191+1</f>
        <v>462</v>
      </c>
      <c r="S192" s="4" t="str">
        <f>IFERROR(INDEX('LEV R&amp;D'!$D:$D,MATCH(MEDIÇÃO!R192,'LEV R&amp;D'!$A:$A,0))-INDEX('PROJETO PERFURAÇÃO'!$AH:$AH,MATCH(MEDIÇÃO!R192,'PROJETO PERFURAÇÃO'!$B:$B,0)),"")</f>
        <v/>
      </c>
      <c r="T192" s="17">
        <f>IFERROR(INDEX('PROJETO PERFURAÇÃO'!$AN:$AN,MATCH(MEDIÇÃO!R192,'PROJETO PERFURAÇÃO'!$B:$B,0)),"")</f>
        <v>0</v>
      </c>
      <c r="U192" s="3"/>
      <c r="V192" s="3"/>
    </row>
    <row r="193" spans="2:22" ht="45" customHeight="1">
      <c r="B193" s="3" t="str">
        <f>IFERROR(ROUND(INDEX('PROJETO PERFURAÇÃO'!$AB:$AB,MATCH(MEDIÇÃO!D193,'PROJETO PERFURAÇÃO'!$B:$B,0)),1)&amp;"''","")</f>
        <v>5''</v>
      </c>
      <c r="C193" s="3" t="str">
        <f>IFERROR(IF(INDEX('PROJETO PERFURAÇÃO'!$P:$P,MATCH(MEDIÇÃO!D193,'PROJETO PERFURAÇÃO'!$B:$B,0))="Production","P",IF(INDEX('PROJETO PERFURAÇÃO'!$P:$P,MATCH(MEDIÇÃO!D193,'PROJETO PERFURAÇÃO'!$B:$B,0))="Buffer","B",IF(INDEX('PROJETO PERFURAÇÃO'!$P:$P,MATCH(MEDIÇÃO!D193,'PROJETO PERFURAÇÃO'!$B:$B,0))="Pre-Splitting","S"))),"")</f>
        <v>P</v>
      </c>
      <c r="D193" s="14">
        <f t="shared" ref="D193:D213" si="18">D192+1</f>
        <v>417</v>
      </c>
      <c r="E193" s="4" t="str">
        <f>IFERROR(INDEX('LEV R&amp;D'!$D:$D,MATCH(MEDIÇÃO!D193,'LEV R&amp;D'!$A:$A,0))-INDEX('PROJETO PERFURAÇÃO'!$AH:$AH,MATCH(MEDIÇÃO!D193,'PROJETO PERFURAÇÃO'!$B:$B,0)),"")</f>
        <v/>
      </c>
      <c r="F193" s="17">
        <f>IFERROR(INDEX('PROJETO PERFURAÇÃO'!$AN:$AN,MATCH(MEDIÇÃO!D193,'PROJETO PERFURAÇÃO'!$B:$B,0)),"")</f>
        <v>0</v>
      </c>
      <c r="G193" s="3"/>
      <c r="H193" s="3"/>
      <c r="I193" s="3" t="str">
        <f>IFERROR(ROUND(INDEX('PROJETO PERFURAÇÃO'!$AB:$AB,MATCH(MEDIÇÃO!K193,'PROJETO PERFURAÇÃO'!$B:$B,0)),1)&amp;"''","")</f>
        <v>5''</v>
      </c>
      <c r="J193" s="3" t="str">
        <f>IFERROR(IF(INDEX('PROJETO PERFURAÇÃO'!$P:$P,MATCH(MEDIÇÃO!K193,'PROJETO PERFURAÇÃO'!$B:$B,0))="Production","P",IF(INDEX('PROJETO PERFURAÇÃO'!$P:$P,MATCH(MEDIÇÃO!K193,'PROJETO PERFURAÇÃO'!$B:$B,0))="Buffer","B",IF(INDEX('PROJETO PERFURAÇÃO'!$P:$P,MATCH(MEDIÇÃO!K193,'PROJETO PERFURAÇÃO'!$B:$B,0))="Pre-Splitting","S"))),"")</f>
        <v>P</v>
      </c>
      <c r="K193" s="14">
        <f t="shared" ref="K193:K213" si="19">K192+1</f>
        <v>440</v>
      </c>
      <c r="L193" s="4" t="str">
        <f>IFERROR(INDEX('LEV R&amp;D'!$D:$D,MATCH(MEDIÇÃO!K193,'LEV R&amp;D'!$A:$A,0))-INDEX('PROJETO PERFURAÇÃO'!$AH:$AH,MATCH(MEDIÇÃO!K193,'PROJETO PERFURAÇÃO'!$B:$B,0)),"")</f>
        <v/>
      </c>
      <c r="M193" s="17">
        <f>IFERROR(INDEX('PROJETO PERFURAÇÃO'!$AN:$AN,MATCH(MEDIÇÃO!K193,'PROJETO PERFURAÇÃO'!$B:$B,0)),"")</f>
        <v>0</v>
      </c>
      <c r="N193" s="3"/>
      <c r="O193" s="3"/>
      <c r="P193" s="3" t="str">
        <f>IFERROR(ROUND(INDEX('PROJETO PERFURAÇÃO'!$AB:$AB,MATCH(MEDIÇÃO!R193,'PROJETO PERFURAÇÃO'!$B:$B,0)),1)&amp;"''","")</f>
        <v>5''</v>
      </c>
      <c r="Q193" s="3" t="str">
        <f>IFERROR(IF(INDEX('PROJETO PERFURAÇÃO'!$P:$P,MATCH(MEDIÇÃO!R193,'PROJETO PERFURAÇÃO'!$B:$B,0))="Production","P",IF(INDEX('PROJETO PERFURAÇÃO'!$P:$P,MATCH(MEDIÇÃO!R193,'PROJETO PERFURAÇÃO'!$B:$B,0))="Buffer","B",IF(INDEX('PROJETO PERFURAÇÃO'!$P:$P,MATCH(MEDIÇÃO!R193,'PROJETO PERFURAÇÃO'!$B:$B,0))="Pre-Splitting","S"))),"")</f>
        <v>P</v>
      </c>
      <c r="R193" s="14">
        <f t="shared" ref="R193:R213" si="20">R192+1</f>
        <v>463</v>
      </c>
      <c r="S193" s="4" t="str">
        <f>IFERROR(INDEX('LEV R&amp;D'!$D:$D,MATCH(MEDIÇÃO!R193,'LEV R&amp;D'!$A:$A,0))-INDEX('PROJETO PERFURAÇÃO'!$AH:$AH,MATCH(MEDIÇÃO!R193,'PROJETO PERFURAÇÃO'!$B:$B,0)),"")</f>
        <v/>
      </c>
      <c r="T193" s="17">
        <f>IFERROR(INDEX('PROJETO PERFURAÇÃO'!$AN:$AN,MATCH(MEDIÇÃO!R193,'PROJETO PERFURAÇÃO'!$B:$B,0)),"")</f>
        <v>0</v>
      </c>
      <c r="U193" s="3"/>
      <c r="V193" s="3"/>
    </row>
    <row r="194" spans="2:22" ht="45" customHeight="1">
      <c r="B194" s="3" t="str">
        <f>IFERROR(ROUND(INDEX('PROJETO PERFURAÇÃO'!$AB:$AB,MATCH(MEDIÇÃO!D194,'PROJETO PERFURAÇÃO'!$B:$B,0)),1)&amp;"''","")</f>
        <v>5''</v>
      </c>
      <c r="C194" s="3" t="str">
        <f>IFERROR(IF(INDEX('PROJETO PERFURAÇÃO'!$P:$P,MATCH(MEDIÇÃO!D194,'PROJETO PERFURAÇÃO'!$B:$B,0))="Production","P",IF(INDEX('PROJETO PERFURAÇÃO'!$P:$P,MATCH(MEDIÇÃO!D194,'PROJETO PERFURAÇÃO'!$B:$B,0))="Buffer","B",IF(INDEX('PROJETO PERFURAÇÃO'!$P:$P,MATCH(MEDIÇÃO!D194,'PROJETO PERFURAÇÃO'!$B:$B,0))="Pre-Splitting","S"))),"")</f>
        <v>P</v>
      </c>
      <c r="D194" s="14">
        <f t="shared" si="18"/>
        <v>418</v>
      </c>
      <c r="E194" s="4" t="str">
        <f>IFERROR(INDEX('LEV R&amp;D'!$D:$D,MATCH(MEDIÇÃO!D194,'LEV R&amp;D'!$A:$A,0))-INDEX('PROJETO PERFURAÇÃO'!$AH:$AH,MATCH(MEDIÇÃO!D194,'PROJETO PERFURAÇÃO'!$B:$B,0)),"")</f>
        <v/>
      </c>
      <c r="F194" s="17">
        <f>IFERROR(INDEX('PROJETO PERFURAÇÃO'!$AN:$AN,MATCH(MEDIÇÃO!D194,'PROJETO PERFURAÇÃO'!$B:$B,0)),"")</f>
        <v>0</v>
      </c>
      <c r="G194" s="3"/>
      <c r="H194" s="3"/>
      <c r="I194" s="3" t="str">
        <f>IFERROR(ROUND(INDEX('PROJETO PERFURAÇÃO'!$AB:$AB,MATCH(MEDIÇÃO!K194,'PROJETO PERFURAÇÃO'!$B:$B,0)),1)&amp;"''","")</f>
        <v>5''</v>
      </c>
      <c r="J194" s="3" t="str">
        <f>IFERROR(IF(INDEX('PROJETO PERFURAÇÃO'!$P:$P,MATCH(MEDIÇÃO!K194,'PROJETO PERFURAÇÃO'!$B:$B,0))="Production","P",IF(INDEX('PROJETO PERFURAÇÃO'!$P:$P,MATCH(MEDIÇÃO!K194,'PROJETO PERFURAÇÃO'!$B:$B,0))="Buffer","B",IF(INDEX('PROJETO PERFURAÇÃO'!$P:$P,MATCH(MEDIÇÃO!K194,'PROJETO PERFURAÇÃO'!$B:$B,0))="Pre-Splitting","S"))),"")</f>
        <v>P</v>
      </c>
      <c r="K194" s="14">
        <f t="shared" si="19"/>
        <v>441</v>
      </c>
      <c r="L194" s="4" t="str">
        <f>IFERROR(INDEX('LEV R&amp;D'!$D:$D,MATCH(MEDIÇÃO!K194,'LEV R&amp;D'!$A:$A,0))-INDEX('PROJETO PERFURAÇÃO'!$AH:$AH,MATCH(MEDIÇÃO!K194,'PROJETO PERFURAÇÃO'!$B:$B,0)),"")</f>
        <v/>
      </c>
      <c r="M194" s="17">
        <f>IFERROR(INDEX('PROJETO PERFURAÇÃO'!$AN:$AN,MATCH(MEDIÇÃO!K194,'PROJETO PERFURAÇÃO'!$B:$B,0)),"")</f>
        <v>0</v>
      </c>
      <c r="N194" s="3"/>
      <c r="O194" s="3"/>
      <c r="P194" s="3" t="str">
        <f>IFERROR(ROUND(INDEX('PROJETO PERFURAÇÃO'!$AB:$AB,MATCH(MEDIÇÃO!R194,'PROJETO PERFURAÇÃO'!$B:$B,0)),1)&amp;"''","")</f>
        <v>5''</v>
      </c>
      <c r="Q194" s="3" t="str">
        <f>IFERROR(IF(INDEX('PROJETO PERFURAÇÃO'!$P:$P,MATCH(MEDIÇÃO!R194,'PROJETO PERFURAÇÃO'!$B:$B,0))="Production","P",IF(INDEX('PROJETO PERFURAÇÃO'!$P:$P,MATCH(MEDIÇÃO!R194,'PROJETO PERFURAÇÃO'!$B:$B,0))="Buffer","B",IF(INDEX('PROJETO PERFURAÇÃO'!$P:$P,MATCH(MEDIÇÃO!R194,'PROJETO PERFURAÇÃO'!$B:$B,0))="Pre-Splitting","S"))),"")</f>
        <v>P</v>
      </c>
      <c r="R194" s="14">
        <f t="shared" si="20"/>
        <v>464</v>
      </c>
      <c r="S194" s="4" t="str">
        <f>IFERROR(INDEX('LEV R&amp;D'!$D:$D,MATCH(MEDIÇÃO!R194,'LEV R&amp;D'!$A:$A,0))-INDEX('PROJETO PERFURAÇÃO'!$AH:$AH,MATCH(MEDIÇÃO!R194,'PROJETO PERFURAÇÃO'!$B:$B,0)),"")</f>
        <v/>
      </c>
      <c r="T194" s="17">
        <f>IFERROR(INDEX('PROJETO PERFURAÇÃO'!$AN:$AN,MATCH(MEDIÇÃO!R194,'PROJETO PERFURAÇÃO'!$B:$B,0)),"")</f>
        <v>0</v>
      </c>
      <c r="U194" s="3"/>
      <c r="V194" s="3"/>
    </row>
    <row r="195" spans="2:22" ht="45" customHeight="1">
      <c r="B195" s="3" t="str">
        <f>IFERROR(ROUND(INDEX('PROJETO PERFURAÇÃO'!$AB:$AB,MATCH(MEDIÇÃO!D195,'PROJETO PERFURAÇÃO'!$B:$B,0)),1)&amp;"''","")</f>
        <v>5''</v>
      </c>
      <c r="C195" s="3" t="str">
        <f>IFERROR(IF(INDEX('PROJETO PERFURAÇÃO'!$P:$P,MATCH(MEDIÇÃO!D195,'PROJETO PERFURAÇÃO'!$B:$B,0))="Production","P",IF(INDEX('PROJETO PERFURAÇÃO'!$P:$P,MATCH(MEDIÇÃO!D195,'PROJETO PERFURAÇÃO'!$B:$B,0))="Buffer","B",IF(INDEX('PROJETO PERFURAÇÃO'!$P:$P,MATCH(MEDIÇÃO!D195,'PROJETO PERFURAÇÃO'!$B:$B,0))="Pre-Splitting","S"))),"")</f>
        <v>P</v>
      </c>
      <c r="D195" s="14">
        <f t="shared" si="18"/>
        <v>419</v>
      </c>
      <c r="E195" s="4" t="str">
        <f>IFERROR(INDEX('LEV R&amp;D'!$D:$D,MATCH(MEDIÇÃO!D195,'LEV R&amp;D'!$A:$A,0))-INDEX('PROJETO PERFURAÇÃO'!$AH:$AH,MATCH(MEDIÇÃO!D195,'PROJETO PERFURAÇÃO'!$B:$B,0)),"")</f>
        <v/>
      </c>
      <c r="F195" s="17">
        <f>IFERROR(INDEX('PROJETO PERFURAÇÃO'!$AN:$AN,MATCH(MEDIÇÃO!D195,'PROJETO PERFURAÇÃO'!$B:$B,0)),"")</f>
        <v>0</v>
      </c>
      <c r="G195" s="3"/>
      <c r="H195" s="3"/>
      <c r="I195" s="3" t="str">
        <f>IFERROR(ROUND(INDEX('PROJETO PERFURAÇÃO'!$AB:$AB,MATCH(MEDIÇÃO!K195,'PROJETO PERFURAÇÃO'!$B:$B,0)),1)&amp;"''","")</f>
        <v>5''</v>
      </c>
      <c r="J195" s="3" t="str">
        <f>IFERROR(IF(INDEX('PROJETO PERFURAÇÃO'!$P:$P,MATCH(MEDIÇÃO!K195,'PROJETO PERFURAÇÃO'!$B:$B,0))="Production","P",IF(INDEX('PROJETO PERFURAÇÃO'!$P:$P,MATCH(MEDIÇÃO!K195,'PROJETO PERFURAÇÃO'!$B:$B,0))="Buffer","B",IF(INDEX('PROJETO PERFURAÇÃO'!$P:$P,MATCH(MEDIÇÃO!K195,'PROJETO PERFURAÇÃO'!$B:$B,0))="Pre-Splitting","S"))),"")</f>
        <v>P</v>
      </c>
      <c r="K195" s="14">
        <f t="shared" si="19"/>
        <v>442</v>
      </c>
      <c r="L195" s="4" t="str">
        <f>IFERROR(INDEX('LEV R&amp;D'!$D:$D,MATCH(MEDIÇÃO!K195,'LEV R&amp;D'!$A:$A,0))-INDEX('PROJETO PERFURAÇÃO'!$AH:$AH,MATCH(MEDIÇÃO!K195,'PROJETO PERFURAÇÃO'!$B:$B,0)),"")</f>
        <v/>
      </c>
      <c r="M195" s="17">
        <f>IFERROR(INDEX('PROJETO PERFURAÇÃO'!$AN:$AN,MATCH(MEDIÇÃO!K195,'PROJETO PERFURAÇÃO'!$B:$B,0)),"")</f>
        <v>0</v>
      </c>
      <c r="N195" s="3"/>
      <c r="O195" s="3"/>
      <c r="P195" s="3" t="str">
        <f>IFERROR(ROUND(INDEX('PROJETO PERFURAÇÃO'!$AB:$AB,MATCH(MEDIÇÃO!R195,'PROJETO PERFURAÇÃO'!$B:$B,0)),1)&amp;"''","")</f>
        <v>5''</v>
      </c>
      <c r="Q195" s="3" t="str">
        <f>IFERROR(IF(INDEX('PROJETO PERFURAÇÃO'!$P:$P,MATCH(MEDIÇÃO!R195,'PROJETO PERFURAÇÃO'!$B:$B,0))="Production","P",IF(INDEX('PROJETO PERFURAÇÃO'!$P:$P,MATCH(MEDIÇÃO!R195,'PROJETO PERFURAÇÃO'!$B:$B,0))="Buffer","B",IF(INDEX('PROJETO PERFURAÇÃO'!$P:$P,MATCH(MEDIÇÃO!R195,'PROJETO PERFURAÇÃO'!$B:$B,0))="Pre-Splitting","S"))),"")</f>
        <v>P</v>
      </c>
      <c r="R195" s="14">
        <f t="shared" si="20"/>
        <v>465</v>
      </c>
      <c r="S195" s="4" t="str">
        <f>IFERROR(INDEX('LEV R&amp;D'!$D:$D,MATCH(MEDIÇÃO!R195,'LEV R&amp;D'!$A:$A,0))-INDEX('PROJETO PERFURAÇÃO'!$AH:$AH,MATCH(MEDIÇÃO!R195,'PROJETO PERFURAÇÃO'!$B:$B,0)),"")</f>
        <v/>
      </c>
      <c r="T195" s="17">
        <f>IFERROR(INDEX('PROJETO PERFURAÇÃO'!$AN:$AN,MATCH(MEDIÇÃO!R195,'PROJETO PERFURAÇÃO'!$B:$B,0)),"")</f>
        <v>0</v>
      </c>
      <c r="U195" s="3"/>
      <c r="V195" s="3"/>
    </row>
    <row r="196" spans="2:22" ht="45" customHeight="1">
      <c r="B196" s="3" t="str">
        <f>IFERROR(ROUND(INDEX('PROJETO PERFURAÇÃO'!$AB:$AB,MATCH(MEDIÇÃO!D196,'PROJETO PERFURAÇÃO'!$B:$B,0)),1)&amp;"''","")</f>
        <v>5''</v>
      </c>
      <c r="C196" s="3" t="str">
        <f>IFERROR(IF(INDEX('PROJETO PERFURAÇÃO'!$P:$P,MATCH(MEDIÇÃO!D196,'PROJETO PERFURAÇÃO'!$B:$B,0))="Production","P",IF(INDEX('PROJETO PERFURAÇÃO'!$P:$P,MATCH(MEDIÇÃO!D196,'PROJETO PERFURAÇÃO'!$B:$B,0))="Buffer","B",IF(INDEX('PROJETO PERFURAÇÃO'!$P:$P,MATCH(MEDIÇÃO!D196,'PROJETO PERFURAÇÃO'!$B:$B,0))="Pre-Splitting","S"))),"")</f>
        <v>P</v>
      </c>
      <c r="D196" s="14">
        <f t="shared" si="18"/>
        <v>420</v>
      </c>
      <c r="E196" s="4" t="str">
        <f>IFERROR(INDEX('LEV R&amp;D'!$D:$D,MATCH(MEDIÇÃO!D196,'LEV R&amp;D'!$A:$A,0))-INDEX('PROJETO PERFURAÇÃO'!$AH:$AH,MATCH(MEDIÇÃO!D196,'PROJETO PERFURAÇÃO'!$B:$B,0)),"")</f>
        <v/>
      </c>
      <c r="F196" s="17">
        <f>IFERROR(INDEX('PROJETO PERFURAÇÃO'!$AN:$AN,MATCH(MEDIÇÃO!D196,'PROJETO PERFURAÇÃO'!$B:$B,0)),"")</f>
        <v>0</v>
      </c>
      <c r="G196" s="3"/>
      <c r="H196" s="3"/>
      <c r="I196" s="3" t="str">
        <f>IFERROR(ROUND(INDEX('PROJETO PERFURAÇÃO'!$AB:$AB,MATCH(MEDIÇÃO!K196,'PROJETO PERFURAÇÃO'!$B:$B,0)),1)&amp;"''","")</f>
        <v>5''</v>
      </c>
      <c r="J196" s="3" t="str">
        <f>IFERROR(IF(INDEX('PROJETO PERFURAÇÃO'!$P:$P,MATCH(MEDIÇÃO!K196,'PROJETO PERFURAÇÃO'!$B:$B,0))="Production","P",IF(INDEX('PROJETO PERFURAÇÃO'!$P:$P,MATCH(MEDIÇÃO!K196,'PROJETO PERFURAÇÃO'!$B:$B,0))="Buffer","B",IF(INDEX('PROJETO PERFURAÇÃO'!$P:$P,MATCH(MEDIÇÃO!K196,'PROJETO PERFURAÇÃO'!$B:$B,0))="Pre-Splitting","S"))),"")</f>
        <v>P</v>
      </c>
      <c r="K196" s="14">
        <f t="shared" si="19"/>
        <v>443</v>
      </c>
      <c r="L196" s="4" t="str">
        <f>IFERROR(INDEX('LEV R&amp;D'!$D:$D,MATCH(MEDIÇÃO!K196,'LEV R&amp;D'!$A:$A,0))-INDEX('PROJETO PERFURAÇÃO'!$AH:$AH,MATCH(MEDIÇÃO!K196,'PROJETO PERFURAÇÃO'!$B:$B,0)),"")</f>
        <v/>
      </c>
      <c r="M196" s="17">
        <f>IFERROR(INDEX('PROJETO PERFURAÇÃO'!$AN:$AN,MATCH(MEDIÇÃO!K196,'PROJETO PERFURAÇÃO'!$B:$B,0)),"")</f>
        <v>0</v>
      </c>
      <c r="N196" s="3"/>
      <c r="O196" s="3"/>
      <c r="P196" s="3" t="str">
        <f>IFERROR(ROUND(INDEX('PROJETO PERFURAÇÃO'!$AB:$AB,MATCH(MEDIÇÃO!R196,'PROJETO PERFURAÇÃO'!$B:$B,0)),1)&amp;"''","")</f>
        <v>5''</v>
      </c>
      <c r="Q196" s="3" t="str">
        <f>IFERROR(IF(INDEX('PROJETO PERFURAÇÃO'!$P:$P,MATCH(MEDIÇÃO!R196,'PROJETO PERFURAÇÃO'!$B:$B,0))="Production","P",IF(INDEX('PROJETO PERFURAÇÃO'!$P:$P,MATCH(MEDIÇÃO!R196,'PROJETO PERFURAÇÃO'!$B:$B,0))="Buffer","B",IF(INDEX('PROJETO PERFURAÇÃO'!$P:$P,MATCH(MEDIÇÃO!R196,'PROJETO PERFURAÇÃO'!$B:$B,0))="Pre-Splitting","S"))),"")</f>
        <v>P</v>
      </c>
      <c r="R196" s="14">
        <f t="shared" si="20"/>
        <v>466</v>
      </c>
      <c r="S196" s="4" t="str">
        <f>IFERROR(INDEX('LEV R&amp;D'!$D:$D,MATCH(MEDIÇÃO!R196,'LEV R&amp;D'!$A:$A,0))-INDEX('PROJETO PERFURAÇÃO'!$AH:$AH,MATCH(MEDIÇÃO!R196,'PROJETO PERFURAÇÃO'!$B:$B,0)),"")</f>
        <v/>
      </c>
      <c r="T196" s="17">
        <f>IFERROR(INDEX('PROJETO PERFURAÇÃO'!$AN:$AN,MATCH(MEDIÇÃO!R196,'PROJETO PERFURAÇÃO'!$B:$B,0)),"")</f>
        <v>0</v>
      </c>
      <c r="U196" s="3"/>
      <c r="V196" s="3"/>
    </row>
    <row r="197" spans="2:22" ht="45" customHeight="1">
      <c r="B197" s="3" t="str">
        <f>IFERROR(ROUND(INDEX('PROJETO PERFURAÇÃO'!$AB:$AB,MATCH(MEDIÇÃO!D197,'PROJETO PERFURAÇÃO'!$B:$B,0)),1)&amp;"''","")</f>
        <v>5''</v>
      </c>
      <c r="C197" s="3" t="str">
        <f>IFERROR(IF(INDEX('PROJETO PERFURAÇÃO'!$P:$P,MATCH(MEDIÇÃO!D197,'PROJETO PERFURAÇÃO'!$B:$B,0))="Production","P",IF(INDEX('PROJETO PERFURAÇÃO'!$P:$P,MATCH(MEDIÇÃO!D197,'PROJETO PERFURAÇÃO'!$B:$B,0))="Buffer","B",IF(INDEX('PROJETO PERFURAÇÃO'!$P:$P,MATCH(MEDIÇÃO!D197,'PROJETO PERFURAÇÃO'!$B:$B,0))="Pre-Splitting","S"))),"")</f>
        <v>P</v>
      </c>
      <c r="D197" s="14">
        <f t="shared" si="18"/>
        <v>421</v>
      </c>
      <c r="E197" s="4" t="str">
        <f>IFERROR(INDEX('LEV R&amp;D'!$D:$D,MATCH(MEDIÇÃO!D197,'LEV R&amp;D'!$A:$A,0))-INDEX('PROJETO PERFURAÇÃO'!$AH:$AH,MATCH(MEDIÇÃO!D197,'PROJETO PERFURAÇÃO'!$B:$B,0)),"")</f>
        <v/>
      </c>
      <c r="F197" s="17">
        <f>IFERROR(INDEX('PROJETO PERFURAÇÃO'!$AN:$AN,MATCH(MEDIÇÃO!D197,'PROJETO PERFURAÇÃO'!$B:$B,0)),"")</f>
        <v>0</v>
      </c>
      <c r="G197" s="3"/>
      <c r="H197" s="3"/>
      <c r="I197" s="3" t="str">
        <f>IFERROR(ROUND(INDEX('PROJETO PERFURAÇÃO'!$AB:$AB,MATCH(MEDIÇÃO!K197,'PROJETO PERFURAÇÃO'!$B:$B,0)),1)&amp;"''","")</f>
        <v>5''</v>
      </c>
      <c r="J197" s="3" t="str">
        <f>IFERROR(IF(INDEX('PROJETO PERFURAÇÃO'!$P:$P,MATCH(MEDIÇÃO!K197,'PROJETO PERFURAÇÃO'!$B:$B,0))="Production","P",IF(INDEX('PROJETO PERFURAÇÃO'!$P:$P,MATCH(MEDIÇÃO!K197,'PROJETO PERFURAÇÃO'!$B:$B,0))="Buffer","B",IF(INDEX('PROJETO PERFURAÇÃO'!$P:$P,MATCH(MEDIÇÃO!K197,'PROJETO PERFURAÇÃO'!$B:$B,0))="Pre-Splitting","S"))),"")</f>
        <v>P</v>
      </c>
      <c r="K197" s="14">
        <f t="shared" si="19"/>
        <v>444</v>
      </c>
      <c r="L197" s="4" t="str">
        <f>IFERROR(INDEX('LEV R&amp;D'!$D:$D,MATCH(MEDIÇÃO!K197,'LEV R&amp;D'!$A:$A,0))-INDEX('PROJETO PERFURAÇÃO'!$AH:$AH,MATCH(MEDIÇÃO!K197,'PROJETO PERFURAÇÃO'!$B:$B,0)),"")</f>
        <v/>
      </c>
      <c r="M197" s="17">
        <f>IFERROR(INDEX('PROJETO PERFURAÇÃO'!$AN:$AN,MATCH(MEDIÇÃO!K197,'PROJETO PERFURAÇÃO'!$B:$B,0)),"")</f>
        <v>0</v>
      </c>
      <c r="N197" s="3"/>
      <c r="O197" s="3"/>
      <c r="P197" s="3" t="str">
        <f>IFERROR(ROUND(INDEX('PROJETO PERFURAÇÃO'!$AB:$AB,MATCH(MEDIÇÃO!R197,'PROJETO PERFURAÇÃO'!$B:$B,0)),1)&amp;"''","")</f>
        <v>5''</v>
      </c>
      <c r="Q197" s="3" t="str">
        <f>IFERROR(IF(INDEX('PROJETO PERFURAÇÃO'!$P:$P,MATCH(MEDIÇÃO!R197,'PROJETO PERFURAÇÃO'!$B:$B,0))="Production","P",IF(INDEX('PROJETO PERFURAÇÃO'!$P:$P,MATCH(MEDIÇÃO!R197,'PROJETO PERFURAÇÃO'!$B:$B,0))="Buffer","B",IF(INDEX('PROJETO PERFURAÇÃO'!$P:$P,MATCH(MEDIÇÃO!R197,'PROJETO PERFURAÇÃO'!$B:$B,0))="Pre-Splitting","S"))),"")</f>
        <v>P</v>
      </c>
      <c r="R197" s="14">
        <f t="shared" si="20"/>
        <v>467</v>
      </c>
      <c r="S197" s="4" t="str">
        <f>IFERROR(INDEX('LEV R&amp;D'!$D:$D,MATCH(MEDIÇÃO!R197,'LEV R&amp;D'!$A:$A,0))-INDEX('PROJETO PERFURAÇÃO'!$AH:$AH,MATCH(MEDIÇÃO!R197,'PROJETO PERFURAÇÃO'!$B:$B,0)),"")</f>
        <v/>
      </c>
      <c r="T197" s="17">
        <f>IFERROR(INDEX('PROJETO PERFURAÇÃO'!$AN:$AN,MATCH(MEDIÇÃO!R197,'PROJETO PERFURAÇÃO'!$B:$B,0)),"")</f>
        <v>0</v>
      </c>
      <c r="U197" s="3"/>
      <c r="V197" s="3"/>
    </row>
    <row r="198" spans="2:22" ht="45" customHeight="1">
      <c r="B198" s="3" t="str">
        <f>IFERROR(ROUND(INDEX('PROJETO PERFURAÇÃO'!$AB:$AB,MATCH(MEDIÇÃO!D198,'PROJETO PERFURAÇÃO'!$B:$B,0)),1)&amp;"''","")</f>
        <v>5''</v>
      </c>
      <c r="C198" s="3" t="str">
        <f>IFERROR(IF(INDEX('PROJETO PERFURAÇÃO'!$P:$P,MATCH(MEDIÇÃO!D198,'PROJETO PERFURAÇÃO'!$B:$B,0))="Production","P",IF(INDEX('PROJETO PERFURAÇÃO'!$P:$P,MATCH(MEDIÇÃO!D198,'PROJETO PERFURAÇÃO'!$B:$B,0))="Buffer","B",IF(INDEX('PROJETO PERFURAÇÃO'!$P:$P,MATCH(MEDIÇÃO!D198,'PROJETO PERFURAÇÃO'!$B:$B,0))="Pre-Splitting","S"))),"")</f>
        <v>P</v>
      </c>
      <c r="D198" s="14">
        <f t="shared" si="18"/>
        <v>422</v>
      </c>
      <c r="E198" s="4" t="str">
        <f>IFERROR(INDEX('LEV R&amp;D'!$D:$D,MATCH(MEDIÇÃO!D198,'LEV R&amp;D'!$A:$A,0))-INDEX('PROJETO PERFURAÇÃO'!$AH:$AH,MATCH(MEDIÇÃO!D198,'PROJETO PERFURAÇÃO'!$B:$B,0)),"")</f>
        <v/>
      </c>
      <c r="F198" s="17">
        <f>IFERROR(INDEX('PROJETO PERFURAÇÃO'!$AN:$AN,MATCH(MEDIÇÃO!D198,'PROJETO PERFURAÇÃO'!$B:$B,0)),"")</f>
        <v>0</v>
      </c>
      <c r="G198" s="3"/>
      <c r="H198" s="3"/>
      <c r="I198" s="3" t="str">
        <f>IFERROR(ROUND(INDEX('PROJETO PERFURAÇÃO'!$AB:$AB,MATCH(MEDIÇÃO!K198,'PROJETO PERFURAÇÃO'!$B:$B,0)),1)&amp;"''","")</f>
        <v>5''</v>
      </c>
      <c r="J198" s="3" t="str">
        <f>IFERROR(IF(INDEX('PROJETO PERFURAÇÃO'!$P:$P,MATCH(MEDIÇÃO!K198,'PROJETO PERFURAÇÃO'!$B:$B,0))="Production","P",IF(INDEX('PROJETO PERFURAÇÃO'!$P:$P,MATCH(MEDIÇÃO!K198,'PROJETO PERFURAÇÃO'!$B:$B,0))="Buffer","B",IF(INDEX('PROJETO PERFURAÇÃO'!$P:$P,MATCH(MEDIÇÃO!K198,'PROJETO PERFURAÇÃO'!$B:$B,0))="Pre-Splitting","S"))),"")</f>
        <v>P</v>
      </c>
      <c r="K198" s="14">
        <f t="shared" si="19"/>
        <v>445</v>
      </c>
      <c r="L198" s="4" t="str">
        <f>IFERROR(INDEX('LEV R&amp;D'!$D:$D,MATCH(MEDIÇÃO!K198,'LEV R&amp;D'!$A:$A,0))-INDEX('PROJETO PERFURAÇÃO'!$AH:$AH,MATCH(MEDIÇÃO!K198,'PROJETO PERFURAÇÃO'!$B:$B,0)),"")</f>
        <v/>
      </c>
      <c r="M198" s="17">
        <f>IFERROR(INDEX('PROJETO PERFURAÇÃO'!$AN:$AN,MATCH(MEDIÇÃO!K198,'PROJETO PERFURAÇÃO'!$B:$B,0)),"")</f>
        <v>0</v>
      </c>
      <c r="N198" s="3"/>
      <c r="O198" s="3"/>
      <c r="P198" s="3" t="str">
        <f>IFERROR(ROUND(INDEX('PROJETO PERFURAÇÃO'!$AB:$AB,MATCH(MEDIÇÃO!R198,'PROJETO PERFURAÇÃO'!$B:$B,0)),1)&amp;"''","")</f>
        <v>5''</v>
      </c>
      <c r="Q198" s="3" t="str">
        <f>IFERROR(IF(INDEX('PROJETO PERFURAÇÃO'!$P:$P,MATCH(MEDIÇÃO!R198,'PROJETO PERFURAÇÃO'!$B:$B,0))="Production","P",IF(INDEX('PROJETO PERFURAÇÃO'!$P:$P,MATCH(MEDIÇÃO!R198,'PROJETO PERFURAÇÃO'!$B:$B,0))="Buffer","B",IF(INDEX('PROJETO PERFURAÇÃO'!$P:$P,MATCH(MEDIÇÃO!R198,'PROJETO PERFURAÇÃO'!$B:$B,0))="Pre-Splitting","S"))),"")</f>
        <v>P</v>
      </c>
      <c r="R198" s="14">
        <f t="shared" si="20"/>
        <v>468</v>
      </c>
      <c r="S198" s="4" t="str">
        <f>IFERROR(INDEX('LEV R&amp;D'!$D:$D,MATCH(MEDIÇÃO!R198,'LEV R&amp;D'!$A:$A,0))-INDEX('PROJETO PERFURAÇÃO'!$AH:$AH,MATCH(MEDIÇÃO!R198,'PROJETO PERFURAÇÃO'!$B:$B,0)),"")</f>
        <v/>
      </c>
      <c r="T198" s="17">
        <f>IFERROR(INDEX('PROJETO PERFURAÇÃO'!$AN:$AN,MATCH(MEDIÇÃO!R198,'PROJETO PERFURAÇÃO'!$B:$B,0)),"")</f>
        <v>0</v>
      </c>
      <c r="U198" s="3"/>
      <c r="V198" s="3"/>
    </row>
    <row r="199" spans="2:22" ht="45" customHeight="1">
      <c r="B199" s="3" t="str">
        <f>IFERROR(ROUND(INDEX('PROJETO PERFURAÇÃO'!$AB:$AB,MATCH(MEDIÇÃO!D199,'PROJETO PERFURAÇÃO'!$B:$B,0)),1)&amp;"''","")</f>
        <v>5''</v>
      </c>
      <c r="C199" s="3" t="str">
        <f>IFERROR(IF(INDEX('PROJETO PERFURAÇÃO'!$P:$P,MATCH(MEDIÇÃO!D199,'PROJETO PERFURAÇÃO'!$B:$B,0))="Production","P",IF(INDEX('PROJETO PERFURAÇÃO'!$P:$P,MATCH(MEDIÇÃO!D199,'PROJETO PERFURAÇÃO'!$B:$B,0))="Buffer","B",IF(INDEX('PROJETO PERFURAÇÃO'!$P:$P,MATCH(MEDIÇÃO!D199,'PROJETO PERFURAÇÃO'!$B:$B,0))="Pre-Splitting","S"))),"")</f>
        <v>P</v>
      </c>
      <c r="D199" s="14">
        <f t="shared" si="18"/>
        <v>423</v>
      </c>
      <c r="E199" s="4" t="str">
        <f>IFERROR(INDEX('LEV R&amp;D'!$D:$D,MATCH(MEDIÇÃO!D199,'LEV R&amp;D'!$A:$A,0))-INDEX('PROJETO PERFURAÇÃO'!$AH:$AH,MATCH(MEDIÇÃO!D199,'PROJETO PERFURAÇÃO'!$B:$B,0)),"")</f>
        <v/>
      </c>
      <c r="F199" s="17">
        <f>IFERROR(INDEX('PROJETO PERFURAÇÃO'!$AN:$AN,MATCH(MEDIÇÃO!D199,'PROJETO PERFURAÇÃO'!$B:$B,0)),"")</f>
        <v>0</v>
      </c>
      <c r="G199" s="3"/>
      <c r="H199" s="3"/>
      <c r="I199" s="3" t="str">
        <f>IFERROR(ROUND(INDEX('PROJETO PERFURAÇÃO'!$AB:$AB,MATCH(MEDIÇÃO!K199,'PROJETO PERFURAÇÃO'!$B:$B,0)),1)&amp;"''","")</f>
        <v>5''</v>
      </c>
      <c r="J199" s="3" t="str">
        <f>IFERROR(IF(INDEX('PROJETO PERFURAÇÃO'!$P:$P,MATCH(MEDIÇÃO!K199,'PROJETO PERFURAÇÃO'!$B:$B,0))="Production","P",IF(INDEX('PROJETO PERFURAÇÃO'!$P:$P,MATCH(MEDIÇÃO!K199,'PROJETO PERFURAÇÃO'!$B:$B,0))="Buffer","B",IF(INDEX('PROJETO PERFURAÇÃO'!$P:$P,MATCH(MEDIÇÃO!K199,'PROJETO PERFURAÇÃO'!$B:$B,0))="Pre-Splitting","S"))),"")</f>
        <v>P</v>
      </c>
      <c r="K199" s="14">
        <f t="shared" si="19"/>
        <v>446</v>
      </c>
      <c r="L199" s="4" t="str">
        <f>IFERROR(INDEX('LEV R&amp;D'!$D:$D,MATCH(MEDIÇÃO!K199,'LEV R&amp;D'!$A:$A,0))-INDEX('PROJETO PERFURAÇÃO'!$AH:$AH,MATCH(MEDIÇÃO!K199,'PROJETO PERFURAÇÃO'!$B:$B,0)),"")</f>
        <v/>
      </c>
      <c r="M199" s="17">
        <f>IFERROR(INDEX('PROJETO PERFURAÇÃO'!$AN:$AN,MATCH(MEDIÇÃO!K199,'PROJETO PERFURAÇÃO'!$B:$B,0)),"")</f>
        <v>0</v>
      </c>
      <c r="N199" s="3"/>
      <c r="O199" s="3"/>
      <c r="P199" s="3" t="str">
        <f>IFERROR(ROUND(INDEX('PROJETO PERFURAÇÃO'!$AB:$AB,MATCH(MEDIÇÃO!R199,'PROJETO PERFURAÇÃO'!$B:$B,0)),1)&amp;"''","")</f>
        <v>5''</v>
      </c>
      <c r="Q199" s="3" t="str">
        <f>IFERROR(IF(INDEX('PROJETO PERFURAÇÃO'!$P:$P,MATCH(MEDIÇÃO!R199,'PROJETO PERFURAÇÃO'!$B:$B,0))="Production","P",IF(INDEX('PROJETO PERFURAÇÃO'!$P:$P,MATCH(MEDIÇÃO!R199,'PROJETO PERFURAÇÃO'!$B:$B,0))="Buffer","B",IF(INDEX('PROJETO PERFURAÇÃO'!$P:$P,MATCH(MEDIÇÃO!R199,'PROJETO PERFURAÇÃO'!$B:$B,0))="Pre-Splitting","S"))),"")</f>
        <v>P</v>
      </c>
      <c r="R199" s="14">
        <f t="shared" si="20"/>
        <v>469</v>
      </c>
      <c r="S199" s="4" t="str">
        <f>IFERROR(INDEX('LEV R&amp;D'!$D:$D,MATCH(MEDIÇÃO!R199,'LEV R&amp;D'!$A:$A,0))-INDEX('PROJETO PERFURAÇÃO'!$AH:$AH,MATCH(MEDIÇÃO!R199,'PROJETO PERFURAÇÃO'!$B:$B,0)),"")</f>
        <v/>
      </c>
      <c r="T199" s="17">
        <f>IFERROR(INDEX('PROJETO PERFURAÇÃO'!$AN:$AN,MATCH(MEDIÇÃO!R199,'PROJETO PERFURAÇÃO'!$B:$B,0)),"")</f>
        <v>0</v>
      </c>
      <c r="U199" s="3"/>
      <c r="V199" s="3"/>
    </row>
    <row r="200" spans="2:22" ht="45" customHeight="1">
      <c r="B200" s="3" t="str">
        <f>IFERROR(ROUND(INDEX('PROJETO PERFURAÇÃO'!$AB:$AB,MATCH(MEDIÇÃO!D200,'PROJETO PERFURAÇÃO'!$B:$B,0)),1)&amp;"''","")</f>
        <v>5''</v>
      </c>
      <c r="C200" s="3" t="str">
        <f>IFERROR(IF(INDEX('PROJETO PERFURAÇÃO'!$P:$P,MATCH(MEDIÇÃO!D200,'PROJETO PERFURAÇÃO'!$B:$B,0))="Production","P",IF(INDEX('PROJETO PERFURAÇÃO'!$P:$P,MATCH(MEDIÇÃO!D200,'PROJETO PERFURAÇÃO'!$B:$B,0))="Buffer","B",IF(INDEX('PROJETO PERFURAÇÃO'!$P:$P,MATCH(MEDIÇÃO!D200,'PROJETO PERFURAÇÃO'!$B:$B,0))="Pre-Splitting","S"))),"")</f>
        <v>P</v>
      </c>
      <c r="D200" s="14">
        <f t="shared" si="18"/>
        <v>424</v>
      </c>
      <c r="E200" s="4" t="str">
        <f>IFERROR(INDEX('LEV R&amp;D'!$D:$D,MATCH(MEDIÇÃO!D200,'LEV R&amp;D'!$A:$A,0))-INDEX('PROJETO PERFURAÇÃO'!$AH:$AH,MATCH(MEDIÇÃO!D200,'PROJETO PERFURAÇÃO'!$B:$B,0)),"")</f>
        <v/>
      </c>
      <c r="F200" s="17">
        <f>IFERROR(INDEX('PROJETO PERFURAÇÃO'!$AN:$AN,MATCH(MEDIÇÃO!D200,'PROJETO PERFURAÇÃO'!$B:$B,0)),"")</f>
        <v>0</v>
      </c>
      <c r="G200" s="3"/>
      <c r="H200" s="3"/>
      <c r="I200" s="3" t="str">
        <f>IFERROR(ROUND(INDEX('PROJETO PERFURAÇÃO'!$AB:$AB,MATCH(MEDIÇÃO!K200,'PROJETO PERFURAÇÃO'!$B:$B,0)),1)&amp;"''","")</f>
        <v>5''</v>
      </c>
      <c r="J200" s="3" t="str">
        <f>IFERROR(IF(INDEX('PROJETO PERFURAÇÃO'!$P:$P,MATCH(MEDIÇÃO!K200,'PROJETO PERFURAÇÃO'!$B:$B,0))="Production","P",IF(INDEX('PROJETO PERFURAÇÃO'!$P:$P,MATCH(MEDIÇÃO!K200,'PROJETO PERFURAÇÃO'!$B:$B,0))="Buffer","B",IF(INDEX('PROJETO PERFURAÇÃO'!$P:$P,MATCH(MEDIÇÃO!K200,'PROJETO PERFURAÇÃO'!$B:$B,0))="Pre-Splitting","S"))),"")</f>
        <v>P</v>
      </c>
      <c r="K200" s="14">
        <f t="shared" si="19"/>
        <v>447</v>
      </c>
      <c r="L200" s="4" t="str">
        <f>IFERROR(INDEX('LEV R&amp;D'!$D:$D,MATCH(MEDIÇÃO!K200,'LEV R&amp;D'!$A:$A,0))-INDEX('PROJETO PERFURAÇÃO'!$AH:$AH,MATCH(MEDIÇÃO!K200,'PROJETO PERFURAÇÃO'!$B:$B,0)),"")</f>
        <v/>
      </c>
      <c r="M200" s="17">
        <f>IFERROR(INDEX('PROJETO PERFURAÇÃO'!$AN:$AN,MATCH(MEDIÇÃO!K200,'PROJETO PERFURAÇÃO'!$B:$B,0)),"")</f>
        <v>0</v>
      </c>
      <c r="N200" s="3"/>
      <c r="O200" s="3"/>
      <c r="P200" s="3" t="str">
        <f>IFERROR(ROUND(INDEX('PROJETO PERFURAÇÃO'!$AB:$AB,MATCH(MEDIÇÃO!R200,'PROJETO PERFURAÇÃO'!$B:$B,0)),1)&amp;"''","")</f>
        <v>5''</v>
      </c>
      <c r="Q200" s="3" t="str">
        <f>IFERROR(IF(INDEX('PROJETO PERFURAÇÃO'!$P:$P,MATCH(MEDIÇÃO!R200,'PROJETO PERFURAÇÃO'!$B:$B,0))="Production","P",IF(INDEX('PROJETO PERFURAÇÃO'!$P:$P,MATCH(MEDIÇÃO!R200,'PROJETO PERFURAÇÃO'!$B:$B,0))="Buffer","B",IF(INDEX('PROJETO PERFURAÇÃO'!$P:$P,MATCH(MEDIÇÃO!R200,'PROJETO PERFURAÇÃO'!$B:$B,0))="Pre-Splitting","S"))),"")</f>
        <v>P</v>
      </c>
      <c r="R200" s="14">
        <f t="shared" si="20"/>
        <v>470</v>
      </c>
      <c r="S200" s="4" t="str">
        <f>IFERROR(INDEX('LEV R&amp;D'!$D:$D,MATCH(MEDIÇÃO!R200,'LEV R&amp;D'!$A:$A,0))-INDEX('PROJETO PERFURAÇÃO'!$AH:$AH,MATCH(MEDIÇÃO!R200,'PROJETO PERFURAÇÃO'!$B:$B,0)),"")</f>
        <v/>
      </c>
      <c r="T200" s="17">
        <f>IFERROR(INDEX('PROJETO PERFURAÇÃO'!$AN:$AN,MATCH(MEDIÇÃO!R200,'PROJETO PERFURAÇÃO'!$B:$B,0)),"")</f>
        <v>0</v>
      </c>
      <c r="U200" s="3"/>
      <c r="V200" s="3"/>
    </row>
    <row r="201" spans="2:22" ht="45" customHeight="1">
      <c r="B201" s="3" t="str">
        <f>IFERROR(ROUND(INDEX('PROJETO PERFURAÇÃO'!$AB:$AB,MATCH(MEDIÇÃO!D201,'PROJETO PERFURAÇÃO'!$B:$B,0)),1)&amp;"''","")</f>
        <v>5''</v>
      </c>
      <c r="C201" s="3" t="str">
        <f>IFERROR(IF(INDEX('PROJETO PERFURAÇÃO'!$P:$P,MATCH(MEDIÇÃO!D201,'PROJETO PERFURAÇÃO'!$B:$B,0))="Production","P",IF(INDEX('PROJETO PERFURAÇÃO'!$P:$P,MATCH(MEDIÇÃO!D201,'PROJETO PERFURAÇÃO'!$B:$B,0))="Buffer","B",IF(INDEX('PROJETO PERFURAÇÃO'!$P:$P,MATCH(MEDIÇÃO!D201,'PROJETO PERFURAÇÃO'!$B:$B,0))="Pre-Splitting","S"))),"")</f>
        <v>P</v>
      </c>
      <c r="D201" s="14">
        <f t="shared" si="18"/>
        <v>425</v>
      </c>
      <c r="E201" s="4" t="str">
        <f>IFERROR(INDEX('LEV R&amp;D'!$D:$D,MATCH(MEDIÇÃO!D201,'LEV R&amp;D'!$A:$A,0))-INDEX('PROJETO PERFURAÇÃO'!$AH:$AH,MATCH(MEDIÇÃO!D201,'PROJETO PERFURAÇÃO'!$B:$B,0)),"")</f>
        <v/>
      </c>
      <c r="F201" s="17">
        <f>IFERROR(INDEX('PROJETO PERFURAÇÃO'!$AN:$AN,MATCH(MEDIÇÃO!D201,'PROJETO PERFURAÇÃO'!$B:$B,0)),"")</f>
        <v>0</v>
      </c>
      <c r="G201" s="3"/>
      <c r="H201" s="3"/>
      <c r="I201" s="3" t="str">
        <f>IFERROR(ROUND(INDEX('PROJETO PERFURAÇÃO'!$AB:$AB,MATCH(MEDIÇÃO!K201,'PROJETO PERFURAÇÃO'!$B:$B,0)),1)&amp;"''","")</f>
        <v>5''</v>
      </c>
      <c r="J201" s="3" t="str">
        <f>IFERROR(IF(INDEX('PROJETO PERFURAÇÃO'!$P:$P,MATCH(MEDIÇÃO!K201,'PROJETO PERFURAÇÃO'!$B:$B,0))="Production","P",IF(INDEX('PROJETO PERFURAÇÃO'!$P:$P,MATCH(MEDIÇÃO!K201,'PROJETO PERFURAÇÃO'!$B:$B,0))="Buffer","B",IF(INDEX('PROJETO PERFURAÇÃO'!$P:$P,MATCH(MEDIÇÃO!K201,'PROJETO PERFURAÇÃO'!$B:$B,0))="Pre-Splitting","S"))),"")</f>
        <v>P</v>
      </c>
      <c r="K201" s="14">
        <f t="shared" si="19"/>
        <v>448</v>
      </c>
      <c r="L201" s="4" t="str">
        <f>IFERROR(INDEX('LEV R&amp;D'!$D:$D,MATCH(MEDIÇÃO!K201,'LEV R&amp;D'!$A:$A,0))-INDEX('PROJETO PERFURAÇÃO'!$AH:$AH,MATCH(MEDIÇÃO!K201,'PROJETO PERFURAÇÃO'!$B:$B,0)),"")</f>
        <v/>
      </c>
      <c r="M201" s="17">
        <f>IFERROR(INDEX('PROJETO PERFURAÇÃO'!$AN:$AN,MATCH(MEDIÇÃO!K201,'PROJETO PERFURAÇÃO'!$B:$B,0)),"")</f>
        <v>0</v>
      </c>
      <c r="N201" s="3"/>
      <c r="O201" s="3"/>
      <c r="P201" s="3" t="str">
        <f>IFERROR(ROUND(INDEX('PROJETO PERFURAÇÃO'!$AB:$AB,MATCH(MEDIÇÃO!R201,'PROJETO PERFURAÇÃO'!$B:$B,0)),1)&amp;"''","")</f>
        <v>5''</v>
      </c>
      <c r="Q201" s="3" t="str">
        <f>IFERROR(IF(INDEX('PROJETO PERFURAÇÃO'!$P:$P,MATCH(MEDIÇÃO!R201,'PROJETO PERFURAÇÃO'!$B:$B,0))="Production","P",IF(INDEX('PROJETO PERFURAÇÃO'!$P:$P,MATCH(MEDIÇÃO!R201,'PROJETO PERFURAÇÃO'!$B:$B,0))="Buffer","B",IF(INDEX('PROJETO PERFURAÇÃO'!$P:$P,MATCH(MEDIÇÃO!R201,'PROJETO PERFURAÇÃO'!$B:$B,0))="Pre-Splitting","S"))),"")</f>
        <v>P</v>
      </c>
      <c r="R201" s="14">
        <f t="shared" si="20"/>
        <v>471</v>
      </c>
      <c r="S201" s="4" t="str">
        <f>IFERROR(INDEX('LEV R&amp;D'!$D:$D,MATCH(MEDIÇÃO!R201,'LEV R&amp;D'!$A:$A,0))-INDEX('PROJETO PERFURAÇÃO'!$AH:$AH,MATCH(MEDIÇÃO!R201,'PROJETO PERFURAÇÃO'!$B:$B,0)),"")</f>
        <v/>
      </c>
      <c r="T201" s="17">
        <f>IFERROR(INDEX('PROJETO PERFURAÇÃO'!$AN:$AN,MATCH(MEDIÇÃO!R201,'PROJETO PERFURAÇÃO'!$B:$B,0)),"")</f>
        <v>0</v>
      </c>
      <c r="U201" s="3"/>
      <c r="V201" s="3"/>
    </row>
    <row r="202" spans="2:22" ht="45" customHeight="1">
      <c r="B202" s="3" t="str">
        <f>IFERROR(ROUND(INDEX('PROJETO PERFURAÇÃO'!$AB:$AB,MATCH(MEDIÇÃO!D202,'PROJETO PERFURAÇÃO'!$B:$B,0)),1)&amp;"''","")</f>
        <v>5''</v>
      </c>
      <c r="C202" s="3" t="str">
        <f>IFERROR(IF(INDEX('PROJETO PERFURAÇÃO'!$P:$P,MATCH(MEDIÇÃO!D202,'PROJETO PERFURAÇÃO'!$B:$B,0))="Production","P",IF(INDEX('PROJETO PERFURAÇÃO'!$P:$P,MATCH(MEDIÇÃO!D202,'PROJETO PERFURAÇÃO'!$B:$B,0))="Buffer","B",IF(INDEX('PROJETO PERFURAÇÃO'!$P:$P,MATCH(MEDIÇÃO!D202,'PROJETO PERFURAÇÃO'!$B:$B,0))="Pre-Splitting","S"))),"")</f>
        <v>P</v>
      </c>
      <c r="D202" s="14">
        <f t="shared" si="18"/>
        <v>426</v>
      </c>
      <c r="E202" s="4" t="str">
        <f>IFERROR(INDEX('LEV R&amp;D'!$D:$D,MATCH(MEDIÇÃO!D202,'LEV R&amp;D'!$A:$A,0))-INDEX('PROJETO PERFURAÇÃO'!$AH:$AH,MATCH(MEDIÇÃO!D202,'PROJETO PERFURAÇÃO'!$B:$B,0)),"")</f>
        <v/>
      </c>
      <c r="F202" s="17">
        <f>IFERROR(INDEX('PROJETO PERFURAÇÃO'!$AN:$AN,MATCH(MEDIÇÃO!D202,'PROJETO PERFURAÇÃO'!$B:$B,0)),"")</f>
        <v>0</v>
      </c>
      <c r="G202" s="3"/>
      <c r="H202" s="3"/>
      <c r="I202" s="3" t="str">
        <f>IFERROR(ROUND(INDEX('PROJETO PERFURAÇÃO'!$AB:$AB,MATCH(MEDIÇÃO!K202,'PROJETO PERFURAÇÃO'!$B:$B,0)),1)&amp;"''","")</f>
        <v>5''</v>
      </c>
      <c r="J202" s="3" t="str">
        <f>IFERROR(IF(INDEX('PROJETO PERFURAÇÃO'!$P:$P,MATCH(MEDIÇÃO!K202,'PROJETO PERFURAÇÃO'!$B:$B,0))="Production","P",IF(INDEX('PROJETO PERFURAÇÃO'!$P:$P,MATCH(MEDIÇÃO!K202,'PROJETO PERFURAÇÃO'!$B:$B,0))="Buffer","B",IF(INDEX('PROJETO PERFURAÇÃO'!$P:$P,MATCH(MEDIÇÃO!K202,'PROJETO PERFURAÇÃO'!$B:$B,0))="Pre-Splitting","S"))),"")</f>
        <v>P</v>
      </c>
      <c r="K202" s="14">
        <f t="shared" si="19"/>
        <v>449</v>
      </c>
      <c r="L202" s="4" t="str">
        <f>IFERROR(INDEX('LEV R&amp;D'!$D:$D,MATCH(MEDIÇÃO!K202,'LEV R&amp;D'!$A:$A,0))-INDEX('PROJETO PERFURAÇÃO'!$AH:$AH,MATCH(MEDIÇÃO!K202,'PROJETO PERFURAÇÃO'!$B:$B,0)),"")</f>
        <v/>
      </c>
      <c r="M202" s="17">
        <f>IFERROR(INDEX('PROJETO PERFURAÇÃO'!$AN:$AN,MATCH(MEDIÇÃO!K202,'PROJETO PERFURAÇÃO'!$B:$B,0)),"")</f>
        <v>0</v>
      </c>
      <c r="N202" s="3"/>
      <c r="O202" s="3"/>
      <c r="P202" s="3" t="str">
        <f>IFERROR(ROUND(INDEX('PROJETO PERFURAÇÃO'!$AB:$AB,MATCH(MEDIÇÃO!R202,'PROJETO PERFURAÇÃO'!$B:$B,0)),1)&amp;"''","")</f>
        <v>5''</v>
      </c>
      <c r="Q202" s="3" t="str">
        <f>IFERROR(IF(INDEX('PROJETO PERFURAÇÃO'!$P:$P,MATCH(MEDIÇÃO!R202,'PROJETO PERFURAÇÃO'!$B:$B,0))="Production","P",IF(INDEX('PROJETO PERFURAÇÃO'!$P:$P,MATCH(MEDIÇÃO!R202,'PROJETO PERFURAÇÃO'!$B:$B,0))="Buffer","B",IF(INDEX('PROJETO PERFURAÇÃO'!$P:$P,MATCH(MEDIÇÃO!R202,'PROJETO PERFURAÇÃO'!$B:$B,0))="Pre-Splitting","S"))),"")</f>
        <v>P</v>
      </c>
      <c r="R202" s="14">
        <f t="shared" si="20"/>
        <v>472</v>
      </c>
      <c r="S202" s="4" t="str">
        <f>IFERROR(INDEX('LEV R&amp;D'!$D:$D,MATCH(MEDIÇÃO!R202,'LEV R&amp;D'!$A:$A,0))-INDEX('PROJETO PERFURAÇÃO'!$AH:$AH,MATCH(MEDIÇÃO!R202,'PROJETO PERFURAÇÃO'!$B:$B,0)),"")</f>
        <v/>
      </c>
      <c r="T202" s="17">
        <f>IFERROR(INDEX('PROJETO PERFURAÇÃO'!$AN:$AN,MATCH(MEDIÇÃO!R202,'PROJETO PERFURAÇÃO'!$B:$B,0)),"")</f>
        <v>0</v>
      </c>
      <c r="U202" s="3"/>
      <c r="V202" s="3"/>
    </row>
    <row r="203" spans="2:22" ht="45" customHeight="1">
      <c r="B203" s="3" t="str">
        <f>IFERROR(ROUND(INDEX('PROJETO PERFURAÇÃO'!$AB:$AB,MATCH(MEDIÇÃO!D203,'PROJETO PERFURAÇÃO'!$B:$B,0)),1)&amp;"''","")</f>
        <v>5''</v>
      </c>
      <c r="C203" s="3" t="str">
        <f>IFERROR(IF(INDEX('PROJETO PERFURAÇÃO'!$P:$P,MATCH(MEDIÇÃO!D203,'PROJETO PERFURAÇÃO'!$B:$B,0))="Production","P",IF(INDEX('PROJETO PERFURAÇÃO'!$P:$P,MATCH(MEDIÇÃO!D203,'PROJETO PERFURAÇÃO'!$B:$B,0))="Buffer","B",IF(INDEX('PROJETO PERFURAÇÃO'!$P:$P,MATCH(MEDIÇÃO!D203,'PROJETO PERFURAÇÃO'!$B:$B,0))="Pre-Splitting","S"))),"")</f>
        <v>P</v>
      </c>
      <c r="D203" s="14">
        <f t="shared" si="18"/>
        <v>427</v>
      </c>
      <c r="E203" s="4" t="str">
        <f>IFERROR(INDEX('LEV R&amp;D'!$D:$D,MATCH(MEDIÇÃO!D203,'LEV R&amp;D'!$A:$A,0))-INDEX('PROJETO PERFURAÇÃO'!$AH:$AH,MATCH(MEDIÇÃO!D203,'PROJETO PERFURAÇÃO'!$B:$B,0)),"")</f>
        <v/>
      </c>
      <c r="F203" s="17">
        <f>IFERROR(INDEX('PROJETO PERFURAÇÃO'!$AN:$AN,MATCH(MEDIÇÃO!D203,'PROJETO PERFURAÇÃO'!$B:$B,0)),"")</f>
        <v>0</v>
      </c>
      <c r="G203" s="3"/>
      <c r="H203" s="3"/>
      <c r="I203" s="3" t="str">
        <f>IFERROR(ROUND(INDEX('PROJETO PERFURAÇÃO'!$AB:$AB,MATCH(MEDIÇÃO!K203,'PROJETO PERFURAÇÃO'!$B:$B,0)),1)&amp;"''","")</f>
        <v>5''</v>
      </c>
      <c r="J203" s="3" t="str">
        <f>IFERROR(IF(INDEX('PROJETO PERFURAÇÃO'!$P:$P,MATCH(MEDIÇÃO!K203,'PROJETO PERFURAÇÃO'!$B:$B,0))="Production","P",IF(INDEX('PROJETO PERFURAÇÃO'!$P:$P,MATCH(MEDIÇÃO!K203,'PROJETO PERFURAÇÃO'!$B:$B,0))="Buffer","B",IF(INDEX('PROJETO PERFURAÇÃO'!$P:$P,MATCH(MEDIÇÃO!K203,'PROJETO PERFURAÇÃO'!$B:$B,0))="Pre-Splitting","S"))),"")</f>
        <v>P</v>
      </c>
      <c r="K203" s="14">
        <f t="shared" si="19"/>
        <v>450</v>
      </c>
      <c r="L203" s="4" t="str">
        <f>IFERROR(INDEX('LEV R&amp;D'!$D:$D,MATCH(MEDIÇÃO!K203,'LEV R&amp;D'!$A:$A,0))-INDEX('PROJETO PERFURAÇÃO'!$AH:$AH,MATCH(MEDIÇÃO!K203,'PROJETO PERFURAÇÃO'!$B:$B,0)),"")</f>
        <v/>
      </c>
      <c r="M203" s="17">
        <f>IFERROR(INDEX('PROJETO PERFURAÇÃO'!$AN:$AN,MATCH(MEDIÇÃO!K203,'PROJETO PERFURAÇÃO'!$B:$B,0)),"")</f>
        <v>0</v>
      </c>
      <c r="N203" s="3"/>
      <c r="O203" s="3"/>
      <c r="P203" s="3" t="str">
        <f>IFERROR(ROUND(INDEX('PROJETO PERFURAÇÃO'!$AB:$AB,MATCH(MEDIÇÃO!R203,'PROJETO PERFURAÇÃO'!$B:$B,0)),1)&amp;"''","")</f>
        <v>5''</v>
      </c>
      <c r="Q203" s="3" t="str">
        <f>IFERROR(IF(INDEX('PROJETO PERFURAÇÃO'!$P:$P,MATCH(MEDIÇÃO!R203,'PROJETO PERFURAÇÃO'!$B:$B,0))="Production","P",IF(INDEX('PROJETO PERFURAÇÃO'!$P:$P,MATCH(MEDIÇÃO!R203,'PROJETO PERFURAÇÃO'!$B:$B,0))="Buffer","B",IF(INDEX('PROJETO PERFURAÇÃO'!$P:$P,MATCH(MEDIÇÃO!R203,'PROJETO PERFURAÇÃO'!$B:$B,0))="Pre-Splitting","S"))),"")</f>
        <v>P</v>
      </c>
      <c r="R203" s="14">
        <f t="shared" si="20"/>
        <v>473</v>
      </c>
      <c r="S203" s="4" t="str">
        <f>IFERROR(INDEX('LEV R&amp;D'!$D:$D,MATCH(MEDIÇÃO!R203,'LEV R&amp;D'!$A:$A,0))-INDEX('PROJETO PERFURAÇÃO'!$AH:$AH,MATCH(MEDIÇÃO!R203,'PROJETO PERFURAÇÃO'!$B:$B,0)),"")</f>
        <v/>
      </c>
      <c r="T203" s="17">
        <f>IFERROR(INDEX('PROJETO PERFURAÇÃO'!$AN:$AN,MATCH(MEDIÇÃO!R203,'PROJETO PERFURAÇÃO'!$B:$B,0)),"")</f>
        <v>0</v>
      </c>
      <c r="U203" s="3"/>
      <c r="V203" s="3"/>
    </row>
    <row r="204" spans="2:22" ht="45" customHeight="1">
      <c r="B204" s="3" t="str">
        <f>IFERROR(ROUND(INDEX('PROJETO PERFURAÇÃO'!$AB:$AB,MATCH(MEDIÇÃO!D204,'PROJETO PERFURAÇÃO'!$B:$B,0)),1)&amp;"''","")</f>
        <v>5''</v>
      </c>
      <c r="C204" s="3" t="str">
        <f>IFERROR(IF(INDEX('PROJETO PERFURAÇÃO'!$P:$P,MATCH(MEDIÇÃO!D204,'PROJETO PERFURAÇÃO'!$B:$B,0))="Production","P",IF(INDEX('PROJETO PERFURAÇÃO'!$P:$P,MATCH(MEDIÇÃO!D204,'PROJETO PERFURAÇÃO'!$B:$B,0))="Buffer","B",IF(INDEX('PROJETO PERFURAÇÃO'!$P:$P,MATCH(MEDIÇÃO!D204,'PROJETO PERFURAÇÃO'!$B:$B,0))="Pre-Splitting","S"))),"")</f>
        <v>P</v>
      </c>
      <c r="D204" s="14">
        <f t="shared" si="18"/>
        <v>428</v>
      </c>
      <c r="E204" s="4" t="str">
        <f>IFERROR(INDEX('LEV R&amp;D'!$D:$D,MATCH(MEDIÇÃO!D204,'LEV R&amp;D'!$A:$A,0))-INDEX('PROJETO PERFURAÇÃO'!$AH:$AH,MATCH(MEDIÇÃO!D204,'PROJETO PERFURAÇÃO'!$B:$B,0)),"")</f>
        <v/>
      </c>
      <c r="F204" s="17">
        <f>IFERROR(INDEX('PROJETO PERFURAÇÃO'!$AN:$AN,MATCH(MEDIÇÃO!D204,'PROJETO PERFURAÇÃO'!$B:$B,0)),"")</f>
        <v>0</v>
      </c>
      <c r="G204" s="3"/>
      <c r="H204" s="3"/>
      <c r="I204" s="3" t="str">
        <f>IFERROR(ROUND(INDEX('PROJETO PERFURAÇÃO'!$AB:$AB,MATCH(MEDIÇÃO!K204,'PROJETO PERFURAÇÃO'!$B:$B,0)),1)&amp;"''","")</f>
        <v>5''</v>
      </c>
      <c r="J204" s="3" t="str">
        <f>IFERROR(IF(INDEX('PROJETO PERFURAÇÃO'!$P:$P,MATCH(MEDIÇÃO!K204,'PROJETO PERFURAÇÃO'!$B:$B,0))="Production","P",IF(INDEX('PROJETO PERFURAÇÃO'!$P:$P,MATCH(MEDIÇÃO!K204,'PROJETO PERFURAÇÃO'!$B:$B,0))="Buffer","B",IF(INDEX('PROJETO PERFURAÇÃO'!$P:$P,MATCH(MEDIÇÃO!K204,'PROJETO PERFURAÇÃO'!$B:$B,0))="Pre-Splitting","S"))),"")</f>
        <v>P</v>
      </c>
      <c r="K204" s="14">
        <f t="shared" si="19"/>
        <v>451</v>
      </c>
      <c r="L204" s="4" t="str">
        <f>IFERROR(INDEX('LEV R&amp;D'!$D:$D,MATCH(MEDIÇÃO!K204,'LEV R&amp;D'!$A:$A,0))-INDEX('PROJETO PERFURAÇÃO'!$AH:$AH,MATCH(MEDIÇÃO!K204,'PROJETO PERFURAÇÃO'!$B:$B,0)),"")</f>
        <v/>
      </c>
      <c r="M204" s="17">
        <f>IFERROR(INDEX('PROJETO PERFURAÇÃO'!$AN:$AN,MATCH(MEDIÇÃO!K204,'PROJETO PERFURAÇÃO'!$B:$B,0)),"")</f>
        <v>0</v>
      </c>
      <c r="N204" s="3"/>
      <c r="O204" s="3"/>
      <c r="P204" s="3" t="str">
        <f>IFERROR(ROUND(INDEX('PROJETO PERFURAÇÃO'!$AB:$AB,MATCH(MEDIÇÃO!R204,'PROJETO PERFURAÇÃO'!$B:$B,0)),1)&amp;"''","")</f>
        <v>5''</v>
      </c>
      <c r="Q204" s="3" t="str">
        <f>IFERROR(IF(INDEX('PROJETO PERFURAÇÃO'!$P:$P,MATCH(MEDIÇÃO!R204,'PROJETO PERFURAÇÃO'!$B:$B,0))="Production","P",IF(INDEX('PROJETO PERFURAÇÃO'!$P:$P,MATCH(MEDIÇÃO!R204,'PROJETO PERFURAÇÃO'!$B:$B,0))="Buffer","B",IF(INDEX('PROJETO PERFURAÇÃO'!$P:$P,MATCH(MEDIÇÃO!R204,'PROJETO PERFURAÇÃO'!$B:$B,0))="Pre-Splitting","S"))),"")</f>
        <v>P</v>
      </c>
      <c r="R204" s="14">
        <f t="shared" si="20"/>
        <v>474</v>
      </c>
      <c r="S204" s="4" t="str">
        <f>IFERROR(INDEX('LEV R&amp;D'!$D:$D,MATCH(MEDIÇÃO!R204,'LEV R&amp;D'!$A:$A,0))-INDEX('PROJETO PERFURAÇÃO'!$AH:$AH,MATCH(MEDIÇÃO!R204,'PROJETO PERFURAÇÃO'!$B:$B,0)),"")</f>
        <v/>
      </c>
      <c r="T204" s="17">
        <f>IFERROR(INDEX('PROJETO PERFURAÇÃO'!$AN:$AN,MATCH(MEDIÇÃO!R204,'PROJETO PERFURAÇÃO'!$B:$B,0)),"")</f>
        <v>0</v>
      </c>
      <c r="U204" s="3"/>
      <c r="V204" s="3"/>
    </row>
    <row r="205" spans="2:22" ht="45" customHeight="1">
      <c r="B205" s="3" t="str">
        <f>IFERROR(ROUND(INDEX('PROJETO PERFURAÇÃO'!$AB:$AB,MATCH(MEDIÇÃO!D205,'PROJETO PERFURAÇÃO'!$B:$B,0)),1)&amp;"''","")</f>
        <v>5''</v>
      </c>
      <c r="C205" s="3" t="str">
        <f>IFERROR(IF(INDEX('PROJETO PERFURAÇÃO'!$P:$P,MATCH(MEDIÇÃO!D205,'PROJETO PERFURAÇÃO'!$B:$B,0))="Production","P",IF(INDEX('PROJETO PERFURAÇÃO'!$P:$P,MATCH(MEDIÇÃO!D205,'PROJETO PERFURAÇÃO'!$B:$B,0))="Buffer","B",IF(INDEX('PROJETO PERFURAÇÃO'!$P:$P,MATCH(MEDIÇÃO!D205,'PROJETO PERFURAÇÃO'!$B:$B,0))="Pre-Splitting","S"))),"")</f>
        <v>P</v>
      </c>
      <c r="D205" s="14">
        <f t="shared" si="18"/>
        <v>429</v>
      </c>
      <c r="E205" s="4" t="str">
        <f>IFERROR(INDEX('LEV R&amp;D'!$D:$D,MATCH(MEDIÇÃO!D205,'LEV R&amp;D'!$A:$A,0))-INDEX('PROJETO PERFURAÇÃO'!$AH:$AH,MATCH(MEDIÇÃO!D205,'PROJETO PERFURAÇÃO'!$B:$B,0)),"")</f>
        <v/>
      </c>
      <c r="F205" s="17">
        <f>IFERROR(INDEX('PROJETO PERFURAÇÃO'!$AN:$AN,MATCH(MEDIÇÃO!D205,'PROJETO PERFURAÇÃO'!$B:$B,0)),"")</f>
        <v>0</v>
      </c>
      <c r="G205" s="3"/>
      <c r="H205" s="3"/>
      <c r="I205" s="3" t="str">
        <f>IFERROR(ROUND(INDEX('PROJETO PERFURAÇÃO'!$AB:$AB,MATCH(MEDIÇÃO!K205,'PROJETO PERFURAÇÃO'!$B:$B,0)),1)&amp;"''","")</f>
        <v>5''</v>
      </c>
      <c r="J205" s="3" t="str">
        <f>IFERROR(IF(INDEX('PROJETO PERFURAÇÃO'!$P:$P,MATCH(MEDIÇÃO!K205,'PROJETO PERFURAÇÃO'!$B:$B,0))="Production","P",IF(INDEX('PROJETO PERFURAÇÃO'!$P:$P,MATCH(MEDIÇÃO!K205,'PROJETO PERFURAÇÃO'!$B:$B,0))="Buffer","B",IF(INDEX('PROJETO PERFURAÇÃO'!$P:$P,MATCH(MEDIÇÃO!K205,'PROJETO PERFURAÇÃO'!$B:$B,0))="Pre-Splitting","S"))),"")</f>
        <v>P</v>
      </c>
      <c r="K205" s="14">
        <f t="shared" si="19"/>
        <v>452</v>
      </c>
      <c r="L205" s="4" t="str">
        <f>IFERROR(INDEX('LEV R&amp;D'!$D:$D,MATCH(MEDIÇÃO!K205,'LEV R&amp;D'!$A:$A,0))-INDEX('PROJETO PERFURAÇÃO'!$AH:$AH,MATCH(MEDIÇÃO!K205,'PROJETO PERFURAÇÃO'!$B:$B,0)),"")</f>
        <v/>
      </c>
      <c r="M205" s="17">
        <f>IFERROR(INDEX('PROJETO PERFURAÇÃO'!$AN:$AN,MATCH(MEDIÇÃO!K205,'PROJETO PERFURAÇÃO'!$B:$B,0)),"")</f>
        <v>0</v>
      </c>
      <c r="N205" s="3"/>
      <c r="O205" s="3"/>
      <c r="P205" s="3" t="str">
        <f>IFERROR(ROUND(INDEX('PROJETO PERFURAÇÃO'!$AB:$AB,MATCH(MEDIÇÃO!R205,'PROJETO PERFURAÇÃO'!$B:$B,0)),1)&amp;"''","")</f>
        <v>5''</v>
      </c>
      <c r="Q205" s="3" t="str">
        <f>IFERROR(IF(INDEX('PROJETO PERFURAÇÃO'!$P:$P,MATCH(MEDIÇÃO!R205,'PROJETO PERFURAÇÃO'!$B:$B,0))="Production","P",IF(INDEX('PROJETO PERFURAÇÃO'!$P:$P,MATCH(MEDIÇÃO!R205,'PROJETO PERFURAÇÃO'!$B:$B,0))="Buffer","B",IF(INDEX('PROJETO PERFURAÇÃO'!$P:$P,MATCH(MEDIÇÃO!R205,'PROJETO PERFURAÇÃO'!$B:$B,0))="Pre-Splitting","S"))),"")</f>
        <v>P</v>
      </c>
      <c r="R205" s="14">
        <f t="shared" si="20"/>
        <v>475</v>
      </c>
      <c r="S205" s="4" t="str">
        <f>IFERROR(INDEX('LEV R&amp;D'!$D:$D,MATCH(MEDIÇÃO!R205,'LEV R&amp;D'!$A:$A,0))-INDEX('PROJETO PERFURAÇÃO'!$AH:$AH,MATCH(MEDIÇÃO!R205,'PROJETO PERFURAÇÃO'!$B:$B,0)),"")</f>
        <v/>
      </c>
      <c r="T205" s="17">
        <f>IFERROR(INDEX('PROJETO PERFURAÇÃO'!$AN:$AN,MATCH(MEDIÇÃO!R205,'PROJETO PERFURAÇÃO'!$B:$B,0)),"")</f>
        <v>0</v>
      </c>
      <c r="U205" s="3"/>
      <c r="V205" s="3"/>
    </row>
    <row r="206" spans="2:22" ht="45" customHeight="1">
      <c r="B206" s="3" t="str">
        <f>IFERROR(ROUND(INDEX('PROJETO PERFURAÇÃO'!$AB:$AB,MATCH(MEDIÇÃO!D206,'PROJETO PERFURAÇÃO'!$B:$B,0)),1)&amp;"''","")</f>
        <v>5''</v>
      </c>
      <c r="C206" s="3" t="str">
        <f>IFERROR(IF(INDEX('PROJETO PERFURAÇÃO'!$P:$P,MATCH(MEDIÇÃO!D206,'PROJETO PERFURAÇÃO'!$B:$B,0))="Production","P",IF(INDEX('PROJETO PERFURAÇÃO'!$P:$P,MATCH(MEDIÇÃO!D206,'PROJETO PERFURAÇÃO'!$B:$B,0))="Buffer","B",IF(INDEX('PROJETO PERFURAÇÃO'!$P:$P,MATCH(MEDIÇÃO!D206,'PROJETO PERFURAÇÃO'!$B:$B,0))="Pre-Splitting","S"))),"")</f>
        <v>P</v>
      </c>
      <c r="D206" s="14">
        <f t="shared" si="18"/>
        <v>430</v>
      </c>
      <c r="E206" s="4" t="str">
        <f>IFERROR(INDEX('LEV R&amp;D'!$D:$D,MATCH(MEDIÇÃO!D206,'LEV R&amp;D'!$A:$A,0))-INDEX('PROJETO PERFURAÇÃO'!$AH:$AH,MATCH(MEDIÇÃO!D206,'PROJETO PERFURAÇÃO'!$B:$B,0)),"")</f>
        <v/>
      </c>
      <c r="F206" s="17">
        <f>IFERROR(INDEX('PROJETO PERFURAÇÃO'!$AN:$AN,MATCH(MEDIÇÃO!D206,'PROJETO PERFURAÇÃO'!$B:$B,0)),"")</f>
        <v>0</v>
      </c>
      <c r="G206" s="3"/>
      <c r="H206" s="3"/>
      <c r="I206" s="3" t="str">
        <f>IFERROR(ROUND(INDEX('PROJETO PERFURAÇÃO'!$AB:$AB,MATCH(MEDIÇÃO!K206,'PROJETO PERFURAÇÃO'!$B:$B,0)),1)&amp;"''","")</f>
        <v>5''</v>
      </c>
      <c r="J206" s="3" t="str">
        <f>IFERROR(IF(INDEX('PROJETO PERFURAÇÃO'!$P:$P,MATCH(MEDIÇÃO!K206,'PROJETO PERFURAÇÃO'!$B:$B,0))="Production","P",IF(INDEX('PROJETO PERFURAÇÃO'!$P:$P,MATCH(MEDIÇÃO!K206,'PROJETO PERFURAÇÃO'!$B:$B,0))="Buffer","B",IF(INDEX('PROJETO PERFURAÇÃO'!$P:$P,MATCH(MEDIÇÃO!K206,'PROJETO PERFURAÇÃO'!$B:$B,0))="Pre-Splitting","S"))),"")</f>
        <v>P</v>
      </c>
      <c r="K206" s="14">
        <f t="shared" si="19"/>
        <v>453</v>
      </c>
      <c r="L206" s="4" t="str">
        <f>IFERROR(INDEX('LEV R&amp;D'!$D:$D,MATCH(MEDIÇÃO!K206,'LEV R&amp;D'!$A:$A,0))-INDEX('PROJETO PERFURAÇÃO'!$AH:$AH,MATCH(MEDIÇÃO!K206,'PROJETO PERFURAÇÃO'!$B:$B,0)),"")</f>
        <v/>
      </c>
      <c r="M206" s="17">
        <f>IFERROR(INDEX('PROJETO PERFURAÇÃO'!$AN:$AN,MATCH(MEDIÇÃO!K206,'PROJETO PERFURAÇÃO'!$B:$B,0)),"")</f>
        <v>0</v>
      </c>
      <c r="N206" s="3"/>
      <c r="O206" s="3"/>
      <c r="P206" s="3" t="str">
        <f>IFERROR(ROUND(INDEX('PROJETO PERFURAÇÃO'!$AB:$AB,MATCH(MEDIÇÃO!R206,'PROJETO PERFURAÇÃO'!$B:$B,0)),1)&amp;"''","")</f>
        <v>5''</v>
      </c>
      <c r="Q206" s="3" t="str">
        <f>IFERROR(IF(INDEX('PROJETO PERFURAÇÃO'!$P:$P,MATCH(MEDIÇÃO!R206,'PROJETO PERFURAÇÃO'!$B:$B,0))="Production","P",IF(INDEX('PROJETO PERFURAÇÃO'!$P:$P,MATCH(MEDIÇÃO!R206,'PROJETO PERFURAÇÃO'!$B:$B,0))="Buffer","B",IF(INDEX('PROJETO PERFURAÇÃO'!$P:$P,MATCH(MEDIÇÃO!R206,'PROJETO PERFURAÇÃO'!$B:$B,0))="Pre-Splitting","S"))),"")</f>
        <v>P</v>
      </c>
      <c r="R206" s="14">
        <f t="shared" si="20"/>
        <v>476</v>
      </c>
      <c r="S206" s="4" t="str">
        <f>IFERROR(INDEX('LEV R&amp;D'!$D:$D,MATCH(MEDIÇÃO!R206,'LEV R&amp;D'!$A:$A,0))-INDEX('PROJETO PERFURAÇÃO'!$AH:$AH,MATCH(MEDIÇÃO!R206,'PROJETO PERFURAÇÃO'!$B:$B,0)),"")</f>
        <v/>
      </c>
      <c r="T206" s="17">
        <f>IFERROR(INDEX('PROJETO PERFURAÇÃO'!$AN:$AN,MATCH(MEDIÇÃO!R206,'PROJETO PERFURAÇÃO'!$B:$B,0)),"")</f>
        <v>0</v>
      </c>
      <c r="U206" s="3"/>
      <c r="V206" s="3"/>
    </row>
    <row r="207" spans="2:22" ht="45" customHeight="1">
      <c r="B207" s="3" t="str">
        <f>IFERROR(ROUND(INDEX('PROJETO PERFURAÇÃO'!$AB:$AB,MATCH(MEDIÇÃO!D207,'PROJETO PERFURAÇÃO'!$B:$B,0)),1)&amp;"''","")</f>
        <v>5''</v>
      </c>
      <c r="C207" s="3" t="str">
        <f>IFERROR(IF(INDEX('PROJETO PERFURAÇÃO'!$P:$P,MATCH(MEDIÇÃO!D207,'PROJETO PERFURAÇÃO'!$B:$B,0))="Production","P",IF(INDEX('PROJETO PERFURAÇÃO'!$P:$P,MATCH(MEDIÇÃO!D207,'PROJETO PERFURAÇÃO'!$B:$B,0))="Buffer","B",IF(INDEX('PROJETO PERFURAÇÃO'!$P:$P,MATCH(MEDIÇÃO!D207,'PROJETO PERFURAÇÃO'!$B:$B,0))="Pre-Splitting","S"))),"")</f>
        <v>P</v>
      </c>
      <c r="D207" s="14">
        <f t="shared" si="18"/>
        <v>431</v>
      </c>
      <c r="E207" s="4" t="str">
        <f>IFERROR(INDEX('LEV R&amp;D'!$D:$D,MATCH(MEDIÇÃO!D207,'LEV R&amp;D'!$A:$A,0))-INDEX('PROJETO PERFURAÇÃO'!$AH:$AH,MATCH(MEDIÇÃO!D207,'PROJETO PERFURAÇÃO'!$B:$B,0)),"")</f>
        <v/>
      </c>
      <c r="F207" s="17">
        <f>IFERROR(INDEX('PROJETO PERFURAÇÃO'!$AN:$AN,MATCH(MEDIÇÃO!D207,'PROJETO PERFURAÇÃO'!$B:$B,0)),"")</f>
        <v>0</v>
      </c>
      <c r="G207" s="3"/>
      <c r="H207" s="3"/>
      <c r="I207" s="3" t="str">
        <f>IFERROR(ROUND(INDEX('PROJETO PERFURAÇÃO'!$AB:$AB,MATCH(MEDIÇÃO!K207,'PROJETO PERFURAÇÃO'!$B:$B,0)),1)&amp;"''","")</f>
        <v>5''</v>
      </c>
      <c r="J207" s="3" t="str">
        <f>IFERROR(IF(INDEX('PROJETO PERFURAÇÃO'!$P:$P,MATCH(MEDIÇÃO!K207,'PROJETO PERFURAÇÃO'!$B:$B,0))="Production","P",IF(INDEX('PROJETO PERFURAÇÃO'!$P:$P,MATCH(MEDIÇÃO!K207,'PROJETO PERFURAÇÃO'!$B:$B,0))="Buffer","B",IF(INDEX('PROJETO PERFURAÇÃO'!$P:$P,MATCH(MEDIÇÃO!K207,'PROJETO PERFURAÇÃO'!$B:$B,0))="Pre-Splitting","S"))),"")</f>
        <v>P</v>
      </c>
      <c r="K207" s="14">
        <f t="shared" si="19"/>
        <v>454</v>
      </c>
      <c r="L207" s="4" t="str">
        <f>IFERROR(INDEX('LEV R&amp;D'!$D:$D,MATCH(MEDIÇÃO!K207,'LEV R&amp;D'!$A:$A,0))-INDEX('PROJETO PERFURAÇÃO'!$AH:$AH,MATCH(MEDIÇÃO!K207,'PROJETO PERFURAÇÃO'!$B:$B,0)),"")</f>
        <v/>
      </c>
      <c r="M207" s="17">
        <f>IFERROR(INDEX('PROJETO PERFURAÇÃO'!$AN:$AN,MATCH(MEDIÇÃO!K207,'PROJETO PERFURAÇÃO'!$B:$B,0)),"")</f>
        <v>0</v>
      </c>
      <c r="N207" s="3"/>
      <c r="O207" s="3"/>
      <c r="P207" s="3" t="str">
        <f>IFERROR(ROUND(INDEX('PROJETO PERFURAÇÃO'!$AB:$AB,MATCH(MEDIÇÃO!R207,'PROJETO PERFURAÇÃO'!$B:$B,0)),1)&amp;"''","")</f>
        <v>5''</v>
      </c>
      <c r="Q207" s="3" t="str">
        <f>IFERROR(IF(INDEX('PROJETO PERFURAÇÃO'!$P:$P,MATCH(MEDIÇÃO!R207,'PROJETO PERFURAÇÃO'!$B:$B,0))="Production","P",IF(INDEX('PROJETO PERFURAÇÃO'!$P:$P,MATCH(MEDIÇÃO!R207,'PROJETO PERFURAÇÃO'!$B:$B,0))="Buffer","B",IF(INDEX('PROJETO PERFURAÇÃO'!$P:$P,MATCH(MEDIÇÃO!R207,'PROJETO PERFURAÇÃO'!$B:$B,0))="Pre-Splitting","S"))),"")</f>
        <v>P</v>
      </c>
      <c r="R207" s="14">
        <f t="shared" si="20"/>
        <v>477</v>
      </c>
      <c r="S207" s="4" t="str">
        <f>IFERROR(INDEX('LEV R&amp;D'!$D:$D,MATCH(MEDIÇÃO!R207,'LEV R&amp;D'!$A:$A,0))-INDEX('PROJETO PERFURAÇÃO'!$AH:$AH,MATCH(MEDIÇÃO!R207,'PROJETO PERFURAÇÃO'!$B:$B,0)),"")</f>
        <v/>
      </c>
      <c r="T207" s="17">
        <f>IFERROR(INDEX('PROJETO PERFURAÇÃO'!$AN:$AN,MATCH(MEDIÇÃO!R207,'PROJETO PERFURAÇÃO'!$B:$B,0)),"")</f>
        <v>0</v>
      </c>
      <c r="U207" s="3"/>
      <c r="V207" s="3"/>
    </row>
    <row r="208" spans="2:22" ht="45" customHeight="1">
      <c r="B208" s="3" t="str">
        <f>IFERROR(ROUND(INDEX('PROJETO PERFURAÇÃO'!$AB:$AB,MATCH(MEDIÇÃO!D208,'PROJETO PERFURAÇÃO'!$B:$B,0)),1)&amp;"''","")</f>
        <v>5''</v>
      </c>
      <c r="C208" s="3" t="str">
        <f>IFERROR(IF(INDEX('PROJETO PERFURAÇÃO'!$P:$P,MATCH(MEDIÇÃO!D208,'PROJETO PERFURAÇÃO'!$B:$B,0))="Production","P",IF(INDEX('PROJETO PERFURAÇÃO'!$P:$P,MATCH(MEDIÇÃO!D208,'PROJETO PERFURAÇÃO'!$B:$B,0))="Buffer","B",IF(INDEX('PROJETO PERFURAÇÃO'!$P:$P,MATCH(MEDIÇÃO!D208,'PROJETO PERFURAÇÃO'!$B:$B,0))="Pre-Splitting","S"))),"")</f>
        <v>P</v>
      </c>
      <c r="D208" s="14">
        <f t="shared" si="18"/>
        <v>432</v>
      </c>
      <c r="E208" s="4" t="str">
        <f>IFERROR(INDEX('LEV R&amp;D'!$D:$D,MATCH(MEDIÇÃO!D208,'LEV R&amp;D'!$A:$A,0))-INDEX('PROJETO PERFURAÇÃO'!$AH:$AH,MATCH(MEDIÇÃO!D208,'PROJETO PERFURAÇÃO'!$B:$B,0)),"")</f>
        <v/>
      </c>
      <c r="F208" s="17">
        <f>IFERROR(INDEX('PROJETO PERFURAÇÃO'!$AN:$AN,MATCH(MEDIÇÃO!D208,'PROJETO PERFURAÇÃO'!$B:$B,0)),"")</f>
        <v>0</v>
      </c>
      <c r="G208" s="3"/>
      <c r="H208" s="3"/>
      <c r="I208" s="3" t="str">
        <f>IFERROR(ROUND(INDEX('PROJETO PERFURAÇÃO'!$AB:$AB,MATCH(MEDIÇÃO!K208,'PROJETO PERFURAÇÃO'!$B:$B,0)),1)&amp;"''","")</f>
        <v>5''</v>
      </c>
      <c r="J208" s="3" t="str">
        <f>IFERROR(IF(INDEX('PROJETO PERFURAÇÃO'!$P:$P,MATCH(MEDIÇÃO!K208,'PROJETO PERFURAÇÃO'!$B:$B,0))="Production","P",IF(INDEX('PROJETO PERFURAÇÃO'!$P:$P,MATCH(MEDIÇÃO!K208,'PROJETO PERFURAÇÃO'!$B:$B,0))="Buffer","B",IF(INDEX('PROJETO PERFURAÇÃO'!$P:$P,MATCH(MEDIÇÃO!K208,'PROJETO PERFURAÇÃO'!$B:$B,0))="Pre-Splitting","S"))),"")</f>
        <v>P</v>
      </c>
      <c r="K208" s="14">
        <f t="shared" si="19"/>
        <v>455</v>
      </c>
      <c r="L208" s="4" t="str">
        <f>IFERROR(INDEX('LEV R&amp;D'!$D:$D,MATCH(MEDIÇÃO!K208,'LEV R&amp;D'!$A:$A,0))-INDEX('PROJETO PERFURAÇÃO'!$AH:$AH,MATCH(MEDIÇÃO!K208,'PROJETO PERFURAÇÃO'!$B:$B,0)),"")</f>
        <v/>
      </c>
      <c r="M208" s="17">
        <f>IFERROR(INDEX('PROJETO PERFURAÇÃO'!$AN:$AN,MATCH(MEDIÇÃO!K208,'PROJETO PERFURAÇÃO'!$B:$B,0)),"")</f>
        <v>0</v>
      </c>
      <c r="N208" s="3"/>
      <c r="O208" s="3"/>
      <c r="P208" s="3" t="str">
        <f>IFERROR(ROUND(INDEX('PROJETO PERFURAÇÃO'!$AB:$AB,MATCH(MEDIÇÃO!R208,'PROJETO PERFURAÇÃO'!$B:$B,0)),1)&amp;"''","")</f>
        <v>5''</v>
      </c>
      <c r="Q208" s="3" t="str">
        <f>IFERROR(IF(INDEX('PROJETO PERFURAÇÃO'!$P:$P,MATCH(MEDIÇÃO!R208,'PROJETO PERFURAÇÃO'!$B:$B,0))="Production","P",IF(INDEX('PROJETO PERFURAÇÃO'!$P:$P,MATCH(MEDIÇÃO!R208,'PROJETO PERFURAÇÃO'!$B:$B,0))="Buffer","B",IF(INDEX('PROJETO PERFURAÇÃO'!$P:$P,MATCH(MEDIÇÃO!R208,'PROJETO PERFURAÇÃO'!$B:$B,0))="Pre-Splitting","S"))),"")</f>
        <v>P</v>
      </c>
      <c r="R208" s="14">
        <f t="shared" si="20"/>
        <v>478</v>
      </c>
      <c r="S208" s="4" t="str">
        <f>IFERROR(INDEX('LEV R&amp;D'!$D:$D,MATCH(MEDIÇÃO!R208,'LEV R&amp;D'!$A:$A,0))-INDEX('PROJETO PERFURAÇÃO'!$AH:$AH,MATCH(MEDIÇÃO!R208,'PROJETO PERFURAÇÃO'!$B:$B,0)),"")</f>
        <v/>
      </c>
      <c r="T208" s="17">
        <f>IFERROR(INDEX('PROJETO PERFURAÇÃO'!$AN:$AN,MATCH(MEDIÇÃO!R208,'PROJETO PERFURAÇÃO'!$B:$B,0)),"")</f>
        <v>0</v>
      </c>
      <c r="U208" s="3"/>
      <c r="V208" s="3"/>
    </row>
    <row r="209" spans="1:23" ht="45" customHeight="1">
      <c r="B209" s="3" t="str">
        <f>IFERROR(ROUND(INDEX('PROJETO PERFURAÇÃO'!$AB:$AB,MATCH(MEDIÇÃO!D209,'PROJETO PERFURAÇÃO'!$B:$B,0)),1)&amp;"''","")</f>
        <v>5''</v>
      </c>
      <c r="C209" s="3" t="str">
        <f>IFERROR(IF(INDEX('PROJETO PERFURAÇÃO'!$P:$P,MATCH(MEDIÇÃO!D209,'PROJETO PERFURAÇÃO'!$B:$B,0))="Production","P",IF(INDEX('PROJETO PERFURAÇÃO'!$P:$P,MATCH(MEDIÇÃO!D209,'PROJETO PERFURAÇÃO'!$B:$B,0))="Buffer","B",IF(INDEX('PROJETO PERFURAÇÃO'!$P:$P,MATCH(MEDIÇÃO!D209,'PROJETO PERFURAÇÃO'!$B:$B,0))="Pre-Splitting","S"))),"")</f>
        <v>P</v>
      </c>
      <c r="D209" s="14">
        <f t="shared" si="18"/>
        <v>433</v>
      </c>
      <c r="E209" s="4" t="str">
        <f>IFERROR(INDEX('LEV R&amp;D'!$D:$D,MATCH(MEDIÇÃO!D209,'LEV R&amp;D'!$A:$A,0))-INDEX('PROJETO PERFURAÇÃO'!$AH:$AH,MATCH(MEDIÇÃO!D209,'PROJETO PERFURAÇÃO'!$B:$B,0)),"")</f>
        <v/>
      </c>
      <c r="F209" s="17">
        <f>IFERROR(INDEX('PROJETO PERFURAÇÃO'!$AN:$AN,MATCH(MEDIÇÃO!D209,'PROJETO PERFURAÇÃO'!$B:$B,0)),"")</f>
        <v>0</v>
      </c>
      <c r="G209" s="3"/>
      <c r="H209" s="3"/>
      <c r="I209" s="3" t="str">
        <f>IFERROR(ROUND(INDEX('PROJETO PERFURAÇÃO'!$AB:$AB,MATCH(MEDIÇÃO!K209,'PROJETO PERFURAÇÃO'!$B:$B,0)),1)&amp;"''","")</f>
        <v>5''</v>
      </c>
      <c r="J209" s="3" t="str">
        <f>IFERROR(IF(INDEX('PROJETO PERFURAÇÃO'!$P:$P,MATCH(MEDIÇÃO!K209,'PROJETO PERFURAÇÃO'!$B:$B,0))="Production","P",IF(INDEX('PROJETO PERFURAÇÃO'!$P:$P,MATCH(MEDIÇÃO!K209,'PROJETO PERFURAÇÃO'!$B:$B,0))="Buffer","B",IF(INDEX('PROJETO PERFURAÇÃO'!$P:$P,MATCH(MEDIÇÃO!K209,'PROJETO PERFURAÇÃO'!$B:$B,0))="Pre-Splitting","S"))),"")</f>
        <v>P</v>
      </c>
      <c r="K209" s="14">
        <f t="shared" si="19"/>
        <v>456</v>
      </c>
      <c r="L209" s="4" t="str">
        <f>IFERROR(INDEX('LEV R&amp;D'!$D:$D,MATCH(MEDIÇÃO!K209,'LEV R&amp;D'!$A:$A,0))-INDEX('PROJETO PERFURAÇÃO'!$AH:$AH,MATCH(MEDIÇÃO!K209,'PROJETO PERFURAÇÃO'!$B:$B,0)),"")</f>
        <v/>
      </c>
      <c r="M209" s="17">
        <f>IFERROR(INDEX('PROJETO PERFURAÇÃO'!$AN:$AN,MATCH(MEDIÇÃO!K209,'PROJETO PERFURAÇÃO'!$B:$B,0)),"")</f>
        <v>0</v>
      </c>
      <c r="N209" s="3"/>
      <c r="O209" s="3"/>
      <c r="P209" s="3" t="str">
        <f>IFERROR(ROUND(INDEX('PROJETO PERFURAÇÃO'!$AB:$AB,MATCH(MEDIÇÃO!R209,'PROJETO PERFURAÇÃO'!$B:$B,0)),1)&amp;"''","")</f>
        <v>5''</v>
      </c>
      <c r="Q209" s="3" t="str">
        <f>IFERROR(IF(INDEX('PROJETO PERFURAÇÃO'!$P:$P,MATCH(MEDIÇÃO!R209,'PROJETO PERFURAÇÃO'!$B:$B,0))="Production","P",IF(INDEX('PROJETO PERFURAÇÃO'!$P:$P,MATCH(MEDIÇÃO!R209,'PROJETO PERFURAÇÃO'!$B:$B,0))="Buffer","B",IF(INDEX('PROJETO PERFURAÇÃO'!$P:$P,MATCH(MEDIÇÃO!R209,'PROJETO PERFURAÇÃO'!$B:$B,0))="Pre-Splitting","S"))),"")</f>
        <v>P</v>
      </c>
      <c r="R209" s="14">
        <f t="shared" si="20"/>
        <v>479</v>
      </c>
      <c r="S209" s="4" t="str">
        <f>IFERROR(INDEX('LEV R&amp;D'!$D:$D,MATCH(MEDIÇÃO!R209,'LEV R&amp;D'!$A:$A,0))-INDEX('PROJETO PERFURAÇÃO'!$AH:$AH,MATCH(MEDIÇÃO!R209,'PROJETO PERFURAÇÃO'!$B:$B,0)),"")</f>
        <v/>
      </c>
      <c r="T209" s="17">
        <f>IFERROR(INDEX('PROJETO PERFURAÇÃO'!$AN:$AN,MATCH(MEDIÇÃO!R209,'PROJETO PERFURAÇÃO'!$B:$B,0)),"")</f>
        <v>0</v>
      </c>
      <c r="U209" s="3"/>
      <c r="V209" s="3"/>
    </row>
    <row r="210" spans="1:23" ht="45" customHeight="1">
      <c r="B210" s="3" t="str">
        <f>IFERROR(ROUND(INDEX('PROJETO PERFURAÇÃO'!$AB:$AB,MATCH(MEDIÇÃO!D210,'PROJETO PERFURAÇÃO'!$B:$B,0)),1)&amp;"''","")</f>
        <v>5''</v>
      </c>
      <c r="C210" s="3" t="str">
        <f>IFERROR(IF(INDEX('PROJETO PERFURAÇÃO'!$P:$P,MATCH(MEDIÇÃO!D210,'PROJETO PERFURAÇÃO'!$B:$B,0))="Production","P",IF(INDEX('PROJETO PERFURAÇÃO'!$P:$P,MATCH(MEDIÇÃO!D210,'PROJETO PERFURAÇÃO'!$B:$B,0))="Buffer","B",IF(INDEX('PROJETO PERFURAÇÃO'!$P:$P,MATCH(MEDIÇÃO!D210,'PROJETO PERFURAÇÃO'!$B:$B,0))="Pre-Splitting","S"))),"")</f>
        <v>P</v>
      </c>
      <c r="D210" s="14">
        <f t="shared" si="18"/>
        <v>434</v>
      </c>
      <c r="E210" s="4" t="str">
        <f>IFERROR(INDEX('LEV R&amp;D'!$D:$D,MATCH(MEDIÇÃO!D210,'LEV R&amp;D'!$A:$A,0))-INDEX('PROJETO PERFURAÇÃO'!$AH:$AH,MATCH(MEDIÇÃO!D210,'PROJETO PERFURAÇÃO'!$B:$B,0)),"")</f>
        <v/>
      </c>
      <c r="F210" s="17">
        <f>IFERROR(INDEX('PROJETO PERFURAÇÃO'!$AN:$AN,MATCH(MEDIÇÃO!D210,'PROJETO PERFURAÇÃO'!$B:$B,0)),"")</f>
        <v>0</v>
      </c>
      <c r="G210" s="3"/>
      <c r="H210" s="3"/>
      <c r="I210" s="3" t="str">
        <f>IFERROR(ROUND(INDEX('PROJETO PERFURAÇÃO'!$AB:$AB,MATCH(MEDIÇÃO!K210,'PROJETO PERFURAÇÃO'!$B:$B,0)),1)&amp;"''","")</f>
        <v>5''</v>
      </c>
      <c r="J210" s="3" t="str">
        <f>IFERROR(IF(INDEX('PROJETO PERFURAÇÃO'!$P:$P,MATCH(MEDIÇÃO!K210,'PROJETO PERFURAÇÃO'!$B:$B,0))="Production","P",IF(INDEX('PROJETO PERFURAÇÃO'!$P:$P,MATCH(MEDIÇÃO!K210,'PROJETO PERFURAÇÃO'!$B:$B,0))="Buffer","B",IF(INDEX('PROJETO PERFURAÇÃO'!$P:$P,MATCH(MEDIÇÃO!K210,'PROJETO PERFURAÇÃO'!$B:$B,0))="Pre-Splitting","S"))),"")</f>
        <v>P</v>
      </c>
      <c r="K210" s="14">
        <f t="shared" si="19"/>
        <v>457</v>
      </c>
      <c r="L210" s="4" t="str">
        <f>IFERROR(INDEX('LEV R&amp;D'!$D:$D,MATCH(MEDIÇÃO!K210,'LEV R&amp;D'!$A:$A,0))-INDEX('PROJETO PERFURAÇÃO'!$AH:$AH,MATCH(MEDIÇÃO!K210,'PROJETO PERFURAÇÃO'!$B:$B,0)),"")</f>
        <v/>
      </c>
      <c r="M210" s="17">
        <f>IFERROR(INDEX('PROJETO PERFURAÇÃO'!$AN:$AN,MATCH(MEDIÇÃO!K210,'PROJETO PERFURAÇÃO'!$B:$B,0)),"")</f>
        <v>0</v>
      </c>
      <c r="N210" s="3"/>
      <c r="O210" s="3"/>
      <c r="P210" s="3" t="str">
        <f>IFERROR(ROUND(INDEX('PROJETO PERFURAÇÃO'!$AB:$AB,MATCH(MEDIÇÃO!R210,'PROJETO PERFURAÇÃO'!$B:$B,0)),1)&amp;"''","")</f>
        <v>5''</v>
      </c>
      <c r="Q210" s="3" t="str">
        <f>IFERROR(IF(INDEX('PROJETO PERFURAÇÃO'!$P:$P,MATCH(MEDIÇÃO!R210,'PROJETO PERFURAÇÃO'!$B:$B,0))="Production","P",IF(INDEX('PROJETO PERFURAÇÃO'!$P:$P,MATCH(MEDIÇÃO!R210,'PROJETO PERFURAÇÃO'!$B:$B,0))="Buffer","B",IF(INDEX('PROJETO PERFURAÇÃO'!$P:$P,MATCH(MEDIÇÃO!R210,'PROJETO PERFURAÇÃO'!$B:$B,0))="Pre-Splitting","S"))),"")</f>
        <v>P</v>
      </c>
      <c r="R210" s="14">
        <f t="shared" si="20"/>
        <v>480</v>
      </c>
      <c r="S210" s="4" t="str">
        <f>IFERROR(INDEX('LEV R&amp;D'!$D:$D,MATCH(MEDIÇÃO!R210,'LEV R&amp;D'!$A:$A,0))-INDEX('PROJETO PERFURAÇÃO'!$AH:$AH,MATCH(MEDIÇÃO!R210,'PROJETO PERFURAÇÃO'!$B:$B,0)),"")</f>
        <v/>
      </c>
      <c r="T210" s="17">
        <f>IFERROR(INDEX('PROJETO PERFURAÇÃO'!$AN:$AN,MATCH(MEDIÇÃO!R210,'PROJETO PERFURAÇÃO'!$B:$B,0)),"")</f>
        <v>0</v>
      </c>
      <c r="U210" s="3"/>
      <c r="V210" s="3"/>
    </row>
    <row r="211" spans="1:23" ht="45" customHeight="1">
      <c r="B211" s="3" t="str">
        <f>IFERROR(ROUND(INDEX('PROJETO PERFURAÇÃO'!$AB:$AB,MATCH(MEDIÇÃO!D211,'PROJETO PERFURAÇÃO'!$B:$B,0)),1)&amp;"''","")</f>
        <v>5''</v>
      </c>
      <c r="C211" s="3" t="str">
        <f>IFERROR(IF(INDEX('PROJETO PERFURAÇÃO'!$P:$P,MATCH(MEDIÇÃO!D211,'PROJETO PERFURAÇÃO'!$B:$B,0))="Production","P",IF(INDEX('PROJETO PERFURAÇÃO'!$P:$P,MATCH(MEDIÇÃO!D211,'PROJETO PERFURAÇÃO'!$B:$B,0))="Buffer","B",IF(INDEX('PROJETO PERFURAÇÃO'!$P:$P,MATCH(MEDIÇÃO!D211,'PROJETO PERFURAÇÃO'!$B:$B,0))="Pre-Splitting","S"))),"")</f>
        <v>P</v>
      </c>
      <c r="D211" s="14">
        <f t="shared" si="18"/>
        <v>435</v>
      </c>
      <c r="E211" s="4" t="str">
        <f>IFERROR(INDEX('LEV R&amp;D'!$D:$D,MATCH(MEDIÇÃO!D211,'LEV R&amp;D'!$A:$A,0))-INDEX('PROJETO PERFURAÇÃO'!$AH:$AH,MATCH(MEDIÇÃO!D211,'PROJETO PERFURAÇÃO'!$B:$B,0)),"")</f>
        <v/>
      </c>
      <c r="F211" s="17">
        <f>IFERROR(INDEX('PROJETO PERFURAÇÃO'!$AN:$AN,MATCH(MEDIÇÃO!D211,'PROJETO PERFURAÇÃO'!$B:$B,0)),"")</f>
        <v>0</v>
      </c>
      <c r="G211" s="3"/>
      <c r="H211" s="3"/>
      <c r="I211" s="3" t="str">
        <f>IFERROR(ROUND(INDEX('PROJETO PERFURAÇÃO'!$AB:$AB,MATCH(MEDIÇÃO!K211,'PROJETO PERFURAÇÃO'!$B:$B,0)),1)&amp;"''","")</f>
        <v>5''</v>
      </c>
      <c r="J211" s="3" t="str">
        <f>IFERROR(IF(INDEX('PROJETO PERFURAÇÃO'!$P:$P,MATCH(MEDIÇÃO!K211,'PROJETO PERFURAÇÃO'!$B:$B,0))="Production","P",IF(INDEX('PROJETO PERFURAÇÃO'!$P:$P,MATCH(MEDIÇÃO!K211,'PROJETO PERFURAÇÃO'!$B:$B,0))="Buffer","B",IF(INDEX('PROJETO PERFURAÇÃO'!$P:$P,MATCH(MEDIÇÃO!K211,'PROJETO PERFURAÇÃO'!$B:$B,0))="Pre-Splitting","S"))),"")</f>
        <v>P</v>
      </c>
      <c r="K211" s="14">
        <f t="shared" si="19"/>
        <v>458</v>
      </c>
      <c r="L211" s="4" t="str">
        <f>IFERROR(INDEX('LEV R&amp;D'!$D:$D,MATCH(MEDIÇÃO!K211,'LEV R&amp;D'!$A:$A,0))-INDEX('PROJETO PERFURAÇÃO'!$AH:$AH,MATCH(MEDIÇÃO!K211,'PROJETO PERFURAÇÃO'!$B:$B,0)),"")</f>
        <v/>
      </c>
      <c r="M211" s="17">
        <f>IFERROR(INDEX('PROJETO PERFURAÇÃO'!$AN:$AN,MATCH(MEDIÇÃO!K211,'PROJETO PERFURAÇÃO'!$B:$B,0)),"")</f>
        <v>0</v>
      </c>
      <c r="N211" s="3"/>
      <c r="O211" s="3"/>
      <c r="P211" s="3" t="str">
        <f>IFERROR(ROUND(INDEX('PROJETO PERFURAÇÃO'!$AB:$AB,MATCH(MEDIÇÃO!R211,'PROJETO PERFURAÇÃO'!$B:$B,0)),1)&amp;"''","")</f>
        <v>5''</v>
      </c>
      <c r="Q211" s="3" t="str">
        <f>IFERROR(IF(INDEX('PROJETO PERFURAÇÃO'!$P:$P,MATCH(MEDIÇÃO!R211,'PROJETO PERFURAÇÃO'!$B:$B,0))="Production","P",IF(INDEX('PROJETO PERFURAÇÃO'!$P:$P,MATCH(MEDIÇÃO!R211,'PROJETO PERFURAÇÃO'!$B:$B,0))="Buffer","B",IF(INDEX('PROJETO PERFURAÇÃO'!$P:$P,MATCH(MEDIÇÃO!R211,'PROJETO PERFURAÇÃO'!$B:$B,0))="Pre-Splitting","S"))),"")</f>
        <v>P</v>
      </c>
      <c r="R211" s="14">
        <f t="shared" si="20"/>
        <v>481</v>
      </c>
      <c r="S211" s="4" t="str">
        <f>IFERROR(INDEX('LEV R&amp;D'!$D:$D,MATCH(MEDIÇÃO!R211,'LEV R&amp;D'!$A:$A,0))-INDEX('PROJETO PERFURAÇÃO'!$AH:$AH,MATCH(MEDIÇÃO!R211,'PROJETO PERFURAÇÃO'!$B:$B,0)),"")</f>
        <v/>
      </c>
      <c r="T211" s="17">
        <f>IFERROR(INDEX('PROJETO PERFURAÇÃO'!$AN:$AN,MATCH(MEDIÇÃO!R211,'PROJETO PERFURAÇÃO'!$B:$B,0)),"")</f>
        <v>0</v>
      </c>
      <c r="U211" s="3"/>
      <c r="V211" s="3"/>
    </row>
    <row r="212" spans="1:23" ht="45" customHeight="1">
      <c r="B212" s="3" t="str">
        <f>IFERROR(ROUND(INDEX('PROJETO PERFURAÇÃO'!$AB:$AB,MATCH(MEDIÇÃO!D212,'PROJETO PERFURAÇÃO'!$B:$B,0)),1)&amp;"''","")</f>
        <v>5''</v>
      </c>
      <c r="C212" s="3" t="str">
        <f>IFERROR(IF(INDEX('PROJETO PERFURAÇÃO'!$P:$P,MATCH(MEDIÇÃO!D212,'PROJETO PERFURAÇÃO'!$B:$B,0))="Production","P",IF(INDEX('PROJETO PERFURAÇÃO'!$P:$P,MATCH(MEDIÇÃO!D212,'PROJETO PERFURAÇÃO'!$B:$B,0))="Buffer","B",IF(INDEX('PROJETO PERFURAÇÃO'!$P:$P,MATCH(MEDIÇÃO!D212,'PROJETO PERFURAÇÃO'!$B:$B,0))="Pre-Splitting","S"))),"")</f>
        <v>P</v>
      </c>
      <c r="D212" s="14">
        <f t="shared" si="18"/>
        <v>436</v>
      </c>
      <c r="E212" s="4" t="str">
        <f>IFERROR(INDEX('LEV R&amp;D'!$D:$D,MATCH(MEDIÇÃO!D212,'LEV R&amp;D'!$A:$A,0))-INDEX('PROJETO PERFURAÇÃO'!$AH:$AH,MATCH(MEDIÇÃO!D212,'PROJETO PERFURAÇÃO'!$B:$B,0)),"")</f>
        <v/>
      </c>
      <c r="F212" s="17">
        <f>IFERROR(INDEX('PROJETO PERFURAÇÃO'!$AN:$AN,MATCH(MEDIÇÃO!D212,'PROJETO PERFURAÇÃO'!$B:$B,0)),"")</f>
        <v>0</v>
      </c>
      <c r="G212" s="3"/>
      <c r="H212" s="3"/>
      <c r="I212" s="3" t="str">
        <f>IFERROR(ROUND(INDEX('PROJETO PERFURAÇÃO'!$AB:$AB,MATCH(MEDIÇÃO!K212,'PROJETO PERFURAÇÃO'!$B:$B,0)),1)&amp;"''","")</f>
        <v>5''</v>
      </c>
      <c r="J212" s="3" t="str">
        <f>IFERROR(IF(INDEX('PROJETO PERFURAÇÃO'!$P:$P,MATCH(MEDIÇÃO!K212,'PROJETO PERFURAÇÃO'!$B:$B,0))="Production","P",IF(INDEX('PROJETO PERFURAÇÃO'!$P:$P,MATCH(MEDIÇÃO!K212,'PROJETO PERFURAÇÃO'!$B:$B,0))="Buffer","B",IF(INDEX('PROJETO PERFURAÇÃO'!$P:$P,MATCH(MEDIÇÃO!K212,'PROJETO PERFURAÇÃO'!$B:$B,0))="Pre-Splitting","S"))),"")</f>
        <v>P</v>
      </c>
      <c r="K212" s="14">
        <f t="shared" si="19"/>
        <v>459</v>
      </c>
      <c r="L212" s="4" t="str">
        <f>IFERROR(INDEX('LEV R&amp;D'!$D:$D,MATCH(MEDIÇÃO!K212,'LEV R&amp;D'!$A:$A,0))-INDEX('PROJETO PERFURAÇÃO'!$AH:$AH,MATCH(MEDIÇÃO!K212,'PROJETO PERFURAÇÃO'!$B:$B,0)),"")</f>
        <v/>
      </c>
      <c r="M212" s="17">
        <f>IFERROR(INDEX('PROJETO PERFURAÇÃO'!$AN:$AN,MATCH(MEDIÇÃO!K212,'PROJETO PERFURAÇÃO'!$B:$B,0)),"")</f>
        <v>0</v>
      </c>
      <c r="N212" s="3"/>
      <c r="O212" s="3"/>
      <c r="P212" s="3" t="str">
        <f>IFERROR(ROUND(INDEX('PROJETO PERFURAÇÃO'!$AB:$AB,MATCH(MEDIÇÃO!R212,'PROJETO PERFURAÇÃO'!$B:$B,0)),1)&amp;"''","")</f>
        <v>5''</v>
      </c>
      <c r="Q212" s="3" t="str">
        <f>IFERROR(IF(INDEX('PROJETO PERFURAÇÃO'!$P:$P,MATCH(MEDIÇÃO!R212,'PROJETO PERFURAÇÃO'!$B:$B,0))="Production","P",IF(INDEX('PROJETO PERFURAÇÃO'!$P:$P,MATCH(MEDIÇÃO!R212,'PROJETO PERFURAÇÃO'!$B:$B,0))="Buffer","B",IF(INDEX('PROJETO PERFURAÇÃO'!$P:$P,MATCH(MEDIÇÃO!R212,'PROJETO PERFURAÇÃO'!$B:$B,0))="Pre-Splitting","S"))),"")</f>
        <v>P</v>
      </c>
      <c r="R212" s="14">
        <f t="shared" si="20"/>
        <v>482</v>
      </c>
      <c r="S212" s="4" t="str">
        <f>IFERROR(INDEX('LEV R&amp;D'!$D:$D,MATCH(MEDIÇÃO!R212,'LEV R&amp;D'!$A:$A,0))-INDEX('PROJETO PERFURAÇÃO'!$AH:$AH,MATCH(MEDIÇÃO!R212,'PROJETO PERFURAÇÃO'!$B:$B,0)),"")</f>
        <v/>
      </c>
      <c r="T212" s="17">
        <f>IFERROR(INDEX('PROJETO PERFURAÇÃO'!$AN:$AN,MATCH(MEDIÇÃO!R212,'PROJETO PERFURAÇÃO'!$B:$B,0)),"")</f>
        <v>0</v>
      </c>
      <c r="U212" s="3"/>
      <c r="V212" s="3"/>
    </row>
    <row r="213" spans="1:23" ht="45" customHeight="1">
      <c r="B213" s="3" t="str">
        <f>IFERROR(ROUND(INDEX('PROJETO PERFURAÇÃO'!$AB:$AB,MATCH(MEDIÇÃO!D213,'PROJETO PERFURAÇÃO'!$B:$B,0)),1)&amp;"''","")</f>
        <v>5''</v>
      </c>
      <c r="C213" s="3" t="str">
        <f>IFERROR(IF(INDEX('PROJETO PERFURAÇÃO'!$P:$P,MATCH(MEDIÇÃO!D213,'PROJETO PERFURAÇÃO'!$B:$B,0))="Production","P",IF(INDEX('PROJETO PERFURAÇÃO'!$P:$P,MATCH(MEDIÇÃO!D213,'PROJETO PERFURAÇÃO'!$B:$B,0))="Buffer","B",IF(INDEX('PROJETO PERFURAÇÃO'!$P:$P,MATCH(MEDIÇÃO!D213,'PROJETO PERFURAÇÃO'!$B:$B,0))="Pre-Splitting","S"))),"")</f>
        <v>P</v>
      </c>
      <c r="D213" s="14">
        <f t="shared" si="18"/>
        <v>437</v>
      </c>
      <c r="E213" s="4" t="str">
        <f>IFERROR(INDEX('LEV R&amp;D'!$D:$D,MATCH(MEDIÇÃO!D213,'LEV R&amp;D'!$A:$A,0))-INDEX('PROJETO PERFURAÇÃO'!$AH:$AH,MATCH(MEDIÇÃO!D213,'PROJETO PERFURAÇÃO'!$B:$B,0)),"")</f>
        <v/>
      </c>
      <c r="F213" s="17">
        <f>IFERROR(INDEX('PROJETO PERFURAÇÃO'!$AN:$AN,MATCH(MEDIÇÃO!D213,'PROJETO PERFURAÇÃO'!$B:$B,0)),"")</f>
        <v>0</v>
      </c>
      <c r="G213" s="3"/>
      <c r="H213" s="3"/>
      <c r="I213" s="3" t="str">
        <f>IFERROR(ROUND(INDEX('PROJETO PERFURAÇÃO'!$AB:$AB,MATCH(MEDIÇÃO!K213,'PROJETO PERFURAÇÃO'!$B:$B,0)),1)&amp;"''","")</f>
        <v>5''</v>
      </c>
      <c r="J213" s="3" t="str">
        <f>IFERROR(IF(INDEX('PROJETO PERFURAÇÃO'!$P:$P,MATCH(MEDIÇÃO!K213,'PROJETO PERFURAÇÃO'!$B:$B,0))="Production","P",IF(INDEX('PROJETO PERFURAÇÃO'!$P:$P,MATCH(MEDIÇÃO!K213,'PROJETO PERFURAÇÃO'!$B:$B,0))="Buffer","B",IF(INDEX('PROJETO PERFURAÇÃO'!$P:$P,MATCH(MEDIÇÃO!K213,'PROJETO PERFURAÇÃO'!$B:$B,0))="Pre-Splitting","S"))),"")</f>
        <v>P</v>
      </c>
      <c r="K213" s="14">
        <f t="shared" si="19"/>
        <v>460</v>
      </c>
      <c r="L213" s="4" t="str">
        <f>IFERROR(INDEX('LEV R&amp;D'!$D:$D,MATCH(MEDIÇÃO!K213,'LEV R&amp;D'!$A:$A,0))-INDEX('PROJETO PERFURAÇÃO'!$AH:$AH,MATCH(MEDIÇÃO!K213,'PROJETO PERFURAÇÃO'!$B:$B,0)),"")</f>
        <v/>
      </c>
      <c r="M213" s="17">
        <f>IFERROR(INDEX('PROJETO PERFURAÇÃO'!$AN:$AN,MATCH(MEDIÇÃO!K213,'PROJETO PERFURAÇÃO'!$B:$B,0)),"")</f>
        <v>0</v>
      </c>
      <c r="N213" s="3"/>
      <c r="O213" s="3"/>
      <c r="P213" s="3" t="str">
        <f>IFERROR(ROUND(INDEX('PROJETO PERFURAÇÃO'!$AB:$AB,MATCH(MEDIÇÃO!R213,'PROJETO PERFURAÇÃO'!$B:$B,0)),1)&amp;"''","")</f>
        <v>5''</v>
      </c>
      <c r="Q213" s="3" t="str">
        <f>IFERROR(IF(INDEX('PROJETO PERFURAÇÃO'!$P:$P,MATCH(MEDIÇÃO!R213,'PROJETO PERFURAÇÃO'!$B:$B,0))="Production","P",IF(INDEX('PROJETO PERFURAÇÃO'!$P:$P,MATCH(MEDIÇÃO!R213,'PROJETO PERFURAÇÃO'!$B:$B,0))="Buffer","B",IF(INDEX('PROJETO PERFURAÇÃO'!$P:$P,MATCH(MEDIÇÃO!R213,'PROJETO PERFURAÇÃO'!$B:$B,0))="Pre-Splitting","S"))),"")</f>
        <v>P</v>
      </c>
      <c r="R213" s="14">
        <f t="shared" si="20"/>
        <v>483</v>
      </c>
      <c r="S213" s="4" t="str">
        <f>IFERROR(INDEX('LEV R&amp;D'!$D:$D,MATCH(MEDIÇÃO!R213,'LEV R&amp;D'!$A:$A,0))-INDEX('PROJETO PERFURAÇÃO'!$AH:$AH,MATCH(MEDIÇÃO!R213,'PROJETO PERFURAÇÃO'!$B:$B,0)),"")</f>
        <v/>
      </c>
      <c r="T213" s="17">
        <f>IFERROR(INDEX('PROJETO PERFURAÇÃO'!$AN:$AN,MATCH(MEDIÇÃO!R213,'PROJETO PERFURAÇÃO'!$B:$B,0)),"")</f>
        <v>0</v>
      </c>
      <c r="U213" s="3"/>
      <c r="V213" s="3"/>
    </row>
    <row r="214" spans="1:23" ht="30" customHeight="1">
      <c r="B214" s="1"/>
      <c r="C214" s="1"/>
      <c r="D214" s="15"/>
      <c r="E214" s="2"/>
      <c r="F214" s="16"/>
      <c r="G214" s="1"/>
      <c r="H214" s="1"/>
      <c r="I214" s="1"/>
      <c r="J214" s="1"/>
      <c r="K214" s="15"/>
      <c r="L214" s="2"/>
      <c r="M214" s="16"/>
      <c r="N214" s="1"/>
      <c r="O214" s="1"/>
      <c r="P214" s="1"/>
      <c r="Q214" s="1"/>
      <c r="R214" s="15"/>
      <c r="S214" s="2"/>
      <c r="T214" s="16"/>
      <c r="U214" s="1"/>
      <c r="V214" s="1"/>
    </row>
    <row r="215" spans="1:23" ht="30" customHeight="1">
      <c r="C215" s="20"/>
      <c r="D215" s="20"/>
      <c r="E215" s="20"/>
      <c r="F215" s="20"/>
      <c r="G215" s="20"/>
      <c r="H215" s="20"/>
      <c r="I215" s="20"/>
      <c r="J215" s="20"/>
      <c r="K215" s="20"/>
      <c r="M215" s="20"/>
      <c r="N215" s="20"/>
      <c r="O215" s="20"/>
      <c r="P215" s="20"/>
      <c r="Q215" s="20"/>
      <c r="R215" s="20"/>
      <c r="S215" s="20"/>
      <c r="T215" s="20"/>
      <c r="U215" s="20"/>
    </row>
    <row r="216" spans="1:23" ht="30" customHeight="1">
      <c r="C216" s="21" t="s">
        <v>40</v>
      </c>
      <c r="D216" s="21"/>
      <c r="E216" s="21"/>
      <c r="F216" s="21"/>
      <c r="G216" s="21"/>
      <c r="H216" s="21"/>
      <c r="I216" s="21"/>
      <c r="J216" s="21"/>
      <c r="K216" s="21"/>
      <c r="L216" s="9"/>
      <c r="M216" s="21" t="s">
        <v>40</v>
      </c>
      <c r="N216" s="21"/>
      <c r="O216" s="21"/>
      <c r="P216" s="21"/>
      <c r="Q216" s="21"/>
      <c r="R216" s="21"/>
      <c r="S216" s="21"/>
      <c r="T216" s="21"/>
      <c r="U216" s="21"/>
      <c r="V216" s="9"/>
    </row>
    <row r="217" spans="1:23" ht="30" customHeight="1">
      <c r="D217" s="9"/>
      <c r="E217" s="9"/>
      <c r="F217" s="9"/>
      <c r="G217" s="9"/>
      <c r="H217" s="9"/>
      <c r="I217" s="9"/>
      <c r="J217" s="9"/>
      <c r="K217" s="9"/>
      <c r="L217" s="9"/>
      <c r="M217" s="9"/>
      <c r="N217" s="9"/>
      <c r="Q217" s="9"/>
      <c r="R217" s="9"/>
      <c r="S217" s="9"/>
      <c r="T217" s="9"/>
      <c r="U217" s="9"/>
      <c r="V217" s="9"/>
    </row>
    <row r="218" spans="1:23" ht="30" customHeight="1">
      <c r="B218" s="19" t="str">
        <f>'PROJETO PERFURAÇÃO'!$C$2&amp;" - "&amp;'PROJETO PERFURAÇÃO'!$H$2</f>
        <v>LIB037 - PP0370626</v>
      </c>
      <c r="C218" s="19"/>
      <c r="D218" s="19"/>
      <c r="E218" s="19"/>
      <c r="F218" s="19"/>
      <c r="G218" s="19"/>
      <c r="H218" s="19"/>
      <c r="I218" s="11" t="s">
        <v>34</v>
      </c>
      <c r="J218" s="10" t="s">
        <v>37</v>
      </c>
    </row>
    <row r="219" spans="1:23" ht="30" customHeight="1">
      <c r="B219" s="19"/>
      <c r="C219" s="19"/>
      <c r="D219" s="19"/>
      <c r="E219" s="19"/>
      <c r="F219" s="19"/>
      <c r="G219" s="19"/>
      <c r="H219" s="19"/>
      <c r="I219" s="12" t="s">
        <v>35</v>
      </c>
      <c r="J219" s="10" t="s">
        <v>38</v>
      </c>
      <c r="K219" s="9"/>
      <c r="L219" s="9"/>
      <c r="M219" s="9"/>
      <c r="N219" s="9"/>
      <c r="O219" s="9"/>
      <c r="P219" s="9"/>
      <c r="Q219" s="9"/>
      <c r="R219" s="9"/>
      <c r="S219" s="9"/>
      <c r="T219" s="9"/>
      <c r="U219" s="9"/>
      <c r="V219" s="9"/>
    </row>
    <row r="220" spans="1:23" ht="30" customHeight="1">
      <c r="B220" s="19"/>
      <c r="C220" s="19"/>
      <c r="D220" s="19"/>
      <c r="E220" s="19"/>
      <c r="F220" s="19"/>
      <c r="G220" s="19"/>
      <c r="H220" s="19"/>
      <c r="I220" s="13" t="s">
        <v>36</v>
      </c>
      <c r="J220" s="10" t="s">
        <v>39</v>
      </c>
    </row>
    <row r="221" spans="1:23" ht="30" customHeight="1">
      <c r="A221" s="1"/>
      <c r="B221" s="6" t="s">
        <v>33</v>
      </c>
      <c r="C221" s="6" t="s">
        <v>13</v>
      </c>
      <c r="D221" s="7" t="s">
        <v>1</v>
      </c>
      <c r="E221" s="7" t="s">
        <v>29</v>
      </c>
      <c r="F221" s="7" t="s">
        <v>30</v>
      </c>
      <c r="G221" s="7" t="s">
        <v>31</v>
      </c>
      <c r="H221" s="7" t="s">
        <v>32</v>
      </c>
      <c r="I221" s="6" t="s">
        <v>33</v>
      </c>
      <c r="J221" s="6" t="s">
        <v>13</v>
      </c>
      <c r="K221" s="7" t="s">
        <v>1</v>
      </c>
      <c r="L221" s="7" t="s">
        <v>29</v>
      </c>
      <c r="M221" s="7" t="s">
        <v>30</v>
      </c>
      <c r="N221" s="7" t="s">
        <v>31</v>
      </c>
      <c r="O221" s="7" t="s">
        <v>32</v>
      </c>
      <c r="P221" s="6" t="s">
        <v>33</v>
      </c>
      <c r="Q221" s="6" t="s">
        <v>13</v>
      </c>
      <c r="R221" s="7" t="s">
        <v>1</v>
      </c>
      <c r="S221" s="7" t="s">
        <v>29</v>
      </c>
      <c r="T221" s="7" t="s">
        <v>30</v>
      </c>
      <c r="U221" s="7" t="s">
        <v>31</v>
      </c>
      <c r="V221" s="7" t="s">
        <v>32</v>
      </c>
      <c r="W221" s="1"/>
    </row>
    <row r="222" spans="1:23" ht="45" customHeight="1">
      <c r="B222" s="3" t="str">
        <f>IFERROR(ROUND(INDEX('PROJETO PERFURAÇÃO'!$AB:$AB,MATCH(MEDIÇÃO!D222,'PROJETO PERFURAÇÃO'!$B:$B,0)),1)&amp;"''","")</f>
        <v>5''</v>
      </c>
      <c r="C222" s="3" t="str">
        <f>IFERROR(IF(INDEX('PROJETO PERFURAÇÃO'!$P:$P,MATCH(MEDIÇÃO!D222,'PROJETO PERFURAÇÃO'!$B:$B,0))="Production","P",IF(INDEX('PROJETO PERFURAÇÃO'!$P:$P,MATCH(MEDIÇÃO!D222,'PROJETO PERFURAÇÃO'!$B:$B,0))="Buffer","B",IF(INDEX('PROJETO PERFURAÇÃO'!$P:$P,MATCH(MEDIÇÃO!D222,'PROJETO PERFURAÇÃO'!$B:$B,0))="Pre-Splitting","S"))),"")</f>
        <v>P</v>
      </c>
      <c r="D222" s="14">
        <f>R213+1</f>
        <v>484</v>
      </c>
      <c r="E222" s="4" t="str">
        <f>IFERROR(INDEX('LEV R&amp;D'!$D:$D,MATCH(MEDIÇÃO!D222,'LEV R&amp;D'!$A:$A,0))-INDEX('PROJETO PERFURAÇÃO'!$AH:$AH,MATCH(MEDIÇÃO!D222,'PROJETO PERFURAÇÃO'!$B:$B,0)),"")</f>
        <v/>
      </c>
      <c r="F222" s="17">
        <f>IFERROR(INDEX('PROJETO PERFURAÇÃO'!$AN:$AN,MATCH(MEDIÇÃO!D222,'PROJETO PERFURAÇÃO'!$B:$B,0)),"")</f>
        <v>0</v>
      </c>
      <c r="G222" s="3"/>
      <c r="H222" s="3"/>
      <c r="I222" s="3" t="str">
        <f>IFERROR(ROUND(INDEX('PROJETO PERFURAÇÃO'!$AB:$AB,MATCH(MEDIÇÃO!K222,'PROJETO PERFURAÇÃO'!$B:$B,0)),1)&amp;"''","")</f>
        <v>5''</v>
      </c>
      <c r="J222" s="3" t="str">
        <f>IFERROR(IF(INDEX('PROJETO PERFURAÇÃO'!$P:$P,MATCH(MEDIÇÃO!K222,'PROJETO PERFURAÇÃO'!$B:$B,0))="Production","P",IF(INDEX('PROJETO PERFURAÇÃO'!$P:$P,MATCH(MEDIÇÃO!K222,'PROJETO PERFURAÇÃO'!$B:$B,0))="Buffer","B",IF(INDEX('PROJETO PERFURAÇÃO'!$P:$P,MATCH(MEDIÇÃO!K222,'PROJETO PERFURAÇÃO'!$B:$B,0))="Pre-Splitting","S"))),"")</f>
        <v>P</v>
      </c>
      <c r="K222" s="14">
        <f>D244+1</f>
        <v>507</v>
      </c>
      <c r="L222" s="4" t="str">
        <f>IFERROR(INDEX('LEV R&amp;D'!$D:$D,MATCH(MEDIÇÃO!K222,'LEV R&amp;D'!$A:$A,0))-INDEX('PROJETO PERFURAÇÃO'!$AH:$AH,MATCH(MEDIÇÃO!K222,'PROJETO PERFURAÇÃO'!$B:$B,0)),"")</f>
        <v/>
      </c>
      <c r="M222" s="17">
        <f>IFERROR(INDEX('PROJETO PERFURAÇÃO'!$AN:$AN,MATCH(MEDIÇÃO!K222,'PROJETO PERFURAÇÃO'!$B:$B,0)),"")</f>
        <v>0</v>
      </c>
      <c r="N222" s="3"/>
      <c r="O222" s="3"/>
      <c r="P222" s="3" t="str">
        <f>IFERROR(ROUND(INDEX('PROJETO PERFURAÇÃO'!$AB:$AB,MATCH(MEDIÇÃO!R222,'PROJETO PERFURAÇÃO'!$B:$B,0)),1)&amp;"''","")</f>
        <v>5''</v>
      </c>
      <c r="Q222" s="3" t="str">
        <f>IFERROR(IF(INDEX('PROJETO PERFURAÇÃO'!$P:$P,MATCH(MEDIÇÃO!R222,'PROJETO PERFURAÇÃO'!$B:$B,0))="Production","P",IF(INDEX('PROJETO PERFURAÇÃO'!$P:$P,MATCH(MEDIÇÃO!R222,'PROJETO PERFURAÇÃO'!$B:$B,0))="Buffer","B",IF(INDEX('PROJETO PERFURAÇÃO'!$P:$P,MATCH(MEDIÇÃO!R222,'PROJETO PERFURAÇÃO'!$B:$B,0))="Pre-Splitting","S"))),"")</f>
        <v>P</v>
      </c>
      <c r="R222" s="14">
        <f>K244+1</f>
        <v>530</v>
      </c>
      <c r="S222" s="4" t="str">
        <f>IFERROR(INDEX('LEV R&amp;D'!$D:$D,MATCH(MEDIÇÃO!R222,'LEV R&amp;D'!$A:$A,0))-INDEX('PROJETO PERFURAÇÃO'!$AH:$AH,MATCH(MEDIÇÃO!R222,'PROJETO PERFURAÇÃO'!$B:$B,0)),"")</f>
        <v/>
      </c>
      <c r="T222" s="17">
        <f>IFERROR(INDEX('PROJETO PERFURAÇÃO'!$AN:$AN,MATCH(MEDIÇÃO!R222,'PROJETO PERFURAÇÃO'!$B:$B,0)),"")</f>
        <v>0</v>
      </c>
      <c r="U222" s="3"/>
      <c r="V222" s="3"/>
    </row>
    <row r="223" spans="1:23" ht="45" customHeight="1">
      <c r="B223" s="3" t="str">
        <f>IFERROR(ROUND(INDEX('PROJETO PERFURAÇÃO'!$AB:$AB,MATCH(MEDIÇÃO!D223,'PROJETO PERFURAÇÃO'!$B:$B,0)),1)&amp;"''","")</f>
        <v>5''</v>
      </c>
      <c r="C223" s="3" t="str">
        <f>IFERROR(IF(INDEX('PROJETO PERFURAÇÃO'!$P:$P,MATCH(MEDIÇÃO!D223,'PROJETO PERFURAÇÃO'!$B:$B,0))="Production","P",IF(INDEX('PROJETO PERFURAÇÃO'!$P:$P,MATCH(MEDIÇÃO!D223,'PROJETO PERFURAÇÃO'!$B:$B,0))="Buffer","B",IF(INDEX('PROJETO PERFURAÇÃO'!$P:$P,MATCH(MEDIÇÃO!D223,'PROJETO PERFURAÇÃO'!$B:$B,0))="Pre-Splitting","S"))),"")</f>
        <v>P</v>
      </c>
      <c r="D223" s="14">
        <f>D222+1</f>
        <v>485</v>
      </c>
      <c r="E223" s="4" t="str">
        <f>IFERROR(INDEX('LEV R&amp;D'!$D:$D,MATCH(MEDIÇÃO!D223,'LEV R&amp;D'!$A:$A,0))-INDEX('PROJETO PERFURAÇÃO'!$AH:$AH,MATCH(MEDIÇÃO!D223,'PROJETO PERFURAÇÃO'!$B:$B,0)),"")</f>
        <v/>
      </c>
      <c r="F223" s="17">
        <f>IFERROR(INDEX('PROJETO PERFURAÇÃO'!$AN:$AN,MATCH(MEDIÇÃO!D223,'PROJETO PERFURAÇÃO'!$B:$B,0)),"")</f>
        <v>0</v>
      </c>
      <c r="G223" s="3"/>
      <c r="H223" s="3"/>
      <c r="I223" s="3" t="str">
        <f>IFERROR(ROUND(INDEX('PROJETO PERFURAÇÃO'!$AB:$AB,MATCH(MEDIÇÃO!K223,'PROJETO PERFURAÇÃO'!$B:$B,0)),1)&amp;"''","")</f>
        <v>5''</v>
      </c>
      <c r="J223" s="3" t="str">
        <f>IFERROR(IF(INDEX('PROJETO PERFURAÇÃO'!$P:$P,MATCH(MEDIÇÃO!K223,'PROJETO PERFURAÇÃO'!$B:$B,0))="Production","P",IF(INDEX('PROJETO PERFURAÇÃO'!$P:$P,MATCH(MEDIÇÃO!K223,'PROJETO PERFURAÇÃO'!$B:$B,0))="Buffer","B",IF(INDEX('PROJETO PERFURAÇÃO'!$P:$P,MATCH(MEDIÇÃO!K223,'PROJETO PERFURAÇÃO'!$B:$B,0))="Pre-Splitting","S"))),"")</f>
        <v>P</v>
      </c>
      <c r="K223" s="14">
        <f>K222+1</f>
        <v>508</v>
      </c>
      <c r="L223" s="4" t="str">
        <f>IFERROR(INDEX('LEV R&amp;D'!$D:$D,MATCH(MEDIÇÃO!K223,'LEV R&amp;D'!$A:$A,0))-INDEX('PROJETO PERFURAÇÃO'!$AH:$AH,MATCH(MEDIÇÃO!K223,'PROJETO PERFURAÇÃO'!$B:$B,0)),"")</f>
        <v/>
      </c>
      <c r="M223" s="17">
        <f>IFERROR(INDEX('PROJETO PERFURAÇÃO'!$AN:$AN,MATCH(MEDIÇÃO!K223,'PROJETO PERFURAÇÃO'!$B:$B,0)),"")</f>
        <v>0</v>
      </c>
      <c r="N223" s="3"/>
      <c r="O223" s="3"/>
      <c r="P223" s="3" t="str">
        <f>IFERROR(ROUND(INDEX('PROJETO PERFURAÇÃO'!$AB:$AB,MATCH(MEDIÇÃO!R223,'PROJETO PERFURAÇÃO'!$B:$B,0)),1)&amp;"''","")</f>
        <v>5''</v>
      </c>
      <c r="Q223" s="3" t="str">
        <f>IFERROR(IF(INDEX('PROJETO PERFURAÇÃO'!$P:$P,MATCH(MEDIÇÃO!R223,'PROJETO PERFURAÇÃO'!$B:$B,0))="Production","P",IF(INDEX('PROJETO PERFURAÇÃO'!$P:$P,MATCH(MEDIÇÃO!R223,'PROJETO PERFURAÇÃO'!$B:$B,0))="Buffer","B",IF(INDEX('PROJETO PERFURAÇÃO'!$P:$P,MATCH(MEDIÇÃO!R223,'PROJETO PERFURAÇÃO'!$B:$B,0))="Pre-Splitting","S"))),"")</f>
        <v>P</v>
      </c>
      <c r="R223" s="14">
        <f>R222+1</f>
        <v>531</v>
      </c>
      <c r="S223" s="4" t="str">
        <f>IFERROR(INDEX('LEV R&amp;D'!$D:$D,MATCH(MEDIÇÃO!R223,'LEV R&amp;D'!$A:$A,0))-INDEX('PROJETO PERFURAÇÃO'!$AH:$AH,MATCH(MEDIÇÃO!R223,'PROJETO PERFURAÇÃO'!$B:$B,0)),"")</f>
        <v/>
      </c>
      <c r="T223" s="17">
        <f>IFERROR(INDEX('PROJETO PERFURAÇÃO'!$AN:$AN,MATCH(MEDIÇÃO!R223,'PROJETO PERFURAÇÃO'!$B:$B,0)),"")</f>
        <v>0</v>
      </c>
      <c r="U223" s="3"/>
      <c r="V223" s="3"/>
    </row>
    <row r="224" spans="1:23" ht="45" customHeight="1">
      <c r="B224" s="3" t="str">
        <f>IFERROR(ROUND(INDEX('PROJETO PERFURAÇÃO'!$AB:$AB,MATCH(MEDIÇÃO!D224,'PROJETO PERFURAÇÃO'!$B:$B,0)),1)&amp;"''","")</f>
        <v>5''</v>
      </c>
      <c r="C224" s="3" t="str">
        <f>IFERROR(IF(INDEX('PROJETO PERFURAÇÃO'!$P:$P,MATCH(MEDIÇÃO!D224,'PROJETO PERFURAÇÃO'!$B:$B,0))="Production","P",IF(INDEX('PROJETO PERFURAÇÃO'!$P:$P,MATCH(MEDIÇÃO!D224,'PROJETO PERFURAÇÃO'!$B:$B,0))="Buffer","B",IF(INDEX('PROJETO PERFURAÇÃO'!$P:$P,MATCH(MEDIÇÃO!D224,'PROJETO PERFURAÇÃO'!$B:$B,0))="Pre-Splitting","S"))),"")</f>
        <v>P</v>
      </c>
      <c r="D224" s="14">
        <f t="shared" ref="D224:D244" si="21">D223+1</f>
        <v>486</v>
      </c>
      <c r="E224" s="4" t="str">
        <f>IFERROR(INDEX('LEV R&amp;D'!$D:$D,MATCH(MEDIÇÃO!D224,'LEV R&amp;D'!$A:$A,0))-INDEX('PROJETO PERFURAÇÃO'!$AH:$AH,MATCH(MEDIÇÃO!D224,'PROJETO PERFURAÇÃO'!$B:$B,0)),"")</f>
        <v/>
      </c>
      <c r="F224" s="17">
        <f>IFERROR(INDEX('PROJETO PERFURAÇÃO'!$AN:$AN,MATCH(MEDIÇÃO!D224,'PROJETO PERFURAÇÃO'!$B:$B,0)),"")</f>
        <v>0</v>
      </c>
      <c r="G224" s="3"/>
      <c r="H224" s="3"/>
      <c r="I224" s="3" t="str">
        <f>IFERROR(ROUND(INDEX('PROJETO PERFURAÇÃO'!$AB:$AB,MATCH(MEDIÇÃO!K224,'PROJETO PERFURAÇÃO'!$B:$B,0)),1)&amp;"''","")</f>
        <v>5''</v>
      </c>
      <c r="J224" s="3" t="str">
        <f>IFERROR(IF(INDEX('PROJETO PERFURAÇÃO'!$P:$P,MATCH(MEDIÇÃO!K224,'PROJETO PERFURAÇÃO'!$B:$B,0))="Production","P",IF(INDEX('PROJETO PERFURAÇÃO'!$P:$P,MATCH(MEDIÇÃO!K224,'PROJETO PERFURAÇÃO'!$B:$B,0))="Buffer","B",IF(INDEX('PROJETO PERFURAÇÃO'!$P:$P,MATCH(MEDIÇÃO!K224,'PROJETO PERFURAÇÃO'!$B:$B,0))="Pre-Splitting","S"))),"")</f>
        <v>P</v>
      </c>
      <c r="K224" s="14">
        <f t="shared" ref="K224:K244" si="22">K223+1</f>
        <v>509</v>
      </c>
      <c r="L224" s="4" t="str">
        <f>IFERROR(INDEX('LEV R&amp;D'!$D:$D,MATCH(MEDIÇÃO!K224,'LEV R&amp;D'!$A:$A,0))-INDEX('PROJETO PERFURAÇÃO'!$AH:$AH,MATCH(MEDIÇÃO!K224,'PROJETO PERFURAÇÃO'!$B:$B,0)),"")</f>
        <v/>
      </c>
      <c r="M224" s="17">
        <f>IFERROR(INDEX('PROJETO PERFURAÇÃO'!$AN:$AN,MATCH(MEDIÇÃO!K224,'PROJETO PERFURAÇÃO'!$B:$B,0)),"")</f>
        <v>0</v>
      </c>
      <c r="N224" s="3"/>
      <c r="O224" s="3"/>
      <c r="P224" s="3" t="str">
        <f>IFERROR(ROUND(INDEX('PROJETO PERFURAÇÃO'!$AB:$AB,MATCH(MEDIÇÃO!R224,'PROJETO PERFURAÇÃO'!$B:$B,0)),1)&amp;"''","")</f>
        <v>5''</v>
      </c>
      <c r="Q224" s="3" t="str">
        <f>IFERROR(IF(INDEX('PROJETO PERFURAÇÃO'!$P:$P,MATCH(MEDIÇÃO!R224,'PROJETO PERFURAÇÃO'!$B:$B,0))="Production","P",IF(INDEX('PROJETO PERFURAÇÃO'!$P:$P,MATCH(MEDIÇÃO!R224,'PROJETO PERFURAÇÃO'!$B:$B,0))="Buffer","B",IF(INDEX('PROJETO PERFURAÇÃO'!$P:$P,MATCH(MEDIÇÃO!R224,'PROJETO PERFURAÇÃO'!$B:$B,0))="Pre-Splitting","S"))),"")</f>
        <v>P</v>
      </c>
      <c r="R224" s="14">
        <f t="shared" ref="R224:R244" si="23">R223+1</f>
        <v>532</v>
      </c>
      <c r="S224" s="4" t="str">
        <f>IFERROR(INDEX('LEV R&amp;D'!$D:$D,MATCH(MEDIÇÃO!R224,'LEV R&amp;D'!$A:$A,0))-INDEX('PROJETO PERFURAÇÃO'!$AH:$AH,MATCH(MEDIÇÃO!R224,'PROJETO PERFURAÇÃO'!$B:$B,0)),"")</f>
        <v/>
      </c>
      <c r="T224" s="17">
        <f>IFERROR(INDEX('PROJETO PERFURAÇÃO'!$AN:$AN,MATCH(MEDIÇÃO!R224,'PROJETO PERFURAÇÃO'!$B:$B,0)),"")</f>
        <v>0</v>
      </c>
      <c r="U224" s="3"/>
      <c r="V224" s="3"/>
    </row>
    <row r="225" spans="2:22" ht="45" customHeight="1">
      <c r="B225" s="3" t="str">
        <f>IFERROR(ROUND(INDEX('PROJETO PERFURAÇÃO'!$AB:$AB,MATCH(MEDIÇÃO!D225,'PROJETO PERFURAÇÃO'!$B:$B,0)),1)&amp;"''","")</f>
        <v>5''</v>
      </c>
      <c r="C225" s="3" t="str">
        <f>IFERROR(IF(INDEX('PROJETO PERFURAÇÃO'!$P:$P,MATCH(MEDIÇÃO!D225,'PROJETO PERFURAÇÃO'!$B:$B,0))="Production","P",IF(INDEX('PROJETO PERFURAÇÃO'!$P:$P,MATCH(MEDIÇÃO!D225,'PROJETO PERFURAÇÃO'!$B:$B,0))="Buffer","B",IF(INDEX('PROJETO PERFURAÇÃO'!$P:$P,MATCH(MEDIÇÃO!D225,'PROJETO PERFURAÇÃO'!$B:$B,0))="Pre-Splitting","S"))),"")</f>
        <v>P</v>
      </c>
      <c r="D225" s="14">
        <f t="shared" si="21"/>
        <v>487</v>
      </c>
      <c r="E225" s="4" t="str">
        <f>IFERROR(INDEX('LEV R&amp;D'!$D:$D,MATCH(MEDIÇÃO!D225,'LEV R&amp;D'!$A:$A,0))-INDEX('PROJETO PERFURAÇÃO'!$AH:$AH,MATCH(MEDIÇÃO!D225,'PROJETO PERFURAÇÃO'!$B:$B,0)),"")</f>
        <v/>
      </c>
      <c r="F225" s="17">
        <f>IFERROR(INDEX('PROJETO PERFURAÇÃO'!$AN:$AN,MATCH(MEDIÇÃO!D225,'PROJETO PERFURAÇÃO'!$B:$B,0)),"")</f>
        <v>0</v>
      </c>
      <c r="G225" s="3"/>
      <c r="H225" s="3"/>
      <c r="I225" s="3" t="str">
        <f>IFERROR(ROUND(INDEX('PROJETO PERFURAÇÃO'!$AB:$AB,MATCH(MEDIÇÃO!K225,'PROJETO PERFURAÇÃO'!$B:$B,0)),1)&amp;"''","")</f>
        <v>5''</v>
      </c>
      <c r="J225" s="3" t="str">
        <f>IFERROR(IF(INDEX('PROJETO PERFURAÇÃO'!$P:$P,MATCH(MEDIÇÃO!K225,'PROJETO PERFURAÇÃO'!$B:$B,0))="Production","P",IF(INDEX('PROJETO PERFURAÇÃO'!$P:$P,MATCH(MEDIÇÃO!K225,'PROJETO PERFURAÇÃO'!$B:$B,0))="Buffer","B",IF(INDEX('PROJETO PERFURAÇÃO'!$P:$P,MATCH(MEDIÇÃO!K225,'PROJETO PERFURAÇÃO'!$B:$B,0))="Pre-Splitting","S"))),"")</f>
        <v>P</v>
      </c>
      <c r="K225" s="14">
        <f t="shared" si="22"/>
        <v>510</v>
      </c>
      <c r="L225" s="4" t="str">
        <f>IFERROR(INDEX('LEV R&amp;D'!$D:$D,MATCH(MEDIÇÃO!K225,'LEV R&amp;D'!$A:$A,0))-INDEX('PROJETO PERFURAÇÃO'!$AH:$AH,MATCH(MEDIÇÃO!K225,'PROJETO PERFURAÇÃO'!$B:$B,0)),"")</f>
        <v/>
      </c>
      <c r="M225" s="17">
        <f>IFERROR(INDEX('PROJETO PERFURAÇÃO'!$AN:$AN,MATCH(MEDIÇÃO!K225,'PROJETO PERFURAÇÃO'!$B:$B,0)),"")</f>
        <v>0</v>
      </c>
      <c r="N225" s="3"/>
      <c r="O225" s="3"/>
      <c r="P225" s="3" t="str">
        <f>IFERROR(ROUND(INDEX('PROJETO PERFURAÇÃO'!$AB:$AB,MATCH(MEDIÇÃO!R225,'PROJETO PERFURAÇÃO'!$B:$B,0)),1)&amp;"''","")</f>
        <v>5''</v>
      </c>
      <c r="Q225" s="3" t="str">
        <f>IFERROR(IF(INDEX('PROJETO PERFURAÇÃO'!$P:$P,MATCH(MEDIÇÃO!R225,'PROJETO PERFURAÇÃO'!$B:$B,0))="Production","P",IF(INDEX('PROJETO PERFURAÇÃO'!$P:$P,MATCH(MEDIÇÃO!R225,'PROJETO PERFURAÇÃO'!$B:$B,0))="Buffer","B",IF(INDEX('PROJETO PERFURAÇÃO'!$P:$P,MATCH(MEDIÇÃO!R225,'PROJETO PERFURAÇÃO'!$B:$B,0))="Pre-Splitting","S"))),"")</f>
        <v>P</v>
      </c>
      <c r="R225" s="14">
        <f t="shared" si="23"/>
        <v>533</v>
      </c>
      <c r="S225" s="4" t="str">
        <f>IFERROR(INDEX('LEV R&amp;D'!$D:$D,MATCH(MEDIÇÃO!R225,'LEV R&amp;D'!$A:$A,0))-INDEX('PROJETO PERFURAÇÃO'!$AH:$AH,MATCH(MEDIÇÃO!R225,'PROJETO PERFURAÇÃO'!$B:$B,0)),"")</f>
        <v/>
      </c>
      <c r="T225" s="17">
        <f>IFERROR(INDEX('PROJETO PERFURAÇÃO'!$AN:$AN,MATCH(MEDIÇÃO!R225,'PROJETO PERFURAÇÃO'!$B:$B,0)),"")</f>
        <v>0</v>
      </c>
      <c r="U225" s="3"/>
      <c r="V225" s="3"/>
    </row>
    <row r="226" spans="2:22" ht="45" customHeight="1">
      <c r="B226" s="3" t="str">
        <f>IFERROR(ROUND(INDEX('PROJETO PERFURAÇÃO'!$AB:$AB,MATCH(MEDIÇÃO!D226,'PROJETO PERFURAÇÃO'!$B:$B,0)),1)&amp;"''","")</f>
        <v>5''</v>
      </c>
      <c r="C226" s="3" t="str">
        <f>IFERROR(IF(INDEX('PROJETO PERFURAÇÃO'!$P:$P,MATCH(MEDIÇÃO!D226,'PROJETO PERFURAÇÃO'!$B:$B,0))="Production","P",IF(INDEX('PROJETO PERFURAÇÃO'!$P:$P,MATCH(MEDIÇÃO!D226,'PROJETO PERFURAÇÃO'!$B:$B,0))="Buffer","B",IF(INDEX('PROJETO PERFURAÇÃO'!$P:$P,MATCH(MEDIÇÃO!D226,'PROJETO PERFURAÇÃO'!$B:$B,0))="Pre-Splitting","S"))),"")</f>
        <v>P</v>
      </c>
      <c r="D226" s="14">
        <f t="shared" si="21"/>
        <v>488</v>
      </c>
      <c r="E226" s="4" t="str">
        <f>IFERROR(INDEX('LEV R&amp;D'!$D:$D,MATCH(MEDIÇÃO!D226,'LEV R&amp;D'!$A:$A,0))-INDEX('PROJETO PERFURAÇÃO'!$AH:$AH,MATCH(MEDIÇÃO!D226,'PROJETO PERFURAÇÃO'!$B:$B,0)),"")</f>
        <v/>
      </c>
      <c r="F226" s="17">
        <f>IFERROR(INDEX('PROJETO PERFURAÇÃO'!$AN:$AN,MATCH(MEDIÇÃO!D226,'PROJETO PERFURAÇÃO'!$B:$B,0)),"")</f>
        <v>0</v>
      </c>
      <c r="G226" s="3"/>
      <c r="H226" s="3"/>
      <c r="I226" s="3" t="str">
        <f>IFERROR(ROUND(INDEX('PROJETO PERFURAÇÃO'!$AB:$AB,MATCH(MEDIÇÃO!K226,'PROJETO PERFURAÇÃO'!$B:$B,0)),1)&amp;"''","")</f>
        <v>5''</v>
      </c>
      <c r="J226" s="3" t="str">
        <f>IFERROR(IF(INDEX('PROJETO PERFURAÇÃO'!$P:$P,MATCH(MEDIÇÃO!K226,'PROJETO PERFURAÇÃO'!$B:$B,0))="Production","P",IF(INDEX('PROJETO PERFURAÇÃO'!$P:$P,MATCH(MEDIÇÃO!K226,'PROJETO PERFURAÇÃO'!$B:$B,0))="Buffer","B",IF(INDEX('PROJETO PERFURAÇÃO'!$P:$P,MATCH(MEDIÇÃO!K226,'PROJETO PERFURAÇÃO'!$B:$B,0))="Pre-Splitting","S"))),"")</f>
        <v>P</v>
      </c>
      <c r="K226" s="14">
        <f t="shared" si="22"/>
        <v>511</v>
      </c>
      <c r="L226" s="4" t="str">
        <f>IFERROR(INDEX('LEV R&amp;D'!$D:$D,MATCH(MEDIÇÃO!K226,'LEV R&amp;D'!$A:$A,0))-INDEX('PROJETO PERFURAÇÃO'!$AH:$AH,MATCH(MEDIÇÃO!K226,'PROJETO PERFURAÇÃO'!$B:$B,0)),"")</f>
        <v/>
      </c>
      <c r="M226" s="17">
        <f>IFERROR(INDEX('PROJETO PERFURAÇÃO'!$AN:$AN,MATCH(MEDIÇÃO!K226,'PROJETO PERFURAÇÃO'!$B:$B,0)),"")</f>
        <v>0</v>
      </c>
      <c r="N226" s="3"/>
      <c r="O226" s="3"/>
      <c r="P226" s="3" t="str">
        <f>IFERROR(ROUND(INDEX('PROJETO PERFURAÇÃO'!$AB:$AB,MATCH(MEDIÇÃO!R226,'PROJETO PERFURAÇÃO'!$B:$B,0)),1)&amp;"''","")</f>
        <v>5''</v>
      </c>
      <c r="Q226" s="3" t="str">
        <f>IFERROR(IF(INDEX('PROJETO PERFURAÇÃO'!$P:$P,MATCH(MEDIÇÃO!R226,'PROJETO PERFURAÇÃO'!$B:$B,0))="Production","P",IF(INDEX('PROJETO PERFURAÇÃO'!$P:$P,MATCH(MEDIÇÃO!R226,'PROJETO PERFURAÇÃO'!$B:$B,0))="Buffer","B",IF(INDEX('PROJETO PERFURAÇÃO'!$P:$P,MATCH(MEDIÇÃO!R226,'PROJETO PERFURAÇÃO'!$B:$B,0))="Pre-Splitting","S"))),"")</f>
        <v>P</v>
      </c>
      <c r="R226" s="14">
        <f t="shared" si="23"/>
        <v>534</v>
      </c>
      <c r="S226" s="4" t="str">
        <f>IFERROR(INDEX('LEV R&amp;D'!$D:$D,MATCH(MEDIÇÃO!R226,'LEV R&amp;D'!$A:$A,0))-INDEX('PROJETO PERFURAÇÃO'!$AH:$AH,MATCH(MEDIÇÃO!R226,'PROJETO PERFURAÇÃO'!$B:$B,0)),"")</f>
        <v/>
      </c>
      <c r="T226" s="17">
        <f>IFERROR(INDEX('PROJETO PERFURAÇÃO'!$AN:$AN,MATCH(MEDIÇÃO!R226,'PROJETO PERFURAÇÃO'!$B:$B,0)),"")</f>
        <v>0</v>
      </c>
      <c r="U226" s="3"/>
      <c r="V226" s="3"/>
    </row>
    <row r="227" spans="2:22" ht="45" customHeight="1">
      <c r="B227" s="3" t="str">
        <f>IFERROR(ROUND(INDEX('PROJETO PERFURAÇÃO'!$AB:$AB,MATCH(MEDIÇÃO!D227,'PROJETO PERFURAÇÃO'!$B:$B,0)),1)&amp;"''","")</f>
        <v>5''</v>
      </c>
      <c r="C227" s="3" t="str">
        <f>IFERROR(IF(INDEX('PROJETO PERFURAÇÃO'!$P:$P,MATCH(MEDIÇÃO!D227,'PROJETO PERFURAÇÃO'!$B:$B,0))="Production","P",IF(INDEX('PROJETO PERFURAÇÃO'!$P:$P,MATCH(MEDIÇÃO!D227,'PROJETO PERFURAÇÃO'!$B:$B,0))="Buffer","B",IF(INDEX('PROJETO PERFURAÇÃO'!$P:$P,MATCH(MEDIÇÃO!D227,'PROJETO PERFURAÇÃO'!$B:$B,0))="Pre-Splitting","S"))),"")</f>
        <v>P</v>
      </c>
      <c r="D227" s="14">
        <f t="shared" si="21"/>
        <v>489</v>
      </c>
      <c r="E227" s="4" t="str">
        <f>IFERROR(INDEX('LEV R&amp;D'!$D:$D,MATCH(MEDIÇÃO!D227,'LEV R&amp;D'!$A:$A,0))-INDEX('PROJETO PERFURAÇÃO'!$AH:$AH,MATCH(MEDIÇÃO!D227,'PROJETO PERFURAÇÃO'!$B:$B,0)),"")</f>
        <v/>
      </c>
      <c r="F227" s="17">
        <f>IFERROR(INDEX('PROJETO PERFURAÇÃO'!$AN:$AN,MATCH(MEDIÇÃO!D227,'PROJETO PERFURAÇÃO'!$B:$B,0)),"")</f>
        <v>0</v>
      </c>
      <c r="G227" s="3"/>
      <c r="H227" s="3"/>
      <c r="I227" s="3" t="str">
        <f>IFERROR(ROUND(INDEX('PROJETO PERFURAÇÃO'!$AB:$AB,MATCH(MEDIÇÃO!K227,'PROJETO PERFURAÇÃO'!$B:$B,0)),1)&amp;"''","")</f>
        <v>5''</v>
      </c>
      <c r="J227" s="3" t="str">
        <f>IFERROR(IF(INDEX('PROJETO PERFURAÇÃO'!$P:$P,MATCH(MEDIÇÃO!K227,'PROJETO PERFURAÇÃO'!$B:$B,0))="Production","P",IF(INDEX('PROJETO PERFURAÇÃO'!$P:$P,MATCH(MEDIÇÃO!K227,'PROJETO PERFURAÇÃO'!$B:$B,0))="Buffer","B",IF(INDEX('PROJETO PERFURAÇÃO'!$P:$P,MATCH(MEDIÇÃO!K227,'PROJETO PERFURAÇÃO'!$B:$B,0))="Pre-Splitting","S"))),"")</f>
        <v>P</v>
      </c>
      <c r="K227" s="14">
        <f t="shared" si="22"/>
        <v>512</v>
      </c>
      <c r="L227" s="4" t="str">
        <f>IFERROR(INDEX('LEV R&amp;D'!$D:$D,MATCH(MEDIÇÃO!K227,'LEV R&amp;D'!$A:$A,0))-INDEX('PROJETO PERFURAÇÃO'!$AH:$AH,MATCH(MEDIÇÃO!K227,'PROJETO PERFURAÇÃO'!$B:$B,0)),"")</f>
        <v/>
      </c>
      <c r="M227" s="17">
        <f>IFERROR(INDEX('PROJETO PERFURAÇÃO'!$AN:$AN,MATCH(MEDIÇÃO!K227,'PROJETO PERFURAÇÃO'!$B:$B,0)),"")</f>
        <v>0</v>
      </c>
      <c r="N227" s="3"/>
      <c r="O227" s="3"/>
      <c r="P227" s="3" t="str">
        <f>IFERROR(ROUND(INDEX('PROJETO PERFURAÇÃO'!$AB:$AB,MATCH(MEDIÇÃO!R227,'PROJETO PERFURAÇÃO'!$B:$B,0)),1)&amp;"''","")</f>
        <v>5''</v>
      </c>
      <c r="Q227" s="3" t="str">
        <f>IFERROR(IF(INDEX('PROJETO PERFURAÇÃO'!$P:$P,MATCH(MEDIÇÃO!R227,'PROJETO PERFURAÇÃO'!$B:$B,0))="Production","P",IF(INDEX('PROJETO PERFURAÇÃO'!$P:$P,MATCH(MEDIÇÃO!R227,'PROJETO PERFURAÇÃO'!$B:$B,0))="Buffer","B",IF(INDEX('PROJETO PERFURAÇÃO'!$P:$P,MATCH(MEDIÇÃO!R227,'PROJETO PERFURAÇÃO'!$B:$B,0))="Pre-Splitting","S"))),"")</f>
        <v>P</v>
      </c>
      <c r="R227" s="14">
        <f t="shared" si="23"/>
        <v>535</v>
      </c>
      <c r="S227" s="4" t="str">
        <f>IFERROR(INDEX('LEV R&amp;D'!$D:$D,MATCH(MEDIÇÃO!R227,'LEV R&amp;D'!$A:$A,0))-INDEX('PROJETO PERFURAÇÃO'!$AH:$AH,MATCH(MEDIÇÃO!R227,'PROJETO PERFURAÇÃO'!$B:$B,0)),"")</f>
        <v/>
      </c>
      <c r="T227" s="17">
        <f>IFERROR(INDEX('PROJETO PERFURAÇÃO'!$AN:$AN,MATCH(MEDIÇÃO!R227,'PROJETO PERFURAÇÃO'!$B:$B,0)),"")</f>
        <v>0</v>
      </c>
      <c r="U227" s="3"/>
      <c r="V227" s="3"/>
    </row>
    <row r="228" spans="2:22" ht="45" customHeight="1">
      <c r="B228" s="3" t="str">
        <f>IFERROR(ROUND(INDEX('PROJETO PERFURAÇÃO'!$AB:$AB,MATCH(MEDIÇÃO!D228,'PROJETO PERFURAÇÃO'!$B:$B,0)),1)&amp;"''","")</f>
        <v>5''</v>
      </c>
      <c r="C228" s="3" t="str">
        <f>IFERROR(IF(INDEX('PROJETO PERFURAÇÃO'!$P:$P,MATCH(MEDIÇÃO!D228,'PROJETO PERFURAÇÃO'!$B:$B,0))="Production","P",IF(INDEX('PROJETO PERFURAÇÃO'!$P:$P,MATCH(MEDIÇÃO!D228,'PROJETO PERFURAÇÃO'!$B:$B,0))="Buffer","B",IF(INDEX('PROJETO PERFURAÇÃO'!$P:$P,MATCH(MEDIÇÃO!D228,'PROJETO PERFURAÇÃO'!$B:$B,0))="Pre-Splitting","S"))),"")</f>
        <v>P</v>
      </c>
      <c r="D228" s="14">
        <f t="shared" si="21"/>
        <v>490</v>
      </c>
      <c r="E228" s="4" t="str">
        <f>IFERROR(INDEX('LEV R&amp;D'!$D:$D,MATCH(MEDIÇÃO!D228,'LEV R&amp;D'!$A:$A,0))-INDEX('PROJETO PERFURAÇÃO'!$AH:$AH,MATCH(MEDIÇÃO!D228,'PROJETO PERFURAÇÃO'!$B:$B,0)),"")</f>
        <v/>
      </c>
      <c r="F228" s="17">
        <f>IFERROR(INDEX('PROJETO PERFURAÇÃO'!$AN:$AN,MATCH(MEDIÇÃO!D228,'PROJETO PERFURAÇÃO'!$B:$B,0)),"")</f>
        <v>0</v>
      </c>
      <c r="G228" s="3"/>
      <c r="H228" s="3"/>
      <c r="I228" s="3" t="str">
        <f>IFERROR(ROUND(INDEX('PROJETO PERFURAÇÃO'!$AB:$AB,MATCH(MEDIÇÃO!K228,'PROJETO PERFURAÇÃO'!$B:$B,0)),1)&amp;"''","")</f>
        <v>5''</v>
      </c>
      <c r="J228" s="3" t="str">
        <f>IFERROR(IF(INDEX('PROJETO PERFURAÇÃO'!$P:$P,MATCH(MEDIÇÃO!K228,'PROJETO PERFURAÇÃO'!$B:$B,0))="Production","P",IF(INDEX('PROJETO PERFURAÇÃO'!$P:$P,MATCH(MEDIÇÃO!K228,'PROJETO PERFURAÇÃO'!$B:$B,0))="Buffer","B",IF(INDEX('PROJETO PERFURAÇÃO'!$P:$P,MATCH(MEDIÇÃO!K228,'PROJETO PERFURAÇÃO'!$B:$B,0))="Pre-Splitting","S"))),"")</f>
        <v>P</v>
      </c>
      <c r="K228" s="14">
        <f t="shared" si="22"/>
        <v>513</v>
      </c>
      <c r="L228" s="4" t="str">
        <f>IFERROR(INDEX('LEV R&amp;D'!$D:$D,MATCH(MEDIÇÃO!K228,'LEV R&amp;D'!$A:$A,0))-INDEX('PROJETO PERFURAÇÃO'!$AH:$AH,MATCH(MEDIÇÃO!K228,'PROJETO PERFURAÇÃO'!$B:$B,0)),"")</f>
        <v/>
      </c>
      <c r="M228" s="17">
        <f>IFERROR(INDEX('PROJETO PERFURAÇÃO'!$AN:$AN,MATCH(MEDIÇÃO!K228,'PROJETO PERFURAÇÃO'!$B:$B,0)),"")</f>
        <v>0</v>
      </c>
      <c r="N228" s="3"/>
      <c r="O228" s="3"/>
      <c r="P228" s="3" t="str">
        <f>IFERROR(ROUND(INDEX('PROJETO PERFURAÇÃO'!$AB:$AB,MATCH(MEDIÇÃO!R228,'PROJETO PERFURAÇÃO'!$B:$B,0)),1)&amp;"''","")</f>
        <v>5''</v>
      </c>
      <c r="Q228" s="3" t="str">
        <f>IFERROR(IF(INDEX('PROJETO PERFURAÇÃO'!$P:$P,MATCH(MEDIÇÃO!R228,'PROJETO PERFURAÇÃO'!$B:$B,0))="Production","P",IF(INDEX('PROJETO PERFURAÇÃO'!$P:$P,MATCH(MEDIÇÃO!R228,'PROJETO PERFURAÇÃO'!$B:$B,0))="Buffer","B",IF(INDEX('PROJETO PERFURAÇÃO'!$P:$P,MATCH(MEDIÇÃO!R228,'PROJETO PERFURAÇÃO'!$B:$B,0))="Pre-Splitting","S"))),"")</f>
        <v>P</v>
      </c>
      <c r="R228" s="14">
        <f t="shared" si="23"/>
        <v>536</v>
      </c>
      <c r="S228" s="4" t="str">
        <f>IFERROR(INDEX('LEV R&amp;D'!$D:$D,MATCH(MEDIÇÃO!R228,'LEV R&amp;D'!$A:$A,0))-INDEX('PROJETO PERFURAÇÃO'!$AH:$AH,MATCH(MEDIÇÃO!R228,'PROJETO PERFURAÇÃO'!$B:$B,0)),"")</f>
        <v/>
      </c>
      <c r="T228" s="17">
        <f>IFERROR(INDEX('PROJETO PERFURAÇÃO'!$AN:$AN,MATCH(MEDIÇÃO!R228,'PROJETO PERFURAÇÃO'!$B:$B,0)),"")</f>
        <v>0</v>
      </c>
      <c r="U228" s="3"/>
      <c r="V228" s="3"/>
    </row>
    <row r="229" spans="2:22" ht="45" customHeight="1">
      <c r="B229" s="3" t="str">
        <f>IFERROR(ROUND(INDEX('PROJETO PERFURAÇÃO'!$AB:$AB,MATCH(MEDIÇÃO!D229,'PROJETO PERFURAÇÃO'!$B:$B,0)),1)&amp;"''","")</f>
        <v>5''</v>
      </c>
      <c r="C229" s="3" t="str">
        <f>IFERROR(IF(INDEX('PROJETO PERFURAÇÃO'!$P:$P,MATCH(MEDIÇÃO!D229,'PROJETO PERFURAÇÃO'!$B:$B,0))="Production","P",IF(INDEX('PROJETO PERFURAÇÃO'!$P:$P,MATCH(MEDIÇÃO!D229,'PROJETO PERFURAÇÃO'!$B:$B,0))="Buffer","B",IF(INDEX('PROJETO PERFURAÇÃO'!$P:$P,MATCH(MEDIÇÃO!D229,'PROJETO PERFURAÇÃO'!$B:$B,0))="Pre-Splitting","S"))),"")</f>
        <v>P</v>
      </c>
      <c r="D229" s="14">
        <f t="shared" si="21"/>
        <v>491</v>
      </c>
      <c r="E229" s="4" t="str">
        <f>IFERROR(INDEX('LEV R&amp;D'!$D:$D,MATCH(MEDIÇÃO!D229,'LEV R&amp;D'!$A:$A,0))-INDEX('PROJETO PERFURAÇÃO'!$AH:$AH,MATCH(MEDIÇÃO!D229,'PROJETO PERFURAÇÃO'!$B:$B,0)),"")</f>
        <v/>
      </c>
      <c r="F229" s="17">
        <f>IFERROR(INDEX('PROJETO PERFURAÇÃO'!$AN:$AN,MATCH(MEDIÇÃO!D229,'PROJETO PERFURAÇÃO'!$B:$B,0)),"")</f>
        <v>0</v>
      </c>
      <c r="G229" s="3"/>
      <c r="H229" s="3"/>
      <c r="I229" s="3" t="str">
        <f>IFERROR(ROUND(INDEX('PROJETO PERFURAÇÃO'!$AB:$AB,MATCH(MEDIÇÃO!K229,'PROJETO PERFURAÇÃO'!$B:$B,0)),1)&amp;"''","")</f>
        <v>5''</v>
      </c>
      <c r="J229" s="3" t="str">
        <f>IFERROR(IF(INDEX('PROJETO PERFURAÇÃO'!$P:$P,MATCH(MEDIÇÃO!K229,'PROJETO PERFURAÇÃO'!$B:$B,0))="Production","P",IF(INDEX('PROJETO PERFURAÇÃO'!$P:$P,MATCH(MEDIÇÃO!K229,'PROJETO PERFURAÇÃO'!$B:$B,0))="Buffer","B",IF(INDEX('PROJETO PERFURAÇÃO'!$P:$P,MATCH(MEDIÇÃO!K229,'PROJETO PERFURAÇÃO'!$B:$B,0))="Pre-Splitting","S"))),"")</f>
        <v>P</v>
      </c>
      <c r="K229" s="14">
        <f t="shared" si="22"/>
        <v>514</v>
      </c>
      <c r="L229" s="4" t="str">
        <f>IFERROR(INDEX('LEV R&amp;D'!$D:$D,MATCH(MEDIÇÃO!K229,'LEV R&amp;D'!$A:$A,0))-INDEX('PROJETO PERFURAÇÃO'!$AH:$AH,MATCH(MEDIÇÃO!K229,'PROJETO PERFURAÇÃO'!$B:$B,0)),"")</f>
        <v/>
      </c>
      <c r="M229" s="17">
        <f>IFERROR(INDEX('PROJETO PERFURAÇÃO'!$AN:$AN,MATCH(MEDIÇÃO!K229,'PROJETO PERFURAÇÃO'!$B:$B,0)),"")</f>
        <v>0</v>
      </c>
      <c r="N229" s="3"/>
      <c r="O229" s="3"/>
      <c r="P229" s="3" t="str">
        <f>IFERROR(ROUND(INDEX('PROJETO PERFURAÇÃO'!$AB:$AB,MATCH(MEDIÇÃO!R229,'PROJETO PERFURAÇÃO'!$B:$B,0)),1)&amp;"''","")</f>
        <v>5''</v>
      </c>
      <c r="Q229" s="3" t="str">
        <f>IFERROR(IF(INDEX('PROJETO PERFURAÇÃO'!$P:$P,MATCH(MEDIÇÃO!R229,'PROJETO PERFURAÇÃO'!$B:$B,0))="Production","P",IF(INDEX('PROJETO PERFURAÇÃO'!$P:$P,MATCH(MEDIÇÃO!R229,'PROJETO PERFURAÇÃO'!$B:$B,0))="Buffer","B",IF(INDEX('PROJETO PERFURAÇÃO'!$P:$P,MATCH(MEDIÇÃO!R229,'PROJETO PERFURAÇÃO'!$B:$B,0))="Pre-Splitting","S"))),"")</f>
        <v>P</v>
      </c>
      <c r="R229" s="14">
        <f t="shared" si="23"/>
        <v>537</v>
      </c>
      <c r="S229" s="4" t="str">
        <f>IFERROR(INDEX('LEV R&amp;D'!$D:$D,MATCH(MEDIÇÃO!R229,'LEV R&amp;D'!$A:$A,0))-INDEX('PROJETO PERFURAÇÃO'!$AH:$AH,MATCH(MEDIÇÃO!R229,'PROJETO PERFURAÇÃO'!$B:$B,0)),"")</f>
        <v/>
      </c>
      <c r="T229" s="17">
        <f>IFERROR(INDEX('PROJETO PERFURAÇÃO'!$AN:$AN,MATCH(MEDIÇÃO!R229,'PROJETO PERFURAÇÃO'!$B:$B,0)),"")</f>
        <v>0</v>
      </c>
      <c r="U229" s="3"/>
      <c r="V229" s="3"/>
    </row>
    <row r="230" spans="2:22" ht="45" customHeight="1">
      <c r="B230" s="3" t="str">
        <f>IFERROR(ROUND(INDEX('PROJETO PERFURAÇÃO'!$AB:$AB,MATCH(MEDIÇÃO!D230,'PROJETO PERFURAÇÃO'!$B:$B,0)),1)&amp;"''","")</f>
        <v>5''</v>
      </c>
      <c r="C230" s="3" t="str">
        <f>IFERROR(IF(INDEX('PROJETO PERFURAÇÃO'!$P:$P,MATCH(MEDIÇÃO!D230,'PROJETO PERFURAÇÃO'!$B:$B,0))="Production","P",IF(INDEX('PROJETO PERFURAÇÃO'!$P:$P,MATCH(MEDIÇÃO!D230,'PROJETO PERFURAÇÃO'!$B:$B,0))="Buffer","B",IF(INDEX('PROJETO PERFURAÇÃO'!$P:$P,MATCH(MEDIÇÃO!D230,'PROJETO PERFURAÇÃO'!$B:$B,0))="Pre-Splitting","S"))),"")</f>
        <v>P</v>
      </c>
      <c r="D230" s="14">
        <f t="shared" si="21"/>
        <v>492</v>
      </c>
      <c r="E230" s="4" t="str">
        <f>IFERROR(INDEX('LEV R&amp;D'!$D:$D,MATCH(MEDIÇÃO!D230,'LEV R&amp;D'!$A:$A,0))-INDEX('PROJETO PERFURAÇÃO'!$AH:$AH,MATCH(MEDIÇÃO!D230,'PROJETO PERFURAÇÃO'!$B:$B,0)),"")</f>
        <v/>
      </c>
      <c r="F230" s="17">
        <f>IFERROR(INDEX('PROJETO PERFURAÇÃO'!$AN:$AN,MATCH(MEDIÇÃO!D230,'PROJETO PERFURAÇÃO'!$B:$B,0)),"")</f>
        <v>0</v>
      </c>
      <c r="G230" s="3"/>
      <c r="H230" s="3"/>
      <c r="I230" s="3" t="str">
        <f>IFERROR(ROUND(INDEX('PROJETO PERFURAÇÃO'!$AB:$AB,MATCH(MEDIÇÃO!K230,'PROJETO PERFURAÇÃO'!$B:$B,0)),1)&amp;"''","")</f>
        <v>5''</v>
      </c>
      <c r="J230" s="3" t="str">
        <f>IFERROR(IF(INDEX('PROJETO PERFURAÇÃO'!$P:$P,MATCH(MEDIÇÃO!K230,'PROJETO PERFURAÇÃO'!$B:$B,0))="Production","P",IF(INDEX('PROJETO PERFURAÇÃO'!$P:$P,MATCH(MEDIÇÃO!K230,'PROJETO PERFURAÇÃO'!$B:$B,0))="Buffer","B",IF(INDEX('PROJETO PERFURAÇÃO'!$P:$P,MATCH(MEDIÇÃO!K230,'PROJETO PERFURAÇÃO'!$B:$B,0))="Pre-Splitting","S"))),"")</f>
        <v>P</v>
      </c>
      <c r="K230" s="14">
        <f t="shared" si="22"/>
        <v>515</v>
      </c>
      <c r="L230" s="4" t="str">
        <f>IFERROR(INDEX('LEV R&amp;D'!$D:$D,MATCH(MEDIÇÃO!K230,'LEV R&amp;D'!$A:$A,0))-INDEX('PROJETO PERFURAÇÃO'!$AH:$AH,MATCH(MEDIÇÃO!K230,'PROJETO PERFURAÇÃO'!$B:$B,0)),"")</f>
        <v/>
      </c>
      <c r="M230" s="17">
        <f>IFERROR(INDEX('PROJETO PERFURAÇÃO'!$AN:$AN,MATCH(MEDIÇÃO!K230,'PROJETO PERFURAÇÃO'!$B:$B,0)),"")</f>
        <v>0</v>
      </c>
      <c r="N230" s="3"/>
      <c r="O230" s="3"/>
      <c r="P230" s="3" t="str">
        <f>IFERROR(ROUND(INDEX('PROJETO PERFURAÇÃO'!$AB:$AB,MATCH(MEDIÇÃO!R230,'PROJETO PERFURAÇÃO'!$B:$B,0)),1)&amp;"''","")</f>
        <v>5''</v>
      </c>
      <c r="Q230" s="3" t="str">
        <f>IFERROR(IF(INDEX('PROJETO PERFURAÇÃO'!$P:$P,MATCH(MEDIÇÃO!R230,'PROJETO PERFURAÇÃO'!$B:$B,0))="Production","P",IF(INDEX('PROJETO PERFURAÇÃO'!$P:$P,MATCH(MEDIÇÃO!R230,'PROJETO PERFURAÇÃO'!$B:$B,0))="Buffer","B",IF(INDEX('PROJETO PERFURAÇÃO'!$P:$P,MATCH(MEDIÇÃO!R230,'PROJETO PERFURAÇÃO'!$B:$B,0))="Pre-Splitting","S"))),"")</f>
        <v>P</v>
      </c>
      <c r="R230" s="14">
        <f t="shared" si="23"/>
        <v>538</v>
      </c>
      <c r="S230" s="4" t="str">
        <f>IFERROR(INDEX('LEV R&amp;D'!$D:$D,MATCH(MEDIÇÃO!R230,'LEV R&amp;D'!$A:$A,0))-INDEX('PROJETO PERFURAÇÃO'!$AH:$AH,MATCH(MEDIÇÃO!R230,'PROJETO PERFURAÇÃO'!$B:$B,0)),"")</f>
        <v/>
      </c>
      <c r="T230" s="17">
        <f>IFERROR(INDEX('PROJETO PERFURAÇÃO'!$AN:$AN,MATCH(MEDIÇÃO!R230,'PROJETO PERFURAÇÃO'!$B:$B,0)),"")</f>
        <v>0</v>
      </c>
      <c r="U230" s="3"/>
      <c r="V230" s="3"/>
    </row>
    <row r="231" spans="2:22" ht="45" customHeight="1">
      <c r="B231" s="3" t="str">
        <f>IFERROR(ROUND(INDEX('PROJETO PERFURAÇÃO'!$AB:$AB,MATCH(MEDIÇÃO!D231,'PROJETO PERFURAÇÃO'!$B:$B,0)),1)&amp;"''","")</f>
        <v>5''</v>
      </c>
      <c r="C231" s="3" t="str">
        <f>IFERROR(IF(INDEX('PROJETO PERFURAÇÃO'!$P:$P,MATCH(MEDIÇÃO!D231,'PROJETO PERFURAÇÃO'!$B:$B,0))="Production","P",IF(INDEX('PROJETO PERFURAÇÃO'!$P:$P,MATCH(MEDIÇÃO!D231,'PROJETO PERFURAÇÃO'!$B:$B,0))="Buffer","B",IF(INDEX('PROJETO PERFURAÇÃO'!$P:$P,MATCH(MEDIÇÃO!D231,'PROJETO PERFURAÇÃO'!$B:$B,0))="Pre-Splitting","S"))),"")</f>
        <v>P</v>
      </c>
      <c r="D231" s="14">
        <f t="shared" si="21"/>
        <v>493</v>
      </c>
      <c r="E231" s="4" t="str">
        <f>IFERROR(INDEX('LEV R&amp;D'!$D:$D,MATCH(MEDIÇÃO!D231,'LEV R&amp;D'!$A:$A,0))-INDEX('PROJETO PERFURAÇÃO'!$AH:$AH,MATCH(MEDIÇÃO!D231,'PROJETO PERFURAÇÃO'!$B:$B,0)),"")</f>
        <v/>
      </c>
      <c r="F231" s="17">
        <f>IFERROR(INDEX('PROJETO PERFURAÇÃO'!$AN:$AN,MATCH(MEDIÇÃO!D231,'PROJETO PERFURAÇÃO'!$B:$B,0)),"")</f>
        <v>0</v>
      </c>
      <c r="G231" s="3"/>
      <c r="H231" s="3"/>
      <c r="I231" s="3" t="str">
        <f>IFERROR(ROUND(INDEX('PROJETO PERFURAÇÃO'!$AB:$AB,MATCH(MEDIÇÃO!K231,'PROJETO PERFURAÇÃO'!$B:$B,0)),1)&amp;"''","")</f>
        <v>5''</v>
      </c>
      <c r="J231" s="3" t="str">
        <f>IFERROR(IF(INDEX('PROJETO PERFURAÇÃO'!$P:$P,MATCH(MEDIÇÃO!K231,'PROJETO PERFURAÇÃO'!$B:$B,0))="Production","P",IF(INDEX('PROJETO PERFURAÇÃO'!$P:$P,MATCH(MEDIÇÃO!K231,'PROJETO PERFURAÇÃO'!$B:$B,0))="Buffer","B",IF(INDEX('PROJETO PERFURAÇÃO'!$P:$P,MATCH(MEDIÇÃO!K231,'PROJETO PERFURAÇÃO'!$B:$B,0))="Pre-Splitting","S"))),"")</f>
        <v>P</v>
      </c>
      <c r="K231" s="14">
        <f t="shared" si="22"/>
        <v>516</v>
      </c>
      <c r="L231" s="4" t="str">
        <f>IFERROR(INDEX('LEV R&amp;D'!$D:$D,MATCH(MEDIÇÃO!K231,'LEV R&amp;D'!$A:$A,0))-INDEX('PROJETO PERFURAÇÃO'!$AH:$AH,MATCH(MEDIÇÃO!K231,'PROJETO PERFURAÇÃO'!$B:$B,0)),"")</f>
        <v/>
      </c>
      <c r="M231" s="17">
        <f>IFERROR(INDEX('PROJETO PERFURAÇÃO'!$AN:$AN,MATCH(MEDIÇÃO!K231,'PROJETO PERFURAÇÃO'!$B:$B,0)),"")</f>
        <v>0</v>
      </c>
      <c r="N231" s="3"/>
      <c r="O231" s="3"/>
      <c r="P231" s="3" t="str">
        <f>IFERROR(ROUND(INDEX('PROJETO PERFURAÇÃO'!$AB:$AB,MATCH(MEDIÇÃO!R231,'PROJETO PERFURAÇÃO'!$B:$B,0)),1)&amp;"''","")</f>
        <v>5''</v>
      </c>
      <c r="Q231" s="3" t="str">
        <f>IFERROR(IF(INDEX('PROJETO PERFURAÇÃO'!$P:$P,MATCH(MEDIÇÃO!R231,'PROJETO PERFURAÇÃO'!$B:$B,0))="Production","P",IF(INDEX('PROJETO PERFURAÇÃO'!$P:$P,MATCH(MEDIÇÃO!R231,'PROJETO PERFURAÇÃO'!$B:$B,0))="Buffer","B",IF(INDEX('PROJETO PERFURAÇÃO'!$P:$P,MATCH(MEDIÇÃO!R231,'PROJETO PERFURAÇÃO'!$B:$B,0))="Pre-Splitting","S"))),"")</f>
        <v>P</v>
      </c>
      <c r="R231" s="14">
        <f t="shared" si="23"/>
        <v>539</v>
      </c>
      <c r="S231" s="4" t="str">
        <f>IFERROR(INDEX('LEV R&amp;D'!$D:$D,MATCH(MEDIÇÃO!R231,'LEV R&amp;D'!$A:$A,0))-INDEX('PROJETO PERFURAÇÃO'!$AH:$AH,MATCH(MEDIÇÃO!R231,'PROJETO PERFURAÇÃO'!$B:$B,0)),"")</f>
        <v/>
      </c>
      <c r="T231" s="17">
        <f>IFERROR(INDEX('PROJETO PERFURAÇÃO'!$AN:$AN,MATCH(MEDIÇÃO!R231,'PROJETO PERFURAÇÃO'!$B:$B,0)),"")</f>
        <v>0</v>
      </c>
      <c r="U231" s="3"/>
      <c r="V231" s="3"/>
    </row>
    <row r="232" spans="2:22" ht="45" customHeight="1">
      <c r="B232" s="3" t="str">
        <f>IFERROR(ROUND(INDEX('PROJETO PERFURAÇÃO'!$AB:$AB,MATCH(MEDIÇÃO!D232,'PROJETO PERFURAÇÃO'!$B:$B,0)),1)&amp;"''","")</f>
        <v>5''</v>
      </c>
      <c r="C232" s="3" t="str">
        <f>IFERROR(IF(INDEX('PROJETO PERFURAÇÃO'!$P:$P,MATCH(MEDIÇÃO!D232,'PROJETO PERFURAÇÃO'!$B:$B,0))="Production","P",IF(INDEX('PROJETO PERFURAÇÃO'!$P:$P,MATCH(MEDIÇÃO!D232,'PROJETO PERFURAÇÃO'!$B:$B,0))="Buffer","B",IF(INDEX('PROJETO PERFURAÇÃO'!$P:$P,MATCH(MEDIÇÃO!D232,'PROJETO PERFURAÇÃO'!$B:$B,0))="Pre-Splitting","S"))),"")</f>
        <v>P</v>
      </c>
      <c r="D232" s="14">
        <f t="shared" si="21"/>
        <v>494</v>
      </c>
      <c r="E232" s="4" t="str">
        <f>IFERROR(INDEX('LEV R&amp;D'!$D:$D,MATCH(MEDIÇÃO!D232,'LEV R&amp;D'!$A:$A,0))-INDEX('PROJETO PERFURAÇÃO'!$AH:$AH,MATCH(MEDIÇÃO!D232,'PROJETO PERFURAÇÃO'!$B:$B,0)),"")</f>
        <v/>
      </c>
      <c r="F232" s="17">
        <f>IFERROR(INDEX('PROJETO PERFURAÇÃO'!$AN:$AN,MATCH(MEDIÇÃO!D232,'PROJETO PERFURAÇÃO'!$B:$B,0)),"")</f>
        <v>0</v>
      </c>
      <c r="G232" s="3"/>
      <c r="H232" s="3"/>
      <c r="I232" s="3" t="str">
        <f>IFERROR(ROUND(INDEX('PROJETO PERFURAÇÃO'!$AB:$AB,MATCH(MEDIÇÃO!K232,'PROJETO PERFURAÇÃO'!$B:$B,0)),1)&amp;"''","")</f>
        <v>5''</v>
      </c>
      <c r="J232" s="3" t="str">
        <f>IFERROR(IF(INDEX('PROJETO PERFURAÇÃO'!$P:$P,MATCH(MEDIÇÃO!K232,'PROJETO PERFURAÇÃO'!$B:$B,0))="Production","P",IF(INDEX('PROJETO PERFURAÇÃO'!$P:$P,MATCH(MEDIÇÃO!K232,'PROJETO PERFURAÇÃO'!$B:$B,0))="Buffer","B",IF(INDEX('PROJETO PERFURAÇÃO'!$P:$P,MATCH(MEDIÇÃO!K232,'PROJETO PERFURAÇÃO'!$B:$B,0))="Pre-Splitting","S"))),"")</f>
        <v>P</v>
      </c>
      <c r="K232" s="14">
        <f t="shared" si="22"/>
        <v>517</v>
      </c>
      <c r="L232" s="4" t="str">
        <f>IFERROR(INDEX('LEV R&amp;D'!$D:$D,MATCH(MEDIÇÃO!K232,'LEV R&amp;D'!$A:$A,0))-INDEX('PROJETO PERFURAÇÃO'!$AH:$AH,MATCH(MEDIÇÃO!K232,'PROJETO PERFURAÇÃO'!$B:$B,0)),"")</f>
        <v/>
      </c>
      <c r="M232" s="17">
        <f>IFERROR(INDEX('PROJETO PERFURAÇÃO'!$AN:$AN,MATCH(MEDIÇÃO!K232,'PROJETO PERFURAÇÃO'!$B:$B,0)),"")</f>
        <v>0</v>
      </c>
      <c r="N232" s="3"/>
      <c r="O232" s="3"/>
      <c r="P232" s="3" t="str">
        <f>IFERROR(ROUND(INDEX('PROJETO PERFURAÇÃO'!$AB:$AB,MATCH(MEDIÇÃO!R232,'PROJETO PERFURAÇÃO'!$B:$B,0)),1)&amp;"''","")</f>
        <v>5''</v>
      </c>
      <c r="Q232" s="3" t="str">
        <f>IFERROR(IF(INDEX('PROJETO PERFURAÇÃO'!$P:$P,MATCH(MEDIÇÃO!R232,'PROJETO PERFURAÇÃO'!$B:$B,0))="Production","P",IF(INDEX('PROJETO PERFURAÇÃO'!$P:$P,MATCH(MEDIÇÃO!R232,'PROJETO PERFURAÇÃO'!$B:$B,0))="Buffer","B",IF(INDEX('PROJETO PERFURAÇÃO'!$P:$P,MATCH(MEDIÇÃO!R232,'PROJETO PERFURAÇÃO'!$B:$B,0))="Pre-Splitting","S"))),"")</f>
        <v>P</v>
      </c>
      <c r="R232" s="14">
        <f t="shared" si="23"/>
        <v>540</v>
      </c>
      <c r="S232" s="4" t="str">
        <f>IFERROR(INDEX('LEV R&amp;D'!$D:$D,MATCH(MEDIÇÃO!R232,'LEV R&amp;D'!$A:$A,0))-INDEX('PROJETO PERFURAÇÃO'!$AH:$AH,MATCH(MEDIÇÃO!R232,'PROJETO PERFURAÇÃO'!$B:$B,0)),"")</f>
        <v/>
      </c>
      <c r="T232" s="17">
        <f>IFERROR(INDEX('PROJETO PERFURAÇÃO'!$AN:$AN,MATCH(MEDIÇÃO!R232,'PROJETO PERFURAÇÃO'!$B:$B,0)),"")</f>
        <v>0</v>
      </c>
      <c r="U232" s="3"/>
      <c r="V232" s="3"/>
    </row>
    <row r="233" spans="2:22" ht="45" customHeight="1">
      <c r="B233" s="3" t="str">
        <f>IFERROR(ROUND(INDEX('PROJETO PERFURAÇÃO'!$AB:$AB,MATCH(MEDIÇÃO!D233,'PROJETO PERFURAÇÃO'!$B:$B,0)),1)&amp;"''","")</f>
        <v>5''</v>
      </c>
      <c r="C233" s="3" t="str">
        <f>IFERROR(IF(INDEX('PROJETO PERFURAÇÃO'!$P:$P,MATCH(MEDIÇÃO!D233,'PROJETO PERFURAÇÃO'!$B:$B,0))="Production","P",IF(INDEX('PROJETO PERFURAÇÃO'!$P:$P,MATCH(MEDIÇÃO!D233,'PROJETO PERFURAÇÃO'!$B:$B,0))="Buffer","B",IF(INDEX('PROJETO PERFURAÇÃO'!$P:$P,MATCH(MEDIÇÃO!D233,'PROJETO PERFURAÇÃO'!$B:$B,0))="Pre-Splitting","S"))),"")</f>
        <v>P</v>
      </c>
      <c r="D233" s="14">
        <f t="shared" si="21"/>
        <v>495</v>
      </c>
      <c r="E233" s="4" t="str">
        <f>IFERROR(INDEX('LEV R&amp;D'!$D:$D,MATCH(MEDIÇÃO!D233,'LEV R&amp;D'!$A:$A,0))-INDEX('PROJETO PERFURAÇÃO'!$AH:$AH,MATCH(MEDIÇÃO!D233,'PROJETO PERFURAÇÃO'!$B:$B,0)),"")</f>
        <v/>
      </c>
      <c r="F233" s="17">
        <f>IFERROR(INDEX('PROJETO PERFURAÇÃO'!$AN:$AN,MATCH(MEDIÇÃO!D233,'PROJETO PERFURAÇÃO'!$B:$B,0)),"")</f>
        <v>0</v>
      </c>
      <c r="G233" s="3"/>
      <c r="H233" s="3"/>
      <c r="I233" s="3" t="str">
        <f>IFERROR(ROUND(INDEX('PROJETO PERFURAÇÃO'!$AB:$AB,MATCH(MEDIÇÃO!K233,'PROJETO PERFURAÇÃO'!$B:$B,0)),1)&amp;"''","")</f>
        <v>5''</v>
      </c>
      <c r="J233" s="3" t="str">
        <f>IFERROR(IF(INDEX('PROJETO PERFURAÇÃO'!$P:$P,MATCH(MEDIÇÃO!K233,'PROJETO PERFURAÇÃO'!$B:$B,0))="Production","P",IF(INDEX('PROJETO PERFURAÇÃO'!$P:$P,MATCH(MEDIÇÃO!K233,'PROJETO PERFURAÇÃO'!$B:$B,0))="Buffer","B",IF(INDEX('PROJETO PERFURAÇÃO'!$P:$P,MATCH(MEDIÇÃO!K233,'PROJETO PERFURAÇÃO'!$B:$B,0))="Pre-Splitting","S"))),"")</f>
        <v>P</v>
      </c>
      <c r="K233" s="14">
        <f t="shared" si="22"/>
        <v>518</v>
      </c>
      <c r="L233" s="4" t="str">
        <f>IFERROR(INDEX('LEV R&amp;D'!$D:$D,MATCH(MEDIÇÃO!K233,'LEV R&amp;D'!$A:$A,0))-INDEX('PROJETO PERFURAÇÃO'!$AH:$AH,MATCH(MEDIÇÃO!K233,'PROJETO PERFURAÇÃO'!$B:$B,0)),"")</f>
        <v/>
      </c>
      <c r="M233" s="17">
        <f>IFERROR(INDEX('PROJETO PERFURAÇÃO'!$AN:$AN,MATCH(MEDIÇÃO!K233,'PROJETO PERFURAÇÃO'!$B:$B,0)),"")</f>
        <v>0</v>
      </c>
      <c r="N233" s="3"/>
      <c r="O233" s="3"/>
      <c r="P233" s="3" t="str">
        <f>IFERROR(ROUND(INDEX('PROJETO PERFURAÇÃO'!$AB:$AB,MATCH(MEDIÇÃO!R233,'PROJETO PERFURAÇÃO'!$B:$B,0)),1)&amp;"''","")</f>
        <v>5''</v>
      </c>
      <c r="Q233" s="3" t="str">
        <f>IFERROR(IF(INDEX('PROJETO PERFURAÇÃO'!$P:$P,MATCH(MEDIÇÃO!R233,'PROJETO PERFURAÇÃO'!$B:$B,0))="Production","P",IF(INDEX('PROJETO PERFURAÇÃO'!$P:$P,MATCH(MEDIÇÃO!R233,'PROJETO PERFURAÇÃO'!$B:$B,0))="Buffer","B",IF(INDEX('PROJETO PERFURAÇÃO'!$P:$P,MATCH(MEDIÇÃO!R233,'PROJETO PERFURAÇÃO'!$B:$B,0))="Pre-Splitting","S"))),"")</f>
        <v>P</v>
      </c>
      <c r="R233" s="14">
        <f t="shared" si="23"/>
        <v>541</v>
      </c>
      <c r="S233" s="4" t="str">
        <f>IFERROR(INDEX('LEV R&amp;D'!$D:$D,MATCH(MEDIÇÃO!R233,'LEV R&amp;D'!$A:$A,0))-INDEX('PROJETO PERFURAÇÃO'!$AH:$AH,MATCH(MEDIÇÃO!R233,'PROJETO PERFURAÇÃO'!$B:$B,0)),"")</f>
        <v/>
      </c>
      <c r="T233" s="17">
        <f>IFERROR(INDEX('PROJETO PERFURAÇÃO'!$AN:$AN,MATCH(MEDIÇÃO!R233,'PROJETO PERFURAÇÃO'!$B:$B,0)),"")</f>
        <v>0</v>
      </c>
      <c r="U233" s="3"/>
      <c r="V233" s="3"/>
    </row>
    <row r="234" spans="2:22" ht="45" customHeight="1">
      <c r="B234" s="3" t="str">
        <f>IFERROR(ROUND(INDEX('PROJETO PERFURAÇÃO'!$AB:$AB,MATCH(MEDIÇÃO!D234,'PROJETO PERFURAÇÃO'!$B:$B,0)),1)&amp;"''","")</f>
        <v>5''</v>
      </c>
      <c r="C234" s="3" t="str">
        <f>IFERROR(IF(INDEX('PROJETO PERFURAÇÃO'!$P:$P,MATCH(MEDIÇÃO!D234,'PROJETO PERFURAÇÃO'!$B:$B,0))="Production","P",IF(INDEX('PROJETO PERFURAÇÃO'!$P:$P,MATCH(MEDIÇÃO!D234,'PROJETO PERFURAÇÃO'!$B:$B,0))="Buffer","B",IF(INDEX('PROJETO PERFURAÇÃO'!$P:$P,MATCH(MEDIÇÃO!D234,'PROJETO PERFURAÇÃO'!$B:$B,0))="Pre-Splitting","S"))),"")</f>
        <v>P</v>
      </c>
      <c r="D234" s="14">
        <f t="shared" si="21"/>
        <v>496</v>
      </c>
      <c r="E234" s="4" t="str">
        <f>IFERROR(INDEX('LEV R&amp;D'!$D:$D,MATCH(MEDIÇÃO!D234,'LEV R&amp;D'!$A:$A,0))-INDEX('PROJETO PERFURAÇÃO'!$AH:$AH,MATCH(MEDIÇÃO!D234,'PROJETO PERFURAÇÃO'!$B:$B,0)),"")</f>
        <v/>
      </c>
      <c r="F234" s="17">
        <f>IFERROR(INDEX('PROJETO PERFURAÇÃO'!$AN:$AN,MATCH(MEDIÇÃO!D234,'PROJETO PERFURAÇÃO'!$B:$B,0)),"")</f>
        <v>0</v>
      </c>
      <c r="G234" s="3"/>
      <c r="H234" s="3"/>
      <c r="I234" s="3" t="str">
        <f>IFERROR(ROUND(INDEX('PROJETO PERFURAÇÃO'!$AB:$AB,MATCH(MEDIÇÃO!K234,'PROJETO PERFURAÇÃO'!$B:$B,0)),1)&amp;"''","")</f>
        <v>5''</v>
      </c>
      <c r="J234" s="3" t="str">
        <f>IFERROR(IF(INDEX('PROJETO PERFURAÇÃO'!$P:$P,MATCH(MEDIÇÃO!K234,'PROJETO PERFURAÇÃO'!$B:$B,0))="Production","P",IF(INDEX('PROJETO PERFURAÇÃO'!$P:$P,MATCH(MEDIÇÃO!K234,'PROJETO PERFURAÇÃO'!$B:$B,0))="Buffer","B",IF(INDEX('PROJETO PERFURAÇÃO'!$P:$P,MATCH(MEDIÇÃO!K234,'PROJETO PERFURAÇÃO'!$B:$B,0))="Pre-Splitting","S"))),"")</f>
        <v>P</v>
      </c>
      <c r="K234" s="14">
        <f t="shared" si="22"/>
        <v>519</v>
      </c>
      <c r="L234" s="4" t="str">
        <f>IFERROR(INDEX('LEV R&amp;D'!$D:$D,MATCH(MEDIÇÃO!K234,'LEV R&amp;D'!$A:$A,0))-INDEX('PROJETO PERFURAÇÃO'!$AH:$AH,MATCH(MEDIÇÃO!K234,'PROJETO PERFURAÇÃO'!$B:$B,0)),"")</f>
        <v/>
      </c>
      <c r="M234" s="17">
        <f>IFERROR(INDEX('PROJETO PERFURAÇÃO'!$AN:$AN,MATCH(MEDIÇÃO!K234,'PROJETO PERFURAÇÃO'!$B:$B,0)),"")</f>
        <v>0</v>
      </c>
      <c r="N234" s="3"/>
      <c r="O234" s="3"/>
      <c r="P234" s="3" t="str">
        <f>IFERROR(ROUND(INDEX('PROJETO PERFURAÇÃO'!$AB:$AB,MATCH(MEDIÇÃO!R234,'PROJETO PERFURAÇÃO'!$B:$B,0)),1)&amp;"''","")</f>
        <v>5''</v>
      </c>
      <c r="Q234" s="3" t="str">
        <f>IFERROR(IF(INDEX('PROJETO PERFURAÇÃO'!$P:$P,MATCH(MEDIÇÃO!R234,'PROJETO PERFURAÇÃO'!$B:$B,0))="Production","P",IF(INDEX('PROJETO PERFURAÇÃO'!$P:$P,MATCH(MEDIÇÃO!R234,'PROJETO PERFURAÇÃO'!$B:$B,0))="Buffer","B",IF(INDEX('PROJETO PERFURAÇÃO'!$P:$P,MATCH(MEDIÇÃO!R234,'PROJETO PERFURAÇÃO'!$B:$B,0))="Pre-Splitting","S"))),"")</f>
        <v>P</v>
      </c>
      <c r="R234" s="14">
        <f t="shared" si="23"/>
        <v>542</v>
      </c>
      <c r="S234" s="4" t="str">
        <f>IFERROR(INDEX('LEV R&amp;D'!$D:$D,MATCH(MEDIÇÃO!R234,'LEV R&amp;D'!$A:$A,0))-INDEX('PROJETO PERFURAÇÃO'!$AH:$AH,MATCH(MEDIÇÃO!R234,'PROJETO PERFURAÇÃO'!$B:$B,0)),"")</f>
        <v/>
      </c>
      <c r="T234" s="17">
        <f>IFERROR(INDEX('PROJETO PERFURAÇÃO'!$AN:$AN,MATCH(MEDIÇÃO!R234,'PROJETO PERFURAÇÃO'!$B:$B,0)),"")</f>
        <v>0</v>
      </c>
      <c r="U234" s="3"/>
      <c r="V234" s="3"/>
    </row>
    <row r="235" spans="2:22" ht="45" customHeight="1">
      <c r="B235" s="3" t="str">
        <f>IFERROR(ROUND(INDEX('PROJETO PERFURAÇÃO'!$AB:$AB,MATCH(MEDIÇÃO!D235,'PROJETO PERFURAÇÃO'!$B:$B,0)),1)&amp;"''","")</f>
        <v>5''</v>
      </c>
      <c r="C235" s="3" t="str">
        <f>IFERROR(IF(INDEX('PROJETO PERFURAÇÃO'!$P:$P,MATCH(MEDIÇÃO!D235,'PROJETO PERFURAÇÃO'!$B:$B,0))="Production","P",IF(INDEX('PROJETO PERFURAÇÃO'!$P:$P,MATCH(MEDIÇÃO!D235,'PROJETO PERFURAÇÃO'!$B:$B,0))="Buffer","B",IF(INDEX('PROJETO PERFURAÇÃO'!$P:$P,MATCH(MEDIÇÃO!D235,'PROJETO PERFURAÇÃO'!$B:$B,0))="Pre-Splitting","S"))),"")</f>
        <v>P</v>
      </c>
      <c r="D235" s="14">
        <f t="shared" si="21"/>
        <v>497</v>
      </c>
      <c r="E235" s="4" t="str">
        <f>IFERROR(INDEX('LEV R&amp;D'!$D:$D,MATCH(MEDIÇÃO!D235,'LEV R&amp;D'!$A:$A,0))-INDEX('PROJETO PERFURAÇÃO'!$AH:$AH,MATCH(MEDIÇÃO!D235,'PROJETO PERFURAÇÃO'!$B:$B,0)),"")</f>
        <v/>
      </c>
      <c r="F235" s="17">
        <f>IFERROR(INDEX('PROJETO PERFURAÇÃO'!$AN:$AN,MATCH(MEDIÇÃO!D235,'PROJETO PERFURAÇÃO'!$B:$B,0)),"")</f>
        <v>0</v>
      </c>
      <c r="G235" s="3"/>
      <c r="H235" s="3"/>
      <c r="I235" s="3" t="str">
        <f>IFERROR(ROUND(INDEX('PROJETO PERFURAÇÃO'!$AB:$AB,MATCH(MEDIÇÃO!K235,'PROJETO PERFURAÇÃO'!$B:$B,0)),1)&amp;"''","")</f>
        <v>5''</v>
      </c>
      <c r="J235" s="3" t="str">
        <f>IFERROR(IF(INDEX('PROJETO PERFURAÇÃO'!$P:$P,MATCH(MEDIÇÃO!K235,'PROJETO PERFURAÇÃO'!$B:$B,0))="Production","P",IF(INDEX('PROJETO PERFURAÇÃO'!$P:$P,MATCH(MEDIÇÃO!K235,'PROJETO PERFURAÇÃO'!$B:$B,0))="Buffer","B",IF(INDEX('PROJETO PERFURAÇÃO'!$P:$P,MATCH(MEDIÇÃO!K235,'PROJETO PERFURAÇÃO'!$B:$B,0))="Pre-Splitting","S"))),"")</f>
        <v>P</v>
      </c>
      <c r="K235" s="14">
        <f t="shared" si="22"/>
        <v>520</v>
      </c>
      <c r="L235" s="4" t="str">
        <f>IFERROR(INDEX('LEV R&amp;D'!$D:$D,MATCH(MEDIÇÃO!K235,'LEV R&amp;D'!$A:$A,0))-INDEX('PROJETO PERFURAÇÃO'!$AH:$AH,MATCH(MEDIÇÃO!K235,'PROJETO PERFURAÇÃO'!$B:$B,0)),"")</f>
        <v/>
      </c>
      <c r="M235" s="17">
        <f>IFERROR(INDEX('PROJETO PERFURAÇÃO'!$AN:$AN,MATCH(MEDIÇÃO!K235,'PROJETO PERFURAÇÃO'!$B:$B,0)),"")</f>
        <v>0</v>
      </c>
      <c r="N235" s="3"/>
      <c r="O235" s="3"/>
      <c r="P235" s="3" t="str">
        <f>IFERROR(ROUND(INDEX('PROJETO PERFURAÇÃO'!$AB:$AB,MATCH(MEDIÇÃO!R235,'PROJETO PERFURAÇÃO'!$B:$B,0)),1)&amp;"''","")</f>
        <v>5''</v>
      </c>
      <c r="Q235" s="3" t="str">
        <f>IFERROR(IF(INDEX('PROJETO PERFURAÇÃO'!$P:$P,MATCH(MEDIÇÃO!R235,'PROJETO PERFURAÇÃO'!$B:$B,0))="Production","P",IF(INDEX('PROJETO PERFURAÇÃO'!$P:$P,MATCH(MEDIÇÃO!R235,'PROJETO PERFURAÇÃO'!$B:$B,0))="Buffer","B",IF(INDEX('PROJETO PERFURAÇÃO'!$P:$P,MATCH(MEDIÇÃO!R235,'PROJETO PERFURAÇÃO'!$B:$B,0))="Pre-Splitting","S"))),"")</f>
        <v>P</v>
      </c>
      <c r="R235" s="14">
        <f t="shared" si="23"/>
        <v>543</v>
      </c>
      <c r="S235" s="4" t="str">
        <f>IFERROR(INDEX('LEV R&amp;D'!$D:$D,MATCH(MEDIÇÃO!R235,'LEV R&amp;D'!$A:$A,0))-INDEX('PROJETO PERFURAÇÃO'!$AH:$AH,MATCH(MEDIÇÃO!R235,'PROJETO PERFURAÇÃO'!$B:$B,0)),"")</f>
        <v/>
      </c>
      <c r="T235" s="17">
        <f>IFERROR(INDEX('PROJETO PERFURAÇÃO'!$AN:$AN,MATCH(MEDIÇÃO!R235,'PROJETO PERFURAÇÃO'!$B:$B,0)),"")</f>
        <v>0</v>
      </c>
      <c r="U235" s="3"/>
      <c r="V235" s="3"/>
    </row>
    <row r="236" spans="2:22" ht="45" customHeight="1">
      <c r="B236" s="3" t="str">
        <f>IFERROR(ROUND(INDEX('PROJETO PERFURAÇÃO'!$AB:$AB,MATCH(MEDIÇÃO!D236,'PROJETO PERFURAÇÃO'!$B:$B,0)),1)&amp;"''","")</f>
        <v>5''</v>
      </c>
      <c r="C236" s="3" t="str">
        <f>IFERROR(IF(INDEX('PROJETO PERFURAÇÃO'!$P:$P,MATCH(MEDIÇÃO!D236,'PROJETO PERFURAÇÃO'!$B:$B,0))="Production","P",IF(INDEX('PROJETO PERFURAÇÃO'!$P:$P,MATCH(MEDIÇÃO!D236,'PROJETO PERFURAÇÃO'!$B:$B,0))="Buffer","B",IF(INDEX('PROJETO PERFURAÇÃO'!$P:$P,MATCH(MEDIÇÃO!D236,'PROJETO PERFURAÇÃO'!$B:$B,0))="Pre-Splitting","S"))),"")</f>
        <v>P</v>
      </c>
      <c r="D236" s="14">
        <f t="shared" si="21"/>
        <v>498</v>
      </c>
      <c r="E236" s="4" t="str">
        <f>IFERROR(INDEX('LEV R&amp;D'!$D:$D,MATCH(MEDIÇÃO!D236,'LEV R&amp;D'!$A:$A,0))-INDEX('PROJETO PERFURAÇÃO'!$AH:$AH,MATCH(MEDIÇÃO!D236,'PROJETO PERFURAÇÃO'!$B:$B,0)),"")</f>
        <v/>
      </c>
      <c r="F236" s="17">
        <f>IFERROR(INDEX('PROJETO PERFURAÇÃO'!$AN:$AN,MATCH(MEDIÇÃO!D236,'PROJETO PERFURAÇÃO'!$B:$B,0)),"")</f>
        <v>0</v>
      </c>
      <c r="G236" s="3"/>
      <c r="H236" s="3"/>
      <c r="I236" s="3" t="str">
        <f>IFERROR(ROUND(INDEX('PROJETO PERFURAÇÃO'!$AB:$AB,MATCH(MEDIÇÃO!K236,'PROJETO PERFURAÇÃO'!$B:$B,0)),1)&amp;"''","")</f>
        <v>5''</v>
      </c>
      <c r="J236" s="3" t="str">
        <f>IFERROR(IF(INDEX('PROJETO PERFURAÇÃO'!$P:$P,MATCH(MEDIÇÃO!K236,'PROJETO PERFURAÇÃO'!$B:$B,0))="Production","P",IF(INDEX('PROJETO PERFURAÇÃO'!$P:$P,MATCH(MEDIÇÃO!K236,'PROJETO PERFURAÇÃO'!$B:$B,0))="Buffer","B",IF(INDEX('PROJETO PERFURAÇÃO'!$P:$P,MATCH(MEDIÇÃO!K236,'PROJETO PERFURAÇÃO'!$B:$B,0))="Pre-Splitting","S"))),"")</f>
        <v>P</v>
      </c>
      <c r="K236" s="14">
        <f t="shared" si="22"/>
        <v>521</v>
      </c>
      <c r="L236" s="4" t="str">
        <f>IFERROR(INDEX('LEV R&amp;D'!$D:$D,MATCH(MEDIÇÃO!K236,'LEV R&amp;D'!$A:$A,0))-INDEX('PROJETO PERFURAÇÃO'!$AH:$AH,MATCH(MEDIÇÃO!K236,'PROJETO PERFURAÇÃO'!$B:$B,0)),"")</f>
        <v/>
      </c>
      <c r="M236" s="17">
        <f>IFERROR(INDEX('PROJETO PERFURAÇÃO'!$AN:$AN,MATCH(MEDIÇÃO!K236,'PROJETO PERFURAÇÃO'!$B:$B,0)),"")</f>
        <v>0</v>
      </c>
      <c r="N236" s="3"/>
      <c r="O236" s="3"/>
      <c r="P236" s="3" t="str">
        <f>IFERROR(ROUND(INDEX('PROJETO PERFURAÇÃO'!$AB:$AB,MATCH(MEDIÇÃO!R236,'PROJETO PERFURAÇÃO'!$B:$B,0)),1)&amp;"''","")</f>
        <v>5''</v>
      </c>
      <c r="Q236" s="3" t="str">
        <f>IFERROR(IF(INDEX('PROJETO PERFURAÇÃO'!$P:$P,MATCH(MEDIÇÃO!R236,'PROJETO PERFURAÇÃO'!$B:$B,0))="Production","P",IF(INDEX('PROJETO PERFURAÇÃO'!$P:$P,MATCH(MEDIÇÃO!R236,'PROJETO PERFURAÇÃO'!$B:$B,0))="Buffer","B",IF(INDEX('PROJETO PERFURAÇÃO'!$P:$P,MATCH(MEDIÇÃO!R236,'PROJETO PERFURAÇÃO'!$B:$B,0))="Pre-Splitting","S"))),"")</f>
        <v>P</v>
      </c>
      <c r="R236" s="14">
        <f t="shared" si="23"/>
        <v>544</v>
      </c>
      <c r="S236" s="4" t="str">
        <f>IFERROR(INDEX('LEV R&amp;D'!$D:$D,MATCH(MEDIÇÃO!R236,'LEV R&amp;D'!$A:$A,0))-INDEX('PROJETO PERFURAÇÃO'!$AH:$AH,MATCH(MEDIÇÃO!R236,'PROJETO PERFURAÇÃO'!$B:$B,0)),"")</f>
        <v/>
      </c>
      <c r="T236" s="17">
        <f>IFERROR(INDEX('PROJETO PERFURAÇÃO'!$AN:$AN,MATCH(MEDIÇÃO!R236,'PROJETO PERFURAÇÃO'!$B:$B,0)),"")</f>
        <v>0</v>
      </c>
      <c r="U236" s="3"/>
      <c r="V236" s="3"/>
    </row>
    <row r="237" spans="2:22" ht="45" customHeight="1">
      <c r="B237" s="3" t="str">
        <f>IFERROR(ROUND(INDEX('PROJETO PERFURAÇÃO'!$AB:$AB,MATCH(MEDIÇÃO!D237,'PROJETO PERFURAÇÃO'!$B:$B,0)),1)&amp;"''","")</f>
        <v>5''</v>
      </c>
      <c r="C237" s="3" t="str">
        <f>IFERROR(IF(INDEX('PROJETO PERFURAÇÃO'!$P:$P,MATCH(MEDIÇÃO!D237,'PROJETO PERFURAÇÃO'!$B:$B,0))="Production","P",IF(INDEX('PROJETO PERFURAÇÃO'!$P:$P,MATCH(MEDIÇÃO!D237,'PROJETO PERFURAÇÃO'!$B:$B,0))="Buffer","B",IF(INDEX('PROJETO PERFURAÇÃO'!$P:$P,MATCH(MEDIÇÃO!D237,'PROJETO PERFURAÇÃO'!$B:$B,0))="Pre-Splitting","S"))),"")</f>
        <v>P</v>
      </c>
      <c r="D237" s="14">
        <f t="shared" si="21"/>
        <v>499</v>
      </c>
      <c r="E237" s="4" t="str">
        <f>IFERROR(INDEX('LEV R&amp;D'!$D:$D,MATCH(MEDIÇÃO!D237,'LEV R&amp;D'!$A:$A,0))-INDEX('PROJETO PERFURAÇÃO'!$AH:$AH,MATCH(MEDIÇÃO!D237,'PROJETO PERFURAÇÃO'!$B:$B,0)),"")</f>
        <v/>
      </c>
      <c r="F237" s="17">
        <f>IFERROR(INDEX('PROJETO PERFURAÇÃO'!$AN:$AN,MATCH(MEDIÇÃO!D237,'PROJETO PERFURAÇÃO'!$B:$B,0)),"")</f>
        <v>0</v>
      </c>
      <c r="G237" s="3"/>
      <c r="H237" s="3"/>
      <c r="I237" s="3" t="str">
        <f>IFERROR(ROUND(INDEX('PROJETO PERFURAÇÃO'!$AB:$AB,MATCH(MEDIÇÃO!K237,'PROJETO PERFURAÇÃO'!$B:$B,0)),1)&amp;"''","")</f>
        <v>5''</v>
      </c>
      <c r="J237" s="3" t="str">
        <f>IFERROR(IF(INDEX('PROJETO PERFURAÇÃO'!$P:$P,MATCH(MEDIÇÃO!K237,'PROJETO PERFURAÇÃO'!$B:$B,0))="Production","P",IF(INDEX('PROJETO PERFURAÇÃO'!$P:$P,MATCH(MEDIÇÃO!K237,'PROJETO PERFURAÇÃO'!$B:$B,0))="Buffer","B",IF(INDEX('PROJETO PERFURAÇÃO'!$P:$P,MATCH(MEDIÇÃO!K237,'PROJETO PERFURAÇÃO'!$B:$B,0))="Pre-Splitting","S"))),"")</f>
        <v>P</v>
      </c>
      <c r="K237" s="14">
        <f t="shared" si="22"/>
        <v>522</v>
      </c>
      <c r="L237" s="4" t="str">
        <f>IFERROR(INDEX('LEV R&amp;D'!$D:$D,MATCH(MEDIÇÃO!K237,'LEV R&amp;D'!$A:$A,0))-INDEX('PROJETO PERFURAÇÃO'!$AH:$AH,MATCH(MEDIÇÃO!K237,'PROJETO PERFURAÇÃO'!$B:$B,0)),"")</f>
        <v/>
      </c>
      <c r="M237" s="17">
        <f>IFERROR(INDEX('PROJETO PERFURAÇÃO'!$AN:$AN,MATCH(MEDIÇÃO!K237,'PROJETO PERFURAÇÃO'!$B:$B,0)),"")</f>
        <v>0</v>
      </c>
      <c r="N237" s="3"/>
      <c r="O237" s="3"/>
      <c r="P237" s="3" t="str">
        <f>IFERROR(ROUND(INDEX('PROJETO PERFURAÇÃO'!$AB:$AB,MATCH(MEDIÇÃO!R237,'PROJETO PERFURAÇÃO'!$B:$B,0)),1)&amp;"''","")</f>
        <v>5''</v>
      </c>
      <c r="Q237" s="3" t="str">
        <f>IFERROR(IF(INDEX('PROJETO PERFURAÇÃO'!$P:$P,MATCH(MEDIÇÃO!R237,'PROJETO PERFURAÇÃO'!$B:$B,0))="Production","P",IF(INDEX('PROJETO PERFURAÇÃO'!$P:$P,MATCH(MEDIÇÃO!R237,'PROJETO PERFURAÇÃO'!$B:$B,0))="Buffer","B",IF(INDEX('PROJETO PERFURAÇÃO'!$P:$P,MATCH(MEDIÇÃO!R237,'PROJETO PERFURAÇÃO'!$B:$B,0))="Pre-Splitting","S"))),"")</f>
        <v>P</v>
      </c>
      <c r="R237" s="14">
        <f t="shared" si="23"/>
        <v>545</v>
      </c>
      <c r="S237" s="4" t="str">
        <f>IFERROR(INDEX('LEV R&amp;D'!$D:$D,MATCH(MEDIÇÃO!R237,'LEV R&amp;D'!$A:$A,0))-INDEX('PROJETO PERFURAÇÃO'!$AH:$AH,MATCH(MEDIÇÃO!R237,'PROJETO PERFURAÇÃO'!$B:$B,0)),"")</f>
        <v/>
      </c>
      <c r="T237" s="17">
        <f>IFERROR(INDEX('PROJETO PERFURAÇÃO'!$AN:$AN,MATCH(MEDIÇÃO!R237,'PROJETO PERFURAÇÃO'!$B:$B,0)),"")</f>
        <v>0</v>
      </c>
      <c r="U237" s="3"/>
      <c r="V237" s="3"/>
    </row>
    <row r="238" spans="2:22" ht="45" customHeight="1">
      <c r="B238" s="3" t="str">
        <f>IFERROR(ROUND(INDEX('PROJETO PERFURAÇÃO'!$AB:$AB,MATCH(MEDIÇÃO!D238,'PROJETO PERFURAÇÃO'!$B:$B,0)),1)&amp;"''","")</f>
        <v>5''</v>
      </c>
      <c r="C238" s="3" t="str">
        <f>IFERROR(IF(INDEX('PROJETO PERFURAÇÃO'!$P:$P,MATCH(MEDIÇÃO!D238,'PROJETO PERFURAÇÃO'!$B:$B,0))="Production","P",IF(INDEX('PROJETO PERFURAÇÃO'!$P:$P,MATCH(MEDIÇÃO!D238,'PROJETO PERFURAÇÃO'!$B:$B,0))="Buffer","B",IF(INDEX('PROJETO PERFURAÇÃO'!$P:$P,MATCH(MEDIÇÃO!D238,'PROJETO PERFURAÇÃO'!$B:$B,0))="Pre-Splitting","S"))),"")</f>
        <v>P</v>
      </c>
      <c r="D238" s="14">
        <f t="shared" si="21"/>
        <v>500</v>
      </c>
      <c r="E238" s="4" t="str">
        <f>IFERROR(INDEX('LEV R&amp;D'!$D:$D,MATCH(MEDIÇÃO!D238,'LEV R&amp;D'!$A:$A,0))-INDEX('PROJETO PERFURAÇÃO'!$AH:$AH,MATCH(MEDIÇÃO!D238,'PROJETO PERFURAÇÃO'!$B:$B,0)),"")</f>
        <v/>
      </c>
      <c r="F238" s="17">
        <f>IFERROR(INDEX('PROJETO PERFURAÇÃO'!$AN:$AN,MATCH(MEDIÇÃO!D238,'PROJETO PERFURAÇÃO'!$B:$B,0)),"")</f>
        <v>0</v>
      </c>
      <c r="G238" s="3"/>
      <c r="H238" s="3"/>
      <c r="I238" s="3" t="str">
        <f>IFERROR(ROUND(INDEX('PROJETO PERFURAÇÃO'!$AB:$AB,MATCH(MEDIÇÃO!K238,'PROJETO PERFURAÇÃO'!$B:$B,0)),1)&amp;"''","")</f>
        <v>5''</v>
      </c>
      <c r="J238" s="3" t="str">
        <f>IFERROR(IF(INDEX('PROJETO PERFURAÇÃO'!$P:$P,MATCH(MEDIÇÃO!K238,'PROJETO PERFURAÇÃO'!$B:$B,0))="Production","P",IF(INDEX('PROJETO PERFURAÇÃO'!$P:$P,MATCH(MEDIÇÃO!K238,'PROJETO PERFURAÇÃO'!$B:$B,0))="Buffer","B",IF(INDEX('PROJETO PERFURAÇÃO'!$P:$P,MATCH(MEDIÇÃO!K238,'PROJETO PERFURAÇÃO'!$B:$B,0))="Pre-Splitting","S"))),"")</f>
        <v>P</v>
      </c>
      <c r="K238" s="14">
        <f t="shared" si="22"/>
        <v>523</v>
      </c>
      <c r="L238" s="4" t="str">
        <f>IFERROR(INDEX('LEV R&amp;D'!$D:$D,MATCH(MEDIÇÃO!K238,'LEV R&amp;D'!$A:$A,0))-INDEX('PROJETO PERFURAÇÃO'!$AH:$AH,MATCH(MEDIÇÃO!K238,'PROJETO PERFURAÇÃO'!$B:$B,0)),"")</f>
        <v/>
      </c>
      <c r="M238" s="17">
        <f>IFERROR(INDEX('PROJETO PERFURAÇÃO'!$AN:$AN,MATCH(MEDIÇÃO!K238,'PROJETO PERFURAÇÃO'!$B:$B,0)),"")</f>
        <v>0</v>
      </c>
      <c r="N238" s="3"/>
      <c r="O238" s="3"/>
      <c r="P238" s="3" t="str">
        <f>IFERROR(ROUND(INDEX('PROJETO PERFURAÇÃO'!$AB:$AB,MATCH(MEDIÇÃO!R238,'PROJETO PERFURAÇÃO'!$B:$B,0)),1)&amp;"''","")</f>
        <v>5''</v>
      </c>
      <c r="Q238" s="3" t="str">
        <f>IFERROR(IF(INDEX('PROJETO PERFURAÇÃO'!$P:$P,MATCH(MEDIÇÃO!R238,'PROJETO PERFURAÇÃO'!$B:$B,0))="Production","P",IF(INDEX('PROJETO PERFURAÇÃO'!$P:$P,MATCH(MEDIÇÃO!R238,'PROJETO PERFURAÇÃO'!$B:$B,0))="Buffer","B",IF(INDEX('PROJETO PERFURAÇÃO'!$P:$P,MATCH(MEDIÇÃO!R238,'PROJETO PERFURAÇÃO'!$B:$B,0))="Pre-Splitting","S"))),"")</f>
        <v>P</v>
      </c>
      <c r="R238" s="14">
        <f t="shared" si="23"/>
        <v>546</v>
      </c>
      <c r="S238" s="4" t="str">
        <f>IFERROR(INDEX('LEV R&amp;D'!$D:$D,MATCH(MEDIÇÃO!R238,'LEV R&amp;D'!$A:$A,0))-INDEX('PROJETO PERFURAÇÃO'!$AH:$AH,MATCH(MEDIÇÃO!R238,'PROJETO PERFURAÇÃO'!$B:$B,0)),"")</f>
        <v/>
      </c>
      <c r="T238" s="17">
        <f>IFERROR(INDEX('PROJETO PERFURAÇÃO'!$AN:$AN,MATCH(MEDIÇÃO!R238,'PROJETO PERFURAÇÃO'!$B:$B,0)),"")</f>
        <v>0</v>
      </c>
      <c r="U238" s="3"/>
      <c r="V238" s="3"/>
    </row>
    <row r="239" spans="2:22" ht="45" customHeight="1">
      <c r="B239" s="3" t="str">
        <f>IFERROR(ROUND(INDEX('PROJETO PERFURAÇÃO'!$AB:$AB,MATCH(MEDIÇÃO!D239,'PROJETO PERFURAÇÃO'!$B:$B,0)),1)&amp;"''","")</f>
        <v>5''</v>
      </c>
      <c r="C239" s="3" t="str">
        <f>IFERROR(IF(INDEX('PROJETO PERFURAÇÃO'!$P:$P,MATCH(MEDIÇÃO!D239,'PROJETO PERFURAÇÃO'!$B:$B,0))="Production","P",IF(INDEX('PROJETO PERFURAÇÃO'!$P:$P,MATCH(MEDIÇÃO!D239,'PROJETO PERFURAÇÃO'!$B:$B,0))="Buffer","B",IF(INDEX('PROJETO PERFURAÇÃO'!$P:$P,MATCH(MEDIÇÃO!D239,'PROJETO PERFURAÇÃO'!$B:$B,0))="Pre-Splitting","S"))),"")</f>
        <v>P</v>
      </c>
      <c r="D239" s="14">
        <f t="shared" si="21"/>
        <v>501</v>
      </c>
      <c r="E239" s="4" t="str">
        <f>IFERROR(INDEX('LEV R&amp;D'!$D:$D,MATCH(MEDIÇÃO!D239,'LEV R&amp;D'!$A:$A,0))-INDEX('PROJETO PERFURAÇÃO'!$AH:$AH,MATCH(MEDIÇÃO!D239,'PROJETO PERFURAÇÃO'!$B:$B,0)),"")</f>
        <v/>
      </c>
      <c r="F239" s="17">
        <f>IFERROR(INDEX('PROJETO PERFURAÇÃO'!$AN:$AN,MATCH(MEDIÇÃO!D239,'PROJETO PERFURAÇÃO'!$B:$B,0)),"")</f>
        <v>0</v>
      </c>
      <c r="G239" s="3"/>
      <c r="H239" s="3"/>
      <c r="I239" s="3" t="str">
        <f>IFERROR(ROUND(INDEX('PROJETO PERFURAÇÃO'!$AB:$AB,MATCH(MEDIÇÃO!K239,'PROJETO PERFURAÇÃO'!$B:$B,0)),1)&amp;"''","")</f>
        <v>5''</v>
      </c>
      <c r="J239" s="3" t="str">
        <f>IFERROR(IF(INDEX('PROJETO PERFURAÇÃO'!$P:$P,MATCH(MEDIÇÃO!K239,'PROJETO PERFURAÇÃO'!$B:$B,0))="Production","P",IF(INDEX('PROJETO PERFURAÇÃO'!$P:$P,MATCH(MEDIÇÃO!K239,'PROJETO PERFURAÇÃO'!$B:$B,0))="Buffer","B",IF(INDEX('PROJETO PERFURAÇÃO'!$P:$P,MATCH(MEDIÇÃO!K239,'PROJETO PERFURAÇÃO'!$B:$B,0))="Pre-Splitting","S"))),"")</f>
        <v>P</v>
      </c>
      <c r="K239" s="14">
        <f t="shared" si="22"/>
        <v>524</v>
      </c>
      <c r="L239" s="4" t="str">
        <f>IFERROR(INDEX('LEV R&amp;D'!$D:$D,MATCH(MEDIÇÃO!K239,'LEV R&amp;D'!$A:$A,0))-INDEX('PROJETO PERFURAÇÃO'!$AH:$AH,MATCH(MEDIÇÃO!K239,'PROJETO PERFURAÇÃO'!$B:$B,0)),"")</f>
        <v/>
      </c>
      <c r="M239" s="17">
        <f>IFERROR(INDEX('PROJETO PERFURAÇÃO'!$AN:$AN,MATCH(MEDIÇÃO!K239,'PROJETO PERFURAÇÃO'!$B:$B,0)),"")</f>
        <v>0</v>
      </c>
      <c r="N239" s="3"/>
      <c r="O239" s="3"/>
      <c r="P239" s="3" t="str">
        <f>IFERROR(ROUND(INDEX('PROJETO PERFURAÇÃO'!$AB:$AB,MATCH(MEDIÇÃO!R239,'PROJETO PERFURAÇÃO'!$B:$B,0)),1)&amp;"''","")</f>
        <v>5''</v>
      </c>
      <c r="Q239" s="3" t="str">
        <f>IFERROR(IF(INDEX('PROJETO PERFURAÇÃO'!$P:$P,MATCH(MEDIÇÃO!R239,'PROJETO PERFURAÇÃO'!$B:$B,0))="Production","P",IF(INDEX('PROJETO PERFURAÇÃO'!$P:$P,MATCH(MEDIÇÃO!R239,'PROJETO PERFURAÇÃO'!$B:$B,0))="Buffer","B",IF(INDEX('PROJETO PERFURAÇÃO'!$P:$P,MATCH(MEDIÇÃO!R239,'PROJETO PERFURAÇÃO'!$B:$B,0))="Pre-Splitting","S"))),"")</f>
        <v>P</v>
      </c>
      <c r="R239" s="14">
        <f t="shared" si="23"/>
        <v>547</v>
      </c>
      <c r="S239" s="4" t="str">
        <f>IFERROR(INDEX('LEV R&amp;D'!$D:$D,MATCH(MEDIÇÃO!R239,'LEV R&amp;D'!$A:$A,0))-INDEX('PROJETO PERFURAÇÃO'!$AH:$AH,MATCH(MEDIÇÃO!R239,'PROJETO PERFURAÇÃO'!$B:$B,0)),"")</f>
        <v/>
      </c>
      <c r="T239" s="17">
        <f>IFERROR(INDEX('PROJETO PERFURAÇÃO'!$AN:$AN,MATCH(MEDIÇÃO!R239,'PROJETO PERFURAÇÃO'!$B:$B,0)),"")</f>
        <v>0</v>
      </c>
      <c r="U239" s="3"/>
      <c r="V239" s="3"/>
    </row>
    <row r="240" spans="2:22" ht="45" customHeight="1">
      <c r="B240" s="3" t="str">
        <f>IFERROR(ROUND(INDEX('PROJETO PERFURAÇÃO'!$AB:$AB,MATCH(MEDIÇÃO!D240,'PROJETO PERFURAÇÃO'!$B:$B,0)),1)&amp;"''","")</f>
        <v>5''</v>
      </c>
      <c r="C240" s="3" t="str">
        <f>IFERROR(IF(INDEX('PROJETO PERFURAÇÃO'!$P:$P,MATCH(MEDIÇÃO!D240,'PROJETO PERFURAÇÃO'!$B:$B,0))="Production","P",IF(INDEX('PROJETO PERFURAÇÃO'!$P:$P,MATCH(MEDIÇÃO!D240,'PROJETO PERFURAÇÃO'!$B:$B,0))="Buffer","B",IF(INDEX('PROJETO PERFURAÇÃO'!$P:$P,MATCH(MEDIÇÃO!D240,'PROJETO PERFURAÇÃO'!$B:$B,0))="Pre-Splitting","S"))),"")</f>
        <v>P</v>
      </c>
      <c r="D240" s="14">
        <f t="shared" si="21"/>
        <v>502</v>
      </c>
      <c r="E240" s="4" t="str">
        <f>IFERROR(INDEX('LEV R&amp;D'!$D:$D,MATCH(MEDIÇÃO!D240,'LEV R&amp;D'!$A:$A,0))-INDEX('PROJETO PERFURAÇÃO'!$AH:$AH,MATCH(MEDIÇÃO!D240,'PROJETO PERFURAÇÃO'!$B:$B,0)),"")</f>
        <v/>
      </c>
      <c r="F240" s="17">
        <f>IFERROR(INDEX('PROJETO PERFURAÇÃO'!$AN:$AN,MATCH(MEDIÇÃO!D240,'PROJETO PERFURAÇÃO'!$B:$B,0)),"")</f>
        <v>0</v>
      </c>
      <c r="G240" s="3"/>
      <c r="H240" s="3"/>
      <c r="I240" s="3" t="str">
        <f>IFERROR(ROUND(INDEX('PROJETO PERFURAÇÃO'!$AB:$AB,MATCH(MEDIÇÃO!K240,'PROJETO PERFURAÇÃO'!$B:$B,0)),1)&amp;"''","")</f>
        <v>5''</v>
      </c>
      <c r="J240" s="3" t="str">
        <f>IFERROR(IF(INDEX('PROJETO PERFURAÇÃO'!$P:$P,MATCH(MEDIÇÃO!K240,'PROJETO PERFURAÇÃO'!$B:$B,0))="Production","P",IF(INDEX('PROJETO PERFURAÇÃO'!$P:$P,MATCH(MEDIÇÃO!K240,'PROJETO PERFURAÇÃO'!$B:$B,0))="Buffer","B",IF(INDEX('PROJETO PERFURAÇÃO'!$P:$P,MATCH(MEDIÇÃO!K240,'PROJETO PERFURAÇÃO'!$B:$B,0))="Pre-Splitting","S"))),"")</f>
        <v>P</v>
      </c>
      <c r="K240" s="14">
        <f t="shared" si="22"/>
        <v>525</v>
      </c>
      <c r="L240" s="4" t="str">
        <f>IFERROR(INDEX('LEV R&amp;D'!$D:$D,MATCH(MEDIÇÃO!K240,'LEV R&amp;D'!$A:$A,0))-INDEX('PROJETO PERFURAÇÃO'!$AH:$AH,MATCH(MEDIÇÃO!K240,'PROJETO PERFURAÇÃO'!$B:$B,0)),"")</f>
        <v/>
      </c>
      <c r="M240" s="17">
        <f>IFERROR(INDEX('PROJETO PERFURAÇÃO'!$AN:$AN,MATCH(MEDIÇÃO!K240,'PROJETO PERFURAÇÃO'!$B:$B,0)),"")</f>
        <v>0</v>
      </c>
      <c r="N240" s="3"/>
      <c r="O240" s="3"/>
      <c r="P240" s="3" t="str">
        <f>IFERROR(ROUND(INDEX('PROJETO PERFURAÇÃO'!$AB:$AB,MATCH(MEDIÇÃO!R240,'PROJETO PERFURAÇÃO'!$B:$B,0)),1)&amp;"''","")</f>
        <v>5''</v>
      </c>
      <c r="Q240" s="3" t="str">
        <f>IFERROR(IF(INDEX('PROJETO PERFURAÇÃO'!$P:$P,MATCH(MEDIÇÃO!R240,'PROJETO PERFURAÇÃO'!$B:$B,0))="Production","P",IF(INDEX('PROJETO PERFURAÇÃO'!$P:$P,MATCH(MEDIÇÃO!R240,'PROJETO PERFURAÇÃO'!$B:$B,0))="Buffer","B",IF(INDEX('PROJETO PERFURAÇÃO'!$P:$P,MATCH(MEDIÇÃO!R240,'PROJETO PERFURAÇÃO'!$B:$B,0))="Pre-Splitting","S"))),"")</f>
        <v>P</v>
      </c>
      <c r="R240" s="14">
        <f t="shared" si="23"/>
        <v>548</v>
      </c>
      <c r="S240" s="4" t="str">
        <f>IFERROR(INDEX('LEV R&amp;D'!$D:$D,MATCH(MEDIÇÃO!R240,'LEV R&amp;D'!$A:$A,0))-INDEX('PROJETO PERFURAÇÃO'!$AH:$AH,MATCH(MEDIÇÃO!R240,'PROJETO PERFURAÇÃO'!$B:$B,0)),"")</f>
        <v/>
      </c>
      <c r="T240" s="17">
        <f>IFERROR(INDEX('PROJETO PERFURAÇÃO'!$AN:$AN,MATCH(MEDIÇÃO!R240,'PROJETO PERFURAÇÃO'!$B:$B,0)),"")</f>
        <v>0</v>
      </c>
      <c r="U240" s="3"/>
      <c r="V240" s="3"/>
    </row>
    <row r="241" spans="1:23" ht="45" customHeight="1">
      <c r="B241" s="3" t="str">
        <f>IFERROR(ROUND(INDEX('PROJETO PERFURAÇÃO'!$AB:$AB,MATCH(MEDIÇÃO!D241,'PROJETO PERFURAÇÃO'!$B:$B,0)),1)&amp;"''","")</f>
        <v>5''</v>
      </c>
      <c r="C241" s="3" t="str">
        <f>IFERROR(IF(INDEX('PROJETO PERFURAÇÃO'!$P:$P,MATCH(MEDIÇÃO!D241,'PROJETO PERFURAÇÃO'!$B:$B,0))="Production","P",IF(INDEX('PROJETO PERFURAÇÃO'!$P:$P,MATCH(MEDIÇÃO!D241,'PROJETO PERFURAÇÃO'!$B:$B,0))="Buffer","B",IF(INDEX('PROJETO PERFURAÇÃO'!$P:$P,MATCH(MEDIÇÃO!D241,'PROJETO PERFURAÇÃO'!$B:$B,0))="Pre-Splitting","S"))),"")</f>
        <v>P</v>
      </c>
      <c r="D241" s="14">
        <f t="shared" si="21"/>
        <v>503</v>
      </c>
      <c r="E241" s="4" t="str">
        <f>IFERROR(INDEX('LEV R&amp;D'!$D:$D,MATCH(MEDIÇÃO!D241,'LEV R&amp;D'!$A:$A,0))-INDEX('PROJETO PERFURAÇÃO'!$AH:$AH,MATCH(MEDIÇÃO!D241,'PROJETO PERFURAÇÃO'!$B:$B,0)),"")</f>
        <v/>
      </c>
      <c r="F241" s="17">
        <f>IFERROR(INDEX('PROJETO PERFURAÇÃO'!$AN:$AN,MATCH(MEDIÇÃO!D241,'PROJETO PERFURAÇÃO'!$B:$B,0)),"")</f>
        <v>0</v>
      </c>
      <c r="G241" s="3"/>
      <c r="H241" s="3"/>
      <c r="I241" s="3" t="str">
        <f>IFERROR(ROUND(INDEX('PROJETO PERFURAÇÃO'!$AB:$AB,MATCH(MEDIÇÃO!K241,'PROJETO PERFURAÇÃO'!$B:$B,0)),1)&amp;"''","")</f>
        <v>5''</v>
      </c>
      <c r="J241" s="3" t="str">
        <f>IFERROR(IF(INDEX('PROJETO PERFURAÇÃO'!$P:$P,MATCH(MEDIÇÃO!K241,'PROJETO PERFURAÇÃO'!$B:$B,0))="Production","P",IF(INDEX('PROJETO PERFURAÇÃO'!$P:$P,MATCH(MEDIÇÃO!K241,'PROJETO PERFURAÇÃO'!$B:$B,0))="Buffer","B",IF(INDEX('PROJETO PERFURAÇÃO'!$P:$P,MATCH(MEDIÇÃO!K241,'PROJETO PERFURAÇÃO'!$B:$B,0))="Pre-Splitting","S"))),"")</f>
        <v>P</v>
      </c>
      <c r="K241" s="14">
        <f t="shared" si="22"/>
        <v>526</v>
      </c>
      <c r="L241" s="4" t="str">
        <f>IFERROR(INDEX('LEV R&amp;D'!$D:$D,MATCH(MEDIÇÃO!K241,'LEV R&amp;D'!$A:$A,0))-INDEX('PROJETO PERFURAÇÃO'!$AH:$AH,MATCH(MEDIÇÃO!K241,'PROJETO PERFURAÇÃO'!$B:$B,0)),"")</f>
        <v/>
      </c>
      <c r="M241" s="17">
        <f>IFERROR(INDEX('PROJETO PERFURAÇÃO'!$AN:$AN,MATCH(MEDIÇÃO!K241,'PROJETO PERFURAÇÃO'!$B:$B,0)),"")</f>
        <v>0</v>
      </c>
      <c r="N241" s="3"/>
      <c r="O241" s="3"/>
      <c r="P241" s="3" t="str">
        <f>IFERROR(ROUND(INDEX('PROJETO PERFURAÇÃO'!$AB:$AB,MATCH(MEDIÇÃO!R241,'PROJETO PERFURAÇÃO'!$B:$B,0)),1)&amp;"''","")</f>
        <v>5''</v>
      </c>
      <c r="Q241" s="3" t="str">
        <f>IFERROR(IF(INDEX('PROJETO PERFURAÇÃO'!$P:$P,MATCH(MEDIÇÃO!R241,'PROJETO PERFURAÇÃO'!$B:$B,0))="Production","P",IF(INDEX('PROJETO PERFURAÇÃO'!$P:$P,MATCH(MEDIÇÃO!R241,'PROJETO PERFURAÇÃO'!$B:$B,0))="Buffer","B",IF(INDEX('PROJETO PERFURAÇÃO'!$P:$P,MATCH(MEDIÇÃO!R241,'PROJETO PERFURAÇÃO'!$B:$B,0))="Pre-Splitting","S"))),"")</f>
        <v>P</v>
      </c>
      <c r="R241" s="14">
        <f t="shared" si="23"/>
        <v>549</v>
      </c>
      <c r="S241" s="4" t="str">
        <f>IFERROR(INDEX('LEV R&amp;D'!$D:$D,MATCH(MEDIÇÃO!R241,'LEV R&amp;D'!$A:$A,0))-INDEX('PROJETO PERFURAÇÃO'!$AH:$AH,MATCH(MEDIÇÃO!R241,'PROJETO PERFURAÇÃO'!$B:$B,0)),"")</f>
        <v/>
      </c>
      <c r="T241" s="17">
        <f>IFERROR(INDEX('PROJETO PERFURAÇÃO'!$AN:$AN,MATCH(MEDIÇÃO!R241,'PROJETO PERFURAÇÃO'!$B:$B,0)),"")</f>
        <v>0</v>
      </c>
      <c r="U241" s="3"/>
      <c r="V241" s="3"/>
    </row>
    <row r="242" spans="1:23" ht="45" customHeight="1">
      <c r="B242" s="3" t="str">
        <f>IFERROR(ROUND(INDEX('PROJETO PERFURAÇÃO'!$AB:$AB,MATCH(MEDIÇÃO!D242,'PROJETO PERFURAÇÃO'!$B:$B,0)),1)&amp;"''","")</f>
        <v>5''</v>
      </c>
      <c r="C242" s="3" t="str">
        <f>IFERROR(IF(INDEX('PROJETO PERFURAÇÃO'!$P:$P,MATCH(MEDIÇÃO!D242,'PROJETO PERFURAÇÃO'!$B:$B,0))="Production","P",IF(INDEX('PROJETO PERFURAÇÃO'!$P:$P,MATCH(MEDIÇÃO!D242,'PROJETO PERFURAÇÃO'!$B:$B,0))="Buffer","B",IF(INDEX('PROJETO PERFURAÇÃO'!$P:$P,MATCH(MEDIÇÃO!D242,'PROJETO PERFURAÇÃO'!$B:$B,0))="Pre-Splitting","S"))),"")</f>
        <v>P</v>
      </c>
      <c r="D242" s="14">
        <f t="shared" si="21"/>
        <v>504</v>
      </c>
      <c r="E242" s="4" t="str">
        <f>IFERROR(INDEX('LEV R&amp;D'!$D:$D,MATCH(MEDIÇÃO!D242,'LEV R&amp;D'!$A:$A,0))-INDEX('PROJETO PERFURAÇÃO'!$AH:$AH,MATCH(MEDIÇÃO!D242,'PROJETO PERFURAÇÃO'!$B:$B,0)),"")</f>
        <v/>
      </c>
      <c r="F242" s="17">
        <f>IFERROR(INDEX('PROJETO PERFURAÇÃO'!$AN:$AN,MATCH(MEDIÇÃO!D242,'PROJETO PERFURAÇÃO'!$B:$B,0)),"")</f>
        <v>0</v>
      </c>
      <c r="G242" s="3"/>
      <c r="H242" s="3"/>
      <c r="I242" s="3" t="str">
        <f>IFERROR(ROUND(INDEX('PROJETO PERFURAÇÃO'!$AB:$AB,MATCH(MEDIÇÃO!K242,'PROJETO PERFURAÇÃO'!$B:$B,0)),1)&amp;"''","")</f>
        <v>5''</v>
      </c>
      <c r="J242" s="3" t="str">
        <f>IFERROR(IF(INDEX('PROJETO PERFURAÇÃO'!$P:$P,MATCH(MEDIÇÃO!K242,'PROJETO PERFURAÇÃO'!$B:$B,0))="Production","P",IF(INDEX('PROJETO PERFURAÇÃO'!$P:$P,MATCH(MEDIÇÃO!K242,'PROJETO PERFURAÇÃO'!$B:$B,0))="Buffer","B",IF(INDEX('PROJETO PERFURAÇÃO'!$P:$P,MATCH(MEDIÇÃO!K242,'PROJETO PERFURAÇÃO'!$B:$B,0))="Pre-Splitting","S"))),"")</f>
        <v>P</v>
      </c>
      <c r="K242" s="14">
        <f t="shared" si="22"/>
        <v>527</v>
      </c>
      <c r="L242" s="4" t="str">
        <f>IFERROR(INDEX('LEV R&amp;D'!$D:$D,MATCH(MEDIÇÃO!K242,'LEV R&amp;D'!$A:$A,0))-INDEX('PROJETO PERFURAÇÃO'!$AH:$AH,MATCH(MEDIÇÃO!K242,'PROJETO PERFURAÇÃO'!$B:$B,0)),"")</f>
        <v/>
      </c>
      <c r="M242" s="17">
        <f>IFERROR(INDEX('PROJETO PERFURAÇÃO'!$AN:$AN,MATCH(MEDIÇÃO!K242,'PROJETO PERFURAÇÃO'!$B:$B,0)),"")</f>
        <v>0</v>
      </c>
      <c r="N242" s="3"/>
      <c r="O242" s="3"/>
      <c r="P242" s="3" t="str">
        <f>IFERROR(ROUND(INDEX('PROJETO PERFURAÇÃO'!$AB:$AB,MATCH(MEDIÇÃO!R242,'PROJETO PERFURAÇÃO'!$B:$B,0)),1)&amp;"''","")</f>
        <v>5''</v>
      </c>
      <c r="Q242" s="3" t="str">
        <f>IFERROR(IF(INDEX('PROJETO PERFURAÇÃO'!$P:$P,MATCH(MEDIÇÃO!R242,'PROJETO PERFURAÇÃO'!$B:$B,0))="Production","P",IF(INDEX('PROJETO PERFURAÇÃO'!$P:$P,MATCH(MEDIÇÃO!R242,'PROJETO PERFURAÇÃO'!$B:$B,0))="Buffer","B",IF(INDEX('PROJETO PERFURAÇÃO'!$P:$P,MATCH(MEDIÇÃO!R242,'PROJETO PERFURAÇÃO'!$B:$B,0))="Pre-Splitting","S"))),"")</f>
        <v>P</v>
      </c>
      <c r="R242" s="14">
        <f t="shared" si="23"/>
        <v>550</v>
      </c>
      <c r="S242" s="4" t="str">
        <f>IFERROR(INDEX('LEV R&amp;D'!$D:$D,MATCH(MEDIÇÃO!R242,'LEV R&amp;D'!$A:$A,0))-INDEX('PROJETO PERFURAÇÃO'!$AH:$AH,MATCH(MEDIÇÃO!R242,'PROJETO PERFURAÇÃO'!$B:$B,0)),"")</f>
        <v/>
      </c>
      <c r="T242" s="17">
        <f>IFERROR(INDEX('PROJETO PERFURAÇÃO'!$AN:$AN,MATCH(MEDIÇÃO!R242,'PROJETO PERFURAÇÃO'!$B:$B,0)),"")</f>
        <v>0</v>
      </c>
      <c r="U242" s="3"/>
      <c r="V242" s="3"/>
    </row>
    <row r="243" spans="1:23" ht="45" customHeight="1">
      <c r="B243" s="3" t="str">
        <f>IFERROR(ROUND(INDEX('PROJETO PERFURAÇÃO'!$AB:$AB,MATCH(MEDIÇÃO!D243,'PROJETO PERFURAÇÃO'!$B:$B,0)),1)&amp;"''","")</f>
        <v>5''</v>
      </c>
      <c r="C243" s="3" t="str">
        <f>IFERROR(IF(INDEX('PROJETO PERFURAÇÃO'!$P:$P,MATCH(MEDIÇÃO!D243,'PROJETO PERFURAÇÃO'!$B:$B,0))="Production","P",IF(INDEX('PROJETO PERFURAÇÃO'!$P:$P,MATCH(MEDIÇÃO!D243,'PROJETO PERFURAÇÃO'!$B:$B,0))="Buffer","B",IF(INDEX('PROJETO PERFURAÇÃO'!$P:$P,MATCH(MEDIÇÃO!D243,'PROJETO PERFURAÇÃO'!$B:$B,0))="Pre-Splitting","S"))),"")</f>
        <v>P</v>
      </c>
      <c r="D243" s="14">
        <f t="shared" si="21"/>
        <v>505</v>
      </c>
      <c r="E243" s="4" t="str">
        <f>IFERROR(INDEX('LEV R&amp;D'!$D:$D,MATCH(MEDIÇÃO!D243,'LEV R&amp;D'!$A:$A,0))-INDEX('PROJETO PERFURAÇÃO'!$AH:$AH,MATCH(MEDIÇÃO!D243,'PROJETO PERFURAÇÃO'!$B:$B,0)),"")</f>
        <v/>
      </c>
      <c r="F243" s="17">
        <f>IFERROR(INDEX('PROJETO PERFURAÇÃO'!$AN:$AN,MATCH(MEDIÇÃO!D243,'PROJETO PERFURAÇÃO'!$B:$B,0)),"")</f>
        <v>0</v>
      </c>
      <c r="G243" s="3"/>
      <c r="H243" s="3"/>
      <c r="I243" s="3" t="str">
        <f>IFERROR(ROUND(INDEX('PROJETO PERFURAÇÃO'!$AB:$AB,MATCH(MEDIÇÃO!K243,'PROJETO PERFURAÇÃO'!$B:$B,0)),1)&amp;"''","")</f>
        <v>5''</v>
      </c>
      <c r="J243" s="3" t="str">
        <f>IFERROR(IF(INDEX('PROJETO PERFURAÇÃO'!$P:$P,MATCH(MEDIÇÃO!K243,'PROJETO PERFURAÇÃO'!$B:$B,0))="Production","P",IF(INDEX('PROJETO PERFURAÇÃO'!$P:$P,MATCH(MEDIÇÃO!K243,'PROJETO PERFURAÇÃO'!$B:$B,0))="Buffer","B",IF(INDEX('PROJETO PERFURAÇÃO'!$P:$P,MATCH(MEDIÇÃO!K243,'PROJETO PERFURAÇÃO'!$B:$B,0))="Pre-Splitting","S"))),"")</f>
        <v>P</v>
      </c>
      <c r="K243" s="14">
        <f t="shared" si="22"/>
        <v>528</v>
      </c>
      <c r="L243" s="4" t="str">
        <f>IFERROR(INDEX('LEV R&amp;D'!$D:$D,MATCH(MEDIÇÃO!K243,'LEV R&amp;D'!$A:$A,0))-INDEX('PROJETO PERFURAÇÃO'!$AH:$AH,MATCH(MEDIÇÃO!K243,'PROJETO PERFURAÇÃO'!$B:$B,0)),"")</f>
        <v/>
      </c>
      <c r="M243" s="17">
        <f>IFERROR(INDEX('PROJETO PERFURAÇÃO'!$AN:$AN,MATCH(MEDIÇÃO!K243,'PROJETO PERFURAÇÃO'!$B:$B,0)),"")</f>
        <v>0</v>
      </c>
      <c r="N243" s="3"/>
      <c r="O243" s="3"/>
      <c r="P243" s="3" t="str">
        <f>IFERROR(ROUND(INDEX('PROJETO PERFURAÇÃO'!$AB:$AB,MATCH(MEDIÇÃO!R243,'PROJETO PERFURAÇÃO'!$B:$B,0)),1)&amp;"''","")</f>
        <v>5''</v>
      </c>
      <c r="Q243" s="3" t="str">
        <f>IFERROR(IF(INDEX('PROJETO PERFURAÇÃO'!$P:$P,MATCH(MEDIÇÃO!R243,'PROJETO PERFURAÇÃO'!$B:$B,0))="Production","P",IF(INDEX('PROJETO PERFURAÇÃO'!$P:$P,MATCH(MEDIÇÃO!R243,'PROJETO PERFURAÇÃO'!$B:$B,0))="Buffer","B",IF(INDEX('PROJETO PERFURAÇÃO'!$P:$P,MATCH(MEDIÇÃO!R243,'PROJETO PERFURAÇÃO'!$B:$B,0))="Pre-Splitting","S"))),"")</f>
        <v>P</v>
      </c>
      <c r="R243" s="14">
        <f t="shared" si="23"/>
        <v>551</v>
      </c>
      <c r="S243" s="4" t="str">
        <f>IFERROR(INDEX('LEV R&amp;D'!$D:$D,MATCH(MEDIÇÃO!R243,'LEV R&amp;D'!$A:$A,0))-INDEX('PROJETO PERFURAÇÃO'!$AH:$AH,MATCH(MEDIÇÃO!R243,'PROJETO PERFURAÇÃO'!$B:$B,0)),"")</f>
        <v/>
      </c>
      <c r="T243" s="17">
        <f>IFERROR(INDEX('PROJETO PERFURAÇÃO'!$AN:$AN,MATCH(MEDIÇÃO!R243,'PROJETO PERFURAÇÃO'!$B:$B,0)),"")</f>
        <v>0</v>
      </c>
      <c r="U243" s="3"/>
      <c r="V243" s="3"/>
    </row>
    <row r="244" spans="1:23" ht="45" customHeight="1">
      <c r="B244" s="3" t="str">
        <f>IFERROR(ROUND(INDEX('PROJETO PERFURAÇÃO'!$AB:$AB,MATCH(MEDIÇÃO!D244,'PROJETO PERFURAÇÃO'!$B:$B,0)),1)&amp;"''","")</f>
        <v>5''</v>
      </c>
      <c r="C244" s="3" t="str">
        <f>IFERROR(IF(INDEX('PROJETO PERFURAÇÃO'!$P:$P,MATCH(MEDIÇÃO!D244,'PROJETO PERFURAÇÃO'!$B:$B,0))="Production","P",IF(INDEX('PROJETO PERFURAÇÃO'!$P:$P,MATCH(MEDIÇÃO!D244,'PROJETO PERFURAÇÃO'!$B:$B,0))="Buffer","B",IF(INDEX('PROJETO PERFURAÇÃO'!$P:$P,MATCH(MEDIÇÃO!D244,'PROJETO PERFURAÇÃO'!$B:$B,0))="Pre-Splitting","S"))),"")</f>
        <v>P</v>
      </c>
      <c r="D244" s="14">
        <f t="shared" si="21"/>
        <v>506</v>
      </c>
      <c r="E244" s="4" t="str">
        <f>IFERROR(INDEX('LEV R&amp;D'!$D:$D,MATCH(MEDIÇÃO!D244,'LEV R&amp;D'!$A:$A,0))-INDEX('PROJETO PERFURAÇÃO'!$AH:$AH,MATCH(MEDIÇÃO!D244,'PROJETO PERFURAÇÃO'!$B:$B,0)),"")</f>
        <v/>
      </c>
      <c r="F244" s="17">
        <f>IFERROR(INDEX('PROJETO PERFURAÇÃO'!$AN:$AN,MATCH(MEDIÇÃO!D244,'PROJETO PERFURAÇÃO'!$B:$B,0)),"")</f>
        <v>0</v>
      </c>
      <c r="G244" s="3"/>
      <c r="H244" s="3"/>
      <c r="I244" s="3" t="str">
        <f>IFERROR(ROUND(INDEX('PROJETO PERFURAÇÃO'!$AB:$AB,MATCH(MEDIÇÃO!K244,'PROJETO PERFURAÇÃO'!$B:$B,0)),1)&amp;"''","")</f>
        <v>5''</v>
      </c>
      <c r="J244" s="3" t="str">
        <f>IFERROR(IF(INDEX('PROJETO PERFURAÇÃO'!$P:$P,MATCH(MEDIÇÃO!K244,'PROJETO PERFURAÇÃO'!$B:$B,0))="Production","P",IF(INDEX('PROJETO PERFURAÇÃO'!$P:$P,MATCH(MEDIÇÃO!K244,'PROJETO PERFURAÇÃO'!$B:$B,0))="Buffer","B",IF(INDEX('PROJETO PERFURAÇÃO'!$P:$P,MATCH(MEDIÇÃO!K244,'PROJETO PERFURAÇÃO'!$B:$B,0))="Pre-Splitting","S"))),"")</f>
        <v>P</v>
      </c>
      <c r="K244" s="14">
        <f t="shared" si="22"/>
        <v>529</v>
      </c>
      <c r="L244" s="4" t="str">
        <f>IFERROR(INDEX('LEV R&amp;D'!$D:$D,MATCH(MEDIÇÃO!K244,'LEV R&amp;D'!$A:$A,0))-INDEX('PROJETO PERFURAÇÃO'!$AH:$AH,MATCH(MEDIÇÃO!K244,'PROJETO PERFURAÇÃO'!$B:$B,0)),"")</f>
        <v/>
      </c>
      <c r="M244" s="17">
        <f>IFERROR(INDEX('PROJETO PERFURAÇÃO'!$AN:$AN,MATCH(MEDIÇÃO!K244,'PROJETO PERFURAÇÃO'!$B:$B,0)),"")</f>
        <v>0</v>
      </c>
      <c r="N244" s="3"/>
      <c r="O244" s="3"/>
      <c r="P244" s="3" t="str">
        <f>IFERROR(ROUND(INDEX('PROJETO PERFURAÇÃO'!$AB:$AB,MATCH(MEDIÇÃO!R244,'PROJETO PERFURAÇÃO'!$B:$B,0)),1)&amp;"''","")</f>
        <v>5''</v>
      </c>
      <c r="Q244" s="3" t="str">
        <f>IFERROR(IF(INDEX('PROJETO PERFURAÇÃO'!$P:$P,MATCH(MEDIÇÃO!R244,'PROJETO PERFURAÇÃO'!$B:$B,0))="Production","P",IF(INDEX('PROJETO PERFURAÇÃO'!$P:$P,MATCH(MEDIÇÃO!R244,'PROJETO PERFURAÇÃO'!$B:$B,0))="Buffer","B",IF(INDEX('PROJETO PERFURAÇÃO'!$P:$P,MATCH(MEDIÇÃO!R244,'PROJETO PERFURAÇÃO'!$B:$B,0))="Pre-Splitting","S"))),"")</f>
        <v>P</v>
      </c>
      <c r="R244" s="14">
        <f t="shared" si="23"/>
        <v>552</v>
      </c>
      <c r="S244" s="4" t="str">
        <f>IFERROR(INDEX('LEV R&amp;D'!$D:$D,MATCH(MEDIÇÃO!R244,'LEV R&amp;D'!$A:$A,0))-INDEX('PROJETO PERFURAÇÃO'!$AH:$AH,MATCH(MEDIÇÃO!R244,'PROJETO PERFURAÇÃO'!$B:$B,0)),"")</f>
        <v/>
      </c>
      <c r="T244" s="17">
        <f>IFERROR(INDEX('PROJETO PERFURAÇÃO'!$AN:$AN,MATCH(MEDIÇÃO!R244,'PROJETO PERFURAÇÃO'!$B:$B,0)),"")</f>
        <v>0</v>
      </c>
      <c r="U244" s="3"/>
      <c r="V244" s="3"/>
    </row>
    <row r="245" spans="1:23" ht="30" customHeight="1">
      <c r="B245" s="1"/>
      <c r="C245" s="1"/>
      <c r="D245" s="15"/>
      <c r="E245" s="2"/>
      <c r="F245" s="16"/>
      <c r="G245" s="1"/>
      <c r="H245" s="1"/>
      <c r="I245" s="1"/>
      <c r="J245" s="1"/>
      <c r="K245" s="15"/>
      <c r="L245" s="2"/>
      <c r="M245" s="16"/>
      <c r="N245" s="1"/>
      <c r="O245" s="1"/>
      <c r="P245" s="1"/>
      <c r="Q245" s="1"/>
      <c r="R245" s="15"/>
      <c r="S245" s="2"/>
      <c r="T245" s="16"/>
      <c r="U245" s="1"/>
      <c r="V245" s="1"/>
    </row>
    <row r="246" spans="1:23" ht="30" customHeight="1">
      <c r="C246" s="20"/>
      <c r="D246" s="20"/>
      <c r="E246" s="20"/>
      <c r="F246" s="20"/>
      <c r="G246" s="20"/>
      <c r="H246" s="20"/>
      <c r="I246" s="20"/>
      <c r="J246" s="20"/>
      <c r="K246" s="20"/>
      <c r="M246" s="20"/>
      <c r="N246" s="20"/>
      <c r="O246" s="20"/>
      <c r="P246" s="20"/>
      <c r="Q246" s="20"/>
      <c r="R246" s="20"/>
      <c r="S246" s="20"/>
      <c r="T246" s="20"/>
      <c r="U246" s="20"/>
    </row>
    <row r="247" spans="1:23" ht="30" customHeight="1">
      <c r="C247" s="21" t="s">
        <v>40</v>
      </c>
      <c r="D247" s="21"/>
      <c r="E247" s="21"/>
      <c r="F247" s="21"/>
      <c r="G247" s="21"/>
      <c r="H247" s="21"/>
      <c r="I247" s="21"/>
      <c r="J247" s="21"/>
      <c r="K247" s="21"/>
      <c r="L247" s="9"/>
      <c r="M247" s="21" t="s">
        <v>40</v>
      </c>
      <c r="N247" s="21"/>
      <c r="O247" s="21"/>
      <c r="P247" s="21"/>
      <c r="Q247" s="21"/>
      <c r="R247" s="21"/>
      <c r="S247" s="21"/>
      <c r="T247" s="21"/>
      <c r="U247" s="21"/>
      <c r="V247" s="9"/>
    </row>
    <row r="248" spans="1:23" ht="30" customHeight="1">
      <c r="D248" s="9"/>
      <c r="E248" s="9"/>
      <c r="F248" s="9"/>
      <c r="G248" s="9"/>
      <c r="H248" s="9"/>
      <c r="I248" s="9"/>
      <c r="J248" s="9"/>
      <c r="K248" s="9"/>
      <c r="L248" s="9"/>
      <c r="M248" s="9"/>
      <c r="N248" s="9"/>
      <c r="Q248" s="9"/>
      <c r="R248" s="9"/>
      <c r="S248" s="9"/>
      <c r="T248" s="9"/>
      <c r="U248" s="9"/>
      <c r="V248" s="9"/>
    </row>
    <row r="249" spans="1:23" ht="30" customHeight="1">
      <c r="B249" s="19" t="str">
        <f>'PROJETO PERFURAÇÃO'!$C$2&amp;" - "&amp;'PROJETO PERFURAÇÃO'!$H$2</f>
        <v>LIB037 - PP0370626</v>
      </c>
      <c r="C249" s="19"/>
      <c r="D249" s="19"/>
      <c r="E249" s="19"/>
      <c r="F249" s="19"/>
      <c r="G249" s="19"/>
      <c r="H249" s="19"/>
      <c r="I249" s="11" t="s">
        <v>34</v>
      </c>
      <c r="J249" s="10" t="s">
        <v>37</v>
      </c>
    </row>
    <row r="250" spans="1:23" ht="30" customHeight="1">
      <c r="B250" s="19"/>
      <c r="C250" s="19"/>
      <c r="D250" s="19"/>
      <c r="E250" s="19"/>
      <c r="F250" s="19"/>
      <c r="G250" s="19"/>
      <c r="H250" s="19"/>
      <c r="I250" s="12" t="s">
        <v>35</v>
      </c>
      <c r="J250" s="10" t="s">
        <v>38</v>
      </c>
      <c r="K250" s="9"/>
      <c r="L250" s="9"/>
      <c r="M250" s="9"/>
      <c r="N250" s="9"/>
      <c r="O250" s="9"/>
      <c r="P250" s="9"/>
      <c r="Q250" s="9"/>
      <c r="R250" s="9"/>
      <c r="S250" s="9"/>
      <c r="T250" s="9"/>
      <c r="U250" s="9"/>
      <c r="V250" s="9"/>
    </row>
    <row r="251" spans="1:23" ht="30" customHeight="1">
      <c r="B251" s="19"/>
      <c r="C251" s="19"/>
      <c r="D251" s="19"/>
      <c r="E251" s="19"/>
      <c r="F251" s="19"/>
      <c r="G251" s="19"/>
      <c r="H251" s="19"/>
      <c r="I251" s="13" t="s">
        <v>36</v>
      </c>
      <c r="J251" s="10" t="s">
        <v>39</v>
      </c>
    </row>
    <row r="252" spans="1:23" ht="30" customHeight="1">
      <c r="A252" s="1"/>
      <c r="B252" s="6" t="s">
        <v>33</v>
      </c>
      <c r="C252" s="6" t="s">
        <v>13</v>
      </c>
      <c r="D252" s="7" t="s">
        <v>1</v>
      </c>
      <c r="E252" s="7" t="s">
        <v>29</v>
      </c>
      <c r="F252" s="7" t="s">
        <v>30</v>
      </c>
      <c r="G252" s="7" t="s">
        <v>31</v>
      </c>
      <c r="H252" s="7" t="s">
        <v>32</v>
      </c>
      <c r="I252" s="6" t="s">
        <v>33</v>
      </c>
      <c r="J252" s="6" t="s">
        <v>13</v>
      </c>
      <c r="K252" s="7" t="s">
        <v>1</v>
      </c>
      <c r="L252" s="7" t="s">
        <v>29</v>
      </c>
      <c r="M252" s="7" t="s">
        <v>30</v>
      </c>
      <c r="N252" s="7" t="s">
        <v>31</v>
      </c>
      <c r="O252" s="7" t="s">
        <v>32</v>
      </c>
      <c r="P252" s="6" t="s">
        <v>33</v>
      </c>
      <c r="Q252" s="6" t="s">
        <v>13</v>
      </c>
      <c r="R252" s="7" t="s">
        <v>1</v>
      </c>
      <c r="S252" s="7" t="s">
        <v>29</v>
      </c>
      <c r="T252" s="7" t="s">
        <v>30</v>
      </c>
      <c r="U252" s="7" t="s">
        <v>31</v>
      </c>
      <c r="V252" s="7" t="s">
        <v>32</v>
      </c>
      <c r="W252" s="1"/>
    </row>
    <row r="253" spans="1:23" ht="45" customHeight="1">
      <c r="B253" s="3" t="str">
        <f>IFERROR(ROUND(INDEX('PROJETO PERFURAÇÃO'!$AB:$AB,MATCH(MEDIÇÃO!D253,'PROJETO PERFURAÇÃO'!$B:$B,0)),1)&amp;"''","")</f>
        <v>5''</v>
      </c>
      <c r="C253" s="3" t="str">
        <f>IFERROR(IF(INDEX('PROJETO PERFURAÇÃO'!$P:$P,MATCH(MEDIÇÃO!D253,'PROJETO PERFURAÇÃO'!$B:$B,0))="Production","P",IF(INDEX('PROJETO PERFURAÇÃO'!$P:$P,MATCH(MEDIÇÃO!D253,'PROJETO PERFURAÇÃO'!$B:$B,0))="Buffer","B",IF(INDEX('PROJETO PERFURAÇÃO'!$P:$P,MATCH(MEDIÇÃO!D253,'PROJETO PERFURAÇÃO'!$B:$B,0))="Pre-Splitting","S"))),"")</f>
        <v>P</v>
      </c>
      <c r="D253" s="14">
        <f>R244+1</f>
        <v>553</v>
      </c>
      <c r="E253" s="4" t="str">
        <f>IFERROR(INDEX('LEV R&amp;D'!$D:$D,MATCH(MEDIÇÃO!D253,'LEV R&amp;D'!$A:$A,0))-INDEX('PROJETO PERFURAÇÃO'!$AH:$AH,MATCH(MEDIÇÃO!D253,'PROJETO PERFURAÇÃO'!$B:$B,0)),"")</f>
        <v/>
      </c>
      <c r="F253" s="17">
        <f>IFERROR(INDEX('PROJETO PERFURAÇÃO'!$AN:$AN,MATCH(MEDIÇÃO!D253,'PROJETO PERFURAÇÃO'!$B:$B,0)),"")</f>
        <v>0</v>
      </c>
      <c r="G253" s="3"/>
      <c r="H253" s="3"/>
      <c r="I253" s="3" t="str">
        <f>IFERROR(ROUND(INDEX('PROJETO PERFURAÇÃO'!$AB:$AB,MATCH(MEDIÇÃO!K253,'PROJETO PERFURAÇÃO'!$B:$B,0)),1)&amp;"''","")</f>
        <v>5''</v>
      </c>
      <c r="J253" s="3" t="str">
        <f>IFERROR(IF(INDEX('PROJETO PERFURAÇÃO'!$P:$P,MATCH(MEDIÇÃO!K253,'PROJETO PERFURAÇÃO'!$B:$B,0))="Production","P",IF(INDEX('PROJETO PERFURAÇÃO'!$P:$P,MATCH(MEDIÇÃO!K253,'PROJETO PERFURAÇÃO'!$B:$B,0))="Buffer","B",IF(INDEX('PROJETO PERFURAÇÃO'!$P:$P,MATCH(MEDIÇÃO!K253,'PROJETO PERFURAÇÃO'!$B:$B,0))="Pre-Splitting","S"))),"")</f>
        <v>P</v>
      </c>
      <c r="K253" s="14">
        <f>D275+1</f>
        <v>576</v>
      </c>
      <c r="L253" s="4" t="str">
        <f>IFERROR(INDEX('LEV R&amp;D'!$D:$D,MATCH(MEDIÇÃO!K253,'LEV R&amp;D'!$A:$A,0))-INDEX('PROJETO PERFURAÇÃO'!$AH:$AH,MATCH(MEDIÇÃO!K253,'PROJETO PERFURAÇÃO'!$B:$B,0)),"")</f>
        <v/>
      </c>
      <c r="M253" s="17">
        <f>IFERROR(INDEX('PROJETO PERFURAÇÃO'!$AN:$AN,MATCH(MEDIÇÃO!K253,'PROJETO PERFURAÇÃO'!$B:$B,0)),"")</f>
        <v>0</v>
      </c>
      <c r="N253" s="3"/>
      <c r="O253" s="3"/>
      <c r="P253" s="3" t="str">
        <f>IFERROR(ROUND(INDEX('PROJETO PERFURAÇÃO'!$AB:$AB,MATCH(MEDIÇÃO!R253,'PROJETO PERFURAÇÃO'!$B:$B,0)),1)&amp;"''","")</f>
        <v>5''</v>
      </c>
      <c r="Q253" s="3" t="str">
        <f>IFERROR(IF(INDEX('PROJETO PERFURAÇÃO'!$P:$P,MATCH(MEDIÇÃO!R253,'PROJETO PERFURAÇÃO'!$B:$B,0))="Production","P",IF(INDEX('PROJETO PERFURAÇÃO'!$P:$P,MATCH(MEDIÇÃO!R253,'PROJETO PERFURAÇÃO'!$B:$B,0))="Buffer","B",IF(INDEX('PROJETO PERFURAÇÃO'!$P:$P,MATCH(MEDIÇÃO!R253,'PROJETO PERFURAÇÃO'!$B:$B,0))="Pre-Splitting","S"))),"")</f>
        <v>P</v>
      </c>
      <c r="R253" s="14">
        <f>K275+1</f>
        <v>599</v>
      </c>
      <c r="S253" s="4" t="str">
        <f>IFERROR(INDEX('LEV R&amp;D'!$D:$D,MATCH(MEDIÇÃO!R253,'LEV R&amp;D'!$A:$A,0))-INDEX('PROJETO PERFURAÇÃO'!$AH:$AH,MATCH(MEDIÇÃO!R253,'PROJETO PERFURAÇÃO'!$B:$B,0)),"")</f>
        <v/>
      </c>
      <c r="T253" s="17">
        <f>IFERROR(INDEX('PROJETO PERFURAÇÃO'!$AN:$AN,MATCH(MEDIÇÃO!R253,'PROJETO PERFURAÇÃO'!$B:$B,0)),"")</f>
        <v>0</v>
      </c>
      <c r="U253" s="3"/>
      <c r="V253" s="3"/>
    </row>
    <row r="254" spans="1:23" ht="45" customHeight="1">
      <c r="B254" s="3" t="str">
        <f>IFERROR(ROUND(INDEX('PROJETO PERFURAÇÃO'!$AB:$AB,MATCH(MEDIÇÃO!D254,'PROJETO PERFURAÇÃO'!$B:$B,0)),1)&amp;"''","")</f>
        <v>5''</v>
      </c>
      <c r="C254" s="3" t="str">
        <f>IFERROR(IF(INDEX('PROJETO PERFURAÇÃO'!$P:$P,MATCH(MEDIÇÃO!D254,'PROJETO PERFURAÇÃO'!$B:$B,0))="Production","P",IF(INDEX('PROJETO PERFURAÇÃO'!$P:$P,MATCH(MEDIÇÃO!D254,'PROJETO PERFURAÇÃO'!$B:$B,0))="Buffer","B",IF(INDEX('PROJETO PERFURAÇÃO'!$P:$P,MATCH(MEDIÇÃO!D254,'PROJETO PERFURAÇÃO'!$B:$B,0))="Pre-Splitting","S"))),"")</f>
        <v>P</v>
      </c>
      <c r="D254" s="14">
        <f>D253+1</f>
        <v>554</v>
      </c>
      <c r="E254" s="4" t="str">
        <f>IFERROR(INDEX('LEV R&amp;D'!$D:$D,MATCH(MEDIÇÃO!D254,'LEV R&amp;D'!$A:$A,0))-INDEX('PROJETO PERFURAÇÃO'!$AH:$AH,MATCH(MEDIÇÃO!D254,'PROJETO PERFURAÇÃO'!$B:$B,0)),"")</f>
        <v/>
      </c>
      <c r="F254" s="17">
        <f>IFERROR(INDEX('PROJETO PERFURAÇÃO'!$AN:$AN,MATCH(MEDIÇÃO!D254,'PROJETO PERFURAÇÃO'!$B:$B,0)),"")</f>
        <v>0</v>
      </c>
      <c r="G254" s="3"/>
      <c r="H254" s="3"/>
      <c r="I254" s="3" t="str">
        <f>IFERROR(ROUND(INDEX('PROJETO PERFURAÇÃO'!$AB:$AB,MATCH(MEDIÇÃO!K254,'PROJETO PERFURAÇÃO'!$B:$B,0)),1)&amp;"''","")</f>
        <v>5''</v>
      </c>
      <c r="J254" s="3" t="str">
        <f>IFERROR(IF(INDEX('PROJETO PERFURAÇÃO'!$P:$P,MATCH(MEDIÇÃO!K254,'PROJETO PERFURAÇÃO'!$B:$B,0))="Production","P",IF(INDEX('PROJETO PERFURAÇÃO'!$P:$P,MATCH(MEDIÇÃO!K254,'PROJETO PERFURAÇÃO'!$B:$B,0))="Buffer","B",IF(INDEX('PROJETO PERFURAÇÃO'!$P:$P,MATCH(MEDIÇÃO!K254,'PROJETO PERFURAÇÃO'!$B:$B,0))="Pre-Splitting","S"))),"")</f>
        <v>P</v>
      </c>
      <c r="K254" s="14">
        <f>K253+1</f>
        <v>577</v>
      </c>
      <c r="L254" s="4" t="str">
        <f>IFERROR(INDEX('LEV R&amp;D'!$D:$D,MATCH(MEDIÇÃO!K254,'LEV R&amp;D'!$A:$A,0))-INDEX('PROJETO PERFURAÇÃO'!$AH:$AH,MATCH(MEDIÇÃO!K254,'PROJETO PERFURAÇÃO'!$B:$B,0)),"")</f>
        <v/>
      </c>
      <c r="M254" s="17">
        <f>IFERROR(INDEX('PROJETO PERFURAÇÃO'!$AN:$AN,MATCH(MEDIÇÃO!K254,'PROJETO PERFURAÇÃO'!$B:$B,0)),"")</f>
        <v>0</v>
      </c>
      <c r="N254" s="3"/>
      <c r="O254" s="3"/>
      <c r="P254" s="3" t="str">
        <f>IFERROR(ROUND(INDEX('PROJETO PERFURAÇÃO'!$AB:$AB,MATCH(MEDIÇÃO!R254,'PROJETO PERFURAÇÃO'!$B:$B,0)),1)&amp;"''","")</f>
        <v>5''</v>
      </c>
      <c r="Q254" s="3" t="str">
        <f>IFERROR(IF(INDEX('PROJETO PERFURAÇÃO'!$P:$P,MATCH(MEDIÇÃO!R254,'PROJETO PERFURAÇÃO'!$B:$B,0))="Production","P",IF(INDEX('PROJETO PERFURAÇÃO'!$P:$P,MATCH(MEDIÇÃO!R254,'PROJETO PERFURAÇÃO'!$B:$B,0))="Buffer","B",IF(INDEX('PROJETO PERFURAÇÃO'!$P:$P,MATCH(MEDIÇÃO!R254,'PROJETO PERFURAÇÃO'!$B:$B,0))="Pre-Splitting","S"))),"")</f>
        <v>P</v>
      </c>
      <c r="R254" s="14">
        <f>R253+1</f>
        <v>600</v>
      </c>
      <c r="S254" s="4" t="str">
        <f>IFERROR(INDEX('LEV R&amp;D'!$D:$D,MATCH(MEDIÇÃO!R254,'LEV R&amp;D'!$A:$A,0))-INDEX('PROJETO PERFURAÇÃO'!$AH:$AH,MATCH(MEDIÇÃO!R254,'PROJETO PERFURAÇÃO'!$B:$B,0)),"")</f>
        <v/>
      </c>
      <c r="T254" s="17">
        <f>IFERROR(INDEX('PROJETO PERFURAÇÃO'!$AN:$AN,MATCH(MEDIÇÃO!R254,'PROJETO PERFURAÇÃO'!$B:$B,0)),"")</f>
        <v>0</v>
      </c>
      <c r="U254" s="3"/>
      <c r="V254" s="3"/>
    </row>
    <row r="255" spans="1:23" ht="45" customHeight="1">
      <c r="B255" s="3" t="str">
        <f>IFERROR(ROUND(INDEX('PROJETO PERFURAÇÃO'!$AB:$AB,MATCH(MEDIÇÃO!D255,'PROJETO PERFURAÇÃO'!$B:$B,0)),1)&amp;"''","")</f>
        <v>5''</v>
      </c>
      <c r="C255" s="3" t="str">
        <f>IFERROR(IF(INDEX('PROJETO PERFURAÇÃO'!$P:$P,MATCH(MEDIÇÃO!D255,'PROJETO PERFURAÇÃO'!$B:$B,0))="Production","P",IF(INDEX('PROJETO PERFURAÇÃO'!$P:$P,MATCH(MEDIÇÃO!D255,'PROJETO PERFURAÇÃO'!$B:$B,0))="Buffer","B",IF(INDEX('PROJETO PERFURAÇÃO'!$P:$P,MATCH(MEDIÇÃO!D255,'PROJETO PERFURAÇÃO'!$B:$B,0))="Pre-Splitting","S"))),"")</f>
        <v>P</v>
      </c>
      <c r="D255" s="14">
        <f t="shared" ref="D255:D275" si="24">D254+1</f>
        <v>555</v>
      </c>
      <c r="E255" s="4" t="str">
        <f>IFERROR(INDEX('LEV R&amp;D'!$D:$D,MATCH(MEDIÇÃO!D255,'LEV R&amp;D'!$A:$A,0))-INDEX('PROJETO PERFURAÇÃO'!$AH:$AH,MATCH(MEDIÇÃO!D255,'PROJETO PERFURAÇÃO'!$B:$B,0)),"")</f>
        <v/>
      </c>
      <c r="F255" s="17">
        <f>IFERROR(INDEX('PROJETO PERFURAÇÃO'!$AN:$AN,MATCH(MEDIÇÃO!D255,'PROJETO PERFURAÇÃO'!$B:$B,0)),"")</f>
        <v>0</v>
      </c>
      <c r="G255" s="3"/>
      <c r="H255" s="3"/>
      <c r="I255" s="3" t="str">
        <f>IFERROR(ROUND(INDEX('PROJETO PERFURAÇÃO'!$AB:$AB,MATCH(MEDIÇÃO!K255,'PROJETO PERFURAÇÃO'!$B:$B,0)),1)&amp;"''","")</f>
        <v>5''</v>
      </c>
      <c r="J255" s="3" t="str">
        <f>IFERROR(IF(INDEX('PROJETO PERFURAÇÃO'!$P:$P,MATCH(MEDIÇÃO!K255,'PROJETO PERFURAÇÃO'!$B:$B,0))="Production","P",IF(INDEX('PROJETO PERFURAÇÃO'!$P:$P,MATCH(MEDIÇÃO!K255,'PROJETO PERFURAÇÃO'!$B:$B,0))="Buffer","B",IF(INDEX('PROJETO PERFURAÇÃO'!$P:$P,MATCH(MEDIÇÃO!K255,'PROJETO PERFURAÇÃO'!$B:$B,0))="Pre-Splitting","S"))),"")</f>
        <v>P</v>
      </c>
      <c r="K255" s="14">
        <f t="shared" ref="K255:K275" si="25">K254+1</f>
        <v>578</v>
      </c>
      <c r="L255" s="4" t="str">
        <f>IFERROR(INDEX('LEV R&amp;D'!$D:$D,MATCH(MEDIÇÃO!K255,'LEV R&amp;D'!$A:$A,0))-INDEX('PROJETO PERFURAÇÃO'!$AH:$AH,MATCH(MEDIÇÃO!K255,'PROJETO PERFURAÇÃO'!$B:$B,0)),"")</f>
        <v/>
      </c>
      <c r="M255" s="17">
        <f>IFERROR(INDEX('PROJETO PERFURAÇÃO'!$AN:$AN,MATCH(MEDIÇÃO!K255,'PROJETO PERFURAÇÃO'!$B:$B,0)),"")</f>
        <v>0</v>
      </c>
      <c r="N255" s="3"/>
      <c r="O255" s="3"/>
      <c r="P255" s="3" t="str">
        <f>IFERROR(ROUND(INDEX('PROJETO PERFURAÇÃO'!$AB:$AB,MATCH(MEDIÇÃO!R255,'PROJETO PERFURAÇÃO'!$B:$B,0)),1)&amp;"''","")</f>
        <v>5''</v>
      </c>
      <c r="Q255" s="3" t="str">
        <f>IFERROR(IF(INDEX('PROJETO PERFURAÇÃO'!$P:$P,MATCH(MEDIÇÃO!R255,'PROJETO PERFURAÇÃO'!$B:$B,0))="Production","P",IF(INDEX('PROJETO PERFURAÇÃO'!$P:$P,MATCH(MEDIÇÃO!R255,'PROJETO PERFURAÇÃO'!$B:$B,0))="Buffer","B",IF(INDEX('PROJETO PERFURAÇÃO'!$P:$P,MATCH(MEDIÇÃO!R255,'PROJETO PERFURAÇÃO'!$B:$B,0))="Pre-Splitting","S"))),"")</f>
        <v>P</v>
      </c>
      <c r="R255" s="14">
        <f t="shared" ref="R255:R275" si="26">R254+1</f>
        <v>601</v>
      </c>
      <c r="S255" s="4" t="str">
        <f>IFERROR(INDEX('LEV R&amp;D'!$D:$D,MATCH(MEDIÇÃO!R255,'LEV R&amp;D'!$A:$A,0))-INDEX('PROJETO PERFURAÇÃO'!$AH:$AH,MATCH(MEDIÇÃO!R255,'PROJETO PERFURAÇÃO'!$B:$B,0)),"")</f>
        <v/>
      </c>
      <c r="T255" s="17">
        <f>IFERROR(INDEX('PROJETO PERFURAÇÃO'!$AN:$AN,MATCH(MEDIÇÃO!R255,'PROJETO PERFURAÇÃO'!$B:$B,0)),"")</f>
        <v>0</v>
      </c>
      <c r="U255" s="3"/>
      <c r="V255" s="3"/>
    </row>
    <row r="256" spans="1:23" ht="45" customHeight="1">
      <c r="B256" s="3" t="str">
        <f>IFERROR(ROUND(INDEX('PROJETO PERFURAÇÃO'!$AB:$AB,MATCH(MEDIÇÃO!D256,'PROJETO PERFURAÇÃO'!$B:$B,0)),1)&amp;"''","")</f>
        <v>5''</v>
      </c>
      <c r="C256" s="3" t="str">
        <f>IFERROR(IF(INDEX('PROJETO PERFURAÇÃO'!$P:$P,MATCH(MEDIÇÃO!D256,'PROJETO PERFURAÇÃO'!$B:$B,0))="Production","P",IF(INDEX('PROJETO PERFURAÇÃO'!$P:$P,MATCH(MEDIÇÃO!D256,'PROJETO PERFURAÇÃO'!$B:$B,0))="Buffer","B",IF(INDEX('PROJETO PERFURAÇÃO'!$P:$P,MATCH(MEDIÇÃO!D256,'PROJETO PERFURAÇÃO'!$B:$B,0))="Pre-Splitting","S"))),"")</f>
        <v>P</v>
      </c>
      <c r="D256" s="14">
        <f t="shared" si="24"/>
        <v>556</v>
      </c>
      <c r="E256" s="4" t="str">
        <f>IFERROR(INDEX('LEV R&amp;D'!$D:$D,MATCH(MEDIÇÃO!D256,'LEV R&amp;D'!$A:$A,0))-INDEX('PROJETO PERFURAÇÃO'!$AH:$AH,MATCH(MEDIÇÃO!D256,'PROJETO PERFURAÇÃO'!$B:$B,0)),"")</f>
        <v/>
      </c>
      <c r="F256" s="17">
        <f>IFERROR(INDEX('PROJETO PERFURAÇÃO'!$AN:$AN,MATCH(MEDIÇÃO!D256,'PROJETO PERFURAÇÃO'!$B:$B,0)),"")</f>
        <v>0</v>
      </c>
      <c r="G256" s="3"/>
      <c r="H256" s="3"/>
      <c r="I256" s="3" t="str">
        <f>IFERROR(ROUND(INDEX('PROJETO PERFURAÇÃO'!$AB:$AB,MATCH(MEDIÇÃO!K256,'PROJETO PERFURAÇÃO'!$B:$B,0)),1)&amp;"''","")</f>
        <v>5''</v>
      </c>
      <c r="J256" s="3" t="str">
        <f>IFERROR(IF(INDEX('PROJETO PERFURAÇÃO'!$P:$P,MATCH(MEDIÇÃO!K256,'PROJETO PERFURAÇÃO'!$B:$B,0))="Production","P",IF(INDEX('PROJETO PERFURAÇÃO'!$P:$P,MATCH(MEDIÇÃO!K256,'PROJETO PERFURAÇÃO'!$B:$B,0))="Buffer","B",IF(INDEX('PROJETO PERFURAÇÃO'!$P:$P,MATCH(MEDIÇÃO!K256,'PROJETO PERFURAÇÃO'!$B:$B,0))="Pre-Splitting","S"))),"")</f>
        <v>P</v>
      </c>
      <c r="K256" s="14">
        <f t="shared" si="25"/>
        <v>579</v>
      </c>
      <c r="L256" s="4" t="str">
        <f>IFERROR(INDEX('LEV R&amp;D'!$D:$D,MATCH(MEDIÇÃO!K256,'LEV R&amp;D'!$A:$A,0))-INDEX('PROJETO PERFURAÇÃO'!$AH:$AH,MATCH(MEDIÇÃO!K256,'PROJETO PERFURAÇÃO'!$B:$B,0)),"")</f>
        <v/>
      </c>
      <c r="M256" s="17">
        <f>IFERROR(INDEX('PROJETO PERFURAÇÃO'!$AN:$AN,MATCH(MEDIÇÃO!K256,'PROJETO PERFURAÇÃO'!$B:$B,0)),"")</f>
        <v>0</v>
      </c>
      <c r="N256" s="3"/>
      <c r="O256" s="3"/>
      <c r="P256" s="3" t="str">
        <f>IFERROR(ROUND(INDEX('PROJETO PERFURAÇÃO'!$AB:$AB,MATCH(MEDIÇÃO!R256,'PROJETO PERFURAÇÃO'!$B:$B,0)),1)&amp;"''","")</f>
        <v>5''</v>
      </c>
      <c r="Q256" s="3" t="str">
        <f>IFERROR(IF(INDEX('PROJETO PERFURAÇÃO'!$P:$P,MATCH(MEDIÇÃO!R256,'PROJETO PERFURAÇÃO'!$B:$B,0))="Production","P",IF(INDEX('PROJETO PERFURAÇÃO'!$P:$P,MATCH(MEDIÇÃO!R256,'PROJETO PERFURAÇÃO'!$B:$B,0))="Buffer","B",IF(INDEX('PROJETO PERFURAÇÃO'!$P:$P,MATCH(MEDIÇÃO!R256,'PROJETO PERFURAÇÃO'!$B:$B,0))="Pre-Splitting","S"))),"")</f>
        <v>P</v>
      </c>
      <c r="R256" s="14">
        <f t="shared" si="26"/>
        <v>602</v>
      </c>
      <c r="S256" s="4" t="str">
        <f>IFERROR(INDEX('LEV R&amp;D'!$D:$D,MATCH(MEDIÇÃO!R256,'LEV R&amp;D'!$A:$A,0))-INDEX('PROJETO PERFURAÇÃO'!$AH:$AH,MATCH(MEDIÇÃO!R256,'PROJETO PERFURAÇÃO'!$B:$B,0)),"")</f>
        <v/>
      </c>
      <c r="T256" s="17">
        <f>IFERROR(INDEX('PROJETO PERFURAÇÃO'!$AN:$AN,MATCH(MEDIÇÃO!R256,'PROJETO PERFURAÇÃO'!$B:$B,0)),"")</f>
        <v>0</v>
      </c>
      <c r="U256" s="3"/>
      <c r="V256" s="3"/>
    </row>
    <row r="257" spans="2:22" ht="45" customHeight="1">
      <c r="B257" s="3" t="str">
        <f>IFERROR(ROUND(INDEX('PROJETO PERFURAÇÃO'!$AB:$AB,MATCH(MEDIÇÃO!D257,'PROJETO PERFURAÇÃO'!$B:$B,0)),1)&amp;"''","")</f>
        <v>5''</v>
      </c>
      <c r="C257" s="3" t="str">
        <f>IFERROR(IF(INDEX('PROJETO PERFURAÇÃO'!$P:$P,MATCH(MEDIÇÃO!D257,'PROJETO PERFURAÇÃO'!$B:$B,0))="Production","P",IF(INDEX('PROJETO PERFURAÇÃO'!$P:$P,MATCH(MEDIÇÃO!D257,'PROJETO PERFURAÇÃO'!$B:$B,0))="Buffer","B",IF(INDEX('PROJETO PERFURAÇÃO'!$P:$P,MATCH(MEDIÇÃO!D257,'PROJETO PERFURAÇÃO'!$B:$B,0))="Pre-Splitting","S"))),"")</f>
        <v>P</v>
      </c>
      <c r="D257" s="14">
        <f t="shared" si="24"/>
        <v>557</v>
      </c>
      <c r="E257" s="4" t="str">
        <f>IFERROR(INDEX('LEV R&amp;D'!$D:$D,MATCH(MEDIÇÃO!D257,'LEV R&amp;D'!$A:$A,0))-INDEX('PROJETO PERFURAÇÃO'!$AH:$AH,MATCH(MEDIÇÃO!D257,'PROJETO PERFURAÇÃO'!$B:$B,0)),"")</f>
        <v/>
      </c>
      <c r="F257" s="17">
        <f>IFERROR(INDEX('PROJETO PERFURAÇÃO'!$AN:$AN,MATCH(MEDIÇÃO!D257,'PROJETO PERFURAÇÃO'!$B:$B,0)),"")</f>
        <v>0</v>
      </c>
      <c r="G257" s="3"/>
      <c r="H257" s="3"/>
      <c r="I257" s="3" t="str">
        <f>IFERROR(ROUND(INDEX('PROJETO PERFURAÇÃO'!$AB:$AB,MATCH(MEDIÇÃO!K257,'PROJETO PERFURAÇÃO'!$B:$B,0)),1)&amp;"''","")</f>
        <v>5''</v>
      </c>
      <c r="J257" s="3" t="str">
        <f>IFERROR(IF(INDEX('PROJETO PERFURAÇÃO'!$P:$P,MATCH(MEDIÇÃO!K257,'PROJETO PERFURAÇÃO'!$B:$B,0))="Production","P",IF(INDEX('PROJETO PERFURAÇÃO'!$P:$P,MATCH(MEDIÇÃO!K257,'PROJETO PERFURAÇÃO'!$B:$B,0))="Buffer","B",IF(INDEX('PROJETO PERFURAÇÃO'!$P:$P,MATCH(MEDIÇÃO!K257,'PROJETO PERFURAÇÃO'!$B:$B,0))="Pre-Splitting","S"))),"")</f>
        <v>P</v>
      </c>
      <c r="K257" s="14">
        <f t="shared" si="25"/>
        <v>580</v>
      </c>
      <c r="L257" s="4" t="str">
        <f>IFERROR(INDEX('LEV R&amp;D'!$D:$D,MATCH(MEDIÇÃO!K257,'LEV R&amp;D'!$A:$A,0))-INDEX('PROJETO PERFURAÇÃO'!$AH:$AH,MATCH(MEDIÇÃO!K257,'PROJETO PERFURAÇÃO'!$B:$B,0)),"")</f>
        <v/>
      </c>
      <c r="M257" s="17">
        <f>IFERROR(INDEX('PROJETO PERFURAÇÃO'!$AN:$AN,MATCH(MEDIÇÃO!K257,'PROJETO PERFURAÇÃO'!$B:$B,0)),"")</f>
        <v>0</v>
      </c>
      <c r="N257" s="3"/>
      <c r="O257" s="3"/>
      <c r="P257" s="3" t="str">
        <f>IFERROR(ROUND(INDEX('PROJETO PERFURAÇÃO'!$AB:$AB,MATCH(MEDIÇÃO!R257,'PROJETO PERFURAÇÃO'!$B:$B,0)),1)&amp;"''","")</f>
        <v>5''</v>
      </c>
      <c r="Q257" s="3" t="str">
        <f>IFERROR(IF(INDEX('PROJETO PERFURAÇÃO'!$P:$P,MATCH(MEDIÇÃO!R257,'PROJETO PERFURAÇÃO'!$B:$B,0))="Production","P",IF(INDEX('PROJETO PERFURAÇÃO'!$P:$P,MATCH(MEDIÇÃO!R257,'PROJETO PERFURAÇÃO'!$B:$B,0))="Buffer","B",IF(INDEX('PROJETO PERFURAÇÃO'!$P:$P,MATCH(MEDIÇÃO!R257,'PROJETO PERFURAÇÃO'!$B:$B,0))="Pre-Splitting","S"))),"")</f>
        <v>P</v>
      </c>
      <c r="R257" s="14">
        <f t="shared" si="26"/>
        <v>603</v>
      </c>
      <c r="S257" s="4" t="str">
        <f>IFERROR(INDEX('LEV R&amp;D'!$D:$D,MATCH(MEDIÇÃO!R257,'LEV R&amp;D'!$A:$A,0))-INDEX('PROJETO PERFURAÇÃO'!$AH:$AH,MATCH(MEDIÇÃO!R257,'PROJETO PERFURAÇÃO'!$B:$B,0)),"")</f>
        <v/>
      </c>
      <c r="T257" s="17">
        <f>IFERROR(INDEX('PROJETO PERFURAÇÃO'!$AN:$AN,MATCH(MEDIÇÃO!R257,'PROJETO PERFURAÇÃO'!$B:$B,0)),"")</f>
        <v>0</v>
      </c>
      <c r="U257" s="3"/>
      <c r="V257" s="3"/>
    </row>
    <row r="258" spans="2:22" ht="45" customHeight="1">
      <c r="B258" s="3" t="str">
        <f>IFERROR(ROUND(INDEX('PROJETO PERFURAÇÃO'!$AB:$AB,MATCH(MEDIÇÃO!D258,'PROJETO PERFURAÇÃO'!$B:$B,0)),1)&amp;"''","")</f>
        <v>5''</v>
      </c>
      <c r="C258" s="3" t="str">
        <f>IFERROR(IF(INDEX('PROJETO PERFURAÇÃO'!$P:$P,MATCH(MEDIÇÃO!D258,'PROJETO PERFURAÇÃO'!$B:$B,0))="Production","P",IF(INDEX('PROJETO PERFURAÇÃO'!$P:$P,MATCH(MEDIÇÃO!D258,'PROJETO PERFURAÇÃO'!$B:$B,0))="Buffer","B",IF(INDEX('PROJETO PERFURAÇÃO'!$P:$P,MATCH(MEDIÇÃO!D258,'PROJETO PERFURAÇÃO'!$B:$B,0))="Pre-Splitting","S"))),"")</f>
        <v>P</v>
      </c>
      <c r="D258" s="14">
        <f t="shared" si="24"/>
        <v>558</v>
      </c>
      <c r="E258" s="4" t="str">
        <f>IFERROR(INDEX('LEV R&amp;D'!$D:$D,MATCH(MEDIÇÃO!D258,'LEV R&amp;D'!$A:$A,0))-INDEX('PROJETO PERFURAÇÃO'!$AH:$AH,MATCH(MEDIÇÃO!D258,'PROJETO PERFURAÇÃO'!$B:$B,0)),"")</f>
        <v/>
      </c>
      <c r="F258" s="17">
        <f>IFERROR(INDEX('PROJETO PERFURAÇÃO'!$AN:$AN,MATCH(MEDIÇÃO!D258,'PROJETO PERFURAÇÃO'!$B:$B,0)),"")</f>
        <v>0</v>
      </c>
      <c r="G258" s="3"/>
      <c r="H258" s="3"/>
      <c r="I258" s="3" t="str">
        <f>IFERROR(ROUND(INDEX('PROJETO PERFURAÇÃO'!$AB:$AB,MATCH(MEDIÇÃO!K258,'PROJETO PERFURAÇÃO'!$B:$B,0)),1)&amp;"''","")</f>
        <v>5''</v>
      </c>
      <c r="J258" s="3" t="str">
        <f>IFERROR(IF(INDEX('PROJETO PERFURAÇÃO'!$P:$P,MATCH(MEDIÇÃO!K258,'PROJETO PERFURAÇÃO'!$B:$B,0))="Production","P",IF(INDEX('PROJETO PERFURAÇÃO'!$P:$P,MATCH(MEDIÇÃO!K258,'PROJETO PERFURAÇÃO'!$B:$B,0))="Buffer","B",IF(INDEX('PROJETO PERFURAÇÃO'!$P:$P,MATCH(MEDIÇÃO!K258,'PROJETO PERFURAÇÃO'!$B:$B,0))="Pre-Splitting","S"))),"")</f>
        <v>P</v>
      </c>
      <c r="K258" s="14">
        <f t="shared" si="25"/>
        <v>581</v>
      </c>
      <c r="L258" s="4" t="str">
        <f>IFERROR(INDEX('LEV R&amp;D'!$D:$D,MATCH(MEDIÇÃO!K258,'LEV R&amp;D'!$A:$A,0))-INDEX('PROJETO PERFURAÇÃO'!$AH:$AH,MATCH(MEDIÇÃO!K258,'PROJETO PERFURAÇÃO'!$B:$B,0)),"")</f>
        <v/>
      </c>
      <c r="M258" s="17">
        <f>IFERROR(INDEX('PROJETO PERFURAÇÃO'!$AN:$AN,MATCH(MEDIÇÃO!K258,'PROJETO PERFURAÇÃO'!$B:$B,0)),"")</f>
        <v>0</v>
      </c>
      <c r="N258" s="3"/>
      <c r="O258" s="3"/>
      <c r="P258" s="3" t="str">
        <f>IFERROR(ROUND(INDEX('PROJETO PERFURAÇÃO'!$AB:$AB,MATCH(MEDIÇÃO!R258,'PROJETO PERFURAÇÃO'!$B:$B,0)),1)&amp;"''","")</f>
        <v>5''</v>
      </c>
      <c r="Q258" s="3" t="str">
        <f>IFERROR(IF(INDEX('PROJETO PERFURAÇÃO'!$P:$P,MATCH(MEDIÇÃO!R258,'PROJETO PERFURAÇÃO'!$B:$B,0))="Production","P",IF(INDEX('PROJETO PERFURAÇÃO'!$P:$P,MATCH(MEDIÇÃO!R258,'PROJETO PERFURAÇÃO'!$B:$B,0))="Buffer","B",IF(INDEX('PROJETO PERFURAÇÃO'!$P:$P,MATCH(MEDIÇÃO!R258,'PROJETO PERFURAÇÃO'!$B:$B,0))="Pre-Splitting","S"))),"")</f>
        <v>P</v>
      </c>
      <c r="R258" s="14">
        <f t="shared" si="26"/>
        <v>604</v>
      </c>
      <c r="S258" s="4" t="str">
        <f>IFERROR(INDEX('LEV R&amp;D'!$D:$D,MATCH(MEDIÇÃO!R258,'LEV R&amp;D'!$A:$A,0))-INDEX('PROJETO PERFURAÇÃO'!$AH:$AH,MATCH(MEDIÇÃO!R258,'PROJETO PERFURAÇÃO'!$B:$B,0)),"")</f>
        <v/>
      </c>
      <c r="T258" s="17">
        <f>IFERROR(INDEX('PROJETO PERFURAÇÃO'!$AN:$AN,MATCH(MEDIÇÃO!R258,'PROJETO PERFURAÇÃO'!$B:$B,0)),"")</f>
        <v>0</v>
      </c>
      <c r="U258" s="3"/>
      <c r="V258" s="3"/>
    </row>
    <row r="259" spans="2:22" ht="45" customHeight="1">
      <c r="B259" s="3" t="str">
        <f>IFERROR(ROUND(INDEX('PROJETO PERFURAÇÃO'!$AB:$AB,MATCH(MEDIÇÃO!D259,'PROJETO PERFURAÇÃO'!$B:$B,0)),1)&amp;"''","")</f>
        <v>5''</v>
      </c>
      <c r="C259" s="3" t="str">
        <f>IFERROR(IF(INDEX('PROJETO PERFURAÇÃO'!$P:$P,MATCH(MEDIÇÃO!D259,'PROJETO PERFURAÇÃO'!$B:$B,0))="Production","P",IF(INDEX('PROJETO PERFURAÇÃO'!$P:$P,MATCH(MEDIÇÃO!D259,'PROJETO PERFURAÇÃO'!$B:$B,0))="Buffer","B",IF(INDEX('PROJETO PERFURAÇÃO'!$P:$P,MATCH(MEDIÇÃO!D259,'PROJETO PERFURAÇÃO'!$B:$B,0))="Pre-Splitting","S"))),"")</f>
        <v>P</v>
      </c>
      <c r="D259" s="14">
        <f t="shared" si="24"/>
        <v>559</v>
      </c>
      <c r="E259" s="4" t="str">
        <f>IFERROR(INDEX('LEV R&amp;D'!$D:$D,MATCH(MEDIÇÃO!D259,'LEV R&amp;D'!$A:$A,0))-INDEX('PROJETO PERFURAÇÃO'!$AH:$AH,MATCH(MEDIÇÃO!D259,'PROJETO PERFURAÇÃO'!$B:$B,0)),"")</f>
        <v/>
      </c>
      <c r="F259" s="17">
        <f>IFERROR(INDEX('PROJETO PERFURAÇÃO'!$AN:$AN,MATCH(MEDIÇÃO!D259,'PROJETO PERFURAÇÃO'!$B:$B,0)),"")</f>
        <v>0</v>
      </c>
      <c r="G259" s="3"/>
      <c r="H259" s="3"/>
      <c r="I259" s="3" t="str">
        <f>IFERROR(ROUND(INDEX('PROJETO PERFURAÇÃO'!$AB:$AB,MATCH(MEDIÇÃO!K259,'PROJETO PERFURAÇÃO'!$B:$B,0)),1)&amp;"''","")</f>
        <v>5''</v>
      </c>
      <c r="J259" s="3" t="str">
        <f>IFERROR(IF(INDEX('PROJETO PERFURAÇÃO'!$P:$P,MATCH(MEDIÇÃO!K259,'PROJETO PERFURAÇÃO'!$B:$B,0))="Production","P",IF(INDEX('PROJETO PERFURAÇÃO'!$P:$P,MATCH(MEDIÇÃO!K259,'PROJETO PERFURAÇÃO'!$B:$B,0))="Buffer","B",IF(INDEX('PROJETO PERFURAÇÃO'!$P:$P,MATCH(MEDIÇÃO!K259,'PROJETO PERFURAÇÃO'!$B:$B,0))="Pre-Splitting","S"))),"")</f>
        <v>P</v>
      </c>
      <c r="K259" s="14">
        <f t="shared" si="25"/>
        <v>582</v>
      </c>
      <c r="L259" s="4" t="str">
        <f>IFERROR(INDEX('LEV R&amp;D'!$D:$D,MATCH(MEDIÇÃO!K259,'LEV R&amp;D'!$A:$A,0))-INDEX('PROJETO PERFURAÇÃO'!$AH:$AH,MATCH(MEDIÇÃO!K259,'PROJETO PERFURAÇÃO'!$B:$B,0)),"")</f>
        <v/>
      </c>
      <c r="M259" s="17">
        <f>IFERROR(INDEX('PROJETO PERFURAÇÃO'!$AN:$AN,MATCH(MEDIÇÃO!K259,'PROJETO PERFURAÇÃO'!$B:$B,0)),"")</f>
        <v>0</v>
      </c>
      <c r="N259" s="3"/>
      <c r="O259" s="3"/>
      <c r="P259" s="3" t="str">
        <f>IFERROR(ROUND(INDEX('PROJETO PERFURAÇÃO'!$AB:$AB,MATCH(MEDIÇÃO!R259,'PROJETO PERFURAÇÃO'!$B:$B,0)),1)&amp;"''","")</f>
        <v>5''</v>
      </c>
      <c r="Q259" s="3" t="str">
        <f>IFERROR(IF(INDEX('PROJETO PERFURAÇÃO'!$P:$P,MATCH(MEDIÇÃO!R259,'PROJETO PERFURAÇÃO'!$B:$B,0))="Production","P",IF(INDEX('PROJETO PERFURAÇÃO'!$P:$P,MATCH(MEDIÇÃO!R259,'PROJETO PERFURAÇÃO'!$B:$B,0))="Buffer","B",IF(INDEX('PROJETO PERFURAÇÃO'!$P:$P,MATCH(MEDIÇÃO!R259,'PROJETO PERFURAÇÃO'!$B:$B,0))="Pre-Splitting","S"))),"")</f>
        <v>P</v>
      </c>
      <c r="R259" s="14">
        <f t="shared" si="26"/>
        <v>605</v>
      </c>
      <c r="S259" s="4" t="str">
        <f>IFERROR(INDEX('LEV R&amp;D'!$D:$D,MATCH(MEDIÇÃO!R259,'LEV R&amp;D'!$A:$A,0))-INDEX('PROJETO PERFURAÇÃO'!$AH:$AH,MATCH(MEDIÇÃO!R259,'PROJETO PERFURAÇÃO'!$B:$B,0)),"")</f>
        <v/>
      </c>
      <c r="T259" s="17">
        <f>IFERROR(INDEX('PROJETO PERFURAÇÃO'!$AN:$AN,MATCH(MEDIÇÃO!R259,'PROJETO PERFURAÇÃO'!$B:$B,0)),"")</f>
        <v>0</v>
      </c>
      <c r="U259" s="3"/>
      <c r="V259" s="3"/>
    </row>
    <row r="260" spans="2:22" ht="45" customHeight="1">
      <c r="B260" s="3" t="str">
        <f>IFERROR(ROUND(INDEX('PROJETO PERFURAÇÃO'!$AB:$AB,MATCH(MEDIÇÃO!D260,'PROJETO PERFURAÇÃO'!$B:$B,0)),1)&amp;"''","")</f>
        <v>5''</v>
      </c>
      <c r="C260" s="3" t="str">
        <f>IFERROR(IF(INDEX('PROJETO PERFURAÇÃO'!$P:$P,MATCH(MEDIÇÃO!D260,'PROJETO PERFURAÇÃO'!$B:$B,0))="Production","P",IF(INDEX('PROJETO PERFURAÇÃO'!$P:$P,MATCH(MEDIÇÃO!D260,'PROJETO PERFURAÇÃO'!$B:$B,0))="Buffer","B",IF(INDEX('PROJETO PERFURAÇÃO'!$P:$P,MATCH(MEDIÇÃO!D260,'PROJETO PERFURAÇÃO'!$B:$B,0))="Pre-Splitting","S"))),"")</f>
        <v>P</v>
      </c>
      <c r="D260" s="14">
        <f t="shared" si="24"/>
        <v>560</v>
      </c>
      <c r="E260" s="4" t="str">
        <f>IFERROR(INDEX('LEV R&amp;D'!$D:$D,MATCH(MEDIÇÃO!D260,'LEV R&amp;D'!$A:$A,0))-INDEX('PROJETO PERFURAÇÃO'!$AH:$AH,MATCH(MEDIÇÃO!D260,'PROJETO PERFURAÇÃO'!$B:$B,0)),"")</f>
        <v/>
      </c>
      <c r="F260" s="17">
        <f>IFERROR(INDEX('PROJETO PERFURAÇÃO'!$AN:$AN,MATCH(MEDIÇÃO!D260,'PROJETO PERFURAÇÃO'!$B:$B,0)),"")</f>
        <v>0</v>
      </c>
      <c r="G260" s="3"/>
      <c r="H260" s="3"/>
      <c r="I260" s="3" t="str">
        <f>IFERROR(ROUND(INDEX('PROJETO PERFURAÇÃO'!$AB:$AB,MATCH(MEDIÇÃO!K260,'PROJETO PERFURAÇÃO'!$B:$B,0)),1)&amp;"''","")</f>
        <v>5''</v>
      </c>
      <c r="J260" s="3" t="str">
        <f>IFERROR(IF(INDEX('PROJETO PERFURAÇÃO'!$P:$P,MATCH(MEDIÇÃO!K260,'PROJETO PERFURAÇÃO'!$B:$B,0))="Production","P",IF(INDEX('PROJETO PERFURAÇÃO'!$P:$P,MATCH(MEDIÇÃO!K260,'PROJETO PERFURAÇÃO'!$B:$B,0))="Buffer","B",IF(INDEX('PROJETO PERFURAÇÃO'!$P:$P,MATCH(MEDIÇÃO!K260,'PROJETO PERFURAÇÃO'!$B:$B,0))="Pre-Splitting","S"))),"")</f>
        <v>P</v>
      </c>
      <c r="K260" s="14">
        <f t="shared" si="25"/>
        <v>583</v>
      </c>
      <c r="L260" s="4" t="str">
        <f>IFERROR(INDEX('LEV R&amp;D'!$D:$D,MATCH(MEDIÇÃO!K260,'LEV R&amp;D'!$A:$A,0))-INDEX('PROJETO PERFURAÇÃO'!$AH:$AH,MATCH(MEDIÇÃO!K260,'PROJETO PERFURAÇÃO'!$B:$B,0)),"")</f>
        <v/>
      </c>
      <c r="M260" s="17">
        <f>IFERROR(INDEX('PROJETO PERFURAÇÃO'!$AN:$AN,MATCH(MEDIÇÃO!K260,'PROJETO PERFURAÇÃO'!$B:$B,0)),"")</f>
        <v>0</v>
      </c>
      <c r="N260" s="3"/>
      <c r="O260" s="3"/>
      <c r="P260" s="3" t="str">
        <f>IFERROR(ROUND(INDEX('PROJETO PERFURAÇÃO'!$AB:$AB,MATCH(MEDIÇÃO!R260,'PROJETO PERFURAÇÃO'!$B:$B,0)),1)&amp;"''","")</f>
        <v>5''</v>
      </c>
      <c r="Q260" s="3" t="str">
        <f>IFERROR(IF(INDEX('PROJETO PERFURAÇÃO'!$P:$P,MATCH(MEDIÇÃO!R260,'PROJETO PERFURAÇÃO'!$B:$B,0))="Production","P",IF(INDEX('PROJETO PERFURAÇÃO'!$P:$P,MATCH(MEDIÇÃO!R260,'PROJETO PERFURAÇÃO'!$B:$B,0))="Buffer","B",IF(INDEX('PROJETO PERFURAÇÃO'!$P:$P,MATCH(MEDIÇÃO!R260,'PROJETO PERFURAÇÃO'!$B:$B,0))="Pre-Splitting","S"))),"")</f>
        <v>P</v>
      </c>
      <c r="R260" s="14">
        <f t="shared" si="26"/>
        <v>606</v>
      </c>
      <c r="S260" s="4" t="str">
        <f>IFERROR(INDEX('LEV R&amp;D'!$D:$D,MATCH(MEDIÇÃO!R260,'LEV R&amp;D'!$A:$A,0))-INDEX('PROJETO PERFURAÇÃO'!$AH:$AH,MATCH(MEDIÇÃO!R260,'PROJETO PERFURAÇÃO'!$B:$B,0)),"")</f>
        <v/>
      </c>
      <c r="T260" s="17">
        <f>IFERROR(INDEX('PROJETO PERFURAÇÃO'!$AN:$AN,MATCH(MEDIÇÃO!R260,'PROJETO PERFURAÇÃO'!$B:$B,0)),"")</f>
        <v>0</v>
      </c>
      <c r="U260" s="3"/>
      <c r="V260" s="3"/>
    </row>
    <row r="261" spans="2:22" ht="45" customHeight="1">
      <c r="B261" s="3" t="str">
        <f>IFERROR(ROUND(INDEX('PROJETO PERFURAÇÃO'!$AB:$AB,MATCH(MEDIÇÃO!D261,'PROJETO PERFURAÇÃO'!$B:$B,0)),1)&amp;"''","")</f>
        <v>5''</v>
      </c>
      <c r="C261" s="3" t="str">
        <f>IFERROR(IF(INDEX('PROJETO PERFURAÇÃO'!$P:$P,MATCH(MEDIÇÃO!D261,'PROJETO PERFURAÇÃO'!$B:$B,0))="Production","P",IF(INDEX('PROJETO PERFURAÇÃO'!$P:$P,MATCH(MEDIÇÃO!D261,'PROJETO PERFURAÇÃO'!$B:$B,0))="Buffer","B",IF(INDEX('PROJETO PERFURAÇÃO'!$P:$P,MATCH(MEDIÇÃO!D261,'PROJETO PERFURAÇÃO'!$B:$B,0))="Pre-Splitting","S"))),"")</f>
        <v>P</v>
      </c>
      <c r="D261" s="14">
        <f t="shared" si="24"/>
        <v>561</v>
      </c>
      <c r="E261" s="4" t="str">
        <f>IFERROR(INDEX('LEV R&amp;D'!$D:$D,MATCH(MEDIÇÃO!D261,'LEV R&amp;D'!$A:$A,0))-INDEX('PROJETO PERFURAÇÃO'!$AH:$AH,MATCH(MEDIÇÃO!D261,'PROJETO PERFURAÇÃO'!$B:$B,0)),"")</f>
        <v/>
      </c>
      <c r="F261" s="17">
        <f>IFERROR(INDEX('PROJETO PERFURAÇÃO'!$AN:$AN,MATCH(MEDIÇÃO!D261,'PROJETO PERFURAÇÃO'!$B:$B,0)),"")</f>
        <v>0</v>
      </c>
      <c r="G261" s="3"/>
      <c r="H261" s="3"/>
      <c r="I261" s="3" t="str">
        <f>IFERROR(ROUND(INDEX('PROJETO PERFURAÇÃO'!$AB:$AB,MATCH(MEDIÇÃO!K261,'PROJETO PERFURAÇÃO'!$B:$B,0)),1)&amp;"''","")</f>
        <v>5''</v>
      </c>
      <c r="J261" s="3" t="str">
        <f>IFERROR(IF(INDEX('PROJETO PERFURAÇÃO'!$P:$P,MATCH(MEDIÇÃO!K261,'PROJETO PERFURAÇÃO'!$B:$B,0))="Production","P",IF(INDEX('PROJETO PERFURAÇÃO'!$P:$P,MATCH(MEDIÇÃO!K261,'PROJETO PERFURAÇÃO'!$B:$B,0))="Buffer","B",IF(INDEX('PROJETO PERFURAÇÃO'!$P:$P,MATCH(MEDIÇÃO!K261,'PROJETO PERFURAÇÃO'!$B:$B,0))="Pre-Splitting","S"))),"")</f>
        <v>P</v>
      </c>
      <c r="K261" s="14">
        <f t="shared" si="25"/>
        <v>584</v>
      </c>
      <c r="L261" s="4" t="str">
        <f>IFERROR(INDEX('LEV R&amp;D'!$D:$D,MATCH(MEDIÇÃO!K261,'LEV R&amp;D'!$A:$A,0))-INDEX('PROJETO PERFURAÇÃO'!$AH:$AH,MATCH(MEDIÇÃO!K261,'PROJETO PERFURAÇÃO'!$B:$B,0)),"")</f>
        <v/>
      </c>
      <c r="M261" s="17">
        <f>IFERROR(INDEX('PROJETO PERFURAÇÃO'!$AN:$AN,MATCH(MEDIÇÃO!K261,'PROJETO PERFURAÇÃO'!$B:$B,0)),"")</f>
        <v>0</v>
      </c>
      <c r="N261" s="3"/>
      <c r="O261" s="3"/>
      <c r="P261" s="3" t="str">
        <f>IFERROR(ROUND(INDEX('PROJETO PERFURAÇÃO'!$AB:$AB,MATCH(MEDIÇÃO!R261,'PROJETO PERFURAÇÃO'!$B:$B,0)),1)&amp;"''","")</f>
        <v>5''</v>
      </c>
      <c r="Q261" s="3" t="str">
        <f>IFERROR(IF(INDEX('PROJETO PERFURAÇÃO'!$P:$P,MATCH(MEDIÇÃO!R261,'PROJETO PERFURAÇÃO'!$B:$B,0))="Production","P",IF(INDEX('PROJETO PERFURAÇÃO'!$P:$P,MATCH(MEDIÇÃO!R261,'PROJETO PERFURAÇÃO'!$B:$B,0))="Buffer","B",IF(INDEX('PROJETO PERFURAÇÃO'!$P:$P,MATCH(MEDIÇÃO!R261,'PROJETO PERFURAÇÃO'!$B:$B,0))="Pre-Splitting","S"))),"")</f>
        <v>P</v>
      </c>
      <c r="R261" s="14">
        <f t="shared" si="26"/>
        <v>607</v>
      </c>
      <c r="S261" s="4" t="str">
        <f>IFERROR(INDEX('LEV R&amp;D'!$D:$D,MATCH(MEDIÇÃO!R261,'LEV R&amp;D'!$A:$A,0))-INDEX('PROJETO PERFURAÇÃO'!$AH:$AH,MATCH(MEDIÇÃO!R261,'PROJETO PERFURAÇÃO'!$B:$B,0)),"")</f>
        <v/>
      </c>
      <c r="T261" s="17">
        <f>IFERROR(INDEX('PROJETO PERFURAÇÃO'!$AN:$AN,MATCH(MEDIÇÃO!R261,'PROJETO PERFURAÇÃO'!$B:$B,0)),"")</f>
        <v>0</v>
      </c>
      <c r="U261" s="3"/>
      <c r="V261" s="3"/>
    </row>
    <row r="262" spans="2:22" ht="45" customHeight="1">
      <c r="B262" s="3" t="str">
        <f>IFERROR(ROUND(INDEX('PROJETO PERFURAÇÃO'!$AB:$AB,MATCH(MEDIÇÃO!D262,'PROJETO PERFURAÇÃO'!$B:$B,0)),1)&amp;"''","")</f>
        <v>5''</v>
      </c>
      <c r="C262" s="3" t="str">
        <f>IFERROR(IF(INDEX('PROJETO PERFURAÇÃO'!$P:$P,MATCH(MEDIÇÃO!D262,'PROJETO PERFURAÇÃO'!$B:$B,0))="Production","P",IF(INDEX('PROJETO PERFURAÇÃO'!$P:$P,MATCH(MEDIÇÃO!D262,'PROJETO PERFURAÇÃO'!$B:$B,0))="Buffer","B",IF(INDEX('PROJETO PERFURAÇÃO'!$P:$P,MATCH(MEDIÇÃO!D262,'PROJETO PERFURAÇÃO'!$B:$B,0))="Pre-Splitting","S"))),"")</f>
        <v>P</v>
      </c>
      <c r="D262" s="14">
        <f t="shared" si="24"/>
        <v>562</v>
      </c>
      <c r="E262" s="4" t="str">
        <f>IFERROR(INDEX('LEV R&amp;D'!$D:$D,MATCH(MEDIÇÃO!D262,'LEV R&amp;D'!$A:$A,0))-INDEX('PROJETO PERFURAÇÃO'!$AH:$AH,MATCH(MEDIÇÃO!D262,'PROJETO PERFURAÇÃO'!$B:$B,0)),"")</f>
        <v/>
      </c>
      <c r="F262" s="17">
        <f>IFERROR(INDEX('PROJETO PERFURAÇÃO'!$AN:$AN,MATCH(MEDIÇÃO!D262,'PROJETO PERFURAÇÃO'!$B:$B,0)),"")</f>
        <v>0</v>
      </c>
      <c r="G262" s="3"/>
      <c r="H262" s="3"/>
      <c r="I262" s="3" t="str">
        <f>IFERROR(ROUND(INDEX('PROJETO PERFURAÇÃO'!$AB:$AB,MATCH(MEDIÇÃO!K262,'PROJETO PERFURAÇÃO'!$B:$B,0)),1)&amp;"''","")</f>
        <v>5''</v>
      </c>
      <c r="J262" s="3" t="str">
        <f>IFERROR(IF(INDEX('PROJETO PERFURAÇÃO'!$P:$P,MATCH(MEDIÇÃO!K262,'PROJETO PERFURAÇÃO'!$B:$B,0))="Production","P",IF(INDEX('PROJETO PERFURAÇÃO'!$P:$P,MATCH(MEDIÇÃO!K262,'PROJETO PERFURAÇÃO'!$B:$B,0))="Buffer","B",IF(INDEX('PROJETO PERFURAÇÃO'!$P:$P,MATCH(MEDIÇÃO!K262,'PROJETO PERFURAÇÃO'!$B:$B,0))="Pre-Splitting","S"))),"")</f>
        <v>P</v>
      </c>
      <c r="K262" s="14">
        <f t="shared" si="25"/>
        <v>585</v>
      </c>
      <c r="L262" s="4" t="str">
        <f>IFERROR(INDEX('LEV R&amp;D'!$D:$D,MATCH(MEDIÇÃO!K262,'LEV R&amp;D'!$A:$A,0))-INDEX('PROJETO PERFURAÇÃO'!$AH:$AH,MATCH(MEDIÇÃO!K262,'PROJETO PERFURAÇÃO'!$B:$B,0)),"")</f>
        <v/>
      </c>
      <c r="M262" s="17">
        <f>IFERROR(INDEX('PROJETO PERFURAÇÃO'!$AN:$AN,MATCH(MEDIÇÃO!K262,'PROJETO PERFURAÇÃO'!$B:$B,0)),"")</f>
        <v>0</v>
      </c>
      <c r="N262" s="3"/>
      <c r="O262" s="3"/>
      <c r="P262" s="3" t="str">
        <f>IFERROR(ROUND(INDEX('PROJETO PERFURAÇÃO'!$AB:$AB,MATCH(MEDIÇÃO!R262,'PROJETO PERFURAÇÃO'!$B:$B,0)),1)&amp;"''","")</f>
        <v>5''</v>
      </c>
      <c r="Q262" s="3" t="str">
        <f>IFERROR(IF(INDEX('PROJETO PERFURAÇÃO'!$P:$P,MATCH(MEDIÇÃO!R262,'PROJETO PERFURAÇÃO'!$B:$B,0))="Production","P",IF(INDEX('PROJETO PERFURAÇÃO'!$P:$P,MATCH(MEDIÇÃO!R262,'PROJETO PERFURAÇÃO'!$B:$B,0))="Buffer","B",IF(INDEX('PROJETO PERFURAÇÃO'!$P:$P,MATCH(MEDIÇÃO!R262,'PROJETO PERFURAÇÃO'!$B:$B,0))="Pre-Splitting","S"))),"")</f>
        <v>P</v>
      </c>
      <c r="R262" s="14">
        <f t="shared" si="26"/>
        <v>608</v>
      </c>
      <c r="S262" s="4" t="str">
        <f>IFERROR(INDEX('LEV R&amp;D'!$D:$D,MATCH(MEDIÇÃO!R262,'LEV R&amp;D'!$A:$A,0))-INDEX('PROJETO PERFURAÇÃO'!$AH:$AH,MATCH(MEDIÇÃO!R262,'PROJETO PERFURAÇÃO'!$B:$B,0)),"")</f>
        <v/>
      </c>
      <c r="T262" s="17">
        <f>IFERROR(INDEX('PROJETO PERFURAÇÃO'!$AN:$AN,MATCH(MEDIÇÃO!R262,'PROJETO PERFURAÇÃO'!$B:$B,0)),"")</f>
        <v>0</v>
      </c>
      <c r="U262" s="3"/>
      <c r="V262" s="3"/>
    </row>
    <row r="263" spans="2:22" ht="45" customHeight="1">
      <c r="B263" s="3" t="str">
        <f>IFERROR(ROUND(INDEX('PROJETO PERFURAÇÃO'!$AB:$AB,MATCH(MEDIÇÃO!D263,'PROJETO PERFURAÇÃO'!$B:$B,0)),1)&amp;"''","")</f>
        <v>5''</v>
      </c>
      <c r="C263" s="3" t="str">
        <f>IFERROR(IF(INDEX('PROJETO PERFURAÇÃO'!$P:$P,MATCH(MEDIÇÃO!D263,'PROJETO PERFURAÇÃO'!$B:$B,0))="Production","P",IF(INDEX('PROJETO PERFURAÇÃO'!$P:$P,MATCH(MEDIÇÃO!D263,'PROJETO PERFURAÇÃO'!$B:$B,0))="Buffer","B",IF(INDEX('PROJETO PERFURAÇÃO'!$P:$P,MATCH(MEDIÇÃO!D263,'PROJETO PERFURAÇÃO'!$B:$B,0))="Pre-Splitting","S"))),"")</f>
        <v>P</v>
      </c>
      <c r="D263" s="14">
        <f t="shared" si="24"/>
        <v>563</v>
      </c>
      <c r="E263" s="4" t="str">
        <f>IFERROR(INDEX('LEV R&amp;D'!$D:$D,MATCH(MEDIÇÃO!D263,'LEV R&amp;D'!$A:$A,0))-INDEX('PROJETO PERFURAÇÃO'!$AH:$AH,MATCH(MEDIÇÃO!D263,'PROJETO PERFURAÇÃO'!$B:$B,0)),"")</f>
        <v/>
      </c>
      <c r="F263" s="17">
        <f>IFERROR(INDEX('PROJETO PERFURAÇÃO'!$AN:$AN,MATCH(MEDIÇÃO!D263,'PROJETO PERFURAÇÃO'!$B:$B,0)),"")</f>
        <v>0</v>
      </c>
      <c r="G263" s="3"/>
      <c r="H263" s="3"/>
      <c r="I263" s="3" t="str">
        <f>IFERROR(ROUND(INDEX('PROJETO PERFURAÇÃO'!$AB:$AB,MATCH(MEDIÇÃO!K263,'PROJETO PERFURAÇÃO'!$B:$B,0)),1)&amp;"''","")</f>
        <v>5''</v>
      </c>
      <c r="J263" s="3" t="str">
        <f>IFERROR(IF(INDEX('PROJETO PERFURAÇÃO'!$P:$P,MATCH(MEDIÇÃO!K263,'PROJETO PERFURAÇÃO'!$B:$B,0))="Production","P",IF(INDEX('PROJETO PERFURAÇÃO'!$P:$P,MATCH(MEDIÇÃO!K263,'PROJETO PERFURAÇÃO'!$B:$B,0))="Buffer","B",IF(INDEX('PROJETO PERFURAÇÃO'!$P:$P,MATCH(MEDIÇÃO!K263,'PROJETO PERFURAÇÃO'!$B:$B,0))="Pre-Splitting","S"))),"")</f>
        <v>P</v>
      </c>
      <c r="K263" s="14">
        <f t="shared" si="25"/>
        <v>586</v>
      </c>
      <c r="L263" s="4" t="str">
        <f>IFERROR(INDEX('LEV R&amp;D'!$D:$D,MATCH(MEDIÇÃO!K263,'LEV R&amp;D'!$A:$A,0))-INDEX('PROJETO PERFURAÇÃO'!$AH:$AH,MATCH(MEDIÇÃO!K263,'PROJETO PERFURAÇÃO'!$B:$B,0)),"")</f>
        <v/>
      </c>
      <c r="M263" s="17">
        <f>IFERROR(INDEX('PROJETO PERFURAÇÃO'!$AN:$AN,MATCH(MEDIÇÃO!K263,'PROJETO PERFURAÇÃO'!$B:$B,0)),"")</f>
        <v>0</v>
      </c>
      <c r="N263" s="3"/>
      <c r="O263" s="3"/>
      <c r="P263" s="3" t="str">
        <f>IFERROR(ROUND(INDEX('PROJETO PERFURAÇÃO'!$AB:$AB,MATCH(MEDIÇÃO!R263,'PROJETO PERFURAÇÃO'!$B:$B,0)),1)&amp;"''","")</f>
        <v>5''</v>
      </c>
      <c r="Q263" s="3" t="str">
        <f>IFERROR(IF(INDEX('PROJETO PERFURAÇÃO'!$P:$P,MATCH(MEDIÇÃO!R263,'PROJETO PERFURAÇÃO'!$B:$B,0))="Production","P",IF(INDEX('PROJETO PERFURAÇÃO'!$P:$P,MATCH(MEDIÇÃO!R263,'PROJETO PERFURAÇÃO'!$B:$B,0))="Buffer","B",IF(INDEX('PROJETO PERFURAÇÃO'!$P:$P,MATCH(MEDIÇÃO!R263,'PROJETO PERFURAÇÃO'!$B:$B,0))="Pre-Splitting","S"))),"")</f>
        <v>P</v>
      </c>
      <c r="R263" s="14">
        <f t="shared" si="26"/>
        <v>609</v>
      </c>
      <c r="S263" s="4" t="str">
        <f>IFERROR(INDEX('LEV R&amp;D'!$D:$D,MATCH(MEDIÇÃO!R263,'LEV R&amp;D'!$A:$A,0))-INDEX('PROJETO PERFURAÇÃO'!$AH:$AH,MATCH(MEDIÇÃO!R263,'PROJETO PERFURAÇÃO'!$B:$B,0)),"")</f>
        <v/>
      </c>
      <c r="T263" s="17">
        <f>IFERROR(INDEX('PROJETO PERFURAÇÃO'!$AN:$AN,MATCH(MEDIÇÃO!R263,'PROJETO PERFURAÇÃO'!$B:$B,0)),"")</f>
        <v>0</v>
      </c>
      <c r="U263" s="3"/>
      <c r="V263" s="3"/>
    </row>
    <row r="264" spans="2:22" ht="45" customHeight="1">
      <c r="B264" s="3" t="str">
        <f>IFERROR(ROUND(INDEX('PROJETO PERFURAÇÃO'!$AB:$AB,MATCH(MEDIÇÃO!D264,'PROJETO PERFURAÇÃO'!$B:$B,0)),1)&amp;"''","")</f>
        <v>5''</v>
      </c>
      <c r="C264" s="3" t="str">
        <f>IFERROR(IF(INDEX('PROJETO PERFURAÇÃO'!$P:$P,MATCH(MEDIÇÃO!D264,'PROJETO PERFURAÇÃO'!$B:$B,0))="Production","P",IF(INDEX('PROJETO PERFURAÇÃO'!$P:$P,MATCH(MEDIÇÃO!D264,'PROJETO PERFURAÇÃO'!$B:$B,0))="Buffer","B",IF(INDEX('PROJETO PERFURAÇÃO'!$P:$P,MATCH(MEDIÇÃO!D264,'PROJETO PERFURAÇÃO'!$B:$B,0))="Pre-Splitting","S"))),"")</f>
        <v>P</v>
      </c>
      <c r="D264" s="14">
        <f t="shared" si="24"/>
        <v>564</v>
      </c>
      <c r="E264" s="4" t="str">
        <f>IFERROR(INDEX('LEV R&amp;D'!$D:$D,MATCH(MEDIÇÃO!D264,'LEV R&amp;D'!$A:$A,0))-INDEX('PROJETO PERFURAÇÃO'!$AH:$AH,MATCH(MEDIÇÃO!D264,'PROJETO PERFURAÇÃO'!$B:$B,0)),"")</f>
        <v/>
      </c>
      <c r="F264" s="17">
        <f>IFERROR(INDEX('PROJETO PERFURAÇÃO'!$AN:$AN,MATCH(MEDIÇÃO!D264,'PROJETO PERFURAÇÃO'!$B:$B,0)),"")</f>
        <v>0</v>
      </c>
      <c r="G264" s="3"/>
      <c r="H264" s="3"/>
      <c r="I264" s="3" t="str">
        <f>IFERROR(ROUND(INDEX('PROJETO PERFURAÇÃO'!$AB:$AB,MATCH(MEDIÇÃO!K264,'PROJETO PERFURAÇÃO'!$B:$B,0)),1)&amp;"''","")</f>
        <v>5''</v>
      </c>
      <c r="J264" s="3" t="str">
        <f>IFERROR(IF(INDEX('PROJETO PERFURAÇÃO'!$P:$P,MATCH(MEDIÇÃO!K264,'PROJETO PERFURAÇÃO'!$B:$B,0))="Production","P",IF(INDEX('PROJETO PERFURAÇÃO'!$P:$P,MATCH(MEDIÇÃO!K264,'PROJETO PERFURAÇÃO'!$B:$B,0))="Buffer","B",IF(INDEX('PROJETO PERFURAÇÃO'!$P:$P,MATCH(MEDIÇÃO!K264,'PROJETO PERFURAÇÃO'!$B:$B,0))="Pre-Splitting","S"))),"")</f>
        <v>P</v>
      </c>
      <c r="K264" s="14">
        <f t="shared" si="25"/>
        <v>587</v>
      </c>
      <c r="L264" s="4" t="str">
        <f>IFERROR(INDEX('LEV R&amp;D'!$D:$D,MATCH(MEDIÇÃO!K264,'LEV R&amp;D'!$A:$A,0))-INDEX('PROJETO PERFURAÇÃO'!$AH:$AH,MATCH(MEDIÇÃO!K264,'PROJETO PERFURAÇÃO'!$B:$B,0)),"")</f>
        <v/>
      </c>
      <c r="M264" s="17">
        <f>IFERROR(INDEX('PROJETO PERFURAÇÃO'!$AN:$AN,MATCH(MEDIÇÃO!K264,'PROJETO PERFURAÇÃO'!$B:$B,0)),"")</f>
        <v>0</v>
      </c>
      <c r="N264" s="3"/>
      <c r="O264" s="3"/>
      <c r="P264" s="3" t="str">
        <f>IFERROR(ROUND(INDEX('PROJETO PERFURAÇÃO'!$AB:$AB,MATCH(MEDIÇÃO!R264,'PROJETO PERFURAÇÃO'!$B:$B,0)),1)&amp;"''","")</f>
        <v>5''</v>
      </c>
      <c r="Q264" s="3" t="str">
        <f>IFERROR(IF(INDEX('PROJETO PERFURAÇÃO'!$P:$P,MATCH(MEDIÇÃO!R264,'PROJETO PERFURAÇÃO'!$B:$B,0))="Production","P",IF(INDEX('PROJETO PERFURAÇÃO'!$P:$P,MATCH(MEDIÇÃO!R264,'PROJETO PERFURAÇÃO'!$B:$B,0))="Buffer","B",IF(INDEX('PROJETO PERFURAÇÃO'!$P:$P,MATCH(MEDIÇÃO!R264,'PROJETO PERFURAÇÃO'!$B:$B,0))="Pre-Splitting","S"))),"")</f>
        <v>P</v>
      </c>
      <c r="R264" s="14">
        <f t="shared" si="26"/>
        <v>610</v>
      </c>
      <c r="S264" s="4" t="str">
        <f>IFERROR(INDEX('LEV R&amp;D'!$D:$D,MATCH(MEDIÇÃO!R264,'LEV R&amp;D'!$A:$A,0))-INDEX('PROJETO PERFURAÇÃO'!$AH:$AH,MATCH(MEDIÇÃO!R264,'PROJETO PERFURAÇÃO'!$B:$B,0)),"")</f>
        <v/>
      </c>
      <c r="T264" s="17">
        <f>IFERROR(INDEX('PROJETO PERFURAÇÃO'!$AN:$AN,MATCH(MEDIÇÃO!R264,'PROJETO PERFURAÇÃO'!$B:$B,0)),"")</f>
        <v>0</v>
      </c>
      <c r="U264" s="3"/>
      <c r="V264" s="3"/>
    </row>
    <row r="265" spans="2:22" ht="45" customHeight="1">
      <c r="B265" s="3" t="str">
        <f>IFERROR(ROUND(INDEX('PROJETO PERFURAÇÃO'!$AB:$AB,MATCH(MEDIÇÃO!D265,'PROJETO PERFURAÇÃO'!$B:$B,0)),1)&amp;"''","")</f>
        <v>5''</v>
      </c>
      <c r="C265" s="3" t="str">
        <f>IFERROR(IF(INDEX('PROJETO PERFURAÇÃO'!$P:$P,MATCH(MEDIÇÃO!D265,'PROJETO PERFURAÇÃO'!$B:$B,0))="Production","P",IF(INDEX('PROJETO PERFURAÇÃO'!$P:$P,MATCH(MEDIÇÃO!D265,'PROJETO PERFURAÇÃO'!$B:$B,0))="Buffer","B",IF(INDEX('PROJETO PERFURAÇÃO'!$P:$P,MATCH(MEDIÇÃO!D265,'PROJETO PERFURAÇÃO'!$B:$B,0))="Pre-Splitting","S"))),"")</f>
        <v>P</v>
      </c>
      <c r="D265" s="14">
        <f t="shared" si="24"/>
        <v>565</v>
      </c>
      <c r="E265" s="4" t="str">
        <f>IFERROR(INDEX('LEV R&amp;D'!$D:$D,MATCH(MEDIÇÃO!D265,'LEV R&amp;D'!$A:$A,0))-INDEX('PROJETO PERFURAÇÃO'!$AH:$AH,MATCH(MEDIÇÃO!D265,'PROJETO PERFURAÇÃO'!$B:$B,0)),"")</f>
        <v/>
      </c>
      <c r="F265" s="17">
        <f>IFERROR(INDEX('PROJETO PERFURAÇÃO'!$AN:$AN,MATCH(MEDIÇÃO!D265,'PROJETO PERFURAÇÃO'!$B:$B,0)),"")</f>
        <v>0</v>
      </c>
      <c r="G265" s="3"/>
      <c r="H265" s="3"/>
      <c r="I265" s="3" t="str">
        <f>IFERROR(ROUND(INDEX('PROJETO PERFURAÇÃO'!$AB:$AB,MATCH(MEDIÇÃO!K265,'PROJETO PERFURAÇÃO'!$B:$B,0)),1)&amp;"''","")</f>
        <v>5''</v>
      </c>
      <c r="J265" s="3" t="str">
        <f>IFERROR(IF(INDEX('PROJETO PERFURAÇÃO'!$P:$P,MATCH(MEDIÇÃO!K265,'PROJETO PERFURAÇÃO'!$B:$B,0))="Production","P",IF(INDEX('PROJETO PERFURAÇÃO'!$P:$P,MATCH(MEDIÇÃO!K265,'PROJETO PERFURAÇÃO'!$B:$B,0))="Buffer","B",IF(INDEX('PROJETO PERFURAÇÃO'!$P:$P,MATCH(MEDIÇÃO!K265,'PROJETO PERFURAÇÃO'!$B:$B,0))="Pre-Splitting","S"))),"")</f>
        <v>P</v>
      </c>
      <c r="K265" s="14">
        <f t="shared" si="25"/>
        <v>588</v>
      </c>
      <c r="L265" s="4" t="str">
        <f>IFERROR(INDEX('LEV R&amp;D'!$D:$D,MATCH(MEDIÇÃO!K265,'LEV R&amp;D'!$A:$A,0))-INDEX('PROJETO PERFURAÇÃO'!$AH:$AH,MATCH(MEDIÇÃO!K265,'PROJETO PERFURAÇÃO'!$B:$B,0)),"")</f>
        <v/>
      </c>
      <c r="M265" s="17">
        <f>IFERROR(INDEX('PROJETO PERFURAÇÃO'!$AN:$AN,MATCH(MEDIÇÃO!K265,'PROJETO PERFURAÇÃO'!$B:$B,0)),"")</f>
        <v>0</v>
      </c>
      <c r="N265" s="3"/>
      <c r="O265" s="3"/>
      <c r="P265" s="3" t="str">
        <f>IFERROR(ROUND(INDEX('PROJETO PERFURAÇÃO'!$AB:$AB,MATCH(MEDIÇÃO!R265,'PROJETO PERFURAÇÃO'!$B:$B,0)),1)&amp;"''","")</f>
        <v>5''</v>
      </c>
      <c r="Q265" s="3" t="str">
        <f>IFERROR(IF(INDEX('PROJETO PERFURAÇÃO'!$P:$P,MATCH(MEDIÇÃO!R265,'PROJETO PERFURAÇÃO'!$B:$B,0))="Production","P",IF(INDEX('PROJETO PERFURAÇÃO'!$P:$P,MATCH(MEDIÇÃO!R265,'PROJETO PERFURAÇÃO'!$B:$B,0))="Buffer","B",IF(INDEX('PROJETO PERFURAÇÃO'!$P:$P,MATCH(MEDIÇÃO!R265,'PROJETO PERFURAÇÃO'!$B:$B,0))="Pre-Splitting","S"))),"")</f>
        <v>P</v>
      </c>
      <c r="R265" s="14">
        <f t="shared" si="26"/>
        <v>611</v>
      </c>
      <c r="S265" s="4" t="str">
        <f>IFERROR(INDEX('LEV R&amp;D'!$D:$D,MATCH(MEDIÇÃO!R265,'LEV R&amp;D'!$A:$A,0))-INDEX('PROJETO PERFURAÇÃO'!$AH:$AH,MATCH(MEDIÇÃO!R265,'PROJETO PERFURAÇÃO'!$B:$B,0)),"")</f>
        <v/>
      </c>
      <c r="T265" s="17">
        <f>IFERROR(INDEX('PROJETO PERFURAÇÃO'!$AN:$AN,MATCH(MEDIÇÃO!R265,'PROJETO PERFURAÇÃO'!$B:$B,0)),"")</f>
        <v>0</v>
      </c>
      <c r="U265" s="3"/>
      <c r="V265" s="3"/>
    </row>
    <row r="266" spans="2:22" ht="45" customHeight="1">
      <c r="B266" s="3" t="str">
        <f>IFERROR(ROUND(INDEX('PROJETO PERFURAÇÃO'!$AB:$AB,MATCH(MEDIÇÃO!D266,'PROJETO PERFURAÇÃO'!$B:$B,0)),1)&amp;"''","")</f>
        <v>5''</v>
      </c>
      <c r="C266" s="3" t="str">
        <f>IFERROR(IF(INDEX('PROJETO PERFURAÇÃO'!$P:$P,MATCH(MEDIÇÃO!D266,'PROJETO PERFURAÇÃO'!$B:$B,0))="Production","P",IF(INDEX('PROJETO PERFURAÇÃO'!$P:$P,MATCH(MEDIÇÃO!D266,'PROJETO PERFURAÇÃO'!$B:$B,0))="Buffer","B",IF(INDEX('PROJETO PERFURAÇÃO'!$P:$P,MATCH(MEDIÇÃO!D266,'PROJETO PERFURAÇÃO'!$B:$B,0))="Pre-Splitting","S"))),"")</f>
        <v>P</v>
      </c>
      <c r="D266" s="14">
        <f t="shared" si="24"/>
        <v>566</v>
      </c>
      <c r="E266" s="4" t="str">
        <f>IFERROR(INDEX('LEV R&amp;D'!$D:$D,MATCH(MEDIÇÃO!D266,'LEV R&amp;D'!$A:$A,0))-INDEX('PROJETO PERFURAÇÃO'!$AH:$AH,MATCH(MEDIÇÃO!D266,'PROJETO PERFURAÇÃO'!$B:$B,0)),"")</f>
        <v/>
      </c>
      <c r="F266" s="17">
        <f>IFERROR(INDEX('PROJETO PERFURAÇÃO'!$AN:$AN,MATCH(MEDIÇÃO!D266,'PROJETO PERFURAÇÃO'!$B:$B,0)),"")</f>
        <v>0</v>
      </c>
      <c r="G266" s="3"/>
      <c r="H266" s="3"/>
      <c r="I266" s="3" t="str">
        <f>IFERROR(ROUND(INDEX('PROJETO PERFURAÇÃO'!$AB:$AB,MATCH(MEDIÇÃO!K266,'PROJETO PERFURAÇÃO'!$B:$B,0)),1)&amp;"''","")</f>
        <v>5''</v>
      </c>
      <c r="J266" s="3" t="str">
        <f>IFERROR(IF(INDEX('PROJETO PERFURAÇÃO'!$P:$P,MATCH(MEDIÇÃO!K266,'PROJETO PERFURAÇÃO'!$B:$B,0))="Production","P",IF(INDEX('PROJETO PERFURAÇÃO'!$P:$P,MATCH(MEDIÇÃO!K266,'PROJETO PERFURAÇÃO'!$B:$B,0))="Buffer","B",IF(INDEX('PROJETO PERFURAÇÃO'!$P:$P,MATCH(MEDIÇÃO!K266,'PROJETO PERFURAÇÃO'!$B:$B,0))="Pre-Splitting","S"))),"")</f>
        <v>P</v>
      </c>
      <c r="K266" s="14">
        <f t="shared" si="25"/>
        <v>589</v>
      </c>
      <c r="L266" s="4" t="str">
        <f>IFERROR(INDEX('LEV R&amp;D'!$D:$D,MATCH(MEDIÇÃO!K266,'LEV R&amp;D'!$A:$A,0))-INDEX('PROJETO PERFURAÇÃO'!$AH:$AH,MATCH(MEDIÇÃO!K266,'PROJETO PERFURAÇÃO'!$B:$B,0)),"")</f>
        <v/>
      </c>
      <c r="M266" s="17">
        <f>IFERROR(INDEX('PROJETO PERFURAÇÃO'!$AN:$AN,MATCH(MEDIÇÃO!K266,'PROJETO PERFURAÇÃO'!$B:$B,0)),"")</f>
        <v>0</v>
      </c>
      <c r="N266" s="3"/>
      <c r="O266" s="3"/>
      <c r="P266" s="3" t="str">
        <f>IFERROR(ROUND(INDEX('PROJETO PERFURAÇÃO'!$AB:$AB,MATCH(MEDIÇÃO!R266,'PROJETO PERFURAÇÃO'!$B:$B,0)),1)&amp;"''","")</f>
        <v>5''</v>
      </c>
      <c r="Q266" s="3" t="str">
        <f>IFERROR(IF(INDEX('PROJETO PERFURAÇÃO'!$P:$P,MATCH(MEDIÇÃO!R266,'PROJETO PERFURAÇÃO'!$B:$B,0))="Production","P",IF(INDEX('PROJETO PERFURAÇÃO'!$P:$P,MATCH(MEDIÇÃO!R266,'PROJETO PERFURAÇÃO'!$B:$B,0))="Buffer","B",IF(INDEX('PROJETO PERFURAÇÃO'!$P:$P,MATCH(MEDIÇÃO!R266,'PROJETO PERFURAÇÃO'!$B:$B,0))="Pre-Splitting","S"))),"")</f>
        <v>P</v>
      </c>
      <c r="R266" s="14">
        <f t="shared" si="26"/>
        <v>612</v>
      </c>
      <c r="S266" s="4" t="str">
        <f>IFERROR(INDEX('LEV R&amp;D'!$D:$D,MATCH(MEDIÇÃO!R266,'LEV R&amp;D'!$A:$A,0))-INDEX('PROJETO PERFURAÇÃO'!$AH:$AH,MATCH(MEDIÇÃO!R266,'PROJETO PERFURAÇÃO'!$B:$B,0)),"")</f>
        <v/>
      </c>
      <c r="T266" s="17">
        <f>IFERROR(INDEX('PROJETO PERFURAÇÃO'!$AN:$AN,MATCH(MEDIÇÃO!R266,'PROJETO PERFURAÇÃO'!$B:$B,0)),"")</f>
        <v>0</v>
      </c>
      <c r="U266" s="3"/>
      <c r="V266" s="3"/>
    </row>
    <row r="267" spans="2:22" ht="45" customHeight="1">
      <c r="B267" s="3" t="str">
        <f>IFERROR(ROUND(INDEX('PROJETO PERFURAÇÃO'!$AB:$AB,MATCH(MEDIÇÃO!D267,'PROJETO PERFURAÇÃO'!$B:$B,0)),1)&amp;"''","")</f>
        <v>5''</v>
      </c>
      <c r="C267" s="3" t="str">
        <f>IFERROR(IF(INDEX('PROJETO PERFURAÇÃO'!$P:$P,MATCH(MEDIÇÃO!D267,'PROJETO PERFURAÇÃO'!$B:$B,0))="Production","P",IF(INDEX('PROJETO PERFURAÇÃO'!$P:$P,MATCH(MEDIÇÃO!D267,'PROJETO PERFURAÇÃO'!$B:$B,0))="Buffer","B",IF(INDEX('PROJETO PERFURAÇÃO'!$P:$P,MATCH(MEDIÇÃO!D267,'PROJETO PERFURAÇÃO'!$B:$B,0))="Pre-Splitting","S"))),"")</f>
        <v>P</v>
      </c>
      <c r="D267" s="14">
        <f t="shared" si="24"/>
        <v>567</v>
      </c>
      <c r="E267" s="4" t="str">
        <f>IFERROR(INDEX('LEV R&amp;D'!$D:$D,MATCH(MEDIÇÃO!D267,'LEV R&amp;D'!$A:$A,0))-INDEX('PROJETO PERFURAÇÃO'!$AH:$AH,MATCH(MEDIÇÃO!D267,'PROJETO PERFURAÇÃO'!$B:$B,0)),"")</f>
        <v/>
      </c>
      <c r="F267" s="17">
        <f>IFERROR(INDEX('PROJETO PERFURAÇÃO'!$AN:$AN,MATCH(MEDIÇÃO!D267,'PROJETO PERFURAÇÃO'!$B:$B,0)),"")</f>
        <v>0</v>
      </c>
      <c r="G267" s="3"/>
      <c r="H267" s="3"/>
      <c r="I267" s="3" t="str">
        <f>IFERROR(ROUND(INDEX('PROJETO PERFURAÇÃO'!$AB:$AB,MATCH(MEDIÇÃO!K267,'PROJETO PERFURAÇÃO'!$B:$B,0)),1)&amp;"''","")</f>
        <v>5''</v>
      </c>
      <c r="J267" s="3" t="str">
        <f>IFERROR(IF(INDEX('PROJETO PERFURAÇÃO'!$P:$P,MATCH(MEDIÇÃO!K267,'PROJETO PERFURAÇÃO'!$B:$B,0))="Production","P",IF(INDEX('PROJETO PERFURAÇÃO'!$P:$P,MATCH(MEDIÇÃO!K267,'PROJETO PERFURAÇÃO'!$B:$B,0))="Buffer","B",IF(INDEX('PROJETO PERFURAÇÃO'!$P:$P,MATCH(MEDIÇÃO!K267,'PROJETO PERFURAÇÃO'!$B:$B,0))="Pre-Splitting","S"))),"")</f>
        <v>P</v>
      </c>
      <c r="K267" s="14">
        <f t="shared" si="25"/>
        <v>590</v>
      </c>
      <c r="L267" s="4" t="str">
        <f>IFERROR(INDEX('LEV R&amp;D'!$D:$D,MATCH(MEDIÇÃO!K267,'LEV R&amp;D'!$A:$A,0))-INDEX('PROJETO PERFURAÇÃO'!$AH:$AH,MATCH(MEDIÇÃO!K267,'PROJETO PERFURAÇÃO'!$B:$B,0)),"")</f>
        <v/>
      </c>
      <c r="M267" s="17">
        <f>IFERROR(INDEX('PROJETO PERFURAÇÃO'!$AN:$AN,MATCH(MEDIÇÃO!K267,'PROJETO PERFURAÇÃO'!$B:$B,0)),"")</f>
        <v>0</v>
      </c>
      <c r="N267" s="3"/>
      <c r="O267" s="3"/>
      <c r="P267" s="3" t="str">
        <f>IFERROR(ROUND(INDEX('PROJETO PERFURAÇÃO'!$AB:$AB,MATCH(MEDIÇÃO!R267,'PROJETO PERFURAÇÃO'!$B:$B,0)),1)&amp;"''","")</f>
        <v>5''</v>
      </c>
      <c r="Q267" s="3" t="str">
        <f>IFERROR(IF(INDEX('PROJETO PERFURAÇÃO'!$P:$P,MATCH(MEDIÇÃO!R267,'PROJETO PERFURAÇÃO'!$B:$B,0))="Production","P",IF(INDEX('PROJETO PERFURAÇÃO'!$P:$P,MATCH(MEDIÇÃO!R267,'PROJETO PERFURAÇÃO'!$B:$B,0))="Buffer","B",IF(INDEX('PROJETO PERFURAÇÃO'!$P:$P,MATCH(MEDIÇÃO!R267,'PROJETO PERFURAÇÃO'!$B:$B,0))="Pre-Splitting","S"))),"")</f>
        <v>P</v>
      </c>
      <c r="R267" s="14">
        <f t="shared" si="26"/>
        <v>613</v>
      </c>
      <c r="S267" s="4" t="str">
        <f>IFERROR(INDEX('LEV R&amp;D'!$D:$D,MATCH(MEDIÇÃO!R267,'LEV R&amp;D'!$A:$A,0))-INDEX('PROJETO PERFURAÇÃO'!$AH:$AH,MATCH(MEDIÇÃO!R267,'PROJETO PERFURAÇÃO'!$B:$B,0)),"")</f>
        <v/>
      </c>
      <c r="T267" s="17">
        <f>IFERROR(INDEX('PROJETO PERFURAÇÃO'!$AN:$AN,MATCH(MEDIÇÃO!R267,'PROJETO PERFURAÇÃO'!$B:$B,0)),"")</f>
        <v>0</v>
      </c>
      <c r="U267" s="3"/>
      <c r="V267" s="3"/>
    </row>
    <row r="268" spans="2:22" ht="45" customHeight="1">
      <c r="B268" s="3" t="str">
        <f>IFERROR(ROUND(INDEX('PROJETO PERFURAÇÃO'!$AB:$AB,MATCH(MEDIÇÃO!D268,'PROJETO PERFURAÇÃO'!$B:$B,0)),1)&amp;"''","")</f>
        <v>5''</v>
      </c>
      <c r="C268" s="3" t="str">
        <f>IFERROR(IF(INDEX('PROJETO PERFURAÇÃO'!$P:$P,MATCH(MEDIÇÃO!D268,'PROJETO PERFURAÇÃO'!$B:$B,0))="Production","P",IF(INDEX('PROJETO PERFURAÇÃO'!$P:$P,MATCH(MEDIÇÃO!D268,'PROJETO PERFURAÇÃO'!$B:$B,0))="Buffer","B",IF(INDEX('PROJETO PERFURAÇÃO'!$P:$P,MATCH(MEDIÇÃO!D268,'PROJETO PERFURAÇÃO'!$B:$B,0))="Pre-Splitting","S"))),"")</f>
        <v>P</v>
      </c>
      <c r="D268" s="14">
        <f t="shared" si="24"/>
        <v>568</v>
      </c>
      <c r="E268" s="4" t="str">
        <f>IFERROR(INDEX('LEV R&amp;D'!$D:$D,MATCH(MEDIÇÃO!D268,'LEV R&amp;D'!$A:$A,0))-INDEX('PROJETO PERFURAÇÃO'!$AH:$AH,MATCH(MEDIÇÃO!D268,'PROJETO PERFURAÇÃO'!$B:$B,0)),"")</f>
        <v/>
      </c>
      <c r="F268" s="17">
        <f>IFERROR(INDEX('PROJETO PERFURAÇÃO'!$AN:$AN,MATCH(MEDIÇÃO!D268,'PROJETO PERFURAÇÃO'!$B:$B,0)),"")</f>
        <v>0</v>
      </c>
      <c r="G268" s="3"/>
      <c r="H268" s="3"/>
      <c r="I268" s="3" t="str">
        <f>IFERROR(ROUND(INDEX('PROJETO PERFURAÇÃO'!$AB:$AB,MATCH(MEDIÇÃO!K268,'PROJETO PERFURAÇÃO'!$B:$B,0)),1)&amp;"''","")</f>
        <v>5''</v>
      </c>
      <c r="J268" s="3" t="str">
        <f>IFERROR(IF(INDEX('PROJETO PERFURAÇÃO'!$P:$P,MATCH(MEDIÇÃO!K268,'PROJETO PERFURAÇÃO'!$B:$B,0))="Production","P",IF(INDEX('PROJETO PERFURAÇÃO'!$P:$P,MATCH(MEDIÇÃO!K268,'PROJETO PERFURAÇÃO'!$B:$B,0))="Buffer","B",IF(INDEX('PROJETO PERFURAÇÃO'!$P:$P,MATCH(MEDIÇÃO!K268,'PROJETO PERFURAÇÃO'!$B:$B,0))="Pre-Splitting","S"))),"")</f>
        <v>P</v>
      </c>
      <c r="K268" s="14">
        <f t="shared" si="25"/>
        <v>591</v>
      </c>
      <c r="L268" s="4" t="str">
        <f>IFERROR(INDEX('LEV R&amp;D'!$D:$D,MATCH(MEDIÇÃO!K268,'LEV R&amp;D'!$A:$A,0))-INDEX('PROJETO PERFURAÇÃO'!$AH:$AH,MATCH(MEDIÇÃO!K268,'PROJETO PERFURAÇÃO'!$B:$B,0)),"")</f>
        <v/>
      </c>
      <c r="M268" s="17">
        <f>IFERROR(INDEX('PROJETO PERFURAÇÃO'!$AN:$AN,MATCH(MEDIÇÃO!K268,'PROJETO PERFURAÇÃO'!$B:$B,0)),"")</f>
        <v>0</v>
      </c>
      <c r="N268" s="3"/>
      <c r="O268" s="3"/>
      <c r="P268" s="3" t="str">
        <f>IFERROR(ROUND(INDEX('PROJETO PERFURAÇÃO'!$AB:$AB,MATCH(MEDIÇÃO!R268,'PROJETO PERFURAÇÃO'!$B:$B,0)),1)&amp;"''","")</f>
        <v>5''</v>
      </c>
      <c r="Q268" s="3" t="str">
        <f>IFERROR(IF(INDEX('PROJETO PERFURAÇÃO'!$P:$P,MATCH(MEDIÇÃO!R268,'PROJETO PERFURAÇÃO'!$B:$B,0))="Production","P",IF(INDEX('PROJETO PERFURAÇÃO'!$P:$P,MATCH(MEDIÇÃO!R268,'PROJETO PERFURAÇÃO'!$B:$B,0))="Buffer","B",IF(INDEX('PROJETO PERFURAÇÃO'!$P:$P,MATCH(MEDIÇÃO!R268,'PROJETO PERFURAÇÃO'!$B:$B,0))="Pre-Splitting","S"))),"")</f>
        <v>P</v>
      </c>
      <c r="R268" s="14">
        <f t="shared" si="26"/>
        <v>614</v>
      </c>
      <c r="S268" s="4" t="str">
        <f>IFERROR(INDEX('LEV R&amp;D'!$D:$D,MATCH(MEDIÇÃO!R268,'LEV R&amp;D'!$A:$A,0))-INDEX('PROJETO PERFURAÇÃO'!$AH:$AH,MATCH(MEDIÇÃO!R268,'PROJETO PERFURAÇÃO'!$B:$B,0)),"")</f>
        <v/>
      </c>
      <c r="T268" s="17">
        <f>IFERROR(INDEX('PROJETO PERFURAÇÃO'!$AN:$AN,MATCH(MEDIÇÃO!R268,'PROJETO PERFURAÇÃO'!$B:$B,0)),"")</f>
        <v>0</v>
      </c>
      <c r="U268" s="3"/>
      <c r="V268" s="3"/>
    </row>
    <row r="269" spans="2:22" ht="45" customHeight="1">
      <c r="B269" s="3" t="str">
        <f>IFERROR(ROUND(INDEX('PROJETO PERFURAÇÃO'!$AB:$AB,MATCH(MEDIÇÃO!D269,'PROJETO PERFURAÇÃO'!$B:$B,0)),1)&amp;"''","")</f>
        <v>5''</v>
      </c>
      <c r="C269" s="3" t="str">
        <f>IFERROR(IF(INDEX('PROJETO PERFURAÇÃO'!$P:$P,MATCH(MEDIÇÃO!D269,'PROJETO PERFURAÇÃO'!$B:$B,0))="Production","P",IF(INDEX('PROJETO PERFURAÇÃO'!$P:$P,MATCH(MEDIÇÃO!D269,'PROJETO PERFURAÇÃO'!$B:$B,0))="Buffer","B",IF(INDEX('PROJETO PERFURAÇÃO'!$P:$P,MATCH(MEDIÇÃO!D269,'PROJETO PERFURAÇÃO'!$B:$B,0))="Pre-Splitting","S"))),"")</f>
        <v>P</v>
      </c>
      <c r="D269" s="14">
        <f t="shared" si="24"/>
        <v>569</v>
      </c>
      <c r="E269" s="4" t="str">
        <f>IFERROR(INDEX('LEV R&amp;D'!$D:$D,MATCH(MEDIÇÃO!D269,'LEV R&amp;D'!$A:$A,0))-INDEX('PROJETO PERFURAÇÃO'!$AH:$AH,MATCH(MEDIÇÃO!D269,'PROJETO PERFURAÇÃO'!$B:$B,0)),"")</f>
        <v/>
      </c>
      <c r="F269" s="17">
        <f>IFERROR(INDEX('PROJETO PERFURAÇÃO'!$AN:$AN,MATCH(MEDIÇÃO!D269,'PROJETO PERFURAÇÃO'!$B:$B,0)),"")</f>
        <v>0</v>
      </c>
      <c r="G269" s="3"/>
      <c r="H269" s="3"/>
      <c r="I269" s="3" t="str">
        <f>IFERROR(ROUND(INDEX('PROJETO PERFURAÇÃO'!$AB:$AB,MATCH(MEDIÇÃO!K269,'PROJETO PERFURAÇÃO'!$B:$B,0)),1)&amp;"''","")</f>
        <v>5''</v>
      </c>
      <c r="J269" s="3" t="str">
        <f>IFERROR(IF(INDEX('PROJETO PERFURAÇÃO'!$P:$P,MATCH(MEDIÇÃO!K269,'PROJETO PERFURAÇÃO'!$B:$B,0))="Production","P",IF(INDEX('PROJETO PERFURAÇÃO'!$P:$P,MATCH(MEDIÇÃO!K269,'PROJETO PERFURAÇÃO'!$B:$B,0))="Buffer","B",IF(INDEX('PROJETO PERFURAÇÃO'!$P:$P,MATCH(MEDIÇÃO!K269,'PROJETO PERFURAÇÃO'!$B:$B,0))="Pre-Splitting","S"))),"")</f>
        <v>P</v>
      </c>
      <c r="K269" s="14">
        <f t="shared" si="25"/>
        <v>592</v>
      </c>
      <c r="L269" s="4" t="str">
        <f>IFERROR(INDEX('LEV R&amp;D'!$D:$D,MATCH(MEDIÇÃO!K269,'LEV R&amp;D'!$A:$A,0))-INDEX('PROJETO PERFURAÇÃO'!$AH:$AH,MATCH(MEDIÇÃO!K269,'PROJETO PERFURAÇÃO'!$B:$B,0)),"")</f>
        <v/>
      </c>
      <c r="M269" s="17">
        <f>IFERROR(INDEX('PROJETO PERFURAÇÃO'!$AN:$AN,MATCH(MEDIÇÃO!K269,'PROJETO PERFURAÇÃO'!$B:$B,0)),"")</f>
        <v>0</v>
      </c>
      <c r="N269" s="3"/>
      <c r="O269" s="3"/>
      <c r="P269" s="3" t="str">
        <f>IFERROR(ROUND(INDEX('PROJETO PERFURAÇÃO'!$AB:$AB,MATCH(MEDIÇÃO!R269,'PROJETO PERFURAÇÃO'!$B:$B,0)),1)&amp;"''","")</f>
        <v>5''</v>
      </c>
      <c r="Q269" s="3" t="str">
        <f>IFERROR(IF(INDEX('PROJETO PERFURAÇÃO'!$P:$P,MATCH(MEDIÇÃO!R269,'PROJETO PERFURAÇÃO'!$B:$B,0))="Production","P",IF(INDEX('PROJETO PERFURAÇÃO'!$P:$P,MATCH(MEDIÇÃO!R269,'PROJETO PERFURAÇÃO'!$B:$B,0))="Buffer","B",IF(INDEX('PROJETO PERFURAÇÃO'!$P:$P,MATCH(MEDIÇÃO!R269,'PROJETO PERFURAÇÃO'!$B:$B,0))="Pre-Splitting","S"))),"")</f>
        <v>P</v>
      </c>
      <c r="R269" s="14">
        <f t="shared" si="26"/>
        <v>615</v>
      </c>
      <c r="S269" s="4" t="str">
        <f>IFERROR(INDEX('LEV R&amp;D'!$D:$D,MATCH(MEDIÇÃO!R269,'LEV R&amp;D'!$A:$A,0))-INDEX('PROJETO PERFURAÇÃO'!$AH:$AH,MATCH(MEDIÇÃO!R269,'PROJETO PERFURAÇÃO'!$B:$B,0)),"")</f>
        <v/>
      </c>
      <c r="T269" s="17">
        <f>IFERROR(INDEX('PROJETO PERFURAÇÃO'!$AN:$AN,MATCH(MEDIÇÃO!R269,'PROJETO PERFURAÇÃO'!$B:$B,0)),"")</f>
        <v>0</v>
      </c>
      <c r="U269" s="3"/>
      <c r="V269" s="3"/>
    </row>
    <row r="270" spans="2:22" ht="45" customHeight="1">
      <c r="B270" s="3" t="str">
        <f>IFERROR(ROUND(INDEX('PROJETO PERFURAÇÃO'!$AB:$AB,MATCH(MEDIÇÃO!D270,'PROJETO PERFURAÇÃO'!$B:$B,0)),1)&amp;"''","")</f>
        <v>5''</v>
      </c>
      <c r="C270" s="3" t="str">
        <f>IFERROR(IF(INDEX('PROJETO PERFURAÇÃO'!$P:$P,MATCH(MEDIÇÃO!D270,'PROJETO PERFURAÇÃO'!$B:$B,0))="Production","P",IF(INDEX('PROJETO PERFURAÇÃO'!$P:$P,MATCH(MEDIÇÃO!D270,'PROJETO PERFURAÇÃO'!$B:$B,0))="Buffer","B",IF(INDEX('PROJETO PERFURAÇÃO'!$P:$P,MATCH(MEDIÇÃO!D270,'PROJETO PERFURAÇÃO'!$B:$B,0))="Pre-Splitting","S"))),"")</f>
        <v>P</v>
      </c>
      <c r="D270" s="14">
        <f t="shared" si="24"/>
        <v>570</v>
      </c>
      <c r="E270" s="4" t="str">
        <f>IFERROR(INDEX('LEV R&amp;D'!$D:$D,MATCH(MEDIÇÃO!D270,'LEV R&amp;D'!$A:$A,0))-INDEX('PROJETO PERFURAÇÃO'!$AH:$AH,MATCH(MEDIÇÃO!D270,'PROJETO PERFURAÇÃO'!$B:$B,0)),"")</f>
        <v/>
      </c>
      <c r="F270" s="17">
        <f>IFERROR(INDEX('PROJETO PERFURAÇÃO'!$AN:$AN,MATCH(MEDIÇÃO!D270,'PROJETO PERFURAÇÃO'!$B:$B,0)),"")</f>
        <v>0</v>
      </c>
      <c r="G270" s="3"/>
      <c r="H270" s="3"/>
      <c r="I270" s="3" t="str">
        <f>IFERROR(ROUND(INDEX('PROJETO PERFURAÇÃO'!$AB:$AB,MATCH(MEDIÇÃO!K270,'PROJETO PERFURAÇÃO'!$B:$B,0)),1)&amp;"''","")</f>
        <v>5''</v>
      </c>
      <c r="J270" s="3" t="str">
        <f>IFERROR(IF(INDEX('PROJETO PERFURAÇÃO'!$P:$P,MATCH(MEDIÇÃO!K270,'PROJETO PERFURAÇÃO'!$B:$B,0))="Production","P",IF(INDEX('PROJETO PERFURAÇÃO'!$P:$P,MATCH(MEDIÇÃO!K270,'PROJETO PERFURAÇÃO'!$B:$B,0))="Buffer","B",IF(INDEX('PROJETO PERFURAÇÃO'!$P:$P,MATCH(MEDIÇÃO!K270,'PROJETO PERFURAÇÃO'!$B:$B,0))="Pre-Splitting","S"))),"")</f>
        <v>P</v>
      </c>
      <c r="K270" s="14">
        <f t="shared" si="25"/>
        <v>593</v>
      </c>
      <c r="L270" s="4" t="str">
        <f>IFERROR(INDEX('LEV R&amp;D'!$D:$D,MATCH(MEDIÇÃO!K270,'LEV R&amp;D'!$A:$A,0))-INDEX('PROJETO PERFURAÇÃO'!$AH:$AH,MATCH(MEDIÇÃO!K270,'PROJETO PERFURAÇÃO'!$B:$B,0)),"")</f>
        <v/>
      </c>
      <c r="M270" s="17">
        <f>IFERROR(INDEX('PROJETO PERFURAÇÃO'!$AN:$AN,MATCH(MEDIÇÃO!K270,'PROJETO PERFURAÇÃO'!$B:$B,0)),"")</f>
        <v>0</v>
      </c>
      <c r="N270" s="3"/>
      <c r="O270" s="3"/>
      <c r="P270" s="3" t="str">
        <f>IFERROR(ROUND(INDEX('PROJETO PERFURAÇÃO'!$AB:$AB,MATCH(MEDIÇÃO!R270,'PROJETO PERFURAÇÃO'!$B:$B,0)),1)&amp;"''","")</f>
        <v>5''</v>
      </c>
      <c r="Q270" s="3" t="str">
        <f>IFERROR(IF(INDEX('PROJETO PERFURAÇÃO'!$P:$P,MATCH(MEDIÇÃO!R270,'PROJETO PERFURAÇÃO'!$B:$B,0))="Production","P",IF(INDEX('PROJETO PERFURAÇÃO'!$P:$P,MATCH(MEDIÇÃO!R270,'PROJETO PERFURAÇÃO'!$B:$B,0))="Buffer","B",IF(INDEX('PROJETO PERFURAÇÃO'!$P:$P,MATCH(MEDIÇÃO!R270,'PROJETO PERFURAÇÃO'!$B:$B,0))="Pre-Splitting","S"))),"")</f>
        <v>P</v>
      </c>
      <c r="R270" s="14">
        <f t="shared" si="26"/>
        <v>616</v>
      </c>
      <c r="S270" s="4" t="str">
        <f>IFERROR(INDEX('LEV R&amp;D'!$D:$D,MATCH(MEDIÇÃO!R270,'LEV R&amp;D'!$A:$A,0))-INDEX('PROJETO PERFURAÇÃO'!$AH:$AH,MATCH(MEDIÇÃO!R270,'PROJETO PERFURAÇÃO'!$B:$B,0)),"")</f>
        <v/>
      </c>
      <c r="T270" s="17">
        <f>IFERROR(INDEX('PROJETO PERFURAÇÃO'!$AN:$AN,MATCH(MEDIÇÃO!R270,'PROJETO PERFURAÇÃO'!$B:$B,0)),"")</f>
        <v>0</v>
      </c>
      <c r="U270" s="3"/>
      <c r="V270" s="3"/>
    </row>
    <row r="271" spans="2:22" ht="45" customHeight="1">
      <c r="B271" s="3" t="str">
        <f>IFERROR(ROUND(INDEX('PROJETO PERFURAÇÃO'!$AB:$AB,MATCH(MEDIÇÃO!D271,'PROJETO PERFURAÇÃO'!$B:$B,0)),1)&amp;"''","")</f>
        <v>5''</v>
      </c>
      <c r="C271" s="3" t="str">
        <f>IFERROR(IF(INDEX('PROJETO PERFURAÇÃO'!$P:$P,MATCH(MEDIÇÃO!D271,'PROJETO PERFURAÇÃO'!$B:$B,0))="Production","P",IF(INDEX('PROJETO PERFURAÇÃO'!$P:$P,MATCH(MEDIÇÃO!D271,'PROJETO PERFURAÇÃO'!$B:$B,0))="Buffer","B",IF(INDEX('PROJETO PERFURAÇÃO'!$P:$P,MATCH(MEDIÇÃO!D271,'PROJETO PERFURAÇÃO'!$B:$B,0))="Pre-Splitting","S"))),"")</f>
        <v>P</v>
      </c>
      <c r="D271" s="14">
        <f t="shared" si="24"/>
        <v>571</v>
      </c>
      <c r="E271" s="4" t="str">
        <f>IFERROR(INDEX('LEV R&amp;D'!$D:$D,MATCH(MEDIÇÃO!D271,'LEV R&amp;D'!$A:$A,0))-INDEX('PROJETO PERFURAÇÃO'!$AH:$AH,MATCH(MEDIÇÃO!D271,'PROJETO PERFURAÇÃO'!$B:$B,0)),"")</f>
        <v/>
      </c>
      <c r="F271" s="17">
        <f>IFERROR(INDEX('PROJETO PERFURAÇÃO'!$AN:$AN,MATCH(MEDIÇÃO!D271,'PROJETO PERFURAÇÃO'!$B:$B,0)),"")</f>
        <v>0</v>
      </c>
      <c r="G271" s="3"/>
      <c r="H271" s="3"/>
      <c r="I271" s="3" t="str">
        <f>IFERROR(ROUND(INDEX('PROJETO PERFURAÇÃO'!$AB:$AB,MATCH(MEDIÇÃO!K271,'PROJETO PERFURAÇÃO'!$B:$B,0)),1)&amp;"''","")</f>
        <v>5''</v>
      </c>
      <c r="J271" s="3" t="str">
        <f>IFERROR(IF(INDEX('PROJETO PERFURAÇÃO'!$P:$P,MATCH(MEDIÇÃO!K271,'PROJETO PERFURAÇÃO'!$B:$B,0))="Production","P",IF(INDEX('PROJETO PERFURAÇÃO'!$P:$P,MATCH(MEDIÇÃO!K271,'PROJETO PERFURAÇÃO'!$B:$B,0))="Buffer","B",IF(INDEX('PROJETO PERFURAÇÃO'!$P:$P,MATCH(MEDIÇÃO!K271,'PROJETO PERFURAÇÃO'!$B:$B,0))="Pre-Splitting","S"))),"")</f>
        <v>P</v>
      </c>
      <c r="K271" s="14">
        <f t="shared" si="25"/>
        <v>594</v>
      </c>
      <c r="L271" s="4" t="str">
        <f>IFERROR(INDEX('LEV R&amp;D'!$D:$D,MATCH(MEDIÇÃO!K271,'LEV R&amp;D'!$A:$A,0))-INDEX('PROJETO PERFURAÇÃO'!$AH:$AH,MATCH(MEDIÇÃO!K271,'PROJETO PERFURAÇÃO'!$B:$B,0)),"")</f>
        <v/>
      </c>
      <c r="M271" s="17">
        <f>IFERROR(INDEX('PROJETO PERFURAÇÃO'!$AN:$AN,MATCH(MEDIÇÃO!K271,'PROJETO PERFURAÇÃO'!$B:$B,0)),"")</f>
        <v>0</v>
      </c>
      <c r="N271" s="3"/>
      <c r="O271" s="3"/>
      <c r="P271" s="3" t="str">
        <f>IFERROR(ROUND(INDEX('PROJETO PERFURAÇÃO'!$AB:$AB,MATCH(MEDIÇÃO!R271,'PROJETO PERFURAÇÃO'!$B:$B,0)),1)&amp;"''","")</f>
        <v>5''</v>
      </c>
      <c r="Q271" s="3" t="str">
        <f>IFERROR(IF(INDEX('PROJETO PERFURAÇÃO'!$P:$P,MATCH(MEDIÇÃO!R271,'PROJETO PERFURAÇÃO'!$B:$B,0))="Production","P",IF(INDEX('PROJETO PERFURAÇÃO'!$P:$P,MATCH(MEDIÇÃO!R271,'PROJETO PERFURAÇÃO'!$B:$B,0))="Buffer","B",IF(INDEX('PROJETO PERFURAÇÃO'!$P:$P,MATCH(MEDIÇÃO!R271,'PROJETO PERFURAÇÃO'!$B:$B,0))="Pre-Splitting","S"))),"")</f>
        <v>P</v>
      </c>
      <c r="R271" s="14">
        <f t="shared" si="26"/>
        <v>617</v>
      </c>
      <c r="S271" s="4" t="str">
        <f>IFERROR(INDEX('LEV R&amp;D'!$D:$D,MATCH(MEDIÇÃO!R271,'LEV R&amp;D'!$A:$A,0))-INDEX('PROJETO PERFURAÇÃO'!$AH:$AH,MATCH(MEDIÇÃO!R271,'PROJETO PERFURAÇÃO'!$B:$B,0)),"")</f>
        <v/>
      </c>
      <c r="T271" s="17">
        <f>IFERROR(INDEX('PROJETO PERFURAÇÃO'!$AN:$AN,MATCH(MEDIÇÃO!R271,'PROJETO PERFURAÇÃO'!$B:$B,0)),"")</f>
        <v>0</v>
      </c>
      <c r="U271" s="3"/>
      <c r="V271" s="3"/>
    </row>
    <row r="272" spans="2:22" ht="45" customHeight="1">
      <c r="B272" s="3" t="str">
        <f>IFERROR(ROUND(INDEX('PROJETO PERFURAÇÃO'!$AB:$AB,MATCH(MEDIÇÃO!D272,'PROJETO PERFURAÇÃO'!$B:$B,0)),1)&amp;"''","")</f>
        <v>5''</v>
      </c>
      <c r="C272" s="3" t="str">
        <f>IFERROR(IF(INDEX('PROJETO PERFURAÇÃO'!$P:$P,MATCH(MEDIÇÃO!D272,'PROJETO PERFURAÇÃO'!$B:$B,0))="Production","P",IF(INDEX('PROJETO PERFURAÇÃO'!$P:$P,MATCH(MEDIÇÃO!D272,'PROJETO PERFURAÇÃO'!$B:$B,0))="Buffer","B",IF(INDEX('PROJETO PERFURAÇÃO'!$P:$P,MATCH(MEDIÇÃO!D272,'PROJETO PERFURAÇÃO'!$B:$B,0))="Pre-Splitting","S"))),"")</f>
        <v>P</v>
      </c>
      <c r="D272" s="14">
        <f t="shared" si="24"/>
        <v>572</v>
      </c>
      <c r="E272" s="4" t="str">
        <f>IFERROR(INDEX('LEV R&amp;D'!$D:$D,MATCH(MEDIÇÃO!D272,'LEV R&amp;D'!$A:$A,0))-INDEX('PROJETO PERFURAÇÃO'!$AH:$AH,MATCH(MEDIÇÃO!D272,'PROJETO PERFURAÇÃO'!$B:$B,0)),"")</f>
        <v/>
      </c>
      <c r="F272" s="17">
        <f>IFERROR(INDEX('PROJETO PERFURAÇÃO'!$AN:$AN,MATCH(MEDIÇÃO!D272,'PROJETO PERFURAÇÃO'!$B:$B,0)),"")</f>
        <v>0</v>
      </c>
      <c r="G272" s="3"/>
      <c r="H272" s="3"/>
      <c r="I272" s="3" t="str">
        <f>IFERROR(ROUND(INDEX('PROJETO PERFURAÇÃO'!$AB:$AB,MATCH(MEDIÇÃO!K272,'PROJETO PERFURAÇÃO'!$B:$B,0)),1)&amp;"''","")</f>
        <v>5''</v>
      </c>
      <c r="J272" s="3" t="str">
        <f>IFERROR(IF(INDEX('PROJETO PERFURAÇÃO'!$P:$P,MATCH(MEDIÇÃO!K272,'PROJETO PERFURAÇÃO'!$B:$B,0))="Production","P",IF(INDEX('PROJETO PERFURAÇÃO'!$P:$P,MATCH(MEDIÇÃO!K272,'PROJETO PERFURAÇÃO'!$B:$B,0))="Buffer","B",IF(INDEX('PROJETO PERFURAÇÃO'!$P:$P,MATCH(MEDIÇÃO!K272,'PROJETO PERFURAÇÃO'!$B:$B,0))="Pre-Splitting","S"))),"")</f>
        <v>P</v>
      </c>
      <c r="K272" s="14">
        <f t="shared" si="25"/>
        <v>595</v>
      </c>
      <c r="L272" s="4" t="str">
        <f>IFERROR(INDEX('LEV R&amp;D'!$D:$D,MATCH(MEDIÇÃO!K272,'LEV R&amp;D'!$A:$A,0))-INDEX('PROJETO PERFURAÇÃO'!$AH:$AH,MATCH(MEDIÇÃO!K272,'PROJETO PERFURAÇÃO'!$B:$B,0)),"")</f>
        <v/>
      </c>
      <c r="M272" s="17">
        <f>IFERROR(INDEX('PROJETO PERFURAÇÃO'!$AN:$AN,MATCH(MEDIÇÃO!K272,'PROJETO PERFURAÇÃO'!$B:$B,0)),"")</f>
        <v>0</v>
      </c>
      <c r="N272" s="3"/>
      <c r="O272" s="3"/>
      <c r="P272" s="3" t="str">
        <f>IFERROR(ROUND(INDEX('PROJETO PERFURAÇÃO'!$AB:$AB,MATCH(MEDIÇÃO!R272,'PROJETO PERFURAÇÃO'!$B:$B,0)),1)&amp;"''","")</f>
        <v>5''</v>
      </c>
      <c r="Q272" s="3" t="str">
        <f>IFERROR(IF(INDEX('PROJETO PERFURAÇÃO'!$P:$P,MATCH(MEDIÇÃO!R272,'PROJETO PERFURAÇÃO'!$B:$B,0))="Production","P",IF(INDEX('PROJETO PERFURAÇÃO'!$P:$P,MATCH(MEDIÇÃO!R272,'PROJETO PERFURAÇÃO'!$B:$B,0))="Buffer","B",IF(INDEX('PROJETO PERFURAÇÃO'!$P:$P,MATCH(MEDIÇÃO!R272,'PROJETO PERFURAÇÃO'!$B:$B,0))="Pre-Splitting","S"))),"")</f>
        <v>P</v>
      </c>
      <c r="R272" s="14">
        <f t="shared" si="26"/>
        <v>618</v>
      </c>
      <c r="S272" s="4" t="str">
        <f>IFERROR(INDEX('LEV R&amp;D'!$D:$D,MATCH(MEDIÇÃO!R272,'LEV R&amp;D'!$A:$A,0))-INDEX('PROJETO PERFURAÇÃO'!$AH:$AH,MATCH(MEDIÇÃO!R272,'PROJETO PERFURAÇÃO'!$B:$B,0)),"")</f>
        <v/>
      </c>
      <c r="T272" s="17">
        <f>IFERROR(INDEX('PROJETO PERFURAÇÃO'!$AN:$AN,MATCH(MEDIÇÃO!R272,'PROJETO PERFURAÇÃO'!$B:$B,0)),"")</f>
        <v>0</v>
      </c>
      <c r="U272" s="3"/>
      <c r="V272" s="3"/>
    </row>
    <row r="273" spans="1:23" ht="45" customHeight="1">
      <c r="B273" s="3" t="str">
        <f>IFERROR(ROUND(INDEX('PROJETO PERFURAÇÃO'!$AB:$AB,MATCH(MEDIÇÃO!D273,'PROJETO PERFURAÇÃO'!$B:$B,0)),1)&amp;"''","")</f>
        <v>5''</v>
      </c>
      <c r="C273" s="3" t="str">
        <f>IFERROR(IF(INDEX('PROJETO PERFURAÇÃO'!$P:$P,MATCH(MEDIÇÃO!D273,'PROJETO PERFURAÇÃO'!$B:$B,0))="Production","P",IF(INDEX('PROJETO PERFURAÇÃO'!$P:$P,MATCH(MEDIÇÃO!D273,'PROJETO PERFURAÇÃO'!$B:$B,0))="Buffer","B",IF(INDEX('PROJETO PERFURAÇÃO'!$P:$P,MATCH(MEDIÇÃO!D273,'PROJETO PERFURAÇÃO'!$B:$B,0))="Pre-Splitting","S"))),"")</f>
        <v>P</v>
      </c>
      <c r="D273" s="14">
        <f t="shared" si="24"/>
        <v>573</v>
      </c>
      <c r="E273" s="4" t="str">
        <f>IFERROR(INDEX('LEV R&amp;D'!$D:$D,MATCH(MEDIÇÃO!D273,'LEV R&amp;D'!$A:$A,0))-INDEX('PROJETO PERFURAÇÃO'!$AH:$AH,MATCH(MEDIÇÃO!D273,'PROJETO PERFURAÇÃO'!$B:$B,0)),"")</f>
        <v/>
      </c>
      <c r="F273" s="17">
        <f>IFERROR(INDEX('PROJETO PERFURAÇÃO'!$AN:$AN,MATCH(MEDIÇÃO!D273,'PROJETO PERFURAÇÃO'!$B:$B,0)),"")</f>
        <v>0</v>
      </c>
      <c r="G273" s="3"/>
      <c r="H273" s="3"/>
      <c r="I273" s="3" t="str">
        <f>IFERROR(ROUND(INDEX('PROJETO PERFURAÇÃO'!$AB:$AB,MATCH(MEDIÇÃO!K273,'PROJETO PERFURAÇÃO'!$B:$B,0)),1)&amp;"''","")</f>
        <v>5''</v>
      </c>
      <c r="J273" s="3" t="str">
        <f>IFERROR(IF(INDEX('PROJETO PERFURAÇÃO'!$P:$P,MATCH(MEDIÇÃO!K273,'PROJETO PERFURAÇÃO'!$B:$B,0))="Production","P",IF(INDEX('PROJETO PERFURAÇÃO'!$P:$P,MATCH(MEDIÇÃO!K273,'PROJETO PERFURAÇÃO'!$B:$B,0))="Buffer","B",IF(INDEX('PROJETO PERFURAÇÃO'!$P:$P,MATCH(MEDIÇÃO!K273,'PROJETO PERFURAÇÃO'!$B:$B,0))="Pre-Splitting","S"))),"")</f>
        <v>P</v>
      </c>
      <c r="K273" s="14">
        <f t="shared" si="25"/>
        <v>596</v>
      </c>
      <c r="L273" s="4" t="str">
        <f>IFERROR(INDEX('LEV R&amp;D'!$D:$D,MATCH(MEDIÇÃO!K273,'LEV R&amp;D'!$A:$A,0))-INDEX('PROJETO PERFURAÇÃO'!$AH:$AH,MATCH(MEDIÇÃO!K273,'PROJETO PERFURAÇÃO'!$B:$B,0)),"")</f>
        <v/>
      </c>
      <c r="M273" s="17">
        <f>IFERROR(INDEX('PROJETO PERFURAÇÃO'!$AN:$AN,MATCH(MEDIÇÃO!K273,'PROJETO PERFURAÇÃO'!$B:$B,0)),"")</f>
        <v>0</v>
      </c>
      <c r="N273" s="3"/>
      <c r="O273" s="3"/>
      <c r="P273" s="3" t="str">
        <f>IFERROR(ROUND(INDEX('PROJETO PERFURAÇÃO'!$AB:$AB,MATCH(MEDIÇÃO!R273,'PROJETO PERFURAÇÃO'!$B:$B,0)),1)&amp;"''","")</f>
        <v>5''</v>
      </c>
      <c r="Q273" s="3" t="str">
        <f>IFERROR(IF(INDEX('PROJETO PERFURAÇÃO'!$P:$P,MATCH(MEDIÇÃO!R273,'PROJETO PERFURAÇÃO'!$B:$B,0))="Production","P",IF(INDEX('PROJETO PERFURAÇÃO'!$P:$P,MATCH(MEDIÇÃO!R273,'PROJETO PERFURAÇÃO'!$B:$B,0))="Buffer","B",IF(INDEX('PROJETO PERFURAÇÃO'!$P:$P,MATCH(MEDIÇÃO!R273,'PROJETO PERFURAÇÃO'!$B:$B,0))="Pre-Splitting","S"))),"")</f>
        <v>P</v>
      </c>
      <c r="R273" s="14">
        <f t="shared" si="26"/>
        <v>619</v>
      </c>
      <c r="S273" s="4" t="str">
        <f>IFERROR(INDEX('LEV R&amp;D'!$D:$D,MATCH(MEDIÇÃO!R273,'LEV R&amp;D'!$A:$A,0))-INDEX('PROJETO PERFURAÇÃO'!$AH:$AH,MATCH(MEDIÇÃO!R273,'PROJETO PERFURAÇÃO'!$B:$B,0)),"")</f>
        <v/>
      </c>
      <c r="T273" s="17">
        <f>IFERROR(INDEX('PROJETO PERFURAÇÃO'!$AN:$AN,MATCH(MEDIÇÃO!R273,'PROJETO PERFURAÇÃO'!$B:$B,0)),"")</f>
        <v>0</v>
      </c>
      <c r="U273" s="3"/>
      <c r="V273" s="3"/>
    </row>
    <row r="274" spans="1:23" ht="45" customHeight="1">
      <c r="B274" s="3" t="str">
        <f>IFERROR(ROUND(INDEX('PROJETO PERFURAÇÃO'!$AB:$AB,MATCH(MEDIÇÃO!D274,'PROJETO PERFURAÇÃO'!$B:$B,0)),1)&amp;"''","")</f>
        <v>5''</v>
      </c>
      <c r="C274" s="3" t="str">
        <f>IFERROR(IF(INDEX('PROJETO PERFURAÇÃO'!$P:$P,MATCH(MEDIÇÃO!D274,'PROJETO PERFURAÇÃO'!$B:$B,0))="Production","P",IF(INDEX('PROJETO PERFURAÇÃO'!$P:$P,MATCH(MEDIÇÃO!D274,'PROJETO PERFURAÇÃO'!$B:$B,0))="Buffer","B",IF(INDEX('PROJETO PERFURAÇÃO'!$P:$P,MATCH(MEDIÇÃO!D274,'PROJETO PERFURAÇÃO'!$B:$B,0))="Pre-Splitting","S"))),"")</f>
        <v>P</v>
      </c>
      <c r="D274" s="14">
        <f t="shared" si="24"/>
        <v>574</v>
      </c>
      <c r="E274" s="4" t="str">
        <f>IFERROR(INDEX('LEV R&amp;D'!$D:$D,MATCH(MEDIÇÃO!D274,'LEV R&amp;D'!$A:$A,0))-INDEX('PROJETO PERFURAÇÃO'!$AH:$AH,MATCH(MEDIÇÃO!D274,'PROJETO PERFURAÇÃO'!$B:$B,0)),"")</f>
        <v/>
      </c>
      <c r="F274" s="17">
        <f>IFERROR(INDEX('PROJETO PERFURAÇÃO'!$AN:$AN,MATCH(MEDIÇÃO!D274,'PROJETO PERFURAÇÃO'!$B:$B,0)),"")</f>
        <v>0</v>
      </c>
      <c r="G274" s="3"/>
      <c r="H274" s="3"/>
      <c r="I274" s="3" t="str">
        <f>IFERROR(ROUND(INDEX('PROJETO PERFURAÇÃO'!$AB:$AB,MATCH(MEDIÇÃO!K274,'PROJETO PERFURAÇÃO'!$B:$B,0)),1)&amp;"''","")</f>
        <v>5''</v>
      </c>
      <c r="J274" s="3" t="str">
        <f>IFERROR(IF(INDEX('PROJETO PERFURAÇÃO'!$P:$P,MATCH(MEDIÇÃO!K274,'PROJETO PERFURAÇÃO'!$B:$B,0))="Production","P",IF(INDEX('PROJETO PERFURAÇÃO'!$P:$P,MATCH(MEDIÇÃO!K274,'PROJETO PERFURAÇÃO'!$B:$B,0))="Buffer","B",IF(INDEX('PROJETO PERFURAÇÃO'!$P:$P,MATCH(MEDIÇÃO!K274,'PROJETO PERFURAÇÃO'!$B:$B,0))="Pre-Splitting","S"))),"")</f>
        <v>P</v>
      </c>
      <c r="K274" s="14">
        <f t="shared" si="25"/>
        <v>597</v>
      </c>
      <c r="L274" s="4" t="str">
        <f>IFERROR(INDEX('LEV R&amp;D'!$D:$D,MATCH(MEDIÇÃO!K274,'LEV R&amp;D'!$A:$A,0))-INDEX('PROJETO PERFURAÇÃO'!$AH:$AH,MATCH(MEDIÇÃO!K274,'PROJETO PERFURAÇÃO'!$B:$B,0)),"")</f>
        <v/>
      </c>
      <c r="M274" s="17">
        <f>IFERROR(INDEX('PROJETO PERFURAÇÃO'!$AN:$AN,MATCH(MEDIÇÃO!K274,'PROJETO PERFURAÇÃO'!$B:$B,0)),"")</f>
        <v>0</v>
      </c>
      <c r="N274" s="3"/>
      <c r="O274" s="3"/>
      <c r="P274" s="3" t="str">
        <f>IFERROR(ROUND(INDEX('PROJETO PERFURAÇÃO'!$AB:$AB,MATCH(MEDIÇÃO!R274,'PROJETO PERFURAÇÃO'!$B:$B,0)),1)&amp;"''","")</f>
        <v>5''</v>
      </c>
      <c r="Q274" s="3" t="str">
        <f>IFERROR(IF(INDEX('PROJETO PERFURAÇÃO'!$P:$P,MATCH(MEDIÇÃO!R274,'PROJETO PERFURAÇÃO'!$B:$B,0))="Production","P",IF(INDEX('PROJETO PERFURAÇÃO'!$P:$P,MATCH(MEDIÇÃO!R274,'PROJETO PERFURAÇÃO'!$B:$B,0))="Buffer","B",IF(INDEX('PROJETO PERFURAÇÃO'!$P:$P,MATCH(MEDIÇÃO!R274,'PROJETO PERFURAÇÃO'!$B:$B,0))="Pre-Splitting","S"))),"")</f>
        <v>P</v>
      </c>
      <c r="R274" s="14">
        <f t="shared" si="26"/>
        <v>620</v>
      </c>
      <c r="S274" s="4" t="str">
        <f>IFERROR(INDEX('LEV R&amp;D'!$D:$D,MATCH(MEDIÇÃO!R274,'LEV R&amp;D'!$A:$A,0))-INDEX('PROJETO PERFURAÇÃO'!$AH:$AH,MATCH(MEDIÇÃO!R274,'PROJETO PERFURAÇÃO'!$B:$B,0)),"")</f>
        <v/>
      </c>
      <c r="T274" s="17">
        <f>IFERROR(INDEX('PROJETO PERFURAÇÃO'!$AN:$AN,MATCH(MEDIÇÃO!R274,'PROJETO PERFURAÇÃO'!$B:$B,0)),"")</f>
        <v>0</v>
      </c>
      <c r="U274" s="3"/>
      <c r="V274" s="3"/>
    </row>
    <row r="275" spans="1:23" ht="45" customHeight="1">
      <c r="B275" s="3" t="str">
        <f>IFERROR(ROUND(INDEX('PROJETO PERFURAÇÃO'!$AB:$AB,MATCH(MEDIÇÃO!D275,'PROJETO PERFURAÇÃO'!$B:$B,0)),1)&amp;"''","")</f>
        <v>5''</v>
      </c>
      <c r="C275" s="3" t="str">
        <f>IFERROR(IF(INDEX('PROJETO PERFURAÇÃO'!$P:$P,MATCH(MEDIÇÃO!D275,'PROJETO PERFURAÇÃO'!$B:$B,0))="Production","P",IF(INDEX('PROJETO PERFURAÇÃO'!$P:$P,MATCH(MEDIÇÃO!D275,'PROJETO PERFURAÇÃO'!$B:$B,0))="Buffer","B",IF(INDEX('PROJETO PERFURAÇÃO'!$P:$P,MATCH(MEDIÇÃO!D275,'PROJETO PERFURAÇÃO'!$B:$B,0))="Pre-Splitting","S"))),"")</f>
        <v>P</v>
      </c>
      <c r="D275" s="14">
        <f t="shared" si="24"/>
        <v>575</v>
      </c>
      <c r="E275" s="4" t="str">
        <f>IFERROR(INDEX('LEV R&amp;D'!$D:$D,MATCH(MEDIÇÃO!D275,'LEV R&amp;D'!$A:$A,0))-INDEX('PROJETO PERFURAÇÃO'!$AH:$AH,MATCH(MEDIÇÃO!D275,'PROJETO PERFURAÇÃO'!$B:$B,0)),"")</f>
        <v/>
      </c>
      <c r="F275" s="17">
        <f>IFERROR(INDEX('PROJETO PERFURAÇÃO'!$AN:$AN,MATCH(MEDIÇÃO!D275,'PROJETO PERFURAÇÃO'!$B:$B,0)),"")</f>
        <v>0</v>
      </c>
      <c r="G275" s="3"/>
      <c r="H275" s="3"/>
      <c r="I275" s="3" t="str">
        <f>IFERROR(ROUND(INDEX('PROJETO PERFURAÇÃO'!$AB:$AB,MATCH(MEDIÇÃO!K275,'PROJETO PERFURAÇÃO'!$B:$B,0)),1)&amp;"''","")</f>
        <v>5''</v>
      </c>
      <c r="J275" s="3" t="str">
        <f>IFERROR(IF(INDEX('PROJETO PERFURAÇÃO'!$P:$P,MATCH(MEDIÇÃO!K275,'PROJETO PERFURAÇÃO'!$B:$B,0))="Production","P",IF(INDEX('PROJETO PERFURAÇÃO'!$P:$P,MATCH(MEDIÇÃO!K275,'PROJETO PERFURAÇÃO'!$B:$B,0))="Buffer","B",IF(INDEX('PROJETO PERFURAÇÃO'!$P:$P,MATCH(MEDIÇÃO!K275,'PROJETO PERFURAÇÃO'!$B:$B,0))="Pre-Splitting","S"))),"")</f>
        <v>P</v>
      </c>
      <c r="K275" s="14">
        <f t="shared" si="25"/>
        <v>598</v>
      </c>
      <c r="L275" s="4" t="str">
        <f>IFERROR(INDEX('LEV R&amp;D'!$D:$D,MATCH(MEDIÇÃO!K275,'LEV R&amp;D'!$A:$A,0))-INDEX('PROJETO PERFURAÇÃO'!$AH:$AH,MATCH(MEDIÇÃO!K275,'PROJETO PERFURAÇÃO'!$B:$B,0)),"")</f>
        <v/>
      </c>
      <c r="M275" s="17">
        <f>IFERROR(INDEX('PROJETO PERFURAÇÃO'!$AN:$AN,MATCH(MEDIÇÃO!K275,'PROJETO PERFURAÇÃO'!$B:$B,0)),"")</f>
        <v>0</v>
      </c>
      <c r="N275" s="3"/>
      <c r="O275" s="3"/>
      <c r="P275" s="3" t="str">
        <f>IFERROR(ROUND(INDEX('PROJETO PERFURAÇÃO'!$AB:$AB,MATCH(MEDIÇÃO!R275,'PROJETO PERFURAÇÃO'!$B:$B,0)),1)&amp;"''","")</f>
        <v>5''</v>
      </c>
      <c r="Q275" s="3" t="str">
        <f>IFERROR(IF(INDEX('PROJETO PERFURAÇÃO'!$P:$P,MATCH(MEDIÇÃO!R275,'PROJETO PERFURAÇÃO'!$B:$B,0))="Production","P",IF(INDEX('PROJETO PERFURAÇÃO'!$P:$P,MATCH(MEDIÇÃO!R275,'PROJETO PERFURAÇÃO'!$B:$B,0))="Buffer","B",IF(INDEX('PROJETO PERFURAÇÃO'!$P:$P,MATCH(MEDIÇÃO!R275,'PROJETO PERFURAÇÃO'!$B:$B,0))="Pre-Splitting","S"))),"")</f>
        <v>P</v>
      </c>
      <c r="R275" s="14">
        <f t="shared" si="26"/>
        <v>621</v>
      </c>
      <c r="S275" s="4" t="str">
        <f>IFERROR(INDEX('LEV R&amp;D'!$D:$D,MATCH(MEDIÇÃO!R275,'LEV R&amp;D'!$A:$A,0))-INDEX('PROJETO PERFURAÇÃO'!$AH:$AH,MATCH(MEDIÇÃO!R275,'PROJETO PERFURAÇÃO'!$B:$B,0)),"")</f>
        <v/>
      </c>
      <c r="T275" s="17">
        <f>IFERROR(INDEX('PROJETO PERFURAÇÃO'!$AN:$AN,MATCH(MEDIÇÃO!R275,'PROJETO PERFURAÇÃO'!$B:$B,0)),"")</f>
        <v>0</v>
      </c>
      <c r="U275" s="3"/>
      <c r="V275" s="3"/>
    </row>
    <row r="276" spans="1:23" ht="30" customHeight="1">
      <c r="B276" s="1"/>
      <c r="C276" s="1"/>
      <c r="D276" s="15"/>
      <c r="E276" s="2"/>
      <c r="F276" s="16"/>
      <c r="G276" s="1"/>
      <c r="H276" s="1"/>
      <c r="I276" s="1"/>
      <c r="J276" s="1"/>
      <c r="K276" s="15"/>
      <c r="L276" s="2"/>
      <c r="M276" s="16"/>
      <c r="N276" s="1"/>
      <c r="O276" s="1"/>
      <c r="P276" s="1"/>
      <c r="Q276" s="1"/>
      <c r="R276" s="15"/>
      <c r="S276" s="2"/>
      <c r="T276" s="16"/>
      <c r="U276" s="1"/>
      <c r="V276" s="1"/>
    </row>
    <row r="277" spans="1:23" ht="30" customHeight="1">
      <c r="C277" s="20"/>
      <c r="D277" s="20"/>
      <c r="E277" s="20"/>
      <c r="F277" s="20"/>
      <c r="G277" s="20"/>
      <c r="H277" s="20"/>
      <c r="I277" s="20"/>
      <c r="J277" s="20"/>
      <c r="K277" s="20"/>
      <c r="M277" s="20"/>
      <c r="N277" s="20"/>
      <c r="O277" s="20"/>
      <c r="P277" s="20"/>
      <c r="Q277" s="20"/>
      <c r="R277" s="20"/>
      <c r="S277" s="20"/>
      <c r="T277" s="20"/>
      <c r="U277" s="20"/>
    </row>
    <row r="278" spans="1:23" ht="30" customHeight="1">
      <c r="C278" s="21" t="s">
        <v>40</v>
      </c>
      <c r="D278" s="21"/>
      <c r="E278" s="21"/>
      <c r="F278" s="21"/>
      <c r="G278" s="21"/>
      <c r="H278" s="21"/>
      <c r="I278" s="21"/>
      <c r="J278" s="21"/>
      <c r="K278" s="21"/>
      <c r="L278" s="9"/>
      <c r="M278" s="21" t="s">
        <v>40</v>
      </c>
      <c r="N278" s="21"/>
      <c r="O278" s="21"/>
      <c r="P278" s="21"/>
      <c r="Q278" s="21"/>
      <c r="R278" s="21"/>
      <c r="S278" s="21"/>
      <c r="T278" s="21"/>
      <c r="U278" s="21"/>
      <c r="V278" s="9"/>
    </row>
    <row r="279" spans="1:23" ht="30" customHeight="1">
      <c r="D279" s="9"/>
      <c r="E279" s="9"/>
      <c r="F279" s="9"/>
      <c r="G279" s="9"/>
      <c r="H279" s="9"/>
      <c r="I279" s="9"/>
      <c r="J279" s="9"/>
      <c r="K279" s="9"/>
      <c r="L279" s="9"/>
      <c r="M279" s="9"/>
      <c r="N279" s="9"/>
      <c r="Q279" s="9"/>
      <c r="R279" s="9"/>
      <c r="S279" s="9"/>
      <c r="T279" s="9"/>
      <c r="U279" s="9"/>
      <c r="V279" s="9"/>
    </row>
    <row r="280" spans="1:23" ht="30" customHeight="1">
      <c r="B280" s="19" t="str">
        <f>'PROJETO PERFURAÇÃO'!$C$2&amp;" - "&amp;'PROJETO PERFURAÇÃO'!$H$2</f>
        <v>LIB037 - PP0370626</v>
      </c>
      <c r="C280" s="19"/>
      <c r="D280" s="19"/>
      <c r="E280" s="19"/>
      <c r="F280" s="19"/>
      <c r="G280" s="19"/>
      <c r="H280" s="19"/>
      <c r="I280" s="11" t="s">
        <v>34</v>
      </c>
      <c r="J280" s="10" t="s">
        <v>37</v>
      </c>
    </row>
    <row r="281" spans="1:23" ht="30" customHeight="1">
      <c r="B281" s="19"/>
      <c r="C281" s="19"/>
      <c r="D281" s="19"/>
      <c r="E281" s="19"/>
      <c r="F281" s="19"/>
      <c r="G281" s="19"/>
      <c r="H281" s="19"/>
      <c r="I281" s="12" t="s">
        <v>35</v>
      </c>
      <c r="J281" s="10" t="s">
        <v>38</v>
      </c>
      <c r="K281" s="9"/>
      <c r="L281" s="9"/>
      <c r="M281" s="9"/>
      <c r="N281" s="9"/>
      <c r="O281" s="9"/>
      <c r="P281" s="9"/>
      <c r="Q281" s="9"/>
      <c r="R281" s="9"/>
      <c r="S281" s="9"/>
      <c r="T281" s="9"/>
      <c r="U281" s="9"/>
      <c r="V281" s="9"/>
    </row>
    <row r="282" spans="1:23" ht="30" customHeight="1">
      <c r="B282" s="19"/>
      <c r="C282" s="19"/>
      <c r="D282" s="19"/>
      <c r="E282" s="19"/>
      <c r="F282" s="19"/>
      <c r="G282" s="19"/>
      <c r="H282" s="19"/>
      <c r="I282" s="13" t="s">
        <v>36</v>
      </c>
      <c r="J282" s="10" t="s">
        <v>39</v>
      </c>
    </row>
    <row r="283" spans="1:23" ht="30" customHeight="1">
      <c r="A283" s="1"/>
      <c r="B283" s="6" t="s">
        <v>33</v>
      </c>
      <c r="C283" s="6" t="s">
        <v>13</v>
      </c>
      <c r="D283" s="7" t="s">
        <v>1</v>
      </c>
      <c r="E283" s="7" t="s">
        <v>29</v>
      </c>
      <c r="F283" s="7" t="s">
        <v>30</v>
      </c>
      <c r="G283" s="7" t="s">
        <v>31</v>
      </c>
      <c r="H283" s="7" t="s">
        <v>32</v>
      </c>
      <c r="I283" s="6" t="s">
        <v>33</v>
      </c>
      <c r="J283" s="6" t="s">
        <v>13</v>
      </c>
      <c r="K283" s="7" t="s">
        <v>1</v>
      </c>
      <c r="L283" s="7" t="s">
        <v>29</v>
      </c>
      <c r="M283" s="7" t="s">
        <v>30</v>
      </c>
      <c r="N283" s="7" t="s">
        <v>31</v>
      </c>
      <c r="O283" s="7" t="s">
        <v>32</v>
      </c>
      <c r="P283" s="6" t="s">
        <v>33</v>
      </c>
      <c r="Q283" s="6" t="s">
        <v>13</v>
      </c>
      <c r="R283" s="7" t="s">
        <v>1</v>
      </c>
      <c r="S283" s="7" t="s">
        <v>29</v>
      </c>
      <c r="T283" s="7" t="s">
        <v>30</v>
      </c>
      <c r="U283" s="7" t="s">
        <v>31</v>
      </c>
      <c r="V283" s="7" t="s">
        <v>32</v>
      </c>
      <c r="W283" s="1"/>
    </row>
    <row r="284" spans="1:23" ht="45" customHeight="1">
      <c r="B284" s="3" t="str">
        <f>IFERROR(ROUND(INDEX('PROJETO PERFURAÇÃO'!$AB:$AB,MATCH(MEDIÇÃO!D284,'PROJETO PERFURAÇÃO'!$B:$B,0)),1)&amp;"''","")</f>
        <v>5''</v>
      </c>
      <c r="C284" s="3" t="str">
        <f>IFERROR(IF(INDEX('PROJETO PERFURAÇÃO'!$P:$P,MATCH(MEDIÇÃO!D284,'PROJETO PERFURAÇÃO'!$B:$B,0))="Production","P",IF(INDEX('PROJETO PERFURAÇÃO'!$P:$P,MATCH(MEDIÇÃO!D284,'PROJETO PERFURAÇÃO'!$B:$B,0))="Buffer","B",IF(INDEX('PROJETO PERFURAÇÃO'!$P:$P,MATCH(MEDIÇÃO!D284,'PROJETO PERFURAÇÃO'!$B:$B,0))="Pre-Splitting","S"))),"")</f>
        <v>P</v>
      </c>
      <c r="D284" s="14">
        <f>R275+1</f>
        <v>622</v>
      </c>
      <c r="E284" s="4" t="str">
        <f>IFERROR(INDEX('LEV R&amp;D'!$D:$D,MATCH(MEDIÇÃO!D284,'LEV R&amp;D'!$A:$A,0))-INDEX('PROJETO PERFURAÇÃO'!$AH:$AH,MATCH(MEDIÇÃO!D284,'PROJETO PERFURAÇÃO'!$B:$B,0)),"")</f>
        <v/>
      </c>
      <c r="F284" s="17">
        <f>IFERROR(INDEX('PROJETO PERFURAÇÃO'!$AN:$AN,MATCH(MEDIÇÃO!D284,'PROJETO PERFURAÇÃO'!$B:$B,0)),"")</f>
        <v>0</v>
      </c>
      <c r="G284" s="3"/>
      <c r="H284" s="3"/>
      <c r="I284" s="3" t="str">
        <f>IFERROR(ROUND(INDEX('PROJETO PERFURAÇÃO'!$AB:$AB,MATCH(MEDIÇÃO!K284,'PROJETO PERFURAÇÃO'!$B:$B,0)),1)&amp;"''","")</f>
        <v>5''</v>
      </c>
      <c r="J284" s="3" t="str">
        <f>IFERROR(IF(INDEX('PROJETO PERFURAÇÃO'!$P:$P,MATCH(MEDIÇÃO!K284,'PROJETO PERFURAÇÃO'!$B:$B,0))="Production","P",IF(INDEX('PROJETO PERFURAÇÃO'!$P:$P,MATCH(MEDIÇÃO!K284,'PROJETO PERFURAÇÃO'!$B:$B,0))="Buffer","B",IF(INDEX('PROJETO PERFURAÇÃO'!$P:$P,MATCH(MEDIÇÃO!K284,'PROJETO PERFURAÇÃO'!$B:$B,0))="Pre-Splitting","S"))),"")</f>
        <v>P</v>
      </c>
      <c r="K284" s="14">
        <f>D306+1</f>
        <v>645</v>
      </c>
      <c r="L284" s="4" t="str">
        <f>IFERROR(INDEX('LEV R&amp;D'!$D:$D,MATCH(MEDIÇÃO!K284,'LEV R&amp;D'!$A:$A,0))-INDEX('PROJETO PERFURAÇÃO'!$AH:$AH,MATCH(MEDIÇÃO!K284,'PROJETO PERFURAÇÃO'!$B:$B,0)),"")</f>
        <v/>
      </c>
      <c r="M284" s="17">
        <f>IFERROR(INDEX('PROJETO PERFURAÇÃO'!$AN:$AN,MATCH(MEDIÇÃO!K284,'PROJETO PERFURAÇÃO'!$B:$B,0)),"")</f>
        <v>0</v>
      </c>
      <c r="N284" s="3"/>
      <c r="O284" s="3"/>
      <c r="P284" s="3" t="str">
        <f>IFERROR(ROUND(INDEX('PROJETO PERFURAÇÃO'!$AB:$AB,MATCH(MEDIÇÃO!R284,'PROJETO PERFURAÇÃO'!$B:$B,0)),1)&amp;"''","")</f>
        <v>5''</v>
      </c>
      <c r="Q284" s="3" t="str">
        <f>IFERROR(IF(INDEX('PROJETO PERFURAÇÃO'!$P:$P,MATCH(MEDIÇÃO!R284,'PROJETO PERFURAÇÃO'!$B:$B,0))="Production","P",IF(INDEX('PROJETO PERFURAÇÃO'!$P:$P,MATCH(MEDIÇÃO!R284,'PROJETO PERFURAÇÃO'!$B:$B,0))="Buffer","B",IF(INDEX('PROJETO PERFURAÇÃO'!$P:$P,MATCH(MEDIÇÃO!R284,'PROJETO PERFURAÇÃO'!$B:$B,0))="Pre-Splitting","S"))),"")</f>
        <v>P</v>
      </c>
      <c r="R284" s="14">
        <f>K306+1</f>
        <v>668</v>
      </c>
      <c r="S284" s="4" t="str">
        <f>IFERROR(INDEX('LEV R&amp;D'!$D:$D,MATCH(MEDIÇÃO!R284,'LEV R&amp;D'!$A:$A,0))-INDEX('PROJETO PERFURAÇÃO'!$AH:$AH,MATCH(MEDIÇÃO!R284,'PROJETO PERFURAÇÃO'!$B:$B,0)),"")</f>
        <v/>
      </c>
      <c r="T284" s="17">
        <f>IFERROR(INDEX('PROJETO PERFURAÇÃO'!$AN:$AN,MATCH(MEDIÇÃO!R284,'PROJETO PERFURAÇÃO'!$B:$B,0)),"")</f>
        <v>0</v>
      </c>
      <c r="U284" s="3"/>
      <c r="V284" s="3"/>
    </row>
    <row r="285" spans="1:23" ht="45" customHeight="1">
      <c r="B285" s="3" t="str">
        <f>IFERROR(ROUND(INDEX('PROJETO PERFURAÇÃO'!$AB:$AB,MATCH(MEDIÇÃO!D285,'PROJETO PERFURAÇÃO'!$B:$B,0)),1)&amp;"''","")</f>
        <v>5''</v>
      </c>
      <c r="C285" s="3" t="str">
        <f>IFERROR(IF(INDEX('PROJETO PERFURAÇÃO'!$P:$P,MATCH(MEDIÇÃO!D285,'PROJETO PERFURAÇÃO'!$B:$B,0))="Production","P",IF(INDEX('PROJETO PERFURAÇÃO'!$P:$P,MATCH(MEDIÇÃO!D285,'PROJETO PERFURAÇÃO'!$B:$B,0))="Buffer","B",IF(INDEX('PROJETO PERFURAÇÃO'!$P:$P,MATCH(MEDIÇÃO!D285,'PROJETO PERFURAÇÃO'!$B:$B,0))="Pre-Splitting","S"))),"")</f>
        <v>P</v>
      </c>
      <c r="D285" s="14">
        <f>D284+1</f>
        <v>623</v>
      </c>
      <c r="E285" s="4" t="str">
        <f>IFERROR(INDEX('LEV R&amp;D'!$D:$D,MATCH(MEDIÇÃO!D285,'LEV R&amp;D'!$A:$A,0))-INDEX('PROJETO PERFURAÇÃO'!$AH:$AH,MATCH(MEDIÇÃO!D285,'PROJETO PERFURAÇÃO'!$B:$B,0)),"")</f>
        <v/>
      </c>
      <c r="F285" s="17">
        <f>IFERROR(INDEX('PROJETO PERFURAÇÃO'!$AN:$AN,MATCH(MEDIÇÃO!D285,'PROJETO PERFURAÇÃO'!$B:$B,0)),"")</f>
        <v>0</v>
      </c>
      <c r="G285" s="3"/>
      <c r="H285" s="3"/>
      <c r="I285" s="3" t="str">
        <f>IFERROR(ROUND(INDEX('PROJETO PERFURAÇÃO'!$AB:$AB,MATCH(MEDIÇÃO!K285,'PROJETO PERFURAÇÃO'!$B:$B,0)),1)&amp;"''","")</f>
        <v>5''</v>
      </c>
      <c r="J285" s="3" t="str">
        <f>IFERROR(IF(INDEX('PROJETO PERFURAÇÃO'!$P:$P,MATCH(MEDIÇÃO!K285,'PROJETO PERFURAÇÃO'!$B:$B,0))="Production","P",IF(INDEX('PROJETO PERFURAÇÃO'!$P:$P,MATCH(MEDIÇÃO!K285,'PROJETO PERFURAÇÃO'!$B:$B,0))="Buffer","B",IF(INDEX('PROJETO PERFURAÇÃO'!$P:$P,MATCH(MEDIÇÃO!K285,'PROJETO PERFURAÇÃO'!$B:$B,0))="Pre-Splitting","S"))),"")</f>
        <v>P</v>
      </c>
      <c r="K285" s="14">
        <f>K284+1</f>
        <v>646</v>
      </c>
      <c r="L285" s="4" t="str">
        <f>IFERROR(INDEX('LEV R&amp;D'!$D:$D,MATCH(MEDIÇÃO!K285,'LEV R&amp;D'!$A:$A,0))-INDEX('PROJETO PERFURAÇÃO'!$AH:$AH,MATCH(MEDIÇÃO!K285,'PROJETO PERFURAÇÃO'!$B:$B,0)),"")</f>
        <v/>
      </c>
      <c r="M285" s="17">
        <f>IFERROR(INDEX('PROJETO PERFURAÇÃO'!$AN:$AN,MATCH(MEDIÇÃO!K285,'PROJETO PERFURAÇÃO'!$B:$B,0)),"")</f>
        <v>0</v>
      </c>
      <c r="N285" s="3"/>
      <c r="O285" s="3"/>
      <c r="P285" s="3" t="str">
        <f>IFERROR(ROUND(INDEX('PROJETO PERFURAÇÃO'!$AB:$AB,MATCH(MEDIÇÃO!R285,'PROJETO PERFURAÇÃO'!$B:$B,0)),1)&amp;"''","")</f>
        <v>5''</v>
      </c>
      <c r="Q285" s="3" t="str">
        <f>IFERROR(IF(INDEX('PROJETO PERFURAÇÃO'!$P:$P,MATCH(MEDIÇÃO!R285,'PROJETO PERFURAÇÃO'!$B:$B,0))="Production","P",IF(INDEX('PROJETO PERFURAÇÃO'!$P:$P,MATCH(MEDIÇÃO!R285,'PROJETO PERFURAÇÃO'!$B:$B,0))="Buffer","B",IF(INDEX('PROJETO PERFURAÇÃO'!$P:$P,MATCH(MEDIÇÃO!R285,'PROJETO PERFURAÇÃO'!$B:$B,0))="Pre-Splitting","S"))),"")</f>
        <v>P</v>
      </c>
      <c r="R285" s="14">
        <f>R284+1</f>
        <v>669</v>
      </c>
      <c r="S285" s="4" t="str">
        <f>IFERROR(INDEX('LEV R&amp;D'!$D:$D,MATCH(MEDIÇÃO!R285,'LEV R&amp;D'!$A:$A,0))-INDEX('PROJETO PERFURAÇÃO'!$AH:$AH,MATCH(MEDIÇÃO!R285,'PROJETO PERFURAÇÃO'!$B:$B,0)),"")</f>
        <v/>
      </c>
      <c r="T285" s="17">
        <f>IFERROR(INDEX('PROJETO PERFURAÇÃO'!$AN:$AN,MATCH(MEDIÇÃO!R285,'PROJETO PERFURAÇÃO'!$B:$B,0)),"")</f>
        <v>0</v>
      </c>
      <c r="U285" s="3"/>
      <c r="V285" s="3"/>
    </row>
    <row r="286" spans="1:23" ht="45" customHeight="1">
      <c r="B286" s="3" t="str">
        <f>IFERROR(ROUND(INDEX('PROJETO PERFURAÇÃO'!$AB:$AB,MATCH(MEDIÇÃO!D286,'PROJETO PERFURAÇÃO'!$B:$B,0)),1)&amp;"''","")</f>
        <v>5''</v>
      </c>
      <c r="C286" s="3" t="str">
        <f>IFERROR(IF(INDEX('PROJETO PERFURAÇÃO'!$P:$P,MATCH(MEDIÇÃO!D286,'PROJETO PERFURAÇÃO'!$B:$B,0))="Production","P",IF(INDEX('PROJETO PERFURAÇÃO'!$P:$P,MATCH(MEDIÇÃO!D286,'PROJETO PERFURAÇÃO'!$B:$B,0))="Buffer","B",IF(INDEX('PROJETO PERFURAÇÃO'!$P:$P,MATCH(MEDIÇÃO!D286,'PROJETO PERFURAÇÃO'!$B:$B,0))="Pre-Splitting","S"))),"")</f>
        <v>P</v>
      </c>
      <c r="D286" s="14">
        <f t="shared" ref="D286:D306" si="27">D285+1</f>
        <v>624</v>
      </c>
      <c r="E286" s="4" t="str">
        <f>IFERROR(INDEX('LEV R&amp;D'!$D:$D,MATCH(MEDIÇÃO!D286,'LEV R&amp;D'!$A:$A,0))-INDEX('PROJETO PERFURAÇÃO'!$AH:$AH,MATCH(MEDIÇÃO!D286,'PROJETO PERFURAÇÃO'!$B:$B,0)),"")</f>
        <v/>
      </c>
      <c r="F286" s="17">
        <f>IFERROR(INDEX('PROJETO PERFURAÇÃO'!$AN:$AN,MATCH(MEDIÇÃO!D286,'PROJETO PERFURAÇÃO'!$B:$B,0)),"")</f>
        <v>0</v>
      </c>
      <c r="G286" s="3"/>
      <c r="H286" s="3"/>
      <c r="I286" s="3" t="str">
        <f>IFERROR(ROUND(INDEX('PROJETO PERFURAÇÃO'!$AB:$AB,MATCH(MEDIÇÃO!K286,'PROJETO PERFURAÇÃO'!$B:$B,0)),1)&amp;"''","")</f>
        <v>5''</v>
      </c>
      <c r="J286" s="3" t="str">
        <f>IFERROR(IF(INDEX('PROJETO PERFURAÇÃO'!$P:$P,MATCH(MEDIÇÃO!K286,'PROJETO PERFURAÇÃO'!$B:$B,0))="Production","P",IF(INDEX('PROJETO PERFURAÇÃO'!$P:$P,MATCH(MEDIÇÃO!K286,'PROJETO PERFURAÇÃO'!$B:$B,0))="Buffer","B",IF(INDEX('PROJETO PERFURAÇÃO'!$P:$P,MATCH(MEDIÇÃO!K286,'PROJETO PERFURAÇÃO'!$B:$B,0))="Pre-Splitting","S"))),"")</f>
        <v>P</v>
      </c>
      <c r="K286" s="14">
        <f t="shared" ref="K286:K306" si="28">K285+1</f>
        <v>647</v>
      </c>
      <c r="L286" s="4" t="str">
        <f>IFERROR(INDEX('LEV R&amp;D'!$D:$D,MATCH(MEDIÇÃO!K286,'LEV R&amp;D'!$A:$A,0))-INDEX('PROJETO PERFURAÇÃO'!$AH:$AH,MATCH(MEDIÇÃO!K286,'PROJETO PERFURAÇÃO'!$B:$B,0)),"")</f>
        <v/>
      </c>
      <c r="M286" s="17">
        <f>IFERROR(INDEX('PROJETO PERFURAÇÃO'!$AN:$AN,MATCH(MEDIÇÃO!K286,'PROJETO PERFURAÇÃO'!$B:$B,0)),"")</f>
        <v>0</v>
      </c>
      <c r="N286" s="3"/>
      <c r="O286" s="3"/>
      <c r="P286" s="3" t="str">
        <f>IFERROR(ROUND(INDEX('PROJETO PERFURAÇÃO'!$AB:$AB,MATCH(MEDIÇÃO!R286,'PROJETO PERFURAÇÃO'!$B:$B,0)),1)&amp;"''","")</f>
        <v>5''</v>
      </c>
      <c r="Q286" s="3" t="str">
        <f>IFERROR(IF(INDEX('PROJETO PERFURAÇÃO'!$P:$P,MATCH(MEDIÇÃO!R286,'PROJETO PERFURAÇÃO'!$B:$B,0))="Production","P",IF(INDEX('PROJETO PERFURAÇÃO'!$P:$P,MATCH(MEDIÇÃO!R286,'PROJETO PERFURAÇÃO'!$B:$B,0))="Buffer","B",IF(INDEX('PROJETO PERFURAÇÃO'!$P:$P,MATCH(MEDIÇÃO!R286,'PROJETO PERFURAÇÃO'!$B:$B,0))="Pre-Splitting","S"))),"")</f>
        <v>P</v>
      </c>
      <c r="R286" s="14">
        <f t="shared" ref="R286:R306" si="29">R285+1</f>
        <v>670</v>
      </c>
      <c r="S286" s="4" t="str">
        <f>IFERROR(INDEX('LEV R&amp;D'!$D:$D,MATCH(MEDIÇÃO!R286,'LEV R&amp;D'!$A:$A,0))-INDEX('PROJETO PERFURAÇÃO'!$AH:$AH,MATCH(MEDIÇÃO!R286,'PROJETO PERFURAÇÃO'!$B:$B,0)),"")</f>
        <v/>
      </c>
      <c r="T286" s="17">
        <f>IFERROR(INDEX('PROJETO PERFURAÇÃO'!$AN:$AN,MATCH(MEDIÇÃO!R286,'PROJETO PERFURAÇÃO'!$B:$B,0)),"")</f>
        <v>0</v>
      </c>
      <c r="U286" s="3"/>
      <c r="V286" s="3"/>
    </row>
    <row r="287" spans="1:23" ht="45" customHeight="1">
      <c r="B287" s="3" t="str">
        <f>IFERROR(ROUND(INDEX('PROJETO PERFURAÇÃO'!$AB:$AB,MATCH(MEDIÇÃO!D287,'PROJETO PERFURAÇÃO'!$B:$B,0)),1)&amp;"''","")</f>
        <v>5''</v>
      </c>
      <c r="C287" s="3" t="str">
        <f>IFERROR(IF(INDEX('PROJETO PERFURAÇÃO'!$P:$P,MATCH(MEDIÇÃO!D287,'PROJETO PERFURAÇÃO'!$B:$B,0))="Production","P",IF(INDEX('PROJETO PERFURAÇÃO'!$P:$P,MATCH(MEDIÇÃO!D287,'PROJETO PERFURAÇÃO'!$B:$B,0))="Buffer","B",IF(INDEX('PROJETO PERFURAÇÃO'!$P:$P,MATCH(MEDIÇÃO!D287,'PROJETO PERFURAÇÃO'!$B:$B,0))="Pre-Splitting","S"))),"")</f>
        <v>P</v>
      </c>
      <c r="D287" s="14">
        <f t="shared" si="27"/>
        <v>625</v>
      </c>
      <c r="E287" s="4" t="str">
        <f>IFERROR(INDEX('LEV R&amp;D'!$D:$D,MATCH(MEDIÇÃO!D287,'LEV R&amp;D'!$A:$A,0))-INDEX('PROJETO PERFURAÇÃO'!$AH:$AH,MATCH(MEDIÇÃO!D287,'PROJETO PERFURAÇÃO'!$B:$B,0)),"")</f>
        <v/>
      </c>
      <c r="F287" s="17">
        <f>IFERROR(INDEX('PROJETO PERFURAÇÃO'!$AN:$AN,MATCH(MEDIÇÃO!D287,'PROJETO PERFURAÇÃO'!$B:$B,0)),"")</f>
        <v>0</v>
      </c>
      <c r="G287" s="3"/>
      <c r="H287" s="3"/>
      <c r="I287" s="3" t="str">
        <f>IFERROR(ROUND(INDEX('PROJETO PERFURAÇÃO'!$AB:$AB,MATCH(MEDIÇÃO!K287,'PROJETO PERFURAÇÃO'!$B:$B,0)),1)&amp;"''","")</f>
        <v>5''</v>
      </c>
      <c r="J287" s="3" t="str">
        <f>IFERROR(IF(INDEX('PROJETO PERFURAÇÃO'!$P:$P,MATCH(MEDIÇÃO!K287,'PROJETO PERFURAÇÃO'!$B:$B,0))="Production","P",IF(INDEX('PROJETO PERFURAÇÃO'!$P:$P,MATCH(MEDIÇÃO!K287,'PROJETO PERFURAÇÃO'!$B:$B,0))="Buffer","B",IF(INDEX('PROJETO PERFURAÇÃO'!$P:$P,MATCH(MEDIÇÃO!K287,'PROJETO PERFURAÇÃO'!$B:$B,0))="Pre-Splitting","S"))),"")</f>
        <v>P</v>
      </c>
      <c r="K287" s="14">
        <f t="shared" si="28"/>
        <v>648</v>
      </c>
      <c r="L287" s="4" t="str">
        <f>IFERROR(INDEX('LEV R&amp;D'!$D:$D,MATCH(MEDIÇÃO!K287,'LEV R&amp;D'!$A:$A,0))-INDEX('PROJETO PERFURAÇÃO'!$AH:$AH,MATCH(MEDIÇÃO!K287,'PROJETO PERFURAÇÃO'!$B:$B,0)),"")</f>
        <v/>
      </c>
      <c r="M287" s="17">
        <f>IFERROR(INDEX('PROJETO PERFURAÇÃO'!$AN:$AN,MATCH(MEDIÇÃO!K287,'PROJETO PERFURAÇÃO'!$B:$B,0)),"")</f>
        <v>0</v>
      </c>
      <c r="N287" s="3"/>
      <c r="O287" s="3"/>
      <c r="P287" s="3" t="str">
        <f>IFERROR(ROUND(INDEX('PROJETO PERFURAÇÃO'!$AB:$AB,MATCH(MEDIÇÃO!R287,'PROJETO PERFURAÇÃO'!$B:$B,0)),1)&amp;"''","")</f>
        <v>5''</v>
      </c>
      <c r="Q287" s="3" t="str">
        <f>IFERROR(IF(INDEX('PROJETO PERFURAÇÃO'!$P:$P,MATCH(MEDIÇÃO!R287,'PROJETO PERFURAÇÃO'!$B:$B,0))="Production","P",IF(INDEX('PROJETO PERFURAÇÃO'!$P:$P,MATCH(MEDIÇÃO!R287,'PROJETO PERFURAÇÃO'!$B:$B,0))="Buffer","B",IF(INDEX('PROJETO PERFURAÇÃO'!$P:$P,MATCH(MEDIÇÃO!R287,'PROJETO PERFURAÇÃO'!$B:$B,0))="Pre-Splitting","S"))),"")</f>
        <v>P</v>
      </c>
      <c r="R287" s="14">
        <f t="shared" si="29"/>
        <v>671</v>
      </c>
      <c r="S287" s="4" t="str">
        <f>IFERROR(INDEX('LEV R&amp;D'!$D:$D,MATCH(MEDIÇÃO!R287,'LEV R&amp;D'!$A:$A,0))-INDEX('PROJETO PERFURAÇÃO'!$AH:$AH,MATCH(MEDIÇÃO!R287,'PROJETO PERFURAÇÃO'!$B:$B,0)),"")</f>
        <v/>
      </c>
      <c r="T287" s="17">
        <f>IFERROR(INDEX('PROJETO PERFURAÇÃO'!$AN:$AN,MATCH(MEDIÇÃO!R287,'PROJETO PERFURAÇÃO'!$B:$B,0)),"")</f>
        <v>0</v>
      </c>
      <c r="U287" s="3"/>
      <c r="V287" s="3"/>
    </row>
    <row r="288" spans="1:23" ht="45" customHeight="1">
      <c r="B288" s="3" t="str">
        <f>IFERROR(ROUND(INDEX('PROJETO PERFURAÇÃO'!$AB:$AB,MATCH(MEDIÇÃO!D288,'PROJETO PERFURAÇÃO'!$B:$B,0)),1)&amp;"''","")</f>
        <v>5''</v>
      </c>
      <c r="C288" s="3" t="str">
        <f>IFERROR(IF(INDEX('PROJETO PERFURAÇÃO'!$P:$P,MATCH(MEDIÇÃO!D288,'PROJETO PERFURAÇÃO'!$B:$B,0))="Production","P",IF(INDEX('PROJETO PERFURAÇÃO'!$P:$P,MATCH(MEDIÇÃO!D288,'PROJETO PERFURAÇÃO'!$B:$B,0))="Buffer","B",IF(INDEX('PROJETO PERFURAÇÃO'!$P:$P,MATCH(MEDIÇÃO!D288,'PROJETO PERFURAÇÃO'!$B:$B,0))="Pre-Splitting","S"))),"")</f>
        <v>P</v>
      </c>
      <c r="D288" s="14">
        <f t="shared" si="27"/>
        <v>626</v>
      </c>
      <c r="E288" s="4" t="str">
        <f>IFERROR(INDEX('LEV R&amp;D'!$D:$D,MATCH(MEDIÇÃO!D288,'LEV R&amp;D'!$A:$A,0))-INDEX('PROJETO PERFURAÇÃO'!$AH:$AH,MATCH(MEDIÇÃO!D288,'PROJETO PERFURAÇÃO'!$B:$B,0)),"")</f>
        <v/>
      </c>
      <c r="F288" s="17">
        <f>IFERROR(INDEX('PROJETO PERFURAÇÃO'!$AN:$AN,MATCH(MEDIÇÃO!D288,'PROJETO PERFURAÇÃO'!$B:$B,0)),"")</f>
        <v>0</v>
      </c>
      <c r="G288" s="3"/>
      <c r="H288" s="3"/>
      <c r="I288" s="3" t="str">
        <f>IFERROR(ROUND(INDEX('PROJETO PERFURAÇÃO'!$AB:$AB,MATCH(MEDIÇÃO!K288,'PROJETO PERFURAÇÃO'!$B:$B,0)),1)&amp;"''","")</f>
        <v>5''</v>
      </c>
      <c r="J288" s="3" t="str">
        <f>IFERROR(IF(INDEX('PROJETO PERFURAÇÃO'!$P:$P,MATCH(MEDIÇÃO!K288,'PROJETO PERFURAÇÃO'!$B:$B,0))="Production","P",IF(INDEX('PROJETO PERFURAÇÃO'!$P:$P,MATCH(MEDIÇÃO!K288,'PROJETO PERFURAÇÃO'!$B:$B,0))="Buffer","B",IF(INDEX('PROJETO PERFURAÇÃO'!$P:$P,MATCH(MEDIÇÃO!K288,'PROJETO PERFURAÇÃO'!$B:$B,0))="Pre-Splitting","S"))),"")</f>
        <v>P</v>
      </c>
      <c r="K288" s="14">
        <f t="shared" si="28"/>
        <v>649</v>
      </c>
      <c r="L288" s="4" t="str">
        <f>IFERROR(INDEX('LEV R&amp;D'!$D:$D,MATCH(MEDIÇÃO!K288,'LEV R&amp;D'!$A:$A,0))-INDEX('PROJETO PERFURAÇÃO'!$AH:$AH,MATCH(MEDIÇÃO!K288,'PROJETO PERFURAÇÃO'!$B:$B,0)),"")</f>
        <v/>
      </c>
      <c r="M288" s="17">
        <f>IFERROR(INDEX('PROJETO PERFURAÇÃO'!$AN:$AN,MATCH(MEDIÇÃO!K288,'PROJETO PERFURAÇÃO'!$B:$B,0)),"")</f>
        <v>0</v>
      </c>
      <c r="N288" s="3"/>
      <c r="O288" s="3"/>
      <c r="P288" s="3" t="str">
        <f>IFERROR(ROUND(INDEX('PROJETO PERFURAÇÃO'!$AB:$AB,MATCH(MEDIÇÃO!R288,'PROJETO PERFURAÇÃO'!$B:$B,0)),1)&amp;"''","")</f>
        <v>5''</v>
      </c>
      <c r="Q288" s="3" t="str">
        <f>IFERROR(IF(INDEX('PROJETO PERFURAÇÃO'!$P:$P,MATCH(MEDIÇÃO!R288,'PROJETO PERFURAÇÃO'!$B:$B,0))="Production","P",IF(INDEX('PROJETO PERFURAÇÃO'!$P:$P,MATCH(MEDIÇÃO!R288,'PROJETO PERFURAÇÃO'!$B:$B,0))="Buffer","B",IF(INDEX('PROJETO PERFURAÇÃO'!$P:$P,MATCH(MEDIÇÃO!R288,'PROJETO PERFURAÇÃO'!$B:$B,0))="Pre-Splitting","S"))),"")</f>
        <v>P</v>
      </c>
      <c r="R288" s="14">
        <f t="shared" si="29"/>
        <v>672</v>
      </c>
      <c r="S288" s="4" t="str">
        <f>IFERROR(INDEX('LEV R&amp;D'!$D:$D,MATCH(MEDIÇÃO!R288,'LEV R&amp;D'!$A:$A,0))-INDEX('PROJETO PERFURAÇÃO'!$AH:$AH,MATCH(MEDIÇÃO!R288,'PROJETO PERFURAÇÃO'!$B:$B,0)),"")</f>
        <v/>
      </c>
      <c r="T288" s="17">
        <f>IFERROR(INDEX('PROJETO PERFURAÇÃO'!$AN:$AN,MATCH(MEDIÇÃO!R288,'PROJETO PERFURAÇÃO'!$B:$B,0)),"")</f>
        <v>0</v>
      </c>
      <c r="U288" s="3"/>
      <c r="V288" s="3"/>
    </row>
    <row r="289" spans="2:22" ht="45" customHeight="1">
      <c r="B289" s="3" t="str">
        <f>IFERROR(ROUND(INDEX('PROJETO PERFURAÇÃO'!$AB:$AB,MATCH(MEDIÇÃO!D289,'PROJETO PERFURAÇÃO'!$B:$B,0)),1)&amp;"''","")</f>
        <v>5''</v>
      </c>
      <c r="C289" s="3" t="str">
        <f>IFERROR(IF(INDEX('PROJETO PERFURAÇÃO'!$P:$P,MATCH(MEDIÇÃO!D289,'PROJETO PERFURAÇÃO'!$B:$B,0))="Production","P",IF(INDEX('PROJETO PERFURAÇÃO'!$P:$P,MATCH(MEDIÇÃO!D289,'PROJETO PERFURAÇÃO'!$B:$B,0))="Buffer","B",IF(INDEX('PROJETO PERFURAÇÃO'!$P:$P,MATCH(MEDIÇÃO!D289,'PROJETO PERFURAÇÃO'!$B:$B,0))="Pre-Splitting","S"))),"")</f>
        <v>P</v>
      </c>
      <c r="D289" s="14">
        <f t="shared" si="27"/>
        <v>627</v>
      </c>
      <c r="E289" s="4" t="str">
        <f>IFERROR(INDEX('LEV R&amp;D'!$D:$D,MATCH(MEDIÇÃO!D289,'LEV R&amp;D'!$A:$A,0))-INDEX('PROJETO PERFURAÇÃO'!$AH:$AH,MATCH(MEDIÇÃO!D289,'PROJETO PERFURAÇÃO'!$B:$B,0)),"")</f>
        <v/>
      </c>
      <c r="F289" s="17">
        <f>IFERROR(INDEX('PROJETO PERFURAÇÃO'!$AN:$AN,MATCH(MEDIÇÃO!D289,'PROJETO PERFURAÇÃO'!$B:$B,0)),"")</f>
        <v>0</v>
      </c>
      <c r="G289" s="3"/>
      <c r="H289" s="3"/>
      <c r="I289" s="3" t="str">
        <f>IFERROR(ROUND(INDEX('PROJETO PERFURAÇÃO'!$AB:$AB,MATCH(MEDIÇÃO!K289,'PROJETO PERFURAÇÃO'!$B:$B,0)),1)&amp;"''","")</f>
        <v>5''</v>
      </c>
      <c r="J289" s="3" t="str">
        <f>IFERROR(IF(INDEX('PROJETO PERFURAÇÃO'!$P:$P,MATCH(MEDIÇÃO!K289,'PROJETO PERFURAÇÃO'!$B:$B,0))="Production","P",IF(INDEX('PROJETO PERFURAÇÃO'!$P:$P,MATCH(MEDIÇÃO!K289,'PROJETO PERFURAÇÃO'!$B:$B,0))="Buffer","B",IF(INDEX('PROJETO PERFURAÇÃO'!$P:$P,MATCH(MEDIÇÃO!K289,'PROJETO PERFURAÇÃO'!$B:$B,0))="Pre-Splitting","S"))),"")</f>
        <v>P</v>
      </c>
      <c r="K289" s="14">
        <f t="shared" si="28"/>
        <v>650</v>
      </c>
      <c r="L289" s="4" t="str">
        <f>IFERROR(INDEX('LEV R&amp;D'!$D:$D,MATCH(MEDIÇÃO!K289,'LEV R&amp;D'!$A:$A,0))-INDEX('PROJETO PERFURAÇÃO'!$AH:$AH,MATCH(MEDIÇÃO!K289,'PROJETO PERFURAÇÃO'!$B:$B,0)),"")</f>
        <v/>
      </c>
      <c r="M289" s="17">
        <f>IFERROR(INDEX('PROJETO PERFURAÇÃO'!$AN:$AN,MATCH(MEDIÇÃO!K289,'PROJETO PERFURAÇÃO'!$B:$B,0)),"")</f>
        <v>0</v>
      </c>
      <c r="N289" s="3"/>
      <c r="O289" s="3"/>
      <c r="P289" s="3" t="str">
        <f>IFERROR(ROUND(INDEX('PROJETO PERFURAÇÃO'!$AB:$AB,MATCH(MEDIÇÃO!R289,'PROJETO PERFURAÇÃO'!$B:$B,0)),1)&amp;"''","")</f>
        <v>5''</v>
      </c>
      <c r="Q289" s="3" t="str">
        <f>IFERROR(IF(INDEX('PROJETO PERFURAÇÃO'!$P:$P,MATCH(MEDIÇÃO!R289,'PROJETO PERFURAÇÃO'!$B:$B,0))="Production","P",IF(INDEX('PROJETO PERFURAÇÃO'!$P:$P,MATCH(MEDIÇÃO!R289,'PROJETO PERFURAÇÃO'!$B:$B,0))="Buffer","B",IF(INDEX('PROJETO PERFURAÇÃO'!$P:$P,MATCH(MEDIÇÃO!R289,'PROJETO PERFURAÇÃO'!$B:$B,0))="Pre-Splitting","S"))),"")</f>
        <v>P</v>
      </c>
      <c r="R289" s="14">
        <f t="shared" si="29"/>
        <v>673</v>
      </c>
      <c r="S289" s="4" t="str">
        <f>IFERROR(INDEX('LEV R&amp;D'!$D:$D,MATCH(MEDIÇÃO!R289,'LEV R&amp;D'!$A:$A,0))-INDEX('PROJETO PERFURAÇÃO'!$AH:$AH,MATCH(MEDIÇÃO!R289,'PROJETO PERFURAÇÃO'!$B:$B,0)),"")</f>
        <v/>
      </c>
      <c r="T289" s="17">
        <f>IFERROR(INDEX('PROJETO PERFURAÇÃO'!$AN:$AN,MATCH(MEDIÇÃO!R289,'PROJETO PERFURAÇÃO'!$B:$B,0)),"")</f>
        <v>0</v>
      </c>
      <c r="U289" s="3"/>
      <c r="V289" s="3"/>
    </row>
    <row r="290" spans="2:22" ht="45" customHeight="1">
      <c r="B290" s="3" t="str">
        <f>IFERROR(ROUND(INDEX('PROJETO PERFURAÇÃO'!$AB:$AB,MATCH(MEDIÇÃO!D290,'PROJETO PERFURAÇÃO'!$B:$B,0)),1)&amp;"''","")</f>
        <v>5''</v>
      </c>
      <c r="C290" s="3" t="str">
        <f>IFERROR(IF(INDEX('PROJETO PERFURAÇÃO'!$P:$P,MATCH(MEDIÇÃO!D290,'PROJETO PERFURAÇÃO'!$B:$B,0))="Production","P",IF(INDEX('PROJETO PERFURAÇÃO'!$P:$P,MATCH(MEDIÇÃO!D290,'PROJETO PERFURAÇÃO'!$B:$B,0))="Buffer","B",IF(INDEX('PROJETO PERFURAÇÃO'!$P:$P,MATCH(MEDIÇÃO!D290,'PROJETO PERFURAÇÃO'!$B:$B,0))="Pre-Splitting","S"))),"")</f>
        <v>P</v>
      </c>
      <c r="D290" s="14">
        <f t="shared" si="27"/>
        <v>628</v>
      </c>
      <c r="E290" s="4" t="str">
        <f>IFERROR(INDEX('LEV R&amp;D'!$D:$D,MATCH(MEDIÇÃO!D290,'LEV R&amp;D'!$A:$A,0))-INDEX('PROJETO PERFURAÇÃO'!$AH:$AH,MATCH(MEDIÇÃO!D290,'PROJETO PERFURAÇÃO'!$B:$B,0)),"")</f>
        <v/>
      </c>
      <c r="F290" s="17">
        <f>IFERROR(INDEX('PROJETO PERFURAÇÃO'!$AN:$AN,MATCH(MEDIÇÃO!D290,'PROJETO PERFURAÇÃO'!$B:$B,0)),"")</f>
        <v>0</v>
      </c>
      <c r="G290" s="3"/>
      <c r="H290" s="3"/>
      <c r="I290" s="3" t="str">
        <f>IFERROR(ROUND(INDEX('PROJETO PERFURAÇÃO'!$AB:$AB,MATCH(MEDIÇÃO!K290,'PROJETO PERFURAÇÃO'!$B:$B,0)),1)&amp;"''","")</f>
        <v>5''</v>
      </c>
      <c r="J290" s="3" t="str">
        <f>IFERROR(IF(INDEX('PROJETO PERFURAÇÃO'!$P:$P,MATCH(MEDIÇÃO!K290,'PROJETO PERFURAÇÃO'!$B:$B,0))="Production","P",IF(INDEX('PROJETO PERFURAÇÃO'!$P:$P,MATCH(MEDIÇÃO!K290,'PROJETO PERFURAÇÃO'!$B:$B,0))="Buffer","B",IF(INDEX('PROJETO PERFURAÇÃO'!$P:$P,MATCH(MEDIÇÃO!K290,'PROJETO PERFURAÇÃO'!$B:$B,0))="Pre-Splitting","S"))),"")</f>
        <v>P</v>
      </c>
      <c r="K290" s="14">
        <f t="shared" si="28"/>
        <v>651</v>
      </c>
      <c r="L290" s="4" t="str">
        <f>IFERROR(INDEX('LEV R&amp;D'!$D:$D,MATCH(MEDIÇÃO!K290,'LEV R&amp;D'!$A:$A,0))-INDEX('PROJETO PERFURAÇÃO'!$AH:$AH,MATCH(MEDIÇÃO!K290,'PROJETO PERFURAÇÃO'!$B:$B,0)),"")</f>
        <v/>
      </c>
      <c r="M290" s="17">
        <f>IFERROR(INDEX('PROJETO PERFURAÇÃO'!$AN:$AN,MATCH(MEDIÇÃO!K290,'PROJETO PERFURAÇÃO'!$B:$B,0)),"")</f>
        <v>0</v>
      </c>
      <c r="N290" s="3"/>
      <c r="O290" s="3"/>
      <c r="P290" s="3" t="str">
        <f>IFERROR(ROUND(INDEX('PROJETO PERFURAÇÃO'!$AB:$AB,MATCH(MEDIÇÃO!R290,'PROJETO PERFURAÇÃO'!$B:$B,0)),1)&amp;"''","")</f>
        <v>5''</v>
      </c>
      <c r="Q290" s="3" t="str">
        <f>IFERROR(IF(INDEX('PROJETO PERFURAÇÃO'!$P:$P,MATCH(MEDIÇÃO!R290,'PROJETO PERFURAÇÃO'!$B:$B,0))="Production","P",IF(INDEX('PROJETO PERFURAÇÃO'!$P:$P,MATCH(MEDIÇÃO!R290,'PROJETO PERFURAÇÃO'!$B:$B,0))="Buffer","B",IF(INDEX('PROJETO PERFURAÇÃO'!$P:$P,MATCH(MEDIÇÃO!R290,'PROJETO PERFURAÇÃO'!$B:$B,0))="Pre-Splitting","S"))),"")</f>
        <v>P</v>
      </c>
      <c r="R290" s="14">
        <f t="shared" si="29"/>
        <v>674</v>
      </c>
      <c r="S290" s="4" t="str">
        <f>IFERROR(INDEX('LEV R&amp;D'!$D:$D,MATCH(MEDIÇÃO!R290,'LEV R&amp;D'!$A:$A,0))-INDEX('PROJETO PERFURAÇÃO'!$AH:$AH,MATCH(MEDIÇÃO!R290,'PROJETO PERFURAÇÃO'!$B:$B,0)),"")</f>
        <v/>
      </c>
      <c r="T290" s="17">
        <f>IFERROR(INDEX('PROJETO PERFURAÇÃO'!$AN:$AN,MATCH(MEDIÇÃO!R290,'PROJETO PERFURAÇÃO'!$B:$B,0)),"")</f>
        <v>0</v>
      </c>
      <c r="U290" s="3"/>
      <c r="V290" s="3"/>
    </row>
    <row r="291" spans="2:22" ht="45" customHeight="1">
      <c r="B291" s="3" t="str">
        <f>IFERROR(ROUND(INDEX('PROJETO PERFURAÇÃO'!$AB:$AB,MATCH(MEDIÇÃO!D291,'PROJETO PERFURAÇÃO'!$B:$B,0)),1)&amp;"''","")</f>
        <v>5''</v>
      </c>
      <c r="C291" s="3" t="str">
        <f>IFERROR(IF(INDEX('PROJETO PERFURAÇÃO'!$P:$P,MATCH(MEDIÇÃO!D291,'PROJETO PERFURAÇÃO'!$B:$B,0))="Production","P",IF(INDEX('PROJETO PERFURAÇÃO'!$P:$P,MATCH(MEDIÇÃO!D291,'PROJETO PERFURAÇÃO'!$B:$B,0))="Buffer","B",IF(INDEX('PROJETO PERFURAÇÃO'!$P:$P,MATCH(MEDIÇÃO!D291,'PROJETO PERFURAÇÃO'!$B:$B,0))="Pre-Splitting","S"))),"")</f>
        <v>P</v>
      </c>
      <c r="D291" s="14">
        <f t="shared" si="27"/>
        <v>629</v>
      </c>
      <c r="E291" s="4" t="str">
        <f>IFERROR(INDEX('LEV R&amp;D'!$D:$D,MATCH(MEDIÇÃO!D291,'LEV R&amp;D'!$A:$A,0))-INDEX('PROJETO PERFURAÇÃO'!$AH:$AH,MATCH(MEDIÇÃO!D291,'PROJETO PERFURAÇÃO'!$B:$B,0)),"")</f>
        <v/>
      </c>
      <c r="F291" s="17">
        <f>IFERROR(INDEX('PROJETO PERFURAÇÃO'!$AN:$AN,MATCH(MEDIÇÃO!D291,'PROJETO PERFURAÇÃO'!$B:$B,0)),"")</f>
        <v>0</v>
      </c>
      <c r="G291" s="3"/>
      <c r="H291" s="3"/>
      <c r="I291" s="3" t="str">
        <f>IFERROR(ROUND(INDEX('PROJETO PERFURAÇÃO'!$AB:$AB,MATCH(MEDIÇÃO!K291,'PROJETO PERFURAÇÃO'!$B:$B,0)),1)&amp;"''","")</f>
        <v>5''</v>
      </c>
      <c r="J291" s="3" t="str">
        <f>IFERROR(IF(INDEX('PROJETO PERFURAÇÃO'!$P:$P,MATCH(MEDIÇÃO!K291,'PROJETO PERFURAÇÃO'!$B:$B,0))="Production","P",IF(INDEX('PROJETO PERFURAÇÃO'!$P:$P,MATCH(MEDIÇÃO!K291,'PROJETO PERFURAÇÃO'!$B:$B,0))="Buffer","B",IF(INDEX('PROJETO PERFURAÇÃO'!$P:$P,MATCH(MEDIÇÃO!K291,'PROJETO PERFURAÇÃO'!$B:$B,0))="Pre-Splitting","S"))),"")</f>
        <v>P</v>
      </c>
      <c r="K291" s="14">
        <f t="shared" si="28"/>
        <v>652</v>
      </c>
      <c r="L291" s="4" t="str">
        <f>IFERROR(INDEX('LEV R&amp;D'!$D:$D,MATCH(MEDIÇÃO!K291,'LEV R&amp;D'!$A:$A,0))-INDEX('PROJETO PERFURAÇÃO'!$AH:$AH,MATCH(MEDIÇÃO!K291,'PROJETO PERFURAÇÃO'!$B:$B,0)),"")</f>
        <v/>
      </c>
      <c r="M291" s="17">
        <f>IFERROR(INDEX('PROJETO PERFURAÇÃO'!$AN:$AN,MATCH(MEDIÇÃO!K291,'PROJETO PERFURAÇÃO'!$B:$B,0)),"")</f>
        <v>0</v>
      </c>
      <c r="N291" s="3"/>
      <c r="O291" s="3"/>
      <c r="P291" s="3" t="str">
        <f>IFERROR(ROUND(INDEX('PROJETO PERFURAÇÃO'!$AB:$AB,MATCH(MEDIÇÃO!R291,'PROJETO PERFURAÇÃO'!$B:$B,0)),1)&amp;"''","")</f>
        <v>5''</v>
      </c>
      <c r="Q291" s="3" t="str">
        <f>IFERROR(IF(INDEX('PROJETO PERFURAÇÃO'!$P:$P,MATCH(MEDIÇÃO!R291,'PROJETO PERFURAÇÃO'!$B:$B,0))="Production","P",IF(INDEX('PROJETO PERFURAÇÃO'!$P:$P,MATCH(MEDIÇÃO!R291,'PROJETO PERFURAÇÃO'!$B:$B,0))="Buffer","B",IF(INDEX('PROJETO PERFURAÇÃO'!$P:$P,MATCH(MEDIÇÃO!R291,'PROJETO PERFURAÇÃO'!$B:$B,0))="Pre-Splitting","S"))),"")</f>
        <v>P</v>
      </c>
      <c r="R291" s="14">
        <f t="shared" si="29"/>
        <v>675</v>
      </c>
      <c r="S291" s="4" t="str">
        <f>IFERROR(INDEX('LEV R&amp;D'!$D:$D,MATCH(MEDIÇÃO!R291,'LEV R&amp;D'!$A:$A,0))-INDEX('PROJETO PERFURAÇÃO'!$AH:$AH,MATCH(MEDIÇÃO!R291,'PROJETO PERFURAÇÃO'!$B:$B,0)),"")</f>
        <v/>
      </c>
      <c r="T291" s="17">
        <f>IFERROR(INDEX('PROJETO PERFURAÇÃO'!$AN:$AN,MATCH(MEDIÇÃO!R291,'PROJETO PERFURAÇÃO'!$B:$B,0)),"")</f>
        <v>0</v>
      </c>
      <c r="U291" s="3"/>
      <c r="V291" s="3"/>
    </row>
    <row r="292" spans="2:22" ht="45" customHeight="1">
      <c r="B292" s="3" t="str">
        <f>IFERROR(ROUND(INDEX('PROJETO PERFURAÇÃO'!$AB:$AB,MATCH(MEDIÇÃO!D292,'PROJETO PERFURAÇÃO'!$B:$B,0)),1)&amp;"''","")</f>
        <v>5''</v>
      </c>
      <c r="C292" s="3" t="str">
        <f>IFERROR(IF(INDEX('PROJETO PERFURAÇÃO'!$P:$P,MATCH(MEDIÇÃO!D292,'PROJETO PERFURAÇÃO'!$B:$B,0))="Production","P",IF(INDEX('PROJETO PERFURAÇÃO'!$P:$P,MATCH(MEDIÇÃO!D292,'PROJETO PERFURAÇÃO'!$B:$B,0))="Buffer","B",IF(INDEX('PROJETO PERFURAÇÃO'!$P:$P,MATCH(MEDIÇÃO!D292,'PROJETO PERFURAÇÃO'!$B:$B,0))="Pre-Splitting","S"))),"")</f>
        <v>P</v>
      </c>
      <c r="D292" s="14">
        <f t="shared" si="27"/>
        <v>630</v>
      </c>
      <c r="E292" s="4" t="str">
        <f>IFERROR(INDEX('LEV R&amp;D'!$D:$D,MATCH(MEDIÇÃO!D292,'LEV R&amp;D'!$A:$A,0))-INDEX('PROJETO PERFURAÇÃO'!$AH:$AH,MATCH(MEDIÇÃO!D292,'PROJETO PERFURAÇÃO'!$B:$B,0)),"")</f>
        <v/>
      </c>
      <c r="F292" s="17">
        <f>IFERROR(INDEX('PROJETO PERFURAÇÃO'!$AN:$AN,MATCH(MEDIÇÃO!D292,'PROJETO PERFURAÇÃO'!$B:$B,0)),"")</f>
        <v>0</v>
      </c>
      <c r="G292" s="3"/>
      <c r="H292" s="3"/>
      <c r="I292" s="3" t="str">
        <f>IFERROR(ROUND(INDEX('PROJETO PERFURAÇÃO'!$AB:$AB,MATCH(MEDIÇÃO!K292,'PROJETO PERFURAÇÃO'!$B:$B,0)),1)&amp;"''","")</f>
        <v>5''</v>
      </c>
      <c r="J292" s="3" t="str">
        <f>IFERROR(IF(INDEX('PROJETO PERFURAÇÃO'!$P:$P,MATCH(MEDIÇÃO!K292,'PROJETO PERFURAÇÃO'!$B:$B,0))="Production","P",IF(INDEX('PROJETO PERFURAÇÃO'!$P:$P,MATCH(MEDIÇÃO!K292,'PROJETO PERFURAÇÃO'!$B:$B,0))="Buffer","B",IF(INDEX('PROJETO PERFURAÇÃO'!$P:$P,MATCH(MEDIÇÃO!K292,'PROJETO PERFURAÇÃO'!$B:$B,0))="Pre-Splitting","S"))),"")</f>
        <v>P</v>
      </c>
      <c r="K292" s="14">
        <f t="shared" si="28"/>
        <v>653</v>
      </c>
      <c r="L292" s="4" t="str">
        <f>IFERROR(INDEX('LEV R&amp;D'!$D:$D,MATCH(MEDIÇÃO!K292,'LEV R&amp;D'!$A:$A,0))-INDEX('PROJETO PERFURAÇÃO'!$AH:$AH,MATCH(MEDIÇÃO!K292,'PROJETO PERFURAÇÃO'!$B:$B,0)),"")</f>
        <v/>
      </c>
      <c r="M292" s="17">
        <f>IFERROR(INDEX('PROJETO PERFURAÇÃO'!$AN:$AN,MATCH(MEDIÇÃO!K292,'PROJETO PERFURAÇÃO'!$B:$B,0)),"")</f>
        <v>0</v>
      </c>
      <c r="N292" s="3"/>
      <c r="O292" s="3"/>
      <c r="P292" s="3" t="str">
        <f>IFERROR(ROUND(INDEX('PROJETO PERFURAÇÃO'!$AB:$AB,MATCH(MEDIÇÃO!R292,'PROJETO PERFURAÇÃO'!$B:$B,0)),1)&amp;"''","")</f>
        <v>5''</v>
      </c>
      <c r="Q292" s="3" t="str">
        <f>IFERROR(IF(INDEX('PROJETO PERFURAÇÃO'!$P:$P,MATCH(MEDIÇÃO!R292,'PROJETO PERFURAÇÃO'!$B:$B,0))="Production","P",IF(INDEX('PROJETO PERFURAÇÃO'!$P:$P,MATCH(MEDIÇÃO!R292,'PROJETO PERFURAÇÃO'!$B:$B,0))="Buffer","B",IF(INDEX('PROJETO PERFURAÇÃO'!$P:$P,MATCH(MEDIÇÃO!R292,'PROJETO PERFURAÇÃO'!$B:$B,0))="Pre-Splitting","S"))),"")</f>
        <v>P</v>
      </c>
      <c r="R292" s="14">
        <f t="shared" si="29"/>
        <v>676</v>
      </c>
      <c r="S292" s="4" t="str">
        <f>IFERROR(INDEX('LEV R&amp;D'!$D:$D,MATCH(MEDIÇÃO!R292,'LEV R&amp;D'!$A:$A,0))-INDEX('PROJETO PERFURAÇÃO'!$AH:$AH,MATCH(MEDIÇÃO!R292,'PROJETO PERFURAÇÃO'!$B:$B,0)),"")</f>
        <v/>
      </c>
      <c r="T292" s="17">
        <f>IFERROR(INDEX('PROJETO PERFURAÇÃO'!$AN:$AN,MATCH(MEDIÇÃO!R292,'PROJETO PERFURAÇÃO'!$B:$B,0)),"")</f>
        <v>0</v>
      </c>
      <c r="U292" s="3"/>
      <c r="V292" s="3"/>
    </row>
    <row r="293" spans="2:22" ht="45" customHeight="1">
      <c r="B293" s="3" t="str">
        <f>IFERROR(ROUND(INDEX('PROJETO PERFURAÇÃO'!$AB:$AB,MATCH(MEDIÇÃO!D293,'PROJETO PERFURAÇÃO'!$B:$B,0)),1)&amp;"''","")</f>
        <v>5''</v>
      </c>
      <c r="C293" s="3" t="str">
        <f>IFERROR(IF(INDEX('PROJETO PERFURAÇÃO'!$P:$P,MATCH(MEDIÇÃO!D293,'PROJETO PERFURAÇÃO'!$B:$B,0))="Production","P",IF(INDEX('PROJETO PERFURAÇÃO'!$P:$P,MATCH(MEDIÇÃO!D293,'PROJETO PERFURAÇÃO'!$B:$B,0))="Buffer","B",IF(INDEX('PROJETO PERFURAÇÃO'!$P:$P,MATCH(MEDIÇÃO!D293,'PROJETO PERFURAÇÃO'!$B:$B,0))="Pre-Splitting","S"))),"")</f>
        <v>P</v>
      </c>
      <c r="D293" s="14">
        <f t="shared" si="27"/>
        <v>631</v>
      </c>
      <c r="E293" s="4" t="str">
        <f>IFERROR(INDEX('LEV R&amp;D'!$D:$D,MATCH(MEDIÇÃO!D293,'LEV R&amp;D'!$A:$A,0))-INDEX('PROJETO PERFURAÇÃO'!$AH:$AH,MATCH(MEDIÇÃO!D293,'PROJETO PERFURAÇÃO'!$B:$B,0)),"")</f>
        <v/>
      </c>
      <c r="F293" s="17">
        <f>IFERROR(INDEX('PROJETO PERFURAÇÃO'!$AN:$AN,MATCH(MEDIÇÃO!D293,'PROJETO PERFURAÇÃO'!$B:$B,0)),"")</f>
        <v>0</v>
      </c>
      <c r="G293" s="3"/>
      <c r="H293" s="3"/>
      <c r="I293" s="3" t="str">
        <f>IFERROR(ROUND(INDEX('PROJETO PERFURAÇÃO'!$AB:$AB,MATCH(MEDIÇÃO!K293,'PROJETO PERFURAÇÃO'!$B:$B,0)),1)&amp;"''","")</f>
        <v>5''</v>
      </c>
      <c r="J293" s="3" t="str">
        <f>IFERROR(IF(INDEX('PROJETO PERFURAÇÃO'!$P:$P,MATCH(MEDIÇÃO!K293,'PROJETO PERFURAÇÃO'!$B:$B,0))="Production","P",IF(INDEX('PROJETO PERFURAÇÃO'!$P:$P,MATCH(MEDIÇÃO!K293,'PROJETO PERFURAÇÃO'!$B:$B,0))="Buffer","B",IF(INDEX('PROJETO PERFURAÇÃO'!$P:$P,MATCH(MEDIÇÃO!K293,'PROJETO PERFURAÇÃO'!$B:$B,0))="Pre-Splitting","S"))),"")</f>
        <v>P</v>
      </c>
      <c r="K293" s="14">
        <f t="shared" si="28"/>
        <v>654</v>
      </c>
      <c r="L293" s="4" t="str">
        <f>IFERROR(INDEX('LEV R&amp;D'!$D:$D,MATCH(MEDIÇÃO!K293,'LEV R&amp;D'!$A:$A,0))-INDEX('PROJETO PERFURAÇÃO'!$AH:$AH,MATCH(MEDIÇÃO!K293,'PROJETO PERFURAÇÃO'!$B:$B,0)),"")</f>
        <v/>
      </c>
      <c r="M293" s="17">
        <f>IFERROR(INDEX('PROJETO PERFURAÇÃO'!$AN:$AN,MATCH(MEDIÇÃO!K293,'PROJETO PERFURAÇÃO'!$B:$B,0)),"")</f>
        <v>0</v>
      </c>
      <c r="N293" s="3"/>
      <c r="O293" s="3"/>
      <c r="P293" s="3" t="str">
        <f>IFERROR(ROUND(INDEX('PROJETO PERFURAÇÃO'!$AB:$AB,MATCH(MEDIÇÃO!R293,'PROJETO PERFURAÇÃO'!$B:$B,0)),1)&amp;"''","")</f>
        <v>5''</v>
      </c>
      <c r="Q293" s="3" t="str">
        <f>IFERROR(IF(INDEX('PROJETO PERFURAÇÃO'!$P:$P,MATCH(MEDIÇÃO!R293,'PROJETO PERFURAÇÃO'!$B:$B,0))="Production","P",IF(INDEX('PROJETO PERFURAÇÃO'!$P:$P,MATCH(MEDIÇÃO!R293,'PROJETO PERFURAÇÃO'!$B:$B,0))="Buffer","B",IF(INDEX('PROJETO PERFURAÇÃO'!$P:$P,MATCH(MEDIÇÃO!R293,'PROJETO PERFURAÇÃO'!$B:$B,0))="Pre-Splitting","S"))),"")</f>
        <v>P</v>
      </c>
      <c r="R293" s="14">
        <f t="shared" si="29"/>
        <v>677</v>
      </c>
      <c r="S293" s="4" t="str">
        <f>IFERROR(INDEX('LEV R&amp;D'!$D:$D,MATCH(MEDIÇÃO!R293,'LEV R&amp;D'!$A:$A,0))-INDEX('PROJETO PERFURAÇÃO'!$AH:$AH,MATCH(MEDIÇÃO!R293,'PROJETO PERFURAÇÃO'!$B:$B,0)),"")</f>
        <v/>
      </c>
      <c r="T293" s="17">
        <f>IFERROR(INDEX('PROJETO PERFURAÇÃO'!$AN:$AN,MATCH(MEDIÇÃO!R293,'PROJETO PERFURAÇÃO'!$B:$B,0)),"")</f>
        <v>0</v>
      </c>
      <c r="U293" s="3"/>
      <c r="V293" s="3"/>
    </row>
    <row r="294" spans="2:22" ht="45" customHeight="1">
      <c r="B294" s="3" t="str">
        <f>IFERROR(ROUND(INDEX('PROJETO PERFURAÇÃO'!$AB:$AB,MATCH(MEDIÇÃO!D294,'PROJETO PERFURAÇÃO'!$B:$B,0)),1)&amp;"''","")</f>
        <v>5''</v>
      </c>
      <c r="C294" s="3" t="str">
        <f>IFERROR(IF(INDEX('PROJETO PERFURAÇÃO'!$P:$P,MATCH(MEDIÇÃO!D294,'PROJETO PERFURAÇÃO'!$B:$B,0))="Production","P",IF(INDEX('PROJETO PERFURAÇÃO'!$P:$P,MATCH(MEDIÇÃO!D294,'PROJETO PERFURAÇÃO'!$B:$B,0))="Buffer","B",IF(INDEX('PROJETO PERFURAÇÃO'!$P:$P,MATCH(MEDIÇÃO!D294,'PROJETO PERFURAÇÃO'!$B:$B,0))="Pre-Splitting","S"))),"")</f>
        <v>P</v>
      </c>
      <c r="D294" s="14">
        <f t="shared" si="27"/>
        <v>632</v>
      </c>
      <c r="E294" s="4" t="str">
        <f>IFERROR(INDEX('LEV R&amp;D'!$D:$D,MATCH(MEDIÇÃO!D294,'LEV R&amp;D'!$A:$A,0))-INDEX('PROJETO PERFURAÇÃO'!$AH:$AH,MATCH(MEDIÇÃO!D294,'PROJETO PERFURAÇÃO'!$B:$B,0)),"")</f>
        <v/>
      </c>
      <c r="F294" s="17">
        <f>IFERROR(INDEX('PROJETO PERFURAÇÃO'!$AN:$AN,MATCH(MEDIÇÃO!D294,'PROJETO PERFURAÇÃO'!$B:$B,0)),"")</f>
        <v>0</v>
      </c>
      <c r="G294" s="3"/>
      <c r="H294" s="3"/>
      <c r="I294" s="3" t="str">
        <f>IFERROR(ROUND(INDEX('PROJETO PERFURAÇÃO'!$AB:$AB,MATCH(MEDIÇÃO!K294,'PROJETO PERFURAÇÃO'!$B:$B,0)),1)&amp;"''","")</f>
        <v>5''</v>
      </c>
      <c r="J294" s="3" t="str">
        <f>IFERROR(IF(INDEX('PROJETO PERFURAÇÃO'!$P:$P,MATCH(MEDIÇÃO!K294,'PROJETO PERFURAÇÃO'!$B:$B,0))="Production","P",IF(INDEX('PROJETO PERFURAÇÃO'!$P:$P,MATCH(MEDIÇÃO!K294,'PROJETO PERFURAÇÃO'!$B:$B,0))="Buffer","B",IF(INDEX('PROJETO PERFURAÇÃO'!$P:$P,MATCH(MEDIÇÃO!K294,'PROJETO PERFURAÇÃO'!$B:$B,0))="Pre-Splitting","S"))),"")</f>
        <v>P</v>
      </c>
      <c r="K294" s="14">
        <f t="shared" si="28"/>
        <v>655</v>
      </c>
      <c r="L294" s="4" t="str">
        <f>IFERROR(INDEX('LEV R&amp;D'!$D:$D,MATCH(MEDIÇÃO!K294,'LEV R&amp;D'!$A:$A,0))-INDEX('PROJETO PERFURAÇÃO'!$AH:$AH,MATCH(MEDIÇÃO!K294,'PROJETO PERFURAÇÃO'!$B:$B,0)),"")</f>
        <v/>
      </c>
      <c r="M294" s="17">
        <f>IFERROR(INDEX('PROJETO PERFURAÇÃO'!$AN:$AN,MATCH(MEDIÇÃO!K294,'PROJETO PERFURAÇÃO'!$B:$B,0)),"")</f>
        <v>0</v>
      </c>
      <c r="N294" s="3"/>
      <c r="O294" s="3"/>
      <c r="P294" s="3" t="str">
        <f>IFERROR(ROUND(INDEX('PROJETO PERFURAÇÃO'!$AB:$AB,MATCH(MEDIÇÃO!R294,'PROJETO PERFURAÇÃO'!$B:$B,0)),1)&amp;"''","")</f>
        <v>5''</v>
      </c>
      <c r="Q294" s="3" t="str">
        <f>IFERROR(IF(INDEX('PROJETO PERFURAÇÃO'!$P:$P,MATCH(MEDIÇÃO!R294,'PROJETO PERFURAÇÃO'!$B:$B,0))="Production","P",IF(INDEX('PROJETO PERFURAÇÃO'!$P:$P,MATCH(MEDIÇÃO!R294,'PROJETO PERFURAÇÃO'!$B:$B,0))="Buffer","B",IF(INDEX('PROJETO PERFURAÇÃO'!$P:$P,MATCH(MEDIÇÃO!R294,'PROJETO PERFURAÇÃO'!$B:$B,0))="Pre-Splitting","S"))),"")</f>
        <v>P</v>
      </c>
      <c r="R294" s="14">
        <f t="shared" si="29"/>
        <v>678</v>
      </c>
      <c r="S294" s="4" t="str">
        <f>IFERROR(INDEX('LEV R&amp;D'!$D:$D,MATCH(MEDIÇÃO!R294,'LEV R&amp;D'!$A:$A,0))-INDEX('PROJETO PERFURAÇÃO'!$AH:$AH,MATCH(MEDIÇÃO!R294,'PROJETO PERFURAÇÃO'!$B:$B,0)),"")</f>
        <v/>
      </c>
      <c r="T294" s="17">
        <f>IFERROR(INDEX('PROJETO PERFURAÇÃO'!$AN:$AN,MATCH(MEDIÇÃO!R294,'PROJETO PERFURAÇÃO'!$B:$B,0)),"")</f>
        <v>0</v>
      </c>
      <c r="U294" s="3"/>
      <c r="V294" s="3"/>
    </row>
    <row r="295" spans="2:22" ht="45" customHeight="1">
      <c r="B295" s="3" t="str">
        <f>IFERROR(ROUND(INDEX('PROJETO PERFURAÇÃO'!$AB:$AB,MATCH(MEDIÇÃO!D295,'PROJETO PERFURAÇÃO'!$B:$B,0)),1)&amp;"''","")</f>
        <v>5''</v>
      </c>
      <c r="C295" s="3" t="str">
        <f>IFERROR(IF(INDEX('PROJETO PERFURAÇÃO'!$P:$P,MATCH(MEDIÇÃO!D295,'PROJETO PERFURAÇÃO'!$B:$B,0))="Production","P",IF(INDEX('PROJETO PERFURAÇÃO'!$P:$P,MATCH(MEDIÇÃO!D295,'PROJETO PERFURAÇÃO'!$B:$B,0))="Buffer","B",IF(INDEX('PROJETO PERFURAÇÃO'!$P:$P,MATCH(MEDIÇÃO!D295,'PROJETO PERFURAÇÃO'!$B:$B,0))="Pre-Splitting","S"))),"")</f>
        <v>P</v>
      </c>
      <c r="D295" s="14">
        <f t="shared" si="27"/>
        <v>633</v>
      </c>
      <c r="E295" s="4" t="str">
        <f>IFERROR(INDEX('LEV R&amp;D'!$D:$D,MATCH(MEDIÇÃO!D295,'LEV R&amp;D'!$A:$A,0))-INDEX('PROJETO PERFURAÇÃO'!$AH:$AH,MATCH(MEDIÇÃO!D295,'PROJETO PERFURAÇÃO'!$B:$B,0)),"")</f>
        <v/>
      </c>
      <c r="F295" s="17">
        <f>IFERROR(INDEX('PROJETO PERFURAÇÃO'!$AN:$AN,MATCH(MEDIÇÃO!D295,'PROJETO PERFURAÇÃO'!$B:$B,0)),"")</f>
        <v>0</v>
      </c>
      <c r="G295" s="3"/>
      <c r="H295" s="3"/>
      <c r="I295" s="3" t="str">
        <f>IFERROR(ROUND(INDEX('PROJETO PERFURAÇÃO'!$AB:$AB,MATCH(MEDIÇÃO!K295,'PROJETO PERFURAÇÃO'!$B:$B,0)),1)&amp;"''","")</f>
        <v>5''</v>
      </c>
      <c r="J295" s="3" t="str">
        <f>IFERROR(IF(INDEX('PROJETO PERFURAÇÃO'!$P:$P,MATCH(MEDIÇÃO!K295,'PROJETO PERFURAÇÃO'!$B:$B,0))="Production","P",IF(INDEX('PROJETO PERFURAÇÃO'!$P:$P,MATCH(MEDIÇÃO!K295,'PROJETO PERFURAÇÃO'!$B:$B,0))="Buffer","B",IF(INDEX('PROJETO PERFURAÇÃO'!$P:$P,MATCH(MEDIÇÃO!K295,'PROJETO PERFURAÇÃO'!$B:$B,0))="Pre-Splitting","S"))),"")</f>
        <v>P</v>
      </c>
      <c r="K295" s="14">
        <f t="shared" si="28"/>
        <v>656</v>
      </c>
      <c r="L295" s="4" t="str">
        <f>IFERROR(INDEX('LEV R&amp;D'!$D:$D,MATCH(MEDIÇÃO!K295,'LEV R&amp;D'!$A:$A,0))-INDEX('PROJETO PERFURAÇÃO'!$AH:$AH,MATCH(MEDIÇÃO!K295,'PROJETO PERFURAÇÃO'!$B:$B,0)),"")</f>
        <v/>
      </c>
      <c r="M295" s="17">
        <f>IFERROR(INDEX('PROJETO PERFURAÇÃO'!$AN:$AN,MATCH(MEDIÇÃO!K295,'PROJETO PERFURAÇÃO'!$B:$B,0)),"")</f>
        <v>0</v>
      </c>
      <c r="N295" s="3"/>
      <c r="O295" s="3"/>
      <c r="P295" s="3" t="str">
        <f>IFERROR(ROUND(INDEX('PROJETO PERFURAÇÃO'!$AB:$AB,MATCH(MEDIÇÃO!R295,'PROJETO PERFURAÇÃO'!$B:$B,0)),1)&amp;"''","")</f>
        <v>5''</v>
      </c>
      <c r="Q295" s="3" t="str">
        <f>IFERROR(IF(INDEX('PROJETO PERFURAÇÃO'!$P:$P,MATCH(MEDIÇÃO!R295,'PROJETO PERFURAÇÃO'!$B:$B,0))="Production","P",IF(INDEX('PROJETO PERFURAÇÃO'!$P:$P,MATCH(MEDIÇÃO!R295,'PROJETO PERFURAÇÃO'!$B:$B,0))="Buffer","B",IF(INDEX('PROJETO PERFURAÇÃO'!$P:$P,MATCH(MEDIÇÃO!R295,'PROJETO PERFURAÇÃO'!$B:$B,0))="Pre-Splitting","S"))),"")</f>
        <v>P</v>
      </c>
      <c r="R295" s="14">
        <f t="shared" si="29"/>
        <v>679</v>
      </c>
      <c r="S295" s="4" t="str">
        <f>IFERROR(INDEX('LEV R&amp;D'!$D:$D,MATCH(MEDIÇÃO!R295,'LEV R&amp;D'!$A:$A,0))-INDEX('PROJETO PERFURAÇÃO'!$AH:$AH,MATCH(MEDIÇÃO!R295,'PROJETO PERFURAÇÃO'!$B:$B,0)),"")</f>
        <v/>
      </c>
      <c r="T295" s="17">
        <f>IFERROR(INDEX('PROJETO PERFURAÇÃO'!$AN:$AN,MATCH(MEDIÇÃO!R295,'PROJETO PERFURAÇÃO'!$B:$B,0)),"")</f>
        <v>0</v>
      </c>
      <c r="U295" s="3"/>
      <c r="V295" s="3"/>
    </row>
    <row r="296" spans="2:22" ht="45" customHeight="1">
      <c r="B296" s="3" t="str">
        <f>IFERROR(ROUND(INDEX('PROJETO PERFURAÇÃO'!$AB:$AB,MATCH(MEDIÇÃO!D296,'PROJETO PERFURAÇÃO'!$B:$B,0)),1)&amp;"''","")</f>
        <v>5''</v>
      </c>
      <c r="C296" s="3" t="str">
        <f>IFERROR(IF(INDEX('PROJETO PERFURAÇÃO'!$P:$P,MATCH(MEDIÇÃO!D296,'PROJETO PERFURAÇÃO'!$B:$B,0))="Production","P",IF(INDEX('PROJETO PERFURAÇÃO'!$P:$P,MATCH(MEDIÇÃO!D296,'PROJETO PERFURAÇÃO'!$B:$B,0))="Buffer","B",IF(INDEX('PROJETO PERFURAÇÃO'!$P:$P,MATCH(MEDIÇÃO!D296,'PROJETO PERFURAÇÃO'!$B:$B,0))="Pre-Splitting","S"))),"")</f>
        <v>P</v>
      </c>
      <c r="D296" s="14">
        <f t="shared" si="27"/>
        <v>634</v>
      </c>
      <c r="E296" s="4" t="str">
        <f>IFERROR(INDEX('LEV R&amp;D'!$D:$D,MATCH(MEDIÇÃO!D296,'LEV R&amp;D'!$A:$A,0))-INDEX('PROJETO PERFURAÇÃO'!$AH:$AH,MATCH(MEDIÇÃO!D296,'PROJETO PERFURAÇÃO'!$B:$B,0)),"")</f>
        <v/>
      </c>
      <c r="F296" s="17">
        <f>IFERROR(INDEX('PROJETO PERFURAÇÃO'!$AN:$AN,MATCH(MEDIÇÃO!D296,'PROJETO PERFURAÇÃO'!$B:$B,0)),"")</f>
        <v>0</v>
      </c>
      <c r="G296" s="3"/>
      <c r="H296" s="3"/>
      <c r="I296" s="3" t="str">
        <f>IFERROR(ROUND(INDEX('PROJETO PERFURAÇÃO'!$AB:$AB,MATCH(MEDIÇÃO!K296,'PROJETO PERFURAÇÃO'!$B:$B,0)),1)&amp;"''","")</f>
        <v>5''</v>
      </c>
      <c r="J296" s="3" t="str">
        <f>IFERROR(IF(INDEX('PROJETO PERFURAÇÃO'!$P:$P,MATCH(MEDIÇÃO!K296,'PROJETO PERFURAÇÃO'!$B:$B,0))="Production","P",IF(INDEX('PROJETO PERFURAÇÃO'!$P:$P,MATCH(MEDIÇÃO!K296,'PROJETO PERFURAÇÃO'!$B:$B,0))="Buffer","B",IF(INDEX('PROJETO PERFURAÇÃO'!$P:$P,MATCH(MEDIÇÃO!K296,'PROJETO PERFURAÇÃO'!$B:$B,0))="Pre-Splitting","S"))),"")</f>
        <v>P</v>
      </c>
      <c r="K296" s="14">
        <f t="shared" si="28"/>
        <v>657</v>
      </c>
      <c r="L296" s="4" t="str">
        <f>IFERROR(INDEX('LEV R&amp;D'!$D:$D,MATCH(MEDIÇÃO!K296,'LEV R&amp;D'!$A:$A,0))-INDEX('PROJETO PERFURAÇÃO'!$AH:$AH,MATCH(MEDIÇÃO!K296,'PROJETO PERFURAÇÃO'!$B:$B,0)),"")</f>
        <v/>
      </c>
      <c r="M296" s="17">
        <f>IFERROR(INDEX('PROJETO PERFURAÇÃO'!$AN:$AN,MATCH(MEDIÇÃO!K296,'PROJETO PERFURAÇÃO'!$B:$B,0)),"")</f>
        <v>0</v>
      </c>
      <c r="N296" s="3"/>
      <c r="O296" s="3"/>
      <c r="P296" s="3" t="str">
        <f>IFERROR(ROUND(INDEX('PROJETO PERFURAÇÃO'!$AB:$AB,MATCH(MEDIÇÃO!R296,'PROJETO PERFURAÇÃO'!$B:$B,0)),1)&amp;"''","")</f>
        <v>5''</v>
      </c>
      <c r="Q296" s="3" t="str">
        <f>IFERROR(IF(INDEX('PROJETO PERFURAÇÃO'!$P:$P,MATCH(MEDIÇÃO!R296,'PROJETO PERFURAÇÃO'!$B:$B,0))="Production","P",IF(INDEX('PROJETO PERFURAÇÃO'!$P:$P,MATCH(MEDIÇÃO!R296,'PROJETO PERFURAÇÃO'!$B:$B,0))="Buffer","B",IF(INDEX('PROJETO PERFURAÇÃO'!$P:$P,MATCH(MEDIÇÃO!R296,'PROJETO PERFURAÇÃO'!$B:$B,0))="Pre-Splitting","S"))),"")</f>
        <v>P</v>
      </c>
      <c r="R296" s="14">
        <f t="shared" si="29"/>
        <v>680</v>
      </c>
      <c r="S296" s="4" t="str">
        <f>IFERROR(INDEX('LEV R&amp;D'!$D:$D,MATCH(MEDIÇÃO!R296,'LEV R&amp;D'!$A:$A,0))-INDEX('PROJETO PERFURAÇÃO'!$AH:$AH,MATCH(MEDIÇÃO!R296,'PROJETO PERFURAÇÃO'!$B:$B,0)),"")</f>
        <v/>
      </c>
      <c r="T296" s="17">
        <f>IFERROR(INDEX('PROJETO PERFURAÇÃO'!$AN:$AN,MATCH(MEDIÇÃO!R296,'PROJETO PERFURAÇÃO'!$B:$B,0)),"")</f>
        <v>0</v>
      </c>
      <c r="U296" s="3"/>
      <c r="V296" s="3"/>
    </row>
    <row r="297" spans="2:22" ht="45" customHeight="1">
      <c r="B297" s="3" t="str">
        <f>IFERROR(ROUND(INDEX('PROJETO PERFURAÇÃO'!$AB:$AB,MATCH(MEDIÇÃO!D297,'PROJETO PERFURAÇÃO'!$B:$B,0)),1)&amp;"''","")</f>
        <v>5''</v>
      </c>
      <c r="C297" s="3" t="str">
        <f>IFERROR(IF(INDEX('PROJETO PERFURAÇÃO'!$P:$P,MATCH(MEDIÇÃO!D297,'PROJETO PERFURAÇÃO'!$B:$B,0))="Production","P",IF(INDEX('PROJETO PERFURAÇÃO'!$P:$P,MATCH(MEDIÇÃO!D297,'PROJETO PERFURAÇÃO'!$B:$B,0))="Buffer","B",IF(INDEX('PROJETO PERFURAÇÃO'!$P:$P,MATCH(MEDIÇÃO!D297,'PROJETO PERFURAÇÃO'!$B:$B,0))="Pre-Splitting","S"))),"")</f>
        <v>P</v>
      </c>
      <c r="D297" s="14">
        <f t="shared" si="27"/>
        <v>635</v>
      </c>
      <c r="E297" s="4" t="str">
        <f>IFERROR(INDEX('LEV R&amp;D'!$D:$D,MATCH(MEDIÇÃO!D297,'LEV R&amp;D'!$A:$A,0))-INDEX('PROJETO PERFURAÇÃO'!$AH:$AH,MATCH(MEDIÇÃO!D297,'PROJETO PERFURAÇÃO'!$B:$B,0)),"")</f>
        <v/>
      </c>
      <c r="F297" s="17">
        <f>IFERROR(INDEX('PROJETO PERFURAÇÃO'!$AN:$AN,MATCH(MEDIÇÃO!D297,'PROJETO PERFURAÇÃO'!$B:$B,0)),"")</f>
        <v>0</v>
      </c>
      <c r="G297" s="3"/>
      <c r="H297" s="3"/>
      <c r="I297" s="3" t="str">
        <f>IFERROR(ROUND(INDEX('PROJETO PERFURAÇÃO'!$AB:$AB,MATCH(MEDIÇÃO!K297,'PROJETO PERFURAÇÃO'!$B:$B,0)),1)&amp;"''","")</f>
        <v>5''</v>
      </c>
      <c r="J297" s="3" t="str">
        <f>IFERROR(IF(INDEX('PROJETO PERFURAÇÃO'!$P:$P,MATCH(MEDIÇÃO!K297,'PROJETO PERFURAÇÃO'!$B:$B,0))="Production","P",IF(INDEX('PROJETO PERFURAÇÃO'!$P:$P,MATCH(MEDIÇÃO!K297,'PROJETO PERFURAÇÃO'!$B:$B,0))="Buffer","B",IF(INDEX('PROJETO PERFURAÇÃO'!$P:$P,MATCH(MEDIÇÃO!K297,'PROJETO PERFURAÇÃO'!$B:$B,0))="Pre-Splitting","S"))),"")</f>
        <v>P</v>
      </c>
      <c r="K297" s="14">
        <f t="shared" si="28"/>
        <v>658</v>
      </c>
      <c r="L297" s="4" t="str">
        <f>IFERROR(INDEX('LEV R&amp;D'!$D:$D,MATCH(MEDIÇÃO!K297,'LEV R&amp;D'!$A:$A,0))-INDEX('PROJETO PERFURAÇÃO'!$AH:$AH,MATCH(MEDIÇÃO!K297,'PROJETO PERFURAÇÃO'!$B:$B,0)),"")</f>
        <v/>
      </c>
      <c r="M297" s="17">
        <f>IFERROR(INDEX('PROJETO PERFURAÇÃO'!$AN:$AN,MATCH(MEDIÇÃO!K297,'PROJETO PERFURAÇÃO'!$B:$B,0)),"")</f>
        <v>0</v>
      </c>
      <c r="N297" s="3"/>
      <c r="O297" s="3"/>
      <c r="P297" s="3" t="str">
        <f>IFERROR(ROUND(INDEX('PROJETO PERFURAÇÃO'!$AB:$AB,MATCH(MEDIÇÃO!R297,'PROJETO PERFURAÇÃO'!$B:$B,0)),1)&amp;"''","")</f>
        <v>5''</v>
      </c>
      <c r="Q297" s="3" t="str">
        <f>IFERROR(IF(INDEX('PROJETO PERFURAÇÃO'!$P:$P,MATCH(MEDIÇÃO!R297,'PROJETO PERFURAÇÃO'!$B:$B,0))="Production","P",IF(INDEX('PROJETO PERFURAÇÃO'!$P:$P,MATCH(MEDIÇÃO!R297,'PROJETO PERFURAÇÃO'!$B:$B,0))="Buffer","B",IF(INDEX('PROJETO PERFURAÇÃO'!$P:$P,MATCH(MEDIÇÃO!R297,'PROJETO PERFURAÇÃO'!$B:$B,0))="Pre-Splitting","S"))),"")</f>
        <v>P</v>
      </c>
      <c r="R297" s="14">
        <f t="shared" si="29"/>
        <v>681</v>
      </c>
      <c r="S297" s="4" t="str">
        <f>IFERROR(INDEX('LEV R&amp;D'!$D:$D,MATCH(MEDIÇÃO!R297,'LEV R&amp;D'!$A:$A,0))-INDEX('PROJETO PERFURAÇÃO'!$AH:$AH,MATCH(MEDIÇÃO!R297,'PROJETO PERFURAÇÃO'!$B:$B,0)),"")</f>
        <v/>
      </c>
      <c r="T297" s="17">
        <f>IFERROR(INDEX('PROJETO PERFURAÇÃO'!$AN:$AN,MATCH(MEDIÇÃO!R297,'PROJETO PERFURAÇÃO'!$B:$B,0)),"")</f>
        <v>0</v>
      </c>
      <c r="U297" s="3"/>
      <c r="V297" s="3"/>
    </row>
    <row r="298" spans="2:22" ht="45" customHeight="1">
      <c r="B298" s="3" t="str">
        <f>IFERROR(ROUND(INDEX('PROJETO PERFURAÇÃO'!$AB:$AB,MATCH(MEDIÇÃO!D298,'PROJETO PERFURAÇÃO'!$B:$B,0)),1)&amp;"''","")</f>
        <v>5''</v>
      </c>
      <c r="C298" s="3" t="str">
        <f>IFERROR(IF(INDEX('PROJETO PERFURAÇÃO'!$P:$P,MATCH(MEDIÇÃO!D298,'PROJETO PERFURAÇÃO'!$B:$B,0))="Production","P",IF(INDEX('PROJETO PERFURAÇÃO'!$P:$P,MATCH(MEDIÇÃO!D298,'PROJETO PERFURAÇÃO'!$B:$B,0))="Buffer","B",IF(INDEX('PROJETO PERFURAÇÃO'!$P:$P,MATCH(MEDIÇÃO!D298,'PROJETO PERFURAÇÃO'!$B:$B,0))="Pre-Splitting","S"))),"")</f>
        <v>P</v>
      </c>
      <c r="D298" s="14">
        <f t="shared" si="27"/>
        <v>636</v>
      </c>
      <c r="E298" s="4" t="str">
        <f>IFERROR(INDEX('LEV R&amp;D'!$D:$D,MATCH(MEDIÇÃO!D298,'LEV R&amp;D'!$A:$A,0))-INDEX('PROJETO PERFURAÇÃO'!$AH:$AH,MATCH(MEDIÇÃO!D298,'PROJETO PERFURAÇÃO'!$B:$B,0)),"")</f>
        <v/>
      </c>
      <c r="F298" s="17">
        <f>IFERROR(INDEX('PROJETO PERFURAÇÃO'!$AN:$AN,MATCH(MEDIÇÃO!D298,'PROJETO PERFURAÇÃO'!$B:$B,0)),"")</f>
        <v>0</v>
      </c>
      <c r="G298" s="3"/>
      <c r="H298" s="3"/>
      <c r="I298" s="3" t="str">
        <f>IFERROR(ROUND(INDEX('PROJETO PERFURAÇÃO'!$AB:$AB,MATCH(MEDIÇÃO!K298,'PROJETO PERFURAÇÃO'!$B:$B,0)),1)&amp;"''","")</f>
        <v>5''</v>
      </c>
      <c r="J298" s="3" t="str">
        <f>IFERROR(IF(INDEX('PROJETO PERFURAÇÃO'!$P:$P,MATCH(MEDIÇÃO!K298,'PROJETO PERFURAÇÃO'!$B:$B,0))="Production","P",IF(INDEX('PROJETO PERFURAÇÃO'!$P:$P,MATCH(MEDIÇÃO!K298,'PROJETO PERFURAÇÃO'!$B:$B,0))="Buffer","B",IF(INDEX('PROJETO PERFURAÇÃO'!$P:$P,MATCH(MEDIÇÃO!K298,'PROJETO PERFURAÇÃO'!$B:$B,0))="Pre-Splitting","S"))),"")</f>
        <v>P</v>
      </c>
      <c r="K298" s="14">
        <f t="shared" si="28"/>
        <v>659</v>
      </c>
      <c r="L298" s="4" t="str">
        <f>IFERROR(INDEX('LEV R&amp;D'!$D:$D,MATCH(MEDIÇÃO!K298,'LEV R&amp;D'!$A:$A,0))-INDEX('PROJETO PERFURAÇÃO'!$AH:$AH,MATCH(MEDIÇÃO!K298,'PROJETO PERFURAÇÃO'!$B:$B,0)),"")</f>
        <v/>
      </c>
      <c r="M298" s="17">
        <f>IFERROR(INDEX('PROJETO PERFURAÇÃO'!$AN:$AN,MATCH(MEDIÇÃO!K298,'PROJETO PERFURAÇÃO'!$B:$B,0)),"")</f>
        <v>0</v>
      </c>
      <c r="N298" s="3"/>
      <c r="O298" s="3"/>
      <c r="P298" s="3" t="str">
        <f>IFERROR(ROUND(INDEX('PROJETO PERFURAÇÃO'!$AB:$AB,MATCH(MEDIÇÃO!R298,'PROJETO PERFURAÇÃO'!$B:$B,0)),1)&amp;"''","")</f>
        <v>5''</v>
      </c>
      <c r="Q298" s="3" t="str">
        <f>IFERROR(IF(INDEX('PROJETO PERFURAÇÃO'!$P:$P,MATCH(MEDIÇÃO!R298,'PROJETO PERFURAÇÃO'!$B:$B,0))="Production","P",IF(INDEX('PROJETO PERFURAÇÃO'!$P:$P,MATCH(MEDIÇÃO!R298,'PROJETO PERFURAÇÃO'!$B:$B,0))="Buffer","B",IF(INDEX('PROJETO PERFURAÇÃO'!$P:$P,MATCH(MEDIÇÃO!R298,'PROJETO PERFURAÇÃO'!$B:$B,0))="Pre-Splitting","S"))),"")</f>
        <v>P</v>
      </c>
      <c r="R298" s="14">
        <f t="shared" si="29"/>
        <v>682</v>
      </c>
      <c r="S298" s="4" t="str">
        <f>IFERROR(INDEX('LEV R&amp;D'!$D:$D,MATCH(MEDIÇÃO!R298,'LEV R&amp;D'!$A:$A,0))-INDEX('PROJETO PERFURAÇÃO'!$AH:$AH,MATCH(MEDIÇÃO!R298,'PROJETO PERFURAÇÃO'!$B:$B,0)),"")</f>
        <v/>
      </c>
      <c r="T298" s="17">
        <f>IFERROR(INDEX('PROJETO PERFURAÇÃO'!$AN:$AN,MATCH(MEDIÇÃO!R298,'PROJETO PERFURAÇÃO'!$B:$B,0)),"")</f>
        <v>0</v>
      </c>
      <c r="U298" s="3"/>
      <c r="V298" s="3"/>
    </row>
    <row r="299" spans="2:22" ht="45" customHeight="1">
      <c r="B299" s="3" t="str">
        <f>IFERROR(ROUND(INDEX('PROJETO PERFURAÇÃO'!$AB:$AB,MATCH(MEDIÇÃO!D299,'PROJETO PERFURAÇÃO'!$B:$B,0)),1)&amp;"''","")</f>
        <v>5''</v>
      </c>
      <c r="C299" s="3" t="str">
        <f>IFERROR(IF(INDEX('PROJETO PERFURAÇÃO'!$P:$P,MATCH(MEDIÇÃO!D299,'PROJETO PERFURAÇÃO'!$B:$B,0))="Production","P",IF(INDEX('PROJETO PERFURAÇÃO'!$P:$P,MATCH(MEDIÇÃO!D299,'PROJETO PERFURAÇÃO'!$B:$B,0))="Buffer","B",IF(INDEX('PROJETO PERFURAÇÃO'!$P:$P,MATCH(MEDIÇÃO!D299,'PROJETO PERFURAÇÃO'!$B:$B,0))="Pre-Splitting","S"))),"")</f>
        <v>P</v>
      </c>
      <c r="D299" s="14">
        <f t="shared" si="27"/>
        <v>637</v>
      </c>
      <c r="E299" s="4" t="str">
        <f>IFERROR(INDEX('LEV R&amp;D'!$D:$D,MATCH(MEDIÇÃO!D299,'LEV R&amp;D'!$A:$A,0))-INDEX('PROJETO PERFURAÇÃO'!$AH:$AH,MATCH(MEDIÇÃO!D299,'PROJETO PERFURAÇÃO'!$B:$B,0)),"")</f>
        <v/>
      </c>
      <c r="F299" s="17">
        <f>IFERROR(INDEX('PROJETO PERFURAÇÃO'!$AN:$AN,MATCH(MEDIÇÃO!D299,'PROJETO PERFURAÇÃO'!$B:$B,0)),"")</f>
        <v>0</v>
      </c>
      <c r="G299" s="3"/>
      <c r="H299" s="3"/>
      <c r="I299" s="3" t="str">
        <f>IFERROR(ROUND(INDEX('PROJETO PERFURAÇÃO'!$AB:$AB,MATCH(MEDIÇÃO!K299,'PROJETO PERFURAÇÃO'!$B:$B,0)),1)&amp;"''","")</f>
        <v>5''</v>
      </c>
      <c r="J299" s="3" t="str">
        <f>IFERROR(IF(INDEX('PROJETO PERFURAÇÃO'!$P:$P,MATCH(MEDIÇÃO!K299,'PROJETO PERFURAÇÃO'!$B:$B,0))="Production","P",IF(INDEX('PROJETO PERFURAÇÃO'!$P:$P,MATCH(MEDIÇÃO!K299,'PROJETO PERFURAÇÃO'!$B:$B,0))="Buffer","B",IF(INDEX('PROJETO PERFURAÇÃO'!$P:$P,MATCH(MEDIÇÃO!K299,'PROJETO PERFURAÇÃO'!$B:$B,0))="Pre-Splitting","S"))),"")</f>
        <v>P</v>
      </c>
      <c r="K299" s="14">
        <f t="shared" si="28"/>
        <v>660</v>
      </c>
      <c r="L299" s="4" t="str">
        <f>IFERROR(INDEX('LEV R&amp;D'!$D:$D,MATCH(MEDIÇÃO!K299,'LEV R&amp;D'!$A:$A,0))-INDEX('PROJETO PERFURAÇÃO'!$AH:$AH,MATCH(MEDIÇÃO!K299,'PROJETO PERFURAÇÃO'!$B:$B,0)),"")</f>
        <v/>
      </c>
      <c r="M299" s="17">
        <f>IFERROR(INDEX('PROJETO PERFURAÇÃO'!$AN:$AN,MATCH(MEDIÇÃO!K299,'PROJETO PERFURAÇÃO'!$B:$B,0)),"")</f>
        <v>0</v>
      </c>
      <c r="N299" s="3"/>
      <c r="O299" s="3"/>
      <c r="P299" s="3" t="str">
        <f>IFERROR(ROUND(INDEX('PROJETO PERFURAÇÃO'!$AB:$AB,MATCH(MEDIÇÃO!R299,'PROJETO PERFURAÇÃO'!$B:$B,0)),1)&amp;"''","")</f>
        <v>5''</v>
      </c>
      <c r="Q299" s="3" t="str">
        <f>IFERROR(IF(INDEX('PROJETO PERFURAÇÃO'!$P:$P,MATCH(MEDIÇÃO!R299,'PROJETO PERFURAÇÃO'!$B:$B,0))="Production","P",IF(INDEX('PROJETO PERFURAÇÃO'!$P:$P,MATCH(MEDIÇÃO!R299,'PROJETO PERFURAÇÃO'!$B:$B,0))="Buffer","B",IF(INDEX('PROJETO PERFURAÇÃO'!$P:$P,MATCH(MEDIÇÃO!R299,'PROJETO PERFURAÇÃO'!$B:$B,0))="Pre-Splitting","S"))),"")</f>
        <v>P</v>
      </c>
      <c r="R299" s="14">
        <f t="shared" si="29"/>
        <v>683</v>
      </c>
      <c r="S299" s="4" t="str">
        <f>IFERROR(INDEX('LEV R&amp;D'!$D:$D,MATCH(MEDIÇÃO!R299,'LEV R&amp;D'!$A:$A,0))-INDEX('PROJETO PERFURAÇÃO'!$AH:$AH,MATCH(MEDIÇÃO!R299,'PROJETO PERFURAÇÃO'!$B:$B,0)),"")</f>
        <v/>
      </c>
      <c r="T299" s="17">
        <f>IFERROR(INDEX('PROJETO PERFURAÇÃO'!$AN:$AN,MATCH(MEDIÇÃO!R299,'PROJETO PERFURAÇÃO'!$B:$B,0)),"")</f>
        <v>0</v>
      </c>
      <c r="U299" s="3"/>
      <c r="V299" s="3"/>
    </row>
    <row r="300" spans="2:22" ht="45" customHeight="1">
      <c r="B300" s="3" t="str">
        <f>IFERROR(ROUND(INDEX('PROJETO PERFURAÇÃO'!$AB:$AB,MATCH(MEDIÇÃO!D300,'PROJETO PERFURAÇÃO'!$B:$B,0)),1)&amp;"''","")</f>
        <v>5''</v>
      </c>
      <c r="C300" s="3" t="str">
        <f>IFERROR(IF(INDEX('PROJETO PERFURAÇÃO'!$P:$P,MATCH(MEDIÇÃO!D300,'PROJETO PERFURAÇÃO'!$B:$B,0))="Production","P",IF(INDEX('PROJETO PERFURAÇÃO'!$P:$P,MATCH(MEDIÇÃO!D300,'PROJETO PERFURAÇÃO'!$B:$B,0))="Buffer","B",IF(INDEX('PROJETO PERFURAÇÃO'!$P:$P,MATCH(MEDIÇÃO!D300,'PROJETO PERFURAÇÃO'!$B:$B,0))="Pre-Splitting","S"))),"")</f>
        <v>P</v>
      </c>
      <c r="D300" s="14">
        <f t="shared" si="27"/>
        <v>638</v>
      </c>
      <c r="E300" s="4" t="str">
        <f>IFERROR(INDEX('LEV R&amp;D'!$D:$D,MATCH(MEDIÇÃO!D300,'LEV R&amp;D'!$A:$A,0))-INDEX('PROJETO PERFURAÇÃO'!$AH:$AH,MATCH(MEDIÇÃO!D300,'PROJETO PERFURAÇÃO'!$B:$B,0)),"")</f>
        <v/>
      </c>
      <c r="F300" s="17">
        <f>IFERROR(INDEX('PROJETO PERFURAÇÃO'!$AN:$AN,MATCH(MEDIÇÃO!D300,'PROJETO PERFURAÇÃO'!$B:$B,0)),"")</f>
        <v>0</v>
      </c>
      <c r="G300" s="3"/>
      <c r="H300" s="3"/>
      <c r="I300" s="3" t="str">
        <f>IFERROR(ROUND(INDEX('PROJETO PERFURAÇÃO'!$AB:$AB,MATCH(MEDIÇÃO!K300,'PROJETO PERFURAÇÃO'!$B:$B,0)),1)&amp;"''","")</f>
        <v>5''</v>
      </c>
      <c r="J300" s="3" t="str">
        <f>IFERROR(IF(INDEX('PROJETO PERFURAÇÃO'!$P:$P,MATCH(MEDIÇÃO!K300,'PROJETO PERFURAÇÃO'!$B:$B,0))="Production","P",IF(INDEX('PROJETO PERFURAÇÃO'!$P:$P,MATCH(MEDIÇÃO!K300,'PROJETO PERFURAÇÃO'!$B:$B,0))="Buffer","B",IF(INDEX('PROJETO PERFURAÇÃO'!$P:$P,MATCH(MEDIÇÃO!K300,'PROJETO PERFURAÇÃO'!$B:$B,0))="Pre-Splitting","S"))),"")</f>
        <v>P</v>
      </c>
      <c r="K300" s="14">
        <f t="shared" si="28"/>
        <v>661</v>
      </c>
      <c r="L300" s="4" t="str">
        <f>IFERROR(INDEX('LEV R&amp;D'!$D:$D,MATCH(MEDIÇÃO!K300,'LEV R&amp;D'!$A:$A,0))-INDEX('PROJETO PERFURAÇÃO'!$AH:$AH,MATCH(MEDIÇÃO!K300,'PROJETO PERFURAÇÃO'!$B:$B,0)),"")</f>
        <v/>
      </c>
      <c r="M300" s="17">
        <f>IFERROR(INDEX('PROJETO PERFURAÇÃO'!$AN:$AN,MATCH(MEDIÇÃO!K300,'PROJETO PERFURAÇÃO'!$B:$B,0)),"")</f>
        <v>0</v>
      </c>
      <c r="N300" s="3"/>
      <c r="O300" s="3"/>
      <c r="P300" s="3" t="str">
        <f>IFERROR(ROUND(INDEX('PROJETO PERFURAÇÃO'!$AB:$AB,MATCH(MEDIÇÃO!R300,'PROJETO PERFURAÇÃO'!$B:$B,0)),1)&amp;"''","")</f>
        <v>5''</v>
      </c>
      <c r="Q300" s="3" t="str">
        <f>IFERROR(IF(INDEX('PROJETO PERFURAÇÃO'!$P:$P,MATCH(MEDIÇÃO!R300,'PROJETO PERFURAÇÃO'!$B:$B,0))="Production","P",IF(INDEX('PROJETO PERFURAÇÃO'!$P:$P,MATCH(MEDIÇÃO!R300,'PROJETO PERFURAÇÃO'!$B:$B,0))="Buffer","B",IF(INDEX('PROJETO PERFURAÇÃO'!$P:$P,MATCH(MEDIÇÃO!R300,'PROJETO PERFURAÇÃO'!$B:$B,0))="Pre-Splitting","S"))),"")</f>
        <v>P</v>
      </c>
      <c r="R300" s="14">
        <f t="shared" si="29"/>
        <v>684</v>
      </c>
      <c r="S300" s="4" t="str">
        <f>IFERROR(INDEX('LEV R&amp;D'!$D:$D,MATCH(MEDIÇÃO!R300,'LEV R&amp;D'!$A:$A,0))-INDEX('PROJETO PERFURAÇÃO'!$AH:$AH,MATCH(MEDIÇÃO!R300,'PROJETO PERFURAÇÃO'!$B:$B,0)),"")</f>
        <v/>
      </c>
      <c r="T300" s="17">
        <f>IFERROR(INDEX('PROJETO PERFURAÇÃO'!$AN:$AN,MATCH(MEDIÇÃO!R300,'PROJETO PERFURAÇÃO'!$B:$B,0)),"")</f>
        <v>0</v>
      </c>
      <c r="U300" s="3"/>
      <c r="V300" s="3"/>
    </row>
    <row r="301" spans="2:22" ht="45" customHeight="1">
      <c r="B301" s="3" t="str">
        <f>IFERROR(ROUND(INDEX('PROJETO PERFURAÇÃO'!$AB:$AB,MATCH(MEDIÇÃO!D301,'PROJETO PERFURAÇÃO'!$B:$B,0)),1)&amp;"''","")</f>
        <v>5''</v>
      </c>
      <c r="C301" s="3" t="str">
        <f>IFERROR(IF(INDEX('PROJETO PERFURAÇÃO'!$P:$P,MATCH(MEDIÇÃO!D301,'PROJETO PERFURAÇÃO'!$B:$B,0))="Production","P",IF(INDEX('PROJETO PERFURAÇÃO'!$P:$P,MATCH(MEDIÇÃO!D301,'PROJETO PERFURAÇÃO'!$B:$B,0))="Buffer","B",IF(INDEX('PROJETO PERFURAÇÃO'!$P:$P,MATCH(MEDIÇÃO!D301,'PROJETO PERFURAÇÃO'!$B:$B,0))="Pre-Splitting","S"))),"")</f>
        <v>P</v>
      </c>
      <c r="D301" s="14">
        <f t="shared" si="27"/>
        <v>639</v>
      </c>
      <c r="E301" s="4" t="str">
        <f>IFERROR(INDEX('LEV R&amp;D'!$D:$D,MATCH(MEDIÇÃO!D301,'LEV R&amp;D'!$A:$A,0))-INDEX('PROJETO PERFURAÇÃO'!$AH:$AH,MATCH(MEDIÇÃO!D301,'PROJETO PERFURAÇÃO'!$B:$B,0)),"")</f>
        <v/>
      </c>
      <c r="F301" s="17">
        <f>IFERROR(INDEX('PROJETO PERFURAÇÃO'!$AN:$AN,MATCH(MEDIÇÃO!D301,'PROJETO PERFURAÇÃO'!$B:$B,0)),"")</f>
        <v>0</v>
      </c>
      <c r="G301" s="3"/>
      <c r="H301" s="3"/>
      <c r="I301" s="3" t="str">
        <f>IFERROR(ROUND(INDEX('PROJETO PERFURAÇÃO'!$AB:$AB,MATCH(MEDIÇÃO!K301,'PROJETO PERFURAÇÃO'!$B:$B,0)),1)&amp;"''","")</f>
        <v>5''</v>
      </c>
      <c r="J301" s="3" t="str">
        <f>IFERROR(IF(INDEX('PROJETO PERFURAÇÃO'!$P:$P,MATCH(MEDIÇÃO!K301,'PROJETO PERFURAÇÃO'!$B:$B,0))="Production","P",IF(INDEX('PROJETO PERFURAÇÃO'!$P:$P,MATCH(MEDIÇÃO!K301,'PROJETO PERFURAÇÃO'!$B:$B,0))="Buffer","B",IF(INDEX('PROJETO PERFURAÇÃO'!$P:$P,MATCH(MEDIÇÃO!K301,'PROJETO PERFURAÇÃO'!$B:$B,0))="Pre-Splitting","S"))),"")</f>
        <v>P</v>
      </c>
      <c r="K301" s="14">
        <f t="shared" si="28"/>
        <v>662</v>
      </c>
      <c r="L301" s="4" t="str">
        <f>IFERROR(INDEX('LEV R&amp;D'!$D:$D,MATCH(MEDIÇÃO!K301,'LEV R&amp;D'!$A:$A,0))-INDEX('PROJETO PERFURAÇÃO'!$AH:$AH,MATCH(MEDIÇÃO!K301,'PROJETO PERFURAÇÃO'!$B:$B,0)),"")</f>
        <v/>
      </c>
      <c r="M301" s="17">
        <f>IFERROR(INDEX('PROJETO PERFURAÇÃO'!$AN:$AN,MATCH(MEDIÇÃO!K301,'PROJETO PERFURAÇÃO'!$B:$B,0)),"")</f>
        <v>0</v>
      </c>
      <c r="N301" s="3"/>
      <c r="O301" s="3"/>
      <c r="P301" s="3" t="str">
        <f>IFERROR(ROUND(INDEX('PROJETO PERFURAÇÃO'!$AB:$AB,MATCH(MEDIÇÃO!R301,'PROJETO PERFURAÇÃO'!$B:$B,0)),1)&amp;"''","")</f>
        <v>5''</v>
      </c>
      <c r="Q301" s="3" t="str">
        <f>IFERROR(IF(INDEX('PROJETO PERFURAÇÃO'!$P:$P,MATCH(MEDIÇÃO!R301,'PROJETO PERFURAÇÃO'!$B:$B,0))="Production","P",IF(INDEX('PROJETO PERFURAÇÃO'!$P:$P,MATCH(MEDIÇÃO!R301,'PROJETO PERFURAÇÃO'!$B:$B,0))="Buffer","B",IF(INDEX('PROJETO PERFURAÇÃO'!$P:$P,MATCH(MEDIÇÃO!R301,'PROJETO PERFURAÇÃO'!$B:$B,0))="Pre-Splitting","S"))),"")</f>
        <v>P</v>
      </c>
      <c r="R301" s="14">
        <f t="shared" si="29"/>
        <v>685</v>
      </c>
      <c r="S301" s="4" t="str">
        <f>IFERROR(INDEX('LEV R&amp;D'!$D:$D,MATCH(MEDIÇÃO!R301,'LEV R&amp;D'!$A:$A,0))-INDEX('PROJETO PERFURAÇÃO'!$AH:$AH,MATCH(MEDIÇÃO!R301,'PROJETO PERFURAÇÃO'!$B:$B,0)),"")</f>
        <v/>
      </c>
      <c r="T301" s="17">
        <f>IFERROR(INDEX('PROJETO PERFURAÇÃO'!$AN:$AN,MATCH(MEDIÇÃO!R301,'PROJETO PERFURAÇÃO'!$B:$B,0)),"")</f>
        <v>0</v>
      </c>
      <c r="U301" s="3"/>
      <c r="V301" s="3"/>
    </row>
    <row r="302" spans="2:22" ht="45" customHeight="1">
      <c r="B302" s="3" t="str">
        <f>IFERROR(ROUND(INDEX('PROJETO PERFURAÇÃO'!$AB:$AB,MATCH(MEDIÇÃO!D302,'PROJETO PERFURAÇÃO'!$B:$B,0)),1)&amp;"''","")</f>
        <v>5''</v>
      </c>
      <c r="C302" s="3" t="str">
        <f>IFERROR(IF(INDEX('PROJETO PERFURAÇÃO'!$P:$P,MATCH(MEDIÇÃO!D302,'PROJETO PERFURAÇÃO'!$B:$B,0))="Production","P",IF(INDEX('PROJETO PERFURAÇÃO'!$P:$P,MATCH(MEDIÇÃO!D302,'PROJETO PERFURAÇÃO'!$B:$B,0))="Buffer","B",IF(INDEX('PROJETO PERFURAÇÃO'!$P:$P,MATCH(MEDIÇÃO!D302,'PROJETO PERFURAÇÃO'!$B:$B,0))="Pre-Splitting","S"))),"")</f>
        <v>P</v>
      </c>
      <c r="D302" s="14">
        <f t="shared" si="27"/>
        <v>640</v>
      </c>
      <c r="E302" s="4" t="str">
        <f>IFERROR(INDEX('LEV R&amp;D'!$D:$D,MATCH(MEDIÇÃO!D302,'LEV R&amp;D'!$A:$A,0))-INDEX('PROJETO PERFURAÇÃO'!$AH:$AH,MATCH(MEDIÇÃO!D302,'PROJETO PERFURAÇÃO'!$B:$B,0)),"")</f>
        <v/>
      </c>
      <c r="F302" s="17">
        <f>IFERROR(INDEX('PROJETO PERFURAÇÃO'!$AN:$AN,MATCH(MEDIÇÃO!D302,'PROJETO PERFURAÇÃO'!$B:$B,0)),"")</f>
        <v>0</v>
      </c>
      <c r="G302" s="3"/>
      <c r="H302" s="3"/>
      <c r="I302" s="3" t="str">
        <f>IFERROR(ROUND(INDEX('PROJETO PERFURAÇÃO'!$AB:$AB,MATCH(MEDIÇÃO!K302,'PROJETO PERFURAÇÃO'!$B:$B,0)),1)&amp;"''","")</f>
        <v>5''</v>
      </c>
      <c r="J302" s="3" t="str">
        <f>IFERROR(IF(INDEX('PROJETO PERFURAÇÃO'!$P:$P,MATCH(MEDIÇÃO!K302,'PROJETO PERFURAÇÃO'!$B:$B,0))="Production","P",IF(INDEX('PROJETO PERFURAÇÃO'!$P:$P,MATCH(MEDIÇÃO!K302,'PROJETO PERFURAÇÃO'!$B:$B,0))="Buffer","B",IF(INDEX('PROJETO PERFURAÇÃO'!$P:$P,MATCH(MEDIÇÃO!K302,'PROJETO PERFURAÇÃO'!$B:$B,0))="Pre-Splitting","S"))),"")</f>
        <v>P</v>
      </c>
      <c r="K302" s="14">
        <f t="shared" si="28"/>
        <v>663</v>
      </c>
      <c r="L302" s="4" t="str">
        <f>IFERROR(INDEX('LEV R&amp;D'!$D:$D,MATCH(MEDIÇÃO!K302,'LEV R&amp;D'!$A:$A,0))-INDEX('PROJETO PERFURAÇÃO'!$AH:$AH,MATCH(MEDIÇÃO!K302,'PROJETO PERFURAÇÃO'!$B:$B,0)),"")</f>
        <v/>
      </c>
      <c r="M302" s="17">
        <f>IFERROR(INDEX('PROJETO PERFURAÇÃO'!$AN:$AN,MATCH(MEDIÇÃO!K302,'PROJETO PERFURAÇÃO'!$B:$B,0)),"")</f>
        <v>0</v>
      </c>
      <c r="N302" s="3"/>
      <c r="O302" s="3"/>
      <c r="P302" s="3" t="str">
        <f>IFERROR(ROUND(INDEX('PROJETO PERFURAÇÃO'!$AB:$AB,MATCH(MEDIÇÃO!R302,'PROJETO PERFURAÇÃO'!$B:$B,0)),1)&amp;"''","")</f>
        <v>5''</v>
      </c>
      <c r="Q302" s="3" t="str">
        <f>IFERROR(IF(INDEX('PROJETO PERFURAÇÃO'!$P:$P,MATCH(MEDIÇÃO!R302,'PROJETO PERFURAÇÃO'!$B:$B,0))="Production","P",IF(INDEX('PROJETO PERFURAÇÃO'!$P:$P,MATCH(MEDIÇÃO!R302,'PROJETO PERFURAÇÃO'!$B:$B,0))="Buffer","B",IF(INDEX('PROJETO PERFURAÇÃO'!$P:$P,MATCH(MEDIÇÃO!R302,'PROJETO PERFURAÇÃO'!$B:$B,0))="Pre-Splitting","S"))),"")</f>
        <v>P</v>
      </c>
      <c r="R302" s="14">
        <f t="shared" si="29"/>
        <v>686</v>
      </c>
      <c r="S302" s="4" t="str">
        <f>IFERROR(INDEX('LEV R&amp;D'!$D:$D,MATCH(MEDIÇÃO!R302,'LEV R&amp;D'!$A:$A,0))-INDEX('PROJETO PERFURAÇÃO'!$AH:$AH,MATCH(MEDIÇÃO!R302,'PROJETO PERFURAÇÃO'!$B:$B,0)),"")</f>
        <v/>
      </c>
      <c r="T302" s="17">
        <f>IFERROR(INDEX('PROJETO PERFURAÇÃO'!$AN:$AN,MATCH(MEDIÇÃO!R302,'PROJETO PERFURAÇÃO'!$B:$B,0)),"")</f>
        <v>0</v>
      </c>
      <c r="U302" s="3"/>
      <c r="V302" s="3"/>
    </row>
    <row r="303" spans="2:22" ht="45" customHeight="1">
      <c r="B303" s="3" t="str">
        <f>IFERROR(ROUND(INDEX('PROJETO PERFURAÇÃO'!$AB:$AB,MATCH(MEDIÇÃO!D303,'PROJETO PERFURAÇÃO'!$B:$B,0)),1)&amp;"''","")</f>
        <v>5''</v>
      </c>
      <c r="C303" s="3" t="str">
        <f>IFERROR(IF(INDEX('PROJETO PERFURAÇÃO'!$P:$P,MATCH(MEDIÇÃO!D303,'PROJETO PERFURAÇÃO'!$B:$B,0))="Production","P",IF(INDEX('PROJETO PERFURAÇÃO'!$P:$P,MATCH(MEDIÇÃO!D303,'PROJETO PERFURAÇÃO'!$B:$B,0))="Buffer","B",IF(INDEX('PROJETO PERFURAÇÃO'!$P:$P,MATCH(MEDIÇÃO!D303,'PROJETO PERFURAÇÃO'!$B:$B,0))="Pre-Splitting","S"))),"")</f>
        <v>P</v>
      </c>
      <c r="D303" s="14">
        <f t="shared" si="27"/>
        <v>641</v>
      </c>
      <c r="E303" s="4" t="str">
        <f>IFERROR(INDEX('LEV R&amp;D'!$D:$D,MATCH(MEDIÇÃO!D303,'LEV R&amp;D'!$A:$A,0))-INDEX('PROJETO PERFURAÇÃO'!$AH:$AH,MATCH(MEDIÇÃO!D303,'PROJETO PERFURAÇÃO'!$B:$B,0)),"")</f>
        <v/>
      </c>
      <c r="F303" s="17">
        <f>IFERROR(INDEX('PROJETO PERFURAÇÃO'!$AN:$AN,MATCH(MEDIÇÃO!D303,'PROJETO PERFURAÇÃO'!$B:$B,0)),"")</f>
        <v>0</v>
      </c>
      <c r="G303" s="3"/>
      <c r="H303" s="3"/>
      <c r="I303" s="3" t="str">
        <f>IFERROR(ROUND(INDEX('PROJETO PERFURAÇÃO'!$AB:$AB,MATCH(MEDIÇÃO!K303,'PROJETO PERFURAÇÃO'!$B:$B,0)),1)&amp;"''","")</f>
        <v>5''</v>
      </c>
      <c r="J303" s="3" t="str">
        <f>IFERROR(IF(INDEX('PROJETO PERFURAÇÃO'!$P:$P,MATCH(MEDIÇÃO!K303,'PROJETO PERFURAÇÃO'!$B:$B,0))="Production","P",IF(INDEX('PROJETO PERFURAÇÃO'!$P:$P,MATCH(MEDIÇÃO!K303,'PROJETO PERFURAÇÃO'!$B:$B,0))="Buffer","B",IF(INDEX('PROJETO PERFURAÇÃO'!$P:$P,MATCH(MEDIÇÃO!K303,'PROJETO PERFURAÇÃO'!$B:$B,0))="Pre-Splitting","S"))),"")</f>
        <v>P</v>
      </c>
      <c r="K303" s="14">
        <f t="shared" si="28"/>
        <v>664</v>
      </c>
      <c r="L303" s="4" t="str">
        <f>IFERROR(INDEX('LEV R&amp;D'!$D:$D,MATCH(MEDIÇÃO!K303,'LEV R&amp;D'!$A:$A,0))-INDEX('PROJETO PERFURAÇÃO'!$AH:$AH,MATCH(MEDIÇÃO!K303,'PROJETO PERFURAÇÃO'!$B:$B,0)),"")</f>
        <v/>
      </c>
      <c r="M303" s="17">
        <f>IFERROR(INDEX('PROJETO PERFURAÇÃO'!$AN:$AN,MATCH(MEDIÇÃO!K303,'PROJETO PERFURAÇÃO'!$B:$B,0)),"")</f>
        <v>0</v>
      </c>
      <c r="N303" s="3"/>
      <c r="O303" s="3"/>
      <c r="P303" s="3" t="str">
        <f>IFERROR(ROUND(INDEX('PROJETO PERFURAÇÃO'!$AB:$AB,MATCH(MEDIÇÃO!R303,'PROJETO PERFURAÇÃO'!$B:$B,0)),1)&amp;"''","")</f>
        <v>5''</v>
      </c>
      <c r="Q303" s="3" t="str">
        <f>IFERROR(IF(INDEX('PROJETO PERFURAÇÃO'!$P:$P,MATCH(MEDIÇÃO!R303,'PROJETO PERFURAÇÃO'!$B:$B,0))="Production","P",IF(INDEX('PROJETO PERFURAÇÃO'!$P:$P,MATCH(MEDIÇÃO!R303,'PROJETO PERFURAÇÃO'!$B:$B,0))="Buffer","B",IF(INDEX('PROJETO PERFURAÇÃO'!$P:$P,MATCH(MEDIÇÃO!R303,'PROJETO PERFURAÇÃO'!$B:$B,0))="Pre-Splitting","S"))),"")</f>
        <v>P</v>
      </c>
      <c r="R303" s="14">
        <f t="shared" si="29"/>
        <v>687</v>
      </c>
      <c r="S303" s="4" t="str">
        <f>IFERROR(INDEX('LEV R&amp;D'!$D:$D,MATCH(MEDIÇÃO!R303,'LEV R&amp;D'!$A:$A,0))-INDEX('PROJETO PERFURAÇÃO'!$AH:$AH,MATCH(MEDIÇÃO!R303,'PROJETO PERFURAÇÃO'!$B:$B,0)),"")</f>
        <v/>
      </c>
      <c r="T303" s="17">
        <f>IFERROR(INDEX('PROJETO PERFURAÇÃO'!$AN:$AN,MATCH(MEDIÇÃO!R303,'PROJETO PERFURAÇÃO'!$B:$B,0)),"")</f>
        <v>0</v>
      </c>
      <c r="U303" s="3"/>
      <c r="V303" s="3"/>
    </row>
    <row r="304" spans="2:22" ht="45" customHeight="1">
      <c r="B304" s="3" t="str">
        <f>IFERROR(ROUND(INDEX('PROJETO PERFURAÇÃO'!$AB:$AB,MATCH(MEDIÇÃO!D304,'PROJETO PERFURAÇÃO'!$B:$B,0)),1)&amp;"''","")</f>
        <v>5''</v>
      </c>
      <c r="C304" s="3" t="str">
        <f>IFERROR(IF(INDEX('PROJETO PERFURAÇÃO'!$P:$P,MATCH(MEDIÇÃO!D304,'PROJETO PERFURAÇÃO'!$B:$B,0))="Production","P",IF(INDEX('PROJETO PERFURAÇÃO'!$P:$P,MATCH(MEDIÇÃO!D304,'PROJETO PERFURAÇÃO'!$B:$B,0))="Buffer","B",IF(INDEX('PROJETO PERFURAÇÃO'!$P:$P,MATCH(MEDIÇÃO!D304,'PROJETO PERFURAÇÃO'!$B:$B,0))="Pre-Splitting","S"))),"")</f>
        <v>P</v>
      </c>
      <c r="D304" s="14">
        <f t="shared" si="27"/>
        <v>642</v>
      </c>
      <c r="E304" s="4" t="str">
        <f>IFERROR(INDEX('LEV R&amp;D'!$D:$D,MATCH(MEDIÇÃO!D304,'LEV R&amp;D'!$A:$A,0))-INDEX('PROJETO PERFURAÇÃO'!$AH:$AH,MATCH(MEDIÇÃO!D304,'PROJETO PERFURAÇÃO'!$B:$B,0)),"")</f>
        <v/>
      </c>
      <c r="F304" s="17">
        <f>IFERROR(INDEX('PROJETO PERFURAÇÃO'!$AN:$AN,MATCH(MEDIÇÃO!D304,'PROJETO PERFURAÇÃO'!$B:$B,0)),"")</f>
        <v>0</v>
      </c>
      <c r="G304" s="3"/>
      <c r="H304" s="3"/>
      <c r="I304" s="3" t="str">
        <f>IFERROR(ROUND(INDEX('PROJETO PERFURAÇÃO'!$AB:$AB,MATCH(MEDIÇÃO!K304,'PROJETO PERFURAÇÃO'!$B:$B,0)),1)&amp;"''","")</f>
        <v>5''</v>
      </c>
      <c r="J304" s="3" t="str">
        <f>IFERROR(IF(INDEX('PROJETO PERFURAÇÃO'!$P:$P,MATCH(MEDIÇÃO!K304,'PROJETO PERFURAÇÃO'!$B:$B,0))="Production","P",IF(INDEX('PROJETO PERFURAÇÃO'!$P:$P,MATCH(MEDIÇÃO!K304,'PROJETO PERFURAÇÃO'!$B:$B,0))="Buffer","B",IF(INDEX('PROJETO PERFURAÇÃO'!$P:$P,MATCH(MEDIÇÃO!K304,'PROJETO PERFURAÇÃO'!$B:$B,0))="Pre-Splitting","S"))),"")</f>
        <v>P</v>
      </c>
      <c r="K304" s="14">
        <f t="shared" si="28"/>
        <v>665</v>
      </c>
      <c r="L304" s="4" t="str">
        <f>IFERROR(INDEX('LEV R&amp;D'!$D:$D,MATCH(MEDIÇÃO!K304,'LEV R&amp;D'!$A:$A,0))-INDEX('PROJETO PERFURAÇÃO'!$AH:$AH,MATCH(MEDIÇÃO!K304,'PROJETO PERFURAÇÃO'!$B:$B,0)),"")</f>
        <v/>
      </c>
      <c r="M304" s="17">
        <f>IFERROR(INDEX('PROJETO PERFURAÇÃO'!$AN:$AN,MATCH(MEDIÇÃO!K304,'PROJETO PERFURAÇÃO'!$B:$B,0)),"")</f>
        <v>0</v>
      </c>
      <c r="N304" s="3"/>
      <c r="O304" s="3"/>
      <c r="P304" s="3" t="str">
        <f>IFERROR(ROUND(INDEX('PROJETO PERFURAÇÃO'!$AB:$AB,MATCH(MEDIÇÃO!R304,'PROJETO PERFURAÇÃO'!$B:$B,0)),1)&amp;"''","")</f>
        <v>5''</v>
      </c>
      <c r="Q304" s="3" t="str">
        <f>IFERROR(IF(INDEX('PROJETO PERFURAÇÃO'!$P:$P,MATCH(MEDIÇÃO!R304,'PROJETO PERFURAÇÃO'!$B:$B,0))="Production","P",IF(INDEX('PROJETO PERFURAÇÃO'!$P:$P,MATCH(MEDIÇÃO!R304,'PROJETO PERFURAÇÃO'!$B:$B,0))="Buffer","B",IF(INDEX('PROJETO PERFURAÇÃO'!$P:$P,MATCH(MEDIÇÃO!R304,'PROJETO PERFURAÇÃO'!$B:$B,0))="Pre-Splitting","S"))),"")</f>
        <v>P</v>
      </c>
      <c r="R304" s="14">
        <f t="shared" si="29"/>
        <v>688</v>
      </c>
      <c r="S304" s="4" t="str">
        <f>IFERROR(INDEX('LEV R&amp;D'!$D:$D,MATCH(MEDIÇÃO!R304,'LEV R&amp;D'!$A:$A,0))-INDEX('PROJETO PERFURAÇÃO'!$AH:$AH,MATCH(MEDIÇÃO!R304,'PROJETO PERFURAÇÃO'!$B:$B,0)),"")</f>
        <v/>
      </c>
      <c r="T304" s="17">
        <f>IFERROR(INDEX('PROJETO PERFURAÇÃO'!$AN:$AN,MATCH(MEDIÇÃO!R304,'PROJETO PERFURAÇÃO'!$B:$B,0)),"")</f>
        <v>0</v>
      </c>
      <c r="U304" s="3"/>
      <c r="V304" s="3"/>
    </row>
    <row r="305" spans="1:23" ht="45" customHeight="1">
      <c r="B305" s="3" t="str">
        <f>IFERROR(ROUND(INDEX('PROJETO PERFURAÇÃO'!$AB:$AB,MATCH(MEDIÇÃO!D305,'PROJETO PERFURAÇÃO'!$B:$B,0)),1)&amp;"''","")</f>
        <v>5''</v>
      </c>
      <c r="C305" s="3" t="str">
        <f>IFERROR(IF(INDEX('PROJETO PERFURAÇÃO'!$P:$P,MATCH(MEDIÇÃO!D305,'PROJETO PERFURAÇÃO'!$B:$B,0))="Production","P",IF(INDEX('PROJETO PERFURAÇÃO'!$P:$P,MATCH(MEDIÇÃO!D305,'PROJETO PERFURAÇÃO'!$B:$B,0))="Buffer","B",IF(INDEX('PROJETO PERFURAÇÃO'!$P:$P,MATCH(MEDIÇÃO!D305,'PROJETO PERFURAÇÃO'!$B:$B,0))="Pre-Splitting","S"))),"")</f>
        <v>P</v>
      </c>
      <c r="D305" s="14">
        <f t="shared" si="27"/>
        <v>643</v>
      </c>
      <c r="E305" s="4" t="str">
        <f>IFERROR(INDEX('LEV R&amp;D'!$D:$D,MATCH(MEDIÇÃO!D305,'LEV R&amp;D'!$A:$A,0))-INDEX('PROJETO PERFURAÇÃO'!$AH:$AH,MATCH(MEDIÇÃO!D305,'PROJETO PERFURAÇÃO'!$B:$B,0)),"")</f>
        <v/>
      </c>
      <c r="F305" s="17">
        <f>IFERROR(INDEX('PROJETO PERFURAÇÃO'!$AN:$AN,MATCH(MEDIÇÃO!D305,'PROJETO PERFURAÇÃO'!$B:$B,0)),"")</f>
        <v>0</v>
      </c>
      <c r="G305" s="3"/>
      <c r="H305" s="3"/>
      <c r="I305" s="3" t="str">
        <f>IFERROR(ROUND(INDEX('PROJETO PERFURAÇÃO'!$AB:$AB,MATCH(MEDIÇÃO!K305,'PROJETO PERFURAÇÃO'!$B:$B,0)),1)&amp;"''","")</f>
        <v>5''</v>
      </c>
      <c r="J305" s="3" t="str">
        <f>IFERROR(IF(INDEX('PROJETO PERFURAÇÃO'!$P:$P,MATCH(MEDIÇÃO!K305,'PROJETO PERFURAÇÃO'!$B:$B,0))="Production","P",IF(INDEX('PROJETO PERFURAÇÃO'!$P:$P,MATCH(MEDIÇÃO!K305,'PROJETO PERFURAÇÃO'!$B:$B,0))="Buffer","B",IF(INDEX('PROJETO PERFURAÇÃO'!$P:$P,MATCH(MEDIÇÃO!K305,'PROJETO PERFURAÇÃO'!$B:$B,0))="Pre-Splitting","S"))),"")</f>
        <v>P</v>
      </c>
      <c r="K305" s="14">
        <f t="shared" si="28"/>
        <v>666</v>
      </c>
      <c r="L305" s="4" t="str">
        <f>IFERROR(INDEX('LEV R&amp;D'!$D:$D,MATCH(MEDIÇÃO!K305,'LEV R&amp;D'!$A:$A,0))-INDEX('PROJETO PERFURAÇÃO'!$AH:$AH,MATCH(MEDIÇÃO!K305,'PROJETO PERFURAÇÃO'!$B:$B,0)),"")</f>
        <v/>
      </c>
      <c r="M305" s="17">
        <f>IFERROR(INDEX('PROJETO PERFURAÇÃO'!$AN:$AN,MATCH(MEDIÇÃO!K305,'PROJETO PERFURAÇÃO'!$B:$B,0)),"")</f>
        <v>0</v>
      </c>
      <c r="N305" s="3"/>
      <c r="O305" s="3"/>
      <c r="P305" s="3" t="str">
        <f>IFERROR(ROUND(INDEX('PROJETO PERFURAÇÃO'!$AB:$AB,MATCH(MEDIÇÃO!R305,'PROJETO PERFURAÇÃO'!$B:$B,0)),1)&amp;"''","")</f>
        <v>5''</v>
      </c>
      <c r="Q305" s="3" t="str">
        <f>IFERROR(IF(INDEX('PROJETO PERFURAÇÃO'!$P:$P,MATCH(MEDIÇÃO!R305,'PROJETO PERFURAÇÃO'!$B:$B,0))="Production","P",IF(INDEX('PROJETO PERFURAÇÃO'!$P:$P,MATCH(MEDIÇÃO!R305,'PROJETO PERFURAÇÃO'!$B:$B,0))="Buffer","B",IF(INDEX('PROJETO PERFURAÇÃO'!$P:$P,MATCH(MEDIÇÃO!R305,'PROJETO PERFURAÇÃO'!$B:$B,0))="Pre-Splitting","S"))),"")</f>
        <v>P</v>
      </c>
      <c r="R305" s="14">
        <f t="shared" si="29"/>
        <v>689</v>
      </c>
      <c r="S305" s="4" t="str">
        <f>IFERROR(INDEX('LEV R&amp;D'!$D:$D,MATCH(MEDIÇÃO!R305,'LEV R&amp;D'!$A:$A,0))-INDEX('PROJETO PERFURAÇÃO'!$AH:$AH,MATCH(MEDIÇÃO!R305,'PROJETO PERFURAÇÃO'!$B:$B,0)),"")</f>
        <v/>
      </c>
      <c r="T305" s="17">
        <f>IFERROR(INDEX('PROJETO PERFURAÇÃO'!$AN:$AN,MATCH(MEDIÇÃO!R305,'PROJETO PERFURAÇÃO'!$B:$B,0)),"")</f>
        <v>0</v>
      </c>
      <c r="U305" s="3"/>
      <c r="V305" s="3"/>
    </row>
    <row r="306" spans="1:23" ht="45" customHeight="1">
      <c r="B306" s="3" t="str">
        <f>IFERROR(ROUND(INDEX('PROJETO PERFURAÇÃO'!$AB:$AB,MATCH(MEDIÇÃO!D306,'PROJETO PERFURAÇÃO'!$B:$B,0)),1)&amp;"''","")</f>
        <v>5''</v>
      </c>
      <c r="C306" s="3" t="str">
        <f>IFERROR(IF(INDEX('PROJETO PERFURAÇÃO'!$P:$P,MATCH(MEDIÇÃO!D306,'PROJETO PERFURAÇÃO'!$B:$B,0))="Production","P",IF(INDEX('PROJETO PERFURAÇÃO'!$P:$P,MATCH(MEDIÇÃO!D306,'PROJETO PERFURAÇÃO'!$B:$B,0))="Buffer","B",IF(INDEX('PROJETO PERFURAÇÃO'!$P:$P,MATCH(MEDIÇÃO!D306,'PROJETO PERFURAÇÃO'!$B:$B,0))="Pre-Splitting","S"))),"")</f>
        <v>P</v>
      </c>
      <c r="D306" s="14">
        <f t="shared" si="27"/>
        <v>644</v>
      </c>
      <c r="E306" s="4" t="str">
        <f>IFERROR(INDEX('LEV R&amp;D'!$D:$D,MATCH(MEDIÇÃO!D306,'LEV R&amp;D'!$A:$A,0))-INDEX('PROJETO PERFURAÇÃO'!$AH:$AH,MATCH(MEDIÇÃO!D306,'PROJETO PERFURAÇÃO'!$B:$B,0)),"")</f>
        <v/>
      </c>
      <c r="F306" s="17">
        <f>IFERROR(INDEX('PROJETO PERFURAÇÃO'!$AN:$AN,MATCH(MEDIÇÃO!D306,'PROJETO PERFURAÇÃO'!$B:$B,0)),"")</f>
        <v>0</v>
      </c>
      <c r="G306" s="3"/>
      <c r="H306" s="3"/>
      <c r="I306" s="3" t="str">
        <f>IFERROR(ROUND(INDEX('PROJETO PERFURAÇÃO'!$AB:$AB,MATCH(MEDIÇÃO!K306,'PROJETO PERFURAÇÃO'!$B:$B,0)),1)&amp;"''","")</f>
        <v>5''</v>
      </c>
      <c r="J306" s="3" t="str">
        <f>IFERROR(IF(INDEX('PROJETO PERFURAÇÃO'!$P:$P,MATCH(MEDIÇÃO!K306,'PROJETO PERFURAÇÃO'!$B:$B,0))="Production","P",IF(INDEX('PROJETO PERFURAÇÃO'!$P:$P,MATCH(MEDIÇÃO!K306,'PROJETO PERFURAÇÃO'!$B:$B,0))="Buffer","B",IF(INDEX('PROJETO PERFURAÇÃO'!$P:$P,MATCH(MEDIÇÃO!K306,'PROJETO PERFURAÇÃO'!$B:$B,0))="Pre-Splitting","S"))),"")</f>
        <v>P</v>
      </c>
      <c r="K306" s="14">
        <f t="shared" si="28"/>
        <v>667</v>
      </c>
      <c r="L306" s="4" t="str">
        <f>IFERROR(INDEX('LEV R&amp;D'!$D:$D,MATCH(MEDIÇÃO!K306,'LEV R&amp;D'!$A:$A,0))-INDEX('PROJETO PERFURAÇÃO'!$AH:$AH,MATCH(MEDIÇÃO!K306,'PROJETO PERFURAÇÃO'!$B:$B,0)),"")</f>
        <v/>
      </c>
      <c r="M306" s="17">
        <f>IFERROR(INDEX('PROJETO PERFURAÇÃO'!$AN:$AN,MATCH(MEDIÇÃO!K306,'PROJETO PERFURAÇÃO'!$B:$B,0)),"")</f>
        <v>0</v>
      </c>
      <c r="N306" s="3"/>
      <c r="O306" s="3"/>
      <c r="P306" s="3" t="str">
        <f>IFERROR(ROUND(INDEX('PROJETO PERFURAÇÃO'!$AB:$AB,MATCH(MEDIÇÃO!R306,'PROJETO PERFURAÇÃO'!$B:$B,0)),1)&amp;"''","")</f>
        <v>5''</v>
      </c>
      <c r="Q306" s="3" t="str">
        <f>IFERROR(IF(INDEX('PROJETO PERFURAÇÃO'!$P:$P,MATCH(MEDIÇÃO!R306,'PROJETO PERFURAÇÃO'!$B:$B,0))="Production","P",IF(INDEX('PROJETO PERFURAÇÃO'!$P:$P,MATCH(MEDIÇÃO!R306,'PROJETO PERFURAÇÃO'!$B:$B,0))="Buffer","B",IF(INDEX('PROJETO PERFURAÇÃO'!$P:$P,MATCH(MEDIÇÃO!R306,'PROJETO PERFURAÇÃO'!$B:$B,0))="Pre-Splitting","S"))),"")</f>
        <v>P</v>
      </c>
      <c r="R306" s="14">
        <f t="shared" si="29"/>
        <v>690</v>
      </c>
      <c r="S306" s="4" t="str">
        <f>IFERROR(INDEX('LEV R&amp;D'!$D:$D,MATCH(MEDIÇÃO!R306,'LEV R&amp;D'!$A:$A,0))-INDEX('PROJETO PERFURAÇÃO'!$AH:$AH,MATCH(MEDIÇÃO!R306,'PROJETO PERFURAÇÃO'!$B:$B,0)),"")</f>
        <v/>
      </c>
      <c r="T306" s="17">
        <f>IFERROR(INDEX('PROJETO PERFURAÇÃO'!$AN:$AN,MATCH(MEDIÇÃO!R306,'PROJETO PERFURAÇÃO'!$B:$B,0)),"")</f>
        <v>0</v>
      </c>
      <c r="U306" s="3"/>
      <c r="V306" s="3"/>
    </row>
    <row r="307" spans="1:23" ht="30" customHeight="1">
      <c r="B307" s="1"/>
      <c r="C307" s="1"/>
      <c r="D307" s="15"/>
      <c r="E307" s="2"/>
      <c r="F307" s="16"/>
      <c r="G307" s="1"/>
      <c r="H307" s="1"/>
      <c r="I307" s="1"/>
      <c r="J307" s="1"/>
      <c r="K307" s="15"/>
      <c r="L307" s="2"/>
      <c r="M307" s="16"/>
      <c r="N307" s="1"/>
      <c r="O307" s="1"/>
      <c r="P307" s="1"/>
      <c r="Q307" s="1"/>
      <c r="R307" s="15"/>
      <c r="S307" s="2"/>
      <c r="T307" s="16"/>
      <c r="U307" s="1"/>
      <c r="V307" s="1"/>
    </row>
    <row r="308" spans="1:23" ht="30" customHeight="1">
      <c r="C308" s="20"/>
      <c r="D308" s="20"/>
      <c r="E308" s="20"/>
      <c r="F308" s="20"/>
      <c r="G308" s="20"/>
      <c r="H308" s="20"/>
      <c r="I308" s="20"/>
      <c r="J308" s="20"/>
      <c r="K308" s="20"/>
      <c r="M308" s="20"/>
      <c r="N308" s="20"/>
      <c r="O308" s="20"/>
      <c r="P308" s="20"/>
      <c r="Q308" s="20"/>
      <c r="R308" s="20"/>
      <c r="S308" s="20"/>
      <c r="T308" s="20"/>
      <c r="U308" s="20"/>
    </row>
    <row r="309" spans="1:23" ht="30" customHeight="1">
      <c r="C309" s="21" t="s">
        <v>40</v>
      </c>
      <c r="D309" s="21"/>
      <c r="E309" s="21"/>
      <c r="F309" s="21"/>
      <c r="G309" s="21"/>
      <c r="H309" s="21"/>
      <c r="I309" s="21"/>
      <c r="J309" s="21"/>
      <c r="K309" s="21"/>
      <c r="L309" s="9"/>
      <c r="M309" s="21" t="s">
        <v>40</v>
      </c>
      <c r="N309" s="21"/>
      <c r="O309" s="21"/>
      <c r="P309" s="21"/>
      <c r="Q309" s="21"/>
      <c r="R309" s="21"/>
      <c r="S309" s="21"/>
      <c r="T309" s="21"/>
      <c r="U309" s="21"/>
      <c r="V309" s="9"/>
    </row>
    <row r="310" spans="1:23" ht="30" customHeight="1">
      <c r="D310" s="9"/>
      <c r="E310" s="9"/>
      <c r="F310" s="9"/>
      <c r="G310" s="9"/>
      <c r="H310" s="9"/>
      <c r="I310" s="9"/>
      <c r="J310" s="9"/>
      <c r="K310" s="9"/>
      <c r="L310" s="9"/>
      <c r="M310" s="9"/>
      <c r="N310" s="9"/>
      <c r="Q310" s="9"/>
      <c r="R310" s="9"/>
      <c r="S310" s="9"/>
      <c r="T310" s="9"/>
      <c r="U310" s="9"/>
      <c r="V310" s="9"/>
    </row>
    <row r="311" spans="1:23" ht="30" customHeight="1">
      <c r="B311" s="19" t="str">
        <f>'PROJETO PERFURAÇÃO'!$C$2&amp;" - "&amp;'PROJETO PERFURAÇÃO'!$H$2</f>
        <v>LIB037 - PP0370626</v>
      </c>
      <c r="C311" s="19"/>
      <c r="D311" s="19"/>
      <c r="E311" s="19"/>
      <c r="F311" s="19"/>
      <c r="G311" s="19"/>
      <c r="H311" s="19"/>
      <c r="I311" s="11" t="s">
        <v>34</v>
      </c>
      <c r="J311" s="10" t="s">
        <v>37</v>
      </c>
    </row>
    <row r="312" spans="1:23" ht="30" customHeight="1">
      <c r="B312" s="19"/>
      <c r="C312" s="19"/>
      <c r="D312" s="19"/>
      <c r="E312" s="19"/>
      <c r="F312" s="19"/>
      <c r="G312" s="19"/>
      <c r="H312" s="19"/>
      <c r="I312" s="12" t="s">
        <v>35</v>
      </c>
      <c r="J312" s="10" t="s">
        <v>38</v>
      </c>
      <c r="K312" s="9"/>
      <c r="L312" s="9"/>
      <c r="M312" s="9"/>
      <c r="N312" s="9"/>
      <c r="O312" s="9"/>
      <c r="P312" s="9"/>
      <c r="Q312" s="9"/>
      <c r="R312" s="9"/>
      <c r="S312" s="9"/>
      <c r="T312" s="9"/>
      <c r="U312" s="9"/>
      <c r="V312" s="9"/>
    </row>
    <row r="313" spans="1:23" ht="30" customHeight="1">
      <c r="B313" s="19"/>
      <c r="C313" s="19"/>
      <c r="D313" s="19"/>
      <c r="E313" s="19"/>
      <c r="F313" s="19"/>
      <c r="G313" s="19"/>
      <c r="H313" s="19"/>
      <c r="I313" s="13" t="s">
        <v>36</v>
      </c>
      <c r="J313" s="10" t="s">
        <v>39</v>
      </c>
    </row>
    <row r="314" spans="1:23" ht="30" customHeight="1">
      <c r="A314" s="1"/>
      <c r="B314" s="6" t="s">
        <v>33</v>
      </c>
      <c r="C314" s="6" t="s">
        <v>13</v>
      </c>
      <c r="D314" s="7" t="s">
        <v>1</v>
      </c>
      <c r="E314" s="7" t="s">
        <v>29</v>
      </c>
      <c r="F314" s="7" t="s">
        <v>30</v>
      </c>
      <c r="G314" s="7" t="s">
        <v>31</v>
      </c>
      <c r="H314" s="7" t="s">
        <v>32</v>
      </c>
      <c r="I314" s="6" t="s">
        <v>33</v>
      </c>
      <c r="J314" s="6" t="s">
        <v>13</v>
      </c>
      <c r="K314" s="7" t="s">
        <v>1</v>
      </c>
      <c r="L314" s="7" t="s">
        <v>29</v>
      </c>
      <c r="M314" s="7" t="s">
        <v>30</v>
      </c>
      <c r="N314" s="7" t="s">
        <v>31</v>
      </c>
      <c r="O314" s="7" t="s">
        <v>32</v>
      </c>
      <c r="P314" s="6" t="s">
        <v>33</v>
      </c>
      <c r="Q314" s="6" t="s">
        <v>13</v>
      </c>
      <c r="R314" s="7" t="s">
        <v>1</v>
      </c>
      <c r="S314" s="7" t="s">
        <v>29</v>
      </c>
      <c r="T314" s="7" t="s">
        <v>30</v>
      </c>
      <c r="U314" s="7" t="s">
        <v>31</v>
      </c>
      <c r="V314" s="7" t="s">
        <v>32</v>
      </c>
      <c r="W314" s="1"/>
    </row>
    <row r="315" spans="1:23" ht="45" customHeight="1">
      <c r="B315" s="3" t="str">
        <f>IFERROR(ROUND(INDEX('PROJETO PERFURAÇÃO'!$AB:$AB,MATCH(MEDIÇÃO!D315,'PROJETO PERFURAÇÃO'!$B:$B,0)),1)&amp;"''","")</f>
        <v>5''</v>
      </c>
      <c r="C315" s="3" t="str">
        <f>IFERROR(IF(INDEX('PROJETO PERFURAÇÃO'!$P:$P,MATCH(MEDIÇÃO!D315,'PROJETO PERFURAÇÃO'!$B:$B,0))="Production","P",IF(INDEX('PROJETO PERFURAÇÃO'!$P:$P,MATCH(MEDIÇÃO!D315,'PROJETO PERFURAÇÃO'!$B:$B,0))="Buffer","B",IF(INDEX('PROJETO PERFURAÇÃO'!$P:$P,MATCH(MEDIÇÃO!D315,'PROJETO PERFURAÇÃO'!$B:$B,0))="Pre-Splitting","S"))),"")</f>
        <v>P</v>
      </c>
      <c r="D315" s="14">
        <f>R306+1</f>
        <v>691</v>
      </c>
      <c r="E315" s="4" t="str">
        <f>IFERROR(INDEX('LEV R&amp;D'!$D:$D,MATCH(MEDIÇÃO!D315,'LEV R&amp;D'!$A:$A,0))-INDEX('PROJETO PERFURAÇÃO'!$AH:$AH,MATCH(MEDIÇÃO!D315,'PROJETO PERFURAÇÃO'!$B:$B,0)),"")</f>
        <v/>
      </c>
      <c r="F315" s="17">
        <f>IFERROR(INDEX('PROJETO PERFURAÇÃO'!$AN:$AN,MATCH(MEDIÇÃO!D315,'PROJETO PERFURAÇÃO'!$B:$B,0)),"")</f>
        <v>0</v>
      </c>
      <c r="G315" s="3"/>
      <c r="H315" s="3"/>
      <c r="I315" s="3" t="str">
        <f>IFERROR(ROUND(INDEX('PROJETO PERFURAÇÃO'!$AB:$AB,MATCH(MEDIÇÃO!K315,'PROJETO PERFURAÇÃO'!$B:$B,0)),1)&amp;"''","")</f>
        <v>5''</v>
      </c>
      <c r="J315" s="3" t="str">
        <f>IFERROR(IF(INDEX('PROJETO PERFURAÇÃO'!$P:$P,MATCH(MEDIÇÃO!K315,'PROJETO PERFURAÇÃO'!$B:$B,0))="Production","P",IF(INDEX('PROJETO PERFURAÇÃO'!$P:$P,MATCH(MEDIÇÃO!K315,'PROJETO PERFURAÇÃO'!$B:$B,0))="Buffer","B",IF(INDEX('PROJETO PERFURAÇÃO'!$P:$P,MATCH(MEDIÇÃO!K315,'PROJETO PERFURAÇÃO'!$B:$B,0))="Pre-Splitting","S"))),"")</f>
        <v>P</v>
      </c>
      <c r="K315" s="14">
        <f>D337+1</f>
        <v>714</v>
      </c>
      <c r="L315" s="4" t="str">
        <f>IFERROR(INDEX('LEV R&amp;D'!$D:$D,MATCH(MEDIÇÃO!K315,'LEV R&amp;D'!$A:$A,0))-INDEX('PROJETO PERFURAÇÃO'!$AH:$AH,MATCH(MEDIÇÃO!K315,'PROJETO PERFURAÇÃO'!$B:$B,0)),"")</f>
        <v/>
      </c>
      <c r="M315" s="17">
        <f>IFERROR(INDEX('PROJETO PERFURAÇÃO'!$AN:$AN,MATCH(MEDIÇÃO!K315,'PROJETO PERFURAÇÃO'!$B:$B,0)),"")</f>
        <v>0</v>
      </c>
      <c r="N315" s="3"/>
      <c r="O315" s="3"/>
      <c r="P315" s="3" t="str">
        <f>IFERROR(ROUND(INDEX('PROJETO PERFURAÇÃO'!$AB:$AB,MATCH(MEDIÇÃO!R315,'PROJETO PERFURAÇÃO'!$B:$B,0)),1)&amp;"''","")</f>
        <v>5''</v>
      </c>
      <c r="Q315" s="3" t="str">
        <f>IFERROR(IF(INDEX('PROJETO PERFURAÇÃO'!$P:$P,MATCH(MEDIÇÃO!R315,'PROJETO PERFURAÇÃO'!$B:$B,0))="Production","P",IF(INDEX('PROJETO PERFURAÇÃO'!$P:$P,MATCH(MEDIÇÃO!R315,'PROJETO PERFURAÇÃO'!$B:$B,0))="Buffer","B",IF(INDEX('PROJETO PERFURAÇÃO'!$P:$P,MATCH(MEDIÇÃO!R315,'PROJETO PERFURAÇÃO'!$B:$B,0))="Pre-Splitting","S"))),"")</f>
        <v>P</v>
      </c>
      <c r="R315" s="14">
        <f>K337+1</f>
        <v>737</v>
      </c>
      <c r="S315" s="4" t="str">
        <f>IFERROR(INDEX('LEV R&amp;D'!$D:$D,MATCH(MEDIÇÃO!R315,'LEV R&amp;D'!$A:$A,0))-INDEX('PROJETO PERFURAÇÃO'!$AH:$AH,MATCH(MEDIÇÃO!R315,'PROJETO PERFURAÇÃO'!$B:$B,0)),"")</f>
        <v/>
      </c>
      <c r="T315" s="17">
        <f>IFERROR(INDEX('PROJETO PERFURAÇÃO'!$AN:$AN,MATCH(MEDIÇÃO!R315,'PROJETO PERFURAÇÃO'!$B:$B,0)),"")</f>
        <v>0</v>
      </c>
      <c r="U315" s="3"/>
      <c r="V315" s="3"/>
    </row>
    <row r="316" spans="1:23" ht="45" customHeight="1">
      <c r="B316" s="3" t="str">
        <f>IFERROR(ROUND(INDEX('PROJETO PERFURAÇÃO'!$AB:$AB,MATCH(MEDIÇÃO!D316,'PROJETO PERFURAÇÃO'!$B:$B,0)),1)&amp;"''","")</f>
        <v>5''</v>
      </c>
      <c r="C316" s="3" t="str">
        <f>IFERROR(IF(INDEX('PROJETO PERFURAÇÃO'!$P:$P,MATCH(MEDIÇÃO!D316,'PROJETO PERFURAÇÃO'!$B:$B,0))="Production","P",IF(INDEX('PROJETO PERFURAÇÃO'!$P:$P,MATCH(MEDIÇÃO!D316,'PROJETO PERFURAÇÃO'!$B:$B,0))="Buffer","B",IF(INDEX('PROJETO PERFURAÇÃO'!$P:$P,MATCH(MEDIÇÃO!D316,'PROJETO PERFURAÇÃO'!$B:$B,0))="Pre-Splitting","S"))),"")</f>
        <v>P</v>
      </c>
      <c r="D316" s="14">
        <f>D315+1</f>
        <v>692</v>
      </c>
      <c r="E316" s="4" t="str">
        <f>IFERROR(INDEX('LEV R&amp;D'!$D:$D,MATCH(MEDIÇÃO!D316,'LEV R&amp;D'!$A:$A,0))-INDEX('PROJETO PERFURAÇÃO'!$AH:$AH,MATCH(MEDIÇÃO!D316,'PROJETO PERFURAÇÃO'!$B:$B,0)),"")</f>
        <v/>
      </c>
      <c r="F316" s="17">
        <f>IFERROR(INDEX('PROJETO PERFURAÇÃO'!$AN:$AN,MATCH(MEDIÇÃO!D316,'PROJETO PERFURAÇÃO'!$B:$B,0)),"")</f>
        <v>0</v>
      </c>
      <c r="G316" s="3"/>
      <c r="H316" s="3"/>
      <c r="I316" s="3" t="str">
        <f>IFERROR(ROUND(INDEX('PROJETO PERFURAÇÃO'!$AB:$AB,MATCH(MEDIÇÃO!K316,'PROJETO PERFURAÇÃO'!$B:$B,0)),1)&amp;"''","")</f>
        <v>5''</v>
      </c>
      <c r="J316" s="3" t="str">
        <f>IFERROR(IF(INDEX('PROJETO PERFURAÇÃO'!$P:$P,MATCH(MEDIÇÃO!K316,'PROJETO PERFURAÇÃO'!$B:$B,0))="Production","P",IF(INDEX('PROJETO PERFURAÇÃO'!$P:$P,MATCH(MEDIÇÃO!K316,'PROJETO PERFURAÇÃO'!$B:$B,0))="Buffer","B",IF(INDEX('PROJETO PERFURAÇÃO'!$P:$P,MATCH(MEDIÇÃO!K316,'PROJETO PERFURAÇÃO'!$B:$B,0))="Pre-Splitting","S"))),"")</f>
        <v>P</v>
      </c>
      <c r="K316" s="14">
        <f>K315+1</f>
        <v>715</v>
      </c>
      <c r="L316" s="4" t="str">
        <f>IFERROR(INDEX('LEV R&amp;D'!$D:$D,MATCH(MEDIÇÃO!K316,'LEV R&amp;D'!$A:$A,0))-INDEX('PROJETO PERFURAÇÃO'!$AH:$AH,MATCH(MEDIÇÃO!K316,'PROJETO PERFURAÇÃO'!$B:$B,0)),"")</f>
        <v/>
      </c>
      <c r="M316" s="17">
        <f>IFERROR(INDEX('PROJETO PERFURAÇÃO'!$AN:$AN,MATCH(MEDIÇÃO!K316,'PROJETO PERFURAÇÃO'!$B:$B,0)),"")</f>
        <v>0</v>
      </c>
      <c r="N316" s="3"/>
      <c r="O316" s="3"/>
      <c r="P316" s="3" t="str">
        <f>IFERROR(ROUND(INDEX('PROJETO PERFURAÇÃO'!$AB:$AB,MATCH(MEDIÇÃO!R316,'PROJETO PERFURAÇÃO'!$B:$B,0)),1)&amp;"''","")</f>
        <v>5''</v>
      </c>
      <c r="Q316" s="3" t="str">
        <f>IFERROR(IF(INDEX('PROJETO PERFURAÇÃO'!$P:$P,MATCH(MEDIÇÃO!R316,'PROJETO PERFURAÇÃO'!$B:$B,0))="Production","P",IF(INDEX('PROJETO PERFURAÇÃO'!$P:$P,MATCH(MEDIÇÃO!R316,'PROJETO PERFURAÇÃO'!$B:$B,0))="Buffer","B",IF(INDEX('PROJETO PERFURAÇÃO'!$P:$P,MATCH(MEDIÇÃO!R316,'PROJETO PERFURAÇÃO'!$B:$B,0))="Pre-Splitting","S"))),"")</f>
        <v>P</v>
      </c>
      <c r="R316" s="14">
        <f>R315+1</f>
        <v>738</v>
      </c>
      <c r="S316" s="4" t="str">
        <f>IFERROR(INDEX('LEV R&amp;D'!$D:$D,MATCH(MEDIÇÃO!R316,'LEV R&amp;D'!$A:$A,0))-INDEX('PROJETO PERFURAÇÃO'!$AH:$AH,MATCH(MEDIÇÃO!R316,'PROJETO PERFURAÇÃO'!$B:$B,0)),"")</f>
        <v/>
      </c>
      <c r="T316" s="17">
        <f>IFERROR(INDEX('PROJETO PERFURAÇÃO'!$AN:$AN,MATCH(MEDIÇÃO!R316,'PROJETO PERFURAÇÃO'!$B:$B,0)),"")</f>
        <v>0</v>
      </c>
      <c r="U316" s="3"/>
      <c r="V316" s="3"/>
    </row>
    <row r="317" spans="1:23" ht="45" customHeight="1">
      <c r="B317" s="3" t="str">
        <f>IFERROR(ROUND(INDEX('PROJETO PERFURAÇÃO'!$AB:$AB,MATCH(MEDIÇÃO!D317,'PROJETO PERFURAÇÃO'!$B:$B,0)),1)&amp;"''","")</f>
        <v>5''</v>
      </c>
      <c r="C317" s="3" t="str">
        <f>IFERROR(IF(INDEX('PROJETO PERFURAÇÃO'!$P:$P,MATCH(MEDIÇÃO!D317,'PROJETO PERFURAÇÃO'!$B:$B,0))="Production","P",IF(INDEX('PROJETO PERFURAÇÃO'!$P:$P,MATCH(MEDIÇÃO!D317,'PROJETO PERFURAÇÃO'!$B:$B,0))="Buffer","B",IF(INDEX('PROJETO PERFURAÇÃO'!$P:$P,MATCH(MEDIÇÃO!D317,'PROJETO PERFURAÇÃO'!$B:$B,0))="Pre-Splitting","S"))),"")</f>
        <v>P</v>
      </c>
      <c r="D317" s="14">
        <f t="shared" ref="D317:D337" si="30">D316+1</f>
        <v>693</v>
      </c>
      <c r="E317" s="4" t="str">
        <f>IFERROR(INDEX('LEV R&amp;D'!$D:$D,MATCH(MEDIÇÃO!D317,'LEV R&amp;D'!$A:$A,0))-INDEX('PROJETO PERFURAÇÃO'!$AH:$AH,MATCH(MEDIÇÃO!D317,'PROJETO PERFURAÇÃO'!$B:$B,0)),"")</f>
        <v/>
      </c>
      <c r="F317" s="17">
        <f>IFERROR(INDEX('PROJETO PERFURAÇÃO'!$AN:$AN,MATCH(MEDIÇÃO!D317,'PROJETO PERFURAÇÃO'!$B:$B,0)),"")</f>
        <v>0</v>
      </c>
      <c r="G317" s="3"/>
      <c r="H317" s="3"/>
      <c r="I317" s="3" t="str">
        <f>IFERROR(ROUND(INDEX('PROJETO PERFURAÇÃO'!$AB:$AB,MATCH(MEDIÇÃO!K317,'PROJETO PERFURAÇÃO'!$B:$B,0)),1)&amp;"''","")</f>
        <v>5''</v>
      </c>
      <c r="J317" s="3" t="str">
        <f>IFERROR(IF(INDEX('PROJETO PERFURAÇÃO'!$P:$P,MATCH(MEDIÇÃO!K317,'PROJETO PERFURAÇÃO'!$B:$B,0))="Production","P",IF(INDEX('PROJETO PERFURAÇÃO'!$P:$P,MATCH(MEDIÇÃO!K317,'PROJETO PERFURAÇÃO'!$B:$B,0))="Buffer","B",IF(INDEX('PROJETO PERFURAÇÃO'!$P:$P,MATCH(MEDIÇÃO!K317,'PROJETO PERFURAÇÃO'!$B:$B,0))="Pre-Splitting","S"))),"")</f>
        <v>P</v>
      </c>
      <c r="K317" s="14">
        <f t="shared" ref="K317:K337" si="31">K316+1</f>
        <v>716</v>
      </c>
      <c r="L317" s="4" t="str">
        <f>IFERROR(INDEX('LEV R&amp;D'!$D:$D,MATCH(MEDIÇÃO!K317,'LEV R&amp;D'!$A:$A,0))-INDEX('PROJETO PERFURAÇÃO'!$AH:$AH,MATCH(MEDIÇÃO!K317,'PROJETO PERFURAÇÃO'!$B:$B,0)),"")</f>
        <v/>
      </c>
      <c r="M317" s="17">
        <f>IFERROR(INDEX('PROJETO PERFURAÇÃO'!$AN:$AN,MATCH(MEDIÇÃO!K317,'PROJETO PERFURAÇÃO'!$B:$B,0)),"")</f>
        <v>0</v>
      </c>
      <c r="N317" s="3"/>
      <c r="O317" s="3"/>
      <c r="P317" s="3" t="str">
        <f>IFERROR(ROUND(INDEX('PROJETO PERFURAÇÃO'!$AB:$AB,MATCH(MEDIÇÃO!R317,'PROJETO PERFURAÇÃO'!$B:$B,0)),1)&amp;"''","")</f>
        <v>5''</v>
      </c>
      <c r="Q317" s="3" t="str">
        <f>IFERROR(IF(INDEX('PROJETO PERFURAÇÃO'!$P:$P,MATCH(MEDIÇÃO!R317,'PROJETO PERFURAÇÃO'!$B:$B,0))="Production","P",IF(INDEX('PROJETO PERFURAÇÃO'!$P:$P,MATCH(MEDIÇÃO!R317,'PROJETO PERFURAÇÃO'!$B:$B,0))="Buffer","B",IF(INDEX('PROJETO PERFURAÇÃO'!$P:$P,MATCH(MEDIÇÃO!R317,'PROJETO PERFURAÇÃO'!$B:$B,0))="Pre-Splitting","S"))),"")</f>
        <v>P</v>
      </c>
      <c r="R317" s="14">
        <f t="shared" ref="R317:R337" si="32">R316+1</f>
        <v>739</v>
      </c>
      <c r="S317" s="4" t="str">
        <f>IFERROR(INDEX('LEV R&amp;D'!$D:$D,MATCH(MEDIÇÃO!R317,'LEV R&amp;D'!$A:$A,0))-INDEX('PROJETO PERFURAÇÃO'!$AH:$AH,MATCH(MEDIÇÃO!R317,'PROJETO PERFURAÇÃO'!$B:$B,0)),"")</f>
        <v/>
      </c>
      <c r="T317" s="17">
        <f>IFERROR(INDEX('PROJETO PERFURAÇÃO'!$AN:$AN,MATCH(MEDIÇÃO!R317,'PROJETO PERFURAÇÃO'!$B:$B,0)),"")</f>
        <v>0</v>
      </c>
      <c r="U317" s="3"/>
      <c r="V317" s="3"/>
    </row>
    <row r="318" spans="1:23" ht="45" customHeight="1">
      <c r="B318" s="3" t="str">
        <f>IFERROR(ROUND(INDEX('PROJETO PERFURAÇÃO'!$AB:$AB,MATCH(MEDIÇÃO!D318,'PROJETO PERFURAÇÃO'!$B:$B,0)),1)&amp;"''","")</f>
        <v>5''</v>
      </c>
      <c r="C318" s="3" t="str">
        <f>IFERROR(IF(INDEX('PROJETO PERFURAÇÃO'!$P:$P,MATCH(MEDIÇÃO!D318,'PROJETO PERFURAÇÃO'!$B:$B,0))="Production","P",IF(INDEX('PROJETO PERFURAÇÃO'!$P:$P,MATCH(MEDIÇÃO!D318,'PROJETO PERFURAÇÃO'!$B:$B,0))="Buffer","B",IF(INDEX('PROJETO PERFURAÇÃO'!$P:$P,MATCH(MEDIÇÃO!D318,'PROJETO PERFURAÇÃO'!$B:$B,0))="Pre-Splitting","S"))),"")</f>
        <v>P</v>
      </c>
      <c r="D318" s="14">
        <f t="shared" si="30"/>
        <v>694</v>
      </c>
      <c r="E318" s="4" t="str">
        <f>IFERROR(INDEX('LEV R&amp;D'!$D:$D,MATCH(MEDIÇÃO!D318,'LEV R&amp;D'!$A:$A,0))-INDEX('PROJETO PERFURAÇÃO'!$AH:$AH,MATCH(MEDIÇÃO!D318,'PROJETO PERFURAÇÃO'!$B:$B,0)),"")</f>
        <v/>
      </c>
      <c r="F318" s="17">
        <f>IFERROR(INDEX('PROJETO PERFURAÇÃO'!$AN:$AN,MATCH(MEDIÇÃO!D318,'PROJETO PERFURAÇÃO'!$B:$B,0)),"")</f>
        <v>0</v>
      </c>
      <c r="G318" s="3"/>
      <c r="H318" s="3"/>
      <c r="I318" s="3" t="str">
        <f>IFERROR(ROUND(INDEX('PROJETO PERFURAÇÃO'!$AB:$AB,MATCH(MEDIÇÃO!K318,'PROJETO PERFURAÇÃO'!$B:$B,0)),1)&amp;"''","")</f>
        <v>5''</v>
      </c>
      <c r="J318" s="3" t="str">
        <f>IFERROR(IF(INDEX('PROJETO PERFURAÇÃO'!$P:$P,MATCH(MEDIÇÃO!K318,'PROJETO PERFURAÇÃO'!$B:$B,0))="Production","P",IF(INDEX('PROJETO PERFURAÇÃO'!$P:$P,MATCH(MEDIÇÃO!K318,'PROJETO PERFURAÇÃO'!$B:$B,0))="Buffer","B",IF(INDEX('PROJETO PERFURAÇÃO'!$P:$P,MATCH(MEDIÇÃO!K318,'PROJETO PERFURAÇÃO'!$B:$B,0))="Pre-Splitting","S"))),"")</f>
        <v>P</v>
      </c>
      <c r="K318" s="14">
        <f t="shared" si="31"/>
        <v>717</v>
      </c>
      <c r="L318" s="4" t="str">
        <f>IFERROR(INDEX('LEV R&amp;D'!$D:$D,MATCH(MEDIÇÃO!K318,'LEV R&amp;D'!$A:$A,0))-INDEX('PROJETO PERFURAÇÃO'!$AH:$AH,MATCH(MEDIÇÃO!K318,'PROJETO PERFURAÇÃO'!$B:$B,0)),"")</f>
        <v/>
      </c>
      <c r="M318" s="17">
        <f>IFERROR(INDEX('PROJETO PERFURAÇÃO'!$AN:$AN,MATCH(MEDIÇÃO!K318,'PROJETO PERFURAÇÃO'!$B:$B,0)),"")</f>
        <v>0</v>
      </c>
      <c r="N318" s="3"/>
      <c r="O318" s="3"/>
      <c r="P318" s="3" t="str">
        <f>IFERROR(ROUND(INDEX('PROJETO PERFURAÇÃO'!$AB:$AB,MATCH(MEDIÇÃO!R318,'PROJETO PERFURAÇÃO'!$B:$B,0)),1)&amp;"''","")</f>
        <v>5''</v>
      </c>
      <c r="Q318" s="3" t="str">
        <f>IFERROR(IF(INDEX('PROJETO PERFURAÇÃO'!$P:$P,MATCH(MEDIÇÃO!R318,'PROJETO PERFURAÇÃO'!$B:$B,0))="Production","P",IF(INDEX('PROJETO PERFURAÇÃO'!$P:$P,MATCH(MEDIÇÃO!R318,'PROJETO PERFURAÇÃO'!$B:$B,0))="Buffer","B",IF(INDEX('PROJETO PERFURAÇÃO'!$P:$P,MATCH(MEDIÇÃO!R318,'PROJETO PERFURAÇÃO'!$B:$B,0))="Pre-Splitting","S"))),"")</f>
        <v>P</v>
      </c>
      <c r="R318" s="14">
        <f t="shared" si="32"/>
        <v>740</v>
      </c>
      <c r="S318" s="4" t="str">
        <f>IFERROR(INDEX('LEV R&amp;D'!$D:$D,MATCH(MEDIÇÃO!R318,'LEV R&amp;D'!$A:$A,0))-INDEX('PROJETO PERFURAÇÃO'!$AH:$AH,MATCH(MEDIÇÃO!R318,'PROJETO PERFURAÇÃO'!$B:$B,0)),"")</f>
        <v/>
      </c>
      <c r="T318" s="17">
        <f>IFERROR(INDEX('PROJETO PERFURAÇÃO'!$AN:$AN,MATCH(MEDIÇÃO!R318,'PROJETO PERFURAÇÃO'!$B:$B,0)),"")</f>
        <v>0</v>
      </c>
      <c r="U318" s="3"/>
      <c r="V318" s="3"/>
    </row>
    <row r="319" spans="1:23" ht="45" customHeight="1">
      <c r="B319" s="3" t="str">
        <f>IFERROR(ROUND(INDEX('PROJETO PERFURAÇÃO'!$AB:$AB,MATCH(MEDIÇÃO!D319,'PROJETO PERFURAÇÃO'!$B:$B,0)),1)&amp;"''","")</f>
        <v>5''</v>
      </c>
      <c r="C319" s="3" t="str">
        <f>IFERROR(IF(INDEX('PROJETO PERFURAÇÃO'!$P:$P,MATCH(MEDIÇÃO!D319,'PROJETO PERFURAÇÃO'!$B:$B,0))="Production","P",IF(INDEX('PROJETO PERFURAÇÃO'!$P:$P,MATCH(MEDIÇÃO!D319,'PROJETO PERFURAÇÃO'!$B:$B,0))="Buffer","B",IF(INDEX('PROJETO PERFURAÇÃO'!$P:$P,MATCH(MEDIÇÃO!D319,'PROJETO PERFURAÇÃO'!$B:$B,0))="Pre-Splitting","S"))),"")</f>
        <v>P</v>
      </c>
      <c r="D319" s="14">
        <f t="shared" si="30"/>
        <v>695</v>
      </c>
      <c r="E319" s="4" t="str">
        <f>IFERROR(INDEX('LEV R&amp;D'!$D:$D,MATCH(MEDIÇÃO!D319,'LEV R&amp;D'!$A:$A,0))-INDEX('PROJETO PERFURAÇÃO'!$AH:$AH,MATCH(MEDIÇÃO!D319,'PROJETO PERFURAÇÃO'!$B:$B,0)),"")</f>
        <v/>
      </c>
      <c r="F319" s="17">
        <f>IFERROR(INDEX('PROJETO PERFURAÇÃO'!$AN:$AN,MATCH(MEDIÇÃO!D319,'PROJETO PERFURAÇÃO'!$B:$B,0)),"")</f>
        <v>0</v>
      </c>
      <c r="G319" s="3"/>
      <c r="H319" s="3"/>
      <c r="I319" s="3" t="str">
        <f>IFERROR(ROUND(INDEX('PROJETO PERFURAÇÃO'!$AB:$AB,MATCH(MEDIÇÃO!K319,'PROJETO PERFURAÇÃO'!$B:$B,0)),1)&amp;"''","")</f>
        <v>5''</v>
      </c>
      <c r="J319" s="3" t="str">
        <f>IFERROR(IF(INDEX('PROJETO PERFURAÇÃO'!$P:$P,MATCH(MEDIÇÃO!K319,'PROJETO PERFURAÇÃO'!$B:$B,0))="Production","P",IF(INDEX('PROJETO PERFURAÇÃO'!$P:$P,MATCH(MEDIÇÃO!K319,'PROJETO PERFURAÇÃO'!$B:$B,0))="Buffer","B",IF(INDEX('PROJETO PERFURAÇÃO'!$P:$P,MATCH(MEDIÇÃO!K319,'PROJETO PERFURAÇÃO'!$B:$B,0))="Pre-Splitting","S"))),"")</f>
        <v>P</v>
      </c>
      <c r="K319" s="14">
        <f t="shared" si="31"/>
        <v>718</v>
      </c>
      <c r="L319" s="4" t="str">
        <f>IFERROR(INDEX('LEV R&amp;D'!$D:$D,MATCH(MEDIÇÃO!K319,'LEV R&amp;D'!$A:$A,0))-INDEX('PROJETO PERFURAÇÃO'!$AH:$AH,MATCH(MEDIÇÃO!K319,'PROJETO PERFURAÇÃO'!$B:$B,0)),"")</f>
        <v/>
      </c>
      <c r="M319" s="17">
        <f>IFERROR(INDEX('PROJETO PERFURAÇÃO'!$AN:$AN,MATCH(MEDIÇÃO!K319,'PROJETO PERFURAÇÃO'!$B:$B,0)),"")</f>
        <v>0</v>
      </c>
      <c r="N319" s="3"/>
      <c r="O319" s="3"/>
      <c r="P319" s="3" t="str">
        <f>IFERROR(ROUND(INDEX('PROJETO PERFURAÇÃO'!$AB:$AB,MATCH(MEDIÇÃO!R319,'PROJETO PERFURAÇÃO'!$B:$B,0)),1)&amp;"''","")</f>
        <v>5''</v>
      </c>
      <c r="Q319" s="3" t="str">
        <f>IFERROR(IF(INDEX('PROJETO PERFURAÇÃO'!$P:$P,MATCH(MEDIÇÃO!R319,'PROJETO PERFURAÇÃO'!$B:$B,0))="Production","P",IF(INDEX('PROJETO PERFURAÇÃO'!$P:$P,MATCH(MEDIÇÃO!R319,'PROJETO PERFURAÇÃO'!$B:$B,0))="Buffer","B",IF(INDEX('PROJETO PERFURAÇÃO'!$P:$P,MATCH(MEDIÇÃO!R319,'PROJETO PERFURAÇÃO'!$B:$B,0))="Pre-Splitting","S"))),"")</f>
        <v>P</v>
      </c>
      <c r="R319" s="14">
        <f t="shared" si="32"/>
        <v>741</v>
      </c>
      <c r="S319" s="4" t="str">
        <f>IFERROR(INDEX('LEV R&amp;D'!$D:$D,MATCH(MEDIÇÃO!R319,'LEV R&amp;D'!$A:$A,0))-INDEX('PROJETO PERFURAÇÃO'!$AH:$AH,MATCH(MEDIÇÃO!R319,'PROJETO PERFURAÇÃO'!$B:$B,0)),"")</f>
        <v/>
      </c>
      <c r="T319" s="17">
        <f>IFERROR(INDEX('PROJETO PERFURAÇÃO'!$AN:$AN,MATCH(MEDIÇÃO!R319,'PROJETO PERFURAÇÃO'!$B:$B,0)),"")</f>
        <v>0</v>
      </c>
      <c r="U319" s="3"/>
      <c r="V319" s="3"/>
    </row>
    <row r="320" spans="1:23" ht="45" customHeight="1">
      <c r="B320" s="3" t="str">
        <f>IFERROR(ROUND(INDEX('PROJETO PERFURAÇÃO'!$AB:$AB,MATCH(MEDIÇÃO!D320,'PROJETO PERFURAÇÃO'!$B:$B,0)),1)&amp;"''","")</f>
        <v>5''</v>
      </c>
      <c r="C320" s="3" t="str">
        <f>IFERROR(IF(INDEX('PROJETO PERFURAÇÃO'!$P:$P,MATCH(MEDIÇÃO!D320,'PROJETO PERFURAÇÃO'!$B:$B,0))="Production","P",IF(INDEX('PROJETO PERFURAÇÃO'!$P:$P,MATCH(MEDIÇÃO!D320,'PROJETO PERFURAÇÃO'!$B:$B,0))="Buffer","B",IF(INDEX('PROJETO PERFURAÇÃO'!$P:$P,MATCH(MEDIÇÃO!D320,'PROJETO PERFURAÇÃO'!$B:$B,0))="Pre-Splitting","S"))),"")</f>
        <v>P</v>
      </c>
      <c r="D320" s="14">
        <f t="shared" si="30"/>
        <v>696</v>
      </c>
      <c r="E320" s="4" t="str">
        <f>IFERROR(INDEX('LEV R&amp;D'!$D:$D,MATCH(MEDIÇÃO!D320,'LEV R&amp;D'!$A:$A,0))-INDEX('PROJETO PERFURAÇÃO'!$AH:$AH,MATCH(MEDIÇÃO!D320,'PROJETO PERFURAÇÃO'!$B:$B,0)),"")</f>
        <v/>
      </c>
      <c r="F320" s="17">
        <f>IFERROR(INDEX('PROJETO PERFURAÇÃO'!$AN:$AN,MATCH(MEDIÇÃO!D320,'PROJETO PERFURAÇÃO'!$B:$B,0)),"")</f>
        <v>0</v>
      </c>
      <c r="G320" s="3"/>
      <c r="H320" s="3"/>
      <c r="I320" s="3" t="str">
        <f>IFERROR(ROUND(INDEX('PROJETO PERFURAÇÃO'!$AB:$AB,MATCH(MEDIÇÃO!K320,'PROJETO PERFURAÇÃO'!$B:$B,0)),1)&amp;"''","")</f>
        <v>5''</v>
      </c>
      <c r="J320" s="3" t="str">
        <f>IFERROR(IF(INDEX('PROJETO PERFURAÇÃO'!$P:$P,MATCH(MEDIÇÃO!K320,'PROJETO PERFURAÇÃO'!$B:$B,0))="Production","P",IF(INDEX('PROJETO PERFURAÇÃO'!$P:$P,MATCH(MEDIÇÃO!K320,'PROJETO PERFURAÇÃO'!$B:$B,0))="Buffer","B",IF(INDEX('PROJETO PERFURAÇÃO'!$P:$P,MATCH(MEDIÇÃO!K320,'PROJETO PERFURAÇÃO'!$B:$B,0))="Pre-Splitting","S"))),"")</f>
        <v>P</v>
      </c>
      <c r="K320" s="14">
        <f t="shared" si="31"/>
        <v>719</v>
      </c>
      <c r="L320" s="4" t="str">
        <f>IFERROR(INDEX('LEV R&amp;D'!$D:$D,MATCH(MEDIÇÃO!K320,'LEV R&amp;D'!$A:$A,0))-INDEX('PROJETO PERFURAÇÃO'!$AH:$AH,MATCH(MEDIÇÃO!K320,'PROJETO PERFURAÇÃO'!$B:$B,0)),"")</f>
        <v/>
      </c>
      <c r="M320" s="17">
        <f>IFERROR(INDEX('PROJETO PERFURAÇÃO'!$AN:$AN,MATCH(MEDIÇÃO!K320,'PROJETO PERFURAÇÃO'!$B:$B,0)),"")</f>
        <v>0</v>
      </c>
      <c r="N320" s="3"/>
      <c r="O320" s="3"/>
      <c r="P320" s="3" t="str">
        <f>IFERROR(ROUND(INDEX('PROJETO PERFURAÇÃO'!$AB:$AB,MATCH(MEDIÇÃO!R320,'PROJETO PERFURAÇÃO'!$B:$B,0)),1)&amp;"''","")</f>
        <v>5''</v>
      </c>
      <c r="Q320" s="3" t="str">
        <f>IFERROR(IF(INDEX('PROJETO PERFURAÇÃO'!$P:$P,MATCH(MEDIÇÃO!R320,'PROJETO PERFURAÇÃO'!$B:$B,0))="Production","P",IF(INDEX('PROJETO PERFURAÇÃO'!$P:$P,MATCH(MEDIÇÃO!R320,'PROJETO PERFURAÇÃO'!$B:$B,0))="Buffer","B",IF(INDEX('PROJETO PERFURAÇÃO'!$P:$P,MATCH(MEDIÇÃO!R320,'PROJETO PERFURAÇÃO'!$B:$B,0))="Pre-Splitting","S"))),"")</f>
        <v>P</v>
      </c>
      <c r="R320" s="14">
        <f t="shared" si="32"/>
        <v>742</v>
      </c>
      <c r="S320" s="4" t="str">
        <f>IFERROR(INDEX('LEV R&amp;D'!$D:$D,MATCH(MEDIÇÃO!R320,'LEV R&amp;D'!$A:$A,0))-INDEX('PROJETO PERFURAÇÃO'!$AH:$AH,MATCH(MEDIÇÃO!R320,'PROJETO PERFURAÇÃO'!$B:$B,0)),"")</f>
        <v/>
      </c>
      <c r="T320" s="17">
        <f>IFERROR(INDEX('PROJETO PERFURAÇÃO'!$AN:$AN,MATCH(MEDIÇÃO!R320,'PROJETO PERFURAÇÃO'!$B:$B,0)),"")</f>
        <v>0</v>
      </c>
      <c r="U320" s="3"/>
      <c r="V320" s="3"/>
    </row>
    <row r="321" spans="2:22" ht="45" customHeight="1">
      <c r="B321" s="3" t="str">
        <f>IFERROR(ROUND(INDEX('PROJETO PERFURAÇÃO'!$AB:$AB,MATCH(MEDIÇÃO!D321,'PROJETO PERFURAÇÃO'!$B:$B,0)),1)&amp;"''","")</f>
        <v>5''</v>
      </c>
      <c r="C321" s="3" t="str">
        <f>IFERROR(IF(INDEX('PROJETO PERFURAÇÃO'!$P:$P,MATCH(MEDIÇÃO!D321,'PROJETO PERFURAÇÃO'!$B:$B,0))="Production","P",IF(INDEX('PROJETO PERFURAÇÃO'!$P:$P,MATCH(MEDIÇÃO!D321,'PROJETO PERFURAÇÃO'!$B:$B,0))="Buffer","B",IF(INDEX('PROJETO PERFURAÇÃO'!$P:$P,MATCH(MEDIÇÃO!D321,'PROJETO PERFURAÇÃO'!$B:$B,0))="Pre-Splitting","S"))),"")</f>
        <v>P</v>
      </c>
      <c r="D321" s="14">
        <f t="shared" si="30"/>
        <v>697</v>
      </c>
      <c r="E321" s="4" t="str">
        <f>IFERROR(INDEX('LEV R&amp;D'!$D:$D,MATCH(MEDIÇÃO!D321,'LEV R&amp;D'!$A:$A,0))-INDEX('PROJETO PERFURAÇÃO'!$AH:$AH,MATCH(MEDIÇÃO!D321,'PROJETO PERFURAÇÃO'!$B:$B,0)),"")</f>
        <v/>
      </c>
      <c r="F321" s="17">
        <f>IFERROR(INDEX('PROJETO PERFURAÇÃO'!$AN:$AN,MATCH(MEDIÇÃO!D321,'PROJETO PERFURAÇÃO'!$B:$B,0)),"")</f>
        <v>0</v>
      </c>
      <c r="G321" s="3"/>
      <c r="H321" s="3"/>
      <c r="I321" s="3" t="str">
        <f>IFERROR(ROUND(INDEX('PROJETO PERFURAÇÃO'!$AB:$AB,MATCH(MEDIÇÃO!K321,'PROJETO PERFURAÇÃO'!$B:$B,0)),1)&amp;"''","")</f>
        <v>5''</v>
      </c>
      <c r="J321" s="3" t="str">
        <f>IFERROR(IF(INDEX('PROJETO PERFURAÇÃO'!$P:$P,MATCH(MEDIÇÃO!K321,'PROJETO PERFURAÇÃO'!$B:$B,0))="Production","P",IF(INDEX('PROJETO PERFURAÇÃO'!$P:$P,MATCH(MEDIÇÃO!K321,'PROJETO PERFURAÇÃO'!$B:$B,0))="Buffer","B",IF(INDEX('PROJETO PERFURAÇÃO'!$P:$P,MATCH(MEDIÇÃO!K321,'PROJETO PERFURAÇÃO'!$B:$B,0))="Pre-Splitting","S"))),"")</f>
        <v>P</v>
      </c>
      <c r="K321" s="14">
        <f t="shared" si="31"/>
        <v>720</v>
      </c>
      <c r="L321" s="4" t="str">
        <f>IFERROR(INDEX('LEV R&amp;D'!$D:$D,MATCH(MEDIÇÃO!K321,'LEV R&amp;D'!$A:$A,0))-INDEX('PROJETO PERFURAÇÃO'!$AH:$AH,MATCH(MEDIÇÃO!K321,'PROJETO PERFURAÇÃO'!$B:$B,0)),"")</f>
        <v/>
      </c>
      <c r="M321" s="17">
        <f>IFERROR(INDEX('PROJETO PERFURAÇÃO'!$AN:$AN,MATCH(MEDIÇÃO!K321,'PROJETO PERFURAÇÃO'!$B:$B,0)),"")</f>
        <v>0</v>
      </c>
      <c r="N321" s="3"/>
      <c r="O321" s="3"/>
      <c r="P321" s="3" t="str">
        <f>IFERROR(ROUND(INDEX('PROJETO PERFURAÇÃO'!$AB:$AB,MATCH(MEDIÇÃO!R321,'PROJETO PERFURAÇÃO'!$B:$B,0)),1)&amp;"''","")</f>
        <v>5''</v>
      </c>
      <c r="Q321" s="3" t="str">
        <f>IFERROR(IF(INDEX('PROJETO PERFURAÇÃO'!$P:$P,MATCH(MEDIÇÃO!R321,'PROJETO PERFURAÇÃO'!$B:$B,0))="Production","P",IF(INDEX('PROJETO PERFURAÇÃO'!$P:$P,MATCH(MEDIÇÃO!R321,'PROJETO PERFURAÇÃO'!$B:$B,0))="Buffer","B",IF(INDEX('PROJETO PERFURAÇÃO'!$P:$P,MATCH(MEDIÇÃO!R321,'PROJETO PERFURAÇÃO'!$B:$B,0))="Pre-Splitting","S"))),"")</f>
        <v>P</v>
      </c>
      <c r="R321" s="14">
        <f t="shared" si="32"/>
        <v>743</v>
      </c>
      <c r="S321" s="4" t="str">
        <f>IFERROR(INDEX('LEV R&amp;D'!$D:$D,MATCH(MEDIÇÃO!R321,'LEV R&amp;D'!$A:$A,0))-INDEX('PROJETO PERFURAÇÃO'!$AH:$AH,MATCH(MEDIÇÃO!R321,'PROJETO PERFURAÇÃO'!$B:$B,0)),"")</f>
        <v/>
      </c>
      <c r="T321" s="17">
        <f>IFERROR(INDEX('PROJETO PERFURAÇÃO'!$AN:$AN,MATCH(MEDIÇÃO!R321,'PROJETO PERFURAÇÃO'!$B:$B,0)),"")</f>
        <v>0</v>
      </c>
      <c r="U321" s="3"/>
      <c r="V321" s="3"/>
    </row>
    <row r="322" spans="2:22" ht="45" customHeight="1">
      <c r="B322" s="3" t="str">
        <f>IFERROR(ROUND(INDEX('PROJETO PERFURAÇÃO'!$AB:$AB,MATCH(MEDIÇÃO!D322,'PROJETO PERFURAÇÃO'!$B:$B,0)),1)&amp;"''","")</f>
        <v>5''</v>
      </c>
      <c r="C322" s="3" t="str">
        <f>IFERROR(IF(INDEX('PROJETO PERFURAÇÃO'!$P:$P,MATCH(MEDIÇÃO!D322,'PROJETO PERFURAÇÃO'!$B:$B,0))="Production","P",IF(INDEX('PROJETO PERFURAÇÃO'!$P:$P,MATCH(MEDIÇÃO!D322,'PROJETO PERFURAÇÃO'!$B:$B,0))="Buffer","B",IF(INDEX('PROJETO PERFURAÇÃO'!$P:$P,MATCH(MEDIÇÃO!D322,'PROJETO PERFURAÇÃO'!$B:$B,0))="Pre-Splitting","S"))),"")</f>
        <v>P</v>
      </c>
      <c r="D322" s="14">
        <f t="shared" si="30"/>
        <v>698</v>
      </c>
      <c r="E322" s="4" t="str">
        <f>IFERROR(INDEX('LEV R&amp;D'!$D:$D,MATCH(MEDIÇÃO!D322,'LEV R&amp;D'!$A:$A,0))-INDEX('PROJETO PERFURAÇÃO'!$AH:$AH,MATCH(MEDIÇÃO!D322,'PROJETO PERFURAÇÃO'!$B:$B,0)),"")</f>
        <v/>
      </c>
      <c r="F322" s="17">
        <f>IFERROR(INDEX('PROJETO PERFURAÇÃO'!$AN:$AN,MATCH(MEDIÇÃO!D322,'PROJETO PERFURAÇÃO'!$B:$B,0)),"")</f>
        <v>0</v>
      </c>
      <c r="G322" s="3"/>
      <c r="H322" s="3"/>
      <c r="I322" s="3" t="str">
        <f>IFERROR(ROUND(INDEX('PROJETO PERFURAÇÃO'!$AB:$AB,MATCH(MEDIÇÃO!K322,'PROJETO PERFURAÇÃO'!$B:$B,0)),1)&amp;"''","")</f>
        <v>5''</v>
      </c>
      <c r="J322" s="3" t="str">
        <f>IFERROR(IF(INDEX('PROJETO PERFURAÇÃO'!$P:$P,MATCH(MEDIÇÃO!K322,'PROJETO PERFURAÇÃO'!$B:$B,0))="Production","P",IF(INDEX('PROJETO PERFURAÇÃO'!$P:$P,MATCH(MEDIÇÃO!K322,'PROJETO PERFURAÇÃO'!$B:$B,0))="Buffer","B",IF(INDEX('PROJETO PERFURAÇÃO'!$P:$P,MATCH(MEDIÇÃO!K322,'PROJETO PERFURAÇÃO'!$B:$B,0))="Pre-Splitting","S"))),"")</f>
        <v>P</v>
      </c>
      <c r="K322" s="14">
        <f t="shared" si="31"/>
        <v>721</v>
      </c>
      <c r="L322" s="4" t="str">
        <f>IFERROR(INDEX('LEV R&amp;D'!$D:$D,MATCH(MEDIÇÃO!K322,'LEV R&amp;D'!$A:$A,0))-INDEX('PROJETO PERFURAÇÃO'!$AH:$AH,MATCH(MEDIÇÃO!K322,'PROJETO PERFURAÇÃO'!$B:$B,0)),"")</f>
        <v/>
      </c>
      <c r="M322" s="17">
        <f>IFERROR(INDEX('PROJETO PERFURAÇÃO'!$AN:$AN,MATCH(MEDIÇÃO!K322,'PROJETO PERFURAÇÃO'!$B:$B,0)),"")</f>
        <v>0</v>
      </c>
      <c r="N322" s="3"/>
      <c r="O322" s="3"/>
      <c r="P322" s="3" t="str">
        <f>IFERROR(ROUND(INDEX('PROJETO PERFURAÇÃO'!$AB:$AB,MATCH(MEDIÇÃO!R322,'PROJETO PERFURAÇÃO'!$B:$B,0)),1)&amp;"''","")</f>
        <v>5''</v>
      </c>
      <c r="Q322" s="3" t="str">
        <f>IFERROR(IF(INDEX('PROJETO PERFURAÇÃO'!$P:$P,MATCH(MEDIÇÃO!R322,'PROJETO PERFURAÇÃO'!$B:$B,0))="Production","P",IF(INDEX('PROJETO PERFURAÇÃO'!$P:$P,MATCH(MEDIÇÃO!R322,'PROJETO PERFURAÇÃO'!$B:$B,0))="Buffer","B",IF(INDEX('PROJETO PERFURAÇÃO'!$P:$P,MATCH(MEDIÇÃO!R322,'PROJETO PERFURAÇÃO'!$B:$B,0))="Pre-Splitting","S"))),"")</f>
        <v>P</v>
      </c>
      <c r="R322" s="14">
        <f t="shared" si="32"/>
        <v>744</v>
      </c>
      <c r="S322" s="4" t="str">
        <f>IFERROR(INDEX('LEV R&amp;D'!$D:$D,MATCH(MEDIÇÃO!R322,'LEV R&amp;D'!$A:$A,0))-INDEX('PROJETO PERFURAÇÃO'!$AH:$AH,MATCH(MEDIÇÃO!R322,'PROJETO PERFURAÇÃO'!$B:$B,0)),"")</f>
        <v/>
      </c>
      <c r="T322" s="17">
        <f>IFERROR(INDEX('PROJETO PERFURAÇÃO'!$AN:$AN,MATCH(MEDIÇÃO!R322,'PROJETO PERFURAÇÃO'!$B:$B,0)),"")</f>
        <v>0</v>
      </c>
      <c r="U322" s="3"/>
      <c r="V322" s="3"/>
    </row>
    <row r="323" spans="2:22" ht="45" customHeight="1">
      <c r="B323" s="3" t="str">
        <f>IFERROR(ROUND(INDEX('PROJETO PERFURAÇÃO'!$AB:$AB,MATCH(MEDIÇÃO!D323,'PROJETO PERFURAÇÃO'!$B:$B,0)),1)&amp;"''","")</f>
        <v>5''</v>
      </c>
      <c r="C323" s="3" t="str">
        <f>IFERROR(IF(INDEX('PROJETO PERFURAÇÃO'!$P:$P,MATCH(MEDIÇÃO!D323,'PROJETO PERFURAÇÃO'!$B:$B,0))="Production","P",IF(INDEX('PROJETO PERFURAÇÃO'!$P:$P,MATCH(MEDIÇÃO!D323,'PROJETO PERFURAÇÃO'!$B:$B,0))="Buffer","B",IF(INDEX('PROJETO PERFURAÇÃO'!$P:$P,MATCH(MEDIÇÃO!D323,'PROJETO PERFURAÇÃO'!$B:$B,0))="Pre-Splitting","S"))),"")</f>
        <v>P</v>
      </c>
      <c r="D323" s="14">
        <f t="shared" si="30"/>
        <v>699</v>
      </c>
      <c r="E323" s="4" t="str">
        <f>IFERROR(INDEX('LEV R&amp;D'!$D:$D,MATCH(MEDIÇÃO!D323,'LEV R&amp;D'!$A:$A,0))-INDEX('PROJETO PERFURAÇÃO'!$AH:$AH,MATCH(MEDIÇÃO!D323,'PROJETO PERFURAÇÃO'!$B:$B,0)),"")</f>
        <v/>
      </c>
      <c r="F323" s="17">
        <f>IFERROR(INDEX('PROJETO PERFURAÇÃO'!$AN:$AN,MATCH(MEDIÇÃO!D323,'PROJETO PERFURAÇÃO'!$B:$B,0)),"")</f>
        <v>0</v>
      </c>
      <c r="G323" s="3"/>
      <c r="H323" s="3"/>
      <c r="I323" s="3" t="str">
        <f>IFERROR(ROUND(INDEX('PROJETO PERFURAÇÃO'!$AB:$AB,MATCH(MEDIÇÃO!K323,'PROJETO PERFURAÇÃO'!$B:$B,0)),1)&amp;"''","")</f>
        <v>5''</v>
      </c>
      <c r="J323" s="3" t="str">
        <f>IFERROR(IF(INDEX('PROJETO PERFURAÇÃO'!$P:$P,MATCH(MEDIÇÃO!K323,'PROJETO PERFURAÇÃO'!$B:$B,0))="Production","P",IF(INDEX('PROJETO PERFURAÇÃO'!$P:$P,MATCH(MEDIÇÃO!K323,'PROJETO PERFURAÇÃO'!$B:$B,0))="Buffer","B",IF(INDEX('PROJETO PERFURAÇÃO'!$P:$P,MATCH(MEDIÇÃO!K323,'PROJETO PERFURAÇÃO'!$B:$B,0))="Pre-Splitting","S"))),"")</f>
        <v>P</v>
      </c>
      <c r="K323" s="14">
        <f t="shared" si="31"/>
        <v>722</v>
      </c>
      <c r="L323" s="4" t="str">
        <f>IFERROR(INDEX('LEV R&amp;D'!$D:$D,MATCH(MEDIÇÃO!K323,'LEV R&amp;D'!$A:$A,0))-INDEX('PROJETO PERFURAÇÃO'!$AH:$AH,MATCH(MEDIÇÃO!K323,'PROJETO PERFURAÇÃO'!$B:$B,0)),"")</f>
        <v/>
      </c>
      <c r="M323" s="17">
        <f>IFERROR(INDEX('PROJETO PERFURAÇÃO'!$AN:$AN,MATCH(MEDIÇÃO!K323,'PROJETO PERFURAÇÃO'!$B:$B,0)),"")</f>
        <v>0</v>
      </c>
      <c r="N323" s="3"/>
      <c r="O323" s="3"/>
      <c r="P323" s="3" t="str">
        <f>IFERROR(ROUND(INDEX('PROJETO PERFURAÇÃO'!$AB:$AB,MATCH(MEDIÇÃO!R323,'PROJETO PERFURAÇÃO'!$B:$B,0)),1)&amp;"''","")</f>
        <v>5''</v>
      </c>
      <c r="Q323" s="3" t="str">
        <f>IFERROR(IF(INDEX('PROJETO PERFURAÇÃO'!$P:$P,MATCH(MEDIÇÃO!R323,'PROJETO PERFURAÇÃO'!$B:$B,0))="Production","P",IF(INDEX('PROJETO PERFURAÇÃO'!$P:$P,MATCH(MEDIÇÃO!R323,'PROJETO PERFURAÇÃO'!$B:$B,0))="Buffer","B",IF(INDEX('PROJETO PERFURAÇÃO'!$P:$P,MATCH(MEDIÇÃO!R323,'PROJETO PERFURAÇÃO'!$B:$B,0))="Pre-Splitting","S"))),"")</f>
        <v>P</v>
      </c>
      <c r="R323" s="14">
        <f t="shared" si="32"/>
        <v>745</v>
      </c>
      <c r="S323" s="4" t="str">
        <f>IFERROR(INDEX('LEV R&amp;D'!$D:$D,MATCH(MEDIÇÃO!R323,'LEV R&amp;D'!$A:$A,0))-INDEX('PROJETO PERFURAÇÃO'!$AH:$AH,MATCH(MEDIÇÃO!R323,'PROJETO PERFURAÇÃO'!$B:$B,0)),"")</f>
        <v/>
      </c>
      <c r="T323" s="17">
        <f>IFERROR(INDEX('PROJETO PERFURAÇÃO'!$AN:$AN,MATCH(MEDIÇÃO!R323,'PROJETO PERFURAÇÃO'!$B:$B,0)),"")</f>
        <v>0</v>
      </c>
      <c r="U323" s="3"/>
      <c r="V323" s="3"/>
    </row>
    <row r="324" spans="2:22" ht="45" customHeight="1">
      <c r="B324" s="3" t="str">
        <f>IFERROR(ROUND(INDEX('PROJETO PERFURAÇÃO'!$AB:$AB,MATCH(MEDIÇÃO!D324,'PROJETO PERFURAÇÃO'!$B:$B,0)),1)&amp;"''","")</f>
        <v>5''</v>
      </c>
      <c r="C324" s="3" t="str">
        <f>IFERROR(IF(INDEX('PROJETO PERFURAÇÃO'!$P:$P,MATCH(MEDIÇÃO!D324,'PROJETO PERFURAÇÃO'!$B:$B,0))="Production","P",IF(INDEX('PROJETO PERFURAÇÃO'!$P:$P,MATCH(MEDIÇÃO!D324,'PROJETO PERFURAÇÃO'!$B:$B,0))="Buffer","B",IF(INDEX('PROJETO PERFURAÇÃO'!$P:$P,MATCH(MEDIÇÃO!D324,'PROJETO PERFURAÇÃO'!$B:$B,0))="Pre-Splitting","S"))),"")</f>
        <v>P</v>
      </c>
      <c r="D324" s="14">
        <f t="shared" si="30"/>
        <v>700</v>
      </c>
      <c r="E324" s="4" t="str">
        <f>IFERROR(INDEX('LEV R&amp;D'!$D:$D,MATCH(MEDIÇÃO!D324,'LEV R&amp;D'!$A:$A,0))-INDEX('PROJETO PERFURAÇÃO'!$AH:$AH,MATCH(MEDIÇÃO!D324,'PROJETO PERFURAÇÃO'!$B:$B,0)),"")</f>
        <v/>
      </c>
      <c r="F324" s="17">
        <f>IFERROR(INDEX('PROJETO PERFURAÇÃO'!$AN:$AN,MATCH(MEDIÇÃO!D324,'PROJETO PERFURAÇÃO'!$B:$B,0)),"")</f>
        <v>0</v>
      </c>
      <c r="G324" s="3"/>
      <c r="H324" s="3"/>
      <c r="I324" s="3" t="str">
        <f>IFERROR(ROUND(INDEX('PROJETO PERFURAÇÃO'!$AB:$AB,MATCH(MEDIÇÃO!K324,'PROJETO PERFURAÇÃO'!$B:$B,0)),1)&amp;"''","")</f>
        <v>5''</v>
      </c>
      <c r="J324" s="3" t="str">
        <f>IFERROR(IF(INDEX('PROJETO PERFURAÇÃO'!$P:$P,MATCH(MEDIÇÃO!K324,'PROJETO PERFURAÇÃO'!$B:$B,0))="Production","P",IF(INDEX('PROJETO PERFURAÇÃO'!$P:$P,MATCH(MEDIÇÃO!K324,'PROJETO PERFURAÇÃO'!$B:$B,0))="Buffer","B",IF(INDEX('PROJETO PERFURAÇÃO'!$P:$P,MATCH(MEDIÇÃO!K324,'PROJETO PERFURAÇÃO'!$B:$B,0))="Pre-Splitting","S"))),"")</f>
        <v>P</v>
      </c>
      <c r="K324" s="14">
        <f t="shared" si="31"/>
        <v>723</v>
      </c>
      <c r="L324" s="4" t="str">
        <f>IFERROR(INDEX('LEV R&amp;D'!$D:$D,MATCH(MEDIÇÃO!K324,'LEV R&amp;D'!$A:$A,0))-INDEX('PROJETO PERFURAÇÃO'!$AH:$AH,MATCH(MEDIÇÃO!K324,'PROJETO PERFURAÇÃO'!$B:$B,0)),"")</f>
        <v/>
      </c>
      <c r="M324" s="17">
        <f>IFERROR(INDEX('PROJETO PERFURAÇÃO'!$AN:$AN,MATCH(MEDIÇÃO!K324,'PROJETO PERFURAÇÃO'!$B:$B,0)),"")</f>
        <v>0</v>
      </c>
      <c r="N324" s="3"/>
      <c r="O324" s="3"/>
      <c r="P324" s="3" t="str">
        <f>IFERROR(ROUND(INDEX('PROJETO PERFURAÇÃO'!$AB:$AB,MATCH(MEDIÇÃO!R324,'PROJETO PERFURAÇÃO'!$B:$B,0)),1)&amp;"''","")</f>
        <v>5''</v>
      </c>
      <c r="Q324" s="3" t="str">
        <f>IFERROR(IF(INDEX('PROJETO PERFURAÇÃO'!$P:$P,MATCH(MEDIÇÃO!R324,'PROJETO PERFURAÇÃO'!$B:$B,0))="Production","P",IF(INDEX('PROJETO PERFURAÇÃO'!$P:$P,MATCH(MEDIÇÃO!R324,'PROJETO PERFURAÇÃO'!$B:$B,0))="Buffer","B",IF(INDEX('PROJETO PERFURAÇÃO'!$P:$P,MATCH(MEDIÇÃO!R324,'PROJETO PERFURAÇÃO'!$B:$B,0))="Pre-Splitting","S"))),"")</f>
        <v>P</v>
      </c>
      <c r="R324" s="14">
        <f t="shared" si="32"/>
        <v>746</v>
      </c>
      <c r="S324" s="4" t="str">
        <f>IFERROR(INDEX('LEV R&amp;D'!$D:$D,MATCH(MEDIÇÃO!R324,'LEV R&amp;D'!$A:$A,0))-INDEX('PROJETO PERFURAÇÃO'!$AH:$AH,MATCH(MEDIÇÃO!R324,'PROJETO PERFURAÇÃO'!$B:$B,0)),"")</f>
        <v/>
      </c>
      <c r="T324" s="17">
        <f>IFERROR(INDEX('PROJETO PERFURAÇÃO'!$AN:$AN,MATCH(MEDIÇÃO!R324,'PROJETO PERFURAÇÃO'!$B:$B,0)),"")</f>
        <v>0</v>
      </c>
      <c r="U324" s="3"/>
      <c r="V324" s="3"/>
    </row>
    <row r="325" spans="2:22" ht="45" customHeight="1">
      <c r="B325" s="3" t="str">
        <f>IFERROR(ROUND(INDEX('PROJETO PERFURAÇÃO'!$AB:$AB,MATCH(MEDIÇÃO!D325,'PROJETO PERFURAÇÃO'!$B:$B,0)),1)&amp;"''","")</f>
        <v>5''</v>
      </c>
      <c r="C325" s="3" t="str">
        <f>IFERROR(IF(INDEX('PROJETO PERFURAÇÃO'!$P:$P,MATCH(MEDIÇÃO!D325,'PROJETO PERFURAÇÃO'!$B:$B,0))="Production","P",IF(INDEX('PROJETO PERFURAÇÃO'!$P:$P,MATCH(MEDIÇÃO!D325,'PROJETO PERFURAÇÃO'!$B:$B,0))="Buffer","B",IF(INDEX('PROJETO PERFURAÇÃO'!$P:$P,MATCH(MEDIÇÃO!D325,'PROJETO PERFURAÇÃO'!$B:$B,0))="Pre-Splitting","S"))),"")</f>
        <v>P</v>
      </c>
      <c r="D325" s="14">
        <f t="shared" si="30"/>
        <v>701</v>
      </c>
      <c r="E325" s="4" t="str">
        <f>IFERROR(INDEX('LEV R&amp;D'!$D:$D,MATCH(MEDIÇÃO!D325,'LEV R&amp;D'!$A:$A,0))-INDEX('PROJETO PERFURAÇÃO'!$AH:$AH,MATCH(MEDIÇÃO!D325,'PROJETO PERFURAÇÃO'!$B:$B,0)),"")</f>
        <v/>
      </c>
      <c r="F325" s="17">
        <f>IFERROR(INDEX('PROJETO PERFURAÇÃO'!$AN:$AN,MATCH(MEDIÇÃO!D325,'PROJETO PERFURAÇÃO'!$B:$B,0)),"")</f>
        <v>0</v>
      </c>
      <c r="G325" s="3"/>
      <c r="H325" s="3"/>
      <c r="I325" s="3" t="str">
        <f>IFERROR(ROUND(INDEX('PROJETO PERFURAÇÃO'!$AB:$AB,MATCH(MEDIÇÃO!K325,'PROJETO PERFURAÇÃO'!$B:$B,0)),1)&amp;"''","")</f>
        <v>5''</v>
      </c>
      <c r="J325" s="3" t="str">
        <f>IFERROR(IF(INDEX('PROJETO PERFURAÇÃO'!$P:$P,MATCH(MEDIÇÃO!K325,'PROJETO PERFURAÇÃO'!$B:$B,0))="Production","P",IF(INDEX('PROJETO PERFURAÇÃO'!$P:$P,MATCH(MEDIÇÃO!K325,'PROJETO PERFURAÇÃO'!$B:$B,0))="Buffer","B",IF(INDEX('PROJETO PERFURAÇÃO'!$P:$P,MATCH(MEDIÇÃO!K325,'PROJETO PERFURAÇÃO'!$B:$B,0))="Pre-Splitting","S"))),"")</f>
        <v>P</v>
      </c>
      <c r="K325" s="14">
        <f t="shared" si="31"/>
        <v>724</v>
      </c>
      <c r="L325" s="4" t="str">
        <f>IFERROR(INDEX('LEV R&amp;D'!$D:$D,MATCH(MEDIÇÃO!K325,'LEV R&amp;D'!$A:$A,0))-INDEX('PROJETO PERFURAÇÃO'!$AH:$AH,MATCH(MEDIÇÃO!K325,'PROJETO PERFURAÇÃO'!$B:$B,0)),"")</f>
        <v/>
      </c>
      <c r="M325" s="17">
        <f>IFERROR(INDEX('PROJETO PERFURAÇÃO'!$AN:$AN,MATCH(MEDIÇÃO!K325,'PROJETO PERFURAÇÃO'!$B:$B,0)),"")</f>
        <v>0</v>
      </c>
      <c r="N325" s="3"/>
      <c r="O325" s="3"/>
      <c r="P325" s="3" t="str">
        <f>IFERROR(ROUND(INDEX('PROJETO PERFURAÇÃO'!$AB:$AB,MATCH(MEDIÇÃO!R325,'PROJETO PERFURAÇÃO'!$B:$B,0)),1)&amp;"''","")</f>
        <v>5''</v>
      </c>
      <c r="Q325" s="3" t="str">
        <f>IFERROR(IF(INDEX('PROJETO PERFURAÇÃO'!$P:$P,MATCH(MEDIÇÃO!R325,'PROJETO PERFURAÇÃO'!$B:$B,0))="Production","P",IF(INDEX('PROJETO PERFURAÇÃO'!$P:$P,MATCH(MEDIÇÃO!R325,'PROJETO PERFURAÇÃO'!$B:$B,0))="Buffer","B",IF(INDEX('PROJETO PERFURAÇÃO'!$P:$P,MATCH(MEDIÇÃO!R325,'PROJETO PERFURAÇÃO'!$B:$B,0))="Pre-Splitting","S"))),"")</f>
        <v>P</v>
      </c>
      <c r="R325" s="14">
        <f t="shared" si="32"/>
        <v>747</v>
      </c>
      <c r="S325" s="4" t="str">
        <f>IFERROR(INDEX('LEV R&amp;D'!$D:$D,MATCH(MEDIÇÃO!R325,'LEV R&amp;D'!$A:$A,0))-INDEX('PROJETO PERFURAÇÃO'!$AH:$AH,MATCH(MEDIÇÃO!R325,'PROJETO PERFURAÇÃO'!$B:$B,0)),"")</f>
        <v/>
      </c>
      <c r="T325" s="17">
        <f>IFERROR(INDEX('PROJETO PERFURAÇÃO'!$AN:$AN,MATCH(MEDIÇÃO!R325,'PROJETO PERFURAÇÃO'!$B:$B,0)),"")</f>
        <v>0</v>
      </c>
      <c r="U325" s="3"/>
      <c r="V325" s="3"/>
    </row>
    <row r="326" spans="2:22" ht="45" customHeight="1">
      <c r="B326" s="3" t="str">
        <f>IFERROR(ROUND(INDEX('PROJETO PERFURAÇÃO'!$AB:$AB,MATCH(MEDIÇÃO!D326,'PROJETO PERFURAÇÃO'!$B:$B,0)),1)&amp;"''","")</f>
        <v>5''</v>
      </c>
      <c r="C326" s="3" t="str">
        <f>IFERROR(IF(INDEX('PROJETO PERFURAÇÃO'!$P:$P,MATCH(MEDIÇÃO!D326,'PROJETO PERFURAÇÃO'!$B:$B,0))="Production","P",IF(INDEX('PROJETO PERFURAÇÃO'!$P:$P,MATCH(MEDIÇÃO!D326,'PROJETO PERFURAÇÃO'!$B:$B,0))="Buffer","B",IF(INDEX('PROJETO PERFURAÇÃO'!$P:$P,MATCH(MEDIÇÃO!D326,'PROJETO PERFURAÇÃO'!$B:$B,0))="Pre-Splitting","S"))),"")</f>
        <v>P</v>
      </c>
      <c r="D326" s="14">
        <f t="shared" si="30"/>
        <v>702</v>
      </c>
      <c r="E326" s="4" t="str">
        <f>IFERROR(INDEX('LEV R&amp;D'!$D:$D,MATCH(MEDIÇÃO!D326,'LEV R&amp;D'!$A:$A,0))-INDEX('PROJETO PERFURAÇÃO'!$AH:$AH,MATCH(MEDIÇÃO!D326,'PROJETO PERFURAÇÃO'!$B:$B,0)),"")</f>
        <v/>
      </c>
      <c r="F326" s="17">
        <f>IFERROR(INDEX('PROJETO PERFURAÇÃO'!$AN:$AN,MATCH(MEDIÇÃO!D326,'PROJETO PERFURAÇÃO'!$B:$B,0)),"")</f>
        <v>0</v>
      </c>
      <c r="G326" s="3"/>
      <c r="H326" s="3"/>
      <c r="I326" s="3" t="str">
        <f>IFERROR(ROUND(INDEX('PROJETO PERFURAÇÃO'!$AB:$AB,MATCH(MEDIÇÃO!K326,'PROJETO PERFURAÇÃO'!$B:$B,0)),1)&amp;"''","")</f>
        <v>5''</v>
      </c>
      <c r="J326" s="3" t="str">
        <f>IFERROR(IF(INDEX('PROJETO PERFURAÇÃO'!$P:$P,MATCH(MEDIÇÃO!K326,'PROJETO PERFURAÇÃO'!$B:$B,0))="Production","P",IF(INDEX('PROJETO PERFURAÇÃO'!$P:$P,MATCH(MEDIÇÃO!K326,'PROJETO PERFURAÇÃO'!$B:$B,0))="Buffer","B",IF(INDEX('PROJETO PERFURAÇÃO'!$P:$P,MATCH(MEDIÇÃO!K326,'PROJETO PERFURAÇÃO'!$B:$B,0))="Pre-Splitting","S"))),"")</f>
        <v>P</v>
      </c>
      <c r="K326" s="14">
        <f t="shared" si="31"/>
        <v>725</v>
      </c>
      <c r="L326" s="4" t="str">
        <f>IFERROR(INDEX('LEV R&amp;D'!$D:$D,MATCH(MEDIÇÃO!K326,'LEV R&amp;D'!$A:$A,0))-INDEX('PROJETO PERFURAÇÃO'!$AH:$AH,MATCH(MEDIÇÃO!K326,'PROJETO PERFURAÇÃO'!$B:$B,0)),"")</f>
        <v/>
      </c>
      <c r="M326" s="17">
        <f>IFERROR(INDEX('PROJETO PERFURAÇÃO'!$AN:$AN,MATCH(MEDIÇÃO!K326,'PROJETO PERFURAÇÃO'!$B:$B,0)),"")</f>
        <v>0</v>
      </c>
      <c r="N326" s="3"/>
      <c r="O326" s="3"/>
      <c r="P326" s="3" t="str">
        <f>IFERROR(ROUND(INDEX('PROJETO PERFURAÇÃO'!$AB:$AB,MATCH(MEDIÇÃO!R326,'PROJETO PERFURAÇÃO'!$B:$B,0)),1)&amp;"''","")</f>
        <v>5''</v>
      </c>
      <c r="Q326" s="3" t="str">
        <f>IFERROR(IF(INDEX('PROJETO PERFURAÇÃO'!$P:$P,MATCH(MEDIÇÃO!R326,'PROJETO PERFURAÇÃO'!$B:$B,0))="Production","P",IF(INDEX('PROJETO PERFURAÇÃO'!$P:$P,MATCH(MEDIÇÃO!R326,'PROJETO PERFURAÇÃO'!$B:$B,0))="Buffer","B",IF(INDEX('PROJETO PERFURAÇÃO'!$P:$P,MATCH(MEDIÇÃO!R326,'PROJETO PERFURAÇÃO'!$B:$B,0))="Pre-Splitting","S"))),"")</f>
        <v>P</v>
      </c>
      <c r="R326" s="14">
        <f t="shared" si="32"/>
        <v>748</v>
      </c>
      <c r="S326" s="4" t="str">
        <f>IFERROR(INDEX('LEV R&amp;D'!$D:$D,MATCH(MEDIÇÃO!R326,'LEV R&amp;D'!$A:$A,0))-INDEX('PROJETO PERFURAÇÃO'!$AH:$AH,MATCH(MEDIÇÃO!R326,'PROJETO PERFURAÇÃO'!$B:$B,0)),"")</f>
        <v/>
      </c>
      <c r="T326" s="17">
        <f>IFERROR(INDEX('PROJETO PERFURAÇÃO'!$AN:$AN,MATCH(MEDIÇÃO!R326,'PROJETO PERFURAÇÃO'!$B:$B,0)),"")</f>
        <v>0</v>
      </c>
      <c r="U326" s="3"/>
      <c r="V326" s="3"/>
    </row>
    <row r="327" spans="2:22" ht="45" customHeight="1">
      <c r="B327" s="3" t="str">
        <f>IFERROR(ROUND(INDEX('PROJETO PERFURAÇÃO'!$AB:$AB,MATCH(MEDIÇÃO!D327,'PROJETO PERFURAÇÃO'!$B:$B,0)),1)&amp;"''","")</f>
        <v>5''</v>
      </c>
      <c r="C327" s="3" t="str">
        <f>IFERROR(IF(INDEX('PROJETO PERFURAÇÃO'!$P:$P,MATCH(MEDIÇÃO!D327,'PROJETO PERFURAÇÃO'!$B:$B,0))="Production","P",IF(INDEX('PROJETO PERFURAÇÃO'!$P:$P,MATCH(MEDIÇÃO!D327,'PROJETO PERFURAÇÃO'!$B:$B,0))="Buffer","B",IF(INDEX('PROJETO PERFURAÇÃO'!$P:$P,MATCH(MEDIÇÃO!D327,'PROJETO PERFURAÇÃO'!$B:$B,0))="Pre-Splitting","S"))),"")</f>
        <v>P</v>
      </c>
      <c r="D327" s="14">
        <f t="shared" si="30"/>
        <v>703</v>
      </c>
      <c r="E327" s="4" t="str">
        <f>IFERROR(INDEX('LEV R&amp;D'!$D:$D,MATCH(MEDIÇÃO!D327,'LEV R&amp;D'!$A:$A,0))-INDEX('PROJETO PERFURAÇÃO'!$AH:$AH,MATCH(MEDIÇÃO!D327,'PROJETO PERFURAÇÃO'!$B:$B,0)),"")</f>
        <v/>
      </c>
      <c r="F327" s="17">
        <f>IFERROR(INDEX('PROJETO PERFURAÇÃO'!$AN:$AN,MATCH(MEDIÇÃO!D327,'PROJETO PERFURAÇÃO'!$B:$B,0)),"")</f>
        <v>0</v>
      </c>
      <c r="G327" s="3"/>
      <c r="H327" s="3"/>
      <c r="I327" s="3" t="str">
        <f>IFERROR(ROUND(INDEX('PROJETO PERFURAÇÃO'!$AB:$AB,MATCH(MEDIÇÃO!K327,'PROJETO PERFURAÇÃO'!$B:$B,0)),1)&amp;"''","")</f>
        <v>5''</v>
      </c>
      <c r="J327" s="3" t="str">
        <f>IFERROR(IF(INDEX('PROJETO PERFURAÇÃO'!$P:$P,MATCH(MEDIÇÃO!K327,'PROJETO PERFURAÇÃO'!$B:$B,0))="Production","P",IF(INDEX('PROJETO PERFURAÇÃO'!$P:$P,MATCH(MEDIÇÃO!K327,'PROJETO PERFURAÇÃO'!$B:$B,0))="Buffer","B",IF(INDEX('PROJETO PERFURAÇÃO'!$P:$P,MATCH(MEDIÇÃO!K327,'PROJETO PERFURAÇÃO'!$B:$B,0))="Pre-Splitting","S"))),"")</f>
        <v>P</v>
      </c>
      <c r="K327" s="14">
        <f t="shared" si="31"/>
        <v>726</v>
      </c>
      <c r="L327" s="4" t="str">
        <f>IFERROR(INDEX('LEV R&amp;D'!$D:$D,MATCH(MEDIÇÃO!K327,'LEV R&amp;D'!$A:$A,0))-INDEX('PROJETO PERFURAÇÃO'!$AH:$AH,MATCH(MEDIÇÃO!K327,'PROJETO PERFURAÇÃO'!$B:$B,0)),"")</f>
        <v/>
      </c>
      <c r="M327" s="17">
        <f>IFERROR(INDEX('PROJETO PERFURAÇÃO'!$AN:$AN,MATCH(MEDIÇÃO!K327,'PROJETO PERFURAÇÃO'!$B:$B,0)),"")</f>
        <v>0</v>
      </c>
      <c r="N327" s="3"/>
      <c r="O327" s="3"/>
      <c r="P327" s="3" t="str">
        <f>IFERROR(ROUND(INDEX('PROJETO PERFURAÇÃO'!$AB:$AB,MATCH(MEDIÇÃO!R327,'PROJETO PERFURAÇÃO'!$B:$B,0)),1)&amp;"''","")</f>
        <v>5''</v>
      </c>
      <c r="Q327" s="3" t="str">
        <f>IFERROR(IF(INDEX('PROJETO PERFURAÇÃO'!$P:$P,MATCH(MEDIÇÃO!R327,'PROJETO PERFURAÇÃO'!$B:$B,0))="Production","P",IF(INDEX('PROJETO PERFURAÇÃO'!$P:$P,MATCH(MEDIÇÃO!R327,'PROJETO PERFURAÇÃO'!$B:$B,0))="Buffer","B",IF(INDEX('PROJETO PERFURAÇÃO'!$P:$P,MATCH(MEDIÇÃO!R327,'PROJETO PERFURAÇÃO'!$B:$B,0))="Pre-Splitting","S"))),"")</f>
        <v>P</v>
      </c>
      <c r="R327" s="14">
        <f t="shared" si="32"/>
        <v>749</v>
      </c>
      <c r="S327" s="4" t="str">
        <f>IFERROR(INDEX('LEV R&amp;D'!$D:$D,MATCH(MEDIÇÃO!R327,'LEV R&amp;D'!$A:$A,0))-INDEX('PROJETO PERFURAÇÃO'!$AH:$AH,MATCH(MEDIÇÃO!R327,'PROJETO PERFURAÇÃO'!$B:$B,0)),"")</f>
        <v/>
      </c>
      <c r="T327" s="17">
        <f>IFERROR(INDEX('PROJETO PERFURAÇÃO'!$AN:$AN,MATCH(MEDIÇÃO!R327,'PROJETO PERFURAÇÃO'!$B:$B,0)),"")</f>
        <v>0</v>
      </c>
      <c r="U327" s="3"/>
      <c r="V327" s="3"/>
    </row>
    <row r="328" spans="2:22" ht="45" customHeight="1">
      <c r="B328" s="3" t="str">
        <f>IFERROR(ROUND(INDEX('PROJETO PERFURAÇÃO'!$AB:$AB,MATCH(MEDIÇÃO!D328,'PROJETO PERFURAÇÃO'!$B:$B,0)),1)&amp;"''","")</f>
        <v>5''</v>
      </c>
      <c r="C328" s="3" t="str">
        <f>IFERROR(IF(INDEX('PROJETO PERFURAÇÃO'!$P:$P,MATCH(MEDIÇÃO!D328,'PROJETO PERFURAÇÃO'!$B:$B,0))="Production","P",IF(INDEX('PROJETO PERFURAÇÃO'!$P:$P,MATCH(MEDIÇÃO!D328,'PROJETO PERFURAÇÃO'!$B:$B,0))="Buffer","B",IF(INDEX('PROJETO PERFURAÇÃO'!$P:$P,MATCH(MEDIÇÃO!D328,'PROJETO PERFURAÇÃO'!$B:$B,0))="Pre-Splitting","S"))),"")</f>
        <v>P</v>
      </c>
      <c r="D328" s="14">
        <f t="shared" si="30"/>
        <v>704</v>
      </c>
      <c r="E328" s="4" t="str">
        <f>IFERROR(INDEX('LEV R&amp;D'!$D:$D,MATCH(MEDIÇÃO!D328,'LEV R&amp;D'!$A:$A,0))-INDEX('PROJETO PERFURAÇÃO'!$AH:$AH,MATCH(MEDIÇÃO!D328,'PROJETO PERFURAÇÃO'!$B:$B,0)),"")</f>
        <v/>
      </c>
      <c r="F328" s="17">
        <f>IFERROR(INDEX('PROJETO PERFURAÇÃO'!$AN:$AN,MATCH(MEDIÇÃO!D328,'PROJETO PERFURAÇÃO'!$B:$B,0)),"")</f>
        <v>0</v>
      </c>
      <c r="G328" s="3"/>
      <c r="H328" s="3"/>
      <c r="I328" s="3" t="str">
        <f>IFERROR(ROUND(INDEX('PROJETO PERFURAÇÃO'!$AB:$AB,MATCH(MEDIÇÃO!K328,'PROJETO PERFURAÇÃO'!$B:$B,0)),1)&amp;"''","")</f>
        <v>5''</v>
      </c>
      <c r="J328" s="3" t="str">
        <f>IFERROR(IF(INDEX('PROJETO PERFURAÇÃO'!$P:$P,MATCH(MEDIÇÃO!K328,'PROJETO PERFURAÇÃO'!$B:$B,0))="Production","P",IF(INDEX('PROJETO PERFURAÇÃO'!$P:$P,MATCH(MEDIÇÃO!K328,'PROJETO PERFURAÇÃO'!$B:$B,0))="Buffer","B",IF(INDEX('PROJETO PERFURAÇÃO'!$P:$P,MATCH(MEDIÇÃO!K328,'PROJETO PERFURAÇÃO'!$B:$B,0))="Pre-Splitting","S"))),"")</f>
        <v>P</v>
      </c>
      <c r="K328" s="14">
        <f t="shared" si="31"/>
        <v>727</v>
      </c>
      <c r="L328" s="4" t="str">
        <f>IFERROR(INDEX('LEV R&amp;D'!$D:$D,MATCH(MEDIÇÃO!K328,'LEV R&amp;D'!$A:$A,0))-INDEX('PROJETO PERFURAÇÃO'!$AH:$AH,MATCH(MEDIÇÃO!K328,'PROJETO PERFURAÇÃO'!$B:$B,0)),"")</f>
        <v/>
      </c>
      <c r="M328" s="17">
        <f>IFERROR(INDEX('PROJETO PERFURAÇÃO'!$AN:$AN,MATCH(MEDIÇÃO!K328,'PROJETO PERFURAÇÃO'!$B:$B,0)),"")</f>
        <v>0</v>
      </c>
      <c r="N328" s="3"/>
      <c r="O328" s="3"/>
      <c r="P328" s="3" t="str">
        <f>IFERROR(ROUND(INDEX('PROJETO PERFURAÇÃO'!$AB:$AB,MATCH(MEDIÇÃO!R328,'PROJETO PERFURAÇÃO'!$B:$B,0)),1)&amp;"''","")</f>
        <v>5''</v>
      </c>
      <c r="Q328" s="3" t="str">
        <f>IFERROR(IF(INDEX('PROJETO PERFURAÇÃO'!$P:$P,MATCH(MEDIÇÃO!R328,'PROJETO PERFURAÇÃO'!$B:$B,0))="Production","P",IF(INDEX('PROJETO PERFURAÇÃO'!$P:$P,MATCH(MEDIÇÃO!R328,'PROJETO PERFURAÇÃO'!$B:$B,0))="Buffer","B",IF(INDEX('PROJETO PERFURAÇÃO'!$P:$P,MATCH(MEDIÇÃO!R328,'PROJETO PERFURAÇÃO'!$B:$B,0))="Pre-Splitting","S"))),"")</f>
        <v>P</v>
      </c>
      <c r="R328" s="14">
        <f t="shared" si="32"/>
        <v>750</v>
      </c>
      <c r="S328" s="4" t="str">
        <f>IFERROR(INDEX('LEV R&amp;D'!$D:$D,MATCH(MEDIÇÃO!R328,'LEV R&amp;D'!$A:$A,0))-INDEX('PROJETO PERFURAÇÃO'!$AH:$AH,MATCH(MEDIÇÃO!R328,'PROJETO PERFURAÇÃO'!$B:$B,0)),"")</f>
        <v/>
      </c>
      <c r="T328" s="17">
        <f>IFERROR(INDEX('PROJETO PERFURAÇÃO'!$AN:$AN,MATCH(MEDIÇÃO!R328,'PROJETO PERFURAÇÃO'!$B:$B,0)),"")</f>
        <v>0</v>
      </c>
      <c r="U328" s="3"/>
      <c r="V328" s="3"/>
    </row>
    <row r="329" spans="2:22" ht="45" customHeight="1">
      <c r="B329" s="3" t="str">
        <f>IFERROR(ROUND(INDEX('PROJETO PERFURAÇÃO'!$AB:$AB,MATCH(MEDIÇÃO!D329,'PROJETO PERFURAÇÃO'!$B:$B,0)),1)&amp;"''","")</f>
        <v>5''</v>
      </c>
      <c r="C329" s="3" t="str">
        <f>IFERROR(IF(INDEX('PROJETO PERFURAÇÃO'!$P:$P,MATCH(MEDIÇÃO!D329,'PROJETO PERFURAÇÃO'!$B:$B,0))="Production","P",IF(INDEX('PROJETO PERFURAÇÃO'!$P:$P,MATCH(MEDIÇÃO!D329,'PROJETO PERFURAÇÃO'!$B:$B,0))="Buffer","B",IF(INDEX('PROJETO PERFURAÇÃO'!$P:$P,MATCH(MEDIÇÃO!D329,'PROJETO PERFURAÇÃO'!$B:$B,0))="Pre-Splitting","S"))),"")</f>
        <v>P</v>
      </c>
      <c r="D329" s="14">
        <f t="shared" si="30"/>
        <v>705</v>
      </c>
      <c r="E329" s="4" t="str">
        <f>IFERROR(INDEX('LEV R&amp;D'!$D:$D,MATCH(MEDIÇÃO!D329,'LEV R&amp;D'!$A:$A,0))-INDEX('PROJETO PERFURAÇÃO'!$AH:$AH,MATCH(MEDIÇÃO!D329,'PROJETO PERFURAÇÃO'!$B:$B,0)),"")</f>
        <v/>
      </c>
      <c r="F329" s="17">
        <f>IFERROR(INDEX('PROJETO PERFURAÇÃO'!$AN:$AN,MATCH(MEDIÇÃO!D329,'PROJETO PERFURAÇÃO'!$B:$B,0)),"")</f>
        <v>0</v>
      </c>
      <c r="G329" s="3"/>
      <c r="H329" s="3"/>
      <c r="I329" s="3" t="str">
        <f>IFERROR(ROUND(INDEX('PROJETO PERFURAÇÃO'!$AB:$AB,MATCH(MEDIÇÃO!K329,'PROJETO PERFURAÇÃO'!$B:$B,0)),1)&amp;"''","")</f>
        <v>5''</v>
      </c>
      <c r="J329" s="3" t="str">
        <f>IFERROR(IF(INDEX('PROJETO PERFURAÇÃO'!$P:$P,MATCH(MEDIÇÃO!K329,'PROJETO PERFURAÇÃO'!$B:$B,0))="Production","P",IF(INDEX('PROJETO PERFURAÇÃO'!$P:$P,MATCH(MEDIÇÃO!K329,'PROJETO PERFURAÇÃO'!$B:$B,0))="Buffer","B",IF(INDEX('PROJETO PERFURAÇÃO'!$P:$P,MATCH(MEDIÇÃO!K329,'PROJETO PERFURAÇÃO'!$B:$B,0))="Pre-Splitting","S"))),"")</f>
        <v>P</v>
      </c>
      <c r="K329" s="14">
        <f t="shared" si="31"/>
        <v>728</v>
      </c>
      <c r="L329" s="4" t="str">
        <f>IFERROR(INDEX('LEV R&amp;D'!$D:$D,MATCH(MEDIÇÃO!K329,'LEV R&amp;D'!$A:$A,0))-INDEX('PROJETO PERFURAÇÃO'!$AH:$AH,MATCH(MEDIÇÃO!K329,'PROJETO PERFURAÇÃO'!$B:$B,0)),"")</f>
        <v/>
      </c>
      <c r="M329" s="17">
        <f>IFERROR(INDEX('PROJETO PERFURAÇÃO'!$AN:$AN,MATCH(MEDIÇÃO!K329,'PROJETO PERFURAÇÃO'!$B:$B,0)),"")</f>
        <v>0</v>
      </c>
      <c r="N329" s="3"/>
      <c r="O329" s="3"/>
      <c r="P329" s="3" t="str">
        <f>IFERROR(ROUND(INDEX('PROJETO PERFURAÇÃO'!$AB:$AB,MATCH(MEDIÇÃO!R329,'PROJETO PERFURAÇÃO'!$B:$B,0)),1)&amp;"''","")</f>
        <v>5''</v>
      </c>
      <c r="Q329" s="3" t="str">
        <f>IFERROR(IF(INDEX('PROJETO PERFURAÇÃO'!$P:$P,MATCH(MEDIÇÃO!R329,'PROJETO PERFURAÇÃO'!$B:$B,0))="Production","P",IF(INDEX('PROJETO PERFURAÇÃO'!$P:$P,MATCH(MEDIÇÃO!R329,'PROJETO PERFURAÇÃO'!$B:$B,0))="Buffer","B",IF(INDEX('PROJETO PERFURAÇÃO'!$P:$P,MATCH(MEDIÇÃO!R329,'PROJETO PERFURAÇÃO'!$B:$B,0))="Pre-Splitting","S"))),"")</f>
        <v>P</v>
      </c>
      <c r="R329" s="14">
        <f t="shared" si="32"/>
        <v>751</v>
      </c>
      <c r="S329" s="4" t="str">
        <f>IFERROR(INDEX('LEV R&amp;D'!$D:$D,MATCH(MEDIÇÃO!R329,'LEV R&amp;D'!$A:$A,0))-INDEX('PROJETO PERFURAÇÃO'!$AH:$AH,MATCH(MEDIÇÃO!R329,'PROJETO PERFURAÇÃO'!$B:$B,0)),"")</f>
        <v/>
      </c>
      <c r="T329" s="17">
        <f>IFERROR(INDEX('PROJETO PERFURAÇÃO'!$AN:$AN,MATCH(MEDIÇÃO!R329,'PROJETO PERFURAÇÃO'!$B:$B,0)),"")</f>
        <v>0</v>
      </c>
      <c r="U329" s="3"/>
      <c r="V329" s="3"/>
    </row>
    <row r="330" spans="2:22" ht="45" customHeight="1">
      <c r="B330" s="3" t="str">
        <f>IFERROR(ROUND(INDEX('PROJETO PERFURAÇÃO'!$AB:$AB,MATCH(MEDIÇÃO!D330,'PROJETO PERFURAÇÃO'!$B:$B,0)),1)&amp;"''","")</f>
        <v>5''</v>
      </c>
      <c r="C330" s="3" t="str">
        <f>IFERROR(IF(INDEX('PROJETO PERFURAÇÃO'!$P:$P,MATCH(MEDIÇÃO!D330,'PROJETO PERFURAÇÃO'!$B:$B,0))="Production","P",IF(INDEX('PROJETO PERFURAÇÃO'!$P:$P,MATCH(MEDIÇÃO!D330,'PROJETO PERFURAÇÃO'!$B:$B,0))="Buffer","B",IF(INDEX('PROJETO PERFURAÇÃO'!$P:$P,MATCH(MEDIÇÃO!D330,'PROJETO PERFURAÇÃO'!$B:$B,0))="Pre-Splitting","S"))),"")</f>
        <v>P</v>
      </c>
      <c r="D330" s="14">
        <f t="shared" si="30"/>
        <v>706</v>
      </c>
      <c r="E330" s="4" t="str">
        <f>IFERROR(INDEX('LEV R&amp;D'!$D:$D,MATCH(MEDIÇÃO!D330,'LEV R&amp;D'!$A:$A,0))-INDEX('PROJETO PERFURAÇÃO'!$AH:$AH,MATCH(MEDIÇÃO!D330,'PROJETO PERFURAÇÃO'!$B:$B,0)),"")</f>
        <v/>
      </c>
      <c r="F330" s="17">
        <f>IFERROR(INDEX('PROJETO PERFURAÇÃO'!$AN:$AN,MATCH(MEDIÇÃO!D330,'PROJETO PERFURAÇÃO'!$B:$B,0)),"")</f>
        <v>0</v>
      </c>
      <c r="G330" s="3"/>
      <c r="H330" s="3"/>
      <c r="I330" s="3" t="str">
        <f>IFERROR(ROUND(INDEX('PROJETO PERFURAÇÃO'!$AB:$AB,MATCH(MEDIÇÃO!K330,'PROJETO PERFURAÇÃO'!$B:$B,0)),1)&amp;"''","")</f>
        <v>5''</v>
      </c>
      <c r="J330" s="3" t="str">
        <f>IFERROR(IF(INDEX('PROJETO PERFURAÇÃO'!$P:$P,MATCH(MEDIÇÃO!K330,'PROJETO PERFURAÇÃO'!$B:$B,0))="Production","P",IF(INDEX('PROJETO PERFURAÇÃO'!$P:$P,MATCH(MEDIÇÃO!K330,'PROJETO PERFURAÇÃO'!$B:$B,0))="Buffer","B",IF(INDEX('PROJETO PERFURAÇÃO'!$P:$P,MATCH(MEDIÇÃO!K330,'PROJETO PERFURAÇÃO'!$B:$B,0))="Pre-Splitting","S"))),"")</f>
        <v>P</v>
      </c>
      <c r="K330" s="14">
        <f t="shared" si="31"/>
        <v>729</v>
      </c>
      <c r="L330" s="4" t="str">
        <f>IFERROR(INDEX('LEV R&amp;D'!$D:$D,MATCH(MEDIÇÃO!K330,'LEV R&amp;D'!$A:$A,0))-INDEX('PROJETO PERFURAÇÃO'!$AH:$AH,MATCH(MEDIÇÃO!K330,'PROJETO PERFURAÇÃO'!$B:$B,0)),"")</f>
        <v/>
      </c>
      <c r="M330" s="17">
        <f>IFERROR(INDEX('PROJETO PERFURAÇÃO'!$AN:$AN,MATCH(MEDIÇÃO!K330,'PROJETO PERFURAÇÃO'!$B:$B,0)),"")</f>
        <v>0</v>
      </c>
      <c r="N330" s="3"/>
      <c r="O330" s="3"/>
      <c r="P330" s="3" t="str">
        <f>IFERROR(ROUND(INDEX('PROJETO PERFURAÇÃO'!$AB:$AB,MATCH(MEDIÇÃO!R330,'PROJETO PERFURAÇÃO'!$B:$B,0)),1)&amp;"''","")</f>
        <v>5''</v>
      </c>
      <c r="Q330" s="3" t="str">
        <f>IFERROR(IF(INDEX('PROJETO PERFURAÇÃO'!$P:$P,MATCH(MEDIÇÃO!R330,'PROJETO PERFURAÇÃO'!$B:$B,0))="Production","P",IF(INDEX('PROJETO PERFURAÇÃO'!$P:$P,MATCH(MEDIÇÃO!R330,'PROJETO PERFURAÇÃO'!$B:$B,0))="Buffer","B",IF(INDEX('PROJETO PERFURAÇÃO'!$P:$P,MATCH(MEDIÇÃO!R330,'PROJETO PERFURAÇÃO'!$B:$B,0))="Pre-Splitting","S"))),"")</f>
        <v>P</v>
      </c>
      <c r="R330" s="14">
        <f t="shared" si="32"/>
        <v>752</v>
      </c>
      <c r="S330" s="4" t="str">
        <f>IFERROR(INDEX('LEV R&amp;D'!$D:$D,MATCH(MEDIÇÃO!R330,'LEV R&amp;D'!$A:$A,0))-INDEX('PROJETO PERFURAÇÃO'!$AH:$AH,MATCH(MEDIÇÃO!R330,'PROJETO PERFURAÇÃO'!$B:$B,0)),"")</f>
        <v/>
      </c>
      <c r="T330" s="17">
        <f>IFERROR(INDEX('PROJETO PERFURAÇÃO'!$AN:$AN,MATCH(MEDIÇÃO!R330,'PROJETO PERFURAÇÃO'!$B:$B,0)),"")</f>
        <v>0</v>
      </c>
      <c r="U330" s="3"/>
      <c r="V330" s="3"/>
    </row>
    <row r="331" spans="2:22" ht="45" customHeight="1">
      <c r="B331" s="3" t="str">
        <f>IFERROR(ROUND(INDEX('PROJETO PERFURAÇÃO'!$AB:$AB,MATCH(MEDIÇÃO!D331,'PROJETO PERFURAÇÃO'!$B:$B,0)),1)&amp;"''","")</f>
        <v>5''</v>
      </c>
      <c r="C331" s="3" t="str">
        <f>IFERROR(IF(INDEX('PROJETO PERFURAÇÃO'!$P:$P,MATCH(MEDIÇÃO!D331,'PROJETO PERFURAÇÃO'!$B:$B,0))="Production","P",IF(INDEX('PROJETO PERFURAÇÃO'!$P:$P,MATCH(MEDIÇÃO!D331,'PROJETO PERFURAÇÃO'!$B:$B,0))="Buffer","B",IF(INDEX('PROJETO PERFURAÇÃO'!$P:$P,MATCH(MEDIÇÃO!D331,'PROJETO PERFURAÇÃO'!$B:$B,0))="Pre-Splitting","S"))),"")</f>
        <v>P</v>
      </c>
      <c r="D331" s="14">
        <f t="shared" si="30"/>
        <v>707</v>
      </c>
      <c r="E331" s="4" t="str">
        <f>IFERROR(INDEX('LEV R&amp;D'!$D:$D,MATCH(MEDIÇÃO!D331,'LEV R&amp;D'!$A:$A,0))-INDEX('PROJETO PERFURAÇÃO'!$AH:$AH,MATCH(MEDIÇÃO!D331,'PROJETO PERFURAÇÃO'!$B:$B,0)),"")</f>
        <v/>
      </c>
      <c r="F331" s="17">
        <f>IFERROR(INDEX('PROJETO PERFURAÇÃO'!$AN:$AN,MATCH(MEDIÇÃO!D331,'PROJETO PERFURAÇÃO'!$B:$B,0)),"")</f>
        <v>0</v>
      </c>
      <c r="G331" s="3"/>
      <c r="H331" s="3"/>
      <c r="I331" s="3" t="str">
        <f>IFERROR(ROUND(INDEX('PROJETO PERFURAÇÃO'!$AB:$AB,MATCH(MEDIÇÃO!K331,'PROJETO PERFURAÇÃO'!$B:$B,0)),1)&amp;"''","")</f>
        <v>5''</v>
      </c>
      <c r="J331" s="3" t="str">
        <f>IFERROR(IF(INDEX('PROJETO PERFURAÇÃO'!$P:$P,MATCH(MEDIÇÃO!K331,'PROJETO PERFURAÇÃO'!$B:$B,0))="Production","P",IF(INDEX('PROJETO PERFURAÇÃO'!$P:$P,MATCH(MEDIÇÃO!K331,'PROJETO PERFURAÇÃO'!$B:$B,0))="Buffer","B",IF(INDEX('PROJETO PERFURAÇÃO'!$P:$P,MATCH(MEDIÇÃO!K331,'PROJETO PERFURAÇÃO'!$B:$B,0))="Pre-Splitting","S"))),"")</f>
        <v>P</v>
      </c>
      <c r="K331" s="14">
        <f t="shared" si="31"/>
        <v>730</v>
      </c>
      <c r="L331" s="4" t="str">
        <f>IFERROR(INDEX('LEV R&amp;D'!$D:$D,MATCH(MEDIÇÃO!K331,'LEV R&amp;D'!$A:$A,0))-INDEX('PROJETO PERFURAÇÃO'!$AH:$AH,MATCH(MEDIÇÃO!K331,'PROJETO PERFURAÇÃO'!$B:$B,0)),"")</f>
        <v/>
      </c>
      <c r="M331" s="17">
        <f>IFERROR(INDEX('PROJETO PERFURAÇÃO'!$AN:$AN,MATCH(MEDIÇÃO!K331,'PROJETO PERFURAÇÃO'!$B:$B,0)),"")</f>
        <v>0</v>
      </c>
      <c r="N331" s="3"/>
      <c r="O331" s="3"/>
      <c r="P331" s="3" t="str">
        <f>IFERROR(ROUND(INDEX('PROJETO PERFURAÇÃO'!$AB:$AB,MATCH(MEDIÇÃO!R331,'PROJETO PERFURAÇÃO'!$B:$B,0)),1)&amp;"''","")</f>
        <v>5''</v>
      </c>
      <c r="Q331" s="3" t="str">
        <f>IFERROR(IF(INDEX('PROJETO PERFURAÇÃO'!$P:$P,MATCH(MEDIÇÃO!R331,'PROJETO PERFURAÇÃO'!$B:$B,0))="Production","P",IF(INDEX('PROJETO PERFURAÇÃO'!$P:$P,MATCH(MEDIÇÃO!R331,'PROJETO PERFURAÇÃO'!$B:$B,0))="Buffer","B",IF(INDEX('PROJETO PERFURAÇÃO'!$P:$P,MATCH(MEDIÇÃO!R331,'PROJETO PERFURAÇÃO'!$B:$B,0))="Pre-Splitting","S"))),"")</f>
        <v>P</v>
      </c>
      <c r="R331" s="14">
        <f t="shared" si="32"/>
        <v>753</v>
      </c>
      <c r="S331" s="4" t="str">
        <f>IFERROR(INDEX('LEV R&amp;D'!$D:$D,MATCH(MEDIÇÃO!R331,'LEV R&amp;D'!$A:$A,0))-INDEX('PROJETO PERFURAÇÃO'!$AH:$AH,MATCH(MEDIÇÃO!R331,'PROJETO PERFURAÇÃO'!$B:$B,0)),"")</f>
        <v/>
      </c>
      <c r="T331" s="17">
        <f>IFERROR(INDEX('PROJETO PERFURAÇÃO'!$AN:$AN,MATCH(MEDIÇÃO!R331,'PROJETO PERFURAÇÃO'!$B:$B,0)),"")</f>
        <v>0</v>
      </c>
      <c r="U331" s="3"/>
      <c r="V331" s="3"/>
    </row>
    <row r="332" spans="2:22" ht="45" customHeight="1">
      <c r="B332" s="3" t="str">
        <f>IFERROR(ROUND(INDEX('PROJETO PERFURAÇÃO'!$AB:$AB,MATCH(MEDIÇÃO!D332,'PROJETO PERFURAÇÃO'!$B:$B,0)),1)&amp;"''","")</f>
        <v>5''</v>
      </c>
      <c r="C332" s="3" t="str">
        <f>IFERROR(IF(INDEX('PROJETO PERFURAÇÃO'!$P:$P,MATCH(MEDIÇÃO!D332,'PROJETO PERFURAÇÃO'!$B:$B,0))="Production","P",IF(INDEX('PROJETO PERFURAÇÃO'!$P:$P,MATCH(MEDIÇÃO!D332,'PROJETO PERFURAÇÃO'!$B:$B,0))="Buffer","B",IF(INDEX('PROJETO PERFURAÇÃO'!$P:$P,MATCH(MEDIÇÃO!D332,'PROJETO PERFURAÇÃO'!$B:$B,0))="Pre-Splitting","S"))),"")</f>
        <v>P</v>
      </c>
      <c r="D332" s="14">
        <f t="shared" si="30"/>
        <v>708</v>
      </c>
      <c r="E332" s="4" t="str">
        <f>IFERROR(INDEX('LEV R&amp;D'!$D:$D,MATCH(MEDIÇÃO!D332,'LEV R&amp;D'!$A:$A,0))-INDEX('PROJETO PERFURAÇÃO'!$AH:$AH,MATCH(MEDIÇÃO!D332,'PROJETO PERFURAÇÃO'!$B:$B,0)),"")</f>
        <v/>
      </c>
      <c r="F332" s="17">
        <f>IFERROR(INDEX('PROJETO PERFURAÇÃO'!$AN:$AN,MATCH(MEDIÇÃO!D332,'PROJETO PERFURAÇÃO'!$B:$B,0)),"")</f>
        <v>0</v>
      </c>
      <c r="G332" s="3"/>
      <c r="H332" s="3"/>
      <c r="I332" s="3" t="str">
        <f>IFERROR(ROUND(INDEX('PROJETO PERFURAÇÃO'!$AB:$AB,MATCH(MEDIÇÃO!K332,'PROJETO PERFURAÇÃO'!$B:$B,0)),1)&amp;"''","")</f>
        <v>5''</v>
      </c>
      <c r="J332" s="3" t="str">
        <f>IFERROR(IF(INDEX('PROJETO PERFURAÇÃO'!$P:$P,MATCH(MEDIÇÃO!K332,'PROJETO PERFURAÇÃO'!$B:$B,0))="Production","P",IF(INDEX('PROJETO PERFURAÇÃO'!$P:$P,MATCH(MEDIÇÃO!K332,'PROJETO PERFURAÇÃO'!$B:$B,0))="Buffer","B",IF(INDEX('PROJETO PERFURAÇÃO'!$P:$P,MATCH(MEDIÇÃO!K332,'PROJETO PERFURAÇÃO'!$B:$B,0))="Pre-Splitting","S"))),"")</f>
        <v>P</v>
      </c>
      <c r="K332" s="14">
        <f t="shared" si="31"/>
        <v>731</v>
      </c>
      <c r="L332" s="4" t="str">
        <f>IFERROR(INDEX('LEV R&amp;D'!$D:$D,MATCH(MEDIÇÃO!K332,'LEV R&amp;D'!$A:$A,0))-INDEX('PROJETO PERFURAÇÃO'!$AH:$AH,MATCH(MEDIÇÃO!K332,'PROJETO PERFURAÇÃO'!$B:$B,0)),"")</f>
        <v/>
      </c>
      <c r="M332" s="17">
        <f>IFERROR(INDEX('PROJETO PERFURAÇÃO'!$AN:$AN,MATCH(MEDIÇÃO!K332,'PROJETO PERFURAÇÃO'!$B:$B,0)),"")</f>
        <v>0</v>
      </c>
      <c r="N332" s="3"/>
      <c r="O332" s="3"/>
      <c r="P332" s="3" t="str">
        <f>IFERROR(ROUND(INDEX('PROJETO PERFURAÇÃO'!$AB:$AB,MATCH(MEDIÇÃO!R332,'PROJETO PERFURAÇÃO'!$B:$B,0)),1)&amp;"''","")</f>
        <v>5''</v>
      </c>
      <c r="Q332" s="3" t="str">
        <f>IFERROR(IF(INDEX('PROJETO PERFURAÇÃO'!$P:$P,MATCH(MEDIÇÃO!R332,'PROJETO PERFURAÇÃO'!$B:$B,0))="Production","P",IF(INDEX('PROJETO PERFURAÇÃO'!$P:$P,MATCH(MEDIÇÃO!R332,'PROJETO PERFURAÇÃO'!$B:$B,0))="Buffer","B",IF(INDEX('PROJETO PERFURAÇÃO'!$P:$P,MATCH(MEDIÇÃO!R332,'PROJETO PERFURAÇÃO'!$B:$B,0))="Pre-Splitting","S"))),"")</f>
        <v>P</v>
      </c>
      <c r="R332" s="14">
        <f t="shared" si="32"/>
        <v>754</v>
      </c>
      <c r="S332" s="4" t="str">
        <f>IFERROR(INDEX('LEV R&amp;D'!$D:$D,MATCH(MEDIÇÃO!R332,'LEV R&amp;D'!$A:$A,0))-INDEX('PROJETO PERFURAÇÃO'!$AH:$AH,MATCH(MEDIÇÃO!R332,'PROJETO PERFURAÇÃO'!$B:$B,0)),"")</f>
        <v/>
      </c>
      <c r="T332" s="17">
        <f>IFERROR(INDEX('PROJETO PERFURAÇÃO'!$AN:$AN,MATCH(MEDIÇÃO!R332,'PROJETO PERFURAÇÃO'!$B:$B,0)),"")</f>
        <v>0</v>
      </c>
      <c r="U332" s="3"/>
      <c r="V332" s="3"/>
    </row>
    <row r="333" spans="2:22" ht="45" customHeight="1">
      <c r="B333" s="3" t="str">
        <f>IFERROR(ROUND(INDEX('PROJETO PERFURAÇÃO'!$AB:$AB,MATCH(MEDIÇÃO!D333,'PROJETO PERFURAÇÃO'!$B:$B,0)),1)&amp;"''","")</f>
        <v>5''</v>
      </c>
      <c r="C333" s="3" t="str">
        <f>IFERROR(IF(INDEX('PROJETO PERFURAÇÃO'!$P:$P,MATCH(MEDIÇÃO!D333,'PROJETO PERFURAÇÃO'!$B:$B,0))="Production","P",IF(INDEX('PROJETO PERFURAÇÃO'!$P:$P,MATCH(MEDIÇÃO!D333,'PROJETO PERFURAÇÃO'!$B:$B,0))="Buffer","B",IF(INDEX('PROJETO PERFURAÇÃO'!$P:$P,MATCH(MEDIÇÃO!D333,'PROJETO PERFURAÇÃO'!$B:$B,0))="Pre-Splitting","S"))),"")</f>
        <v>P</v>
      </c>
      <c r="D333" s="14">
        <f t="shared" si="30"/>
        <v>709</v>
      </c>
      <c r="E333" s="4" t="str">
        <f>IFERROR(INDEX('LEV R&amp;D'!$D:$D,MATCH(MEDIÇÃO!D333,'LEV R&amp;D'!$A:$A,0))-INDEX('PROJETO PERFURAÇÃO'!$AH:$AH,MATCH(MEDIÇÃO!D333,'PROJETO PERFURAÇÃO'!$B:$B,0)),"")</f>
        <v/>
      </c>
      <c r="F333" s="17">
        <f>IFERROR(INDEX('PROJETO PERFURAÇÃO'!$AN:$AN,MATCH(MEDIÇÃO!D333,'PROJETO PERFURAÇÃO'!$B:$B,0)),"")</f>
        <v>0</v>
      </c>
      <c r="G333" s="3"/>
      <c r="H333" s="3"/>
      <c r="I333" s="3" t="str">
        <f>IFERROR(ROUND(INDEX('PROJETO PERFURAÇÃO'!$AB:$AB,MATCH(MEDIÇÃO!K333,'PROJETO PERFURAÇÃO'!$B:$B,0)),1)&amp;"''","")</f>
        <v>5''</v>
      </c>
      <c r="J333" s="3" t="str">
        <f>IFERROR(IF(INDEX('PROJETO PERFURAÇÃO'!$P:$P,MATCH(MEDIÇÃO!K333,'PROJETO PERFURAÇÃO'!$B:$B,0))="Production","P",IF(INDEX('PROJETO PERFURAÇÃO'!$P:$P,MATCH(MEDIÇÃO!K333,'PROJETO PERFURAÇÃO'!$B:$B,0))="Buffer","B",IF(INDEX('PROJETO PERFURAÇÃO'!$P:$P,MATCH(MEDIÇÃO!K333,'PROJETO PERFURAÇÃO'!$B:$B,0))="Pre-Splitting","S"))),"")</f>
        <v>P</v>
      </c>
      <c r="K333" s="14">
        <f t="shared" si="31"/>
        <v>732</v>
      </c>
      <c r="L333" s="4" t="str">
        <f>IFERROR(INDEX('LEV R&amp;D'!$D:$D,MATCH(MEDIÇÃO!K333,'LEV R&amp;D'!$A:$A,0))-INDEX('PROJETO PERFURAÇÃO'!$AH:$AH,MATCH(MEDIÇÃO!K333,'PROJETO PERFURAÇÃO'!$B:$B,0)),"")</f>
        <v/>
      </c>
      <c r="M333" s="17">
        <f>IFERROR(INDEX('PROJETO PERFURAÇÃO'!$AN:$AN,MATCH(MEDIÇÃO!K333,'PROJETO PERFURAÇÃO'!$B:$B,0)),"")</f>
        <v>0</v>
      </c>
      <c r="N333" s="3"/>
      <c r="O333" s="3"/>
      <c r="P333" s="3" t="str">
        <f>IFERROR(ROUND(INDEX('PROJETO PERFURAÇÃO'!$AB:$AB,MATCH(MEDIÇÃO!R333,'PROJETO PERFURAÇÃO'!$B:$B,0)),1)&amp;"''","")</f>
        <v>5''</v>
      </c>
      <c r="Q333" s="3" t="str">
        <f>IFERROR(IF(INDEX('PROJETO PERFURAÇÃO'!$P:$P,MATCH(MEDIÇÃO!R333,'PROJETO PERFURAÇÃO'!$B:$B,0))="Production","P",IF(INDEX('PROJETO PERFURAÇÃO'!$P:$P,MATCH(MEDIÇÃO!R333,'PROJETO PERFURAÇÃO'!$B:$B,0))="Buffer","B",IF(INDEX('PROJETO PERFURAÇÃO'!$P:$P,MATCH(MEDIÇÃO!R333,'PROJETO PERFURAÇÃO'!$B:$B,0))="Pre-Splitting","S"))),"")</f>
        <v>P</v>
      </c>
      <c r="R333" s="14">
        <f t="shared" si="32"/>
        <v>755</v>
      </c>
      <c r="S333" s="4" t="str">
        <f>IFERROR(INDEX('LEV R&amp;D'!$D:$D,MATCH(MEDIÇÃO!R333,'LEV R&amp;D'!$A:$A,0))-INDEX('PROJETO PERFURAÇÃO'!$AH:$AH,MATCH(MEDIÇÃO!R333,'PROJETO PERFURAÇÃO'!$B:$B,0)),"")</f>
        <v/>
      </c>
      <c r="T333" s="17">
        <f>IFERROR(INDEX('PROJETO PERFURAÇÃO'!$AN:$AN,MATCH(MEDIÇÃO!R333,'PROJETO PERFURAÇÃO'!$B:$B,0)),"")</f>
        <v>0</v>
      </c>
      <c r="U333" s="3"/>
      <c r="V333" s="3"/>
    </row>
    <row r="334" spans="2:22" ht="45" customHeight="1">
      <c r="B334" s="3" t="str">
        <f>IFERROR(ROUND(INDEX('PROJETO PERFURAÇÃO'!$AB:$AB,MATCH(MEDIÇÃO!D334,'PROJETO PERFURAÇÃO'!$B:$B,0)),1)&amp;"''","")</f>
        <v>5''</v>
      </c>
      <c r="C334" s="3" t="str">
        <f>IFERROR(IF(INDEX('PROJETO PERFURAÇÃO'!$P:$P,MATCH(MEDIÇÃO!D334,'PROJETO PERFURAÇÃO'!$B:$B,0))="Production","P",IF(INDEX('PROJETO PERFURAÇÃO'!$P:$P,MATCH(MEDIÇÃO!D334,'PROJETO PERFURAÇÃO'!$B:$B,0))="Buffer","B",IF(INDEX('PROJETO PERFURAÇÃO'!$P:$P,MATCH(MEDIÇÃO!D334,'PROJETO PERFURAÇÃO'!$B:$B,0))="Pre-Splitting","S"))),"")</f>
        <v>P</v>
      </c>
      <c r="D334" s="14">
        <f t="shared" si="30"/>
        <v>710</v>
      </c>
      <c r="E334" s="4" t="str">
        <f>IFERROR(INDEX('LEV R&amp;D'!$D:$D,MATCH(MEDIÇÃO!D334,'LEV R&amp;D'!$A:$A,0))-INDEX('PROJETO PERFURAÇÃO'!$AH:$AH,MATCH(MEDIÇÃO!D334,'PROJETO PERFURAÇÃO'!$B:$B,0)),"")</f>
        <v/>
      </c>
      <c r="F334" s="17">
        <f>IFERROR(INDEX('PROJETO PERFURAÇÃO'!$AN:$AN,MATCH(MEDIÇÃO!D334,'PROJETO PERFURAÇÃO'!$B:$B,0)),"")</f>
        <v>0</v>
      </c>
      <c r="G334" s="3"/>
      <c r="H334" s="3"/>
      <c r="I334" s="3" t="str">
        <f>IFERROR(ROUND(INDEX('PROJETO PERFURAÇÃO'!$AB:$AB,MATCH(MEDIÇÃO!K334,'PROJETO PERFURAÇÃO'!$B:$B,0)),1)&amp;"''","")</f>
        <v>5''</v>
      </c>
      <c r="J334" s="3" t="str">
        <f>IFERROR(IF(INDEX('PROJETO PERFURAÇÃO'!$P:$P,MATCH(MEDIÇÃO!K334,'PROJETO PERFURAÇÃO'!$B:$B,0))="Production","P",IF(INDEX('PROJETO PERFURAÇÃO'!$P:$P,MATCH(MEDIÇÃO!K334,'PROJETO PERFURAÇÃO'!$B:$B,0))="Buffer","B",IF(INDEX('PROJETO PERFURAÇÃO'!$P:$P,MATCH(MEDIÇÃO!K334,'PROJETO PERFURAÇÃO'!$B:$B,0))="Pre-Splitting","S"))),"")</f>
        <v>P</v>
      </c>
      <c r="K334" s="14">
        <f t="shared" si="31"/>
        <v>733</v>
      </c>
      <c r="L334" s="4" t="str">
        <f>IFERROR(INDEX('LEV R&amp;D'!$D:$D,MATCH(MEDIÇÃO!K334,'LEV R&amp;D'!$A:$A,0))-INDEX('PROJETO PERFURAÇÃO'!$AH:$AH,MATCH(MEDIÇÃO!K334,'PROJETO PERFURAÇÃO'!$B:$B,0)),"")</f>
        <v/>
      </c>
      <c r="M334" s="17">
        <f>IFERROR(INDEX('PROJETO PERFURAÇÃO'!$AN:$AN,MATCH(MEDIÇÃO!K334,'PROJETO PERFURAÇÃO'!$B:$B,0)),"")</f>
        <v>0</v>
      </c>
      <c r="N334" s="3"/>
      <c r="O334" s="3"/>
      <c r="P334" s="3" t="str">
        <f>IFERROR(ROUND(INDEX('PROJETO PERFURAÇÃO'!$AB:$AB,MATCH(MEDIÇÃO!R334,'PROJETO PERFURAÇÃO'!$B:$B,0)),1)&amp;"''","")</f>
        <v>5''</v>
      </c>
      <c r="Q334" s="3" t="str">
        <f>IFERROR(IF(INDEX('PROJETO PERFURAÇÃO'!$P:$P,MATCH(MEDIÇÃO!R334,'PROJETO PERFURAÇÃO'!$B:$B,0))="Production","P",IF(INDEX('PROJETO PERFURAÇÃO'!$P:$P,MATCH(MEDIÇÃO!R334,'PROJETO PERFURAÇÃO'!$B:$B,0))="Buffer","B",IF(INDEX('PROJETO PERFURAÇÃO'!$P:$P,MATCH(MEDIÇÃO!R334,'PROJETO PERFURAÇÃO'!$B:$B,0))="Pre-Splitting","S"))),"")</f>
        <v>P</v>
      </c>
      <c r="R334" s="14">
        <f t="shared" si="32"/>
        <v>756</v>
      </c>
      <c r="S334" s="4" t="str">
        <f>IFERROR(INDEX('LEV R&amp;D'!$D:$D,MATCH(MEDIÇÃO!R334,'LEV R&amp;D'!$A:$A,0))-INDEX('PROJETO PERFURAÇÃO'!$AH:$AH,MATCH(MEDIÇÃO!R334,'PROJETO PERFURAÇÃO'!$B:$B,0)),"")</f>
        <v/>
      </c>
      <c r="T334" s="17">
        <f>IFERROR(INDEX('PROJETO PERFURAÇÃO'!$AN:$AN,MATCH(MEDIÇÃO!R334,'PROJETO PERFURAÇÃO'!$B:$B,0)),"")</f>
        <v>0</v>
      </c>
      <c r="U334" s="3"/>
      <c r="V334" s="3"/>
    </row>
    <row r="335" spans="2:22" ht="45" customHeight="1">
      <c r="B335" s="3" t="str">
        <f>IFERROR(ROUND(INDEX('PROJETO PERFURAÇÃO'!$AB:$AB,MATCH(MEDIÇÃO!D335,'PROJETO PERFURAÇÃO'!$B:$B,0)),1)&amp;"''","")</f>
        <v>5''</v>
      </c>
      <c r="C335" s="3" t="str">
        <f>IFERROR(IF(INDEX('PROJETO PERFURAÇÃO'!$P:$P,MATCH(MEDIÇÃO!D335,'PROJETO PERFURAÇÃO'!$B:$B,0))="Production","P",IF(INDEX('PROJETO PERFURAÇÃO'!$P:$P,MATCH(MEDIÇÃO!D335,'PROJETO PERFURAÇÃO'!$B:$B,0))="Buffer","B",IF(INDEX('PROJETO PERFURAÇÃO'!$P:$P,MATCH(MEDIÇÃO!D335,'PROJETO PERFURAÇÃO'!$B:$B,0))="Pre-Splitting","S"))),"")</f>
        <v>P</v>
      </c>
      <c r="D335" s="14">
        <f t="shared" si="30"/>
        <v>711</v>
      </c>
      <c r="E335" s="4" t="str">
        <f>IFERROR(INDEX('LEV R&amp;D'!$D:$D,MATCH(MEDIÇÃO!D335,'LEV R&amp;D'!$A:$A,0))-INDEX('PROJETO PERFURAÇÃO'!$AH:$AH,MATCH(MEDIÇÃO!D335,'PROJETO PERFURAÇÃO'!$B:$B,0)),"")</f>
        <v/>
      </c>
      <c r="F335" s="17">
        <f>IFERROR(INDEX('PROJETO PERFURAÇÃO'!$AN:$AN,MATCH(MEDIÇÃO!D335,'PROJETO PERFURAÇÃO'!$B:$B,0)),"")</f>
        <v>0</v>
      </c>
      <c r="G335" s="3"/>
      <c r="H335" s="3"/>
      <c r="I335" s="3" t="str">
        <f>IFERROR(ROUND(INDEX('PROJETO PERFURAÇÃO'!$AB:$AB,MATCH(MEDIÇÃO!K335,'PROJETO PERFURAÇÃO'!$B:$B,0)),1)&amp;"''","")</f>
        <v>5''</v>
      </c>
      <c r="J335" s="3" t="str">
        <f>IFERROR(IF(INDEX('PROJETO PERFURAÇÃO'!$P:$P,MATCH(MEDIÇÃO!K335,'PROJETO PERFURAÇÃO'!$B:$B,0))="Production","P",IF(INDEX('PROJETO PERFURAÇÃO'!$P:$P,MATCH(MEDIÇÃO!K335,'PROJETO PERFURAÇÃO'!$B:$B,0))="Buffer","B",IF(INDEX('PROJETO PERFURAÇÃO'!$P:$P,MATCH(MEDIÇÃO!K335,'PROJETO PERFURAÇÃO'!$B:$B,0))="Pre-Splitting","S"))),"")</f>
        <v>P</v>
      </c>
      <c r="K335" s="14">
        <f t="shared" si="31"/>
        <v>734</v>
      </c>
      <c r="L335" s="4" t="str">
        <f>IFERROR(INDEX('LEV R&amp;D'!$D:$D,MATCH(MEDIÇÃO!K335,'LEV R&amp;D'!$A:$A,0))-INDEX('PROJETO PERFURAÇÃO'!$AH:$AH,MATCH(MEDIÇÃO!K335,'PROJETO PERFURAÇÃO'!$B:$B,0)),"")</f>
        <v/>
      </c>
      <c r="M335" s="17">
        <f>IFERROR(INDEX('PROJETO PERFURAÇÃO'!$AN:$AN,MATCH(MEDIÇÃO!K335,'PROJETO PERFURAÇÃO'!$B:$B,0)),"")</f>
        <v>0</v>
      </c>
      <c r="N335" s="3"/>
      <c r="O335" s="3"/>
      <c r="P335" s="3" t="str">
        <f>IFERROR(ROUND(INDEX('PROJETO PERFURAÇÃO'!$AB:$AB,MATCH(MEDIÇÃO!R335,'PROJETO PERFURAÇÃO'!$B:$B,0)),1)&amp;"''","")</f>
        <v>5''</v>
      </c>
      <c r="Q335" s="3" t="str">
        <f>IFERROR(IF(INDEX('PROJETO PERFURAÇÃO'!$P:$P,MATCH(MEDIÇÃO!R335,'PROJETO PERFURAÇÃO'!$B:$B,0))="Production","P",IF(INDEX('PROJETO PERFURAÇÃO'!$P:$P,MATCH(MEDIÇÃO!R335,'PROJETO PERFURAÇÃO'!$B:$B,0))="Buffer","B",IF(INDEX('PROJETO PERFURAÇÃO'!$P:$P,MATCH(MEDIÇÃO!R335,'PROJETO PERFURAÇÃO'!$B:$B,0))="Pre-Splitting","S"))),"")</f>
        <v>P</v>
      </c>
      <c r="R335" s="14">
        <f t="shared" si="32"/>
        <v>757</v>
      </c>
      <c r="S335" s="4" t="str">
        <f>IFERROR(INDEX('LEV R&amp;D'!$D:$D,MATCH(MEDIÇÃO!R335,'LEV R&amp;D'!$A:$A,0))-INDEX('PROJETO PERFURAÇÃO'!$AH:$AH,MATCH(MEDIÇÃO!R335,'PROJETO PERFURAÇÃO'!$B:$B,0)),"")</f>
        <v/>
      </c>
      <c r="T335" s="17">
        <f>IFERROR(INDEX('PROJETO PERFURAÇÃO'!$AN:$AN,MATCH(MEDIÇÃO!R335,'PROJETO PERFURAÇÃO'!$B:$B,0)),"")</f>
        <v>0</v>
      </c>
      <c r="U335" s="3"/>
      <c r="V335" s="3"/>
    </row>
    <row r="336" spans="2:22" ht="45" customHeight="1">
      <c r="B336" s="3" t="str">
        <f>IFERROR(ROUND(INDEX('PROJETO PERFURAÇÃO'!$AB:$AB,MATCH(MEDIÇÃO!D336,'PROJETO PERFURAÇÃO'!$B:$B,0)),1)&amp;"''","")</f>
        <v>5''</v>
      </c>
      <c r="C336" s="3" t="str">
        <f>IFERROR(IF(INDEX('PROJETO PERFURAÇÃO'!$P:$P,MATCH(MEDIÇÃO!D336,'PROJETO PERFURAÇÃO'!$B:$B,0))="Production","P",IF(INDEX('PROJETO PERFURAÇÃO'!$P:$P,MATCH(MEDIÇÃO!D336,'PROJETO PERFURAÇÃO'!$B:$B,0))="Buffer","B",IF(INDEX('PROJETO PERFURAÇÃO'!$P:$P,MATCH(MEDIÇÃO!D336,'PROJETO PERFURAÇÃO'!$B:$B,0))="Pre-Splitting","S"))),"")</f>
        <v>P</v>
      </c>
      <c r="D336" s="14">
        <f t="shared" si="30"/>
        <v>712</v>
      </c>
      <c r="E336" s="4" t="str">
        <f>IFERROR(INDEX('LEV R&amp;D'!$D:$D,MATCH(MEDIÇÃO!D336,'LEV R&amp;D'!$A:$A,0))-INDEX('PROJETO PERFURAÇÃO'!$AH:$AH,MATCH(MEDIÇÃO!D336,'PROJETO PERFURAÇÃO'!$B:$B,0)),"")</f>
        <v/>
      </c>
      <c r="F336" s="17">
        <f>IFERROR(INDEX('PROJETO PERFURAÇÃO'!$AN:$AN,MATCH(MEDIÇÃO!D336,'PROJETO PERFURAÇÃO'!$B:$B,0)),"")</f>
        <v>0</v>
      </c>
      <c r="G336" s="3"/>
      <c r="H336" s="3"/>
      <c r="I336" s="3" t="str">
        <f>IFERROR(ROUND(INDEX('PROJETO PERFURAÇÃO'!$AB:$AB,MATCH(MEDIÇÃO!K336,'PROJETO PERFURAÇÃO'!$B:$B,0)),1)&amp;"''","")</f>
        <v>5''</v>
      </c>
      <c r="J336" s="3" t="str">
        <f>IFERROR(IF(INDEX('PROJETO PERFURAÇÃO'!$P:$P,MATCH(MEDIÇÃO!K336,'PROJETO PERFURAÇÃO'!$B:$B,0))="Production","P",IF(INDEX('PROJETO PERFURAÇÃO'!$P:$P,MATCH(MEDIÇÃO!K336,'PROJETO PERFURAÇÃO'!$B:$B,0))="Buffer","B",IF(INDEX('PROJETO PERFURAÇÃO'!$P:$P,MATCH(MEDIÇÃO!K336,'PROJETO PERFURAÇÃO'!$B:$B,0))="Pre-Splitting","S"))),"")</f>
        <v>P</v>
      </c>
      <c r="K336" s="14">
        <f t="shared" si="31"/>
        <v>735</v>
      </c>
      <c r="L336" s="4" t="str">
        <f>IFERROR(INDEX('LEV R&amp;D'!$D:$D,MATCH(MEDIÇÃO!K336,'LEV R&amp;D'!$A:$A,0))-INDEX('PROJETO PERFURAÇÃO'!$AH:$AH,MATCH(MEDIÇÃO!K336,'PROJETO PERFURAÇÃO'!$B:$B,0)),"")</f>
        <v/>
      </c>
      <c r="M336" s="17">
        <f>IFERROR(INDEX('PROJETO PERFURAÇÃO'!$AN:$AN,MATCH(MEDIÇÃO!K336,'PROJETO PERFURAÇÃO'!$B:$B,0)),"")</f>
        <v>0</v>
      </c>
      <c r="N336" s="3"/>
      <c r="O336" s="3"/>
      <c r="P336" s="3" t="str">
        <f>IFERROR(ROUND(INDEX('PROJETO PERFURAÇÃO'!$AB:$AB,MATCH(MEDIÇÃO!R336,'PROJETO PERFURAÇÃO'!$B:$B,0)),1)&amp;"''","")</f>
        <v>5''</v>
      </c>
      <c r="Q336" s="3" t="str">
        <f>IFERROR(IF(INDEX('PROJETO PERFURAÇÃO'!$P:$P,MATCH(MEDIÇÃO!R336,'PROJETO PERFURAÇÃO'!$B:$B,0))="Production","P",IF(INDEX('PROJETO PERFURAÇÃO'!$P:$P,MATCH(MEDIÇÃO!R336,'PROJETO PERFURAÇÃO'!$B:$B,0))="Buffer","B",IF(INDEX('PROJETO PERFURAÇÃO'!$P:$P,MATCH(MEDIÇÃO!R336,'PROJETO PERFURAÇÃO'!$B:$B,0))="Pre-Splitting","S"))),"")</f>
        <v>P</v>
      </c>
      <c r="R336" s="14">
        <f t="shared" si="32"/>
        <v>758</v>
      </c>
      <c r="S336" s="4" t="str">
        <f>IFERROR(INDEX('LEV R&amp;D'!$D:$D,MATCH(MEDIÇÃO!R336,'LEV R&amp;D'!$A:$A,0))-INDEX('PROJETO PERFURAÇÃO'!$AH:$AH,MATCH(MEDIÇÃO!R336,'PROJETO PERFURAÇÃO'!$B:$B,0)),"")</f>
        <v/>
      </c>
      <c r="T336" s="17">
        <f>IFERROR(INDEX('PROJETO PERFURAÇÃO'!$AN:$AN,MATCH(MEDIÇÃO!R336,'PROJETO PERFURAÇÃO'!$B:$B,0)),"")</f>
        <v>0</v>
      </c>
      <c r="U336" s="3"/>
      <c r="V336" s="3"/>
    </row>
    <row r="337" spans="1:23" ht="45" customHeight="1">
      <c r="B337" s="3" t="str">
        <f>IFERROR(ROUND(INDEX('PROJETO PERFURAÇÃO'!$AB:$AB,MATCH(MEDIÇÃO!D337,'PROJETO PERFURAÇÃO'!$B:$B,0)),1)&amp;"''","")</f>
        <v>5''</v>
      </c>
      <c r="C337" s="3" t="str">
        <f>IFERROR(IF(INDEX('PROJETO PERFURAÇÃO'!$P:$P,MATCH(MEDIÇÃO!D337,'PROJETO PERFURAÇÃO'!$B:$B,0))="Production","P",IF(INDEX('PROJETO PERFURAÇÃO'!$P:$P,MATCH(MEDIÇÃO!D337,'PROJETO PERFURAÇÃO'!$B:$B,0))="Buffer","B",IF(INDEX('PROJETO PERFURAÇÃO'!$P:$P,MATCH(MEDIÇÃO!D337,'PROJETO PERFURAÇÃO'!$B:$B,0))="Pre-Splitting","S"))),"")</f>
        <v>P</v>
      </c>
      <c r="D337" s="14">
        <f t="shared" si="30"/>
        <v>713</v>
      </c>
      <c r="E337" s="4" t="str">
        <f>IFERROR(INDEX('LEV R&amp;D'!$D:$D,MATCH(MEDIÇÃO!D337,'LEV R&amp;D'!$A:$A,0))-INDEX('PROJETO PERFURAÇÃO'!$AH:$AH,MATCH(MEDIÇÃO!D337,'PROJETO PERFURAÇÃO'!$B:$B,0)),"")</f>
        <v/>
      </c>
      <c r="F337" s="17">
        <f>IFERROR(INDEX('PROJETO PERFURAÇÃO'!$AN:$AN,MATCH(MEDIÇÃO!D337,'PROJETO PERFURAÇÃO'!$B:$B,0)),"")</f>
        <v>0</v>
      </c>
      <c r="G337" s="3"/>
      <c r="H337" s="3"/>
      <c r="I337" s="3" t="str">
        <f>IFERROR(ROUND(INDEX('PROJETO PERFURAÇÃO'!$AB:$AB,MATCH(MEDIÇÃO!K337,'PROJETO PERFURAÇÃO'!$B:$B,0)),1)&amp;"''","")</f>
        <v>5''</v>
      </c>
      <c r="J337" s="3" t="str">
        <f>IFERROR(IF(INDEX('PROJETO PERFURAÇÃO'!$P:$P,MATCH(MEDIÇÃO!K337,'PROJETO PERFURAÇÃO'!$B:$B,0))="Production","P",IF(INDEX('PROJETO PERFURAÇÃO'!$P:$P,MATCH(MEDIÇÃO!K337,'PROJETO PERFURAÇÃO'!$B:$B,0))="Buffer","B",IF(INDEX('PROJETO PERFURAÇÃO'!$P:$P,MATCH(MEDIÇÃO!K337,'PROJETO PERFURAÇÃO'!$B:$B,0))="Pre-Splitting","S"))),"")</f>
        <v>P</v>
      </c>
      <c r="K337" s="14">
        <f t="shared" si="31"/>
        <v>736</v>
      </c>
      <c r="L337" s="4" t="str">
        <f>IFERROR(INDEX('LEV R&amp;D'!$D:$D,MATCH(MEDIÇÃO!K337,'LEV R&amp;D'!$A:$A,0))-INDEX('PROJETO PERFURAÇÃO'!$AH:$AH,MATCH(MEDIÇÃO!K337,'PROJETO PERFURAÇÃO'!$B:$B,0)),"")</f>
        <v/>
      </c>
      <c r="M337" s="17">
        <f>IFERROR(INDEX('PROJETO PERFURAÇÃO'!$AN:$AN,MATCH(MEDIÇÃO!K337,'PROJETO PERFURAÇÃO'!$B:$B,0)),"")</f>
        <v>0</v>
      </c>
      <c r="N337" s="3"/>
      <c r="O337" s="3"/>
      <c r="P337" s="3" t="str">
        <f>IFERROR(ROUND(INDEX('PROJETO PERFURAÇÃO'!$AB:$AB,MATCH(MEDIÇÃO!R337,'PROJETO PERFURAÇÃO'!$B:$B,0)),1)&amp;"''","")</f>
        <v>5''</v>
      </c>
      <c r="Q337" s="3" t="str">
        <f>IFERROR(IF(INDEX('PROJETO PERFURAÇÃO'!$P:$P,MATCH(MEDIÇÃO!R337,'PROJETO PERFURAÇÃO'!$B:$B,0))="Production","P",IF(INDEX('PROJETO PERFURAÇÃO'!$P:$P,MATCH(MEDIÇÃO!R337,'PROJETO PERFURAÇÃO'!$B:$B,0))="Buffer","B",IF(INDEX('PROJETO PERFURAÇÃO'!$P:$P,MATCH(MEDIÇÃO!R337,'PROJETO PERFURAÇÃO'!$B:$B,0))="Pre-Splitting","S"))),"")</f>
        <v>P</v>
      </c>
      <c r="R337" s="14">
        <f t="shared" si="32"/>
        <v>759</v>
      </c>
      <c r="S337" s="4" t="str">
        <f>IFERROR(INDEX('LEV R&amp;D'!$D:$D,MATCH(MEDIÇÃO!R337,'LEV R&amp;D'!$A:$A,0))-INDEX('PROJETO PERFURAÇÃO'!$AH:$AH,MATCH(MEDIÇÃO!R337,'PROJETO PERFURAÇÃO'!$B:$B,0)),"")</f>
        <v/>
      </c>
      <c r="T337" s="17">
        <f>IFERROR(INDEX('PROJETO PERFURAÇÃO'!$AN:$AN,MATCH(MEDIÇÃO!R337,'PROJETO PERFURAÇÃO'!$B:$B,0)),"")</f>
        <v>0</v>
      </c>
      <c r="U337" s="3"/>
      <c r="V337" s="3"/>
    </row>
    <row r="338" spans="1:23" ht="30" customHeight="1">
      <c r="B338" s="1"/>
      <c r="C338" s="1"/>
      <c r="D338" s="15"/>
      <c r="E338" s="2"/>
      <c r="F338" s="16"/>
      <c r="G338" s="1"/>
      <c r="H338" s="1"/>
      <c r="I338" s="1"/>
      <c r="J338" s="1"/>
      <c r="K338" s="15"/>
      <c r="L338" s="2"/>
      <c r="M338" s="16"/>
      <c r="N338" s="1"/>
      <c r="O338" s="1"/>
      <c r="P338" s="1"/>
      <c r="Q338" s="1"/>
      <c r="R338" s="15"/>
      <c r="S338" s="2"/>
      <c r="T338" s="16"/>
      <c r="U338" s="1"/>
      <c r="V338" s="1"/>
    </row>
    <row r="339" spans="1:23" ht="30" customHeight="1">
      <c r="C339" s="20"/>
      <c r="D339" s="20"/>
      <c r="E339" s="20"/>
      <c r="F339" s="20"/>
      <c r="G339" s="20"/>
      <c r="H339" s="20"/>
      <c r="I339" s="20"/>
      <c r="J339" s="20"/>
      <c r="K339" s="20"/>
      <c r="M339" s="20"/>
      <c r="N339" s="20"/>
      <c r="O339" s="20"/>
      <c r="P339" s="20"/>
      <c r="Q339" s="20"/>
      <c r="R339" s="20"/>
      <c r="S339" s="20"/>
      <c r="T339" s="20"/>
      <c r="U339" s="20"/>
    </row>
    <row r="340" spans="1:23" ht="30" customHeight="1">
      <c r="C340" s="21" t="s">
        <v>40</v>
      </c>
      <c r="D340" s="21"/>
      <c r="E340" s="21"/>
      <c r="F340" s="21"/>
      <c r="G340" s="21"/>
      <c r="H340" s="21"/>
      <c r="I340" s="21"/>
      <c r="J340" s="21"/>
      <c r="K340" s="21"/>
      <c r="L340" s="9"/>
      <c r="M340" s="21" t="s">
        <v>40</v>
      </c>
      <c r="N340" s="21"/>
      <c r="O340" s="21"/>
      <c r="P340" s="21"/>
      <c r="Q340" s="21"/>
      <c r="R340" s="21"/>
      <c r="S340" s="21"/>
      <c r="T340" s="21"/>
      <c r="U340" s="21"/>
      <c r="V340" s="9"/>
    </row>
    <row r="341" spans="1:23" ht="30" customHeight="1">
      <c r="D341" s="9"/>
      <c r="E341" s="9"/>
      <c r="F341" s="9"/>
      <c r="G341" s="9"/>
      <c r="H341" s="9"/>
      <c r="I341" s="9"/>
      <c r="J341" s="9"/>
      <c r="K341" s="9"/>
      <c r="L341" s="9"/>
      <c r="M341" s="9"/>
      <c r="N341" s="9"/>
      <c r="Q341" s="9"/>
      <c r="R341" s="9"/>
      <c r="S341" s="9"/>
      <c r="T341" s="9"/>
      <c r="U341" s="9"/>
      <c r="V341" s="9"/>
    </row>
    <row r="342" spans="1:23" ht="30" customHeight="1">
      <c r="B342" s="19" t="str">
        <f>'PROJETO PERFURAÇÃO'!$C$2&amp;" - "&amp;'PROJETO PERFURAÇÃO'!$H$2</f>
        <v>LIB037 - PP0370626</v>
      </c>
      <c r="C342" s="19"/>
      <c r="D342" s="19"/>
      <c r="E342" s="19"/>
      <c r="F342" s="19"/>
      <c r="G342" s="19"/>
      <c r="H342" s="19"/>
      <c r="I342" s="11" t="s">
        <v>34</v>
      </c>
      <c r="J342" s="10" t="s">
        <v>37</v>
      </c>
    </row>
    <row r="343" spans="1:23" ht="30" customHeight="1">
      <c r="B343" s="19"/>
      <c r="C343" s="19"/>
      <c r="D343" s="19"/>
      <c r="E343" s="19"/>
      <c r="F343" s="19"/>
      <c r="G343" s="19"/>
      <c r="H343" s="19"/>
      <c r="I343" s="12" t="s">
        <v>35</v>
      </c>
      <c r="J343" s="10" t="s">
        <v>38</v>
      </c>
      <c r="K343" s="9"/>
      <c r="L343" s="9"/>
      <c r="M343" s="9"/>
      <c r="N343" s="9"/>
      <c r="O343" s="9"/>
      <c r="P343" s="9"/>
      <c r="Q343" s="9"/>
      <c r="R343" s="9"/>
      <c r="S343" s="9"/>
      <c r="T343" s="9"/>
      <c r="U343" s="9"/>
      <c r="V343" s="9"/>
    </row>
    <row r="344" spans="1:23" ht="30" customHeight="1">
      <c r="B344" s="19"/>
      <c r="C344" s="19"/>
      <c r="D344" s="19"/>
      <c r="E344" s="19"/>
      <c r="F344" s="19"/>
      <c r="G344" s="19"/>
      <c r="H344" s="19"/>
      <c r="I344" s="13" t="s">
        <v>36</v>
      </c>
      <c r="J344" s="10" t="s">
        <v>39</v>
      </c>
    </row>
    <row r="345" spans="1:23" ht="30" customHeight="1">
      <c r="A345" s="1"/>
      <c r="B345" s="6" t="s">
        <v>33</v>
      </c>
      <c r="C345" s="6" t="s">
        <v>13</v>
      </c>
      <c r="D345" s="7" t="s">
        <v>1</v>
      </c>
      <c r="E345" s="7" t="s">
        <v>29</v>
      </c>
      <c r="F345" s="7" t="s">
        <v>30</v>
      </c>
      <c r="G345" s="7" t="s">
        <v>31</v>
      </c>
      <c r="H345" s="7" t="s">
        <v>32</v>
      </c>
      <c r="I345" s="6" t="s">
        <v>33</v>
      </c>
      <c r="J345" s="6" t="s">
        <v>13</v>
      </c>
      <c r="K345" s="7" t="s">
        <v>1</v>
      </c>
      <c r="L345" s="7" t="s">
        <v>29</v>
      </c>
      <c r="M345" s="7" t="s">
        <v>30</v>
      </c>
      <c r="N345" s="7" t="s">
        <v>31</v>
      </c>
      <c r="O345" s="7" t="s">
        <v>32</v>
      </c>
      <c r="P345" s="6" t="s">
        <v>33</v>
      </c>
      <c r="Q345" s="6" t="s">
        <v>13</v>
      </c>
      <c r="R345" s="7" t="s">
        <v>1</v>
      </c>
      <c r="S345" s="7" t="s">
        <v>29</v>
      </c>
      <c r="T345" s="7" t="s">
        <v>30</v>
      </c>
      <c r="U345" s="7" t="s">
        <v>31</v>
      </c>
      <c r="V345" s="7" t="s">
        <v>32</v>
      </c>
      <c r="W345" s="1"/>
    </row>
    <row r="346" spans="1:23" ht="45" customHeight="1">
      <c r="B346" s="3" t="str">
        <f>IFERROR(ROUND(INDEX('PROJETO PERFURAÇÃO'!$AB:$AB,MATCH(MEDIÇÃO!D346,'PROJETO PERFURAÇÃO'!$B:$B,0)),1)&amp;"''","")</f>
        <v>5''</v>
      </c>
      <c r="C346" s="3" t="str">
        <f>IFERROR(IF(INDEX('PROJETO PERFURAÇÃO'!$P:$P,MATCH(MEDIÇÃO!D346,'PROJETO PERFURAÇÃO'!$B:$B,0))="Production","P",IF(INDEX('PROJETO PERFURAÇÃO'!$P:$P,MATCH(MEDIÇÃO!D346,'PROJETO PERFURAÇÃO'!$B:$B,0))="Buffer","B",IF(INDEX('PROJETO PERFURAÇÃO'!$P:$P,MATCH(MEDIÇÃO!D346,'PROJETO PERFURAÇÃO'!$B:$B,0))="Pre-Splitting","S"))),"")</f>
        <v>P</v>
      </c>
      <c r="D346" s="14">
        <f>R337+1</f>
        <v>760</v>
      </c>
      <c r="E346" s="4" t="str">
        <f>IFERROR(INDEX('LEV R&amp;D'!$D:$D,MATCH(MEDIÇÃO!D346,'LEV R&amp;D'!$A:$A,0))-INDEX('PROJETO PERFURAÇÃO'!$AH:$AH,MATCH(MEDIÇÃO!D346,'PROJETO PERFURAÇÃO'!$B:$B,0)),"")</f>
        <v/>
      </c>
      <c r="F346" s="17">
        <f>IFERROR(INDEX('PROJETO PERFURAÇÃO'!$AN:$AN,MATCH(MEDIÇÃO!D346,'PROJETO PERFURAÇÃO'!$B:$B,0)),"")</f>
        <v>0</v>
      </c>
      <c r="G346" s="3"/>
      <c r="H346" s="3"/>
      <c r="I346" s="3" t="str">
        <f>IFERROR(ROUND(INDEX('PROJETO PERFURAÇÃO'!$AB:$AB,MATCH(MEDIÇÃO!K346,'PROJETO PERFURAÇÃO'!$B:$B,0)),1)&amp;"''","")</f>
        <v>5''</v>
      </c>
      <c r="J346" s="3" t="str">
        <f>IFERROR(IF(INDEX('PROJETO PERFURAÇÃO'!$P:$P,MATCH(MEDIÇÃO!K346,'PROJETO PERFURAÇÃO'!$B:$B,0))="Production","P",IF(INDEX('PROJETO PERFURAÇÃO'!$P:$P,MATCH(MEDIÇÃO!K346,'PROJETO PERFURAÇÃO'!$B:$B,0))="Buffer","B",IF(INDEX('PROJETO PERFURAÇÃO'!$P:$P,MATCH(MEDIÇÃO!K346,'PROJETO PERFURAÇÃO'!$B:$B,0))="Pre-Splitting","S"))),"")</f>
        <v>P</v>
      </c>
      <c r="K346" s="14">
        <f>D368+1</f>
        <v>783</v>
      </c>
      <c r="L346" s="4" t="str">
        <f>IFERROR(INDEX('LEV R&amp;D'!$D:$D,MATCH(MEDIÇÃO!K346,'LEV R&amp;D'!$A:$A,0))-INDEX('PROJETO PERFURAÇÃO'!$AH:$AH,MATCH(MEDIÇÃO!K346,'PROJETO PERFURAÇÃO'!$B:$B,0)),"")</f>
        <v/>
      </c>
      <c r="M346" s="17">
        <f>IFERROR(INDEX('PROJETO PERFURAÇÃO'!$AN:$AN,MATCH(MEDIÇÃO!K346,'PROJETO PERFURAÇÃO'!$B:$B,0)),"")</f>
        <v>0</v>
      </c>
      <c r="N346" s="3"/>
      <c r="O346" s="3"/>
      <c r="P346" s="3" t="str">
        <f>IFERROR(ROUND(INDEX('PROJETO PERFURAÇÃO'!$AB:$AB,MATCH(MEDIÇÃO!R346,'PROJETO PERFURAÇÃO'!$B:$B,0)),1)&amp;"''","")</f>
        <v>5''</v>
      </c>
      <c r="Q346" s="3" t="str">
        <f>IFERROR(IF(INDEX('PROJETO PERFURAÇÃO'!$P:$P,MATCH(MEDIÇÃO!R346,'PROJETO PERFURAÇÃO'!$B:$B,0))="Production","P",IF(INDEX('PROJETO PERFURAÇÃO'!$P:$P,MATCH(MEDIÇÃO!R346,'PROJETO PERFURAÇÃO'!$B:$B,0))="Buffer","B",IF(INDEX('PROJETO PERFURAÇÃO'!$P:$P,MATCH(MEDIÇÃO!R346,'PROJETO PERFURAÇÃO'!$B:$B,0))="Pre-Splitting","S"))),"")</f>
        <v>P</v>
      </c>
      <c r="R346" s="14">
        <f>K368+1</f>
        <v>806</v>
      </c>
      <c r="S346" s="4" t="str">
        <f>IFERROR(INDEX('LEV R&amp;D'!$D:$D,MATCH(MEDIÇÃO!R346,'LEV R&amp;D'!$A:$A,0))-INDEX('PROJETO PERFURAÇÃO'!$AH:$AH,MATCH(MEDIÇÃO!R346,'PROJETO PERFURAÇÃO'!$B:$B,0)),"")</f>
        <v/>
      </c>
      <c r="T346" s="17">
        <f>IFERROR(INDEX('PROJETO PERFURAÇÃO'!$AN:$AN,MATCH(MEDIÇÃO!R346,'PROJETO PERFURAÇÃO'!$B:$B,0)),"")</f>
        <v>0</v>
      </c>
      <c r="U346" s="3"/>
      <c r="V346" s="3"/>
    </row>
    <row r="347" spans="1:23" ht="45" customHeight="1">
      <c r="B347" s="3" t="str">
        <f>IFERROR(ROUND(INDEX('PROJETO PERFURAÇÃO'!$AB:$AB,MATCH(MEDIÇÃO!D347,'PROJETO PERFURAÇÃO'!$B:$B,0)),1)&amp;"''","")</f>
        <v>5''</v>
      </c>
      <c r="C347" s="3" t="str">
        <f>IFERROR(IF(INDEX('PROJETO PERFURAÇÃO'!$P:$P,MATCH(MEDIÇÃO!D347,'PROJETO PERFURAÇÃO'!$B:$B,0))="Production","P",IF(INDEX('PROJETO PERFURAÇÃO'!$P:$P,MATCH(MEDIÇÃO!D347,'PROJETO PERFURAÇÃO'!$B:$B,0))="Buffer","B",IF(INDEX('PROJETO PERFURAÇÃO'!$P:$P,MATCH(MEDIÇÃO!D347,'PROJETO PERFURAÇÃO'!$B:$B,0))="Pre-Splitting","S"))),"")</f>
        <v>P</v>
      </c>
      <c r="D347" s="14">
        <f>D346+1</f>
        <v>761</v>
      </c>
      <c r="E347" s="4" t="str">
        <f>IFERROR(INDEX('LEV R&amp;D'!$D:$D,MATCH(MEDIÇÃO!D347,'LEV R&amp;D'!$A:$A,0))-INDEX('PROJETO PERFURAÇÃO'!$AH:$AH,MATCH(MEDIÇÃO!D347,'PROJETO PERFURAÇÃO'!$B:$B,0)),"")</f>
        <v/>
      </c>
      <c r="F347" s="17">
        <f>IFERROR(INDEX('PROJETO PERFURAÇÃO'!$AN:$AN,MATCH(MEDIÇÃO!D347,'PROJETO PERFURAÇÃO'!$B:$B,0)),"")</f>
        <v>0</v>
      </c>
      <c r="G347" s="3"/>
      <c r="H347" s="3"/>
      <c r="I347" s="3" t="str">
        <f>IFERROR(ROUND(INDEX('PROJETO PERFURAÇÃO'!$AB:$AB,MATCH(MEDIÇÃO!K347,'PROJETO PERFURAÇÃO'!$B:$B,0)),1)&amp;"''","")</f>
        <v>5''</v>
      </c>
      <c r="J347" s="3" t="str">
        <f>IFERROR(IF(INDEX('PROJETO PERFURAÇÃO'!$P:$P,MATCH(MEDIÇÃO!K347,'PROJETO PERFURAÇÃO'!$B:$B,0))="Production","P",IF(INDEX('PROJETO PERFURAÇÃO'!$P:$P,MATCH(MEDIÇÃO!K347,'PROJETO PERFURAÇÃO'!$B:$B,0))="Buffer","B",IF(INDEX('PROJETO PERFURAÇÃO'!$P:$P,MATCH(MEDIÇÃO!K347,'PROJETO PERFURAÇÃO'!$B:$B,0))="Pre-Splitting","S"))),"")</f>
        <v>P</v>
      </c>
      <c r="K347" s="14">
        <f>K346+1</f>
        <v>784</v>
      </c>
      <c r="L347" s="4" t="str">
        <f>IFERROR(INDEX('LEV R&amp;D'!$D:$D,MATCH(MEDIÇÃO!K347,'LEV R&amp;D'!$A:$A,0))-INDEX('PROJETO PERFURAÇÃO'!$AH:$AH,MATCH(MEDIÇÃO!K347,'PROJETO PERFURAÇÃO'!$B:$B,0)),"")</f>
        <v/>
      </c>
      <c r="M347" s="17">
        <f>IFERROR(INDEX('PROJETO PERFURAÇÃO'!$AN:$AN,MATCH(MEDIÇÃO!K347,'PROJETO PERFURAÇÃO'!$B:$B,0)),"")</f>
        <v>0</v>
      </c>
      <c r="N347" s="3"/>
      <c r="O347" s="3"/>
      <c r="P347" s="3" t="str">
        <f>IFERROR(ROUND(INDEX('PROJETO PERFURAÇÃO'!$AB:$AB,MATCH(MEDIÇÃO!R347,'PROJETO PERFURAÇÃO'!$B:$B,0)),1)&amp;"''","")</f>
        <v>5''</v>
      </c>
      <c r="Q347" s="3" t="str">
        <f>IFERROR(IF(INDEX('PROJETO PERFURAÇÃO'!$P:$P,MATCH(MEDIÇÃO!R347,'PROJETO PERFURAÇÃO'!$B:$B,0))="Production","P",IF(INDEX('PROJETO PERFURAÇÃO'!$P:$P,MATCH(MEDIÇÃO!R347,'PROJETO PERFURAÇÃO'!$B:$B,0))="Buffer","B",IF(INDEX('PROJETO PERFURAÇÃO'!$P:$P,MATCH(MEDIÇÃO!R347,'PROJETO PERFURAÇÃO'!$B:$B,0))="Pre-Splitting","S"))),"")</f>
        <v>P</v>
      </c>
      <c r="R347" s="14">
        <f>R346+1</f>
        <v>807</v>
      </c>
      <c r="S347" s="4" t="str">
        <f>IFERROR(INDEX('LEV R&amp;D'!$D:$D,MATCH(MEDIÇÃO!R347,'LEV R&amp;D'!$A:$A,0))-INDEX('PROJETO PERFURAÇÃO'!$AH:$AH,MATCH(MEDIÇÃO!R347,'PROJETO PERFURAÇÃO'!$B:$B,0)),"")</f>
        <v/>
      </c>
      <c r="T347" s="17">
        <f>IFERROR(INDEX('PROJETO PERFURAÇÃO'!$AN:$AN,MATCH(MEDIÇÃO!R347,'PROJETO PERFURAÇÃO'!$B:$B,0)),"")</f>
        <v>0</v>
      </c>
      <c r="U347" s="3"/>
      <c r="V347" s="3"/>
    </row>
    <row r="348" spans="1:23" ht="45" customHeight="1">
      <c r="B348" s="3" t="str">
        <f>IFERROR(ROUND(INDEX('PROJETO PERFURAÇÃO'!$AB:$AB,MATCH(MEDIÇÃO!D348,'PROJETO PERFURAÇÃO'!$B:$B,0)),1)&amp;"''","")</f>
        <v>5''</v>
      </c>
      <c r="C348" s="3" t="str">
        <f>IFERROR(IF(INDEX('PROJETO PERFURAÇÃO'!$P:$P,MATCH(MEDIÇÃO!D348,'PROJETO PERFURAÇÃO'!$B:$B,0))="Production","P",IF(INDEX('PROJETO PERFURAÇÃO'!$P:$P,MATCH(MEDIÇÃO!D348,'PROJETO PERFURAÇÃO'!$B:$B,0))="Buffer","B",IF(INDEX('PROJETO PERFURAÇÃO'!$P:$P,MATCH(MEDIÇÃO!D348,'PROJETO PERFURAÇÃO'!$B:$B,0))="Pre-Splitting","S"))),"")</f>
        <v>P</v>
      </c>
      <c r="D348" s="14">
        <f t="shared" ref="D348:D368" si="33">D347+1</f>
        <v>762</v>
      </c>
      <c r="E348" s="4" t="str">
        <f>IFERROR(INDEX('LEV R&amp;D'!$D:$D,MATCH(MEDIÇÃO!D348,'LEV R&amp;D'!$A:$A,0))-INDEX('PROJETO PERFURAÇÃO'!$AH:$AH,MATCH(MEDIÇÃO!D348,'PROJETO PERFURAÇÃO'!$B:$B,0)),"")</f>
        <v/>
      </c>
      <c r="F348" s="17">
        <f>IFERROR(INDEX('PROJETO PERFURAÇÃO'!$AN:$AN,MATCH(MEDIÇÃO!D348,'PROJETO PERFURAÇÃO'!$B:$B,0)),"")</f>
        <v>0</v>
      </c>
      <c r="G348" s="3"/>
      <c r="H348" s="3"/>
      <c r="I348" s="3" t="str">
        <f>IFERROR(ROUND(INDEX('PROJETO PERFURAÇÃO'!$AB:$AB,MATCH(MEDIÇÃO!K348,'PROJETO PERFURAÇÃO'!$B:$B,0)),1)&amp;"''","")</f>
        <v>5''</v>
      </c>
      <c r="J348" s="3" t="str">
        <f>IFERROR(IF(INDEX('PROJETO PERFURAÇÃO'!$P:$P,MATCH(MEDIÇÃO!K348,'PROJETO PERFURAÇÃO'!$B:$B,0))="Production","P",IF(INDEX('PROJETO PERFURAÇÃO'!$P:$P,MATCH(MEDIÇÃO!K348,'PROJETO PERFURAÇÃO'!$B:$B,0))="Buffer","B",IF(INDEX('PROJETO PERFURAÇÃO'!$P:$P,MATCH(MEDIÇÃO!K348,'PROJETO PERFURAÇÃO'!$B:$B,0))="Pre-Splitting","S"))),"")</f>
        <v>P</v>
      </c>
      <c r="K348" s="14">
        <f t="shared" ref="K348:K368" si="34">K347+1</f>
        <v>785</v>
      </c>
      <c r="L348" s="4" t="str">
        <f>IFERROR(INDEX('LEV R&amp;D'!$D:$D,MATCH(MEDIÇÃO!K348,'LEV R&amp;D'!$A:$A,0))-INDEX('PROJETO PERFURAÇÃO'!$AH:$AH,MATCH(MEDIÇÃO!K348,'PROJETO PERFURAÇÃO'!$B:$B,0)),"")</f>
        <v/>
      </c>
      <c r="M348" s="17">
        <f>IFERROR(INDEX('PROJETO PERFURAÇÃO'!$AN:$AN,MATCH(MEDIÇÃO!K348,'PROJETO PERFURAÇÃO'!$B:$B,0)),"")</f>
        <v>0</v>
      </c>
      <c r="N348" s="3"/>
      <c r="O348" s="3"/>
      <c r="P348" s="3" t="str">
        <f>IFERROR(ROUND(INDEX('PROJETO PERFURAÇÃO'!$AB:$AB,MATCH(MEDIÇÃO!R348,'PROJETO PERFURAÇÃO'!$B:$B,0)),1)&amp;"''","")</f>
        <v>5''</v>
      </c>
      <c r="Q348" s="3" t="str">
        <f>IFERROR(IF(INDEX('PROJETO PERFURAÇÃO'!$P:$P,MATCH(MEDIÇÃO!R348,'PROJETO PERFURAÇÃO'!$B:$B,0))="Production","P",IF(INDEX('PROJETO PERFURAÇÃO'!$P:$P,MATCH(MEDIÇÃO!R348,'PROJETO PERFURAÇÃO'!$B:$B,0))="Buffer","B",IF(INDEX('PROJETO PERFURAÇÃO'!$P:$P,MATCH(MEDIÇÃO!R348,'PROJETO PERFURAÇÃO'!$B:$B,0))="Pre-Splitting","S"))),"")</f>
        <v>P</v>
      </c>
      <c r="R348" s="14">
        <f t="shared" ref="R348:R368" si="35">R347+1</f>
        <v>808</v>
      </c>
      <c r="S348" s="4" t="str">
        <f>IFERROR(INDEX('LEV R&amp;D'!$D:$D,MATCH(MEDIÇÃO!R348,'LEV R&amp;D'!$A:$A,0))-INDEX('PROJETO PERFURAÇÃO'!$AH:$AH,MATCH(MEDIÇÃO!R348,'PROJETO PERFURAÇÃO'!$B:$B,0)),"")</f>
        <v/>
      </c>
      <c r="T348" s="17">
        <f>IFERROR(INDEX('PROJETO PERFURAÇÃO'!$AN:$AN,MATCH(MEDIÇÃO!R348,'PROJETO PERFURAÇÃO'!$B:$B,0)),"")</f>
        <v>0</v>
      </c>
      <c r="U348" s="3"/>
      <c r="V348" s="3"/>
    </row>
    <row r="349" spans="1:23" ht="45" customHeight="1">
      <c r="B349" s="3" t="str">
        <f>IFERROR(ROUND(INDEX('PROJETO PERFURAÇÃO'!$AB:$AB,MATCH(MEDIÇÃO!D349,'PROJETO PERFURAÇÃO'!$B:$B,0)),1)&amp;"''","")</f>
        <v>5''</v>
      </c>
      <c r="C349" s="3" t="str">
        <f>IFERROR(IF(INDEX('PROJETO PERFURAÇÃO'!$P:$P,MATCH(MEDIÇÃO!D349,'PROJETO PERFURAÇÃO'!$B:$B,0))="Production","P",IF(INDEX('PROJETO PERFURAÇÃO'!$P:$P,MATCH(MEDIÇÃO!D349,'PROJETO PERFURAÇÃO'!$B:$B,0))="Buffer","B",IF(INDEX('PROJETO PERFURAÇÃO'!$P:$P,MATCH(MEDIÇÃO!D349,'PROJETO PERFURAÇÃO'!$B:$B,0))="Pre-Splitting","S"))),"")</f>
        <v>P</v>
      </c>
      <c r="D349" s="14">
        <f t="shared" si="33"/>
        <v>763</v>
      </c>
      <c r="E349" s="4" t="str">
        <f>IFERROR(INDEX('LEV R&amp;D'!$D:$D,MATCH(MEDIÇÃO!D349,'LEV R&amp;D'!$A:$A,0))-INDEX('PROJETO PERFURAÇÃO'!$AH:$AH,MATCH(MEDIÇÃO!D349,'PROJETO PERFURAÇÃO'!$B:$B,0)),"")</f>
        <v/>
      </c>
      <c r="F349" s="17">
        <f>IFERROR(INDEX('PROJETO PERFURAÇÃO'!$AN:$AN,MATCH(MEDIÇÃO!D349,'PROJETO PERFURAÇÃO'!$B:$B,0)),"")</f>
        <v>0</v>
      </c>
      <c r="G349" s="3"/>
      <c r="H349" s="3"/>
      <c r="I349" s="3" t="str">
        <f>IFERROR(ROUND(INDEX('PROJETO PERFURAÇÃO'!$AB:$AB,MATCH(MEDIÇÃO!K349,'PROJETO PERFURAÇÃO'!$B:$B,0)),1)&amp;"''","")</f>
        <v>5''</v>
      </c>
      <c r="J349" s="3" t="str">
        <f>IFERROR(IF(INDEX('PROJETO PERFURAÇÃO'!$P:$P,MATCH(MEDIÇÃO!K349,'PROJETO PERFURAÇÃO'!$B:$B,0))="Production","P",IF(INDEX('PROJETO PERFURAÇÃO'!$P:$P,MATCH(MEDIÇÃO!K349,'PROJETO PERFURAÇÃO'!$B:$B,0))="Buffer","B",IF(INDEX('PROJETO PERFURAÇÃO'!$P:$P,MATCH(MEDIÇÃO!K349,'PROJETO PERFURAÇÃO'!$B:$B,0))="Pre-Splitting","S"))),"")</f>
        <v>P</v>
      </c>
      <c r="K349" s="14">
        <f t="shared" si="34"/>
        <v>786</v>
      </c>
      <c r="L349" s="4" t="str">
        <f>IFERROR(INDEX('LEV R&amp;D'!$D:$D,MATCH(MEDIÇÃO!K349,'LEV R&amp;D'!$A:$A,0))-INDEX('PROJETO PERFURAÇÃO'!$AH:$AH,MATCH(MEDIÇÃO!K349,'PROJETO PERFURAÇÃO'!$B:$B,0)),"")</f>
        <v/>
      </c>
      <c r="M349" s="17">
        <f>IFERROR(INDEX('PROJETO PERFURAÇÃO'!$AN:$AN,MATCH(MEDIÇÃO!K349,'PROJETO PERFURAÇÃO'!$B:$B,0)),"")</f>
        <v>0</v>
      </c>
      <c r="N349" s="3"/>
      <c r="O349" s="3"/>
      <c r="P349" s="3" t="str">
        <f>IFERROR(ROUND(INDEX('PROJETO PERFURAÇÃO'!$AB:$AB,MATCH(MEDIÇÃO!R349,'PROJETO PERFURAÇÃO'!$B:$B,0)),1)&amp;"''","")</f>
        <v>5''</v>
      </c>
      <c r="Q349" s="3" t="str">
        <f>IFERROR(IF(INDEX('PROJETO PERFURAÇÃO'!$P:$P,MATCH(MEDIÇÃO!R349,'PROJETO PERFURAÇÃO'!$B:$B,0))="Production","P",IF(INDEX('PROJETO PERFURAÇÃO'!$P:$P,MATCH(MEDIÇÃO!R349,'PROJETO PERFURAÇÃO'!$B:$B,0))="Buffer","B",IF(INDEX('PROJETO PERFURAÇÃO'!$P:$P,MATCH(MEDIÇÃO!R349,'PROJETO PERFURAÇÃO'!$B:$B,0))="Pre-Splitting","S"))),"")</f>
        <v>P</v>
      </c>
      <c r="R349" s="14">
        <f t="shared" si="35"/>
        <v>809</v>
      </c>
      <c r="S349" s="4" t="str">
        <f>IFERROR(INDEX('LEV R&amp;D'!$D:$D,MATCH(MEDIÇÃO!R349,'LEV R&amp;D'!$A:$A,0))-INDEX('PROJETO PERFURAÇÃO'!$AH:$AH,MATCH(MEDIÇÃO!R349,'PROJETO PERFURAÇÃO'!$B:$B,0)),"")</f>
        <v/>
      </c>
      <c r="T349" s="17">
        <f>IFERROR(INDEX('PROJETO PERFURAÇÃO'!$AN:$AN,MATCH(MEDIÇÃO!R349,'PROJETO PERFURAÇÃO'!$B:$B,0)),"")</f>
        <v>0</v>
      </c>
      <c r="U349" s="3"/>
      <c r="V349" s="3"/>
    </row>
    <row r="350" spans="1:23" ht="45" customHeight="1">
      <c r="B350" s="3" t="str">
        <f>IFERROR(ROUND(INDEX('PROJETO PERFURAÇÃO'!$AB:$AB,MATCH(MEDIÇÃO!D350,'PROJETO PERFURAÇÃO'!$B:$B,0)),1)&amp;"''","")</f>
        <v>5''</v>
      </c>
      <c r="C350" s="3" t="str">
        <f>IFERROR(IF(INDEX('PROJETO PERFURAÇÃO'!$P:$P,MATCH(MEDIÇÃO!D350,'PROJETO PERFURAÇÃO'!$B:$B,0))="Production","P",IF(INDEX('PROJETO PERFURAÇÃO'!$P:$P,MATCH(MEDIÇÃO!D350,'PROJETO PERFURAÇÃO'!$B:$B,0))="Buffer","B",IF(INDEX('PROJETO PERFURAÇÃO'!$P:$P,MATCH(MEDIÇÃO!D350,'PROJETO PERFURAÇÃO'!$B:$B,0))="Pre-Splitting","S"))),"")</f>
        <v>P</v>
      </c>
      <c r="D350" s="14">
        <f t="shared" si="33"/>
        <v>764</v>
      </c>
      <c r="E350" s="4" t="str">
        <f>IFERROR(INDEX('LEV R&amp;D'!$D:$D,MATCH(MEDIÇÃO!D350,'LEV R&amp;D'!$A:$A,0))-INDEX('PROJETO PERFURAÇÃO'!$AH:$AH,MATCH(MEDIÇÃO!D350,'PROJETO PERFURAÇÃO'!$B:$B,0)),"")</f>
        <v/>
      </c>
      <c r="F350" s="17">
        <f>IFERROR(INDEX('PROJETO PERFURAÇÃO'!$AN:$AN,MATCH(MEDIÇÃO!D350,'PROJETO PERFURAÇÃO'!$B:$B,0)),"")</f>
        <v>0</v>
      </c>
      <c r="G350" s="3"/>
      <c r="H350" s="3"/>
      <c r="I350" s="3" t="str">
        <f>IFERROR(ROUND(INDEX('PROJETO PERFURAÇÃO'!$AB:$AB,MATCH(MEDIÇÃO!K350,'PROJETO PERFURAÇÃO'!$B:$B,0)),1)&amp;"''","")</f>
        <v>5''</v>
      </c>
      <c r="J350" s="3" t="str">
        <f>IFERROR(IF(INDEX('PROJETO PERFURAÇÃO'!$P:$P,MATCH(MEDIÇÃO!K350,'PROJETO PERFURAÇÃO'!$B:$B,0))="Production","P",IF(INDEX('PROJETO PERFURAÇÃO'!$P:$P,MATCH(MEDIÇÃO!K350,'PROJETO PERFURAÇÃO'!$B:$B,0))="Buffer","B",IF(INDEX('PROJETO PERFURAÇÃO'!$P:$P,MATCH(MEDIÇÃO!K350,'PROJETO PERFURAÇÃO'!$B:$B,0))="Pre-Splitting","S"))),"")</f>
        <v>P</v>
      </c>
      <c r="K350" s="14">
        <f t="shared" si="34"/>
        <v>787</v>
      </c>
      <c r="L350" s="4" t="str">
        <f>IFERROR(INDEX('LEV R&amp;D'!$D:$D,MATCH(MEDIÇÃO!K350,'LEV R&amp;D'!$A:$A,0))-INDEX('PROJETO PERFURAÇÃO'!$AH:$AH,MATCH(MEDIÇÃO!K350,'PROJETO PERFURAÇÃO'!$B:$B,0)),"")</f>
        <v/>
      </c>
      <c r="M350" s="17">
        <f>IFERROR(INDEX('PROJETO PERFURAÇÃO'!$AN:$AN,MATCH(MEDIÇÃO!K350,'PROJETO PERFURAÇÃO'!$B:$B,0)),"")</f>
        <v>0</v>
      </c>
      <c r="N350" s="3"/>
      <c r="O350" s="3"/>
      <c r="P350" s="3" t="str">
        <f>IFERROR(ROUND(INDEX('PROJETO PERFURAÇÃO'!$AB:$AB,MATCH(MEDIÇÃO!R350,'PROJETO PERFURAÇÃO'!$B:$B,0)),1)&amp;"''","")</f>
        <v>5''</v>
      </c>
      <c r="Q350" s="3" t="str">
        <f>IFERROR(IF(INDEX('PROJETO PERFURAÇÃO'!$P:$P,MATCH(MEDIÇÃO!R350,'PROJETO PERFURAÇÃO'!$B:$B,0))="Production","P",IF(INDEX('PROJETO PERFURAÇÃO'!$P:$P,MATCH(MEDIÇÃO!R350,'PROJETO PERFURAÇÃO'!$B:$B,0))="Buffer","B",IF(INDEX('PROJETO PERFURAÇÃO'!$P:$P,MATCH(MEDIÇÃO!R350,'PROJETO PERFURAÇÃO'!$B:$B,0))="Pre-Splitting","S"))),"")</f>
        <v>P</v>
      </c>
      <c r="R350" s="14">
        <f t="shared" si="35"/>
        <v>810</v>
      </c>
      <c r="S350" s="4" t="str">
        <f>IFERROR(INDEX('LEV R&amp;D'!$D:$D,MATCH(MEDIÇÃO!R350,'LEV R&amp;D'!$A:$A,0))-INDEX('PROJETO PERFURAÇÃO'!$AH:$AH,MATCH(MEDIÇÃO!R350,'PROJETO PERFURAÇÃO'!$B:$B,0)),"")</f>
        <v/>
      </c>
      <c r="T350" s="17">
        <f>IFERROR(INDEX('PROJETO PERFURAÇÃO'!$AN:$AN,MATCH(MEDIÇÃO!R350,'PROJETO PERFURAÇÃO'!$B:$B,0)),"")</f>
        <v>0</v>
      </c>
      <c r="U350" s="3"/>
      <c r="V350" s="3"/>
    </row>
    <row r="351" spans="1:23" ht="45" customHeight="1">
      <c r="B351" s="3" t="str">
        <f>IFERROR(ROUND(INDEX('PROJETO PERFURAÇÃO'!$AB:$AB,MATCH(MEDIÇÃO!D351,'PROJETO PERFURAÇÃO'!$B:$B,0)),1)&amp;"''","")</f>
        <v>5''</v>
      </c>
      <c r="C351" s="3" t="str">
        <f>IFERROR(IF(INDEX('PROJETO PERFURAÇÃO'!$P:$P,MATCH(MEDIÇÃO!D351,'PROJETO PERFURAÇÃO'!$B:$B,0))="Production","P",IF(INDEX('PROJETO PERFURAÇÃO'!$P:$P,MATCH(MEDIÇÃO!D351,'PROJETO PERFURAÇÃO'!$B:$B,0))="Buffer","B",IF(INDEX('PROJETO PERFURAÇÃO'!$P:$P,MATCH(MEDIÇÃO!D351,'PROJETO PERFURAÇÃO'!$B:$B,0))="Pre-Splitting","S"))),"")</f>
        <v>P</v>
      </c>
      <c r="D351" s="14">
        <f t="shared" si="33"/>
        <v>765</v>
      </c>
      <c r="E351" s="4" t="str">
        <f>IFERROR(INDEX('LEV R&amp;D'!$D:$D,MATCH(MEDIÇÃO!D351,'LEV R&amp;D'!$A:$A,0))-INDEX('PROJETO PERFURAÇÃO'!$AH:$AH,MATCH(MEDIÇÃO!D351,'PROJETO PERFURAÇÃO'!$B:$B,0)),"")</f>
        <v/>
      </c>
      <c r="F351" s="17">
        <f>IFERROR(INDEX('PROJETO PERFURAÇÃO'!$AN:$AN,MATCH(MEDIÇÃO!D351,'PROJETO PERFURAÇÃO'!$B:$B,0)),"")</f>
        <v>0</v>
      </c>
      <c r="G351" s="3"/>
      <c r="H351" s="3"/>
      <c r="I351" s="3" t="str">
        <f>IFERROR(ROUND(INDEX('PROJETO PERFURAÇÃO'!$AB:$AB,MATCH(MEDIÇÃO!K351,'PROJETO PERFURAÇÃO'!$B:$B,0)),1)&amp;"''","")</f>
        <v>5''</v>
      </c>
      <c r="J351" s="3" t="str">
        <f>IFERROR(IF(INDEX('PROJETO PERFURAÇÃO'!$P:$P,MATCH(MEDIÇÃO!K351,'PROJETO PERFURAÇÃO'!$B:$B,0))="Production","P",IF(INDEX('PROJETO PERFURAÇÃO'!$P:$P,MATCH(MEDIÇÃO!K351,'PROJETO PERFURAÇÃO'!$B:$B,0))="Buffer","B",IF(INDEX('PROJETO PERFURAÇÃO'!$P:$P,MATCH(MEDIÇÃO!K351,'PROJETO PERFURAÇÃO'!$B:$B,0))="Pre-Splitting","S"))),"")</f>
        <v>P</v>
      </c>
      <c r="K351" s="14">
        <f t="shared" si="34"/>
        <v>788</v>
      </c>
      <c r="L351" s="4" t="str">
        <f>IFERROR(INDEX('LEV R&amp;D'!$D:$D,MATCH(MEDIÇÃO!K351,'LEV R&amp;D'!$A:$A,0))-INDEX('PROJETO PERFURAÇÃO'!$AH:$AH,MATCH(MEDIÇÃO!K351,'PROJETO PERFURAÇÃO'!$B:$B,0)),"")</f>
        <v/>
      </c>
      <c r="M351" s="17">
        <f>IFERROR(INDEX('PROJETO PERFURAÇÃO'!$AN:$AN,MATCH(MEDIÇÃO!K351,'PROJETO PERFURAÇÃO'!$B:$B,0)),"")</f>
        <v>0</v>
      </c>
      <c r="N351" s="3"/>
      <c r="O351" s="3"/>
      <c r="P351" s="3" t="str">
        <f>IFERROR(ROUND(INDEX('PROJETO PERFURAÇÃO'!$AB:$AB,MATCH(MEDIÇÃO!R351,'PROJETO PERFURAÇÃO'!$B:$B,0)),1)&amp;"''","")</f>
        <v>5''</v>
      </c>
      <c r="Q351" s="3" t="str">
        <f>IFERROR(IF(INDEX('PROJETO PERFURAÇÃO'!$P:$P,MATCH(MEDIÇÃO!R351,'PROJETO PERFURAÇÃO'!$B:$B,0))="Production","P",IF(INDEX('PROJETO PERFURAÇÃO'!$P:$P,MATCH(MEDIÇÃO!R351,'PROJETO PERFURAÇÃO'!$B:$B,0))="Buffer","B",IF(INDEX('PROJETO PERFURAÇÃO'!$P:$P,MATCH(MEDIÇÃO!R351,'PROJETO PERFURAÇÃO'!$B:$B,0))="Pre-Splitting","S"))),"")</f>
        <v>P</v>
      </c>
      <c r="R351" s="14">
        <f t="shared" si="35"/>
        <v>811</v>
      </c>
      <c r="S351" s="4" t="str">
        <f>IFERROR(INDEX('LEV R&amp;D'!$D:$D,MATCH(MEDIÇÃO!R351,'LEV R&amp;D'!$A:$A,0))-INDEX('PROJETO PERFURAÇÃO'!$AH:$AH,MATCH(MEDIÇÃO!R351,'PROJETO PERFURAÇÃO'!$B:$B,0)),"")</f>
        <v/>
      </c>
      <c r="T351" s="17">
        <f>IFERROR(INDEX('PROJETO PERFURAÇÃO'!$AN:$AN,MATCH(MEDIÇÃO!R351,'PROJETO PERFURAÇÃO'!$B:$B,0)),"")</f>
        <v>0</v>
      </c>
      <c r="U351" s="3"/>
      <c r="V351" s="3"/>
    </row>
    <row r="352" spans="1:23" ht="45" customHeight="1">
      <c r="B352" s="3" t="str">
        <f>IFERROR(ROUND(INDEX('PROJETO PERFURAÇÃO'!$AB:$AB,MATCH(MEDIÇÃO!D352,'PROJETO PERFURAÇÃO'!$B:$B,0)),1)&amp;"''","")</f>
        <v>5''</v>
      </c>
      <c r="C352" s="3" t="str">
        <f>IFERROR(IF(INDEX('PROJETO PERFURAÇÃO'!$P:$P,MATCH(MEDIÇÃO!D352,'PROJETO PERFURAÇÃO'!$B:$B,0))="Production","P",IF(INDEX('PROJETO PERFURAÇÃO'!$P:$P,MATCH(MEDIÇÃO!D352,'PROJETO PERFURAÇÃO'!$B:$B,0))="Buffer","B",IF(INDEX('PROJETO PERFURAÇÃO'!$P:$P,MATCH(MEDIÇÃO!D352,'PROJETO PERFURAÇÃO'!$B:$B,0))="Pre-Splitting","S"))),"")</f>
        <v>P</v>
      </c>
      <c r="D352" s="14">
        <f t="shared" si="33"/>
        <v>766</v>
      </c>
      <c r="E352" s="4" t="str">
        <f>IFERROR(INDEX('LEV R&amp;D'!$D:$D,MATCH(MEDIÇÃO!D352,'LEV R&amp;D'!$A:$A,0))-INDEX('PROJETO PERFURAÇÃO'!$AH:$AH,MATCH(MEDIÇÃO!D352,'PROJETO PERFURAÇÃO'!$B:$B,0)),"")</f>
        <v/>
      </c>
      <c r="F352" s="17">
        <f>IFERROR(INDEX('PROJETO PERFURAÇÃO'!$AN:$AN,MATCH(MEDIÇÃO!D352,'PROJETO PERFURAÇÃO'!$B:$B,0)),"")</f>
        <v>0</v>
      </c>
      <c r="G352" s="3"/>
      <c r="H352" s="3"/>
      <c r="I352" s="3" t="str">
        <f>IFERROR(ROUND(INDEX('PROJETO PERFURAÇÃO'!$AB:$AB,MATCH(MEDIÇÃO!K352,'PROJETO PERFURAÇÃO'!$B:$B,0)),1)&amp;"''","")</f>
        <v>5''</v>
      </c>
      <c r="J352" s="3" t="str">
        <f>IFERROR(IF(INDEX('PROJETO PERFURAÇÃO'!$P:$P,MATCH(MEDIÇÃO!K352,'PROJETO PERFURAÇÃO'!$B:$B,0))="Production","P",IF(INDEX('PROJETO PERFURAÇÃO'!$P:$P,MATCH(MEDIÇÃO!K352,'PROJETO PERFURAÇÃO'!$B:$B,0))="Buffer","B",IF(INDEX('PROJETO PERFURAÇÃO'!$P:$P,MATCH(MEDIÇÃO!K352,'PROJETO PERFURAÇÃO'!$B:$B,0))="Pre-Splitting","S"))),"")</f>
        <v>P</v>
      </c>
      <c r="K352" s="14">
        <f t="shared" si="34"/>
        <v>789</v>
      </c>
      <c r="L352" s="4" t="str">
        <f>IFERROR(INDEX('LEV R&amp;D'!$D:$D,MATCH(MEDIÇÃO!K352,'LEV R&amp;D'!$A:$A,0))-INDEX('PROJETO PERFURAÇÃO'!$AH:$AH,MATCH(MEDIÇÃO!K352,'PROJETO PERFURAÇÃO'!$B:$B,0)),"")</f>
        <v/>
      </c>
      <c r="M352" s="17">
        <f>IFERROR(INDEX('PROJETO PERFURAÇÃO'!$AN:$AN,MATCH(MEDIÇÃO!K352,'PROJETO PERFURAÇÃO'!$B:$B,0)),"")</f>
        <v>0</v>
      </c>
      <c r="N352" s="3"/>
      <c r="O352" s="3"/>
      <c r="P352" s="3" t="str">
        <f>IFERROR(ROUND(INDEX('PROJETO PERFURAÇÃO'!$AB:$AB,MATCH(MEDIÇÃO!R352,'PROJETO PERFURAÇÃO'!$B:$B,0)),1)&amp;"''","")</f>
        <v>5''</v>
      </c>
      <c r="Q352" s="3" t="str">
        <f>IFERROR(IF(INDEX('PROJETO PERFURAÇÃO'!$P:$P,MATCH(MEDIÇÃO!R352,'PROJETO PERFURAÇÃO'!$B:$B,0))="Production","P",IF(INDEX('PROJETO PERFURAÇÃO'!$P:$P,MATCH(MEDIÇÃO!R352,'PROJETO PERFURAÇÃO'!$B:$B,0))="Buffer","B",IF(INDEX('PROJETO PERFURAÇÃO'!$P:$P,MATCH(MEDIÇÃO!R352,'PROJETO PERFURAÇÃO'!$B:$B,0))="Pre-Splitting","S"))),"")</f>
        <v>P</v>
      </c>
      <c r="R352" s="14">
        <f t="shared" si="35"/>
        <v>812</v>
      </c>
      <c r="S352" s="4" t="str">
        <f>IFERROR(INDEX('LEV R&amp;D'!$D:$D,MATCH(MEDIÇÃO!R352,'LEV R&amp;D'!$A:$A,0))-INDEX('PROJETO PERFURAÇÃO'!$AH:$AH,MATCH(MEDIÇÃO!R352,'PROJETO PERFURAÇÃO'!$B:$B,0)),"")</f>
        <v/>
      </c>
      <c r="T352" s="17">
        <f>IFERROR(INDEX('PROJETO PERFURAÇÃO'!$AN:$AN,MATCH(MEDIÇÃO!R352,'PROJETO PERFURAÇÃO'!$B:$B,0)),"")</f>
        <v>0</v>
      </c>
      <c r="U352" s="3"/>
      <c r="V352" s="3"/>
    </row>
    <row r="353" spans="2:22" ht="45" customHeight="1">
      <c r="B353" s="3" t="str">
        <f>IFERROR(ROUND(INDEX('PROJETO PERFURAÇÃO'!$AB:$AB,MATCH(MEDIÇÃO!D353,'PROJETO PERFURAÇÃO'!$B:$B,0)),1)&amp;"''","")</f>
        <v>5''</v>
      </c>
      <c r="C353" s="3" t="str">
        <f>IFERROR(IF(INDEX('PROJETO PERFURAÇÃO'!$P:$P,MATCH(MEDIÇÃO!D353,'PROJETO PERFURAÇÃO'!$B:$B,0))="Production","P",IF(INDEX('PROJETO PERFURAÇÃO'!$P:$P,MATCH(MEDIÇÃO!D353,'PROJETO PERFURAÇÃO'!$B:$B,0))="Buffer","B",IF(INDEX('PROJETO PERFURAÇÃO'!$P:$P,MATCH(MEDIÇÃO!D353,'PROJETO PERFURAÇÃO'!$B:$B,0))="Pre-Splitting","S"))),"")</f>
        <v>P</v>
      </c>
      <c r="D353" s="14">
        <f t="shared" si="33"/>
        <v>767</v>
      </c>
      <c r="E353" s="4" t="str">
        <f>IFERROR(INDEX('LEV R&amp;D'!$D:$D,MATCH(MEDIÇÃO!D353,'LEV R&amp;D'!$A:$A,0))-INDEX('PROJETO PERFURAÇÃO'!$AH:$AH,MATCH(MEDIÇÃO!D353,'PROJETO PERFURAÇÃO'!$B:$B,0)),"")</f>
        <v/>
      </c>
      <c r="F353" s="17">
        <f>IFERROR(INDEX('PROJETO PERFURAÇÃO'!$AN:$AN,MATCH(MEDIÇÃO!D353,'PROJETO PERFURAÇÃO'!$B:$B,0)),"")</f>
        <v>0</v>
      </c>
      <c r="G353" s="3"/>
      <c r="H353" s="3"/>
      <c r="I353" s="3" t="str">
        <f>IFERROR(ROUND(INDEX('PROJETO PERFURAÇÃO'!$AB:$AB,MATCH(MEDIÇÃO!K353,'PROJETO PERFURAÇÃO'!$B:$B,0)),1)&amp;"''","")</f>
        <v>5''</v>
      </c>
      <c r="J353" s="3" t="str">
        <f>IFERROR(IF(INDEX('PROJETO PERFURAÇÃO'!$P:$P,MATCH(MEDIÇÃO!K353,'PROJETO PERFURAÇÃO'!$B:$B,0))="Production","P",IF(INDEX('PROJETO PERFURAÇÃO'!$P:$P,MATCH(MEDIÇÃO!K353,'PROJETO PERFURAÇÃO'!$B:$B,0))="Buffer","B",IF(INDEX('PROJETO PERFURAÇÃO'!$P:$P,MATCH(MEDIÇÃO!K353,'PROJETO PERFURAÇÃO'!$B:$B,0))="Pre-Splitting","S"))),"")</f>
        <v>P</v>
      </c>
      <c r="K353" s="14">
        <f t="shared" si="34"/>
        <v>790</v>
      </c>
      <c r="L353" s="4" t="str">
        <f>IFERROR(INDEX('LEV R&amp;D'!$D:$D,MATCH(MEDIÇÃO!K353,'LEV R&amp;D'!$A:$A,0))-INDEX('PROJETO PERFURAÇÃO'!$AH:$AH,MATCH(MEDIÇÃO!K353,'PROJETO PERFURAÇÃO'!$B:$B,0)),"")</f>
        <v/>
      </c>
      <c r="M353" s="17">
        <f>IFERROR(INDEX('PROJETO PERFURAÇÃO'!$AN:$AN,MATCH(MEDIÇÃO!K353,'PROJETO PERFURAÇÃO'!$B:$B,0)),"")</f>
        <v>0</v>
      </c>
      <c r="N353" s="3"/>
      <c r="O353" s="3"/>
      <c r="P353" s="3" t="str">
        <f>IFERROR(ROUND(INDEX('PROJETO PERFURAÇÃO'!$AB:$AB,MATCH(MEDIÇÃO!R353,'PROJETO PERFURAÇÃO'!$B:$B,0)),1)&amp;"''","")</f>
        <v>5''</v>
      </c>
      <c r="Q353" s="3" t="str">
        <f>IFERROR(IF(INDEX('PROJETO PERFURAÇÃO'!$P:$P,MATCH(MEDIÇÃO!R353,'PROJETO PERFURAÇÃO'!$B:$B,0))="Production","P",IF(INDEX('PROJETO PERFURAÇÃO'!$P:$P,MATCH(MEDIÇÃO!R353,'PROJETO PERFURAÇÃO'!$B:$B,0))="Buffer","B",IF(INDEX('PROJETO PERFURAÇÃO'!$P:$P,MATCH(MEDIÇÃO!R353,'PROJETO PERFURAÇÃO'!$B:$B,0))="Pre-Splitting","S"))),"")</f>
        <v>P</v>
      </c>
      <c r="R353" s="14">
        <f t="shared" si="35"/>
        <v>813</v>
      </c>
      <c r="S353" s="4" t="str">
        <f>IFERROR(INDEX('LEV R&amp;D'!$D:$D,MATCH(MEDIÇÃO!R353,'LEV R&amp;D'!$A:$A,0))-INDEX('PROJETO PERFURAÇÃO'!$AH:$AH,MATCH(MEDIÇÃO!R353,'PROJETO PERFURAÇÃO'!$B:$B,0)),"")</f>
        <v/>
      </c>
      <c r="T353" s="17">
        <f>IFERROR(INDEX('PROJETO PERFURAÇÃO'!$AN:$AN,MATCH(MEDIÇÃO!R353,'PROJETO PERFURAÇÃO'!$B:$B,0)),"")</f>
        <v>0</v>
      </c>
      <c r="U353" s="3"/>
      <c r="V353" s="3"/>
    </row>
    <row r="354" spans="2:22" ht="45" customHeight="1">
      <c r="B354" s="3" t="str">
        <f>IFERROR(ROUND(INDEX('PROJETO PERFURAÇÃO'!$AB:$AB,MATCH(MEDIÇÃO!D354,'PROJETO PERFURAÇÃO'!$B:$B,0)),1)&amp;"''","")</f>
        <v>5''</v>
      </c>
      <c r="C354" s="3" t="str">
        <f>IFERROR(IF(INDEX('PROJETO PERFURAÇÃO'!$P:$P,MATCH(MEDIÇÃO!D354,'PROJETO PERFURAÇÃO'!$B:$B,0))="Production","P",IF(INDEX('PROJETO PERFURAÇÃO'!$P:$P,MATCH(MEDIÇÃO!D354,'PROJETO PERFURAÇÃO'!$B:$B,0))="Buffer","B",IF(INDEX('PROJETO PERFURAÇÃO'!$P:$P,MATCH(MEDIÇÃO!D354,'PROJETO PERFURAÇÃO'!$B:$B,0))="Pre-Splitting","S"))),"")</f>
        <v>P</v>
      </c>
      <c r="D354" s="14">
        <f t="shared" si="33"/>
        <v>768</v>
      </c>
      <c r="E354" s="4" t="str">
        <f>IFERROR(INDEX('LEV R&amp;D'!$D:$D,MATCH(MEDIÇÃO!D354,'LEV R&amp;D'!$A:$A,0))-INDEX('PROJETO PERFURAÇÃO'!$AH:$AH,MATCH(MEDIÇÃO!D354,'PROJETO PERFURAÇÃO'!$B:$B,0)),"")</f>
        <v/>
      </c>
      <c r="F354" s="17">
        <f>IFERROR(INDEX('PROJETO PERFURAÇÃO'!$AN:$AN,MATCH(MEDIÇÃO!D354,'PROJETO PERFURAÇÃO'!$B:$B,0)),"")</f>
        <v>0</v>
      </c>
      <c r="G354" s="3"/>
      <c r="H354" s="3"/>
      <c r="I354" s="3" t="str">
        <f>IFERROR(ROUND(INDEX('PROJETO PERFURAÇÃO'!$AB:$AB,MATCH(MEDIÇÃO!K354,'PROJETO PERFURAÇÃO'!$B:$B,0)),1)&amp;"''","")</f>
        <v>5''</v>
      </c>
      <c r="J354" s="3" t="str">
        <f>IFERROR(IF(INDEX('PROJETO PERFURAÇÃO'!$P:$P,MATCH(MEDIÇÃO!K354,'PROJETO PERFURAÇÃO'!$B:$B,0))="Production","P",IF(INDEX('PROJETO PERFURAÇÃO'!$P:$P,MATCH(MEDIÇÃO!K354,'PROJETO PERFURAÇÃO'!$B:$B,0))="Buffer","B",IF(INDEX('PROJETO PERFURAÇÃO'!$P:$P,MATCH(MEDIÇÃO!K354,'PROJETO PERFURAÇÃO'!$B:$B,0))="Pre-Splitting","S"))),"")</f>
        <v>P</v>
      </c>
      <c r="K354" s="14">
        <f t="shared" si="34"/>
        <v>791</v>
      </c>
      <c r="L354" s="4" t="str">
        <f>IFERROR(INDEX('LEV R&amp;D'!$D:$D,MATCH(MEDIÇÃO!K354,'LEV R&amp;D'!$A:$A,0))-INDEX('PROJETO PERFURAÇÃO'!$AH:$AH,MATCH(MEDIÇÃO!K354,'PROJETO PERFURAÇÃO'!$B:$B,0)),"")</f>
        <v/>
      </c>
      <c r="M354" s="17">
        <f>IFERROR(INDEX('PROJETO PERFURAÇÃO'!$AN:$AN,MATCH(MEDIÇÃO!K354,'PROJETO PERFURAÇÃO'!$B:$B,0)),"")</f>
        <v>0</v>
      </c>
      <c r="N354" s="3"/>
      <c r="O354" s="3"/>
      <c r="P354" s="3" t="str">
        <f>IFERROR(ROUND(INDEX('PROJETO PERFURAÇÃO'!$AB:$AB,MATCH(MEDIÇÃO!R354,'PROJETO PERFURAÇÃO'!$B:$B,0)),1)&amp;"''","")</f>
        <v>5''</v>
      </c>
      <c r="Q354" s="3" t="str">
        <f>IFERROR(IF(INDEX('PROJETO PERFURAÇÃO'!$P:$P,MATCH(MEDIÇÃO!R354,'PROJETO PERFURAÇÃO'!$B:$B,0))="Production","P",IF(INDEX('PROJETO PERFURAÇÃO'!$P:$P,MATCH(MEDIÇÃO!R354,'PROJETO PERFURAÇÃO'!$B:$B,0))="Buffer","B",IF(INDEX('PROJETO PERFURAÇÃO'!$P:$P,MATCH(MEDIÇÃO!R354,'PROJETO PERFURAÇÃO'!$B:$B,0))="Pre-Splitting","S"))),"")</f>
        <v>P</v>
      </c>
      <c r="R354" s="14">
        <f t="shared" si="35"/>
        <v>814</v>
      </c>
      <c r="S354" s="4" t="str">
        <f>IFERROR(INDEX('LEV R&amp;D'!$D:$D,MATCH(MEDIÇÃO!R354,'LEV R&amp;D'!$A:$A,0))-INDEX('PROJETO PERFURAÇÃO'!$AH:$AH,MATCH(MEDIÇÃO!R354,'PROJETO PERFURAÇÃO'!$B:$B,0)),"")</f>
        <v/>
      </c>
      <c r="T354" s="17">
        <f>IFERROR(INDEX('PROJETO PERFURAÇÃO'!$AN:$AN,MATCH(MEDIÇÃO!R354,'PROJETO PERFURAÇÃO'!$B:$B,0)),"")</f>
        <v>0</v>
      </c>
      <c r="U354" s="3"/>
      <c r="V354" s="3"/>
    </row>
    <row r="355" spans="2:22" ht="45" customHeight="1">
      <c r="B355" s="3" t="str">
        <f>IFERROR(ROUND(INDEX('PROJETO PERFURAÇÃO'!$AB:$AB,MATCH(MEDIÇÃO!D355,'PROJETO PERFURAÇÃO'!$B:$B,0)),1)&amp;"''","")</f>
        <v>5''</v>
      </c>
      <c r="C355" s="3" t="str">
        <f>IFERROR(IF(INDEX('PROJETO PERFURAÇÃO'!$P:$P,MATCH(MEDIÇÃO!D355,'PROJETO PERFURAÇÃO'!$B:$B,0))="Production","P",IF(INDEX('PROJETO PERFURAÇÃO'!$P:$P,MATCH(MEDIÇÃO!D355,'PROJETO PERFURAÇÃO'!$B:$B,0))="Buffer","B",IF(INDEX('PROJETO PERFURAÇÃO'!$P:$P,MATCH(MEDIÇÃO!D355,'PROJETO PERFURAÇÃO'!$B:$B,0))="Pre-Splitting","S"))),"")</f>
        <v>P</v>
      </c>
      <c r="D355" s="14">
        <f t="shared" si="33"/>
        <v>769</v>
      </c>
      <c r="E355" s="4" t="str">
        <f>IFERROR(INDEX('LEV R&amp;D'!$D:$D,MATCH(MEDIÇÃO!D355,'LEV R&amp;D'!$A:$A,0))-INDEX('PROJETO PERFURAÇÃO'!$AH:$AH,MATCH(MEDIÇÃO!D355,'PROJETO PERFURAÇÃO'!$B:$B,0)),"")</f>
        <v/>
      </c>
      <c r="F355" s="17">
        <f>IFERROR(INDEX('PROJETO PERFURAÇÃO'!$AN:$AN,MATCH(MEDIÇÃO!D355,'PROJETO PERFURAÇÃO'!$B:$B,0)),"")</f>
        <v>0</v>
      </c>
      <c r="G355" s="3"/>
      <c r="H355" s="3"/>
      <c r="I355" s="3" t="str">
        <f>IFERROR(ROUND(INDEX('PROJETO PERFURAÇÃO'!$AB:$AB,MATCH(MEDIÇÃO!K355,'PROJETO PERFURAÇÃO'!$B:$B,0)),1)&amp;"''","")</f>
        <v>5''</v>
      </c>
      <c r="J355" s="3" t="str">
        <f>IFERROR(IF(INDEX('PROJETO PERFURAÇÃO'!$P:$P,MATCH(MEDIÇÃO!K355,'PROJETO PERFURAÇÃO'!$B:$B,0))="Production","P",IF(INDEX('PROJETO PERFURAÇÃO'!$P:$P,MATCH(MEDIÇÃO!K355,'PROJETO PERFURAÇÃO'!$B:$B,0))="Buffer","B",IF(INDEX('PROJETO PERFURAÇÃO'!$P:$P,MATCH(MEDIÇÃO!K355,'PROJETO PERFURAÇÃO'!$B:$B,0))="Pre-Splitting","S"))),"")</f>
        <v>P</v>
      </c>
      <c r="K355" s="14">
        <f t="shared" si="34"/>
        <v>792</v>
      </c>
      <c r="L355" s="4" t="str">
        <f>IFERROR(INDEX('LEV R&amp;D'!$D:$D,MATCH(MEDIÇÃO!K355,'LEV R&amp;D'!$A:$A,0))-INDEX('PROJETO PERFURAÇÃO'!$AH:$AH,MATCH(MEDIÇÃO!K355,'PROJETO PERFURAÇÃO'!$B:$B,0)),"")</f>
        <v/>
      </c>
      <c r="M355" s="17">
        <f>IFERROR(INDEX('PROJETO PERFURAÇÃO'!$AN:$AN,MATCH(MEDIÇÃO!K355,'PROJETO PERFURAÇÃO'!$B:$B,0)),"")</f>
        <v>0</v>
      </c>
      <c r="N355" s="3"/>
      <c r="O355" s="3"/>
      <c r="P355" s="3" t="str">
        <f>IFERROR(ROUND(INDEX('PROJETO PERFURAÇÃO'!$AB:$AB,MATCH(MEDIÇÃO!R355,'PROJETO PERFURAÇÃO'!$B:$B,0)),1)&amp;"''","")</f>
        <v>5''</v>
      </c>
      <c r="Q355" s="3" t="str">
        <f>IFERROR(IF(INDEX('PROJETO PERFURAÇÃO'!$P:$P,MATCH(MEDIÇÃO!R355,'PROJETO PERFURAÇÃO'!$B:$B,0))="Production","P",IF(INDEX('PROJETO PERFURAÇÃO'!$P:$P,MATCH(MEDIÇÃO!R355,'PROJETO PERFURAÇÃO'!$B:$B,0))="Buffer","B",IF(INDEX('PROJETO PERFURAÇÃO'!$P:$P,MATCH(MEDIÇÃO!R355,'PROJETO PERFURAÇÃO'!$B:$B,0))="Pre-Splitting","S"))),"")</f>
        <v>P</v>
      </c>
      <c r="R355" s="14">
        <f t="shared" si="35"/>
        <v>815</v>
      </c>
      <c r="S355" s="4" t="str">
        <f>IFERROR(INDEX('LEV R&amp;D'!$D:$D,MATCH(MEDIÇÃO!R355,'LEV R&amp;D'!$A:$A,0))-INDEX('PROJETO PERFURAÇÃO'!$AH:$AH,MATCH(MEDIÇÃO!R355,'PROJETO PERFURAÇÃO'!$B:$B,0)),"")</f>
        <v/>
      </c>
      <c r="T355" s="17">
        <f>IFERROR(INDEX('PROJETO PERFURAÇÃO'!$AN:$AN,MATCH(MEDIÇÃO!R355,'PROJETO PERFURAÇÃO'!$B:$B,0)),"")</f>
        <v>0</v>
      </c>
      <c r="U355" s="3"/>
      <c r="V355" s="3"/>
    </row>
    <row r="356" spans="2:22" ht="45" customHeight="1">
      <c r="B356" s="3" t="str">
        <f>IFERROR(ROUND(INDEX('PROJETO PERFURAÇÃO'!$AB:$AB,MATCH(MEDIÇÃO!D356,'PROJETO PERFURAÇÃO'!$B:$B,0)),1)&amp;"''","")</f>
        <v>5''</v>
      </c>
      <c r="C356" s="3" t="str">
        <f>IFERROR(IF(INDEX('PROJETO PERFURAÇÃO'!$P:$P,MATCH(MEDIÇÃO!D356,'PROJETO PERFURAÇÃO'!$B:$B,0))="Production","P",IF(INDEX('PROJETO PERFURAÇÃO'!$P:$P,MATCH(MEDIÇÃO!D356,'PROJETO PERFURAÇÃO'!$B:$B,0))="Buffer","B",IF(INDEX('PROJETO PERFURAÇÃO'!$P:$P,MATCH(MEDIÇÃO!D356,'PROJETO PERFURAÇÃO'!$B:$B,0))="Pre-Splitting","S"))),"")</f>
        <v>P</v>
      </c>
      <c r="D356" s="14">
        <f t="shared" si="33"/>
        <v>770</v>
      </c>
      <c r="E356" s="4" t="str">
        <f>IFERROR(INDEX('LEV R&amp;D'!$D:$D,MATCH(MEDIÇÃO!D356,'LEV R&amp;D'!$A:$A,0))-INDEX('PROJETO PERFURAÇÃO'!$AH:$AH,MATCH(MEDIÇÃO!D356,'PROJETO PERFURAÇÃO'!$B:$B,0)),"")</f>
        <v/>
      </c>
      <c r="F356" s="17">
        <f>IFERROR(INDEX('PROJETO PERFURAÇÃO'!$AN:$AN,MATCH(MEDIÇÃO!D356,'PROJETO PERFURAÇÃO'!$B:$B,0)),"")</f>
        <v>0</v>
      </c>
      <c r="G356" s="3"/>
      <c r="H356" s="3"/>
      <c r="I356" s="3" t="str">
        <f>IFERROR(ROUND(INDEX('PROJETO PERFURAÇÃO'!$AB:$AB,MATCH(MEDIÇÃO!K356,'PROJETO PERFURAÇÃO'!$B:$B,0)),1)&amp;"''","")</f>
        <v>5''</v>
      </c>
      <c r="J356" s="3" t="str">
        <f>IFERROR(IF(INDEX('PROJETO PERFURAÇÃO'!$P:$P,MATCH(MEDIÇÃO!K356,'PROJETO PERFURAÇÃO'!$B:$B,0))="Production","P",IF(INDEX('PROJETO PERFURAÇÃO'!$P:$P,MATCH(MEDIÇÃO!K356,'PROJETO PERFURAÇÃO'!$B:$B,0))="Buffer","B",IF(INDEX('PROJETO PERFURAÇÃO'!$P:$P,MATCH(MEDIÇÃO!K356,'PROJETO PERFURAÇÃO'!$B:$B,0))="Pre-Splitting","S"))),"")</f>
        <v>P</v>
      </c>
      <c r="K356" s="14">
        <f t="shared" si="34"/>
        <v>793</v>
      </c>
      <c r="L356" s="4" t="str">
        <f>IFERROR(INDEX('LEV R&amp;D'!$D:$D,MATCH(MEDIÇÃO!K356,'LEV R&amp;D'!$A:$A,0))-INDEX('PROJETO PERFURAÇÃO'!$AH:$AH,MATCH(MEDIÇÃO!K356,'PROJETO PERFURAÇÃO'!$B:$B,0)),"")</f>
        <v/>
      </c>
      <c r="M356" s="17">
        <f>IFERROR(INDEX('PROJETO PERFURAÇÃO'!$AN:$AN,MATCH(MEDIÇÃO!K356,'PROJETO PERFURAÇÃO'!$B:$B,0)),"")</f>
        <v>0</v>
      </c>
      <c r="N356" s="3"/>
      <c r="O356" s="3"/>
      <c r="P356" s="3" t="str">
        <f>IFERROR(ROUND(INDEX('PROJETO PERFURAÇÃO'!$AB:$AB,MATCH(MEDIÇÃO!R356,'PROJETO PERFURAÇÃO'!$B:$B,0)),1)&amp;"''","")</f>
        <v>5''</v>
      </c>
      <c r="Q356" s="3" t="str">
        <f>IFERROR(IF(INDEX('PROJETO PERFURAÇÃO'!$P:$P,MATCH(MEDIÇÃO!R356,'PROJETO PERFURAÇÃO'!$B:$B,0))="Production","P",IF(INDEX('PROJETO PERFURAÇÃO'!$P:$P,MATCH(MEDIÇÃO!R356,'PROJETO PERFURAÇÃO'!$B:$B,0))="Buffer","B",IF(INDEX('PROJETO PERFURAÇÃO'!$P:$P,MATCH(MEDIÇÃO!R356,'PROJETO PERFURAÇÃO'!$B:$B,0))="Pre-Splitting","S"))),"")</f>
        <v>P</v>
      </c>
      <c r="R356" s="14">
        <f t="shared" si="35"/>
        <v>816</v>
      </c>
      <c r="S356" s="4" t="str">
        <f>IFERROR(INDEX('LEV R&amp;D'!$D:$D,MATCH(MEDIÇÃO!R356,'LEV R&amp;D'!$A:$A,0))-INDEX('PROJETO PERFURAÇÃO'!$AH:$AH,MATCH(MEDIÇÃO!R356,'PROJETO PERFURAÇÃO'!$B:$B,0)),"")</f>
        <v/>
      </c>
      <c r="T356" s="17">
        <f>IFERROR(INDEX('PROJETO PERFURAÇÃO'!$AN:$AN,MATCH(MEDIÇÃO!R356,'PROJETO PERFURAÇÃO'!$B:$B,0)),"")</f>
        <v>0</v>
      </c>
      <c r="U356" s="3"/>
      <c r="V356" s="3"/>
    </row>
    <row r="357" spans="2:22" ht="45" customHeight="1">
      <c r="B357" s="3" t="str">
        <f>IFERROR(ROUND(INDEX('PROJETO PERFURAÇÃO'!$AB:$AB,MATCH(MEDIÇÃO!D357,'PROJETO PERFURAÇÃO'!$B:$B,0)),1)&amp;"''","")</f>
        <v>5''</v>
      </c>
      <c r="C357" s="3" t="str">
        <f>IFERROR(IF(INDEX('PROJETO PERFURAÇÃO'!$P:$P,MATCH(MEDIÇÃO!D357,'PROJETO PERFURAÇÃO'!$B:$B,0))="Production","P",IF(INDEX('PROJETO PERFURAÇÃO'!$P:$P,MATCH(MEDIÇÃO!D357,'PROJETO PERFURAÇÃO'!$B:$B,0))="Buffer","B",IF(INDEX('PROJETO PERFURAÇÃO'!$P:$P,MATCH(MEDIÇÃO!D357,'PROJETO PERFURAÇÃO'!$B:$B,0))="Pre-Splitting","S"))),"")</f>
        <v>P</v>
      </c>
      <c r="D357" s="14">
        <f t="shared" si="33"/>
        <v>771</v>
      </c>
      <c r="E357" s="4" t="str">
        <f>IFERROR(INDEX('LEV R&amp;D'!$D:$D,MATCH(MEDIÇÃO!D357,'LEV R&amp;D'!$A:$A,0))-INDEX('PROJETO PERFURAÇÃO'!$AH:$AH,MATCH(MEDIÇÃO!D357,'PROJETO PERFURAÇÃO'!$B:$B,0)),"")</f>
        <v/>
      </c>
      <c r="F357" s="17">
        <f>IFERROR(INDEX('PROJETO PERFURAÇÃO'!$AN:$AN,MATCH(MEDIÇÃO!D357,'PROJETO PERFURAÇÃO'!$B:$B,0)),"")</f>
        <v>0</v>
      </c>
      <c r="G357" s="3"/>
      <c r="H357" s="3"/>
      <c r="I357" s="3" t="str">
        <f>IFERROR(ROUND(INDEX('PROJETO PERFURAÇÃO'!$AB:$AB,MATCH(MEDIÇÃO!K357,'PROJETO PERFURAÇÃO'!$B:$B,0)),1)&amp;"''","")</f>
        <v>5''</v>
      </c>
      <c r="J357" s="3" t="str">
        <f>IFERROR(IF(INDEX('PROJETO PERFURAÇÃO'!$P:$P,MATCH(MEDIÇÃO!K357,'PROJETO PERFURAÇÃO'!$B:$B,0))="Production","P",IF(INDEX('PROJETO PERFURAÇÃO'!$P:$P,MATCH(MEDIÇÃO!K357,'PROJETO PERFURAÇÃO'!$B:$B,0))="Buffer","B",IF(INDEX('PROJETO PERFURAÇÃO'!$P:$P,MATCH(MEDIÇÃO!K357,'PROJETO PERFURAÇÃO'!$B:$B,0))="Pre-Splitting","S"))),"")</f>
        <v>P</v>
      </c>
      <c r="K357" s="14">
        <f t="shared" si="34"/>
        <v>794</v>
      </c>
      <c r="L357" s="4" t="str">
        <f>IFERROR(INDEX('LEV R&amp;D'!$D:$D,MATCH(MEDIÇÃO!K357,'LEV R&amp;D'!$A:$A,0))-INDEX('PROJETO PERFURAÇÃO'!$AH:$AH,MATCH(MEDIÇÃO!K357,'PROJETO PERFURAÇÃO'!$B:$B,0)),"")</f>
        <v/>
      </c>
      <c r="M357" s="17">
        <f>IFERROR(INDEX('PROJETO PERFURAÇÃO'!$AN:$AN,MATCH(MEDIÇÃO!K357,'PROJETO PERFURAÇÃO'!$B:$B,0)),"")</f>
        <v>0</v>
      </c>
      <c r="N357" s="3"/>
      <c r="O357" s="3"/>
      <c r="P357" s="3" t="str">
        <f>IFERROR(ROUND(INDEX('PROJETO PERFURAÇÃO'!$AB:$AB,MATCH(MEDIÇÃO!R357,'PROJETO PERFURAÇÃO'!$B:$B,0)),1)&amp;"''","")</f>
        <v>5''</v>
      </c>
      <c r="Q357" s="3" t="str">
        <f>IFERROR(IF(INDEX('PROJETO PERFURAÇÃO'!$P:$P,MATCH(MEDIÇÃO!R357,'PROJETO PERFURAÇÃO'!$B:$B,0))="Production","P",IF(INDEX('PROJETO PERFURAÇÃO'!$P:$P,MATCH(MEDIÇÃO!R357,'PROJETO PERFURAÇÃO'!$B:$B,0))="Buffer","B",IF(INDEX('PROJETO PERFURAÇÃO'!$P:$P,MATCH(MEDIÇÃO!R357,'PROJETO PERFURAÇÃO'!$B:$B,0))="Pre-Splitting","S"))),"")</f>
        <v>P</v>
      </c>
      <c r="R357" s="14">
        <f t="shared" si="35"/>
        <v>817</v>
      </c>
      <c r="S357" s="4" t="str">
        <f>IFERROR(INDEX('LEV R&amp;D'!$D:$D,MATCH(MEDIÇÃO!R357,'LEV R&amp;D'!$A:$A,0))-INDEX('PROJETO PERFURAÇÃO'!$AH:$AH,MATCH(MEDIÇÃO!R357,'PROJETO PERFURAÇÃO'!$B:$B,0)),"")</f>
        <v/>
      </c>
      <c r="T357" s="17">
        <f>IFERROR(INDEX('PROJETO PERFURAÇÃO'!$AN:$AN,MATCH(MEDIÇÃO!R357,'PROJETO PERFURAÇÃO'!$B:$B,0)),"")</f>
        <v>0</v>
      </c>
      <c r="U357" s="3"/>
      <c r="V357" s="3"/>
    </row>
    <row r="358" spans="2:22" ht="45" customHeight="1">
      <c r="B358" s="3" t="str">
        <f>IFERROR(ROUND(INDEX('PROJETO PERFURAÇÃO'!$AB:$AB,MATCH(MEDIÇÃO!D358,'PROJETO PERFURAÇÃO'!$B:$B,0)),1)&amp;"''","")</f>
        <v>5''</v>
      </c>
      <c r="C358" s="3" t="str">
        <f>IFERROR(IF(INDEX('PROJETO PERFURAÇÃO'!$P:$P,MATCH(MEDIÇÃO!D358,'PROJETO PERFURAÇÃO'!$B:$B,0))="Production","P",IF(INDEX('PROJETO PERFURAÇÃO'!$P:$P,MATCH(MEDIÇÃO!D358,'PROJETO PERFURAÇÃO'!$B:$B,0))="Buffer","B",IF(INDEX('PROJETO PERFURAÇÃO'!$P:$P,MATCH(MEDIÇÃO!D358,'PROJETO PERFURAÇÃO'!$B:$B,0))="Pre-Splitting","S"))),"")</f>
        <v>P</v>
      </c>
      <c r="D358" s="14">
        <f t="shared" si="33"/>
        <v>772</v>
      </c>
      <c r="E358" s="4" t="str">
        <f>IFERROR(INDEX('LEV R&amp;D'!$D:$D,MATCH(MEDIÇÃO!D358,'LEV R&amp;D'!$A:$A,0))-INDEX('PROJETO PERFURAÇÃO'!$AH:$AH,MATCH(MEDIÇÃO!D358,'PROJETO PERFURAÇÃO'!$B:$B,0)),"")</f>
        <v/>
      </c>
      <c r="F358" s="17">
        <f>IFERROR(INDEX('PROJETO PERFURAÇÃO'!$AN:$AN,MATCH(MEDIÇÃO!D358,'PROJETO PERFURAÇÃO'!$B:$B,0)),"")</f>
        <v>0</v>
      </c>
      <c r="G358" s="3"/>
      <c r="H358" s="3"/>
      <c r="I358" s="3" t="str">
        <f>IFERROR(ROUND(INDEX('PROJETO PERFURAÇÃO'!$AB:$AB,MATCH(MEDIÇÃO!K358,'PROJETO PERFURAÇÃO'!$B:$B,0)),1)&amp;"''","")</f>
        <v>5''</v>
      </c>
      <c r="J358" s="3" t="str">
        <f>IFERROR(IF(INDEX('PROJETO PERFURAÇÃO'!$P:$P,MATCH(MEDIÇÃO!K358,'PROJETO PERFURAÇÃO'!$B:$B,0))="Production","P",IF(INDEX('PROJETO PERFURAÇÃO'!$P:$P,MATCH(MEDIÇÃO!K358,'PROJETO PERFURAÇÃO'!$B:$B,0))="Buffer","B",IF(INDEX('PROJETO PERFURAÇÃO'!$P:$P,MATCH(MEDIÇÃO!K358,'PROJETO PERFURAÇÃO'!$B:$B,0))="Pre-Splitting","S"))),"")</f>
        <v>P</v>
      </c>
      <c r="K358" s="14">
        <f t="shared" si="34"/>
        <v>795</v>
      </c>
      <c r="L358" s="4" t="str">
        <f>IFERROR(INDEX('LEV R&amp;D'!$D:$D,MATCH(MEDIÇÃO!K358,'LEV R&amp;D'!$A:$A,0))-INDEX('PROJETO PERFURAÇÃO'!$AH:$AH,MATCH(MEDIÇÃO!K358,'PROJETO PERFURAÇÃO'!$B:$B,0)),"")</f>
        <v/>
      </c>
      <c r="M358" s="17">
        <f>IFERROR(INDEX('PROJETO PERFURAÇÃO'!$AN:$AN,MATCH(MEDIÇÃO!K358,'PROJETO PERFURAÇÃO'!$B:$B,0)),"")</f>
        <v>0</v>
      </c>
      <c r="N358" s="3"/>
      <c r="O358" s="3"/>
      <c r="P358" s="3" t="str">
        <f>IFERROR(ROUND(INDEX('PROJETO PERFURAÇÃO'!$AB:$AB,MATCH(MEDIÇÃO!R358,'PROJETO PERFURAÇÃO'!$B:$B,0)),1)&amp;"''","")</f>
        <v>5''</v>
      </c>
      <c r="Q358" s="3" t="str">
        <f>IFERROR(IF(INDEX('PROJETO PERFURAÇÃO'!$P:$P,MATCH(MEDIÇÃO!R358,'PROJETO PERFURAÇÃO'!$B:$B,0))="Production","P",IF(INDEX('PROJETO PERFURAÇÃO'!$P:$P,MATCH(MEDIÇÃO!R358,'PROJETO PERFURAÇÃO'!$B:$B,0))="Buffer","B",IF(INDEX('PROJETO PERFURAÇÃO'!$P:$P,MATCH(MEDIÇÃO!R358,'PROJETO PERFURAÇÃO'!$B:$B,0))="Pre-Splitting","S"))),"")</f>
        <v>P</v>
      </c>
      <c r="R358" s="14">
        <f t="shared" si="35"/>
        <v>818</v>
      </c>
      <c r="S358" s="4" t="str">
        <f>IFERROR(INDEX('LEV R&amp;D'!$D:$D,MATCH(MEDIÇÃO!R358,'LEV R&amp;D'!$A:$A,0))-INDEX('PROJETO PERFURAÇÃO'!$AH:$AH,MATCH(MEDIÇÃO!R358,'PROJETO PERFURAÇÃO'!$B:$B,0)),"")</f>
        <v/>
      </c>
      <c r="T358" s="17">
        <f>IFERROR(INDEX('PROJETO PERFURAÇÃO'!$AN:$AN,MATCH(MEDIÇÃO!R358,'PROJETO PERFURAÇÃO'!$B:$B,0)),"")</f>
        <v>0</v>
      </c>
      <c r="U358" s="3"/>
      <c r="V358" s="3"/>
    </row>
    <row r="359" spans="2:22" ht="45" customHeight="1">
      <c r="B359" s="3" t="str">
        <f>IFERROR(ROUND(INDEX('PROJETO PERFURAÇÃO'!$AB:$AB,MATCH(MEDIÇÃO!D359,'PROJETO PERFURAÇÃO'!$B:$B,0)),1)&amp;"''","")</f>
        <v>5''</v>
      </c>
      <c r="C359" s="3" t="str">
        <f>IFERROR(IF(INDEX('PROJETO PERFURAÇÃO'!$P:$P,MATCH(MEDIÇÃO!D359,'PROJETO PERFURAÇÃO'!$B:$B,0))="Production","P",IF(INDEX('PROJETO PERFURAÇÃO'!$P:$P,MATCH(MEDIÇÃO!D359,'PROJETO PERFURAÇÃO'!$B:$B,0))="Buffer","B",IF(INDEX('PROJETO PERFURAÇÃO'!$P:$P,MATCH(MEDIÇÃO!D359,'PROJETO PERFURAÇÃO'!$B:$B,0))="Pre-Splitting","S"))),"")</f>
        <v>P</v>
      </c>
      <c r="D359" s="14">
        <f t="shared" si="33"/>
        <v>773</v>
      </c>
      <c r="E359" s="4" t="str">
        <f>IFERROR(INDEX('LEV R&amp;D'!$D:$D,MATCH(MEDIÇÃO!D359,'LEV R&amp;D'!$A:$A,0))-INDEX('PROJETO PERFURAÇÃO'!$AH:$AH,MATCH(MEDIÇÃO!D359,'PROJETO PERFURAÇÃO'!$B:$B,0)),"")</f>
        <v/>
      </c>
      <c r="F359" s="17">
        <f>IFERROR(INDEX('PROJETO PERFURAÇÃO'!$AN:$AN,MATCH(MEDIÇÃO!D359,'PROJETO PERFURAÇÃO'!$B:$B,0)),"")</f>
        <v>0</v>
      </c>
      <c r="G359" s="3"/>
      <c r="H359" s="3"/>
      <c r="I359" s="3" t="str">
        <f>IFERROR(ROUND(INDEX('PROJETO PERFURAÇÃO'!$AB:$AB,MATCH(MEDIÇÃO!K359,'PROJETO PERFURAÇÃO'!$B:$B,0)),1)&amp;"''","")</f>
        <v>5''</v>
      </c>
      <c r="J359" s="3" t="str">
        <f>IFERROR(IF(INDEX('PROJETO PERFURAÇÃO'!$P:$P,MATCH(MEDIÇÃO!K359,'PROJETO PERFURAÇÃO'!$B:$B,0))="Production","P",IF(INDEX('PROJETO PERFURAÇÃO'!$P:$P,MATCH(MEDIÇÃO!K359,'PROJETO PERFURAÇÃO'!$B:$B,0))="Buffer","B",IF(INDEX('PROJETO PERFURAÇÃO'!$P:$P,MATCH(MEDIÇÃO!K359,'PROJETO PERFURAÇÃO'!$B:$B,0))="Pre-Splitting","S"))),"")</f>
        <v>P</v>
      </c>
      <c r="K359" s="14">
        <f t="shared" si="34"/>
        <v>796</v>
      </c>
      <c r="L359" s="4" t="str">
        <f>IFERROR(INDEX('LEV R&amp;D'!$D:$D,MATCH(MEDIÇÃO!K359,'LEV R&amp;D'!$A:$A,0))-INDEX('PROJETO PERFURAÇÃO'!$AH:$AH,MATCH(MEDIÇÃO!K359,'PROJETO PERFURAÇÃO'!$B:$B,0)),"")</f>
        <v/>
      </c>
      <c r="M359" s="17">
        <f>IFERROR(INDEX('PROJETO PERFURAÇÃO'!$AN:$AN,MATCH(MEDIÇÃO!K359,'PROJETO PERFURAÇÃO'!$B:$B,0)),"")</f>
        <v>0</v>
      </c>
      <c r="N359" s="3"/>
      <c r="O359" s="3"/>
      <c r="P359" s="3" t="str">
        <f>IFERROR(ROUND(INDEX('PROJETO PERFURAÇÃO'!$AB:$AB,MATCH(MEDIÇÃO!R359,'PROJETO PERFURAÇÃO'!$B:$B,0)),1)&amp;"''","")</f>
        <v>5''</v>
      </c>
      <c r="Q359" s="3" t="str">
        <f>IFERROR(IF(INDEX('PROJETO PERFURAÇÃO'!$P:$P,MATCH(MEDIÇÃO!R359,'PROJETO PERFURAÇÃO'!$B:$B,0))="Production","P",IF(INDEX('PROJETO PERFURAÇÃO'!$P:$P,MATCH(MEDIÇÃO!R359,'PROJETO PERFURAÇÃO'!$B:$B,0))="Buffer","B",IF(INDEX('PROJETO PERFURAÇÃO'!$P:$P,MATCH(MEDIÇÃO!R359,'PROJETO PERFURAÇÃO'!$B:$B,0))="Pre-Splitting","S"))),"")</f>
        <v>P</v>
      </c>
      <c r="R359" s="14">
        <f t="shared" si="35"/>
        <v>819</v>
      </c>
      <c r="S359" s="4" t="str">
        <f>IFERROR(INDEX('LEV R&amp;D'!$D:$D,MATCH(MEDIÇÃO!R359,'LEV R&amp;D'!$A:$A,0))-INDEX('PROJETO PERFURAÇÃO'!$AH:$AH,MATCH(MEDIÇÃO!R359,'PROJETO PERFURAÇÃO'!$B:$B,0)),"")</f>
        <v/>
      </c>
      <c r="T359" s="17">
        <f>IFERROR(INDEX('PROJETO PERFURAÇÃO'!$AN:$AN,MATCH(MEDIÇÃO!R359,'PROJETO PERFURAÇÃO'!$B:$B,0)),"")</f>
        <v>0</v>
      </c>
      <c r="U359" s="3"/>
      <c r="V359" s="3"/>
    </row>
    <row r="360" spans="2:22" ht="45" customHeight="1">
      <c r="B360" s="3" t="str">
        <f>IFERROR(ROUND(INDEX('PROJETO PERFURAÇÃO'!$AB:$AB,MATCH(MEDIÇÃO!D360,'PROJETO PERFURAÇÃO'!$B:$B,0)),1)&amp;"''","")</f>
        <v>5''</v>
      </c>
      <c r="C360" s="3" t="str">
        <f>IFERROR(IF(INDEX('PROJETO PERFURAÇÃO'!$P:$P,MATCH(MEDIÇÃO!D360,'PROJETO PERFURAÇÃO'!$B:$B,0))="Production","P",IF(INDEX('PROJETO PERFURAÇÃO'!$P:$P,MATCH(MEDIÇÃO!D360,'PROJETO PERFURAÇÃO'!$B:$B,0))="Buffer","B",IF(INDEX('PROJETO PERFURAÇÃO'!$P:$P,MATCH(MEDIÇÃO!D360,'PROJETO PERFURAÇÃO'!$B:$B,0))="Pre-Splitting","S"))),"")</f>
        <v>P</v>
      </c>
      <c r="D360" s="14">
        <f t="shared" si="33"/>
        <v>774</v>
      </c>
      <c r="E360" s="4" t="str">
        <f>IFERROR(INDEX('LEV R&amp;D'!$D:$D,MATCH(MEDIÇÃO!D360,'LEV R&amp;D'!$A:$A,0))-INDEX('PROJETO PERFURAÇÃO'!$AH:$AH,MATCH(MEDIÇÃO!D360,'PROJETO PERFURAÇÃO'!$B:$B,0)),"")</f>
        <v/>
      </c>
      <c r="F360" s="17">
        <f>IFERROR(INDEX('PROJETO PERFURAÇÃO'!$AN:$AN,MATCH(MEDIÇÃO!D360,'PROJETO PERFURAÇÃO'!$B:$B,0)),"")</f>
        <v>0</v>
      </c>
      <c r="G360" s="3"/>
      <c r="H360" s="3"/>
      <c r="I360" s="3" t="str">
        <f>IFERROR(ROUND(INDEX('PROJETO PERFURAÇÃO'!$AB:$AB,MATCH(MEDIÇÃO!K360,'PROJETO PERFURAÇÃO'!$B:$B,0)),1)&amp;"''","")</f>
        <v>5''</v>
      </c>
      <c r="J360" s="3" t="str">
        <f>IFERROR(IF(INDEX('PROJETO PERFURAÇÃO'!$P:$P,MATCH(MEDIÇÃO!K360,'PROJETO PERFURAÇÃO'!$B:$B,0))="Production","P",IF(INDEX('PROJETO PERFURAÇÃO'!$P:$P,MATCH(MEDIÇÃO!K360,'PROJETO PERFURAÇÃO'!$B:$B,0))="Buffer","B",IF(INDEX('PROJETO PERFURAÇÃO'!$P:$P,MATCH(MEDIÇÃO!K360,'PROJETO PERFURAÇÃO'!$B:$B,0))="Pre-Splitting","S"))),"")</f>
        <v>P</v>
      </c>
      <c r="K360" s="14">
        <f t="shared" si="34"/>
        <v>797</v>
      </c>
      <c r="L360" s="4" t="str">
        <f>IFERROR(INDEX('LEV R&amp;D'!$D:$D,MATCH(MEDIÇÃO!K360,'LEV R&amp;D'!$A:$A,0))-INDEX('PROJETO PERFURAÇÃO'!$AH:$AH,MATCH(MEDIÇÃO!K360,'PROJETO PERFURAÇÃO'!$B:$B,0)),"")</f>
        <v/>
      </c>
      <c r="M360" s="17">
        <f>IFERROR(INDEX('PROJETO PERFURAÇÃO'!$AN:$AN,MATCH(MEDIÇÃO!K360,'PROJETO PERFURAÇÃO'!$B:$B,0)),"")</f>
        <v>0</v>
      </c>
      <c r="N360" s="3"/>
      <c r="O360" s="3"/>
      <c r="P360" s="3" t="str">
        <f>IFERROR(ROUND(INDEX('PROJETO PERFURAÇÃO'!$AB:$AB,MATCH(MEDIÇÃO!R360,'PROJETO PERFURAÇÃO'!$B:$B,0)),1)&amp;"''","")</f>
        <v>5''</v>
      </c>
      <c r="Q360" s="3" t="str">
        <f>IFERROR(IF(INDEX('PROJETO PERFURAÇÃO'!$P:$P,MATCH(MEDIÇÃO!R360,'PROJETO PERFURAÇÃO'!$B:$B,0))="Production","P",IF(INDEX('PROJETO PERFURAÇÃO'!$P:$P,MATCH(MEDIÇÃO!R360,'PROJETO PERFURAÇÃO'!$B:$B,0))="Buffer","B",IF(INDEX('PROJETO PERFURAÇÃO'!$P:$P,MATCH(MEDIÇÃO!R360,'PROJETO PERFURAÇÃO'!$B:$B,0))="Pre-Splitting","S"))),"")</f>
        <v>P</v>
      </c>
      <c r="R360" s="14">
        <f t="shared" si="35"/>
        <v>820</v>
      </c>
      <c r="S360" s="4" t="str">
        <f>IFERROR(INDEX('LEV R&amp;D'!$D:$D,MATCH(MEDIÇÃO!R360,'LEV R&amp;D'!$A:$A,0))-INDEX('PROJETO PERFURAÇÃO'!$AH:$AH,MATCH(MEDIÇÃO!R360,'PROJETO PERFURAÇÃO'!$B:$B,0)),"")</f>
        <v/>
      </c>
      <c r="T360" s="17">
        <f>IFERROR(INDEX('PROJETO PERFURAÇÃO'!$AN:$AN,MATCH(MEDIÇÃO!R360,'PROJETO PERFURAÇÃO'!$B:$B,0)),"")</f>
        <v>0</v>
      </c>
      <c r="U360" s="3"/>
      <c r="V360" s="3"/>
    </row>
    <row r="361" spans="2:22" ht="45" customHeight="1">
      <c r="B361" s="3" t="str">
        <f>IFERROR(ROUND(INDEX('PROJETO PERFURAÇÃO'!$AB:$AB,MATCH(MEDIÇÃO!D361,'PROJETO PERFURAÇÃO'!$B:$B,0)),1)&amp;"''","")</f>
        <v>5''</v>
      </c>
      <c r="C361" s="3" t="str">
        <f>IFERROR(IF(INDEX('PROJETO PERFURAÇÃO'!$P:$P,MATCH(MEDIÇÃO!D361,'PROJETO PERFURAÇÃO'!$B:$B,0))="Production","P",IF(INDEX('PROJETO PERFURAÇÃO'!$P:$P,MATCH(MEDIÇÃO!D361,'PROJETO PERFURAÇÃO'!$B:$B,0))="Buffer","B",IF(INDEX('PROJETO PERFURAÇÃO'!$P:$P,MATCH(MEDIÇÃO!D361,'PROJETO PERFURAÇÃO'!$B:$B,0))="Pre-Splitting","S"))),"")</f>
        <v>P</v>
      </c>
      <c r="D361" s="14">
        <f t="shared" si="33"/>
        <v>775</v>
      </c>
      <c r="E361" s="4" t="str">
        <f>IFERROR(INDEX('LEV R&amp;D'!$D:$D,MATCH(MEDIÇÃO!D361,'LEV R&amp;D'!$A:$A,0))-INDEX('PROJETO PERFURAÇÃO'!$AH:$AH,MATCH(MEDIÇÃO!D361,'PROJETO PERFURAÇÃO'!$B:$B,0)),"")</f>
        <v/>
      </c>
      <c r="F361" s="17">
        <f>IFERROR(INDEX('PROJETO PERFURAÇÃO'!$AN:$AN,MATCH(MEDIÇÃO!D361,'PROJETO PERFURAÇÃO'!$B:$B,0)),"")</f>
        <v>0</v>
      </c>
      <c r="G361" s="3"/>
      <c r="H361" s="3"/>
      <c r="I361" s="3" t="str">
        <f>IFERROR(ROUND(INDEX('PROJETO PERFURAÇÃO'!$AB:$AB,MATCH(MEDIÇÃO!K361,'PROJETO PERFURAÇÃO'!$B:$B,0)),1)&amp;"''","")</f>
        <v>5''</v>
      </c>
      <c r="J361" s="3" t="str">
        <f>IFERROR(IF(INDEX('PROJETO PERFURAÇÃO'!$P:$P,MATCH(MEDIÇÃO!K361,'PROJETO PERFURAÇÃO'!$B:$B,0))="Production","P",IF(INDEX('PROJETO PERFURAÇÃO'!$P:$P,MATCH(MEDIÇÃO!K361,'PROJETO PERFURAÇÃO'!$B:$B,0))="Buffer","B",IF(INDEX('PROJETO PERFURAÇÃO'!$P:$P,MATCH(MEDIÇÃO!K361,'PROJETO PERFURAÇÃO'!$B:$B,0))="Pre-Splitting","S"))),"")</f>
        <v>P</v>
      </c>
      <c r="K361" s="14">
        <f t="shared" si="34"/>
        <v>798</v>
      </c>
      <c r="L361" s="4" t="str">
        <f>IFERROR(INDEX('LEV R&amp;D'!$D:$D,MATCH(MEDIÇÃO!K361,'LEV R&amp;D'!$A:$A,0))-INDEX('PROJETO PERFURAÇÃO'!$AH:$AH,MATCH(MEDIÇÃO!K361,'PROJETO PERFURAÇÃO'!$B:$B,0)),"")</f>
        <v/>
      </c>
      <c r="M361" s="17">
        <f>IFERROR(INDEX('PROJETO PERFURAÇÃO'!$AN:$AN,MATCH(MEDIÇÃO!K361,'PROJETO PERFURAÇÃO'!$B:$B,0)),"")</f>
        <v>0</v>
      </c>
      <c r="N361" s="3"/>
      <c r="O361" s="3"/>
      <c r="P361" s="3" t="str">
        <f>IFERROR(ROUND(INDEX('PROJETO PERFURAÇÃO'!$AB:$AB,MATCH(MEDIÇÃO!R361,'PROJETO PERFURAÇÃO'!$B:$B,0)),1)&amp;"''","")</f>
        <v>5''</v>
      </c>
      <c r="Q361" s="3" t="str">
        <f>IFERROR(IF(INDEX('PROJETO PERFURAÇÃO'!$P:$P,MATCH(MEDIÇÃO!R361,'PROJETO PERFURAÇÃO'!$B:$B,0))="Production","P",IF(INDEX('PROJETO PERFURAÇÃO'!$P:$P,MATCH(MEDIÇÃO!R361,'PROJETO PERFURAÇÃO'!$B:$B,0))="Buffer","B",IF(INDEX('PROJETO PERFURAÇÃO'!$P:$P,MATCH(MEDIÇÃO!R361,'PROJETO PERFURAÇÃO'!$B:$B,0))="Pre-Splitting","S"))),"")</f>
        <v>P</v>
      </c>
      <c r="R361" s="14">
        <f t="shared" si="35"/>
        <v>821</v>
      </c>
      <c r="S361" s="4" t="str">
        <f>IFERROR(INDEX('LEV R&amp;D'!$D:$D,MATCH(MEDIÇÃO!R361,'LEV R&amp;D'!$A:$A,0))-INDEX('PROJETO PERFURAÇÃO'!$AH:$AH,MATCH(MEDIÇÃO!R361,'PROJETO PERFURAÇÃO'!$B:$B,0)),"")</f>
        <v/>
      </c>
      <c r="T361" s="17">
        <f>IFERROR(INDEX('PROJETO PERFURAÇÃO'!$AN:$AN,MATCH(MEDIÇÃO!R361,'PROJETO PERFURAÇÃO'!$B:$B,0)),"")</f>
        <v>0</v>
      </c>
      <c r="U361" s="3"/>
      <c r="V361" s="3"/>
    </row>
    <row r="362" spans="2:22" ht="45" customHeight="1">
      <c r="B362" s="3" t="str">
        <f>IFERROR(ROUND(INDEX('PROJETO PERFURAÇÃO'!$AB:$AB,MATCH(MEDIÇÃO!D362,'PROJETO PERFURAÇÃO'!$B:$B,0)),1)&amp;"''","")</f>
        <v>5''</v>
      </c>
      <c r="C362" s="3" t="str">
        <f>IFERROR(IF(INDEX('PROJETO PERFURAÇÃO'!$P:$P,MATCH(MEDIÇÃO!D362,'PROJETO PERFURAÇÃO'!$B:$B,0))="Production","P",IF(INDEX('PROJETO PERFURAÇÃO'!$P:$P,MATCH(MEDIÇÃO!D362,'PROJETO PERFURAÇÃO'!$B:$B,0))="Buffer","B",IF(INDEX('PROJETO PERFURAÇÃO'!$P:$P,MATCH(MEDIÇÃO!D362,'PROJETO PERFURAÇÃO'!$B:$B,0))="Pre-Splitting","S"))),"")</f>
        <v>P</v>
      </c>
      <c r="D362" s="14">
        <f t="shared" si="33"/>
        <v>776</v>
      </c>
      <c r="E362" s="4" t="str">
        <f>IFERROR(INDEX('LEV R&amp;D'!$D:$D,MATCH(MEDIÇÃO!D362,'LEV R&amp;D'!$A:$A,0))-INDEX('PROJETO PERFURAÇÃO'!$AH:$AH,MATCH(MEDIÇÃO!D362,'PROJETO PERFURAÇÃO'!$B:$B,0)),"")</f>
        <v/>
      </c>
      <c r="F362" s="17">
        <f>IFERROR(INDEX('PROJETO PERFURAÇÃO'!$AN:$AN,MATCH(MEDIÇÃO!D362,'PROJETO PERFURAÇÃO'!$B:$B,0)),"")</f>
        <v>0</v>
      </c>
      <c r="G362" s="3"/>
      <c r="H362" s="3"/>
      <c r="I362" s="3" t="str">
        <f>IFERROR(ROUND(INDEX('PROJETO PERFURAÇÃO'!$AB:$AB,MATCH(MEDIÇÃO!K362,'PROJETO PERFURAÇÃO'!$B:$B,0)),1)&amp;"''","")</f>
        <v>5''</v>
      </c>
      <c r="J362" s="3" t="str">
        <f>IFERROR(IF(INDEX('PROJETO PERFURAÇÃO'!$P:$P,MATCH(MEDIÇÃO!K362,'PROJETO PERFURAÇÃO'!$B:$B,0))="Production","P",IF(INDEX('PROJETO PERFURAÇÃO'!$P:$P,MATCH(MEDIÇÃO!K362,'PROJETO PERFURAÇÃO'!$B:$B,0))="Buffer","B",IF(INDEX('PROJETO PERFURAÇÃO'!$P:$P,MATCH(MEDIÇÃO!K362,'PROJETO PERFURAÇÃO'!$B:$B,0))="Pre-Splitting","S"))),"")</f>
        <v>P</v>
      </c>
      <c r="K362" s="14">
        <f t="shared" si="34"/>
        <v>799</v>
      </c>
      <c r="L362" s="4" t="str">
        <f>IFERROR(INDEX('LEV R&amp;D'!$D:$D,MATCH(MEDIÇÃO!K362,'LEV R&amp;D'!$A:$A,0))-INDEX('PROJETO PERFURAÇÃO'!$AH:$AH,MATCH(MEDIÇÃO!K362,'PROJETO PERFURAÇÃO'!$B:$B,0)),"")</f>
        <v/>
      </c>
      <c r="M362" s="17">
        <f>IFERROR(INDEX('PROJETO PERFURAÇÃO'!$AN:$AN,MATCH(MEDIÇÃO!K362,'PROJETO PERFURAÇÃO'!$B:$B,0)),"")</f>
        <v>0</v>
      </c>
      <c r="N362" s="3"/>
      <c r="O362" s="3"/>
      <c r="P362" s="3" t="str">
        <f>IFERROR(ROUND(INDEX('PROJETO PERFURAÇÃO'!$AB:$AB,MATCH(MEDIÇÃO!R362,'PROJETO PERFURAÇÃO'!$B:$B,0)),1)&amp;"''","")</f>
        <v>5''</v>
      </c>
      <c r="Q362" s="3" t="str">
        <f>IFERROR(IF(INDEX('PROJETO PERFURAÇÃO'!$P:$P,MATCH(MEDIÇÃO!R362,'PROJETO PERFURAÇÃO'!$B:$B,0))="Production","P",IF(INDEX('PROJETO PERFURAÇÃO'!$P:$P,MATCH(MEDIÇÃO!R362,'PROJETO PERFURAÇÃO'!$B:$B,0))="Buffer","B",IF(INDEX('PROJETO PERFURAÇÃO'!$P:$P,MATCH(MEDIÇÃO!R362,'PROJETO PERFURAÇÃO'!$B:$B,0))="Pre-Splitting","S"))),"")</f>
        <v>P</v>
      </c>
      <c r="R362" s="14">
        <f t="shared" si="35"/>
        <v>822</v>
      </c>
      <c r="S362" s="4" t="str">
        <f>IFERROR(INDEX('LEV R&amp;D'!$D:$D,MATCH(MEDIÇÃO!R362,'LEV R&amp;D'!$A:$A,0))-INDEX('PROJETO PERFURAÇÃO'!$AH:$AH,MATCH(MEDIÇÃO!R362,'PROJETO PERFURAÇÃO'!$B:$B,0)),"")</f>
        <v/>
      </c>
      <c r="T362" s="17">
        <f>IFERROR(INDEX('PROJETO PERFURAÇÃO'!$AN:$AN,MATCH(MEDIÇÃO!R362,'PROJETO PERFURAÇÃO'!$B:$B,0)),"")</f>
        <v>0</v>
      </c>
      <c r="U362" s="3"/>
      <c r="V362" s="3"/>
    </row>
    <row r="363" spans="2:22" ht="45" customHeight="1">
      <c r="B363" s="3" t="str">
        <f>IFERROR(ROUND(INDEX('PROJETO PERFURAÇÃO'!$AB:$AB,MATCH(MEDIÇÃO!D363,'PROJETO PERFURAÇÃO'!$B:$B,0)),1)&amp;"''","")</f>
        <v>5''</v>
      </c>
      <c r="C363" s="3" t="str">
        <f>IFERROR(IF(INDEX('PROJETO PERFURAÇÃO'!$P:$P,MATCH(MEDIÇÃO!D363,'PROJETO PERFURAÇÃO'!$B:$B,0))="Production","P",IF(INDEX('PROJETO PERFURAÇÃO'!$P:$P,MATCH(MEDIÇÃO!D363,'PROJETO PERFURAÇÃO'!$B:$B,0))="Buffer","B",IF(INDEX('PROJETO PERFURAÇÃO'!$P:$P,MATCH(MEDIÇÃO!D363,'PROJETO PERFURAÇÃO'!$B:$B,0))="Pre-Splitting","S"))),"")</f>
        <v>P</v>
      </c>
      <c r="D363" s="14">
        <f t="shared" si="33"/>
        <v>777</v>
      </c>
      <c r="E363" s="4" t="str">
        <f>IFERROR(INDEX('LEV R&amp;D'!$D:$D,MATCH(MEDIÇÃO!D363,'LEV R&amp;D'!$A:$A,0))-INDEX('PROJETO PERFURAÇÃO'!$AH:$AH,MATCH(MEDIÇÃO!D363,'PROJETO PERFURAÇÃO'!$B:$B,0)),"")</f>
        <v/>
      </c>
      <c r="F363" s="17">
        <f>IFERROR(INDEX('PROJETO PERFURAÇÃO'!$AN:$AN,MATCH(MEDIÇÃO!D363,'PROJETO PERFURAÇÃO'!$B:$B,0)),"")</f>
        <v>0</v>
      </c>
      <c r="G363" s="3"/>
      <c r="H363" s="3"/>
      <c r="I363" s="3" t="str">
        <f>IFERROR(ROUND(INDEX('PROJETO PERFURAÇÃO'!$AB:$AB,MATCH(MEDIÇÃO!K363,'PROJETO PERFURAÇÃO'!$B:$B,0)),1)&amp;"''","")</f>
        <v>5''</v>
      </c>
      <c r="J363" s="3" t="str">
        <f>IFERROR(IF(INDEX('PROJETO PERFURAÇÃO'!$P:$P,MATCH(MEDIÇÃO!K363,'PROJETO PERFURAÇÃO'!$B:$B,0))="Production","P",IF(INDEX('PROJETO PERFURAÇÃO'!$P:$P,MATCH(MEDIÇÃO!K363,'PROJETO PERFURAÇÃO'!$B:$B,0))="Buffer","B",IF(INDEX('PROJETO PERFURAÇÃO'!$P:$P,MATCH(MEDIÇÃO!K363,'PROJETO PERFURAÇÃO'!$B:$B,0))="Pre-Splitting","S"))),"")</f>
        <v>P</v>
      </c>
      <c r="K363" s="14">
        <f t="shared" si="34"/>
        <v>800</v>
      </c>
      <c r="L363" s="4" t="str">
        <f>IFERROR(INDEX('LEV R&amp;D'!$D:$D,MATCH(MEDIÇÃO!K363,'LEV R&amp;D'!$A:$A,0))-INDEX('PROJETO PERFURAÇÃO'!$AH:$AH,MATCH(MEDIÇÃO!K363,'PROJETO PERFURAÇÃO'!$B:$B,0)),"")</f>
        <v/>
      </c>
      <c r="M363" s="17">
        <f>IFERROR(INDEX('PROJETO PERFURAÇÃO'!$AN:$AN,MATCH(MEDIÇÃO!K363,'PROJETO PERFURAÇÃO'!$B:$B,0)),"")</f>
        <v>0</v>
      </c>
      <c r="N363" s="3"/>
      <c r="O363" s="3"/>
      <c r="P363" s="3" t="str">
        <f>IFERROR(ROUND(INDEX('PROJETO PERFURAÇÃO'!$AB:$AB,MATCH(MEDIÇÃO!R363,'PROJETO PERFURAÇÃO'!$B:$B,0)),1)&amp;"''","")</f>
        <v>5''</v>
      </c>
      <c r="Q363" s="3" t="str">
        <f>IFERROR(IF(INDEX('PROJETO PERFURAÇÃO'!$P:$P,MATCH(MEDIÇÃO!R363,'PROJETO PERFURAÇÃO'!$B:$B,0))="Production","P",IF(INDEX('PROJETO PERFURAÇÃO'!$P:$P,MATCH(MEDIÇÃO!R363,'PROJETO PERFURAÇÃO'!$B:$B,0))="Buffer","B",IF(INDEX('PROJETO PERFURAÇÃO'!$P:$P,MATCH(MEDIÇÃO!R363,'PROJETO PERFURAÇÃO'!$B:$B,0))="Pre-Splitting","S"))),"")</f>
        <v>P</v>
      </c>
      <c r="R363" s="14">
        <f t="shared" si="35"/>
        <v>823</v>
      </c>
      <c r="S363" s="4" t="str">
        <f>IFERROR(INDEX('LEV R&amp;D'!$D:$D,MATCH(MEDIÇÃO!R363,'LEV R&amp;D'!$A:$A,0))-INDEX('PROJETO PERFURAÇÃO'!$AH:$AH,MATCH(MEDIÇÃO!R363,'PROJETO PERFURAÇÃO'!$B:$B,0)),"")</f>
        <v/>
      </c>
      <c r="T363" s="17">
        <f>IFERROR(INDEX('PROJETO PERFURAÇÃO'!$AN:$AN,MATCH(MEDIÇÃO!R363,'PROJETO PERFURAÇÃO'!$B:$B,0)),"")</f>
        <v>0</v>
      </c>
      <c r="U363" s="3"/>
      <c r="V363" s="3"/>
    </row>
    <row r="364" spans="2:22" ht="45" customHeight="1">
      <c r="B364" s="3" t="str">
        <f>IFERROR(ROUND(INDEX('PROJETO PERFURAÇÃO'!$AB:$AB,MATCH(MEDIÇÃO!D364,'PROJETO PERFURAÇÃO'!$B:$B,0)),1)&amp;"''","")</f>
        <v>5''</v>
      </c>
      <c r="C364" s="3" t="str">
        <f>IFERROR(IF(INDEX('PROJETO PERFURAÇÃO'!$P:$P,MATCH(MEDIÇÃO!D364,'PROJETO PERFURAÇÃO'!$B:$B,0))="Production","P",IF(INDEX('PROJETO PERFURAÇÃO'!$P:$P,MATCH(MEDIÇÃO!D364,'PROJETO PERFURAÇÃO'!$B:$B,0))="Buffer","B",IF(INDEX('PROJETO PERFURAÇÃO'!$P:$P,MATCH(MEDIÇÃO!D364,'PROJETO PERFURAÇÃO'!$B:$B,0))="Pre-Splitting","S"))),"")</f>
        <v>P</v>
      </c>
      <c r="D364" s="14">
        <f t="shared" si="33"/>
        <v>778</v>
      </c>
      <c r="E364" s="4" t="str">
        <f>IFERROR(INDEX('LEV R&amp;D'!$D:$D,MATCH(MEDIÇÃO!D364,'LEV R&amp;D'!$A:$A,0))-INDEX('PROJETO PERFURAÇÃO'!$AH:$AH,MATCH(MEDIÇÃO!D364,'PROJETO PERFURAÇÃO'!$B:$B,0)),"")</f>
        <v/>
      </c>
      <c r="F364" s="17">
        <f>IFERROR(INDEX('PROJETO PERFURAÇÃO'!$AN:$AN,MATCH(MEDIÇÃO!D364,'PROJETO PERFURAÇÃO'!$B:$B,0)),"")</f>
        <v>0</v>
      </c>
      <c r="G364" s="3"/>
      <c r="H364" s="3"/>
      <c r="I364" s="3" t="str">
        <f>IFERROR(ROUND(INDEX('PROJETO PERFURAÇÃO'!$AB:$AB,MATCH(MEDIÇÃO!K364,'PROJETO PERFURAÇÃO'!$B:$B,0)),1)&amp;"''","")</f>
        <v>5''</v>
      </c>
      <c r="J364" s="3" t="str">
        <f>IFERROR(IF(INDEX('PROJETO PERFURAÇÃO'!$P:$P,MATCH(MEDIÇÃO!K364,'PROJETO PERFURAÇÃO'!$B:$B,0))="Production","P",IF(INDEX('PROJETO PERFURAÇÃO'!$P:$P,MATCH(MEDIÇÃO!K364,'PROJETO PERFURAÇÃO'!$B:$B,0))="Buffer","B",IF(INDEX('PROJETO PERFURAÇÃO'!$P:$P,MATCH(MEDIÇÃO!K364,'PROJETO PERFURAÇÃO'!$B:$B,0))="Pre-Splitting","S"))),"")</f>
        <v>P</v>
      </c>
      <c r="K364" s="14">
        <f t="shared" si="34"/>
        <v>801</v>
      </c>
      <c r="L364" s="4" t="str">
        <f>IFERROR(INDEX('LEV R&amp;D'!$D:$D,MATCH(MEDIÇÃO!K364,'LEV R&amp;D'!$A:$A,0))-INDEX('PROJETO PERFURAÇÃO'!$AH:$AH,MATCH(MEDIÇÃO!K364,'PROJETO PERFURAÇÃO'!$B:$B,0)),"")</f>
        <v/>
      </c>
      <c r="M364" s="17">
        <f>IFERROR(INDEX('PROJETO PERFURAÇÃO'!$AN:$AN,MATCH(MEDIÇÃO!K364,'PROJETO PERFURAÇÃO'!$B:$B,0)),"")</f>
        <v>0</v>
      </c>
      <c r="N364" s="3"/>
      <c r="O364" s="3"/>
      <c r="P364" s="3" t="str">
        <f>IFERROR(ROUND(INDEX('PROJETO PERFURAÇÃO'!$AB:$AB,MATCH(MEDIÇÃO!R364,'PROJETO PERFURAÇÃO'!$B:$B,0)),1)&amp;"''","")</f>
        <v>5''</v>
      </c>
      <c r="Q364" s="3" t="str">
        <f>IFERROR(IF(INDEX('PROJETO PERFURAÇÃO'!$P:$P,MATCH(MEDIÇÃO!R364,'PROJETO PERFURAÇÃO'!$B:$B,0))="Production","P",IF(INDEX('PROJETO PERFURAÇÃO'!$P:$P,MATCH(MEDIÇÃO!R364,'PROJETO PERFURAÇÃO'!$B:$B,0))="Buffer","B",IF(INDEX('PROJETO PERFURAÇÃO'!$P:$P,MATCH(MEDIÇÃO!R364,'PROJETO PERFURAÇÃO'!$B:$B,0))="Pre-Splitting","S"))),"")</f>
        <v>P</v>
      </c>
      <c r="R364" s="14">
        <f t="shared" si="35"/>
        <v>824</v>
      </c>
      <c r="S364" s="4" t="str">
        <f>IFERROR(INDEX('LEV R&amp;D'!$D:$D,MATCH(MEDIÇÃO!R364,'LEV R&amp;D'!$A:$A,0))-INDEX('PROJETO PERFURAÇÃO'!$AH:$AH,MATCH(MEDIÇÃO!R364,'PROJETO PERFURAÇÃO'!$B:$B,0)),"")</f>
        <v/>
      </c>
      <c r="T364" s="17">
        <f>IFERROR(INDEX('PROJETO PERFURAÇÃO'!$AN:$AN,MATCH(MEDIÇÃO!R364,'PROJETO PERFURAÇÃO'!$B:$B,0)),"")</f>
        <v>0</v>
      </c>
      <c r="U364" s="3"/>
      <c r="V364" s="3"/>
    </row>
    <row r="365" spans="2:22" ht="45" customHeight="1">
      <c r="B365" s="3" t="str">
        <f>IFERROR(ROUND(INDEX('PROJETO PERFURAÇÃO'!$AB:$AB,MATCH(MEDIÇÃO!D365,'PROJETO PERFURAÇÃO'!$B:$B,0)),1)&amp;"''","")</f>
        <v>5''</v>
      </c>
      <c r="C365" s="3" t="str">
        <f>IFERROR(IF(INDEX('PROJETO PERFURAÇÃO'!$P:$P,MATCH(MEDIÇÃO!D365,'PROJETO PERFURAÇÃO'!$B:$B,0))="Production","P",IF(INDEX('PROJETO PERFURAÇÃO'!$P:$P,MATCH(MEDIÇÃO!D365,'PROJETO PERFURAÇÃO'!$B:$B,0))="Buffer","B",IF(INDEX('PROJETO PERFURAÇÃO'!$P:$P,MATCH(MEDIÇÃO!D365,'PROJETO PERFURAÇÃO'!$B:$B,0))="Pre-Splitting","S"))),"")</f>
        <v>P</v>
      </c>
      <c r="D365" s="14">
        <f t="shared" si="33"/>
        <v>779</v>
      </c>
      <c r="E365" s="4" t="str">
        <f>IFERROR(INDEX('LEV R&amp;D'!$D:$D,MATCH(MEDIÇÃO!D365,'LEV R&amp;D'!$A:$A,0))-INDEX('PROJETO PERFURAÇÃO'!$AH:$AH,MATCH(MEDIÇÃO!D365,'PROJETO PERFURAÇÃO'!$B:$B,0)),"")</f>
        <v/>
      </c>
      <c r="F365" s="17">
        <f>IFERROR(INDEX('PROJETO PERFURAÇÃO'!$AN:$AN,MATCH(MEDIÇÃO!D365,'PROJETO PERFURAÇÃO'!$B:$B,0)),"")</f>
        <v>0</v>
      </c>
      <c r="G365" s="3"/>
      <c r="H365" s="3"/>
      <c r="I365" s="3" t="str">
        <f>IFERROR(ROUND(INDEX('PROJETO PERFURAÇÃO'!$AB:$AB,MATCH(MEDIÇÃO!K365,'PROJETO PERFURAÇÃO'!$B:$B,0)),1)&amp;"''","")</f>
        <v>5''</v>
      </c>
      <c r="J365" s="3" t="str">
        <f>IFERROR(IF(INDEX('PROJETO PERFURAÇÃO'!$P:$P,MATCH(MEDIÇÃO!K365,'PROJETO PERFURAÇÃO'!$B:$B,0))="Production","P",IF(INDEX('PROJETO PERFURAÇÃO'!$P:$P,MATCH(MEDIÇÃO!K365,'PROJETO PERFURAÇÃO'!$B:$B,0))="Buffer","B",IF(INDEX('PROJETO PERFURAÇÃO'!$P:$P,MATCH(MEDIÇÃO!K365,'PROJETO PERFURAÇÃO'!$B:$B,0))="Pre-Splitting","S"))),"")</f>
        <v>P</v>
      </c>
      <c r="K365" s="14">
        <f t="shared" si="34"/>
        <v>802</v>
      </c>
      <c r="L365" s="4" t="str">
        <f>IFERROR(INDEX('LEV R&amp;D'!$D:$D,MATCH(MEDIÇÃO!K365,'LEV R&amp;D'!$A:$A,0))-INDEX('PROJETO PERFURAÇÃO'!$AH:$AH,MATCH(MEDIÇÃO!K365,'PROJETO PERFURAÇÃO'!$B:$B,0)),"")</f>
        <v/>
      </c>
      <c r="M365" s="17">
        <f>IFERROR(INDEX('PROJETO PERFURAÇÃO'!$AN:$AN,MATCH(MEDIÇÃO!K365,'PROJETO PERFURAÇÃO'!$B:$B,0)),"")</f>
        <v>0</v>
      </c>
      <c r="N365" s="3"/>
      <c r="O365" s="3"/>
      <c r="P365" s="3" t="str">
        <f>IFERROR(ROUND(INDEX('PROJETO PERFURAÇÃO'!$AB:$AB,MATCH(MEDIÇÃO!R365,'PROJETO PERFURAÇÃO'!$B:$B,0)),1)&amp;"''","")</f>
        <v>5''</v>
      </c>
      <c r="Q365" s="3" t="str">
        <f>IFERROR(IF(INDEX('PROJETO PERFURAÇÃO'!$P:$P,MATCH(MEDIÇÃO!R365,'PROJETO PERFURAÇÃO'!$B:$B,0))="Production","P",IF(INDEX('PROJETO PERFURAÇÃO'!$P:$P,MATCH(MEDIÇÃO!R365,'PROJETO PERFURAÇÃO'!$B:$B,0))="Buffer","B",IF(INDEX('PROJETO PERFURAÇÃO'!$P:$P,MATCH(MEDIÇÃO!R365,'PROJETO PERFURAÇÃO'!$B:$B,0))="Pre-Splitting","S"))),"")</f>
        <v>P</v>
      </c>
      <c r="R365" s="14">
        <f t="shared" si="35"/>
        <v>825</v>
      </c>
      <c r="S365" s="4" t="str">
        <f>IFERROR(INDEX('LEV R&amp;D'!$D:$D,MATCH(MEDIÇÃO!R365,'LEV R&amp;D'!$A:$A,0))-INDEX('PROJETO PERFURAÇÃO'!$AH:$AH,MATCH(MEDIÇÃO!R365,'PROJETO PERFURAÇÃO'!$B:$B,0)),"")</f>
        <v/>
      </c>
      <c r="T365" s="17">
        <f>IFERROR(INDEX('PROJETO PERFURAÇÃO'!$AN:$AN,MATCH(MEDIÇÃO!R365,'PROJETO PERFURAÇÃO'!$B:$B,0)),"")</f>
        <v>0</v>
      </c>
      <c r="U365" s="3"/>
      <c r="V365" s="3"/>
    </row>
    <row r="366" spans="2:22" ht="45" customHeight="1">
      <c r="B366" s="3" t="str">
        <f>IFERROR(ROUND(INDEX('PROJETO PERFURAÇÃO'!$AB:$AB,MATCH(MEDIÇÃO!D366,'PROJETO PERFURAÇÃO'!$B:$B,0)),1)&amp;"''","")</f>
        <v>5''</v>
      </c>
      <c r="C366" s="3" t="str">
        <f>IFERROR(IF(INDEX('PROJETO PERFURAÇÃO'!$P:$P,MATCH(MEDIÇÃO!D366,'PROJETO PERFURAÇÃO'!$B:$B,0))="Production","P",IF(INDEX('PROJETO PERFURAÇÃO'!$P:$P,MATCH(MEDIÇÃO!D366,'PROJETO PERFURAÇÃO'!$B:$B,0))="Buffer","B",IF(INDEX('PROJETO PERFURAÇÃO'!$P:$P,MATCH(MEDIÇÃO!D366,'PROJETO PERFURAÇÃO'!$B:$B,0))="Pre-Splitting","S"))),"")</f>
        <v>P</v>
      </c>
      <c r="D366" s="14">
        <f t="shared" si="33"/>
        <v>780</v>
      </c>
      <c r="E366" s="4" t="str">
        <f>IFERROR(INDEX('LEV R&amp;D'!$D:$D,MATCH(MEDIÇÃO!D366,'LEV R&amp;D'!$A:$A,0))-INDEX('PROJETO PERFURAÇÃO'!$AH:$AH,MATCH(MEDIÇÃO!D366,'PROJETO PERFURAÇÃO'!$B:$B,0)),"")</f>
        <v/>
      </c>
      <c r="F366" s="17">
        <f>IFERROR(INDEX('PROJETO PERFURAÇÃO'!$AN:$AN,MATCH(MEDIÇÃO!D366,'PROJETO PERFURAÇÃO'!$B:$B,0)),"")</f>
        <v>0</v>
      </c>
      <c r="G366" s="3"/>
      <c r="H366" s="3"/>
      <c r="I366" s="3" t="str">
        <f>IFERROR(ROUND(INDEX('PROJETO PERFURAÇÃO'!$AB:$AB,MATCH(MEDIÇÃO!K366,'PROJETO PERFURAÇÃO'!$B:$B,0)),1)&amp;"''","")</f>
        <v>5''</v>
      </c>
      <c r="J366" s="3" t="str">
        <f>IFERROR(IF(INDEX('PROJETO PERFURAÇÃO'!$P:$P,MATCH(MEDIÇÃO!K366,'PROJETO PERFURAÇÃO'!$B:$B,0))="Production","P",IF(INDEX('PROJETO PERFURAÇÃO'!$P:$P,MATCH(MEDIÇÃO!K366,'PROJETO PERFURAÇÃO'!$B:$B,0))="Buffer","B",IF(INDEX('PROJETO PERFURAÇÃO'!$P:$P,MATCH(MEDIÇÃO!K366,'PROJETO PERFURAÇÃO'!$B:$B,0))="Pre-Splitting","S"))),"")</f>
        <v>P</v>
      </c>
      <c r="K366" s="14">
        <f t="shared" si="34"/>
        <v>803</v>
      </c>
      <c r="L366" s="4" t="str">
        <f>IFERROR(INDEX('LEV R&amp;D'!$D:$D,MATCH(MEDIÇÃO!K366,'LEV R&amp;D'!$A:$A,0))-INDEX('PROJETO PERFURAÇÃO'!$AH:$AH,MATCH(MEDIÇÃO!K366,'PROJETO PERFURAÇÃO'!$B:$B,0)),"")</f>
        <v/>
      </c>
      <c r="M366" s="17">
        <f>IFERROR(INDEX('PROJETO PERFURAÇÃO'!$AN:$AN,MATCH(MEDIÇÃO!K366,'PROJETO PERFURAÇÃO'!$B:$B,0)),"")</f>
        <v>0</v>
      </c>
      <c r="N366" s="3"/>
      <c r="O366" s="3"/>
      <c r="P366" s="3" t="str">
        <f>IFERROR(ROUND(INDEX('PROJETO PERFURAÇÃO'!$AB:$AB,MATCH(MEDIÇÃO!R366,'PROJETO PERFURAÇÃO'!$B:$B,0)),1)&amp;"''","")</f>
        <v>5''</v>
      </c>
      <c r="Q366" s="3" t="str">
        <f>IFERROR(IF(INDEX('PROJETO PERFURAÇÃO'!$P:$P,MATCH(MEDIÇÃO!R366,'PROJETO PERFURAÇÃO'!$B:$B,0))="Production","P",IF(INDEX('PROJETO PERFURAÇÃO'!$P:$P,MATCH(MEDIÇÃO!R366,'PROJETO PERFURAÇÃO'!$B:$B,0))="Buffer","B",IF(INDEX('PROJETO PERFURAÇÃO'!$P:$P,MATCH(MEDIÇÃO!R366,'PROJETO PERFURAÇÃO'!$B:$B,0))="Pre-Splitting","S"))),"")</f>
        <v>P</v>
      </c>
      <c r="R366" s="14">
        <f t="shared" si="35"/>
        <v>826</v>
      </c>
      <c r="S366" s="4" t="str">
        <f>IFERROR(INDEX('LEV R&amp;D'!$D:$D,MATCH(MEDIÇÃO!R366,'LEV R&amp;D'!$A:$A,0))-INDEX('PROJETO PERFURAÇÃO'!$AH:$AH,MATCH(MEDIÇÃO!R366,'PROJETO PERFURAÇÃO'!$B:$B,0)),"")</f>
        <v/>
      </c>
      <c r="T366" s="17">
        <f>IFERROR(INDEX('PROJETO PERFURAÇÃO'!$AN:$AN,MATCH(MEDIÇÃO!R366,'PROJETO PERFURAÇÃO'!$B:$B,0)),"")</f>
        <v>0</v>
      </c>
      <c r="U366" s="3"/>
      <c r="V366" s="3"/>
    </row>
    <row r="367" spans="2:22" ht="45" customHeight="1">
      <c r="B367" s="3" t="str">
        <f>IFERROR(ROUND(INDEX('PROJETO PERFURAÇÃO'!$AB:$AB,MATCH(MEDIÇÃO!D367,'PROJETO PERFURAÇÃO'!$B:$B,0)),1)&amp;"''","")</f>
        <v>5''</v>
      </c>
      <c r="C367" s="3" t="str">
        <f>IFERROR(IF(INDEX('PROJETO PERFURAÇÃO'!$P:$P,MATCH(MEDIÇÃO!D367,'PROJETO PERFURAÇÃO'!$B:$B,0))="Production","P",IF(INDEX('PROJETO PERFURAÇÃO'!$P:$P,MATCH(MEDIÇÃO!D367,'PROJETO PERFURAÇÃO'!$B:$B,0))="Buffer","B",IF(INDEX('PROJETO PERFURAÇÃO'!$P:$P,MATCH(MEDIÇÃO!D367,'PROJETO PERFURAÇÃO'!$B:$B,0))="Pre-Splitting","S"))),"")</f>
        <v>P</v>
      </c>
      <c r="D367" s="14">
        <f t="shared" si="33"/>
        <v>781</v>
      </c>
      <c r="E367" s="4" t="str">
        <f>IFERROR(INDEX('LEV R&amp;D'!$D:$D,MATCH(MEDIÇÃO!D367,'LEV R&amp;D'!$A:$A,0))-INDEX('PROJETO PERFURAÇÃO'!$AH:$AH,MATCH(MEDIÇÃO!D367,'PROJETO PERFURAÇÃO'!$B:$B,0)),"")</f>
        <v/>
      </c>
      <c r="F367" s="17">
        <f>IFERROR(INDEX('PROJETO PERFURAÇÃO'!$AN:$AN,MATCH(MEDIÇÃO!D367,'PROJETO PERFURAÇÃO'!$B:$B,0)),"")</f>
        <v>0</v>
      </c>
      <c r="G367" s="3"/>
      <c r="H367" s="3"/>
      <c r="I367" s="3" t="str">
        <f>IFERROR(ROUND(INDEX('PROJETO PERFURAÇÃO'!$AB:$AB,MATCH(MEDIÇÃO!K367,'PROJETO PERFURAÇÃO'!$B:$B,0)),1)&amp;"''","")</f>
        <v>5''</v>
      </c>
      <c r="J367" s="3" t="str">
        <f>IFERROR(IF(INDEX('PROJETO PERFURAÇÃO'!$P:$P,MATCH(MEDIÇÃO!K367,'PROJETO PERFURAÇÃO'!$B:$B,0))="Production","P",IF(INDEX('PROJETO PERFURAÇÃO'!$P:$P,MATCH(MEDIÇÃO!K367,'PROJETO PERFURAÇÃO'!$B:$B,0))="Buffer","B",IF(INDEX('PROJETO PERFURAÇÃO'!$P:$P,MATCH(MEDIÇÃO!K367,'PROJETO PERFURAÇÃO'!$B:$B,0))="Pre-Splitting","S"))),"")</f>
        <v>P</v>
      </c>
      <c r="K367" s="14">
        <f t="shared" si="34"/>
        <v>804</v>
      </c>
      <c r="L367" s="4" t="str">
        <f>IFERROR(INDEX('LEV R&amp;D'!$D:$D,MATCH(MEDIÇÃO!K367,'LEV R&amp;D'!$A:$A,0))-INDEX('PROJETO PERFURAÇÃO'!$AH:$AH,MATCH(MEDIÇÃO!K367,'PROJETO PERFURAÇÃO'!$B:$B,0)),"")</f>
        <v/>
      </c>
      <c r="M367" s="17">
        <f>IFERROR(INDEX('PROJETO PERFURAÇÃO'!$AN:$AN,MATCH(MEDIÇÃO!K367,'PROJETO PERFURAÇÃO'!$B:$B,0)),"")</f>
        <v>0</v>
      </c>
      <c r="N367" s="3"/>
      <c r="O367" s="3"/>
      <c r="P367" s="3" t="str">
        <f>IFERROR(ROUND(INDEX('PROJETO PERFURAÇÃO'!$AB:$AB,MATCH(MEDIÇÃO!R367,'PROJETO PERFURAÇÃO'!$B:$B,0)),1)&amp;"''","")</f>
        <v>5''</v>
      </c>
      <c r="Q367" s="3" t="str">
        <f>IFERROR(IF(INDEX('PROJETO PERFURAÇÃO'!$P:$P,MATCH(MEDIÇÃO!R367,'PROJETO PERFURAÇÃO'!$B:$B,0))="Production","P",IF(INDEX('PROJETO PERFURAÇÃO'!$P:$P,MATCH(MEDIÇÃO!R367,'PROJETO PERFURAÇÃO'!$B:$B,0))="Buffer","B",IF(INDEX('PROJETO PERFURAÇÃO'!$P:$P,MATCH(MEDIÇÃO!R367,'PROJETO PERFURAÇÃO'!$B:$B,0))="Pre-Splitting","S"))),"")</f>
        <v>P</v>
      </c>
      <c r="R367" s="14">
        <f t="shared" si="35"/>
        <v>827</v>
      </c>
      <c r="S367" s="4" t="str">
        <f>IFERROR(INDEX('LEV R&amp;D'!$D:$D,MATCH(MEDIÇÃO!R367,'LEV R&amp;D'!$A:$A,0))-INDEX('PROJETO PERFURAÇÃO'!$AH:$AH,MATCH(MEDIÇÃO!R367,'PROJETO PERFURAÇÃO'!$B:$B,0)),"")</f>
        <v/>
      </c>
      <c r="T367" s="17">
        <f>IFERROR(INDEX('PROJETO PERFURAÇÃO'!$AN:$AN,MATCH(MEDIÇÃO!R367,'PROJETO PERFURAÇÃO'!$B:$B,0)),"")</f>
        <v>0</v>
      </c>
      <c r="U367" s="3"/>
      <c r="V367" s="3"/>
    </row>
    <row r="368" spans="2:22" ht="45" customHeight="1">
      <c r="B368" s="3" t="str">
        <f>IFERROR(ROUND(INDEX('PROJETO PERFURAÇÃO'!$AB:$AB,MATCH(MEDIÇÃO!D368,'PROJETO PERFURAÇÃO'!$B:$B,0)),1)&amp;"''","")</f>
        <v>5''</v>
      </c>
      <c r="C368" s="3" t="str">
        <f>IFERROR(IF(INDEX('PROJETO PERFURAÇÃO'!$P:$P,MATCH(MEDIÇÃO!D368,'PROJETO PERFURAÇÃO'!$B:$B,0))="Production","P",IF(INDEX('PROJETO PERFURAÇÃO'!$P:$P,MATCH(MEDIÇÃO!D368,'PROJETO PERFURAÇÃO'!$B:$B,0))="Buffer","B",IF(INDEX('PROJETO PERFURAÇÃO'!$P:$P,MATCH(MEDIÇÃO!D368,'PROJETO PERFURAÇÃO'!$B:$B,0))="Pre-Splitting","S"))),"")</f>
        <v>P</v>
      </c>
      <c r="D368" s="14">
        <f t="shared" si="33"/>
        <v>782</v>
      </c>
      <c r="E368" s="4" t="str">
        <f>IFERROR(INDEX('LEV R&amp;D'!$D:$D,MATCH(MEDIÇÃO!D368,'LEV R&amp;D'!$A:$A,0))-INDEX('PROJETO PERFURAÇÃO'!$AH:$AH,MATCH(MEDIÇÃO!D368,'PROJETO PERFURAÇÃO'!$B:$B,0)),"")</f>
        <v/>
      </c>
      <c r="F368" s="17">
        <f>IFERROR(INDEX('PROJETO PERFURAÇÃO'!$AN:$AN,MATCH(MEDIÇÃO!D368,'PROJETO PERFURAÇÃO'!$B:$B,0)),"")</f>
        <v>0</v>
      </c>
      <c r="G368" s="3"/>
      <c r="H368" s="3"/>
      <c r="I368" s="3" t="str">
        <f>IFERROR(ROUND(INDEX('PROJETO PERFURAÇÃO'!$AB:$AB,MATCH(MEDIÇÃO!K368,'PROJETO PERFURAÇÃO'!$B:$B,0)),1)&amp;"''","")</f>
        <v>5''</v>
      </c>
      <c r="J368" s="3" t="str">
        <f>IFERROR(IF(INDEX('PROJETO PERFURAÇÃO'!$P:$P,MATCH(MEDIÇÃO!K368,'PROJETO PERFURAÇÃO'!$B:$B,0))="Production","P",IF(INDEX('PROJETO PERFURAÇÃO'!$P:$P,MATCH(MEDIÇÃO!K368,'PROJETO PERFURAÇÃO'!$B:$B,0))="Buffer","B",IF(INDEX('PROJETO PERFURAÇÃO'!$P:$P,MATCH(MEDIÇÃO!K368,'PROJETO PERFURAÇÃO'!$B:$B,0))="Pre-Splitting","S"))),"")</f>
        <v>P</v>
      </c>
      <c r="K368" s="14">
        <f t="shared" si="34"/>
        <v>805</v>
      </c>
      <c r="L368" s="4" t="str">
        <f>IFERROR(INDEX('LEV R&amp;D'!$D:$D,MATCH(MEDIÇÃO!K368,'LEV R&amp;D'!$A:$A,0))-INDEX('PROJETO PERFURAÇÃO'!$AH:$AH,MATCH(MEDIÇÃO!K368,'PROJETO PERFURAÇÃO'!$B:$B,0)),"")</f>
        <v/>
      </c>
      <c r="M368" s="17">
        <f>IFERROR(INDEX('PROJETO PERFURAÇÃO'!$AN:$AN,MATCH(MEDIÇÃO!K368,'PROJETO PERFURAÇÃO'!$B:$B,0)),"")</f>
        <v>0</v>
      </c>
      <c r="N368" s="3"/>
      <c r="O368" s="3"/>
      <c r="P368" s="3" t="str">
        <f>IFERROR(ROUND(INDEX('PROJETO PERFURAÇÃO'!$AB:$AB,MATCH(MEDIÇÃO!R368,'PROJETO PERFURAÇÃO'!$B:$B,0)),1)&amp;"''","")</f>
        <v>5''</v>
      </c>
      <c r="Q368" s="3" t="str">
        <f>IFERROR(IF(INDEX('PROJETO PERFURAÇÃO'!$P:$P,MATCH(MEDIÇÃO!R368,'PROJETO PERFURAÇÃO'!$B:$B,0))="Production","P",IF(INDEX('PROJETO PERFURAÇÃO'!$P:$P,MATCH(MEDIÇÃO!R368,'PROJETO PERFURAÇÃO'!$B:$B,0))="Buffer","B",IF(INDEX('PROJETO PERFURAÇÃO'!$P:$P,MATCH(MEDIÇÃO!R368,'PROJETO PERFURAÇÃO'!$B:$B,0))="Pre-Splitting","S"))),"")</f>
        <v>P</v>
      </c>
      <c r="R368" s="14">
        <f t="shared" si="35"/>
        <v>828</v>
      </c>
      <c r="S368" s="4" t="str">
        <f>IFERROR(INDEX('LEV R&amp;D'!$D:$D,MATCH(MEDIÇÃO!R368,'LEV R&amp;D'!$A:$A,0))-INDEX('PROJETO PERFURAÇÃO'!$AH:$AH,MATCH(MEDIÇÃO!R368,'PROJETO PERFURAÇÃO'!$B:$B,0)),"")</f>
        <v/>
      </c>
      <c r="T368" s="17">
        <f>IFERROR(INDEX('PROJETO PERFURAÇÃO'!$AN:$AN,MATCH(MEDIÇÃO!R368,'PROJETO PERFURAÇÃO'!$B:$B,0)),"")</f>
        <v>0</v>
      </c>
      <c r="U368" s="3"/>
      <c r="V368" s="3"/>
    </row>
    <row r="369" spans="1:23" ht="30" customHeight="1">
      <c r="B369" s="1"/>
      <c r="C369" s="1"/>
      <c r="D369" s="15"/>
      <c r="E369" s="2"/>
      <c r="F369" s="16"/>
      <c r="G369" s="1"/>
      <c r="H369" s="1"/>
      <c r="I369" s="1"/>
      <c r="J369" s="1"/>
      <c r="K369" s="15"/>
      <c r="L369" s="2"/>
      <c r="M369" s="16"/>
      <c r="N369" s="1"/>
      <c r="O369" s="1"/>
      <c r="P369" s="1"/>
      <c r="Q369" s="1"/>
      <c r="R369" s="15"/>
      <c r="S369" s="2"/>
      <c r="T369" s="16"/>
      <c r="U369" s="1"/>
      <c r="V369" s="1"/>
    </row>
    <row r="370" spans="1:23" ht="30" customHeight="1">
      <c r="C370" s="20"/>
      <c r="D370" s="20"/>
      <c r="E370" s="20"/>
      <c r="F370" s="20"/>
      <c r="G370" s="20"/>
      <c r="H370" s="20"/>
      <c r="I370" s="20"/>
      <c r="J370" s="20"/>
      <c r="K370" s="20"/>
      <c r="M370" s="20"/>
      <c r="N370" s="20"/>
      <c r="O370" s="20"/>
      <c r="P370" s="20"/>
      <c r="Q370" s="20"/>
      <c r="R370" s="20"/>
      <c r="S370" s="20"/>
      <c r="T370" s="20"/>
      <c r="U370" s="20"/>
    </row>
    <row r="371" spans="1:23" ht="30" customHeight="1">
      <c r="C371" s="21" t="s">
        <v>40</v>
      </c>
      <c r="D371" s="21"/>
      <c r="E371" s="21"/>
      <c r="F371" s="21"/>
      <c r="G371" s="21"/>
      <c r="H371" s="21"/>
      <c r="I371" s="21"/>
      <c r="J371" s="21"/>
      <c r="K371" s="21"/>
      <c r="L371" s="9"/>
      <c r="M371" s="21" t="s">
        <v>40</v>
      </c>
      <c r="N371" s="21"/>
      <c r="O371" s="21"/>
      <c r="P371" s="21"/>
      <c r="Q371" s="21"/>
      <c r="R371" s="21"/>
      <c r="S371" s="21"/>
      <c r="T371" s="21"/>
      <c r="U371" s="21"/>
      <c r="V371" s="9"/>
    </row>
    <row r="372" spans="1:23" ht="30" customHeight="1">
      <c r="D372" s="9"/>
      <c r="E372" s="9"/>
      <c r="F372" s="9"/>
      <c r="G372" s="9"/>
      <c r="H372" s="9"/>
      <c r="I372" s="9"/>
      <c r="J372" s="9"/>
      <c r="K372" s="9"/>
      <c r="L372" s="9"/>
      <c r="M372" s="9"/>
      <c r="N372" s="9"/>
      <c r="Q372" s="9"/>
      <c r="R372" s="9"/>
      <c r="S372" s="9"/>
      <c r="T372" s="9"/>
      <c r="U372" s="9"/>
      <c r="V372" s="9"/>
    </row>
    <row r="373" spans="1:23" ht="30" customHeight="1">
      <c r="B373" s="19" t="str">
        <f>'PROJETO PERFURAÇÃO'!$C$2&amp;" - "&amp;'PROJETO PERFURAÇÃO'!$H$2</f>
        <v>LIB037 - PP0370626</v>
      </c>
      <c r="C373" s="19"/>
      <c r="D373" s="19"/>
      <c r="E373" s="19"/>
      <c r="F373" s="19"/>
      <c r="G373" s="19"/>
      <c r="H373" s="19"/>
      <c r="I373" s="11" t="s">
        <v>34</v>
      </c>
      <c r="J373" s="10" t="s">
        <v>37</v>
      </c>
    </row>
    <row r="374" spans="1:23" ht="30" customHeight="1">
      <c r="B374" s="19"/>
      <c r="C374" s="19"/>
      <c r="D374" s="19"/>
      <c r="E374" s="19"/>
      <c r="F374" s="19"/>
      <c r="G374" s="19"/>
      <c r="H374" s="19"/>
      <c r="I374" s="12" t="s">
        <v>35</v>
      </c>
      <c r="J374" s="10" t="s">
        <v>38</v>
      </c>
      <c r="K374" s="9"/>
      <c r="L374" s="9"/>
      <c r="M374" s="9"/>
      <c r="N374" s="9"/>
      <c r="O374" s="9"/>
      <c r="P374" s="9"/>
      <c r="Q374" s="9"/>
      <c r="R374" s="9"/>
      <c r="S374" s="9"/>
      <c r="T374" s="9"/>
      <c r="U374" s="9"/>
      <c r="V374" s="9"/>
    </row>
    <row r="375" spans="1:23" ht="30" customHeight="1">
      <c r="B375" s="19"/>
      <c r="C375" s="19"/>
      <c r="D375" s="19"/>
      <c r="E375" s="19"/>
      <c r="F375" s="19"/>
      <c r="G375" s="19"/>
      <c r="H375" s="19"/>
      <c r="I375" s="13" t="s">
        <v>36</v>
      </c>
      <c r="J375" s="10" t="s">
        <v>39</v>
      </c>
    </row>
    <row r="376" spans="1:23" ht="30" customHeight="1">
      <c r="A376" s="1"/>
      <c r="B376" s="6" t="s">
        <v>33</v>
      </c>
      <c r="C376" s="6" t="s">
        <v>13</v>
      </c>
      <c r="D376" s="7" t="s">
        <v>1</v>
      </c>
      <c r="E376" s="7" t="s">
        <v>29</v>
      </c>
      <c r="F376" s="7" t="s">
        <v>30</v>
      </c>
      <c r="G376" s="7" t="s">
        <v>31</v>
      </c>
      <c r="H376" s="7" t="s">
        <v>32</v>
      </c>
      <c r="I376" s="6" t="s">
        <v>33</v>
      </c>
      <c r="J376" s="6" t="s">
        <v>13</v>
      </c>
      <c r="K376" s="7" t="s">
        <v>1</v>
      </c>
      <c r="L376" s="7" t="s">
        <v>29</v>
      </c>
      <c r="M376" s="7" t="s">
        <v>30</v>
      </c>
      <c r="N376" s="7" t="s">
        <v>31</v>
      </c>
      <c r="O376" s="7" t="s">
        <v>32</v>
      </c>
      <c r="P376" s="6" t="s">
        <v>33</v>
      </c>
      <c r="Q376" s="6" t="s">
        <v>13</v>
      </c>
      <c r="R376" s="7" t="s">
        <v>1</v>
      </c>
      <c r="S376" s="7" t="s">
        <v>29</v>
      </c>
      <c r="T376" s="7" t="s">
        <v>30</v>
      </c>
      <c r="U376" s="7" t="s">
        <v>31</v>
      </c>
      <c r="V376" s="7" t="s">
        <v>32</v>
      </c>
      <c r="W376" s="1"/>
    </row>
    <row r="377" spans="1:23" ht="45" customHeight="1">
      <c r="B377" s="3" t="str">
        <f>IFERROR(ROUND(INDEX('PROJETO PERFURAÇÃO'!$AB:$AB,MATCH(MEDIÇÃO!D377,'PROJETO PERFURAÇÃO'!$B:$B,0)),1)&amp;"''","")</f>
        <v>5''</v>
      </c>
      <c r="C377" s="3" t="str">
        <f>IFERROR(IF(INDEX('PROJETO PERFURAÇÃO'!$P:$P,MATCH(MEDIÇÃO!D377,'PROJETO PERFURAÇÃO'!$B:$B,0))="Production","P",IF(INDEX('PROJETO PERFURAÇÃO'!$P:$P,MATCH(MEDIÇÃO!D377,'PROJETO PERFURAÇÃO'!$B:$B,0))="Buffer","B",IF(INDEX('PROJETO PERFURAÇÃO'!$P:$P,MATCH(MEDIÇÃO!D377,'PROJETO PERFURAÇÃO'!$B:$B,0))="Pre-Splitting","S"))),"")</f>
        <v>P</v>
      </c>
      <c r="D377" s="14">
        <f>R368+1</f>
        <v>829</v>
      </c>
      <c r="E377" s="4" t="str">
        <f>IFERROR(INDEX('LEV R&amp;D'!$D:$D,MATCH(MEDIÇÃO!D377,'LEV R&amp;D'!$A:$A,0))-INDEX('PROJETO PERFURAÇÃO'!$AH:$AH,MATCH(MEDIÇÃO!D377,'PROJETO PERFURAÇÃO'!$B:$B,0)),"")</f>
        <v/>
      </c>
      <c r="F377" s="17">
        <f>IFERROR(INDEX('PROJETO PERFURAÇÃO'!$AN:$AN,MATCH(MEDIÇÃO!D377,'PROJETO PERFURAÇÃO'!$B:$B,0)),"")</f>
        <v>0</v>
      </c>
      <c r="G377" s="3"/>
      <c r="H377" s="3"/>
      <c r="I377" s="3" t="str">
        <f>IFERROR(ROUND(INDEX('PROJETO PERFURAÇÃO'!$AB:$AB,MATCH(MEDIÇÃO!K377,'PROJETO PERFURAÇÃO'!$B:$B,0)),1)&amp;"''","")</f>
        <v/>
      </c>
      <c r="J377" s="3" t="str">
        <f>IFERROR(IF(INDEX('PROJETO PERFURAÇÃO'!$P:$P,MATCH(MEDIÇÃO!K377,'PROJETO PERFURAÇÃO'!$B:$B,0))="Production","P",IF(INDEX('PROJETO PERFURAÇÃO'!$P:$P,MATCH(MEDIÇÃO!K377,'PROJETO PERFURAÇÃO'!$B:$B,0))="Buffer","B",IF(INDEX('PROJETO PERFURAÇÃO'!$P:$P,MATCH(MEDIÇÃO!K377,'PROJETO PERFURAÇÃO'!$B:$B,0))="Pre-Splitting","S"))),"")</f>
        <v/>
      </c>
      <c r="K377" s="14">
        <f>D399+1</f>
        <v>852</v>
      </c>
      <c r="L377" s="4" t="str">
        <f>IFERROR(INDEX('LEV R&amp;D'!$D:$D,MATCH(MEDIÇÃO!K377,'LEV R&amp;D'!$A:$A,0))-INDEX('PROJETO PERFURAÇÃO'!$AH:$AH,MATCH(MEDIÇÃO!K377,'PROJETO PERFURAÇÃO'!$B:$B,0)),"")</f>
        <v/>
      </c>
      <c r="M377" s="17" t="str">
        <f>IFERROR(INDEX('PROJETO PERFURAÇÃO'!$AN:$AN,MATCH(MEDIÇÃO!K377,'PROJETO PERFURAÇÃO'!$B:$B,0)),"")</f>
        <v/>
      </c>
      <c r="N377" s="3"/>
      <c r="O377" s="3"/>
      <c r="P377" s="3" t="str">
        <f>IFERROR(ROUND(INDEX('PROJETO PERFURAÇÃO'!$AB:$AB,MATCH(MEDIÇÃO!R377,'PROJETO PERFURAÇÃO'!$B:$B,0)),1)&amp;"''","")</f>
        <v/>
      </c>
      <c r="Q377" s="3" t="str">
        <f>IFERROR(IF(INDEX('PROJETO PERFURAÇÃO'!$P:$P,MATCH(MEDIÇÃO!R377,'PROJETO PERFURAÇÃO'!$B:$B,0))="Production","P",IF(INDEX('PROJETO PERFURAÇÃO'!$P:$P,MATCH(MEDIÇÃO!R377,'PROJETO PERFURAÇÃO'!$B:$B,0))="Buffer","B",IF(INDEX('PROJETO PERFURAÇÃO'!$P:$P,MATCH(MEDIÇÃO!R377,'PROJETO PERFURAÇÃO'!$B:$B,0))="Pre-Splitting","S"))),"")</f>
        <v/>
      </c>
      <c r="R377" s="14">
        <f>K399+1</f>
        <v>875</v>
      </c>
      <c r="S377" s="4" t="str">
        <f>IFERROR(INDEX('LEV R&amp;D'!$D:$D,MATCH(MEDIÇÃO!R377,'LEV R&amp;D'!$A:$A,0))-INDEX('PROJETO PERFURAÇÃO'!$AH:$AH,MATCH(MEDIÇÃO!R377,'PROJETO PERFURAÇÃO'!$B:$B,0)),"")</f>
        <v/>
      </c>
      <c r="T377" s="17" t="str">
        <f>IFERROR(INDEX('PROJETO PERFURAÇÃO'!$AN:$AN,MATCH(MEDIÇÃO!R377,'PROJETO PERFURAÇÃO'!$B:$B,0)),"")</f>
        <v/>
      </c>
      <c r="U377" s="3"/>
      <c r="V377" s="3"/>
    </row>
    <row r="378" spans="1:23" ht="45" customHeight="1">
      <c r="B378" s="3" t="str">
        <f>IFERROR(ROUND(INDEX('PROJETO PERFURAÇÃO'!$AB:$AB,MATCH(MEDIÇÃO!D378,'PROJETO PERFURAÇÃO'!$B:$B,0)),1)&amp;"''","")</f>
        <v>5''</v>
      </c>
      <c r="C378" s="3" t="str">
        <f>IFERROR(IF(INDEX('PROJETO PERFURAÇÃO'!$P:$P,MATCH(MEDIÇÃO!D378,'PROJETO PERFURAÇÃO'!$B:$B,0))="Production","P",IF(INDEX('PROJETO PERFURAÇÃO'!$P:$P,MATCH(MEDIÇÃO!D378,'PROJETO PERFURAÇÃO'!$B:$B,0))="Buffer","B",IF(INDEX('PROJETO PERFURAÇÃO'!$P:$P,MATCH(MEDIÇÃO!D378,'PROJETO PERFURAÇÃO'!$B:$B,0))="Pre-Splitting","S"))),"")</f>
        <v>P</v>
      </c>
      <c r="D378" s="14">
        <f>D377+1</f>
        <v>830</v>
      </c>
      <c r="E378" s="4" t="str">
        <f>IFERROR(INDEX('LEV R&amp;D'!$D:$D,MATCH(MEDIÇÃO!D378,'LEV R&amp;D'!$A:$A,0))-INDEX('PROJETO PERFURAÇÃO'!$AH:$AH,MATCH(MEDIÇÃO!D378,'PROJETO PERFURAÇÃO'!$B:$B,0)),"")</f>
        <v/>
      </c>
      <c r="F378" s="17">
        <f>IFERROR(INDEX('PROJETO PERFURAÇÃO'!$AN:$AN,MATCH(MEDIÇÃO!D378,'PROJETO PERFURAÇÃO'!$B:$B,0)),"")</f>
        <v>0</v>
      </c>
      <c r="G378" s="3"/>
      <c r="H378" s="3"/>
      <c r="I378" s="3" t="str">
        <f>IFERROR(ROUND(INDEX('PROJETO PERFURAÇÃO'!$AB:$AB,MATCH(MEDIÇÃO!K378,'PROJETO PERFURAÇÃO'!$B:$B,0)),1)&amp;"''","")</f>
        <v/>
      </c>
      <c r="J378" s="3" t="str">
        <f>IFERROR(IF(INDEX('PROJETO PERFURAÇÃO'!$P:$P,MATCH(MEDIÇÃO!K378,'PROJETO PERFURAÇÃO'!$B:$B,0))="Production","P",IF(INDEX('PROJETO PERFURAÇÃO'!$P:$P,MATCH(MEDIÇÃO!K378,'PROJETO PERFURAÇÃO'!$B:$B,0))="Buffer","B",IF(INDEX('PROJETO PERFURAÇÃO'!$P:$P,MATCH(MEDIÇÃO!K378,'PROJETO PERFURAÇÃO'!$B:$B,0))="Pre-Splitting","S"))),"")</f>
        <v/>
      </c>
      <c r="K378" s="14">
        <f>K377+1</f>
        <v>853</v>
      </c>
      <c r="L378" s="4" t="str">
        <f>IFERROR(INDEX('LEV R&amp;D'!$D:$D,MATCH(MEDIÇÃO!K378,'LEV R&amp;D'!$A:$A,0))-INDEX('PROJETO PERFURAÇÃO'!$AH:$AH,MATCH(MEDIÇÃO!K378,'PROJETO PERFURAÇÃO'!$B:$B,0)),"")</f>
        <v/>
      </c>
      <c r="M378" s="17" t="str">
        <f>IFERROR(INDEX('PROJETO PERFURAÇÃO'!$AN:$AN,MATCH(MEDIÇÃO!K378,'PROJETO PERFURAÇÃO'!$B:$B,0)),"")</f>
        <v/>
      </c>
      <c r="N378" s="3"/>
      <c r="O378" s="3"/>
      <c r="P378" s="3" t="str">
        <f>IFERROR(ROUND(INDEX('PROJETO PERFURAÇÃO'!$AB:$AB,MATCH(MEDIÇÃO!R378,'PROJETO PERFURAÇÃO'!$B:$B,0)),1)&amp;"''","")</f>
        <v/>
      </c>
      <c r="Q378" s="3" t="str">
        <f>IFERROR(IF(INDEX('PROJETO PERFURAÇÃO'!$P:$P,MATCH(MEDIÇÃO!R378,'PROJETO PERFURAÇÃO'!$B:$B,0))="Production","P",IF(INDEX('PROJETO PERFURAÇÃO'!$P:$P,MATCH(MEDIÇÃO!R378,'PROJETO PERFURAÇÃO'!$B:$B,0))="Buffer","B",IF(INDEX('PROJETO PERFURAÇÃO'!$P:$P,MATCH(MEDIÇÃO!R378,'PROJETO PERFURAÇÃO'!$B:$B,0))="Pre-Splitting","S"))),"")</f>
        <v/>
      </c>
      <c r="R378" s="14">
        <f>R377+1</f>
        <v>876</v>
      </c>
      <c r="S378" s="4" t="str">
        <f>IFERROR(INDEX('LEV R&amp;D'!$D:$D,MATCH(MEDIÇÃO!R378,'LEV R&amp;D'!$A:$A,0))-INDEX('PROJETO PERFURAÇÃO'!$AH:$AH,MATCH(MEDIÇÃO!R378,'PROJETO PERFURAÇÃO'!$B:$B,0)),"")</f>
        <v/>
      </c>
      <c r="T378" s="17" t="str">
        <f>IFERROR(INDEX('PROJETO PERFURAÇÃO'!$AN:$AN,MATCH(MEDIÇÃO!R378,'PROJETO PERFURAÇÃO'!$B:$B,0)),"")</f>
        <v/>
      </c>
      <c r="U378" s="3"/>
      <c r="V378" s="3"/>
    </row>
    <row r="379" spans="1:23" ht="45" customHeight="1">
      <c r="B379" s="3" t="str">
        <f>IFERROR(ROUND(INDEX('PROJETO PERFURAÇÃO'!$AB:$AB,MATCH(MEDIÇÃO!D379,'PROJETO PERFURAÇÃO'!$B:$B,0)),1)&amp;"''","")</f>
        <v>5''</v>
      </c>
      <c r="C379" s="3" t="str">
        <f>IFERROR(IF(INDEX('PROJETO PERFURAÇÃO'!$P:$P,MATCH(MEDIÇÃO!D379,'PROJETO PERFURAÇÃO'!$B:$B,0))="Production","P",IF(INDEX('PROJETO PERFURAÇÃO'!$P:$P,MATCH(MEDIÇÃO!D379,'PROJETO PERFURAÇÃO'!$B:$B,0))="Buffer","B",IF(INDEX('PROJETO PERFURAÇÃO'!$P:$P,MATCH(MEDIÇÃO!D379,'PROJETO PERFURAÇÃO'!$B:$B,0))="Pre-Splitting","S"))),"")</f>
        <v>P</v>
      </c>
      <c r="D379" s="14">
        <f t="shared" ref="D379:D399" si="36">D378+1</f>
        <v>831</v>
      </c>
      <c r="E379" s="4" t="str">
        <f>IFERROR(INDEX('LEV R&amp;D'!$D:$D,MATCH(MEDIÇÃO!D379,'LEV R&amp;D'!$A:$A,0))-INDEX('PROJETO PERFURAÇÃO'!$AH:$AH,MATCH(MEDIÇÃO!D379,'PROJETO PERFURAÇÃO'!$B:$B,0)),"")</f>
        <v/>
      </c>
      <c r="F379" s="17">
        <f>IFERROR(INDEX('PROJETO PERFURAÇÃO'!$AN:$AN,MATCH(MEDIÇÃO!D379,'PROJETO PERFURAÇÃO'!$B:$B,0)),"")</f>
        <v>0</v>
      </c>
      <c r="G379" s="3"/>
      <c r="H379" s="3"/>
      <c r="I379" s="3" t="str">
        <f>IFERROR(ROUND(INDEX('PROJETO PERFURAÇÃO'!$AB:$AB,MATCH(MEDIÇÃO!K379,'PROJETO PERFURAÇÃO'!$B:$B,0)),1)&amp;"''","")</f>
        <v/>
      </c>
      <c r="J379" s="3" t="str">
        <f>IFERROR(IF(INDEX('PROJETO PERFURAÇÃO'!$P:$P,MATCH(MEDIÇÃO!K379,'PROJETO PERFURAÇÃO'!$B:$B,0))="Production","P",IF(INDEX('PROJETO PERFURAÇÃO'!$P:$P,MATCH(MEDIÇÃO!K379,'PROJETO PERFURAÇÃO'!$B:$B,0))="Buffer","B",IF(INDEX('PROJETO PERFURAÇÃO'!$P:$P,MATCH(MEDIÇÃO!K379,'PROJETO PERFURAÇÃO'!$B:$B,0))="Pre-Splitting","S"))),"")</f>
        <v/>
      </c>
      <c r="K379" s="14">
        <f t="shared" ref="K379:K399" si="37">K378+1</f>
        <v>854</v>
      </c>
      <c r="L379" s="4" t="str">
        <f>IFERROR(INDEX('LEV R&amp;D'!$D:$D,MATCH(MEDIÇÃO!K379,'LEV R&amp;D'!$A:$A,0))-INDEX('PROJETO PERFURAÇÃO'!$AH:$AH,MATCH(MEDIÇÃO!K379,'PROJETO PERFURAÇÃO'!$B:$B,0)),"")</f>
        <v/>
      </c>
      <c r="M379" s="17" t="str">
        <f>IFERROR(INDEX('PROJETO PERFURAÇÃO'!$AN:$AN,MATCH(MEDIÇÃO!K379,'PROJETO PERFURAÇÃO'!$B:$B,0)),"")</f>
        <v/>
      </c>
      <c r="N379" s="3"/>
      <c r="O379" s="3"/>
      <c r="P379" s="3" t="str">
        <f>IFERROR(ROUND(INDEX('PROJETO PERFURAÇÃO'!$AB:$AB,MATCH(MEDIÇÃO!R379,'PROJETO PERFURAÇÃO'!$B:$B,0)),1)&amp;"''","")</f>
        <v/>
      </c>
      <c r="Q379" s="3" t="str">
        <f>IFERROR(IF(INDEX('PROJETO PERFURAÇÃO'!$P:$P,MATCH(MEDIÇÃO!R379,'PROJETO PERFURAÇÃO'!$B:$B,0))="Production","P",IF(INDEX('PROJETO PERFURAÇÃO'!$P:$P,MATCH(MEDIÇÃO!R379,'PROJETO PERFURAÇÃO'!$B:$B,0))="Buffer","B",IF(INDEX('PROJETO PERFURAÇÃO'!$P:$P,MATCH(MEDIÇÃO!R379,'PROJETO PERFURAÇÃO'!$B:$B,0))="Pre-Splitting","S"))),"")</f>
        <v/>
      </c>
      <c r="R379" s="14">
        <f t="shared" ref="R379:R399" si="38">R378+1</f>
        <v>877</v>
      </c>
      <c r="S379" s="4" t="str">
        <f>IFERROR(INDEX('LEV R&amp;D'!$D:$D,MATCH(MEDIÇÃO!R379,'LEV R&amp;D'!$A:$A,0))-INDEX('PROJETO PERFURAÇÃO'!$AH:$AH,MATCH(MEDIÇÃO!R379,'PROJETO PERFURAÇÃO'!$B:$B,0)),"")</f>
        <v/>
      </c>
      <c r="T379" s="17" t="str">
        <f>IFERROR(INDEX('PROJETO PERFURAÇÃO'!$AN:$AN,MATCH(MEDIÇÃO!R379,'PROJETO PERFURAÇÃO'!$B:$B,0)),"")</f>
        <v/>
      </c>
      <c r="U379" s="3"/>
      <c r="V379" s="3"/>
    </row>
    <row r="380" spans="1:23" ht="45" customHeight="1">
      <c r="B380" s="3" t="str">
        <f>IFERROR(ROUND(INDEX('PROJETO PERFURAÇÃO'!$AB:$AB,MATCH(MEDIÇÃO!D380,'PROJETO PERFURAÇÃO'!$B:$B,0)),1)&amp;"''","")</f>
        <v>5''</v>
      </c>
      <c r="C380" s="3" t="str">
        <f>IFERROR(IF(INDEX('PROJETO PERFURAÇÃO'!$P:$P,MATCH(MEDIÇÃO!D380,'PROJETO PERFURAÇÃO'!$B:$B,0))="Production","P",IF(INDEX('PROJETO PERFURAÇÃO'!$P:$P,MATCH(MEDIÇÃO!D380,'PROJETO PERFURAÇÃO'!$B:$B,0))="Buffer","B",IF(INDEX('PROJETO PERFURAÇÃO'!$P:$P,MATCH(MEDIÇÃO!D380,'PROJETO PERFURAÇÃO'!$B:$B,0))="Pre-Splitting","S"))),"")</f>
        <v>P</v>
      </c>
      <c r="D380" s="14">
        <f t="shared" si="36"/>
        <v>832</v>
      </c>
      <c r="E380" s="4" t="str">
        <f>IFERROR(INDEX('LEV R&amp;D'!$D:$D,MATCH(MEDIÇÃO!D380,'LEV R&amp;D'!$A:$A,0))-INDEX('PROJETO PERFURAÇÃO'!$AH:$AH,MATCH(MEDIÇÃO!D380,'PROJETO PERFURAÇÃO'!$B:$B,0)),"")</f>
        <v/>
      </c>
      <c r="F380" s="17">
        <f>IFERROR(INDEX('PROJETO PERFURAÇÃO'!$AN:$AN,MATCH(MEDIÇÃO!D380,'PROJETO PERFURAÇÃO'!$B:$B,0)),"")</f>
        <v>0</v>
      </c>
      <c r="G380" s="3"/>
      <c r="H380" s="3"/>
      <c r="I380" s="3" t="str">
        <f>IFERROR(ROUND(INDEX('PROJETO PERFURAÇÃO'!$AB:$AB,MATCH(MEDIÇÃO!K380,'PROJETO PERFURAÇÃO'!$B:$B,0)),1)&amp;"''","")</f>
        <v/>
      </c>
      <c r="J380" s="3" t="str">
        <f>IFERROR(IF(INDEX('PROJETO PERFURAÇÃO'!$P:$P,MATCH(MEDIÇÃO!K380,'PROJETO PERFURAÇÃO'!$B:$B,0))="Production","P",IF(INDEX('PROJETO PERFURAÇÃO'!$P:$P,MATCH(MEDIÇÃO!K380,'PROJETO PERFURAÇÃO'!$B:$B,0))="Buffer","B",IF(INDEX('PROJETO PERFURAÇÃO'!$P:$P,MATCH(MEDIÇÃO!K380,'PROJETO PERFURAÇÃO'!$B:$B,0))="Pre-Splitting","S"))),"")</f>
        <v/>
      </c>
      <c r="K380" s="14">
        <f t="shared" si="37"/>
        <v>855</v>
      </c>
      <c r="L380" s="4" t="str">
        <f>IFERROR(INDEX('LEV R&amp;D'!$D:$D,MATCH(MEDIÇÃO!K380,'LEV R&amp;D'!$A:$A,0))-INDEX('PROJETO PERFURAÇÃO'!$AH:$AH,MATCH(MEDIÇÃO!K380,'PROJETO PERFURAÇÃO'!$B:$B,0)),"")</f>
        <v/>
      </c>
      <c r="M380" s="17" t="str">
        <f>IFERROR(INDEX('PROJETO PERFURAÇÃO'!$AN:$AN,MATCH(MEDIÇÃO!K380,'PROJETO PERFURAÇÃO'!$B:$B,0)),"")</f>
        <v/>
      </c>
      <c r="N380" s="3"/>
      <c r="O380" s="3"/>
      <c r="P380" s="3" t="str">
        <f>IFERROR(ROUND(INDEX('PROJETO PERFURAÇÃO'!$AB:$AB,MATCH(MEDIÇÃO!R380,'PROJETO PERFURAÇÃO'!$B:$B,0)),1)&amp;"''","")</f>
        <v/>
      </c>
      <c r="Q380" s="3" t="str">
        <f>IFERROR(IF(INDEX('PROJETO PERFURAÇÃO'!$P:$P,MATCH(MEDIÇÃO!R380,'PROJETO PERFURAÇÃO'!$B:$B,0))="Production","P",IF(INDEX('PROJETO PERFURAÇÃO'!$P:$P,MATCH(MEDIÇÃO!R380,'PROJETO PERFURAÇÃO'!$B:$B,0))="Buffer","B",IF(INDEX('PROJETO PERFURAÇÃO'!$P:$P,MATCH(MEDIÇÃO!R380,'PROJETO PERFURAÇÃO'!$B:$B,0))="Pre-Splitting","S"))),"")</f>
        <v/>
      </c>
      <c r="R380" s="14">
        <f t="shared" si="38"/>
        <v>878</v>
      </c>
      <c r="S380" s="4" t="str">
        <f>IFERROR(INDEX('LEV R&amp;D'!$D:$D,MATCH(MEDIÇÃO!R380,'LEV R&amp;D'!$A:$A,0))-INDEX('PROJETO PERFURAÇÃO'!$AH:$AH,MATCH(MEDIÇÃO!R380,'PROJETO PERFURAÇÃO'!$B:$B,0)),"")</f>
        <v/>
      </c>
      <c r="T380" s="17" t="str">
        <f>IFERROR(INDEX('PROJETO PERFURAÇÃO'!$AN:$AN,MATCH(MEDIÇÃO!R380,'PROJETO PERFURAÇÃO'!$B:$B,0)),"")</f>
        <v/>
      </c>
      <c r="U380" s="3"/>
      <c r="V380" s="3"/>
    </row>
    <row r="381" spans="1:23" ht="45" customHeight="1">
      <c r="B381" s="3" t="str">
        <f>IFERROR(ROUND(INDEX('PROJETO PERFURAÇÃO'!$AB:$AB,MATCH(MEDIÇÃO!D381,'PROJETO PERFURAÇÃO'!$B:$B,0)),1)&amp;"''","")</f>
        <v>5''</v>
      </c>
      <c r="C381" s="3" t="str">
        <f>IFERROR(IF(INDEX('PROJETO PERFURAÇÃO'!$P:$P,MATCH(MEDIÇÃO!D381,'PROJETO PERFURAÇÃO'!$B:$B,0))="Production","P",IF(INDEX('PROJETO PERFURAÇÃO'!$P:$P,MATCH(MEDIÇÃO!D381,'PROJETO PERFURAÇÃO'!$B:$B,0))="Buffer","B",IF(INDEX('PROJETO PERFURAÇÃO'!$P:$P,MATCH(MEDIÇÃO!D381,'PROJETO PERFURAÇÃO'!$B:$B,0))="Pre-Splitting","S"))),"")</f>
        <v>P</v>
      </c>
      <c r="D381" s="14">
        <f t="shared" si="36"/>
        <v>833</v>
      </c>
      <c r="E381" s="4" t="str">
        <f>IFERROR(INDEX('LEV R&amp;D'!$D:$D,MATCH(MEDIÇÃO!D381,'LEV R&amp;D'!$A:$A,0))-INDEX('PROJETO PERFURAÇÃO'!$AH:$AH,MATCH(MEDIÇÃO!D381,'PROJETO PERFURAÇÃO'!$B:$B,0)),"")</f>
        <v/>
      </c>
      <c r="F381" s="17">
        <f>IFERROR(INDEX('PROJETO PERFURAÇÃO'!$AN:$AN,MATCH(MEDIÇÃO!D381,'PROJETO PERFURAÇÃO'!$B:$B,0)),"")</f>
        <v>0</v>
      </c>
      <c r="G381" s="3"/>
      <c r="H381" s="3"/>
      <c r="I381" s="3" t="str">
        <f>IFERROR(ROUND(INDEX('PROJETO PERFURAÇÃO'!$AB:$AB,MATCH(MEDIÇÃO!K381,'PROJETO PERFURAÇÃO'!$B:$B,0)),1)&amp;"''","")</f>
        <v/>
      </c>
      <c r="J381" s="3" t="str">
        <f>IFERROR(IF(INDEX('PROJETO PERFURAÇÃO'!$P:$P,MATCH(MEDIÇÃO!K381,'PROJETO PERFURAÇÃO'!$B:$B,0))="Production","P",IF(INDEX('PROJETO PERFURAÇÃO'!$P:$P,MATCH(MEDIÇÃO!K381,'PROJETO PERFURAÇÃO'!$B:$B,0))="Buffer","B",IF(INDEX('PROJETO PERFURAÇÃO'!$P:$P,MATCH(MEDIÇÃO!K381,'PROJETO PERFURAÇÃO'!$B:$B,0))="Pre-Splitting","S"))),"")</f>
        <v/>
      </c>
      <c r="K381" s="14">
        <f t="shared" si="37"/>
        <v>856</v>
      </c>
      <c r="L381" s="4" t="str">
        <f>IFERROR(INDEX('LEV R&amp;D'!$D:$D,MATCH(MEDIÇÃO!K381,'LEV R&amp;D'!$A:$A,0))-INDEX('PROJETO PERFURAÇÃO'!$AH:$AH,MATCH(MEDIÇÃO!K381,'PROJETO PERFURAÇÃO'!$B:$B,0)),"")</f>
        <v/>
      </c>
      <c r="M381" s="17" t="str">
        <f>IFERROR(INDEX('PROJETO PERFURAÇÃO'!$AN:$AN,MATCH(MEDIÇÃO!K381,'PROJETO PERFURAÇÃO'!$B:$B,0)),"")</f>
        <v/>
      </c>
      <c r="N381" s="3"/>
      <c r="O381" s="3"/>
      <c r="P381" s="3" t="str">
        <f>IFERROR(ROUND(INDEX('PROJETO PERFURAÇÃO'!$AB:$AB,MATCH(MEDIÇÃO!R381,'PROJETO PERFURAÇÃO'!$B:$B,0)),1)&amp;"''","")</f>
        <v/>
      </c>
      <c r="Q381" s="3" t="str">
        <f>IFERROR(IF(INDEX('PROJETO PERFURAÇÃO'!$P:$P,MATCH(MEDIÇÃO!R381,'PROJETO PERFURAÇÃO'!$B:$B,0))="Production","P",IF(INDEX('PROJETO PERFURAÇÃO'!$P:$P,MATCH(MEDIÇÃO!R381,'PROJETO PERFURAÇÃO'!$B:$B,0))="Buffer","B",IF(INDEX('PROJETO PERFURAÇÃO'!$P:$P,MATCH(MEDIÇÃO!R381,'PROJETO PERFURAÇÃO'!$B:$B,0))="Pre-Splitting","S"))),"")</f>
        <v/>
      </c>
      <c r="R381" s="14">
        <f t="shared" si="38"/>
        <v>879</v>
      </c>
      <c r="S381" s="4" t="str">
        <f>IFERROR(INDEX('LEV R&amp;D'!$D:$D,MATCH(MEDIÇÃO!R381,'LEV R&amp;D'!$A:$A,0))-INDEX('PROJETO PERFURAÇÃO'!$AH:$AH,MATCH(MEDIÇÃO!R381,'PROJETO PERFURAÇÃO'!$B:$B,0)),"")</f>
        <v/>
      </c>
      <c r="T381" s="17" t="str">
        <f>IFERROR(INDEX('PROJETO PERFURAÇÃO'!$AN:$AN,MATCH(MEDIÇÃO!R381,'PROJETO PERFURAÇÃO'!$B:$B,0)),"")</f>
        <v/>
      </c>
      <c r="U381" s="3"/>
      <c r="V381" s="3"/>
    </row>
    <row r="382" spans="1:23" ht="45" customHeight="1">
      <c r="B382" s="3" t="str">
        <f>IFERROR(ROUND(INDEX('PROJETO PERFURAÇÃO'!$AB:$AB,MATCH(MEDIÇÃO!D382,'PROJETO PERFURAÇÃO'!$B:$B,0)),1)&amp;"''","")</f>
        <v>5''</v>
      </c>
      <c r="C382" s="3" t="str">
        <f>IFERROR(IF(INDEX('PROJETO PERFURAÇÃO'!$P:$P,MATCH(MEDIÇÃO!D382,'PROJETO PERFURAÇÃO'!$B:$B,0))="Production","P",IF(INDEX('PROJETO PERFURAÇÃO'!$P:$P,MATCH(MEDIÇÃO!D382,'PROJETO PERFURAÇÃO'!$B:$B,0))="Buffer","B",IF(INDEX('PROJETO PERFURAÇÃO'!$P:$P,MATCH(MEDIÇÃO!D382,'PROJETO PERFURAÇÃO'!$B:$B,0))="Pre-Splitting","S"))),"")</f>
        <v>P</v>
      </c>
      <c r="D382" s="14">
        <f t="shared" si="36"/>
        <v>834</v>
      </c>
      <c r="E382" s="4" t="str">
        <f>IFERROR(INDEX('LEV R&amp;D'!$D:$D,MATCH(MEDIÇÃO!D382,'LEV R&amp;D'!$A:$A,0))-INDEX('PROJETO PERFURAÇÃO'!$AH:$AH,MATCH(MEDIÇÃO!D382,'PROJETO PERFURAÇÃO'!$B:$B,0)),"")</f>
        <v/>
      </c>
      <c r="F382" s="17">
        <f>IFERROR(INDEX('PROJETO PERFURAÇÃO'!$AN:$AN,MATCH(MEDIÇÃO!D382,'PROJETO PERFURAÇÃO'!$B:$B,0)),"")</f>
        <v>0</v>
      </c>
      <c r="G382" s="3"/>
      <c r="H382" s="3"/>
      <c r="I382" s="3" t="str">
        <f>IFERROR(ROUND(INDEX('PROJETO PERFURAÇÃO'!$AB:$AB,MATCH(MEDIÇÃO!K382,'PROJETO PERFURAÇÃO'!$B:$B,0)),1)&amp;"''","")</f>
        <v/>
      </c>
      <c r="J382" s="3" t="str">
        <f>IFERROR(IF(INDEX('PROJETO PERFURAÇÃO'!$P:$P,MATCH(MEDIÇÃO!K382,'PROJETO PERFURAÇÃO'!$B:$B,0))="Production","P",IF(INDEX('PROJETO PERFURAÇÃO'!$P:$P,MATCH(MEDIÇÃO!K382,'PROJETO PERFURAÇÃO'!$B:$B,0))="Buffer","B",IF(INDEX('PROJETO PERFURAÇÃO'!$P:$P,MATCH(MEDIÇÃO!K382,'PROJETO PERFURAÇÃO'!$B:$B,0))="Pre-Splitting","S"))),"")</f>
        <v/>
      </c>
      <c r="K382" s="14">
        <f t="shared" si="37"/>
        <v>857</v>
      </c>
      <c r="L382" s="4" t="str">
        <f>IFERROR(INDEX('LEV R&amp;D'!$D:$D,MATCH(MEDIÇÃO!K382,'LEV R&amp;D'!$A:$A,0))-INDEX('PROJETO PERFURAÇÃO'!$AH:$AH,MATCH(MEDIÇÃO!K382,'PROJETO PERFURAÇÃO'!$B:$B,0)),"")</f>
        <v/>
      </c>
      <c r="M382" s="17" t="str">
        <f>IFERROR(INDEX('PROJETO PERFURAÇÃO'!$AN:$AN,MATCH(MEDIÇÃO!K382,'PROJETO PERFURAÇÃO'!$B:$B,0)),"")</f>
        <v/>
      </c>
      <c r="N382" s="3"/>
      <c r="O382" s="3"/>
      <c r="P382" s="3" t="str">
        <f>IFERROR(ROUND(INDEX('PROJETO PERFURAÇÃO'!$AB:$AB,MATCH(MEDIÇÃO!R382,'PROJETO PERFURAÇÃO'!$B:$B,0)),1)&amp;"''","")</f>
        <v/>
      </c>
      <c r="Q382" s="3" t="str">
        <f>IFERROR(IF(INDEX('PROJETO PERFURAÇÃO'!$P:$P,MATCH(MEDIÇÃO!R382,'PROJETO PERFURAÇÃO'!$B:$B,0))="Production","P",IF(INDEX('PROJETO PERFURAÇÃO'!$P:$P,MATCH(MEDIÇÃO!R382,'PROJETO PERFURAÇÃO'!$B:$B,0))="Buffer","B",IF(INDEX('PROJETO PERFURAÇÃO'!$P:$P,MATCH(MEDIÇÃO!R382,'PROJETO PERFURAÇÃO'!$B:$B,0))="Pre-Splitting","S"))),"")</f>
        <v/>
      </c>
      <c r="R382" s="14">
        <f t="shared" si="38"/>
        <v>880</v>
      </c>
      <c r="S382" s="4" t="str">
        <f>IFERROR(INDEX('LEV R&amp;D'!$D:$D,MATCH(MEDIÇÃO!R382,'LEV R&amp;D'!$A:$A,0))-INDEX('PROJETO PERFURAÇÃO'!$AH:$AH,MATCH(MEDIÇÃO!R382,'PROJETO PERFURAÇÃO'!$B:$B,0)),"")</f>
        <v/>
      </c>
      <c r="T382" s="17" t="str">
        <f>IFERROR(INDEX('PROJETO PERFURAÇÃO'!$AN:$AN,MATCH(MEDIÇÃO!R382,'PROJETO PERFURAÇÃO'!$B:$B,0)),"")</f>
        <v/>
      </c>
      <c r="U382" s="3"/>
      <c r="V382" s="3"/>
    </row>
    <row r="383" spans="1:23" ht="45" customHeight="1">
      <c r="B383" s="3" t="str">
        <f>IFERROR(ROUND(INDEX('PROJETO PERFURAÇÃO'!$AB:$AB,MATCH(MEDIÇÃO!D383,'PROJETO PERFURAÇÃO'!$B:$B,0)),1)&amp;"''","")</f>
        <v>5''</v>
      </c>
      <c r="C383" s="3" t="str">
        <f>IFERROR(IF(INDEX('PROJETO PERFURAÇÃO'!$P:$P,MATCH(MEDIÇÃO!D383,'PROJETO PERFURAÇÃO'!$B:$B,0))="Production","P",IF(INDEX('PROJETO PERFURAÇÃO'!$P:$P,MATCH(MEDIÇÃO!D383,'PROJETO PERFURAÇÃO'!$B:$B,0))="Buffer","B",IF(INDEX('PROJETO PERFURAÇÃO'!$P:$P,MATCH(MEDIÇÃO!D383,'PROJETO PERFURAÇÃO'!$B:$B,0))="Pre-Splitting","S"))),"")</f>
        <v>P</v>
      </c>
      <c r="D383" s="14">
        <f t="shared" si="36"/>
        <v>835</v>
      </c>
      <c r="E383" s="4" t="str">
        <f>IFERROR(INDEX('LEV R&amp;D'!$D:$D,MATCH(MEDIÇÃO!D383,'LEV R&amp;D'!$A:$A,0))-INDEX('PROJETO PERFURAÇÃO'!$AH:$AH,MATCH(MEDIÇÃO!D383,'PROJETO PERFURAÇÃO'!$B:$B,0)),"")</f>
        <v/>
      </c>
      <c r="F383" s="17">
        <f>IFERROR(INDEX('PROJETO PERFURAÇÃO'!$AN:$AN,MATCH(MEDIÇÃO!D383,'PROJETO PERFURAÇÃO'!$B:$B,0)),"")</f>
        <v>0</v>
      </c>
      <c r="G383" s="3"/>
      <c r="H383" s="3"/>
      <c r="I383" s="3" t="str">
        <f>IFERROR(ROUND(INDEX('PROJETO PERFURAÇÃO'!$AB:$AB,MATCH(MEDIÇÃO!K383,'PROJETO PERFURAÇÃO'!$B:$B,0)),1)&amp;"''","")</f>
        <v/>
      </c>
      <c r="J383" s="3" t="str">
        <f>IFERROR(IF(INDEX('PROJETO PERFURAÇÃO'!$P:$P,MATCH(MEDIÇÃO!K383,'PROJETO PERFURAÇÃO'!$B:$B,0))="Production","P",IF(INDEX('PROJETO PERFURAÇÃO'!$P:$P,MATCH(MEDIÇÃO!K383,'PROJETO PERFURAÇÃO'!$B:$B,0))="Buffer","B",IF(INDEX('PROJETO PERFURAÇÃO'!$P:$P,MATCH(MEDIÇÃO!K383,'PROJETO PERFURAÇÃO'!$B:$B,0))="Pre-Splitting","S"))),"")</f>
        <v/>
      </c>
      <c r="K383" s="14">
        <f t="shared" si="37"/>
        <v>858</v>
      </c>
      <c r="L383" s="4" t="str">
        <f>IFERROR(INDEX('LEV R&amp;D'!$D:$D,MATCH(MEDIÇÃO!K383,'LEV R&amp;D'!$A:$A,0))-INDEX('PROJETO PERFURAÇÃO'!$AH:$AH,MATCH(MEDIÇÃO!K383,'PROJETO PERFURAÇÃO'!$B:$B,0)),"")</f>
        <v/>
      </c>
      <c r="M383" s="17" t="str">
        <f>IFERROR(INDEX('PROJETO PERFURAÇÃO'!$AN:$AN,MATCH(MEDIÇÃO!K383,'PROJETO PERFURAÇÃO'!$B:$B,0)),"")</f>
        <v/>
      </c>
      <c r="N383" s="3"/>
      <c r="O383" s="3"/>
      <c r="P383" s="3" t="str">
        <f>IFERROR(ROUND(INDEX('PROJETO PERFURAÇÃO'!$AB:$AB,MATCH(MEDIÇÃO!R383,'PROJETO PERFURAÇÃO'!$B:$B,0)),1)&amp;"''","")</f>
        <v/>
      </c>
      <c r="Q383" s="3" t="str">
        <f>IFERROR(IF(INDEX('PROJETO PERFURAÇÃO'!$P:$P,MATCH(MEDIÇÃO!R383,'PROJETO PERFURAÇÃO'!$B:$B,0))="Production","P",IF(INDEX('PROJETO PERFURAÇÃO'!$P:$P,MATCH(MEDIÇÃO!R383,'PROJETO PERFURAÇÃO'!$B:$B,0))="Buffer","B",IF(INDEX('PROJETO PERFURAÇÃO'!$P:$P,MATCH(MEDIÇÃO!R383,'PROJETO PERFURAÇÃO'!$B:$B,0))="Pre-Splitting","S"))),"")</f>
        <v/>
      </c>
      <c r="R383" s="14">
        <f t="shared" si="38"/>
        <v>881</v>
      </c>
      <c r="S383" s="4" t="str">
        <f>IFERROR(INDEX('LEV R&amp;D'!$D:$D,MATCH(MEDIÇÃO!R383,'LEV R&amp;D'!$A:$A,0))-INDEX('PROJETO PERFURAÇÃO'!$AH:$AH,MATCH(MEDIÇÃO!R383,'PROJETO PERFURAÇÃO'!$B:$B,0)),"")</f>
        <v/>
      </c>
      <c r="T383" s="17" t="str">
        <f>IFERROR(INDEX('PROJETO PERFURAÇÃO'!$AN:$AN,MATCH(MEDIÇÃO!R383,'PROJETO PERFURAÇÃO'!$B:$B,0)),"")</f>
        <v/>
      </c>
      <c r="U383" s="3"/>
      <c r="V383" s="3"/>
    </row>
    <row r="384" spans="1:23" ht="45" customHeight="1">
      <c r="B384" s="3" t="str">
        <f>IFERROR(ROUND(INDEX('PROJETO PERFURAÇÃO'!$AB:$AB,MATCH(MEDIÇÃO!D384,'PROJETO PERFURAÇÃO'!$B:$B,0)),1)&amp;"''","")</f>
        <v>5''</v>
      </c>
      <c r="C384" s="3" t="str">
        <f>IFERROR(IF(INDEX('PROJETO PERFURAÇÃO'!$P:$P,MATCH(MEDIÇÃO!D384,'PROJETO PERFURAÇÃO'!$B:$B,0))="Production","P",IF(INDEX('PROJETO PERFURAÇÃO'!$P:$P,MATCH(MEDIÇÃO!D384,'PROJETO PERFURAÇÃO'!$B:$B,0))="Buffer","B",IF(INDEX('PROJETO PERFURAÇÃO'!$P:$P,MATCH(MEDIÇÃO!D384,'PROJETO PERFURAÇÃO'!$B:$B,0))="Pre-Splitting","S"))),"")</f>
        <v>P</v>
      </c>
      <c r="D384" s="14">
        <f t="shared" si="36"/>
        <v>836</v>
      </c>
      <c r="E384" s="4" t="str">
        <f>IFERROR(INDEX('LEV R&amp;D'!$D:$D,MATCH(MEDIÇÃO!D384,'LEV R&amp;D'!$A:$A,0))-INDEX('PROJETO PERFURAÇÃO'!$AH:$AH,MATCH(MEDIÇÃO!D384,'PROJETO PERFURAÇÃO'!$B:$B,0)),"")</f>
        <v/>
      </c>
      <c r="F384" s="17">
        <f>IFERROR(INDEX('PROJETO PERFURAÇÃO'!$AN:$AN,MATCH(MEDIÇÃO!D384,'PROJETO PERFURAÇÃO'!$B:$B,0)),"")</f>
        <v>0</v>
      </c>
      <c r="G384" s="3"/>
      <c r="H384" s="3"/>
      <c r="I384" s="3" t="str">
        <f>IFERROR(ROUND(INDEX('PROJETO PERFURAÇÃO'!$AB:$AB,MATCH(MEDIÇÃO!K384,'PROJETO PERFURAÇÃO'!$B:$B,0)),1)&amp;"''","")</f>
        <v/>
      </c>
      <c r="J384" s="3" t="str">
        <f>IFERROR(IF(INDEX('PROJETO PERFURAÇÃO'!$P:$P,MATCH(MEDIÇÃO!K384,'PROJETO PERFURAÇÃO'!$B:$B,0))="Production","P",IF(INDEX('PROJETO PERFURAÇÃO'!$P:$P,MATCH(MEDIÇÃO!K384,'PROJETO PERFURAÇÃO'!$B:$B,0))="Buffer","B",IF(INDEX('PROJETO PERFURAÇÃO'!$P:$P,MATCH(MEDIÇÃO!K384,'PROJETO PERFURAÇÃO'!$B:$B,0))="Pre-Splitting","S"))),"")</f>
        <v/>
      </c>
      <c r="K384" s="14">
        <f t="shared" si="37"/>
        <v>859</v>
      </c>
      <c r="L384" s="4" t="str">
        <f>IFERROR(INDEX('LEV R&amp;D'!$D:$D,MATCH(MEDIÇÃO!K384,'LEV R&amp;D'!$A:$A,0))-INDEX('PROJETO PERFURAÇÃO'!$AH:$AH,MATCH(MEDIÇÃO!K384,'PROJETO PERFURAÇÃO'!$B:$B,0)),"")</f>
        <v/>
      </c>
      <c r="M384" s="17" t="str">
        <f>IFERROR(INDEX('PROJETO PERFURAÇÃO'!$AN:$AN,MATCH(MEDIÇÃO!K384,'PROJETO PERFURAÇÃO'!$B:$B,0)),"")</f>
        <v/>
      </c>
      <c r="N384" s="3"/>
      <c r="O384" s="3"/>
      <c r="P384" s="3" t="str">
        <f>IFERROR(ROUND(INDEX('PROJETO PERFURAÇÃO'!$AB:$AB,MATCH(MEDIÇÃO!R384,'PROJETO PERFURAÇÃO'!$B:$B,0)),1)&amp;"''","")</f>
        <v/>
      </c>
      <c r="Q384" s="3" t="str">
        <f>IFERROR(IF(INDEX('PROJETO PERFURAÇÃO'!$P:$P,MATCH(MEDIÇÃO!R384,'PROJETO PERFURAÇÃO'!$B:$B,0))="Production","P",IF(INDEX('PROJETO PERFURAÇÃO'!$P:$P,MATCH(MEDIÇÃO!R384,'PROJETO PERFURAÇÃO'!$B:$B,0))="Buffer","B",IF(INDEX('PROJETO PERFURAÇÃO'!$P:$P,MATCH(MEDIÇÃO!R384,'PROJETO PERFURAÇÃO'!$B:$B,0))="Pre-Splitting","S"))),"")</f>
        <v/>
      </c>
      <c r="R384" s="14">
        <f t="shared" si="38"/>
        <v>882</v>
      </c>
      <c r="S384" s="4" t="str">
        <f>IFERROR(INDEX('LEV R&amp;D'!$D:$D,MATCH(MEDIÇÃO!R384,'LEV R&amp;D'!$A:$A,0))-INDEX('PROJETO PERFURAÇÃO'!$AH:$AH,MATCH(MEDIÇÃO!R384,'PROJETO PERFURAÇÃO'!$B:$B,0)),"")</f>
        <v/>
      </c>
      <c r="T384" s="17" t="str">
        <f>IFERROR(INDEX('PROJETO PERFURAÇÃO'!$AN:$AN,MATCH(MEDIÇÃO!R384,'PROJETO PERFURAÇÃO'!$B:$B,0)),"")</f>
        <v/>
      </c>
      <c r="U384" s="3"/>
      <c r="V384" s="3"/>
    </row>
    <row r="385" spans="2:22" ht="45" customHeight="1">
      <c r="B385" s="3" t="str">
        <f>IFERROR(ROUND(INDEX('PROJETO PERFURAÇÃO'!$AB:$AB,MATCH(MEDIÇÃO!D385,'PROJETO PERFURAÇÃO'!$B:$B,0)),1)&amp;"''","")</f>
        <v>5''</v>
      </c>
      <c r="C385" s="3" t="str">
        <f>IFERROR(IF(INDEX('PROJETO PERFURAÇÃO'!$P:$P,MATCH(MEDIÇÃO!D385,'PROJETO PERFURAÇÃO'!$B:$B,0))="Production","P",IF(INDEX('PROJETO PERFURAÇÃO'!$P:$P,MATCH(MEDIÇÃO!D385,'PROJETO PERFURAÇÃO'!$B:$B,0))="Buffer","B",IF(INDEX('PROJETO PERFURAÇÃO'!$P:$P,MATCH(MEDIÇÃO!D385,'PROJETO PERFURAÇÃO'!$B:$B,0))="Pre-Splitting","S"))),"")</f>
        <v>P</v>
      </c>
      <c r="D385" s="14">
        <f t="shared" si="36"/>
        <v>837</v>
      </c>
      <c r="E385" s="4" t="str">
        <f>IFERROR(INDEX('LEV R&amp;D'!$D:$D,MATCH(MEDIÇÃO!D385,'LEV R&amp;D'!$A:$A,0))-INDEX('PROJETO PERFURAÇÃO'!$AH:$AH,MATCH(MEDIÇÃO!D385,'PROJETO PERFURAÇÃO'!$B:$B,0)),"")</f>
        <v/>
      </c>
      <c r="F385" s="17">
        <f>IFERROR(INDEX('PROJETO PERFURAÇÃO'!$AN:$AN,MATCH(MEDIÇÃO!D385,'PROJETO PERFURAÇÃO'!$B:$B,0)),"")</f>
        <v>0</v>
      </c>
      <c r="G385" s="3"/>
      <c r="H385" s="3"/>
      <c r="I385" s="3" t="str">
        <f>IFERROR(ROUND(INDEX('PROJETO PERFURAÇÃO'!$AB:$AB,MATCH(MEDIÇÃO!K385,'PROJETO PERFURAÇÃO'!$B:$B,0)),1)&amp;"''","")</f>
        <v/>
      </c>
      <c r="J385" s="3" t="str">
        <f>IFERROR(IF(INDEX('PROJETO PERFURAÇÃO'!$P:$P,MATCH(MEDIÇÃO!K385,'PROJETO PERFURAÇÃO'!$B:$B,0))="Production","P",IF(INDEX('PROJETO PERFURAÇÃO'!$P:$P,MATCH(MEDIÇÃO!K385,'PROJETO PERFURAÇÃO'!$B:$B,0))="Buffer","B",IF(INDEX('PROJETO PERFURAÇÃO'!$P:$P,MATCH(MEDIÇÃO!K385,'PROJETO PERFURAÇÃO'!$B:$B,0))="Pre-Splitting","S"))),"")</f>
        <v/>
      </c>
      <c r="K385" s="14">
        <f t="shared" si="37"/>
        <v>860</v>
      </c>
      <c r="L385" s="4" t="str">
        <f>IFERROR(INDEX('LEV R&amp;D'!$D:$D,MATCH(MEDIÇÃO!K385,'LEV R&amp;D'!$A:$A,0))-INDEX('PROJETO PERFURAÇÃO'!$AH:$AH,MATCH(MEDIÇÃO!K385,'PROJETO PERFURAÇÃO'!$B:$B,0)),"")</f>
        <v/>
      </c>
      <c r="M385" s="17" t="str">
        <f>IFERROR(INDEX('PROJETO PERFURAÇÃO'!$AN:$AN,MATCH(MEDIÇÃO!K385,'PROJETO PERFURAÇÃO'!$B:$B,0)),"")</f>
        <v/>
      </c>
      <c r="N385" s="3"/>
      <c r="O385" s="3"/>
      <c r="P385" s="3" t="str">
        <f>IFERROR(ROUND(INDEX('PROJETO PERFURAÇÃO'!$AB:$AB,MATCH(MEDIÇÃO!R385,'PROJETO PERFURAÇÃO'!$B:$B,0)),1)&amp;"''","")</f>
        <v/>
      </c>
      <c r="Q385" s="3" t="str">
        <f>IFERROR(IF(INDEX('PROJETO PERFURAÇÃO'!$P:$P,MATCH(MEDIÇÃO!R385,'PROJETO PERFURAÇÃO'!$B:$B,0))="Production","P",IF(INDEX('PROJETO PERFURAÇÃO'!$P:$P,MATCH(MEDIÇÃO!R385,'PROJETO PERFURAÇÃO'!$B:$B,0))="Buffer","B",IF(INDEX('PROJETO PERFURAÇÃO'!$P:$P,MATCH(MEDIÇÃO!R385,'PROJETO PERFURAÇÃO'!$B:$B,0))="Pre-Splitting","S"))),"")</f>
        <v/>
      </c>
      <c r="R385" s="14">
        <f t="shared" si="38"/>
        <v>883</v>
      </c>
      <c r="S385" s="4" t="str">
        <f>IFERROR(INDEX('LEV R&amp;D'!$D:$D,MATCH(MEDIÇÃO!R385,'LEV R&amp;D'!$A:$A,0))-INDEX('PROJETO PERFURAÇÃO'!$AH:$AH,MATCH(MEDIÇÃO!R385,'PROJETO PERFURAÇÃO'!$B:$B,0)),"")</f>
        <v/>
      </c>
      <c r="T385" s="17" t="str">
        <f>IFERROR(INDEX('PROJETO PERFURAÇÃO'!$AN:$AN,MATCH(MEDIÇÃO!R385,'PROJETO PERFURAÇÃO'!$B:$B,0)),"")</f>
        <v/>
      </c>
      <c r="U385" s="3"/>
      <c r="V385" s="3"/>
    </row>
    <row r="386" spans="2:22" ht="45" customHeight="1">
      <c r="B386" s="3" t="str">
        <f>IFERROR(ROUND(INDEX('PROJETO PERFURAÇÃO'!$AB:$AB,MATCH(MEDIÇÃO!D386,'PROJETO PERFURAÇÃO'!$B:$B,0)),1)&amp;"''","")</f>
        <v>5''</v>
      </c>
      <c r="C386" s="3" t="str">
        <f>IFERROR(IF(INDEX('PROJETO PERFURAÇÃO'!$P:$P,MATCH(MEDIÇÃO!D386,'PROJETO PERFURAÇÃO'!$B:$B,0))="Production","P",IF(INDEX('PROJETO PERFURAÇÃO'!$P:$P,MATCH(MEDIÇÃO!D386,'PROJETO PERFURAÇÃO'!$B:$B,0))="Buffer","B",IF(INDEX('PROJETO PERFURAÇÃO'!$P:$P,MATCH(MEDIÇÃO!D386,'PROJETO PERFURAÇÃO'!$B:$B,0))="Pre-Splitting","S"))),"")</f>
        <v>P</v>
      </c>
      <c r="D386" s="14">
        <f t="shared" si="36"/>
        <v>838</v>
      </c>
      <c r="E386" s="4" t="str">
        <f>IFERROR(INDEX('LEV R&amp;D'!$D:$D,MATCH(MEDIÇÃO!D386,'LEV R&amp;D'!$A:$A,0))-INDEX('PROJETO PERFURAÇÃO'!$AH:$AH,MATCH(MEDIÇÃO!D386,'PROJETO PERFURAÇÃO'!$B:$B,0)),"")</f>
        <v/>
      </c>
      <c r="F386" s="17">
        <f>IFERROR(INDEX('PROJETO PERFURAÇÃO'!$AN:$AN,MATCH(MEDIÇÃO!D386,'PROJETO PERFURAÇÃO'!$B:$B,0)),"")</f>
        <v>0</v>
      </c>
      <c r="G386" s="3"/>
      <c r="H386" s="3"/>
      <c r="I386" s="3" t="str">
        <f>IFERROR(ROUND(INDEX('PROJETO PERFURAÇÃO'!$AB:$AB,MATCH(MEDIÇÃO!K386,'PROJETO PERFURAÇÃO'!$B:$B,0)),1)&amp;"''","")</f>
        <v/>
      </c>
      <c r="J386" s="3" t="str">
        <f>IFERROR(IF(INDEX('PROJETO PERFURAÇÃO'!$P:$P,MATCH(MEDIÇÃO!K386,'PROJETO PERFURAÇÃO'!$B:$B,0))="Production","P",IF(INDEX('PROJETO PERFURAÇÃO'!$P:$P,MATCH(MEDIÇÃO!K386,'PROJETO PERFURAÇÃO'!$B:$B,0))="Buffer","B",IF(INDEX('PROJETO PERFURAÇÃO'!$P:$P,MATCH(MEDIÇÃO!K386,'PROJETO PERFURAÇÃO'!$B:$B,0))="Pre-Splitting","S"))),"")</f>
        <v/>
      </c>
      <c r="K386" s="14">
        <f t="shared" si="37"/>
        <v>861</v>
      </c>
      <c r="L386" s="4" t="str">
        <f>IFERROR(INDEX('LEV R&amp;D'!$D:$D,MATCH(MEDIÇÃO!K386,'LEV R&amp;D'!$A:$A,0))-INDEX('PROJETO PERFURAÇÃO'!$AH:$AH,MATCH(MEDIÇÃO!K386,'PROJETO PERFURAÇÃO'!$B:$B,0)),"")</f>
        <v/>
      </c>
      <c r="M386" s="17" t="str">
        <f>IFERROR(INDEX('PROJETO PERFURAÇÃO'!$AN:$AN,MATCH(MEDIÇÃO!K386,'PROJETO PERFURAÇÃO'!$B:$B,0)),"")</f>
        <v/>
      </c>
      <c r="N386" s="3"/>
      <c r="O386" s="3"/>
      <c r="P386" s="3" t="str">
        <f>IFERROR(ROUND(INDEX('PROJETO PERFURAÇÃO'!$AB:$AB,MATCH(MEDIÇÃO!R386,'PROJETO PERFURAÇÃO'!$B:$B,0)),1)&amp;"''","")</f>
        <v/>
      </c>
      <c r="Q386" s="3" t="str">
        <f>IFERROR(IF(INDEX('PROJETO PERFURAÇÃO'!$P:$P,MATCH(MEDIÇÃO!R386,'PROJETO PERFURAÇÃO'!$B:$B,0))="Production","P",IF(INDEX('PROJETO PERFURAÇÃO'!$P:$P,MATCH(MEDIÇÃO!R386,'PROJETO PERFURAÇÃO'!$B:$B,0))="Buffer","B",IF(INDEX('PROJETO PERFURAÇÃO'!$P:$P,MATCH(MEDIÇÃO!R386,'PROJETO PERFURAÇÃO'!$B:$B,0))="Pre-Splitting","S"))),"")</f>
        <v/>
      </c>
      <c r="R386" s="14">
        <f t="shared" si="38"/>
        <v>884</v>
      </c>
      <c r="S386" s="4" t="str">
        <f>IFERROR(INDEX('LEV R&amp;D'!$D:$D,MATCH(MEDIÇÃO!R386,'LEV R&amp;D'!$A:$A,0))-INDEX('PROJETO PERFURAÇÃO'!$AH:$AH,MATCH(MEDIÇÃO!R386,'PROJETO PERFURAÇÃO'!$B:$B,0)),"")</f>
        <v/>
      </c>
      <c r="T386" s="17" t="str">
        <f>IFERROR(INDEX('PROJETO PERFURAÇÃO'!$AN:$AN,MATCH(MEDIÇÃO!R386,'PROJETO PERFURAÇÃO'!$B:$B,0)),"")</f>
        <v/>
      </c>
      <c r="U386" s="3"/>
      <c r="V386" s="3"/>
    </row>
    <row r="387" spans="2:22" ht="45" customHeight="1">
      <c r="B387" s="3" t="str">
        <f>IFERROR(ROUND(INDEX('PROJETO PERFURAÇÃO'!$AB:$AB,MATCH(MEDIÇÃO!D387,'PROJETO PERFURAÇÃO'!$B:$B,0)),1)&amp;"''","")</f>
        <v>5''</v>
      </c>
      <c r="C387" s="3" t="str">
        <f>IFERROR(IF(INDEX('PROJETO PERFURAÇÃO'!$P:$P,MATCH(MEDIÇÃO!D387,'PROJETO PERFURAÇÃO'!$B:$B,0))="Production","P",IF(INDEX('PROJETO PERFURAÇÃO'!$P:$P,MATCH(MEDIÇÃO!D387,'PROJETO PERFURAÇÃO'!$B:$B,0))="Buffer","B",IF(INDEX('PROJETO PERFURAÇÃO'!$P:$P,MATCH(MEDIÇÃO!D387,'PROJETO PERFURAÇÃO'!$B:$B,0))="Pre-Splitting","S"))),"")</f>
        <v>P</v>
      </c>
      <c r="D387" s="14">
        <f t="shared" si="36"/>
        <v>839</v>
      </c>
      <c r="E387" s="4" t="str">
        <f>IFERROR(INDEX('LEV R&amp;D'!$D:$D,MATCH(MEDIÇÃO!D387,'LEV R&amp;D'!$A:$A,0))-INDEX('PROJETO PERFURAÇÃO'!$AH:$AH,MATCH(MEDIÇÃO!D387,'PROJETO PERFURAÇÃO'!$B:$B,0)),"")</f>
        <v/>
      </c>
      <c r="F387" s="17">
        <f>IFERROR(INDEX('PROJETO PERFURAÇÃO'!$AN:$AN,MATCH(MEDIÇÃO!D387,'PROJETO PERFURAÇÃO'!$B:$B,0)),"")</f>
        <v>0</v>
      </c>
      <c r="G387" s="3"/>
      <c r="H387" s="3"/>
      <c r="I387" s="3" t="str">
        <f>IFERROR(ROUND(INDEX('PROJETO PERFURAÇÃO'!$AB:$AB,MATCH(MEDIÇÃO!K387,'PROJETO PERFURAÇÃO'!$B:$B,0)),1)&amp;"''","")</f>
        <v/>
      </c>
      <c r="J387" s="3" t="str">
        <f>IFERROR(IF(INDEX('PROJETO PERFURAÇÃO'!$P:$P,MATCH(MEDIÇÃO!K387,'PROJETO PERFURAÇÃO'!$B:$B,0))="Production","P",IF(INDEX('PROJETO PERFURAÇÃO'!$P:$P,MATCH(MEDIÇÃO!K387,'PROJETO PERFURAÇÃO'!$B:$B,0))="Buffer","B",IF(INDEX('PROJETO PERFURAÇÃO'!$P:$P,MATCH(MEDIÇÃO!K387,'PROJETO PERFURAÇÃO'!$B:$B,0))="Pre-Splitting","S"))),"")</f>
        <v/>
      </c>
      <c r="K387" s="14">
        <f t="shared" si="37"/>
        <v>862</v>
      </c>
      <c r="L387" s="4" t="str">
        <f>IFERROR(INDEX('LEV R&amp;D'!$D:$D,MATCH(MEDIÇÃO!K387,'LEV R&amp;D'!$A:$A,0))-INDEX('PROJETO PERFURAÇÃO'!$AH:$AH,MATCH(MEDIÇÃO!K387,'PROJETO PERFURAÇÃO'!$B:$B,0)),"")</f>
        <v/>
      </c>
      <c r="M387" s="17" t="str">
        <f>IFERROR(INDEX('PROJETO PERFURAÇÃO'!$AN:$AN,MATCH(MEDIÇÃO!K387,'PROJETO PERFURAÇÃO'!$B:$B,0)),"")</f>
        <v/>
      </c>
      <c r="N387" s="3"/>
      <c r="O387" s="3"/>
      <c r="P387" s="3" t="str">
        <f>IFERROR(ROUND(INDEX('PROJETO PERFURAÇÃO'!$AB:$AB,MATCH(MEDIÇÃO!R387,'PROJETO PERFURAÇÃO'!$B:$B,0)),1)&amp;"''","")</f>
        <v/>
      </c>
      <c r="Q387" s="3" t="str">
        <f>IFERROR(IF(INDEX('PROJETO PERFURAÇÃO'!$P:$P,MATCH(MEDIÇÃO!R387,'PROJETO PERFURAÇÃO'!$B:$B,0))="Production","P",IF(INDEX('PROJETO PERFURAÇÃO'!$P:$P,MATCH(MEDIÇÃO!R387,'PROJETO PERFURAÇÃO'!$B:$B,0))="Buffer","B",IF(INDEX('PROJETO PERFURAÇÃO'!$P:$P,MATCH(MEDIÇÃO!R387,'PROJETO PERFURAÇÃO'!$B:$B,0))="Pre-Splitting","S"))),"")</f>
        <v/>
      </c>
      <c r="R387" s="14">
        <f t="shared" si="38"/>
        <v>885</v>
      </c>
      <c r="S387" s="4" t="str">
        <f>IFERROR(INDEX('LEV R&amp;D'!$D:$D,MATCH(MEDIÇÃO!R387,'LEV R&amp;D'!$A:$A,0))-INDEX('PROJETO PERFURAÇÃO'!$AH:$AH,MATCH(MEDIÇÃO!R387,'PROJETO PERFURAÇÃO'!$B:$B,0)),"")</f>
        <v/>
      </c>
      <c r="T387" s="17" t="str">
        <f>IFERROR(INDEX('PROJETO PERFURAÇÃO'!$AN:$AN,MATCH(MEDIÇÃO!R387,'PROJETO PERFURAÇÃO'!$B:$B,0)),"")</f>
        <v/>
      </c>
      <c r="U387" s="3"/>
      <c r="V387" s="3"/>
    </row>
    <row r="388" spans="2:22" ht="45" customHeight="1">
      <c r="B388" s="3" t="str">
        <f>IFERROR(ROUND(INDEX('PROJETO PERFURAÇÃO'!$AB:$AB,MATCH(MEDIÇÃO!D388,'PROJETO PERFURAÇÃO'!$B:$B,0)),1)&amp;"''","")</f>
        <v>5''</v>
      </c>
      <c r="C388" s="3" t="str">
        <f>IFERROR(IF(INDEX('PROJETO PERFURAÇÃO'!$P:$P,MATCH(MEDIÇÃO!D388,'PROJETO PERFURAÇÃO'!$B:$B,0))="Production","P",IF(INDEX('PROJETO PERFURAÇÃO'!$P:$P,MATCH(MEDIÇÃO!D388,'PROJETO PERFURAÇÃO'!$B:$B,0))="Buffer","B",IF(INDEX('PROJETO PERFURAÇÃO'!$P:$P,MATCH(MEDIÇÃO!D388,'PROJETO PERFURAÇÃO'!$B:$B,0))="Pre-Splitting","S"))),"")</f>
        <v>P</v>
      </c>
      <c r="D388" s="14">
        <f t="shared" si="36"/>
        <v>840</v>
      </c>
      <c r="E388" s="4" t="str">
        <f>IFERROR(INDEX('LEV R&amp;D'!$D:$D,MATCH(MEDIÇÃO!D388,'LEV R&amp;D'!$A:$A,0))-INDEX('PROJETO PERFURAÇÃO'!$AH:$AH,MATCH(MEDIÇÃO!D388,'PROJETO PERFURAÇÃO'!$B:$B,0)),"")</f>
        <v/>
      </c>
      <c r="F388" s="17">
        <f>IFERROR(INDEX('PROJETO PERFURAÇÃO'!$AN:$AN,MATCH(MEDIÇÃO!D388,'PROJETO PERFURAÇÃO'!$B:$B,0)),"")</f>
        <v>0</v>
      </c>
      <c r="G388" s="3"/>
      <c r="H388" s="3"/>
      <c r="I388" s="3" t="str">
        <f>IFERROR(ROUND(INDEX('PROJETO PERFURAÇÃO'!$AB:$AB,MATCH(MEDIÇÃO!K388,'PROJETO PERFURAÇÃO'!$B:$B,0)),1)&amp;"''","")</f>
        <v/>
      </c>
      <c r="J388" s="3" t="str">
        <f>IFERROR(IF(INDEX('PROJETO PERFURAÇÃO'!$P:$P,MATCH(MEDIÇÃO!K388,'PROJETO PERFURAÇÃO'!$B:$B,0))="Production","P",IF(INDEX('PROJETO PERFURAÇÃO'!$P:$P,MATCH(MEDIÇÃO!K388,'PROJETO PERFURAÇÃO'!$B:$B,0))="Buffer","B",IF(INDEX('PROJETO PERFURAÇÃO'!$P:$P,MATCH(MEDIÇÃO!K388,'PROJETO PERFURAÇÃO'!$B:$B,0))="Pre-Splitting","S"))),"")</f>
        <v/>
      </c>
      <c r="K388" s="14">
        <f t="shared" si="37"/>
        <v>863</v>
      </c>
      <c r="L388" s="4" t="str">
        <f>IFERROR(INDEX('LEV R&amp;D'!$D:$D,MATCH(MEDIÇÃO!K388,'LEV R&amp;D'!$A:$A,0))-INDEX('PROJETO PERFURAÇÃO'!$AH:$AH,MATCH(MEDIÇÃO!K388,'PROJETO PERFURAÇÃO'!$B:$B,0)),"")</f>
        <v/>
      </c>
      <c r="M388" s="17" t="str">
        <f>IFERROR(INDEX('PROJETO PERFURAÇÃO'!$AN:$AN,MATCH(MEDIÇÃO!K388,'PROJETO PERFURAÇÃO'!$B:$B,0)),"")</f>
        <v/>
      </c>
      <c r="N388" s="3"/>
      <c r="O388" s="3"/>
      <c r="P388" s="3" t="str">
        <f>IFERROR(ROUND(INDEX('PROJETO PERFURAÇÃO'!$AB:$AB,MATCH(MEDIÇÃO!R388,'PROJETO PERFURAÇÃO'!$B:$B,0)),1)&amp;"''","")</f>
        <v/>
      </c>
      <c r="Q388" s="3" t="str">
        <f>IFERROR(IF(INDEX('PROJETO PERFURAÇÃO'!$P:$P,MATCH(MEDIÇÃO!R388,'PROJETO PERFURAÇÃO'!$B:$B,0))="Production","P",IF(INDEX('PROJETO PERFURAÇÃO'!$P:$P,MATCH(MEDIÇÃO!R388,'PROJETO PERFURAÇÃO'!$B:$B,0))="Buffer","B",IF(INDEX('PROJETO PERFURAÇÃO'!$P:$P,MATCH(MEDIÇÃO!R388,'PROJETO PERFURAÇÃO'!$B:$B,0))="Pre-Splitting","S"))),"")</f>
        <v/>
      </c>
      <c r="R388" s="14">
        <f t="shared" si="38"/>
        <v>886</v>
      </c>
      <c r="S388" s="4" t="str">
        <f>IFERROR(INDEX('LEV R&amp;D'!$D:$D,MATCH(MEDIÇÃO!R388,'LEV R&amp;D'!$A:$A,0))-INDEX('PROJETO PERFURAÇÃO'!$AH:$AH,MATCH(MEDIÇÃO!R388,'PROJETO PERFURAÇÃO'!$B:$B,0)),"")</f>
        <v/>
      </c>
      <c r="T388" s="17" t="str">
        <f>IFERROR(INDEX('PROJETO PERFURAÇÃO'!$AN:$AN,MATCH(MEDIÇÃO!R388,'PROJETO PERFURAÇÃO'!$B:$B,0)),"")</f>
        <v/>
      </c>
      <c r="U388" s="3"/>
      <c r="V388" s="3"/>
    </row>
    <row r="389" spans="2:22" ht="45" customHeight="1">
      <c r="B389" s="3" t="str">
        <f>IFERROR(ROUND(INDEX('PROJETO PERFURAÇÃO'!$AB:$AB,MATCH(MEDIÇÃO!D389,'PROJETO PERFURAÇÃO'!$B:$B,0)),1)&amp;"''","")</f>
        <v>5''</v>
      </c>
      <c r="C389" s="3" t="str">
        <f>IFERROR(IF(INDEX('PROJETO PERFURAÇÃO'!$P:$P,MATCH(MEDIÇÃO!D389,'PROJETO PERFURAÇÃO'!$B:$B,0))="Production","P",IF(INDEX('PROJETO PERFURAÇÃO'!$P:$P,MATCH(MEDIÇÃO!D389,'PROJETO PERFURAÇÃO'!$B:$B,0))="Buffer","B",IF(INDEX('PROJETO PERFURAÇÃO'!$P:$P,MATCH(MEDIÇÃO!D389,'PROJETO PERFURAÇÃO'!$B:$B,0))="Pre-Splitting","S"))),"")</f>
        <v>P</v>
      </c>
      <c r="D389" s="14">
        <f t="shared" si="36"/>
        <v>841</v>
      </c>
      <c r="E389" s="4" t="str">
        <f>IFERROR(INDEX('LEV R&amp;D'!$D:$D,MATCH(MEDIÇÃO!D389,'LEV R&amp;D'!$A:$A,0))-INDEX('PROJETO PERFURAÇÃO'!$AH:$AH,MATCH(MEDIÇÃO!D389,'PROJETO PERFURAÇÃO'!$B:$B,0)),"")</f>
        <v/>
      </c>
      <c r="F389" s="17">
        <f>IFERROR(INDEX('PROJETO PERFURAÇÃO'!$AN:$AN,MATCH(MEDIÇÃO!D389,'PROJETO PERFURAÇÃO'!$B:$B,0)),"")</f>
        <v>0</v>
      </c>
      <c r="G389" s="3"/>
      <c r="H389" s="3"/>
      <c r="I389" s="3" t="str">
        <f>IFERROR(ROUND(INDEX('PROJETO PERFURAÇÃO'!$AB:$AB,MATCH(MEDIÇÃO!K389,'PROJETO PERFURAÇÃO'!$B:$B,0)),1)&amp;"''","")</f>
        <v/>
      </c>
      <c r="J389" s="3" t="str">
        <f>IFERROR(IF(INDEX('PROJETO PERFURAÇÃO'!$P:$P,MATCH(MEDIÇÃO!K389,'PROJETO PERFURAÇÃO'!$B:$B,0))="Production","P",IF(INDEX('PROJETO PERFURAÇÃO'!$P:$P,MATCH(MEDIÇÃO!K389,'PROJETO PERFURAÇÃO'!$B:$B,0))="Buffer","B",IF(INDEX('PROJETO PERFURAÇÃO'!$P:$P,MATCH(MEDIÇÃO!K389,'PROJETO PERFURAÇÃO'!$B:$B,0))="Pre-Splitting","S"))),"")</f>
        <v/>
      </c>
      <c r="K389" s="14">
        <f t="shared" si="37"/>
        <v>864</v>
      </c>
      <c r="L389" s="4" t="str">
        <f>IFERROR(INDEX('LEV R&amp;D'!$D:$D,MATCH(MEDIÇÃO!K389,'LEV R&amp;D'!$A:$A,0))-INDEX('PROJETO PERFURAÇÃO'!$AH:$AH,MATCH(MEDIÇÃO!K389,'PROJETO PERFURAÇÃO'!$B:$B,0)),"")</f>
        <v/>
      </c>
      <c r="M389" s="17" t="str">
        <f>IFERROR(INDEX('PROJETO PERFURAÇÃO'!$AN:$AN,MATCH(MEDIÇÃO!K389,'PROJETO PERFURAÇÃO'!$B:$B,0)),"")</f>
        <v/>
      </c>
      <c r="N389" s="3"/>
      <c r="O389" s="3"/>
      <c r="P389" s="3" t="str">
        <f>IFERROR(ROUND(INDEX('PROJETO PERFURAÇÃO'!$AB:$AB,MATCH(MEDIÇÃO!R389,'PROJETO PERFURAÇÃO'!$B:$B,0)),1)&amp;"''","")</f>
        <v/>
      </c>
      <c r="Q389" s="3" t="str">
        <f>IFERROR(IF(INDEX('PROJETO PERFURAÇÃO'!$P:$P,MATCH(MEDIÇÃO!R389,'PROJETO PERFURAÇÃO'!$B:$B,0))="Production","P",IF(INDEX('PROJETO PERFURAÇÃO'!$P:$P,MATCH(MEDIÇÃO!R389,'PROJETO PERFURAÇÃO'!$B:$B,0))="Buffer","B",IF(INDEX('PROJETO PERFURAÇÃO'!$P:$P,MATCH(MEDIÇÃO!R389,'PROJETO PERFURAÇÃO'!$B:$B,0))="Pre-Splitting","S"))),"")</f>
        <v/>
      </c>
      <c r="R389" s="14">
        <f t="shared" si="38"/>
        <v>887</v>
      </c>
      <c r="S389" s="4" t="str">
        <f>IFERROR(INDEX('LEV R&amp;D'!$D:$D,MATCH(MEDIÇÃO!R389,'LEV R&amp;D'!$A:$A,0))-INDEX('PROJETO PERFURAÇÃO'!$AH:$AH,MATCH(MEDIÇÃO!R389,'PROJETO PERFURAÇÃO'!$B:$B,0)),"")</f>
        <v/>
      </c>
      <c r="T389" s="17" t="str">
        <f>IFERROR(INDEX('PROJETO PERFURAÇÃO'!$AN:$AN,MATCH(MEDIÇÃO!R389,'PROJETO PERFURAÇÃO'!$B:$B,0)),"")</f>
        <v/>
      </c>
      <c r="U389" s="3"/>
      <c r="V389" s="3"/>
    </row>
    <row r="390" spans="2:22" ht="45" customHeight="1">
      <c r="B390" s="3" t="str">
        <f>IFERROR(ROUND(INDEX('PROJETO PERFURAÇÃO'!$AB:$AB,MATCH(MEDIÇÃO!D390,'PROJETO PERFURAÇÃO'!$B:$B,0)),1)&amp;"''","")</f>
        <v>5''</v>
      </c>
      <c r="C390" s="3" t="str">
        <f>IFERROR(IF(INDEX('PROJETO PERFURAÇÃO'!$P:$P,MATCH(MEDIÇÃO!D390,'PROJETO PERFURAÇÃO'!$B:$B,0))="Production","P",IF(INDEX('PROJETO PERFURAÇÃO'!$P:$P,MATCH(MEDIÇÃO!D390,'PROJETO PERFURAÇÃO'!$B:$B,0))="Buffer","B",IF(INDEX('PROJETO PERFURAÇÃO'!$P:$P,MATCH(MEDIÇÃO!D390,'PROJETO PERFURAÇÃO'!$B:$B,0))="Pre-Splitting","S"))),"")</f>
        <v>P</v>
      </c>
      <c r="D390" s="14">
        <f t="shared" si="36"/>
        <v>842</v>
      </c>
      <c r="E390" s="4" t="str">
        <f>IFERROR(INDEX('LEV R&amp;D'!$D:$D,MATCH(MEDIÇÃO!D390,'LEV R&amp;D'!$A:$A,0))-INDEX('PROJETO PERFURAÇÃO'!$AH:$AH,MATCH(MEDIÇÃO!D390,'PROJETO PERFURAÇÃO'!$B:$B,0)),"")</f>
        <v/>
      </c>
      <c r="F390" s="17">
        <f>IFERROR(INDEX('PROJETO PERFURAÇÃO'!$AN:$AN,MATCH(MEDIÇÃO!D390,'PROJETO PERFURAÇÃO'!$B:$B,0)),"")</f>
        <v>0</v>
      </c>
      <c r="G390" s="3"/>
      <c r="H390" s="3"/>
      <c r="I390" s="3" t="str">
        <f>IFERROR(ROUND(INDEX('PROJETO PERFURAÇÃO'!$AB:$AB,MATCH(MEDIÇÃO!K390,'PROJETO PERFURAÇÃO'!$B:$B,0)),1)&amp;"''","")</f>
        <v/>
      </c>
      <c r="J390" s="3" t="str">
        <f>IFERROR(IF(INDEX('PROJETO PERFURAÇÃO'!$P:$P,MATCH(MEDIÇÃO!K390,'PROJETO PERFURAÇÃO'!$B:$B,0))="Production","P",IF(INDEX('PROJETO PERFURAÇÃO'!$P:$P,MATCH(MEDIÇÃO!K390,'PROJETO PERFURAÇÃO'!$B:$B,0))="Buffer","B",IF(INDEX('PROJETO PERFURAÇÃO'!$P:$P,MATCH(MEDIÇÃO!K390,'PROJETO PERFURAÇÃO'!$B:$B,0))="Pre-Splitting","S"))),"")</f>
        <v/>
      </c>
      <c r="K390" s="14">
        <f t="shared" si="37"/>
        <v>865</v>
      </c>
      <c r="L390" s="4" t="str">
        <f>IFERROR(INDEX('LEV R&amp;D'!$D:$D,MATCH(MEDIÇÃO!K390,'LEV R&amp;D'!$A:$A,0))-INDEX('PROJETO PERFURAÇÃO'!$AH:$AH,MATCH(MEDIÇÃO!K390,'PROJETO PERFURAÇÃO'!$B:$B,0)),"")</f>
        <v/>
      </c>
      <c r="M390" s="17" t="str">
        <f>IFERROR(INDEX('PROJETO PERFURAÇÃO'!$AN:$AN,MATCH(MEDIÇÃO!K390,'PROJETO PERFURAÇÃO'!$B:$B,0)),"")</f>
        <v/>
      </c>
      <c r="N390" s="3"/>
      <c r="O390" s="3"/>
      <c r="P390" s="3" t="str">
        <f>IFERROR(ROUND(INDEX('PROJETO PERFURAÇÃO'!$AB:$AB,MATCH(MEDIÇÃO!R390,'PROJETO PERFURAÇÃO'!$B:$B,0)),1)&amp;"''","")</f>
        <v/>
      </c>
      <c r="Q390" s="3" t="str">
        <f>IFERROR(IF(INDEX('PROJETO PERFURAÇÃO'!$P:$P,MATCH(MEDIÇÃO!R390,'PROJETO PERFURAÇÃO'!$B:$B,0))="Production","P",IF(INDEX('PROJETO PERFURAÇÃO'!$P:$P,MATCH(MEDIÇÃO!R390,'PROJETO PERFURAÇÃO'!$B:$B,0))="Buffer","B",IF(INDEX('PROJETO PERFURAÇÃO'!$P:$P,MATCH(MEDIÇÃO!R390,'PROJETO PERFURAÇÃO'!$B:$B,0))="Pre-Splitting","S"))),"")</f>
        <v/>
      </c>
      <c r="R390" s="14">
        <f t="shared" si="38"/>
        <v>888</v>
      </c>
      <c r="S390" s="4" t="str">
        <f>IFERROR(INDEX('LEV R&amp;D'!$D:$D,MATCH(MEDIÇÃO!R390,'LEV R&amp;D'!$A:$A,0))-INDEX('PROJETO PERFURAÇÃO'!$AH:$AH,MATCH(MEDIÇÃO!R390,'PROJETO PERFURAÇÃO'!$B:$B,0)),"")</f>
        <v/>
      </c>
      <c r="T390" s="17" t="str">
        <f>IFERROR(INDEX('PROJETO PERFURAÇÃO'!$AN:$AN,MATCH(MEDIÇÃO!R390,'PROJETO PERFURAÇÃO'!$B:$B,0)),"")</f>
        <v/>
      </c>
      <c r="U390" s="3"/>
      <c r="V390" s="3"/>
    </row>
    <row r="391" spans="2:22" ht="45" customHeight="1">
      <c r="B391" s="3" t="str">
        <f>IFERROR(ROUND(INDEX('PROJETO PERFURAÇÃO'!$AB:$AB,MATCH(MEDIÇÃO!D391,'PROJETO PERFURAÇÃO'!$B:$B,0)),1)&amp;"''","")</f>
        <v>5''</v>
      </c>
      <c r="C391" s="3" t="str">
        <f>IFERROR(IF(INDEX('PROJETO PERFURAÇÃO'!$P:$P,MATCH(MEDIÇÃO!D391,'PROJETO PERFURAÇÃO'!$B:$B,0))="Production","P",IF(INDEX('PROJETO PERFURAÇÃO'!$P:$P,MATCH(MEDIÇÃO!D391,'PROJETO PERFURAÇÃO'!$B:$B,0))="Buffer","B",IF(INDEX('PROJETO PERFURAÇÃO'!$P:$P,MATCH(MEDIÇÃO!D391,'PROJETO PERFURAÇÃO'!$B:$B,0))="Pre-Splitting","S"))),"")</f>
        <v>P</v>
      </c>
      <c r="D391" s="14">
        <f t="shared" si="36"/>
        <v>843</v>
      </c>
      <c r="E391" s="4" t="str">
        <f>IFERROR(INDEX('LEV R&amp;D'!$D:$D,MATCH(MEDIÇÃO!D391,'LEV R&amp;D'!$A:$A,0))-INDEX('PROJETO PERFURAÇÃO'!$AH:$AH,MATCH(MEDIÇÃO!D391,'PROJETO PERFURAÇÃO'!$B:$B,0)),"")</f>
        <v/>
      </c>
      <c r="F391" s="17">
        <f>IFERROR(INDEX('PROJETO PERFURAÇÃO'!$AN:$AN,MATCH(MEDIÇÃO!D391,'PROJETO PERFURAÇÃO'!$B:$B,0)),"")</f>
        <v>0</v>
      </c>
      <c r="G391" s="3"/>
      <c r="H391" s="3"/>
      <c r="I391" s="3" t="str">
        <f>IFERROR(ROUND(INDEX('PROJETO PERFURAÇÃO'!$AB:$AB,MATCH(MEDIÇÃO!K391,'PROJETO PERFURAÇÃO'!$B:$B,0)),1)&amp;"''","")</f>
        <v/>
      </c>
      <c r="J391" s="3" t="str">
        <f>IFERROR(IF(INDEX('PROJETO PERFURAÇÃO'!$P:$P,MATCH(MEDIÇÃO!K391,'PROJETO PERFURAÇÃO'!$B:$B,0))="Production","P",IF(INDEX('PROJETO PERFURAÇÃO'!$P:$P,MATCH(MEDIÇÃO!K391,'PROJETO PERFURAÇÃO'!$B:$B,0))="Buffer","B",IF(INDEX('PROJETO PERFURAÇÃO'!$P:$P,MATCH(MEDIÇÃO!K391,'PROJETO PERFURAÇÃO'!$B:$B,0))="Pre-Splitting","S"))),"")</f>
        <v/>
      </c>
      <c r="K391" s="14">
        <f t="shared" si="37"/>
        <v>866</v>
      </c>
      <c r="L391" s="4" t="str">
        <f>IFERROR(INDEX('LEV R&amp;D'!$D:$D,MATCH(MEDIÇÃO!K391,'LEV R&amp;D'!$A:$A,0))-INDEX('PROJETO PERFURAÇÃO'!$AH:$AH,MATCH(MEDIÇÃO!K391,'PROJETO PERFURAÇÃO'!$B:$B,0)),"")</f>
        <v/>
      </c>
      <c r="M391" s="17" t="str">
        <f>IFERROR(INDEX('PROJETO PERFURAÇÃO'!$AN:$AN,MATCH(MEDIÇÃO!K391,'PROJETO PERFURAÇÃO'!$B:$B,0)),"")</f>
        <v/>
      </c>
      <c r="N391" s="3"/>
      <c r="O391" s="3"/>
      <c r="P391" s="3" t="str">
        <f>IFERROR(ROUND(INDEX('PROJETO PERFURAÇÃO'!$AB:$AB,MATCH(MEDIÇÃO!R391,'PROJETO PERFURAÇÃO'!$B:$B,0)),1)&amp;"''","")</f>
        <v/>
      </c>
      <c r="Q391" s="3" t="str">
        <f>IFERROR(IF(INDEX('PROJETO PERFURAÇÃO'!$P:$P,MATCH(MEDIÇÃO!R391,'PROJETO PERFURAÇÃO'!$B:$B,0))="Production","P",IF(INDEX('PROJETO PERFURAÇÃO'!$P:$P,MATCH(MEDIÇÃO!R391,'PROJETO PERFURAÇÃO'!$B:$B,0))="Buffer","B",IF(INDEX('PROJETO PERFURAÇÃO'!$P:$P,MATCH(MEDIÇÃO!R391,'PROJETO PERFURAÇÃO'!$B:$B,0))="Pre-Splitting","S"))),"")</f>
        <v/>
      </c>
      <c r="R391" s="14">
        <f t="shared" si="38"/>
        <v>889</v>
      </c>
      <c r="S391" s="4" t="str">
        <f>IFERROR(INDEX('LEV R&amp;D'!$D:$D,MATCH(MEDIÇÃO!R391,'LEV R&amp;D'!$A:$A,0))-INDEX('PROJETO PERFURAÇÃO'!$AH:$AH,MATCH(MEDIÇÃO!R391,'PROJETO PERFURAÇÃO'!$B:$B,0)),"")</f>
        <v/>
      </c>
      <c r="T391" s="17" t="str">
        <f>IFERROR(INDEX('PROJETO PERFURAÇÃO'!$AN:$AN,MATCH(MEDIÇÃO!R391,'PROJETO PERFURAÇÃO'!$B:$B,0)),"")</f>
        <v/>
      </c>
      <c r="U391" s="3"/>
      <c r="V391" s="3"/>
    </row>
    <row r="392" spans="2:22" ht="45" customHeight="1">
      <c r="B392" s="3" t="str">
        <f>IFERROR(ROUND(INDEX('PROJETO PERFURAÇÃO'!$AB:$AB,MATCH(MEDIÇÃO!D392,'PROJETO PERFURAÇÃO'!$B:$B,0)),1)&amp;"''","")</f>
        <v>5''</v>
      </c>
      <c r="C392" s="3" t="str">
        <f>IFERROR(IF(INDEX('PROJETO PERFURAÇÃO'!$P:$P,MATCH(MEDIÇÃO!D392,'PROJETO PERFURAÇÃO'!$B:$B,0))="Production","P",IF(INDEX('PROJETO PERFURAÇÃO'!$P:$P,MATCH(MEDIÇÃO!D392,'PROJETO PERFURAÇÃO'!$B:$B,0))="Buffer","B",IF(INDEX('PROJETO PERFURAÇÃO'!$P:$P,MATCH(MEDIÇÃO!D392,'PROJETO PERFURAÇÃO'!$B:$B,0))="Pre-Splitting","S"))),"")</f>
        <v>P</v>
      </c>
      <c r="D392" s="14">
        <f t="shared" si="36"/>
        <v>844</v>
      </c>
      <c r="E392" s="4" t="str">
        <f>IFERROR(INDEX('LEV R&amp;D'!$D:$D,MATCH(MEDIÇÃO!D392,'LEV R&amp;D'!$A:$A,0))-INDEX('PROJETO PERFURAÇÃO'!$AH:$AH,MATCH(MEDIÇÃO!D392,'PROJETO PERFURAÇÃO'!$B:$B,0)),"")</f>
        <v/>
      </c>
      <c r="F392" s="17">
        <f>IFERROR(INDEX('PROJETO PERFURAÇÃO'!$AN:$AN,MATCH(MEDIÇÃO!D392,'PROJETO PERFURAÇÃO'!$B:$B,0)),"")</f>
        <v>0</v>
      </c>
      <c r="G392" s="3"/>
      <c r="H392" s="3"/>
      <c r="I392" s="3" t="str">
        <f>IFERROR(ROUND(INDEX('PROJETO PERFURAÇÃO'!$AB:$AB,MATCH(MEDIÇÃO!K392,'PROJETO PERFURAÇÃO'!$B:$B,0)),1)&amp;"''","")</f>
        <v/>
      </c>
      <c r="J392" s="3" t="str">
        <f>IFERROR(IF(INDEX('PROJETO PERFURAÇÃO'!$P:$P,MATCH(MEDIÇÃO!K392,'PROJETO PERFURAÇÃO'!$B:$B,0))="Production","P",IF(INDEX('PROJETO PERFURAÇÃO'!$P:$P,MATCH(MEDIÇÃO!K392,'PROJETO PERFURAÇÃO'!$B:$B,0))="Buffer","B",IF(INDEX('PROJETO PERFURAÇÃO'!$P:$P,MATCH(MEDIÇÃO!K392,'PROJETO PERFURAÇÃO'!$B:$B,0))="Pre-Splitting","S"))),"")</f>
        <v/>
      </c>
      <c r="K392" s="14">
        <f t="shared" si="37"/>
        <v>867</v>
      </c>
      <c r="L392" s="4" t="str">
        <f>IFERROR(INDEX('LEV R&amp;D'!$D:$D,MATCH(MEDIÇÃO!K392,'LEV R&amp;D'!$A:$A,0))-INDEX('PROJETO PERFURAÇÃO'!$AH:$AH,MATCH(MEDIÇÃO!K392,'PROJETO PERFURAÇÃO'!$B:$B,0)),"")</f>
        <v/>
      </c>
      <c r="M392" s="17" t="str">
        <f>IFERROR(INDEX('PROJETO PERFURAÇÃO'!$AN:$AN,MATCH(MEDIÇÃO!K392,'PROJETO PERFURAÇÃO'!$B:$B,0)),"")</f>
        <v/>
      </c>
      <c r="N392" s="3"/>
      <c r="O392" s="3"/>
      <c r="P392" s="3" t="str">
        <f>IFERROR(ROUND(INDEX('PROJETO PERFURAÇÃO'!$AB:$AB,MATCH(MEDIÇÃO!R392,'PROJETO PERFURAÇÃO'!$B:$B,0)),1)&amp;"''","")</f>
        <v/>
      </c>
      <c r="Q392" s="3" t="str">
        <f>IFERROR(IF(INDEX('PROJETO PERFURAÇÃO'!$P:$P,MATCH(MEDIÇÃO!R392,'PROJETO PERFURAÇÃO'!$B:$B,0))="Production","P",IF(INDEX('PROJETO PERFURAÇÃO'!$P:$P,MATCH(MEDIÇÃO!R392,'PROJETO PERFURAÇÃO'!$B:$B,0))="Buffer","B",IF(INDEX('PROJETO PERFURAÇÃO'!$P:$P,MATCH(MEDIÇÃO!R392,'PROJETO PERFURAÇÃO'!$B:$B,0))="Pre-Splitting","S"))),"")</f>
        <v/>
      </c>
      <c r="R392" s="14">
        <f t="shared" si="38"/>
        <v>890</v>
      </c>
      <c r="S392" s="4" t="str">
        <f>IFERROR(INDEX('LEV R&amp;D'!$D:$D,MATCH(MEDIÇÃO!R392,'LEV R&amp;D'!$A:$A,0))-INDEX('PROJETO PERFURAÇÃO'!$AH:$AH,MATCH(MEDIÇÃO!R392,'PROJETO PERFURAÇÃO'!$B:$B,0)),"")</f>
        <v/>
      </c>
      <c r="T392" s="17" t="str">
        <f>IFERROR(INDEX('PROJETO PERFURAÇÃO'!$AN:$AN,MATCH(MEDIÇÃO!R392,'PROJETO PERFURAÇÃO'!$B:$B,0)),"")</f>
        <v/>
      </c>
      <c r="U392" s="3"/>
      <c r="V392" s="3"/>
    </row>
    <row r="393" spans="2:22" ht="45" customHeight="1">
      <c r="B393" s="3" t="str">
        <f>IFERROR(ROUND(INDEX('PROJETO PERFURAÇÃO'!$AB:$AB,MATCH(MEDIÇÃO!D393,'PROJETO PERFURAÇÃO'!$B:$B,0)),1)&amp;"''","")</f>
        <v>5''</v>
      </c>
      <c r="C393" s="3" t="str">
        <f>IFERROR(IF(INDEX('PROJETO PERFURAÇÃO'!$P:$P,MATCH(MEDIÇÃO!D393,'PROJETO PERFURAÇÃO'!$B:$B,0))="Production","P",IF(INDEX('PROJETO PERFURAÇÃO'!$P:$P,MATCH(MEDIÇÃO!D393,'PROJETO PERFURAÇÃO'!$B:$B,0))="Buffer","B",IF(INDEX('PROJETO PERFURAÇÃO'!$P:$P,MATCH(MEDIÇÃO!D393,'PROJETO PERFURAÇÃO'!$B:$B,0))="Pre-Splitting","S"))),"")</f>
        <v>P</v>
      </c>
      <c r="D393" s="14">
        <f t="shared" si="36"/>
        <v>845</v>
      </c>
      <c r="E393" s="4" t="str">
        <f>IFERROR(INDEX('LEV R&amp;D'!$D:$D,MATCH(MEDIÇÃO!D393,'LEV R&amp;D'!$A:$A,0))-INDEX('PROJETO PERFURAÇÃO'!$AH:$AH,MATCH(MEDIÇÃO!D393,'PROJETO PERFURAÇÃO'!$B:$B,0)),"")</f>
        <v/>
      </c>
      <c r="F393" s="17">
        <f>IFERROR(INDEX('PROJETO PERFURAÇÃO'!$AN:$AN,MATCH(MEDIÇÃO!D393,'PROJETO PERFURAÇÃO'!$B:$B,0)),"")</f>
        <v>0</v>
      </c>
      <c r="G393" s="3"/>
      <c r="H393" s="3"/>
      <c r="I393" s="3" t="str">
        <f>IFERROR(ROUND(INDEX('PROJETO PERFURAÇÃO'!$AB:$AB,MATCH(MEDIÇÃO!K393,'PROJETO PERFURAÇÃO'!$B:$B,0)),1)&amp;"''","")</f>
        <v/>
      </c>
      <c r="J393" s="3" t="str">
        <f>IFERROR(IF(INDEX('PROJETO PERFURAÇÃO'!$P:$P,MATCH(MEDIÇÃO!K393,'PROJETO PERFURAÇÃO'!$B:$B,0))="Production","P",IF(INDEX('PROJETO PERFURAÇÃO'!$P:$P,MATCH(MEDIÇÃO!K393,'PROJETO PERFURAÇÃO'!$B:$B,0))="Buffer","B",IF(INDEX('PROJETO PERFURAÇÃO'!$P:$P,MATCH(MEDIÇÃO!K393,'PROJETO PERFURAÇÃO'!$B:$B,0))="Pre-Splitting","S"))),"")</f>
        <v/>
      </c>
      <c r="K393" s="14">
        <f t="shared" si="37"/>
        <v>868</v>
      </c>
      <c r="L393" s="4" t="str">
        <f>IFERROR(INDEX('LEV R&amp;D'!$D:$D,MATCH(MEDIÇÃO!K393,'LEV R&amp;D'!$A:$A,0))-INDEX('PROJETO PERFURAÇÃO'!$AH:$AH,MATCH(MEDIÇÃO!K393,'PROJETO PERFURAÇÃO'!$B:$B,0)),"")</f>
        <v/>
      </c>
      <c r="M393" s="17" t="str">
        <f>IFERROR(INDEX('PROJETO PERFURAÇÃO'!$AN:$AN,MATCH(MEDIÇÃO!K393,'PROJETO PERFURAÇÃO'!$B:$B,0)),"")</f>
        <v/>
      </c>
      <c r="N393" s="3"/>
      <c r="O393" s="3"/>
      <c r="P393" s="3" t="str">
        <f>IFERROR(ROUND(INDEX('PROJETO PERFURAÇÃO'!$AB:$AB,MATCH(MEDIÇÃO!R393,'PROJETO PERFURAÇÃO'!$B:$B,0)),1)&amp;"''","")</f>
        <v/>
      </c>
      <c r="Q393" s="3" t="str">
        <f>IFERROR(IF(INDEX('PROJETO PERFURAÇÃO'!$P:$P,MATCH(MEDIÇÃO!R393,'PROJETO PERFURAÇÃO'!$B:$B,0))="Production","P",IF(INDEX('PROJETO PERFURAÇÃO'!$P:$P,MATCH(MEDIÇÃO!R393,'PROJETO PERFURAÇÃO'!$B:$B,0))="Buffer","B",IF(INDEX('PROJETO PERFURAÇÃO'!$P:$P,MATCH(MEDIÇÃO!R393,'PROJETO PERFURAÇÃO'!$B:$B,0))="Pre-Splitting","S"))),"")</f>
        <v/>
      </c>
      <c r="R393" s="14">
        <f t="shared" si="38"/>
        <v>891</v>
      </c>
      <c r="S393" s="4" t="str">
        <f>IFERROR(INDEX('LEV R&amp;D'!$D:$D,MATCH(MEDIÇÃO!R393,'LEV R&amp;D'!$A:$A,0))-INDEX('PROJETO PERFURAÇÃO'!$AH:$AH,MATCH(MEDIÇÃO!R393,'PROJETO PERFURAÇÃO'!$B:$B,0)),"")</f>
        <v/>
      </c>
      <c r="T393" s="17" t="str">
        <f>IFERROR(INDEX('PROJETO PERFURAÇÃO'!$AN:$AN,MATCH(MEDIÇÃO!R393,'PROJETO PERFURAÇÃO'!$B:$B,0)),"")</f>
        <v/>
      </c>
      <c r="U393" s="3"/>
      <c r="V393" s="3"/>
    </row>
    <row r="394" spans="2:22" ht="45" customHeight="1">
      <c r="B394" s="3" t="str">
        <f>IFERROR(ROUND(INDEX('PROJETO PERFURAÇÃO'!$AB:$AB,MATCH(MEDIÇÃO!D394,'PROJETO PERFURAÇÃO'!$B:$B,0)),1)&amp;"''","")</f>
        <v>5''</v>
      </c>
      <c r="C394" s="3" t="str">
        <f>IFERROR(IF(INDEX('PROJETO PERFURAÇÃO'!$P:$P,MATCH(MEDIÇÃO!D394,'PROJETO PERFURAÇÃO'!$B:$B,0))="Production","P",IF(INDEX('PROJETO PERFURAÇÃO'!$P:$P,MATCH(MEDIÇÃO!D394,'PROJETO PERFURAÇÃO'!$B:$B,0))="Buffer","B",IF(INDEX('PROJETO PERFURAÇÃO'!$P:$P,MATCH(MEDIÇÃO!D394,'PROJETO PERFURAÇÃO'!$B:$B,0))="Pre-Splitting","S"))),"")</f>
        <v>P</v>
      </c>
      <c r="D394" s="14">
        <f t="shared" si="36"/>
        <v>846</v>
      </c>
      <c r="E394" s="4" t="str">
        <f>IFERROR(INDEX('LEV R&amp;D'!$D:$D,MATCH(MEDIÇÃO!D394,'LEV R&amp;D'!$A:$A,0))-INDEX('PROJETO PERFURAÇÃO'!$AH:$AH,MATCH(MEDIÇÃO!D394,'PROJETO PERFURAÇÃO'!$B:$B,0)),"")</f>
        <v/>
      </c>
      <c r="F394" s="17">
        <f>IFERROR(INDEX('PROJETO PERFURAÇÃO'!$AN:$AN,MATCH(MEDIÇÃO!D394,'PROJETO PERFURAÇÃO'!$B:$B,0)),"")</f>
        <v>0</v>
      </c>
      <c r="G394" s="3"/>
      <c r="H394" s="3"/>
      <c r="I394" s="3" t="str">
        <f>IFERROR(ROUND(INDEX('PROJETO PERFURAÇÃO'!$AB:$AB,MATCH(MEDIÇÃO!K394,'PROJETO PERFURAÇÃO'!$B:$B,0)),1)&amp;"''","")</f>
        <v/>
      </c>
      <c r="J394" s="3" t="str">
        <f>IFERROR(IF(INDEX('PROJETO PERFURAÇÃO'!$P:$P,MATCH(MEDIÇÃO!K394,'PROJETO PERFURAÇÃO'!$B:$B,0))="Production","P",IF(INDEX('PROJETO PERFURAÇÃO'!$P:$P,MATCH(MEDIÇÃO!K394,'PROJETO PERFURAÇÃO'!$B:$B,0))="Buffer","B",IF(INDEX('PROJETO PERFURAÇÃO'!$P:$P,MATCH(MEDIÇÃO!K394,'PROJETO PERFURAÇÃO'!$B:$B,0))="Pre-Splitting","S"))),"")</f>
        <v/>
      </c>
      <c r="K394" s="14">
        <f t="shared" si="37"/>
        <v>869</v>
      </c>
      <c r="L394" s="4" t="str">
        <f>IFERROR(INDEX('LEV R&amp;D'!$D:$D,MATCH(MEDIÇÃO!K394,'LEV R&amp;D'!$A:$A,0))-INDEX('PROJETO PERFURAÇÃO'!$AH:$AH,MATCH(MEDIÇÃO!K394,'PROJETO PERFURAÇÃO'!$B:$B,0)),"")</f>
        <v/>
      </c>
      <c r="M394" s="17" t="str">
        <f>IFERROR(INDEX('PROJETO PERFURAÇÃO'!$AN:$AN,MATCH(MEDIÇÃO!K394,'PROJETO PERFURAÇÃO'!$B:$B,0)),"")</f>
        <v/>
      </c>
      <c r="N394" s="3"/>
      <c r="O394" s="3"/>
      <c r="P394" s="3" t="str">
        <f>IFERROR(ROUND(INDEX('PROJETO PERFURAÇÃO'!$AB:$AB,MATCH(MEDIÇÃO!R394,'PROJETO PERFURAÇÃO'!$B:$B,0)),1)&amp;"''","")</f>
        <v/>
      </c>
      <c r="Q394" s="3" t="str">
        <f>IFERROR(IF(INDEX('PROJETO PERFURAÇÃO'!$P:$P,MATCH(MEDIÇÃO!R394,'PROJETO PERFURAÇÃO'!$B:$B,0))="Production","P",IF(INDEX('PROJETO PERFURAÇÃO'!$P:$P,MATCH(MEDIÇÃO!R394,'PROJETO PERFURAÇÃO'!$B:$B,0))="Buffer","B",IF(INDEX('PROJETO PERFURAÇÃO'!$P:$P,MATCH(MEDIÇÃO!R394,'PROJETO PERFURAÇÃO'!$B:$B,0))="Pre-Splitting","S"))),"")</f>
        <v/>
      </c>
      <c r="R394" s="14">
        <f t="shared" si="38"/>
        <v>892</v>
      </c>
      <c r="S394" s="4" t="str">
        <f>IFERROR(INDEX('LEV R&amp;D'!$D:$D,MATCH(MEDIÇÃO!R394,'LEV R&amp;D'!$A:$A,0))-INDEX('PROJETO PERFURAÇÃO'!$AH:$AH,MATCH(MEDIÇÃO!R394,'PROJETO PERFURAÇÃO'!$B:$B,0)),"")</f>
        <v/>
      </c>
      <c r="T394" s="17" t="str">
        <f>IFERROR(INDEX('PROJETO PERFURAÇÃO'!$AN:$AN,MATCH(MEDIÇÃO!R394,'PROJETO PERFURAÇÃO'!$B:$B,0)),"")</f>
        <v/>
      </c>
      <c r="U394" s="3"/>
      <c r="V394" s="3"/>
    </row>
    <row r="395" spans="2:22" ht="45" customHeight="1">
      <c r="B395" s="3" t="str">
        <f>IFERROR(ROUND(INDEX('PROJETO PERFURAÇÃO'!$AB:$AB,MATCH(MEDIÇÃO!D395,'PROJETO PERFURAÇÃO'!$B:$B,0)),1)&amp;"''","")</f>
        <v>5''</v>
      </c>
      <c r="C395" s="3" t="str">
        <f>IFERROR(IF(INDEX('PROJETO PERFURAÇÃO'!$P:$P,MATCH(MEDIÇÃO!D395,'PROJETO PERFURAÇÃO'!$B:$B,0))="Production","P",IF(INDEX('PROJETO PERFURAÇÃO'!$P:$P,MATCH(MEDIÇÃO!D395,'PROJETO PERFURAÇÃO'!$B:$B,0))="Buffer","B",IF(INDEX('PROJETO PERFURAÇÃO'!$P:$P,MATCH(MEDIÇÃO!D395,'PROJETO PERFURAÇÃO'!$B:$B,0))="Pre-Splitting","S"))),"")</f>
        <v>P</v>
      </c>
      <c r="D395" s="14">
        <f t="shared" si="36"/>
        <v>847</v>
      </c>
      <c r="E395" s="4" t="str">
        <f>IFERROR(INDEX('LEV R&amp;D'!$D:$D,MATCH(MEDIÇÃO!D395,'LEV R&amp;D'!$A:$A,0))-INDEX('PROJETO PERFURAÇÃO'!$AH:$AH,MATCH(MEDIÇÃO!D395,'PROJETO PERFURAÇÃO'!$B:$B,0)),"")</f>
        <v/>
      </c>
      <c r="F395" s="17">
        <f>IFERROR(INDEX('PROJETO PERFURAÇÃO'!$AN:$AN,MATCH(MEDIÇÃO!D395,'PROJETO PERFURAÇÃO'!$B:$B,0)),"")</f>
        <v>0</v>
      </c>
      <c r="G395" s="3"/>
      <c r="H395" s="3"/>
      <c r="I395" s="3" t="str">
        <f>IFERROR(ROUND(INDEX('PROJETO PERFURAÇÃO'!$AB:$AB,MATCH(MEDIÇÃO!K395,'PROJETO PERFURAÇÃO'!$B:$B,0)),1)&amp;"''","")</f>
        <v/>
      </c>
      <c r="J395" s="3" t="str">
        <f>IFERROR(IF(INDEX('PROJETO PERFURAÇÃO'!$P:$P,MATCH(MEDIÇÃO!K395,'PROJETO PERFURAÇÃO'!$B:$B,0))="Production","P",IF(INDEX('PROJETO PERFURAÇÃO'!$P:$P,MATCH(MEDIÇÃO!K395,'PROJETO PERFURAÇÃO'!$B:$B,0))="Buffer","B",IF(INDEX('PROJETO PERFURAÇÃO'!$P:$P,MATCH(MEDIÇÃO!K395,'PROJETO PERFURAÇÃO'!$B:$B,0))="Pre-Splitting","S"))),"")</f>
        <v/>
      </c>
      <c r="K395" s="14">
        <f t="shared" si="37"/>
        <v>870</v>
      </c>
      <c r="L395" s="4" t="str">
        <f>IFERROR(INDEX('LEV R&amp;D'!$D:$D,MATCH(MEDIÇÃO!K395,'LEV R&amp;D'!$A:$A,0))-INDEX('PROJETO PERFURAÇÃO'!$AH:$AH,MATCH(MEDIÇÃO!K395,'PROJETO PERFURAÇÃO'!$B:$B,0)),"")</f>
        <v/>
      </c>
      <c r="M395" s="17" t="str">
        <f>IFERROR(INDEX('PROJETO PERFURAÇÃO'!$AN:$AN,MATCH(MEDIÇÃO!K395,'PROJETO PERFURAÇÃO'!$B:$B,0)),"")</f>
        <v/>
      </c>
      <c r="N395" s="3"/>
      <c r="O395" s="3"/>
      <c r="P395" s="3" t="str">
        <f>IFERROR(ROUND(INDEX('PROJETO PERFURAÇÃO'!$AB:$AB,MATCH(MEDIÇÃO!R395,'PROJETO PERFURAÇÃO'!$B:$B,0)),1)&amp;"''","")</f>
        <v/>
      </c>
      <c r="Q395" s="3" t="str">
        <f>IFERROR(IF(INDEX('PROJETO PERFURAÇÃO'!$P:$P,MATCH(MEDIÇÃO!R395,'PROJETO PERFURAÇÃO'!$B:$B,0))="Production","P",IF(INDEX('PROJETO PERFURAÇÃO'!$P:$P,MATCH(MEDIÇÃO!R395,'PROJETO PERFURAÇÃO'!$B:$B,0))="Buffer","B",IF(INDEX('PROJETO PERFURAÇÃO'!$P:$P,MATCH(MEDIÇÃO!R395,'PROJETO PERFURAÇÃO'!$B:$B,0))="Pre-Splitting","S"))),"")</f>
        <v/>
      </c>
      <c r="R395" s="14">
        <f t="shared" si="38"/>
        <v>893</v>
      </c>
      <c r="S395" s="4" t="str">
        <f>IFERROR(INDEX('LEV R&amp;D'!$D:$D,MATCH(MEDIÇÃO!R395,'LEV R&amp;D'!$A:$A,0))-INDEX('PROJETO PERFURAÇÃO'!$AH:$AH,MATCH(MEDIÇÃO!R395,'PROJETO PERFURAÇÃO'!$B:$B,0)),"")</f>
        <v/>
      </c>
      <c r="T395" s="17" t="str">
        <f>IFERROR(INDEX('PROJETO PERFURAÇÃO'!$AN:$AN,MATCH(MEDIÇÃO!R395,'PROJETO PERFURAÇÃO'!$B:$B,0)),"")</f>
        <v/>
      </c>
      <c r="U395" s="3"/>
      <c r="V395" s="3"/>
    </row>
    <row r="396" spans="2:22" ht="45" customHeight="1">
      <c r="B396" s="3" t="str">
        <f>IFERROR(ROUND(INDEX('PROJETO PERFURAÇÃO'!$AB:$AB,MATCH(MEDIÇÃO!D396,'PROJETO PERFURAÇÃO'!$B:$B,0)),1)&amp;"''","")</f>
        <v/>
      </c>
      <c r="C396" s="3" t="str">
        <f>IFERROR(IF(INDEX('PROJETO PERFURAÇÃO'!$P:$P,MATCH(MEDIÇÃO!D396,'PROJETO PERFURAÇÃO'!$B:$B,0))="Production","P",IF(INDEX('PROJETO PERFURAÇÃO'!$P:$P,MATCH(MEDIÇÃO!D396,'PROJETO PERFURAÇÃO'!$B:$B,0))="Buffer","B",IF(INDEX('PROJETO PERFURAÇÃO'!$P:$P,MATCH(MEDIÇÃO!D396,'PROJETO PERFURAÇÃO'!$B:$B,0))="Pre-Splitting","S"))),"")</f>
        <v/>
      </c>
      <c r="D396" s="14">
        <f t="shared" si="36"/>
        <v>848</v>
      </c>
      <c r="E396" s="4" t="str">
        <f>IFERROR(INDEX('LEV R&amp;D'!$D:$D,MATCH(MEDIÇÃO!D396,'LEV R&amp;D'!$A:$A,0))-INDEX('PROJETO PERFURAÇÃO'!$AH:$AH,MATCH(MEDIÇÃO!D396,'PROJETO PERFURAÇÃO'!$B:$B,0)),"")</f>
        <v/>
      </c>
      <c r="F396" s="17" t="str">
        <f>IFERROR(INDEX('PROJETO PERFURAÇÃO'!$AN:$AN,MATCH(MEDIÇÃO!D396,'PROJETO PERFURAÇÃO'!$B:$B,0)),"")</f>
        <v/>
      </c>
      <c r="G396" s="3"/>
      <c r="H396" s="3"/>
      <c r="I396" s="3" t="str">
        <f>IFERROR(ROUND(INDEX('PROJETO PERFURAÇÃO'!$AB:$AB,MATCH(MEDIÇÃO!K396,'PROJETO PERFURAÇÃO'!$B:$B,0)),1)&amp;"''","")</f>
        <v/>
      </c>
      <c r="J396" s="3" t="str">
        <f>IFERROR(IF(INDEX('PROJETO PERFURAÇÃO'!$P:$P,MATCH(MEDIÇÃO!K396,'PROJETO PERFURAÇÃO'!$B:$B,0))="Production","P",IF(INDEX('PROJETO PERFURAÇÃO'!$P:$P,MATCH(MEDIÇÃO!K396,'PROJETO PERFURAÇÃO'!$B:$B,0))="Buffer","B",IF(INDEX('PROJETO PERFURAÇÃO'!$P:$P,MATCH(MEDIÇÃO!K396,'PROJETO PERFURAÇÃO'!$B:$B,0))="Pre-Splitting","S"))),"")</f>
        <v/>
      </c>
      <c r="K396" s="14">
        <f t="shared" si="37"/>
        <v>871</v>
      </c>
      <c r="L396" s="4" t="str">
        <f>IFERROR(INDEX('LEV R&amp;D'!$D:$D,MATCH(MEDIÇÃO!K396,'LEV R&amp;D'!$A:$A,0))-INDEX('PROJETO PERFURAÇÃO'!$AH:$AH,MATCH(MEDIÇÃO!K396,'PROJETO PERFURAÇÃO'!$B:$B,0)),"")</f>
        <v/>
      </c>
      <c r="M396" s="17" t="str">
        <f>IFERROR(INDEX('PROJETO PERFURAÇÃO'!$AN:$AN,MATCH(MEDIÇÃO!K396,'PROJETO PERFURAÇÃO'!$B:$B,0)),"")</f>
        <v/>
      </c>
      <c r="N396" s="3"/>
      <c r="O396" s="3"/>
      <c r="P396" s="3" t="str">
        <f>IFERROR(ROUND(INDEX('PROJETO PERFURAÇÃO'!$AB:$AB,MATCH(MEDIÇÃO!R396,'PROJETO PERFURAÇÃO'!$B:$B,0)),1)&amp;"''","")</f>
        <v/>
      </c>
      <c r="Q396" s="3" t="str">
        <f>IFERROR(IF(INDEX('PROJETO PERFURAÇÃO'!$P:$P,MATCH(MEDIÇÃO!R396,'PROJETO PERFURAÇÃO'!$B:$B,0))="Production","P",IF(INDEX('PROJETO PERFURAÇÃO'!$P:$P,MATCH(MEDIÇÃO!R396,'PROJETO PERFURAÇÃO'!$B:$B,0))="Buffer","B",IF(INDEX('PROJETO PERFURAÇÃO'!$P:$P,MATCH(MEDIÇÃO!R396,'PROJETO PERFURAÇÃO'!$B:$B,0))="Pre-Splitting","S"))),"")</f>
        <v/>
      </c>
      <c r="R396" s="14">
        <f t="shared" si="38"/>
        <v>894</v>
      </c>
      <c r="S396" s="4" t="str">
        <f>IFERROR(INDEX('LEV R&amp;D'!$D:$D,MATCH(MEDIÇÃO!R396,'LEV R&amp;D'!$A:$A,0))-INDEX('PROJETO PERFURAÇÃO'!$AH:$AH,MATCH(MEDIÇÃO!R396,'PROJETO PERFURAÇÃO'!$B:$B,0)),"")</f>
        <v/>
      </c>
      <c r="T396" s="17" t="str">
        <f>IFERROR(INDEX('PROJETO PERFURAÇÃO'!$AN:$AN,MATCH(MEDIÇÃO!R396,'PROJETO PERFURAÇÃO'!$B:$B,0)),"")</f>
        <v/>
      </c>
      <c r="U396" s="3"/>
      <c r="V396" s="3"/>
    </row>
    <row r="397" spans="2:22" ht="45" customHeight="1">
      <c r="B397" s="3" t="str">
        <f>IFERROR(ROUND(INDEX('PROJETO PERFURAÇÃO'!$AB:$AB,MATCH(MEDIÇÃO!D397,'PROJETO PERFURAÇÃO'!$B:$B,0)),1)&amp;"''","")</f>
        <v/>
      </c>
      <c r="C397" s="3" t="str">
        <f>IFERROR(IF(INDEX('PROJETO PERFURAÇÃO'!$P:$P,MATCH(MEDIÇÃO!D397,'PROJETO PERFURAÇÃO'!$B:$B,0))="Production","P",IF(INDEX('PROJETO PERFURAÇÃO'!$P:$P,MATCH(MEDIÇÃO!D397,'PROJETO PERFURAÇÃO'!$B:$B,0))="Buffer","B",IF(INDEX('PROJETO PERFURAÇÃO'!$P:$P,MATCH(MEDIÇÃO!D397,'PROJETO PERFURAÇÃO'!$B:$B,0))="Pre-Splitting","S"))),"")</f>
        <v/>
      </c>
      <c r="D397" s="14">
        <f t="shared" si="36"/>
        <v>849</v>
      </c>
      <c r="E397" s="4" t="str">
        <f>IFERROR(INDEX('LEV R&amp;D'!$D:$D,MATCH(MEDIÇÃO!D397,'LEV R&amp;D'!$A:$A,0))-INDEX('PROJETO PERFURAÇÃO'!$AH:$AH,MATCH(MEDIÇÃO!D397,'PROJETO PERFURAÇÃO'!$B:$B,0)),"")</f>
        <v/>
      </c>
      <c r="F397" s="17" t="str">
        <f>IFERROR(INDEX('PROJETO PERFURAÇÃO'!$AN:$AN,MATCH(MEDIÇÃO!D397,'PROJETO PERFURAÇÃO'!$B:$B,0)),"")</f>
        <v/>
      </c>
      <c r="G397" s="3"/>
      <c r="H397" s="3"/>
      <c r="I397" s="3" t="str">
        <f>IFERROR(ROUND(INDEX('PROJETO PERFURAÇÃO'!$AB:$AB,MATCH(MEDIÇÃO!K397,'PROJETO PERFURAÇÃO'!$B:$B,0)),1)&amp;"''","")</f>
        <v/>
      </c>
      <c r="J397" s="3" t="str">
        <f>IFERROR(IF(INDEX('PROJETO PERFURAÇÃO'!$P:$P,MATCH(MEDIÇÃO!K397,'PROJETO PERFURAÇÃO'!$B:$B,0))="Production","P",IF(INDEX('PROJETO PERFURAÇÃO'!$P:$P,MATCH(MEDIÇÃO!K397,'PROJETO PERFURAÇÃO'!$B:$B,0))="Buffer","B",IF(INDEX('PROJETO PERFURAÇÃO'!$P:$P,MATCH(MEDIÇÃO!K397,'PROJETO PERFURAÇÃO'!$B:$B,0))="Pre-Splitting","S"))),"")</f>
        <v/>
      </c>
      <c r="K397" s="14">
        <f t="shared" si="37"/>
        <v>872</v>
      </c>
      <c r="L397" s="4" t="str">
        <f>IFERROR(INDEX('LEV R&amp;D'!$D:$D,MATCH(MEDIÇÃO!K397,'LEV R&amp;D'!$A:$A,0))-INDEX('PROJETO PERFURAÇÃO'!$AH:$AH,MATCH(MEDIÇÃO!K397,'PROJETO PERFURAÇÃO'!$B:$B,0)),"")</f>
        <v/>
      </c>
      <c r="M397" s="17" t="str">
        <f>IFERROR(INDEX('PROJETO PERFURAÇÃO'!$AN:$AN,MATCH(MEDIÇÃO!K397,'PROJETO PERFURAÇÃO'!$B:$B,0)),"")</f>
        <v/>
      </c>
      <c r="N397" s="3"/>
      <c r="O397" s="3"/>
      <c r="P397" s="3" t="str">
        <f>IFERROR(ROUND(INDEX('PROJETO PERFURAÇÃO'!$AB:$AB,MATCH(MEDIÇÃO!R397,'PROJETO PERFURAÇÃO'!$B:$B,0)),1)&amp;"''","")</f>
        <v/>
      </c>
      <c r="Q397" s="3" t="str">
        <f>IFERROR(IF(INDEX('PROJETO PERFURAÇÃO'!$P:$P,MATCH(MEDIÇÃO!R397,'PROJETO PERFURAÇÃO'!$B:$B,0))="Production","P",IF(INDEX('PROJETO PERFURAÇÃO'!$P:$P,MATCH(MEDIÇÃO!R397,'PROJETO PERFURAÇÃO'!$B:$B,0))="Buffer","B",IF(INDEX('PROJETO PERFURAÇÃO'!$P:$P,MATCH(MEDIÇÃO!R397,'PROJETO PERFURAÇÃO'!$B:$B,0))="Pre-Splitting","S"))),"")</f>
        <v/>
      </c>
      <c r="R397" s="14">
        <f t="shared" si="38"/>
        <v>895</v>
      </c>
      <c r="S397" s="4" t="str">
        <f>IFERROR(INDEX('LEV R&amp;D'!$D:$D,MATCH(MEDIÇÃO!R397,'LEV R&amp;D'!$A:$A,0))-INDEX('PROJETO PERFURAÇÃO'!$AH:$AH,MATCH(MEDIÇÃO!R397,'PROJETO PERFURAÇÃO'!$B:$B,0)),"")</f>
        <v/>
      </c>
      <c r="T397" s="17" t="str">
        <f>IFERROR(INDEX('PROJETO PERFURAÇÃO'!$AN:$AN,MATCH(MEDIÇÃO!R397,'PROJETO PERFURAÇÃO'!$B:$B,0)),"")</f>
        <v/>
      </c>
      <c r="U397" s="3"/>
      <c r="V397" s="3"/>
    </row>
    <row r="398" spans="2:22" ht="45" customHeight="1">
      <c r="B398" s="3" t="str">
        <f>IFERROR(ROUND(INDEX('PROJETO PERFURAÇÃO'!$AB:$AB,MATCH(MEDIÇÃO!D398,'PROJETO PERFURAÇÃO'!$B:$B,0)),1)&amp;"''","")</f>
        <v/>
      </c>
      <c r="C398" s="3" t="str">
        <f>IFERROR(IF(INDEX('PROJETO PERFURAÇÃO'!$P:$P,MATCH(MEDIÇÃO!D398,'PROJETO PERFURAÇÃO'!$B:$B,0))="Production","P",IF(INDEX('PROJETO PERFURAÇÃO'!$P:$P,MATCH(MEDIÇÃO!D398,'PROJETO PERFURAÇÃO'!$B:$B,0))="Buffer","B",IF(INDEX('PROJETO PERFURAÇÃO'!$P:$P,MATCH(MEDIÇÃO!D398,'PROJETO PERFURAÇÃO'!$B:$B,0))="Pre-Splitting","S"))),"")</f>
        <v/>
      </c>
      <c r="D398" s="14">
        <f t="shared" si="36"/>
        <v>850</v>
      </c>
      <c r="E398" s="4" t="str">
        <f>IFERROR(INDEX('LEV R&amp;D'!$D:$D,MATCH(MEDIÇÃO!D398,'LEV R&amp;D'!$A:$A,0))-INDEX('PROJETO PERFURAÇÃO'!$AH:$AH,MATCH(MEDIÇÃO!D398,'PROJETO PERFURAÇÃO'!$B:$B,0)),"")</f>
        <v/>
      </c>
      <c r="F398" s="17" t="str">
        <f>IFERROR(INDEX('PROJETO PERFURAÇÃO'!$AN:$AN,MATCH(MEDIÇÃO!D398,'PROJETO PERFURAÇÃO'!$B:$B,0)),"")</f>
        <v/>
      </c>
      <c r="G398" s="3"/>
      <c r="H398" s="3"/>
      <c r="I398" s="3" t="str">
        <f>IFERROR(ROUND(INDEX('PROJETO PERFURAÇÃO'!$AB:$AB,MATCH(MEDIÇÃO!K398,'PROJETO PERFURAÇÃO'!$B:$B,0)),1)&amp;"''","")</f>
        <v/>
      </c>
      <c r="J398" s="3" t="str">
        <f>IFERROR(IF(INDEX('PROJETO PERFURAÇÃO'!$P:$P,MATCH(MEDIÇÃO!K398,'PROJETO PERFURAÇÃO'!$B:$B,0))="Production","P",IF(INDEX('PROJETO PERFURAÇÃO'!$P:$P,MATCH(MEDIÇÃO!K398,'PROJETO PERFURAÇÃO'!$B:$B,0))="Buffer","B",IF(INDEX('PROJETO PERFURAÇÃO'!$P:$P,MATCH(MEDIÇÃO!K398,'PROJETO PERFURAÇÃO'!$B:$B,0))="Pre-Splitting","S"))),"")</f>
        <v/>
      </c>
      <c r="K398" s="14">
        <f t="shared" si="37"/>
        <v>873</v>
      </c>
      <c r="L398" s="4" t="str">
        <f>IFERROR(INDEX('LEV R&amp;D'!$D:$D,MATCH(MEDIÇÃO!K398,'LEV R&amp;D'!$A:$A,0))-INDEX('PROJETO PERFURAÇÃO'!$AH:$AH,MATCH(MEDIÇÃO!K398,'PROJETO PERFURAÇÃO'!$B:$B,0)),"")</f>
        <v/>
      </c>
      <c r="M398" s="17" t="str">
        <f>IFERROR(INDEX('PROJETO PERFURAÇÃO'!$AN:$AN,MATCH(MEDIÇÃO!K398,'PROJETO PERFURAÇÃO'!$B:$B,0)),"")</f>
        <v/>
      </c>
      <c r="N398" s="3"/>
      <c r="O398" s="3"/>
      <c r="P398" s="3" t="str">
        <f>IFERROR(ROUND(INDEX('PROJETO PERFURAÇÃO'!$AB:$AB,MATCH(MEDIÇÃO!R398,'PROJETO PERFURAÇÃO'!$B:$B,0)),1)&amp;"''","")</f>
        <v/>
      </c>
      <c r="Q398" s="3" t="str">
        <f>IFERROR(IF(INDEX('PROJETO PERFURAÇÃO'!$P:$P,MATCH(MEDIÇÃO!R398,'PROJETO PERFURAÇÃO'!$B:$B,0))="Production","P",IF(INDEX('PROJETO PERFURAÇÃO'!$P:$P,MATCH(MEDIÇÃO!R398,'PROJETO PERFURAÇÃO'!$B:$B,0))="Buffer","B",IF(INDEX('PROJETO PERFURAÇÃO'!$P:$P,MATCH(MEDIÇÃO!R398,'PROJETO PERFURAÇÃO'!$B:$B,0))="Pre-Splitting","S"))),"")</f>
        <v/>
      </c>
      <c r="R398" s="14">
        <f t="shared" si="38"/>
        <v>896</v>
      </c>
      <c r="S398" s="4" t="str">
        <f>IFERROR(INDEX('LEV R&amp;D'!$D:$D,MATCH(MEDIÇÃO!R398,'LEV R&amp;D'!$A:$A,0))-INDEX('PROJETO PERFURAÇÃO'!$AH:$AH,MATCH(MEDIÇÃO!R398,'PROJETO PERFURAÇÃO'!$B:$B,0)),"")</f>
        <v/>
      </c>
      <c r="T398" s="17" t="str">
        <f>IFERROR(INDEX('PROJETO PERFURAÇÃO'!$AN:$AN,MATCH(MEDIÇÃO!R398,'PROJETO PERFURAÇÃO'!$B:$B,0)),"")</f>
        <v/>
      </c>
      <c r="U398" s="3"/>
      <c r="V398" s="3"/>
    </row>
    <row r="399" spans="2:22" ht="45" customHeight="1">
      <c r="B399" s="3" t="str">
        <f>IFERROR(ROUND(INDEX('PROJETO PERFURAÇÃO'!$AB:$AB,MATCH(MEDIÇÃO!D399,'PROJETO PERFURAÇÃO'!$B:$B,0)),1)&amp;"''","")</f>
        <v/>
      </c>
      <c r="C399" s="3" t="str">
        <f>IFERROR(IF(INDEX('PROJETO PERFURAÇÃO'!$P:$P,MATCH(MEDIÇÃO!D399,'PROJETO PERFURAÇÃO'!$B:$B,0))="Production","P",IF(INDEX('PROJETO PERFURAÇÃO'!$P:$P,MATCH(MEDIÇÃO!D399,'PROJETO PERFURAÇÃO'!$B:$B,0))="Buffer","B",IF(INDEX('PROJETO PERFURAÇÃO'!$P:$P,MATCH(MEDIÇÃO!D399,'PROJETO PERFURAÇÃO'!$B:$B,0))="Pre-Splitting","S"))),"")</f>
        <v/>
      </c>
      <c r="D399" s="14">
        <f t="shared" si="36"/>
        <v>851</v>
      </c>
      <c r="E399" s="4" t="str">
        <f>IFERROR(INDEX('LEV R&amp;D'!$D:$D,MATCH(MEDIÇÃO!D399,'LEV R&amp;D'!$A:$A,0))-INDEX('PROJETO PERFURAÇÃO'!$AH:$AH,MATCH(MEDIÇÃO!D399,'PROJETO PERFURAÇÃO'!$B:$B,0)),"")</f>
        <v/>
      </c>
      <c r="F399" s="17" t="str">
        <f>IFERROR(INDEX('PROJETO PERFURAÇÃO'!$AN:$AN,MATCH(MEDIÇÃO!D399,'PROJETO PERFURAÇÃO'!$B:$B,0)),"")</f>
        <v/>
      </c>
      <c r="G399" s="3"/>
      <c r="H399" s="3"/>
      <c r="I399" s="3" t="str">
        <f>IFERROR(ROUND(INDEX('PROJETO PERFURAÇÃO'!$AB:$AB,MATCH(MEDIÇÃO!K399,'PROJETO PERFURAÇÃO'!$B:$B,0)),1)&amp;"''","")</f>
        <v/>
      </c>
      <c r="J399" s="3" t="str">
        <f>IFERROR(IF(INDEX('PROJETO PERFURAÇÃO'!$P:$P,MATCH(MEDIÇÃO!K399,'PROJETO PERFURAÇÃO'!$B:$B,0))="Production","P",IF(INDEX('PROJETO PERFURAÇÃO'!$P:$P,MATCH(MEDIÇÃO!K399,'PROJETO PERFURAÇÃO'!$B:$B,0))="Buffer","B",IF(INDEX('PROJETO PERFURAÇÃO'!$P:$P,MATCH(MEDIÇÃO!K399,'PROJETO PERFURAÇÃO'!$B:$B,0))="Pre-Splitting","S"))),"")</f>
        <v/>
      </c>
      <c r="K399" s="14">
        <f t="shared" si="37"/>
        <v>874</v>
      </c>
      <c r="L399" s="4" t="str">
        <f>IFERROR(INDEX('LEV R&amp;D'!$D:$D,MATCH(MEDIÇÃO!K399,'LEV R&amp;D'!$A:$A,0))-INDEX('PROJETO PERFURAÇÃO'!$AH:$AH,MATCH(MEDIÇÃO!K399,'PROJETO PERFURAÇÃO'!$B:$B,0)),"")</f>
        <v/>
      </c>
      <c r="M399" s="17" t="str">
        <f>IFERROR(INDEX('PROJETO PERFURAÇÃO'!$AN:$AN,MATCH(MEDIÇÃO!K399,'PROJETO PERFURAÇÃO'!$B:$B,0)),"")</f>
        <v/>
      </c>
      <c r="N399" s="3"/>
      <c r="O399" s="3"/>
      <c r="P399" s="3" t="str">
        <f>IFERROR(ROUND(INDEX('PROJETO PERFURAÇÃO'!$AB:$AB,MATCH(MEDIÇÃO!R399,'PROJETO PERFURAÇÃO'!$B:$B,0)),1)&amp;"''","")</f>
        <v/>
      </c>
      <c r="Q399" s="3" t="str">
        <f>IFERROR(IF(INDEX('PROJETO PERFURAÇÃO'!$P:$P,MATCH(MEDIÇÃO!R399,'PROJETO PERFURAÇÃO'!$B:$B,0))="Production","P",IF(INDEX('PROJETO PERFURAÇÃO'!$P:$P,MATCH(MEDIÇÃO!R399,'PROJETO PERFURAÇÃO'!$B:$B,0))="Buffer","B",IF(INDEX('PROJETO PERFURAÇÃO'!$P:$P,MATCH(MEDIÇÃO!R399,'PROJETO PERFURAÇÃO'!$B:$B,0))="Pre-Splitting","S"))),"")</f>
        <v/>
      </c>
      <c r="R399" s="14">
        <f t="shared" si="38"/>
        <v>897</v>
      </c>
      <c r="S399" s="4" t="str">
        <f>IFERROR(INDEX('LEV R&amp;D'!$D:$D,MATCH(MEDIÇÃO!R399,'LEV R&amp;D'!$A:$A,0))-INDEX('PROJETO PERFURAÇÃO'!$AH:$AH,MATCH(MEDIÇÃO!R399,'PROJETO PERFURAÇÃO'!$B:$B,0)),"")</f>
        <v/>
      </c>
      <c r="T399" s="17" t="str">
        <f>IFERROR(INDEX('PROJETO PERFURAÇÃO'!$AN:$AN,MATCH(MEDIÇÃO!R399,'PROJETO PERFURAÇÃO'!$B:$B,0)),"")</f>
        <v/>
      </c>
      <c r="U399" s="3"/>
      <c r="V399" s="3"/>
    </row>
    <row r="400" spans="2:22" ht="30" customHeight="1">
      <c r="B400" s="1"/>
      <c r="C400" s="1"/>
      <c r="D400" s="15"/>
      <c r="E400" s="2"/>
      <c r="F400" s="16"/>
      <c r="G400" s="1"/>
      <c r="H400" s="1"/>
      <c r="I400" s="1"/>
      <c r="J400" s="1"/>
      <c r="K400" s="15"/>
      <c r="L400" s="2"/>
      <c r="M400" s="16"/>
      <c r="N400" s="1"/>
      <c r="O400" s="1"/>
      <c r="P400" s="1"/>
      <c r="Q400" s="1"/>
      <c r="R400" s="15"/>
      <c r="S400" s="2"/>
      <c r="T400" s="16"/>
      <c r="U400" s="1"/>
      <c r="V400" s="1"/>
    </row>
    <row r="401" spans="1:23" ht="30" customHeight="1">
      <c r="C401" s="20"/>
      <c r="D401" s="20"/>
      <c r="E401" s="20"/>
      <c r="F401" s="20"/>
      <c r="G401" s="20"/>
      <c r="H401" s="20"/>
      <c r="I401" s="20"/>
      <c r="J401" s="20"/>
      <c r="K401" s="20"/>
      <c r="M401" s="20"/>
      <c r="N401" s="20"/>
      <c r="O401" s="20"/>
      <c r="P401" s="20"/>
      <c r="Q401" s="20"/>
      <c r="R401" s="20"/>
      <c r="S401" s="20"/>
      <c r="T401" s="20"/>
      <c r="U401" s="20"/>
    </row>
    <row r="402" spans="1:23" ht="30" customHeight="1">
      <c r="C402" s="21" t="s">
        <v>40</v>
      </c>
      <c r="D402" s="21"/>
      <c r="E402" s="21"/>
      <c r="F402" s="21"/>
      <c r="G402" s="21"/>
      <c r="H402" s="21"/>
      <c r="I402" s="21"/>
      <c r="J402" s="21"/>
      <c r="K402" s="21"/>
      <c r="L402" s="9"/>
      <c r="M402" s="21" t="s">
        <v>40</v>
      </c>
      <c r="N402" s="21"/>
      <c r="O402" s="21"/>
      <c r="P402" s="21"/>
      <c r="Q402" s="21"/>
      <c r="R402" s="21"/>
      <c r="S402" s="21"/>
      <c r="T402" s="21"/>
      <c r="U402" s="21"/>
      <c r="V402" s="9"/>
    </row>
    <row r="403" spans="1:23" ht="30" customHeight="1">
      <c r="D403" s="9"/>
      <c r="E403" s="9"/>
      <c r="F403" s="9"/>
      <c r="G403" s="9"/>
      <c r="H403" s="9"/>
      <c r="I403" s="9"/>
      <c r="J403" s="9"/>
      <c r="K403" s="9"/>
      <c r="L403" s="9"/>
      <c r="M403" s="9"/>
      <c r="N403" s="9"/>
      <c r="Q403" s="9"/>
      <c r="R403" s="9"/>
      <c r="S403" s="9"/>
      <c r="T403" s="9"/>
      <c r="U403" s="9"/>
      <c r="V403" s="9"/>
    </row>
    <row r="404" spans="1:23" ht="30" customHeight="1">
      <c r="B404" s="19" t="str">
        <f>'PROJETO PERFURAÇÃO'!$C$2&amp;" - "&amp;'PROJETO PERFURAÇÃO'!$H$2</f>
        <v>LIB037 - PP0370626</v>
      </c>
      <c r="C404" s="19"/>
      <c r="D404" s="19"/>
      <c r="E404" s="19"/>
      <c r="F404" s="19"/>
      <c r="G404" s="19"/>
      <c r="H404" s="19"/>
      <c r="I404" s="11" t="s">
        <v>34</v>
      </c>
      <c r="J404" s="10" t="s">
        <v>37</v>
      </c>
    </row>
    <row r="405" spans="1:23" ht="30" customHeight="1">
      <c r="B405" s="19"/>
      <c r="C405" s="19"/>
      <c r="D405" s="19"/>
      <c r="E405" s="19"/>
      <c r="F405" s="19"/>
      <c r="G405" s="19"/>
      <c r="H405" s="19"/>
      <c r="I405" s="12" t="s">
        <v>35</v>
      </c>
      <c r="J405" s="10" t="s">
        <v>38</v>
      </c>
      <c r="K405" s="9"/>
      <c r="L405" s="9"/>
      <c r="M405" s="9"/>
      <c r="N405" s="9"/>
      <c r="O405" s="9"/>
      <c r="P405" s="9"/>
      <c r="Q405" s="9"/>
      <c r="R405" s="9"/>
      <c r="S405" s="9"/>
      <c r="T405" s="9"/>
      <c r="U405" s="9"/>
      <c r="V405" s="9"/>
    </row>
    <row r="406" spans="1:23" ht="30" customHeight="1">
      <c r="B406" s="19"/>
      <c r="C406" s="19"/>
      <c r="D406" s="19"/>
      <c r="E406" s="19"/>
      <c r="F406" s="19"/>
      <c r="G406" s="19"/>
      <c r="H406" s="19"/>
      <c r="I406" s="13" t="s">
        <v>36</v>
      </c>
      <c r="J406" s="10" t="s">
        <v>39</v>
      </c>
    </row>
    <row r="407" spans="1:23" ht="30" customHeight="1">
      <c r="A407" s="1"/>
      <c r="B407" s="6" t="s">
        <v>33</v>
      </c>
      <c r="C407" s="6" t="s">
        <v>13</v>
      </c>
      <c r="D407" s="7" t="s">
        <v>1</v>
      </c>
      <c r="E407" s="7" t="s">
        <v>29</v>
      </c>
      <c r="F407" s="7" t="s">
        <v>30</v>
      </c>
      <c r="G407" s="7" t="s">
        <v>31</v>
      </c>
      <c r="H407" s="7" t="s">
        <v>32</v>
      </c>
      <c r="I407" s="6" t="s">
        <v>33</v>
      </c>
      <c r="J407" s="6" t="s">
        <v>13</v>
      </c>
      <c r="K407" s="7" t="s">
        <v>1</v>
      </c>
      <c r="L407" s="7" t="s">
        <v>29</v>
      </c>
      <c r="M407" s="7" t="s">
        <v>30</v>
      </c>
      <c r="N407" s="7" t="s">
        <v>31</v>
      </c>
      <c r="O407" s="7" t="s">
        <v>32</v>
      </c>
      <c r="P407" s="6" t="s">
        <v>33</v>
      </c>
      <c r="Q407" s="6" t="s">
        <v>13</v>
      </c>
      <c r="R407" s="7" t="s">
        <v>1</v>
      </c>
      <c r="S407" s="7" t="s">
        <v>29</v>
      </c>
      <c r="T407" s="7" t="s">
        <v>30</v>
      </c>
      <c r="U407" s="7" t="s">
        <v>31</v>
      </c>
      <c r="V407" s="7" t="s">
        <v>32</v>
      </c>
      <c r="W407" s="1"/>
    </row>
    <row r="408" spans="1:23" ht="45" customHeight="1">
      <c r="B408" s="3" t="str">
        <f>IFERROR(ROUND(INDEX('PROJETO PERFURAÇÃO'!$AB:$AB,MATCH(MEDIÇÃO!D408,'PROJETO PERFURAÇÃO'!$B:$B,0)),1)&amp;"''","")</f>
        <v/>
      </c>
      <c r="C408" s="3" t="str">
        <f>IFERROR(IF(INDEX('PROJETO PERFURAÇÃO'!$P:$P,MATCH(MEDIÇÃO!D408,'PROJETO PERFURAÇÃO'!$B:$B,0))="Production","P",IF(INDEX('PROJETO PERFURAÇÃO'!$P:$P,MATCH(MEDIÇÃO!D408,'PROJETO PERFURAÇÃO'!$B:$B,0))="Buffer","B",IF(INDEX('PROJETO PERFURAÇÃO'!$P:$P,MATCH(MEDIÇÃO!D408,'PROJETO PERFURAÇÃO'!$B:$B,0))="Pre-Splitting","S"))),"")</f>
        <v/>
      </c>
      <c r="D408" s="14">
        <f>R399+1</f>
        <v>898</v>
      </c>
      <c r="E408" s="4" t="str">
        <f>IFERROR(INDEX('LEV R&amp;D'!$D:$D,MATCH(MEDIÇÃO!D408,'LEV R&amp;D'!$A:$A,0))-INDEX('PROJETO PERFURAÇÃO'!$AH:$AH,MATCH(MEDIÇÃO!D408,'PROJETO PERFURAÇÃO'!$B:$B,0)),"")</f>
        <v/>
      </c>
      <c r="F408" s="8" t="str">
        <f>IFERROR(INDEX('PROJETO PERFURAÇÃO'!$AN:$AN,MATCH(MEDIÇÃO!D408,'PROJETO PERFURAÇÃO'!$B:$B,0)),"")</f>
        <v/>
      </c>
      <c r="G408" s="3"/>
      <c r="H408" s="3"/>
      <c r="I408" s="3" t="str">
        <f>IFERROR(ROUND(INDEX('PROJETO PERFURAÇÃO'!$AB:$AB,MATCH(MEDIÇÃO!K408,'PROJETO PERFURAÇÃO'!$B:$B,0)),1)&amp;"''","")</f>
        <v/>
      </c>
      <c r="J408" s="3" t="str">
        <f>IFERROR(IF(INDEX('PROJETO PERFURAÇÃO'!$P:$P,MATCH(MEDIÇÃO!K408,'PROJETO PERFURAÇÃO'!$B:$B,0))="Production","P",IF(INDEX('PROJETO PERFURAÇÃO'!$P:$P,MATCH(MEDIÇÃO!K408,'PROJETO PERFURAÇÃO'!$B:$B,0))="Buffer","B",IF(INDEX('PROJETO PERFURAÇÃO'!$P:$P,MATCH(MEDIÇÃO!K408,'PROJETO PERFURAÇÃO'!$B:$B,0))="Pre-Splitting","S"))),"")</f>
        <v/>
      </c>
      <c r="K408" s="14">
        <f>D430+1</f>
        <v>921</v>
      </c>
      <c r="L408" s="4" t="str">
        <f>IFERROR(INDEX('LEV R&amp;D'!$D:$D,MATCH(MEDIÇÃO!K408,'LEV R&amp;D'!$A:$A,0))-INDEX('PROJETO PERFURAÇÃO'!$AH:$AH,MATCH(MEDIÇÃO!K408,'PROJETO PERFURAÇÃO'!$B:$B,0)),"")</f>
        <v/>
      </c>
      <c r="M408" s="8" t="str">
        <f>IFERROR(INDEX('PROJETO PERFURAÇÃO'!$AN:$AN,MATCH(MEDIÇÃO!K408,'PROJETO PERFURAÇÃO'!$B:$B,0)),"")</f>
        <v/>
      </c>
      <c r="N408" s="3"/>
      <c r="O408" s="3"/>
      <c r="P408" s="3" t="str">
        <f>IFERROR(ROUND(INDEX('PROJETO PERFURAÇÃO'!$AB:$AB,MATCH(MEDIÇÃO!R408,'PROJETO PERFURAÇÃO'!$B:$B,0)),1)&amp;"''","")</f>
        <v/>
      </c>
      <c r="Q408" s="3" t="str">
        <f>IFERROR(IF(INDEX('PROJETO PERFURAÇÃO'!$P:$P,MATCH(MEDIÇÃO!R408,'PROJETO PERFURAÇÃO'!$B:$B,0))="Production","P",IF(INDEX('PROJETO PERFURAÇÃO'!$P:$P,MATCH(MEDIÇÃO!R408,'PROJETO PERFURAÇÃO'!$B:$B,0))="Buffer","B",IF(INDEX('PROJETO PERFURAÇÃO'!$P:$P,MATCH(MEDIÇÃO!R408,'PROJETO PERFURAÇÃO'!$B:$B,0))="Pre-Splitting","S"))),"")</f>
        <v/>
      </c>
      <c r="R408" s="14">
        <f>K430+1</f>
        <v>944</v>
      </c>
      <c r="S408" s="4" t="str">
        <f>IFERROR(INDEX('LEV R&amp;D'!$D:$D,MATCH(MEDIÇÃO!R408,'LEV R&amp;D'!$A:$A,0))-INDEX('PROJETO PERFURAÇÃO'!$AH:$AH,MATCH(MEDIÇÃO!R408,'PROJETO PERFURAÇÃO'!$B:$B,0)),"")</f>
        <v/>
      </c>
      <c r="T408" s="8" t="str">
        <f>IFERROR(INDEX('PROJETO PERFURAÇÃO'!$AN:$AN,MATCH(MEDIÇÃO!R408,'PROJETO PERFURAÇÃO'!$B:$B,0)),"")</f>
        <v/>
      </c>
      <c r="U408" s="3"/>
      <c r="V408" s="3"/>
    </row>
    <row r="409" spans="1:23" ht="45" customHeight="1">
      <c r="B409" s="3" t="str">
        <f>IFERROR(ROUND(INDEX('PROJETO PERFURAÇÃO'!$AB:$AB,MATCH(MEDIÇÃO!D409,'PROJETO PERFURAÇÃO'!$B:$B,0)),1)&amp;"''","")</f>
        <v/>
      </c>
      <c r="C409" s="3" t="str">
        <f>IFERROR(IF(INDEX('PROJETO PERFURAÇÃO'!$P:$P,MATCH(MEDIÇÃO!D409,'PROJETO PERFURAÇÃO'!$B:$B,0))="Production","P",IF(INDEX('PROJETO PERFURAÇÃO'!$P:$P,MATCH(MEDIÇÃO!D409,'PROJETO PERFURAÇÃO'!$B:$B,0))="Buffer","B",IF(INDEX('PROJETO PERFURAÇÃO'!$P:$P,MATCH(MEDIÇÃO!D409,'PROJETO PERFURAÇÃO'!$B:$B,0))="Pre-Splitting","S"))),"")</f>
        <v/>
      </c>
      <c r="D409" s="14">
        <f>D408+1</f>
        <v>899</v>
      </c>
      <c r="E409" s="4" t="str">
        <f>IFERROR(INDEX('LEV R&amp;D'!$D:$D,MATCH(MEDIÇÃO!D409,'LEV R&amp;D'!$A:$A,0))-INDEX('PROJETO PERFURAÇÃO'!$AH:$AH,MATCH(MEDIÇÃO!D409,'PROJETO PERFURAÇÃO'!$B:$B,0)),"")</f>
        <v/>
      </c>
      <c r="F409" s="8" t="str">
        <f>IFERROR(INDEX('PROJETO PERFURAÇÃO'!$AN:$AN,MATCH(MEDIÇÃO!D409,'PROJETO PERFURAÇÃO'!$B:$B,0)),"")</f>
        <v/>
      </c>
      <c r="G409" s="3"/>
      <c r="H409" s="3"/>
      <c r="I409" s="3" t="str">
        <f>IFERROR(ROUND(INDEX('PROJETO PERFURAÇÃO'!$AB:$AB,MATCH(MEDIÇÃO!K409,'PROJETO PERFURAÇÃO'!$B:$B,0)),1)&amp;"''","")</f>
        <v/>
      </c>
      <c r="J409" s="3" t="str">
        <f>IFERROR(IF(INDEX('PROJETO PERFURAÇÃO'!$P:$P,MATCH(MEDIÇÃO!K409,'PROJETO PERFURAÇÃO'!$B:$B,0))="Production","P",IF(INDEX('PROJETO PERFURAÇÃO'!$P:$P,MATCH(MEDIÇÃO!K409,'PROJETO PERFURAÇÃO'!$B:$B,0))="Buffer","B",IF(INDEX('PROJETO PERFURAÇÃO'!$P:$P,MATCH(MEDIÇÃO!K409,'PROJETO PERFURAÇÃO'!$B:$B,0))="Pre-Splitting","S"))),"")</f>
        <v/>
      </c>
      <c r="K409" s="14">
        <f>K408+1</f>
        <v>922</v>
      </c>
      <c r="L409" s="4" t="str">
        <f>IFERROR(INDEX('LEV R&amp;D'!$D:$D,MATCH(MEDIÇÃO!K409,'LEV R&amp;D'!$A:$A,0))-INDEX('PROJETO PERFURAÇÃO'!$AH:$AH,MATCH(MEDIÇÃO!K409,'PROJETO PERFURAÇÃO'!$B:$B,0)),"")</f>
        <v/>
      </c>
      <c r="M409" s="8" t="str">
        <f>IFERROR(INDEX('PROJETO PERFURAÇÃO'!$AN:$AN,MATCH(MEDIÇÃO!K409,'PROJETO PERFURAÇÃO'!$B:$B,0)),"")</f>
        <v/>
      </c>
      <c r="N409" s="3"/>
      <c r="O409" s="3"/>
      <c r="P409" s="3" t="str">
        <f>IFERROR(ROUND(INDEX('PROJETO PERFURAÇÃO'!$AB:$AB,MATCH(MEDIÇÃO!R409,'PROJETO PERFURAÇÃO'!$B:$B,0)),1)&amp;"''","")</f>
        <v/>
      </c>
      <c r="Q409" s="3" t="str">
        <f>IFERROR(IF(INDEX('PROJETO PERFURAÇÃO'!$P:$P,MATCH(MEDIÇÃO!R409,'PROJETO PERFURAÇÃO'!$B:$B,0))="Production","P",IF(INDEX('PROJETO PERFURAÇÃO'!$P:$P,MATCH(MEDIÇÃO!R409,'PROJETO PERFURAÇÃO'!$B:$B,0))="Buffer","B",IF(INDEX('PROJETO PERFURAÇÃO'!$P:$P,MATCH(MEDIÇÃO!R409,'PROJETO PERFURAÇÃO'!$B:$B,0))="Pre-Splitting","S"))),"")</f>
        <v/>
      </c>
      <c r="R409" s="14">
        <f>R408+1</f>
        <v>945</v>
      </c>
      <c r="S409" s="4" t="str">
        <f>IFERROR(INDEX('LEV R&amp;D'!$D:$D,MATCH(MEDIÇÃO!R409,'LEV R&amp;D'!$A:$A,0))-INDEX('PROJETO PERFURAÇÃO'!$AH:$AH,MATCH(MEDIÇÃO!R409,'PROJETO PERFURAÇÃO'!$B:$B,0)),"")</f>
        <v/>
      </c>
      <c r="T409" s="8" t="str">
        <f>IFERROR(INDEX('PROJETO PERFURAÇÃO'!$AN:$AN,MATCH(MEDIÇÃO!R409,'PROJETO PERFURAÇÃO'!$B:$B,0)),"")</f>
        <v/>
      </c>
      <c r="U409" s="3"/>
      <c r="V409" s="3"/>
    </row>
    <row r="410" spans="1:23" ht="45" customHeight="1">
      <c r="B410" s="3" t="str">
        <f>IFERROR(ROUND(INDEX('PROJETO PERFURAÇÃO'!$AB:$AB,MATCH(MEDIÇÃO!D410,'PROJETO PERFURAÇÃO'!$B:$B,0)),1)&amp;"''","")</f>
        <v/>
      </c>
      <c r="C410" s="3" t="str">
        <f>IFERROR(IF(INDEX('PROJETO PERFURAÇÃO'!$P:$P,MATCH(MEDIÇÃO!D410,'PROJETO PERFURAÇÃO'!$B:$B,0))="Production","P",IF(INDEX('PROJETO PERFURAÇÃO'!$P:$P,MATCH(MEDIÇÃO!D410,'PROJETO PERFURAÇÃO'!$B:$B,0))="Buffer","B",IF(INDEX('PROJETO PERFURAÇÃO'!$P:$P,MATCH(MEDIÇÃO!D410,'PROJETO PERFURAÇÃO'!$B:$B,0))="Pre-Splitting","S"))),"")</f>
        <v/>
      </c>
      <c r="D410" s="14">
        <f t="shared" ref="D410:D429" si="39">D409+1</f>
        <v>900</v>
      </c>
      <c r="E410" s="4" t="str">
        <f>IFERROR(INDEX('LEV R&amp;D'!$D:$D,MATCH(MEDIÇÃO!D410,'LEV R&amp;D'!$A:$A,0))-INDEX('PROJETO PERFURAÇÃO'!$AH:$AH,MATCH(MEDIÇÃO!D410,'PROJETO PERFURAÇÃO'!$B:$B,0)),"")</f>
        <v/>
      </c>
      <c r="F410" s="8" t="str">
        <f>IFERROR(INDEX('PROJETO PERFURAÇÃO'!$AN:$AN,MATCH(MEDIÇÃO!D410,'PROJETO PERFURAÇÃO'!$B:$B,0)),"")</f>
        <v/>
      </c>
      <c r="G410" s="3"/>
      <c r="H410" s="3"/>
      <c r="I410" s="3" t="str">
        <f>IFERROR(ROUND(INDEX('PROJETO PERFURAÇÃO'!$AB:$AB,MATCH(MEDIÇÃO!K410,'PROJETO PERFURAÇÃO'!$B:$B,0)),1)&amp;"''","")</f>
        <v/>
      </c>
      <c r="J410" s="3" t="str">
        <f>IFERROR(IF(INDEX('PROJETO PERFURAÇÃO'!$P:$P,MATCH(MEDIÇÃO!K410,'PROJETO PERFURAÇÃO'!$B:$B,0))="Production","P",IF(INDEX('PROJETO PERFURAÇÃO'!$P:$P,MATCH(MEDIÇÃO!K410,'PROJETO PERFURAÇÃO'!$B:$B,0))="Buffer","B",IF(INDEX('PROJETO PERFURAÇÃO'!$P:$P,MATCH(MEDIÇÃO!K410,'PROJETO PERFURAÇÃO'!$B:$B,0))="Pre-Splitting","S"))),"")</f>
        <v/>
      </c>
      <c r="K410" s="14">
        <f t="shared" ref="K410:K429" si="40">K409+1</f>
        <v>923</v>
      </c>
      <c r="L410" s="4" t="str">
        <f>IFERROR(INDEX('LEV R&amp;D'!$D:$D,MATCH(MEDIÇÃO!K410,'LEV R&amp;D'!$A:$A,0))-INDEX('PROJETO PERFURAÇÃO'!$AH:$AH,MATCH(MEDIÇÃO!K410,'PROJETO PERFURAÇÃO'!$B:$B,0)),"")</f>
        <v/>
      </c>
      <c r="M410" s="8" t="str">
        <f>IFERROR(INDEX('PROJETO PERFURAÇÃO'!$AN:$AN,MATCH(MEDIÇÃO!K410,'PROJETO PERFURAÇÃO'!$B:$B,0)),"")</f>
        <v/>
      </c>
      <c r="N410" s="3"/>
      <c r="O410" s="3"/>
      <c r="P410" s="3" t="str">
        <f>IFERROR(ROUND(INDEX('PROJETO PERFURAÇÃO'!$AB:$AB,MATCH(MEDIÇÃO!R410,'PROJETO PERFURAÇÃO'!$B:$B,0)),1)&amp;"''","")</f>
        <v/>
      </c>
      <c r="Q410" s="3" t="str">
        <f>IFERROR(IF(INDEX('PROJETO PERFURAÇÃO'!$P:$P,MATCH(MEDIÇÃO!R410,'PROJETO PERFURAÇÃO'!$B:$B,0))="Production","P",IF(INDEX('PROJETO PERFURAÇÃO'!$P:$P,MATCH(MEDIÇÃO!R410,'PROJETO PERFURAÇÃO'!$B:$B,0))="Buffer","B",IF(INDEX('PROJETO PERFURAÇÃO'!$P:$P,MATCH(MEDIÇÃO!R410,'PROJETO PERFURAÇÃO'!$B:$B,0))="Pre-Splitting","S"))),"")</f>
        <v/>
      </c>
      <c r="R410" s="14">
        <f t="shared" ref="R410:R429" si="41">R409+1</f>
        <v>946</v>
      </c>
      <c r="S410" s="4" t="str">
        <f>IFERROR(INDEX('LEV R&amp;D'!$D:$D,MATCH(MEDIÇÃO!R410,'LEV R&amp;D'!$A:$A,0))-INDEX('PROJETO PERFURAÇÃO'!$AH:$AH,MATCH(MEDIÇÃO!R410,'PROJETO PERFURAÇÃO'!$B:$B,0)),"")</f>
        <v/>
      </c>
      <c r="T410" s="8" t="str">
        <f>IFERROR(INDEX('PROJETO PERFURAÇÃO'!$AN:$AN,MATCH(MEDIÇÃO!R410,'PROJETO PERFURAÇÃO'!$B:$B,0)),"")</f>
        <v/>
      </c>
      <c r="U410" s="3"/>
      <c r="V410" s="3"/>
    </row>
    <row r="411" spans="1:23" ht="45" customHeight="1">
      <c r="B411" s="3" t="str">
        <f>IFERROR(ROUND(INDEX('PROJETO PERFURAÇÃO'!$AB:$AB,MATCH(MEDIÇÃO!D411,'PROJETO PERFURAÇÃO'!$B:$B,0)),1)&amp;"''","")</f>
        <v/>
      </c>
      <c r="C411" s="3" t="str">
        <f>IFERROR(IF(INDEX('PROJETO PERFURAÇÃO'!$P:$P,MATCH(MEDIÇÃO!D411,'PROJETO PERFURAÇÃO'!$B:$B,0))="Production","P",IF(INDEX('PROJETO PERFURAÇÃO'!$P:$P,MATCH(MEDIÇÃO!D411,'PROJETO PERFURAÇÃO'!$B:$B,0))="Buffer","B",IF(INDEX('PROJETO PERFURAÇÃO'!$P:$P,MATCH(MEDIÇÃO!D411,'PROJETO PERFURAÇÃO'!$B:$B,0))="Pre-Splitting","S"))),"")</f>
        <v/>
      </c>
      <c r="D411" s="14">
        <f t="shared" si="39"/>
        <v>901</v>
      </c>
      <c r="E411" s="4" t="str">
        <f>IFERROR(INDEX('LEV R&amp;D'!$D:$D,MATCH(MEDIÇÃO!D411,'LEV R&amp;D'!$A:$A,0))-INDEX('PROJETO PERFURAÇÃO'!$AH:$AH,MATCH(MEDIÇÃO!D411,'PROJETO PERFURAÇÃO'!$B:$B,0)),"")</f>
        <v/>
      </c>
      <c r="F411" s="8" t="str">
        <f>IFERROR(INDEX('PROJETO PERFURAÇÃO'!$AN:$AN,MATCH(MEDIÇÃO!D411,'PROJETO PERFURAÇÃO'!$B:$B,0)),"")</f>
        <v/>
      </c>
      <c r="G411" s="3"/>
      <c r="H411" s="3"/>
      <c r="I411" s="3" t="str">
        <f>IFERROR(ROUND(INDEX('PROJETO PERFURAÇÃO'!$AB:$AB,MATCH(MEDIÇÃO!K411,'PROJETO PERFURAÇÃO'!$B:$B,0)),1)&amp;"''","")</f>
        <v/>
      </c>
      <c r="J411" s="3" t="str">
        <f>IFERROR(IF(INDEX('PROJETO PERFURAÇÃO'!$P:$P,MATCH(MEDIÇÃO!K411,'PROJETO PERFURAÇÃO'!$B:$B,0))="Production","P",IF(INDEX('PROJETO PERFURAÇÃO'!$P:$P,MATCH(MEDIÇÃO!K411,'PROJETO PERFURAÇÃO'!$B:$B,0))="Buffer","B",IF(INDEX('PROJETO PERFURAÇÃO'!$P:$P,MATCH(MEDIÇÃO!K411,'PROJETO PERFURAÇÃO'!$B:$B,0))="Pre-Splitting","S"))),"")</f>
        <v/>
      </c>
      <c r="K411" s="14">
        <f t="shared" si="40"/>
        <v>924</v>
      </c>
      <c r="L411" s="4" t="str">
        <f>IFERROR(INDEX('LEV R&amp;D'!$D:$D,MATCH(MEDIÇÃO!K411,'LEV R&amp;D'!$A:$A,0))-INDEX('PROJETO PERFURAÇÃO'!$AH:$AH,MATCH(MEDIÇÃO!K411,'PROJETO PERFURAÇÃO'!$B:$B,0)),"")</f>
        <v/>
      </c>
      <c r="M411" s="8" t="str">
        <f>IFERROR(INDEX('PROJETO PERFURAÇÃO'!$AN:$AN,MATCH(MEDIÇÃO!K411,'PROJETO PERFURAÇÃO'!$B:$B,0)),"")</f>
        <v/>
      </c>
      <c r="N411" s="3"/>
      <c r="O411" s="3"/>
      <c r="P411" s="3" t="str">
        <f>IFERROR(ROUND(INDEX('PROJETO PERFURAÇÃO'!$AB:$AB,MATCH(MEDIÇÃO!R411,'PROJETO PERFURAÇÃO'!$B:$B,0)),1)&amp;"''","")</f>
        <v/>
      </c>
      <c r="Q411" s="3" t="str">
        <f>IFERROR(IF(INDEX('PROJETO PERFURAÇÃO'!$P:$P,MATCH(MEDIÇÃO!R411,'PROJETO PERFURAÇÃO'!$B:$B,0))="Production","P",IF(INDEX('PROJETO PERFURAÇÃO'!$P:$P,MATCH(MEDIÇÃO!R411,'PROJETO PERFURAÇÃO'!$B:$B,0))="Buffer","B",IF(INDEX('PROJETO PERFURAÇÃO'!$P:$P,MATCH(MEDIÇÃO!R411,'PROJETO PERFURAÇÃO'!$B:$B,0))="Pre-Splitting","S"))),"")</f>
        <v/>
      </c>
      <c r="R411" s="14">
        <f t="shared" si="41"/>
        <v>947</v>
      </c>
      <c r="S411" s="4" t="str">
        <f>IFERROR(INDEX('LEV R&amp;D'!$D:$D,MATCH(MEDIÇÃO!R411,'LEV R&amp;D'!$A:$A,0))-INDEX('PROJETO PERFURAÇÃO'!$AH:$AH,MATCH(MEDIÇÃO!R411,'PROJETO PERFURAÇÃO'!$B:$B,0)),"")</f>
        <v/>
      </c>
      <c r="T411" s="8" t="str">
        <f>IFERROR(INDEX('PROJETO PERFURAÇÃO'!$AN:$AN,MATCH(MEDIÇÃO!R411,'PROJETO PERFURAÇÃO'!$B:$B,0)),"")</f>
        <v/>
      </c>
      <c r="U411" s="3"/>
      <c r="V411" s="3"/>
    </row>
    <row r="412" spans="1:23" ht="45" customHeight="1">
      <c r="B412" s="3" t="str">
        <f>IFERROR(ROUND(INDEX('PROJETO PERFURAÇÃO'!$AB:$AB,MATCH(MEDIÇÃO!D412,'PROJETO PERFURAÇÃO'!$B:$B,0)),1)&amp;"''","")</f>
        <v/>
      </c>
      <c r="C412" s="3" t="str">
        <f>IFERROR(IF(INDEX('PROJETO PERFURAÇÃO'!$P:$P,MATCH(MEDIÇÃO!D412,'PROJETO PERFURAÇÃO'!$B:$B,0))="Production","P",IF(INDEX('PROJETO PERFURAÇÃO'!$P:$P,MATCH(MEDIÇÃO!D412,'PROJETO PERFURAÇÃO'!$B:$B,0))="Buffer","B",IF(INDEX('PROJETO PERFURAÇÃO'!$P:$P,MATCH(MEDIÇÃO!D412,'PROJETO PERFURAÇÃO'!$B:$B,0))="Pre-Splitting","S"))),"")</f>
        <v/>
      </c>
      <c r="D412" s="14">
        <f t="shared" si="39"/>
        <v>902</v>
      </c>
      <c r="E412" s="4" t="str">
        <f>IFERROR(INDEX('LEV R&amp;D'!$D:$D,MATCH(MEDIÇÃO!D412,'LEV R&amp;D'!$A:$A,0))-INDEX('PROJETO PERFURAÇÃO'!$AH:$AH,MATCH(MEDIÇÃO!D412,'PROJETO PERFURAÇÃO'!$B:$B,0)),"")</f>
        <v/>
      </c>
      <c r="F412" s="8" t="str">
        <f>IFERROR(INDEX('PROJETO PERFURAÇÃO'!$AN:$AN,MATCH(MEDIÇÃO!D412,'PROJETO PERFURAÇÃO'!$B:$B,0)),"")</f>
        <v/>
      </c>
      <c r="G412" s="3"/>
      <c r="H412" s="3"/>
      <c r="I412" s="3" t="str">
        <f>IFERROR(ROUND(INDEX('PROJETO PERFURAÇÃO'!$AB:$AB,MATCH(MEDIÇÃO!K412,'PROJETO PERFURAÇÃO'!$B:$B,0)),1)&amp;"''","")</f>
        <v/>
      </c>
      <c r="J412" s="3" t="str">
        <f>IFERROR(IF(INDEX('PROJETO PERFURAÇÃO'!$P:$P,MATCH(MEDIÇÃO!K412,'PROJETO PERFURAÇÃO'!$B:$B,0))="Production","P",IF(INDEX('PROJETO PERFURAÇÃO'!$P:$P,MATCH(MEDIÇÃO!K412,'PROJETO PERFURAÇÃO'!$B:$B,0))="Buffer","B",IF(INDEX('PROJETO PERFURAÇÃO'!$P:$P,MATCH(MEDIÇÃO!K412,'PROJETO PERFURAÇÃO'!$B:$B,0))="Pre-Splitting","S"))),"")</f>
        <v/>
      </c>
      <c r="K412" s="14">
        <f t="shared" si="40"/>
        <v>925</v>
      </c>
      <c r="L412" s="4" t="str">
        <f>IFERROR(INDEX('LEV R&amp;D'!$D:$D,MATCH(MEDIÇÃO!K412,'LEV R&amp;D'!$A:$A,0))-INDEX('PROJETO PERFURAÇÃO'!$AH:$AH,MATCH(MEDIÇÃO!K412,'PROJETO PERFURAÇÃO'!$B:$B,0)),"")</f>
        <v/>
      </c>
      <c r="M412" s="8" t="str">
        <f>IFERROR(INDEX('PROJETO PERFURAÇÃO'!$AN:$AN,MATCH(MEDIÇÃO!K412,'PROJETO PERFURAÇÃO'!$B:$B,0)),"")</f>
        <v/>
      </c>
      <c r="N412" s="3"/>
      <c r="O412" s="3"/>
      <c r="P412" s="3" t="str">
        <f>IFERROR(ROUND(INDEX('PROJETO PERFURAÇÃO'!$AB:$AB,MATCH(MEDIÇÃO!R412,'PROJETO PERFURAÇÃO'!$B:$B,0)),1)&amp;"''","")</f>
        <v/>
      </c>
      <c r="Q412" s="3" t="str">
        <f>IFERROR(IF(INDEX('PROJETO PERFURAÇÃO'!$P:$P,MATCH(MEDIÇÃO!R412,'PROJETO PERFURAÇÃO'!$B:$B,0))="Production","P",IF(INDEX('PROJETO PERFURAÇÃO'!$P:$P,MATCH(MEDIÇÃO!R412,'PROJETO PERFURAÇÃO'!$B:$B,0))="Buffer","B",IF(INDEX('PROJETO PERFURAÇÃO'!$P:$P,MATCH(MEDIÇÃO!R412,'PROJETO PERFURAÇÃO'!$B:$B,0))="Pre-Splitting","S"))),"")</f>
        <v/>
      </c>
      <c r="R412" s="14">
        <f t="shared" si="41"/>
        <v>948</v>
      </c>
      <c r="S412" s="4" t="str">
        <f>IFERROR(INDEX('LEV R&amp;D'!$D:$D,MATCH(MEDIÇÃO!R412,'LEV R&amp;D'!$A:$A,0))-INDEX('PROJETO PERFURAÇÃO'!$AH:$AH,MATCH(MEDIÇÃO!R412,'PROJETO PERFURAÇÃO'!$B:$B,0)),"")</f>
        <v/>
      </c>
      <c r="T412" s="8" t="str">
        <f>IFERROR(INDEX('PROJETO PERFURAÇÃO'!$AN:$AN,MATCH(MEDIÇÃO!R412,'PROJETO PERFURAÇÃO'!$B:$B,0)),"")</f>
        <v/>
      </c>
      <c r="U412" s="3"/>
      <c r="V412" s="3"/>
    </row>
    <row r="413" spans="1:23" ht="45" customHeight="1">
      <c r="B413" s="3" t="str">
        <f>IFERROR(ROUND(INDEX('PROJETO PERFURAÇÃO'!$AB:$AB,MATCH(MEDIÇÃO!D413,'PROJETO PERFURAÇÃO'!$B:$B,0)),1)&amp;"''","")</f>
        <v/>
      </c>
      <c r="C413" s="3" t="str">
        <f>IFERROR(IF(INDEX('PROJETO PERFURAÇÃO'!$P:$P,MATCH(MEDIÇÃO!D413,'PROJETO PERFURAÇÃO'!$B:$B,0))="Production","P",IF(INDEX('PROJETO PERFURAÇÃO'!$P:$P,MATCH(MEDIÇÃO!D413,'PROJETO PERFURAÇÃO'!$B:$B,0))="Buffer","B",IF(INDEX('PROJETO PERFURAÇÃO'!$P:$P,MATCH(MEDIÇÃO!D413,'PROJETO PERFURAÇÃO'!$B:$B,0))="Pre-Splitting","S"))),"")</f>
        <v/>
      </c>
      <c r="D413" s="14">
        <f t="shared" si="39"/>
        <v>903</v>
      </c>
      <c r="E413" s="4" t="str">
        <f>IFERROR(INDEX('LEV R&amp;D'!$D:$D,MATCH(MEDIÇÃO!D413,'LEV R&amp;D'!$A:$A,0))-INDEX('PROJETO PERFURAÇÃO'!$AH:$AH,MATCH(MEDIÇÃO!D413,'PROJETO PERFURAÇÃO'!$B:$B,0)),"")</f>
        <v/>
      </c>
      <c r="F413" s="8" t="str">
        <f>IFERROR(INDEX('PROJETO PERFURAÇÃO'!$AN:$AN,MATCH(MEDIÇÃO!D413,'PROJETO PERFURAÇÃO'!$B:$B,0)),"")</f>
        <v/>
      </c>
      <c r="G413" s="3"/>
      <c r="H413" s="3"/>
      <c r="I413" s="3" t="str">
        <f>IFERROR(ROUND(INDEX('PROJETO PERFURAÇÃO'!$AB:$AB,MATCH(MEDIÇÃO!K413,'PROJETO PERFURAÇÃO'!$B:$B,0)),1)&amp;"''","")</f>
        <v/>
      </c>
      <c r="J413" s="3" t="str">
        <f>IFERROR(IF(INDEX('PROJETO PERFURAÇÃO'!$P:$P,MATCH(MEDIÇÃO!K413,'PROJETO PERFURAÇÃO'!$B:$B,0))="Production","P",IF(INDEX('PROJETO PERFURAÇÃO'!$P:$P,MATCH(MEDIÇÃO!K413,'PROJETO PERFURAÇÃO'!$B:$B,0))="Buffer","B",IF(INDEX('PROJETO PERFURAÇÃO'!$P:$P,MATCH(MEDIÇÃO!K413,'PROJETO PERFURAÇÃO'!$B:$B,0))="Pre-Splitting","S"))),"")</f>
        <v/>
      </c>
      <c r="K413" s="14">
        <f t="shared" si="40"/>
        <v>926</v>
      </c>
      <c r="L413" s="4" t="str">
        <f>IFERROR(INDEX('LEV R&amp;D'!$D:$D,MATCH(MEDIÇÃO!K413,'LEV R&amp;D'!$A:$A,0))-INDEX('PROJETO PERFURAÇÃO'!$AH:$AH,MATCH(MEDIÇÃO!K413,'PROJETO PERFURAÇÃO'!$B:$B,0)),"")</f>
        <v/>
      </c>
      <c r="M413" s="8" t="str">
        <f>IFERROR(INDEX('PROJETO PERFURAÇÃO'!$AN:$AN,MATCH(MEDIÇÃO!K413,'PROJETO PERFURAÇÃO'!$B:$B,0)),"")</f>
        <v/>
      </c>
      <c r="N413" s="3"/>
      <c r="O413" s="3"/>
      <c r="P413" s="3" t="str">
        <f>IFERROR(ROUND(INDEX('PROJETO PERFURAÇÃO'!$AB:$AB,MATCH(MEDIÇÃO!R413,'PROJETO PERFURAÇÃO'!$B:$B,0)),1)&amp;"''","")</f>
        <v/>
      </c>
      <c r="Q413" s="3" t="str">
        <f>IFERROR(IF(INDEX('PROJETO PERFURAÇÃO'!$P:$P,MATCH(MEDIÇÃO!R413,'PROJETO PERFURAÇÃO'!$B:$B,0))="Production","P",IF(INDEX('PROJETO PERFURAÇÃO'!$P:$P,MATCH(MEDIÇÃO!R413,'PROJETO PERFURAÇÃO'!$B:$B,0))="Buffer","B",IF(INDEX('PROJETO PERFURAÇÃO'!$P:$P,MATCH(MEDIÇÃO!R413,'PROJETO PERFURAÇÃO'!$B:$B,0))="Pre-Splitting","S"))),"")</f>
        <v/>
      </c>
      <c r="R413" s="14">
        <f t="shared" si="41"/>
        <v>949</v>
      </c>
      <c r="S413" s="4" t="str">
        <f>IFERROR(INDEX('LEV R&amp;D'!$D:$D,MATCH(MEDIÇÃO!R413,'LEV R&amp;D'!$A:$A,0))-INDEX('PROJETO PERFURAÇÃO'!$AH:$AH,MATCH(MEDIÇÃO!R413,'PROJETO PERFURAÇÃO'!$B:$B,0)),"")</f>
        <v/>
      </c>
      <c r="T413" s="8" t="str">
        <f>IFERROR(INDEX('PROJETO PERFURAÇÃO'!$AN:$AN,MATCH(MEDIÇÃO!R413,'PROJETO PERFURAÇÃO'!$B:$B,0)),"")</f>
        <v/>
      </c>
      <c r="U413" s="3"/>
      <c r="V413" s="3"/>
    </row>
    <row r="414" spans="1:23" ht="45" customHeight="1">
      <c r="B414" s="3" t="str">
        <f>IFERROR(ROUND(INDEX('PROJETO PERFURAÇÃO'!$AB:$AB,MATCH(MEDIÇÃO!D414,'PROJETO PERFURAÇÃO'!$B:$B,0)),1)&amp;"''","")</f>
        <v/>
      </c>
      <c r="C414" s="3" t="str">
        <f>IFERROR(IF(INDEX('PROJETO PERFURAÇÃO'!$P:$P,MATCH(MEDIÇÃO!D414,'PROJETO PERFURAÇÃO'!$B:$B,0))="Production","P",IF(INDEX('PROJETO PERFURAÇÃO'!$P:$P,MATCH(MEDIÇÃO!D414,'PROJETO PERFURAÇÃO'!$B:$B,0))="Buffer","B",IF(INDEX('PROJETO PERFURAÇÃO'!$P:$P,MATCH(MEDIÇÃO!D414,'PROJETO PERFURAÇÃO'!$B:$B,0))="Pre-Splitting","S"))),"")</f>
        <v/>
      </c>
      <c r="D414" s="14">
        <f t="shared" si="39"/>
        <v>904</v>
      </c>
      <c r="E414" s="4" t="str">
        <f>IFERROR(INDEX('LEV R&amp;D'!$D:$D,MATCH(MEDIÇÃO!D414,'LEV R&amp;D'!$A:$A,0))-INDEX('PROJETO PERFURAÇÃO'!$AH:$AH,MATCH(MEDIÇÃO!D414,'PROJETO PERFURAÇÃO'!$B:$B,0)),"")</f>
        <v/>
      </c>
      <c r="F414" s="8" t="str">
        <f>IFERROR(INDEX('PROJETO PERFURAÇÃO'!$AN:$AN,MATCH(MEDIÇÃO!D414,'PROJETO PERFURAÇÃO'!$B:$B,0)),"")</f>
        <v/>
      </c>
      <c r="G414" s="3"/>
      <c r="H414" s="3"/>
      <c r="I414" s="3" t="str">
        <f>IFERROR(ROUND(INDEX('PROJETO PERFURAÇÃO'!$AB:$AB,MATCH(MEDIÇÃO!K414,'PROJETO PERFURAÇÃO'!$B:$B,0)),1)&amp;"''","")</f>
        <v/>
      </c>
      <c r="J414" s="3" t="str">
        <f>IFERROR(IF(INDEX('PROJETO PERFURAÇÃO'!$P:$P,MATCH(MEDIÇÃO!K414,'PROJETO PERFURAÇÃO'!$B:$B,0))="Production","P",IF(INDEX('PROJETO PERFURAÇÃO'!$P:$P,MATCH(MEDIÇÃO!K414,'PROJETO PERFURAÇÃO'!$B:$B,0))="Buffer","B",IF(INDEX('PROJETO PERFURAÇÃO'!$P:$P,MATCH(MEDIÇÃO!K414,'PROJETO PERFURAÇÃO'!$B:$B,0))="Pre-Splitting","S"))),"")</f>
        <v/>
      </c>
      <c r="K414" s="14">
        <f t="shared" si="40"/>
        <v>927</v>
      </c>
      <c r="L414" s="4" t="str">
        <f>IFERROR(INDEX('LEV R&amp;D'!$D:$D,MATCH(MEDIÇÃO!K414,'LEV R&amp;D'!$A:$A,0))-INDEX('PROJETO PERFURAÇÃO'!$AH:$AH,MATCH(MEDIÇÃO!K414,'PROJETO PERFURAÇÃO'!$B:$B,0)),"")</f>
        <v/>
      </c>
      <c r="M414" s="8" t="str">
        <f>IFERROR(INDEX('PROJETO PERFURAÇÃO'!$AN:$AN,MATCH(MEDIÇÃO!K414,'PROJETO PERFURAÇÃO'!$B:$B,0)),"")</f>
        <v/>
      </c>
      <c r="N414" s="3"/>
      <c r="O414" s="3"/>
      <c r="P414" s="3" t="str">
        <f>IFERROR(ROUND(INDEX('PROJETO PERFURAÇÃO'!$AB:$AB,MATCH(MEDIÇÃO!R414,'PROJETO PERFURAÇÃO'!$B:$B,0)),1)&amp;"''","")</f>
        <v/>
      </c>
      <c r="Q414" s="3" t="str">
        <f>IFERROR(IF(INDEX('PROJETO PERFURAÇÃO'!$P:$P,MATCH(MEDIÇÃO!R414,'PROJETO PERFURAÇÃO'!$B:$B,0))="Production","P",IF(INDEX('PROJETO PERFURAÇÃO'!$P:$P,MATCH(MEDIÇÃO!R414,'PROJETO PERFURAÇÃO'!$B:$B,0))="Buffer","B",IF(INDEX('PROJETO PERFURAÇÃO'!$P:$P,MATCH(MEDIÇÃO!R414,'PROJETO PERFURAÇÃO'!$B:$B,0))="Pre-Splitting","S"))),"")</f>
        <v/>
      </c>
      <c r="R414" s="14">
        <f t="shared" si="41"/>
        <v>950</v>
      </c>
      <c r="S414" s="4" t="str">
        <f>IFERROR(INDEX('LEV R&amp;D'!$D:$D,MATCH(MEDIÇÃO!R414,'LEV R&amp;D'!$A:$A,0))-INDEX('PROJETO PERFURAÇÃO'!$AH:$AH,MATCH(MEDIÇÃO!R414,'PROJETO PERFURAÇÃO'!$B:$B,0)),"")</f>
        <v/>
      </c>
      <c r="T414" s="8" t="str">
        <f>IFERROR(INDEX('PROJETO PERFURAÇÃO'!$AN:$AN,MATCH(MEDIÇÃO!R414,'PROJETO PERFURAÇÃO'!$B:$B,0)),"")</f>
        <v/>
      </c>
      <c r="U414" s="3"/>
      <c r="V414" s="3"/>
    </row>
    <row r="415" spans="1:23" ht="45" customHeight="1">
      <c r="B415" s="3" t="str">
        <f>IFERROR(ROUND(INDEX('PROJETO PERFURAÇÃO'!$AB:$AB,MATCH(MEDIÇÃO!D415,'PROJETO PERFURAÇÃO'!$B:$B,0)),1)&amp;"''","")</f>
        <v/>
      </c>
      <c r="C415" s="3" t="str">
        <f>IFERROR(IF(INDEX('PROJETO PERFURAÇÃO'!$P:$P,MATCH(MEDIÇÃO!D415,'PROJETO PERFURAÇÃO'!$B:$B,0))="Production","P",IF(INDEX('PROJETO PERFURAÇÃO'!$P:$P,MATCH(MEDIÇÃO!D415,'PROJETO PERFURAÇÃO'!$B:$B,0))="Buffer","B",IF(INDEX('PROJETO PERFURAÇÃO'!$P:$P,MATCH(MEDIÇÃO!D415,'PROJETO PERFURAÇÃO'!$B:$B,0))="Pre-Splitting","S"))),"")</f>
        <v/>
      </c>
      <c r="D415" s="14">
        <f t="shared" si="39"/>
        <v>905</v>
      </c>
      <c r="E415" s="4" t="str">
        <f>IFERROR(INDEX('LEV R&amp;D'!$D:$D,MATCH(MEDIÇÃO!D415,'LEV R&amp;D'!$A:$A,0))-INDEX('PROJETO PERFURAÇÃO'!$AH:$AH,MATCH(MEDIÇÃO!D415,'PROJETO PERFURAÇÃO'!$B:$B,0)),"")</f>
        <v/>
      </c>
      <c r="F415" s="8" t="str">
        <f>IFERROR(INDEX('PROJETO PERFURAÇÃO'!$AN:$AN,MATCH(MEDIÇÃO!D415,'PROJETO PERFURAÇÃO'!$B:$B,0)),"")</f>
        <v/>
      </c>
      <c r="G415" s="3"/>
      <c r="H415" s="3"/>
      <c r="I415" s="3" t="str">
        <f>IFERROR(ROUND(INDEX('PROJETO PERFURAÇÃO'!$AB:$AB,MATCH(MEDIÇÃO!K415,'PROJETO PERFURAÇÃO'!$B:$B,0)),1)&amp;"''","")</f>
        <v/>
      </c>
      <c r="J415" s="3" t="str">
        <f>IFERROR(IF(INDEX('PROJETO PERFURAÇÃO'!$P:$P,MATCH(MEDIÇÃO!K415,'PROJETO PERFURAÇÃO'!$B:$B,0))="Production","P",IF(INDEX('PROJETO PERFURAÇÃO'!$P:$P,MATCH(MEDIÇÃO!K415,'PROJETO PERFURAÇÃO'!$B:$B,0))="Buffer","B",IF(INDEX('PROJETO PERFURAÇÃO'!$P:$P,MATCH(MEDIÇÃO!K415,'PROJETO PERFURAÇÃO'!$B:$B,0))="Pre-Splitting","S"))),"")</f>
        <v/>
      </c>
      <c r="K415" s="14">
        <f t="shared" si="40"/>
        <v>928</v>
      </c>
      <c r="L415" s="4" t="str">
        <f>IFERROR(INDEX('LEV R&amp;D'!$D:$D,MATCH(MEDIÇÃO!K415,'LEV R&amp;D'!$A:$A,0))-INDEX('PROJETO PERFURAÇÃO'!$AH:$AH,MATCH(MEDIÇÃO!K415,'PROJETO PERFURAÇÃO'!$B:$B,0)),"")</f>
        <v/>
      </c>
      <c r="M415" s="8" t="str">
        <f>IFERROR(INDEX('PROJETO PERFURAÇÃO'!$AN:$AN,MATCH(MEDIÇÃO!K415,'PROJETO PERFURAÇÃO'!$B:$B,0)),"")</f>
        <v/>
      </c>
      <c r="N415" s="3"/>
      <c r="O415" s="3"/>
      <c r="P415" s="3" t="str">
        <f>IFERROR(ROUND(INDEX('PROJETO PERFURAÇÃO'!$AB:$AB,MATCH(MEDIÇÃO!R415,'PROJETO PERFURAÇÃO'!$B:$B,0)),1)&amp;"''","")</f>
        <v/>
      </c>
      <c r="Q415" s="3" t="str">
        <f>IFERROR(IF(INDEX('PROJETO PERFURAÇÃO'!$P:$P,MATCH(MEDIÇÃO!R415,'PROJETO PERFURAÇÃO'!$B:$B,0))="Production","P",IF(INDEX('PROJETO PERFURAÇÃO'!$P:$P,MATCH(MEDIÇÃO!R415,'PROJETO PERFURAÇÃO'!$B:$B,0))="Buffer","B",IF(INDEX('PROJETO PERFURAÇÃO'!$P:$P,MATCH(MEDIÇÃO!R415,'PROJETO PERFURAÇÃO'!$B:$B,0))="Pre-Splitting","S"))),"")</f>
        <v/>
      </c>
      <c r="R415" s="14">
        <f t="shared" si="41"/>
        <v>951</v>
      </c>
      <c r="S415" s="4" t="str">
        <f>IFERROR(INDEX('LEV R&amp;D'!$D:$D,MATCH(MEDIÇÃO!R415,'LEV R&amp;D'!$A:$A,0))-INDEX('PROJETO PERFURAÇÃO'!$AH:$AH,MATCH(MEDIÇÃO!R415,'PROJETO PERFURAÇÃO'!$B:$B,0)),"")</f>
        <v/>
      </c>
      <c r="T415" s="8" t="str">
        <f>IFERROR(INDEX('PROJETO PERFURAÇÃO'!$AN:$AN,MATCH(MEDIÇÃO!R415,'PROJETO PERFURAÇÃO'!$B:$B,0)),"")</f>
        <v/>
      </c>
      <c r="U415" s="3"/>
      <c r="V415" s="3"/>
    </row>
    <row r="416" spans="1:23" ht="45" customHeight="1">
      <c r="B416" s="3" t="str">
        <f>IFERROR(ROUND(INDEX('PROJETO PERFURAÇÃO'!$AB:$AB,MATCH(MEDIÇÃO!D416,'PROJETO PERFURAÇÃO'!$B:$B,0)),1)&amp;"''","")</f>
        <v/>
      </c>
      <c r="C416" s="3" t="str">
        <f>IFERROR(IF(INDEX('PROJETO PERFURAÇÃO'!$P:$P,MATCH(MEDIÇÃO!D416,'PROJETO PERFURAÇÃO'!$B:$B,0))="Production","P",IF(INDEX('PROJETO PERFURAÇÃO'!$P:$P,MATCH(MEDIÇÃO!D416,'PROJETO PERFURAÇÃO'!$B:$B,0))="Buffer","B",IF(INDEX('PROJETO PERFURAÇÃO'!$P:$P,MATCH(MEDIÇÃO!D416,'PROJETO PERFURAÇÃO'!$B:$B,0))="Pre-Splitting","S"))),"")</f>
        <v/>
      </c>
      <c r="D416" s="14">
        <f t="shared" si="39"/>
        <v>906</v>
      </c>
      <c r="E416" s="4" t="str">
        <f>IFERROR(INDEX('LEV R&amp;D'!$D:$D,MATCH(MEDIÇÃO!D416,'LEV R&amp;D'!$A:$A,0))-INDEX('PROJETO PERFURAÇÃO'!$AH:$AH,MATCH(MEDIÇÃO!D416,'PROJETO PERFURAÇÃO'!$B:$B,0)),"")</f>
        <v/>
      </c>
      <c r="F416" s="8" t="str">
        <f>IFERROR(INDEX('PROJETO PERFURAÇÃO'!$AN:$AN,MATCH(MEDIÇÃO!D416,'PROJETO PERFURAÇÃO'!$B:$B,0)),"")</f>
        <v/>
      </c>
      <c r="G416" s="3"/>
      <c r="H416" s="3"/>
      <c r="I416" s="3" t="str">
        <f>IFERROR(ROUND(INDEX('PROJETO PERFURAÇÃO'!$AB:$AB,MATCH(MEDIÇÃO!K416,'PROJETO PERFURAÇÃO'!$B:$B,0)),1)&amp;"''","")</f>
        <v/>
      </c>
      <c r="J416" s="3" t="str">
        <f>IFERROR(IF(INDEX('PROJETO PERFURAÇÃO'!$P:$P,MATCH(MEDIÇÃO!K416,'PROJETO PERFURAÇÃO'!$B:$B,0))="Production","P",IF(INDEX('PROJETO PERFURAÇÃO'!$P:$P,MATCH(MEDIÇÃO!K416,'PROJETO PERFURAÇÃO'!$B:$B,0))="Buffer","B",IF(INDEX('PROJETO PERFURAÇÃO'!$P:$P,MATCH(MEDIÇÃO!K416,'PROJETO PERFURAÇÃO'!$B:$B,0))="Pre-Splitting","S"))),"")</f>
        <v/>
      </c>
      <c r="K416" s="14">
        <f t="shared" si="40"/>
        <v>929</v>
      </c>
      <c r="L416" s="4" t="str">
        <f>IFERROR(INDEX('LEV R&amp;D'!$D:$D,MATCH(MEDIÇÃO!K416,'LEV R&amp;D'!$A:$A,0))-INDEX('PROJETO PERFURAÇÃO'!$AH:$AH,MATCH(MEDIÇÃO!K416,'PROJETO PERFURAÇÃO'!$B:$B,0)),"")</f>
        <v/>
      </c>
      <c r="M416" s="8" t="str">
        <f>IFERROR(INDEX('PROJETO PERFURAÇÃO'!$AN:$AN,MATCH(MEDIÇÃO!K416,'PROJETO PERFURAÇÃO'!$B:$B,0)),"")</f>
        <v/>
      </c>
      <c r="N416" s="3"/>
      <c r="O416" s="3"/>
      <c r="P416" s="3" t="str">
        <f>IFERROR(ROUND(INDEX('PROJETO PERFURAÇÃO'!$AB:$AB,MATCH(MEDIÇÃO!R416,'PROJETO PERFURAÇÃO'!$B:$B,0)),1)&amp;"''","")</f>
        <v/>
      </c>
      <c r="Q416" s="3" t="str">
        <f>IFERROR(IF(INDEX('PROJETO PERFURAÇÃO'!$P:$P,MATCH(MEDIÇÃO!R416,'PROJETO PERFURAÇÃO'!$B:$B,0))="Production","P",IF(INDEX('PROJETO PERFURAÇÃO'!$P:$P,MATCH(MEDIÇÃO!R416,'PROJETO PERFURAÇÃO'!$B:$B,0))="Buffer","B",IF(INDEX('PROJETO PERFURAÇÃO'!$P:$P,MATCH(MEDIÇÃO!R416,'PROJETO PERFURAÇÃO'!$B:$B,0))="Pre-Splitting","S"))),"")</f>
        <v/>
      </c>
      <c r="R416" s="14">
        <f t="shared" si="41"/>
        <v>952</v>
      </c>
      <c r="S416" s="4" t="str">
        <f>IFERROR(INDEX('LEV R&amp;D'!$D:$D,MATCH(MEDIÇÃO!R416,'LEV R&amp;D'!$A:$A,0))-INDEX('PROJETO PERFURAÇÃO'!$AH:$AH,MATCH(MEDIÇÃO!R416,'PROJETO PERFURAÇÃO'!$B:$B,0)),"")</f>
        <v/>
      </c>
      <c r="T416" s="8" t="str">
        <f>IFERROR(INDEX('PROJETO PERFURAÇÃO'!$AN:$AN,MATCH(MEDIÇÃO!R416,'PROJETO PERFURAÇÃO'!$B:$B,0)),"")</f>
        <v/>
      </c>
      <c r="U416" s="3"/>
      <c r="V416" s="3"/>
    </row>
    <row r="417" spans="2:22" ht="45" customHeight="1">
      <c r="B417" s="3" t="str">
        <f>IFERROR(ROUND(INDEX('PROJETO PERFURAÇÃO'!$AB:$AB,MATCH(MEDIÇÃO!D417,'PROJETO PERFURAÇÃO'!$B:$B,0)),1)&amp;"''","")</f>
        <v/>
      </c>
      <c r="C417" s="3" t="str">
        <f>IFERROR(IF(INDEX('PROJETO PERFURAÇÃO'!$P:$P,MATCH(MEDIÇÃO!D417,'PROJETO PERFURAÇÃO'!$B:$B,0))="Production","P",IF(INDEX('PROJETO PERFURAÇÃO'!$P:$P,MATCH(MEDIÇÃO!D417,'PROJETO PERFURAÇÃO'!$B:$B,0))="Buffer","B",IF(INDEX('PROJETO PERFURAÇÃO'!$P:$P,MATCH(MEDIÇÃO!D417,'PROJETO PERFURAÇÃO'!$B:$B,0))="Pre-Splitting","S"))),"")</f>
        <v/>
      </c>
      <c r="D417" s="14">
        <f t="shared" si="39"/>
        <v>907</v>
      </c>
      <c r="E417" s="4" t="str">
        <f>IFERROR(INDEX('LEV R&amp;D'!$D:$D,MATCH(MEDIÇÃO!D417,'LEV R&amp;D'!$A:$A,0))-INDEX('PROJETO PERFURAÇÃO'!$AH:$AH,MATCH(MEDIÇÃO!D417,'PROJETO PERFURAÇÃO'!$B:$B,0)),"")</f>
        <v/>
      </c>
      <c r="F417" s="8" t="str">
        <f>IFERROR(INDEX('PROJETO PERFURAÇÃO'!$AN:$AN,MATCH(MEDIÇÃO!D417,'PROJETO PERFURAÇÃO'!$B:$B,0)),"")</f>
        <v/>
      </c>
      <c r="G417" s="3"/>
      <c r="H417" s="3"/>
      <c r="I417" s="3" t="str">
        <f>IFERROR(ROUND(INDEX('PROJETO PERFURAÇÃO'!$AB:$AB,MATCH(MEDIÇÃO!K417,'PROJETO PERFURAÇÃO'!$B:$B,0)),1)&amp;"''","")</f>
        <v/>
      </c>
      <c r="J417" s="3" t="str">
        <f>IFERROR(IF(INDEX('PROJETO PERFURAÇÃO'!$P:$P,MATCH(MEDIÇÃO!K417,'PROJETO PERFURAÇÃO'!$B:$B,0))="Production","P",IF(INDEX('PROJETO PERFURAÇÃO'!$P:$P,MATCH(MEDIÇÃO!K417,'PROJETO PERFURAÇÃO'!$B:$B,0))="Buffer","B",IF(INDEX('PROJETO PERFURAÇÃO'!$P:$P,MATCH(MEDIÇÃO!K417,'PROJETO PERFURAÇÃO'!$B:$B,0))="Pre-Splitting","S"))),"")</f>
        <v/>
      </c>
      <c r="K417" s="14">
        <f t="shared" si="40"/>
        <v>930</v>
      </c>
      <c r="L417" s="4" t="str">
        <f>IFERROR(INDEX('LEV R&amp;D'!$D:$D,MATCH(MEDIÇÃO!K417,'LEV R&amp;D'!$A:$A,0))-INDEX('PROJETO PERFURAÇÃO'!$AH:$AH,MATCH(MEDIÇÃO!K417,'PROJETO PERFURAÇÃO'!$B:$B,0)),"")</f>
        <v/>
      </c>
      <c r="M417" s="8" t="str">
        <f>IFERROR(INDEX('PROJETO PERFURAÇÃO'!$AN:$AN,MATCH(MEDIÇÃO!K417,'PROJETO PERFURAÇÃO'!$B:$B,0)),"")</f>
        <v/>
      </c>
      <c r="N417" s="3"/>
      <c r="O417" s="3"/>
      <c r="P417" s="3" t="str">
        <f>IFERROR(ROUND(INDEX('PROJETO PERFURAÇÃO'!$AB:$AB,MATCH(MEDIÇÃO!R417,'PROJETO PERFURAÇÃO'!$B:$B,0)),1)&amp;"''","")</f>
        <v/>
      </c>
      <c r="Q417" s="3" t="str">
        <f>IFERROR(IF(INDEX('PROJETO PERFURAÇÃO'!$P:$P,MATCH(MEDIÇÃO!R417,'PROJETO PERFURAÇÃO'!$B:$B,0))="Production","P",IF(INDEX('PROJETO PERFURAÇÃO'!$P:$P,MATCH(MEDIÇÃO!R417,'PROJETO PERFURAÇÃO'!$B:$B,0))="Buffer","B",IF(INDEX('PROJETO PERFURAÇÃO'!$P:$P,MATCH(MEDIÇÃO!R417,'PROJETO PERFURAÇÃO'!$B:$B,0))="Pre-Splitting","S"))),"")</f>
        <v/>
      </c>
      <c r="R417" s="14">
        <f t="shared" si="41"/>
        <v>953</v>
      </c>
      <c r="S417" s="4" t="str">
        <f>IFERROR(INDEX('LEV R&amp;D'!$D:$D,MATCH(MEDIÇÃO!R417,'LEV R&amp;D'!$A:$A,0))-INDEX('PROJETO PERFURAÇÃO'!$AH:$AH,MATCH(MEDIÇÃO!R417,'PROJETO PERFURAÇÃO'!$B:$B,0)),"")</f>
        <v/>
      </c>
      <c r="T417" s="8" t="str">
        <f>IFERROR(INDEX('PROJETO PERFURAÇÃO'!$AN:$AN,MATCH(MEDIÇÃO!R417,'PROJETO PERFURAÇÃO'!$B:$B,0)),"")</f>
        <v/>
      </c>
      <c r="U417" s="3"/>
      <c r="V417" s="3"/>
    </row>
    <row r="418" spans="2:22" ht="45" customHeight="1">
      <c r="B418" s="3" t="str">
        <f>IFERROR(ROUND(INDEX('PROJETO PERFURAÇÃO'!$AB:$AB,MATCH(MEDIÇÃO!D418,'PROJETO PERFURAÇÃO'!$B:$B,0)),1)&amp;"''","")</f>
        <v/>
      </c>
      <c r="C418" s="3" t="str">
        <f>IFERROR(IF(INDEX('PROJETO PERFURAÇÃO'!$P:$P,MATCH(MEDIÇÃO!D418,'PROJETO PERFURAÇÃO'!$B:$B,0))="Production","P",IF(INDEX('PROJETO PERFURAÇÃO'!$P:$P,MATCH(MEDIÇÃO!D418,'PROJETO PERFURAÇÃO'!$B:$B,0))="Buffer","B",IF(INDEX('PROJETO PERFURAÇÃO'!$P:$P,MATCH(MEDIÇÃO!D418,'PROJETO PERFURAÇÃO'!$B:$B,0))="Pre-Splitting","S"))),"")</f>
        <v/>
      </c>
      <c r="D418" s="14">
        <f t="shared" si="39"/>
        <v>908</v>
      </c>
      <c r="E418" s="4" t="str">
        <f>IFERROR(INDEX('LEV R&amp;D'!$D:$D,MATCH(MEDIÇÃO!D418,'LEV R&amp;D'!$A:$A,0))-INDEX('PROJETO PERFURAÇÃO'!$AH:$AH,MATCH(MEDIÇÃO!D418,'PROJETO PERFURAÇÃO'!$B:$B,0)),"")</f>
        <v/>
      </c>
      <c r="F418" s="8" t="str">
        <f>IFERROR(INDEX('PROJETO PERFURAÇÃO'!$AN:$AN,MATCH(MEDIÇÃO!D418,'PROJETO PERFURAÇÃO'!$B:$B,0)),"")</f>
        <v/>
      </c>
      <c r="G418" s="3"/>
      <c r="H418" s="3"/>
      <c r="I418" s="3" t="str">
        <f>IFERROR(ROUND(INDEX('PROJETO PERFURAÇÃO'!$AB:$AB,MATCH(MEDIÇÃO!K418,'PROJETO PERFURAÇÃO'!$B:$B,0)),1)&amp;"''","")</f>
        <v/>
      </c>
      <c r="J418" s="3" t="str">
        <f>IFERROR(IF(INDEX('PROJETO PERFURAÇÃO'!$P:$P,MATCH(MEDIÇÃO!K418,'PROJETO PERFURAÇÃO'!$B:$B,0))="Production","P",IF(INDEX('PROJETO PERFURAÇÃO'!$P:$P,MATCH(MEDIÇÃO!K418,'PROJETO PERFURAÇÃO'!$B:$B,0))="Buffer","B",IF(INDEX('PROJETO PERFURAÇÃO'!$P:$P,MATCH(MEDIÇÃO!K418,'PROJETO PERFURAÇÃO'!$B:$B,0))="Pre-Splitting","S"))),"")</f>
        <v/>
      </c>
      <c r="K418" s="14">
        <f t="shared" si="40"/>
        <v>931</v>
      </c>
      <c r="L418" s="4" t="str">
        <f>IFERROR(INDEX('LEV R&amp;D'!$D:$D,MATCH(MEDIÇÃO!K418,'LEV R&amp;D'!$A:$A,0))-INDEX('PROJETO PERFURAÇÃO'!$AH:$AH,MATCH(MEDIÇÃO!K418,'PROJETO PERFURAÇÃO'!$B:$B,0)),"")</f>
        <v/>
      </c>
      <c r="M418" s="8" t="str">
        <f>IFERROR(INDEX('PROJETO PERFURAÇÃO'!$AN:$AN,MATCH(MEDIÇÃO!K418,'PROJETO PERFURAÇÃO'!$B:$B,0)),"")</f>
        <v/>
      </c>
      <c r="N418" s="3"/>
      <c r="O418" s="3"/>
      <c r="P418" s="3" t="str">
        <f>IFERROR(ROUND(INDEX('PROJETO PERFURAÇÃO'!$AB:$AB,MATCH(MEDIÇÃO!R418,'PROJETO PERFURAÇÃO'!$B:$B,0)),1)&amp;"''","")</f>
        <v/>
      </c>
      <c r="Q418" s="3" t="str">
        <f>IFERROR(IF(INDEX('PROJETO PERFURAÇÃO'!$P:$P,MATCH(MEDIÇÃO!R418,'PROJETO PERFURAÇÃO'!$B:$B,0))="Production","P",IF(INDEX('PROJETO PERFURAÇÃO'!$P:$P,MATCH(MEDIÇÃO!R418,'PROJETO PERFURAÇÃO'!$B:$B,0))="Buffer","B",IF(INDEX('PROJETO PERFURAÇÃO'!$P:$P,MATCH(MEDIÇÃO!R418,'PROJETO PERFURAÇÃO'!$B:$B,0))="Pre-Splitting","S"))),"")</f>
        <v/>
      </c>
      <c r="R418" s="14">
        <f t="shared" si="41"/>
        <v>954</v>
      </c>
      <c r="S418" s="4" t="str">
        <f>IFERROR(INDEX('LEV R&amp;D'!$D:$D,MATCH(MEDIÇÃO!R418,'LEV R&amp;D'!$A:$A,0))-INDEX('PROJETO PERFURAÇÃO'!$AH:$AH,MATCH(MEDIÇÃO!R418,'PROJETO PERFURAÇÃO'!$B:$B,0)),"")</f>
        <v/>
      </c>
      <c r="T418" s="8" t="str">
        <f>IFERROR(INDEX('PROJETO PERFURAÇÃO'!$AN:$AN,MATCH(MEDIÇÃO!R418,'PROJETO PERFURAÇÃO'!$B:$B,0)),"")</f>
        <v/>
      </c>
      <c r="U418" s="3"/>
      <c r="V418" s="3"/>
    </row>
    <row r="419" spans="2:22" ht="45" customHeight="1">
      <c r="B419" s="3" t="str">
        <f>IFERROR(ROUND(INDEX('PROJETO PERFURAÇÃO'!$AB:$AB,MATCH(MEDIÇÃO!D419,'PROJETO PERFURAÇÃO'!$B:$B,0)),1)&amp;"''","")</f>
        <v/>
      </c>
      <c r="C419" s="3" t="str">
        <f>IFERROR(IF(INDEX('PROJETO PERFURAÇÃO'!$P:$P,MATCH(MEDIÇÃO!D419,'PROJETO PERFURAÇÃO'!$B:$B,0))="Production","P",IF(INDEX('PROJETO PERFURAÇÃO'!$P:$P,MATCH(MEDIÇÃO!D419,'PROJETO PERFURAÇÃO'!$B:$B,0))="Buffer","B",IF(INDEX('PROJETO PERFURAÇÃO'!$P:$P,MATCH(MEDIÇÃO!D419,'PROJETO PERFURAÇÃO'!$B:$B,0))="Pre-Splitting","S"))),"")</f>
        <v/>
      </c>
      <c r="D419" s="14">
        <f t="shared" si="39"/>
        <v>909</v>
      </c>
      <c r="E419" s="4" t="str">
        <f>IFERROR(INDEX('LEV R&amp;D'!$D:$D,MATCH(MEDIÇÃO!D419,'LEV R&amp;D'!$A:$A,0))-INDEX('PROJETO PERFURAÇÃO'!$AH:$AH,MATCH(MEDIÇÃO!D419,'PROJETO PERFURAÇÃO'!$B:$B,0)),"")</f>
        <v/>
      </c>
      <c r="F419" s="8" t="str">
        <f>IFERROR(INDEX('PROJETO PERFURAÇÃO'!$AN:$AN,MATCH(MEDIÇÃO!D419,'PROJETO PERFURAÇÃO'!$B:$B,0)),"")</f>
        <v/>
      </c>
      <c r="G419" s="3"/>
      <c r="H419" s="3"/>
      <c r="I419" s="3" t="str">
        <f>IFERROR(ROUND(INDEX('PROJETO PERFURAÇÃO'!$AB:$AB,MATCH(MEDIÇÃO!K419,'PROJETO PERFURAÇÃO'!$B:$B,0)),1)&amp;"''","")</f>
        <v/>
      </c>
      <c r="J419" s="3" t="str">
        <f>IFERROR(IF(INDEX('PROJETO PERFURAÇÃO'!$P:$P,MATCH(MEDIÇÃO!K419,'PROJETO PERFURAÇÃO'!$B:$B,0))="Production","P",IF(INDEX('PROJETO PERFURAÇÃO'!$P:$P,MATCH(MEDIÇÃO!K419,'PROJETO PERFURAÇÃO'!$B:$B,0))="Buffer","B",IF(INDEX('PROJETO PERFURAÇÃO'!$P:$P,MATCH(MEDIÇÃO!K419,'PROJETO PERFURAÇÃO'!$B:$B,0))="Pre-Splitting","S"))),"")</f>
        <v/>
      </c>
      <c r="K419" s="14">
        <f t="shared" si="40"/>
        <v>932</v>
      </c>
      <c r="L419" s="4" t="str">
        <f>IFERROR(INDEX('LEV R&amp;D'!$D:$D,MATCH(MEDIÇÃO!K419,'LEV R&amp;D'!$A:$A,0))-INDEX('PROJETO PERFURAÇÃO'!$AH:$AH,MATCH(MEDIÇÃO!K419,'PROJETO PERFURAÇÃO'!$B:$B,0)),"")</f>
        <v/>
      </c>
      <c r="M419" s="8" t="str">
        <f>IFERROR(INDEX('PROJETO PERFURAÇÃO'!$AN:$AN,MATCH(MEDIÇÃO!K419,'PROJETO PERFURAÇÃO'!$B:$B,0)),"")</f>
        <v/>
      </c>
      <c r="N419" s="3"/>
      <c r="O419" s="3"/>
      <c r="P419" s="3" t="str">
        <f>IFERROR(ROUND(INDEX('PROJETO PERFURAÇÃO'!$AB:$AB,MATCH(MEDIÇÃO!R419,'PROJETO PERFURAÇÃO'!$B:$B,0)),1)&amp;"''","")</f>
        <v/>
      </c>
      <c r="Q419" s="3" t="str">
        <f>IFERROR(IF(INDEX('PROJETO PERFURAÇÃO'!$P:$P,MATCH(MEDIÇÃO!R419,'PROJETO PERFURAÇÃO'!$B:$B,0))="Production","P",IF(INDEX('PROJETO PERFURAÇÃO'!$P:$P,MATCH(MEDIÇÃO!R419,'PROJETO PERFURAÇÃO'!$B:$B,0))="Buffer","B",IF(INDEX('PROJETO PERFURAÇÃO'!$P:$P,MATCH(MEDIÇÃO!R419,'PROJETO PERFURAÇÃO'!$B:$B,0))="Pre-Splitting","S"))),"")</f>
        <v/>
      </c>
      <c r="R419" s="14">
        <f t="shared" si="41"/>
        <v>955</v>
      </c>
      <c r="S419" s="4" t="str">
        <f>IFERROR(INDEX('LEV R&amp;D'!$D:$D,MATCH(MEDIÇÃO!R419,'LEV R&amp;D'!$A:$A,0))-INDEX('PROJETO PERFURAÇÃO'!$AH:$AH,MATCH(MEDIÇÃO!R419,'PROJETO PERFURAÇÃO'!$B:$B,0)),"")</f>
        <v/>
      </c>
      <c r="T419" s="8" t="str">
        <f>IFERROR(INDEX('PROJETO PERFURAÇÃO'!$AN:$AN,MATCH(MEDIÇÃO!R419,'PROJETO PERFURAÇÃO'!$B:$B,0)),"")</f>
        <v/>
      </c>
      <c r="U419" s="3"/>
      <c r="V419" s="3"/>
    </row>
    <row r="420" spans="2:22" ht="45" customHeight="1">
      <c r="B420" s="3" t="str">
        <f>IFERROR(ROUND(INDEX('PROJETO PERFURAÇÃO'!$AB:$AB,MATCH(MEDIÇÃO!D420,'PROJETO PERFURAÇÃO'!$B:$B,0)),1)&amp;"''","")</f>
        <v/>
      </c>
      <c r="C420" s="3" t="str">
        <f>IFERROR(IF(INDEX('PROJETO PERFURAÇÃO'!$P:$P,MATCH(MEDIÇÃO!D420,'PROJETO PERFURAÇÃO'!$B:$B,0))="Production","P",IF(INDEX('PROJETO PERFURAÇÃO'!$P:$P,MATCH(MEDIÇÃO!D420,'PROJETO PERFURAÇÃO'!$B:$B,0))="Buffer","B",IF(INDEX('PROJETO PERFURAÇÃO'!$P:$P,MATCH(MEDIÇÃO!D420,'PROJETO PERFURAÇÃO'!$B:$B,0))="Pre-Splitting","S"))),"")</f>
        <v/>
      </c>
      <c r="D420" s="14">
        <f t="shared" si="39"/>
        <v>910</v>
      </c>
      <c r="E420" s="4" t="str">
        <f>IFERROR(INDEX('LEV R&amp;D'!$D:$D,MATCH(MEDIÇÃO!D420,'LEV R&amp;D'!$A:$A,0))-INDEX('PROJETO PERFURAÇÃO'!$AH:$AH,MATCH(MEDIÇÃO!D420,'PROJETO PERFURAÇÃO'!$B:$B,0)),"")</f>
        <v/>
      </c>
      <c r="F420" s="8" t="str">
        <f>IFERROR(INDEX('PROJETO PERFURAÇÃO'!$AN:$AN,MATCH(MEDIÇÃO!D420,'PROJETO PERFURAÇÃO'!$B:$B,0)),"")</f>
        <v/>
      </c>
      <c r="G420" s="3"/>
      <c r="H420" s="3"/>
      <c r="I420" s="3" t="str">
        <f>IFERROR(ROUND(INDEX('PROJETO PERFURAÇÃO'!$AB:$AB,MATCH(MEDIÇÃO!K420,'PROJETO PERFURAÇÃO'!$B:$B,0)),1)&amp;"''","")</f>
        <v/>
      </c>
      <c r="J420" s="3" t="str">
        <f>IFERROR(IF(INDEX('PROJETO PERFURAÇÃO'!$P:$P,MATCH(MEDIÇÃO!K420,'PROJETO PERFURAÇÃO'!$B:$B,0))="Production","P",IF(INDEX('PROJETO PERFURAÇÃO'!$P:$P,MATCH(MEDIÇÃO!K420,'PROJETO PERFURAÇÃO'!$B:$B,0))="Buffer","B",IF(INDEX('PROJETO PERFURAÇÃO'!$P:$P,MATCH(MEDIÇÃO!K420,'PROJETO PERFURAÇÃO'!$B:$B,0))="Pre-Splitting","S"))),"")</f>
        <v/>
      </c>
      <c r="K420" s="14">
        <f t="shared" si="40"/>
        <v>933</v>
      </c>
      <c r="L420" s="4" t="str">
        <f>IFERROR(INDEX('LEV R&amp;D'!$D:$D,MATCH(MEDIÇÃO!K420,'LEV R&amp;D'!$A:$A,0))-INDEX('PROJETO PERFURAÇÃO'!$AH:$AH,MATCH(MEDIÇÃO!K420,'PROJETO PERFURAÇÃO'!$B:$B,0)),"")</f>
        <v/>
      </c>
      <c r="M420" s="8" t="str">
        <f>IFERROR(INDEX('PROJETO PERFURAÇÃO'!$AN:$AN,MATCH(MEDIÇÃO!K420,'PROJETO PERFURAÇÃO'!$B:$B,0)),"")</f>
        <v/>
      </c>
      <c r="N420" s="3"/>
      <c r="O420" s="3"/>
      <c r="P420" s="3" t="str">
        <f>IFERROR(ROUND(INDEX('PROJETO PERFURAÇÃO'!$AB:$AB,MATCH(MEDIÇÃO!R420,'PROJETO PERFURAÇÃO'!$B:$B,0)),1)&amp;"''","")</f>
        <v/>
      </c>
      <c r="Q420" s="3" t="str">
        <f>IFERROR(IF(INDEX('PROJETO PERFURAÇÃO'!$P:$P,MATCH(MEDIÇÃO!R420,'PROJETO PERFURAÇÃO'!$B:$B,0))="Production","P",IF(INDEX('PROJETO PERFURAÇÃO'!$P:$P,MATCH(MEDIÇÃO!R420,'PROJETO PERFURAÇÃO'!$B:$B,0))="Buffer","B",IF(INDEX('PROJETO PERFURAÇÃO'!$P:$P,MATCH(MEDIÇÃO!R420,'PROJETO PERFURAÇÃO'!$B:$B,0))="Pre-Splitting","S"))),"")</f>
        <v/>
      </c>
      <c r="R420" s="14">
        <f t="shared" si="41"/>
        <v>956</v>
      </c>
      <c r="S420" s="4" t="str">
        <f>IFERROR(INDEX('LEV R&amp;D'!$D:$D,MATCH(MEDIÇÃO!R420,'LEV R&amp;D'!$A:$A,0))-INDEX('PROJETO PERFURAÇÃO'!$AH:$AH,MATCH(MEDIÇÃO!R420,'PROJETO PERFURAÇÃO'!$B:$B,0)),"")</f>
        <v/>
      </c>
      <c r="T420" s="8" t="str">
        <f>IFERROR(INDEX('PROJETO PERFURAÇÃO'!$AN:$AN,MATCH(MEDIÇÃO!R420,'PROJETO PERFURAÇÃO'!$B:$B,0)),"")</f>
        <v/>
      </c>
      <c r="U420" s="3"/>
      <c r="V420" s="3"/>
    </row>
    <row r="421" spans="2:22" ht="45" customHeight="1">
      <c r="B421" s="3" t="str">
        <f>IFERROR(ROUND(INDEX('PROJETO PERFURAÇÃO'!$AB:$AB,MATCH(MEDIÇÃO!D421,'PROJETO PERFURAÇÃO'!$B:$B,0)),1)&amp;"''","")</f>
        <v/>
      </c>
      <c r="C421" s="3" t="str">
        <f>IFERROR(IF(INDEX('PROJETO PERFURAÇÃO'!$P:$P,MATCH(MEDIÇÃO!D421,'PROJETO PERFURAÇÃO'!$B:$B,0))="Production","P",IF(INDEX('PROJETO PERFURAÇÃO'!$P:$P,MATCH(MEDIÇÃO!D421,'PROJETO PERFURAÇÃO'!$B:$B,0))="Buffer","B",IF(INDEX('PROJETO PERFURAÇÃO'!$P:$P,MATCH(MEDIÇÃO!D421,'PROJETO PERFURAÇÃO'!$B:$B,0))="Pre-Splitting","S"))),"")</f>
        <v/>
      </c>
      <c r="D421" s="14">
        <f t="shared" si="39"/>
        <v>911</v>
      </c>
      <c r="E421" s="4" t="str">
        <f>IFERROR(INDEX('LEV R&amp;D'!$D:$D,MATCH(MEDIÇÃO!D421,'LEV R&amp;D'!$A:$A,0))-INDEX('PROJETO PERFURAÇÃO'!$AH:$AH,MATCH(MEDIÇÃO!D421,'PROJETO PERFURAÇÃO'!$B:$B,0)),"")</f>
        <v/>
      </c>
      <c r="F421" s="8" t="str">
        <f>IFERROR(INDEX('PROJETO PERFURAÇÃO'!$AN:$AN,MATCH(MEDIÇÃO!D421,'PROJETO PERFURAÇÃO'!$B:$B,0)),"")</f>
        <v/>
      </c>
      <c r="G421" s="3"/>
      <c r="H421" s="3"/>
      <c r="I421" s="3" t="str">
        <f>IFERROR(ROUND(INDEX('PROJETO PERFURAÇÃO'!$AB:$AB,MATCH(MEDIÇÃO!K421,'PROJETO PERFURAÇÃO'!$B:$B,0)),1)&amp;"''","")</f>
        <v/>
      </c>
      <c r="J421" s="3" t="str">
        <f>IFERROR(IF(INDEX('PROJETO PERFURAÇÃO'!$P:$P,MATCH(MEDIÇÃO!K421,'PROJETO PERFURAÇÃO'!$B:$B,0))="Production","P",IF(INDEX('PROJETO PERFURAÇÃO'!$P:$P,MATCH(MEDIÇÃO!K421,'PROJETO PERFURAÇÃO'!$B:$B,0))="Buffer","B",IF(INDEX('PROJETO PERFURAÇÃO'!$P:$P,MATCH(MEDIÇÃO!K421,'PROJETO PERFURAÇÃO'!$B:$B,0))="Pre-Splitting","S"))),"")</f>
        <v/>
      </c>
      <c r="K421" s="14">
        <f t="shared" si="40"/>
        <v>934</v>
      </c>
      <c r="L421" s="4" t="str">
        <f>IFERROR(INDEX('LEV R&amp;D'!$D:$D,MATCH(MEDIÇÃO!K421,'LEV R&amp;D'!$A:$A,0))-INDEX('PROJETO PERFURAÇÃO'!$AH:$AH,MATCH(MEDIÇÃO!K421,'PROJETO PERFURAÇÃO'!$B:$B,0)),"")</f>
        <v/>
      </c>
      <c r="M421" s="8" t="str">
        <f>IFERROR(INDEX('PROJETO PERFURAÇÃO'!$AN:$AN,MATCH(MEDIÇÃO!K421,'PROJETO PERFURAÇÃO'!$B:$B,0)),"")</f>
        <v/>
      </c>
      <c r="N421" s="3"/>
      <c r="O421" s="3"/>
      <c r="P421" s="3" t="str">
        <f>IFERROR(ROUND(INDEX('PROJETO PERFURAÇÃO'!$AB:$AB,MATCH(MEDIÇÃO!R421,'PROJETO PERFURAÇÃO'!$B:$B,0)),1)&amp;"''","")</f>
        <v/>
      </c>
      <c r="Q421" s="3" t="str">
        <f>IFERROR(IF(INDEX('PROJETO PERFURAÇÃO'!$P:$P,MATCH(MEDIÇÃO!R421,'PROJETO PERFURAÇÃO'!$B:$B,0))="Production","P",IF(INDEX('PROJETO PERFURAÇÃO'!$P:$P,MATCH(MEDIÇÃO!R421,'PROJETO PERFURAÇÃO'!$B:$B,0))="Buffer","B",IF(INDEX('PROJETO PERFURAÇÃO'!$P:$P,MATCH(MEDIÇÃO!R421,'PROJETO PERFURAÇÃO'!$B:$B,0))="Pre-Splitting","S"))),"")</f>
        <v/>
      </c>
      <c r="R421" s="14">
        <f t="shared" si="41"/>
        <v>957</v>
      </c>
      <c r="S421" s="4" t="str">
        <f>IFERROR(INDEX('LEV R&amp;D'!$D:$D,MATCH(MEDIÇÃO!R421,'LEV R&amp;D'!$A:$A,0))-INDEX('PROJETO PERFURAÇÃO'!$AH:$AH,MATCH(MEDIÇÃO!R421,'PROJETO PERFURAÇÃO'!$B:$B,0)),"")</f>
        <v/>
      </c>
      <c r="T421" s="8" t="str">
        <f>IFERROR(INDEX('PROJETO PERFURAÇÃO'!$AN:$AN,MATCH(MEDIÇÃO!R421,'PROJETO PERFURAÇÃO'!$B:$B,0)),"")</f>
        <v/>
      </c>
      <c r="U421" s="3"/>
      <c r="V421" s="3"/>
    </row>
    <row r="422" spans="2:22" ht="45" customHeight="1">
      <c r="B422" s="3" t="str">
        <f>IFERROR(ROUND(INDEX('PROJETO PERFURAÇÃO'!$AB:$AB,MATCH(MEDIÇÃO!D422,'PROJETO PERFURAÇÃO'!$B:$B,0)),1)&amp;"''","")</f>
        <v/>
      </c>
      <c r="C422" s="3" t="str">
        <f>IFERROR(IF(INDEX('PROJETO PERFURAÇÃO'!$P:$P,MATCH(MEDIÇÃO!D422,'PROJETO PERFURAÇÃO'!$B:$B,0))="Production","P",IF(INDEX('PROJETO PERFURAÇÃO'!$P:$P,MATCH(MEDIÇÃO!D422,'PROJETO PERFURAÇÃO'!$B:$B,0))="Buffer","B",IF(INDEX('PROJETO PERFURAÇÃO'!$P:$P,MATCH(MEDIÇÃO!D422,'PROJETO PERFURAÇÃO'!$B:$B,0))="Pre-Splitting","S"))),"")</f>
        <v/>
      </c>
      <c r="D422" s="14">
        <f t="shared" si="39"/>
        <v>912</v>
      </c>
      <c r="E422" s="4" t="str">
        <f>IFERROR(INDEX('LEV R&amp;D'!$D:$D,MATCH(MEDIÇÃO!D422,'LEV R&amp;D'!$A:$A,0))-INDEX('PROJETO PERFURAÇÃO'!$AH:$AH,MATCH(MEDIÇÃO!D422,'PROJETO PERFURAÇÃO'!$B:$B,0)),"")</f>
        <v/>
      </c>
      <c r="F422" s="8" t="str">
        <f>IFERROR(INDEX('PROJETO PERFURAÇÃO'!$AN:$AN,MATCH(MEDIÇÃO!D422,'PROJETO PERFURAÇÃO'!$B:$B,0)),"")</f>
        <v/>
      </c>
      <c r="G422" s="3"/>
      <c r="H422" s="3"/>
      <c r="I422" s="3" t="str">
        <f>IFERROR(ROUND(INDEX('PROJETO PERFURAÇÃO'!$AB:$AB,MATCH(MEDIÇÃO!K422,'PROJETO PERFURAÇÃO'!$B:$B,0)),1)&amp;"''","")</f>
        <v/>
      </c>
      <c r="J422" s="3" t="str">
        <f>IFERROR(IF(INDEX('PROJETO PERFURAÇÃO'!$P:$P,MATCH(MEDIÇÃO!K422,'PROJETO PERFURAÇÃO'!$B:$B,0))="Production","P",IF(INDEX('PROJETO PERFURAÇÃO'!$P:$P,MATCH(MEDIÇÃO!K422,'PROJETO PERFURAÇÃO'!$B:$B,0))="Buffer","B",IF(INDEX('PROJETO PERFURAÇÃO'!$P:$P,MATCH(MEDIÇÃO!K422,'PROJETO PERFURAÇÃO'!$B:$B,0))="Pre-Splitting","S"))),"")</f>
        <v/>
      </c>
      <c r="K422" s="14">
        <f t="shared" si="40"/>
        <v>935</v>
      </c>
      <c r="L422" s="4" t="str">
        <f>IFERROR(INDEX('LEV R&amp;D'!$D:$D,MATCH(MEDIÇÃO!K422,'LEV R&amp;D'!$A:$A,0))-INDEX('PROJETO PERFURAÇÃO'!$AH:$AH,MATCH(MEDIÇÃO!K422,'PROJETO PERFURAÇÃO'!$B:$B,0)),"")</f>
        <v/>
      </c>
      <c r="M422" s="8" t="str">
        <f>IFERROR(INDEX('PROJETO PERFURAÇÃO'!$AN:$AN,MATCH(MEDIÇÃO!K422,'PROJETO PERFURAÇÃO'!$B:$B,0)),"")</f>
        <v/>
      </c>
      <c r="N422" s="3"/>
      <c r="O422" s="3"/>
      <c r="P422" s="3" t="str">
        <f>IFERROR(ROUND(INDEX('PROJETO PERFURAÇÃO'!$AB:$AB,MATCH(MEDIÇÃO!R422,'PROJETO PERFURAÇÃO'!$B:$B,0)),1)&amp;"''","")</f>
        <v/>
      </c>
      <c r="Q422" s="3" t="str">
        <f>IFERROR(IF(INDEX('PROJETO PERFURAÇÃO'!$P:$P,MATCH(MEDIÇÃO!R422,'PROJETO PERFURAÇÃO'!$B:$B,0))="Production","P",IF(INDEX('PROJETO PERFURAÇÃO'!$P:$P,MATCH(MEDIÇÃO!R422,'PROJETO PERFURAÇÃO'!$B:$B,0))="Buffer","B",IF(INDEX('PROJETO PERFURAÇÃO'!$P:$P,MATCH(MEDIÇÃO!R422,'PROJETO PERFURAÇÃO'!$B:$B,0))="Pre-Splitting","S"))),"")</f>
        <v/>
      </c>
      <c r="R422" s="14">
        <f t="shared" si="41"/>
        <v>958</v>
      </c>
      <c r="S422" s="4" t="str">
        <f>IFERROR(INDEX('LEV R&amp;D'!$D:$D,MATCH(MEDIÇÃO!R422,'LEV R&amp;D'!$A:$A,0))-INDEX('PROJETO PERFURAÇÃO'!$AH:$AH,MATCH(MEDIÇÃO!R422,'PROJETO PERFURAÇÃO'!$B:$B,0)),"")</f>
        <v/>
      </c>
      <c r="T422" s="8" t="str">
        <f>IFERROR(INDEX('PROJETO PERFURAÇÃO'!$AN:$AN,MATCH(MEDIÇÃO!R422,'PROJETO PERFURAÇÃO'!$B:$B,0)),"")</f>
        <v/>
      </c>
      <c r="U422" s="3"/>
      <c r="V422" s="3"/>
    </row>
    <row r="423" spans="2:22" ht="45" customHeight="1">
      <c r="B423" s="3" t="str">
        <f>IFERROR(ROUND(INDEX('PROJETO PERFURAÇÃO'!$AB:$AB,MATCH(MEDIÇÃO!D423,'PROJETO PERFURAÇÃO'!$B:$B,0)),1)&amp;"''","")</f>
        <v/>
      </c>
      <c r="C423" s="3" t="str">
        <f>IFERROR(IF(INDEX('PROJETO PERFURAÇÃO'!$P:$P,MATCH(MEDIÇÃO!D423,'PROJETO PERFURAÇÃO'!$B:$B,0))="Production","P",IF(INDEX('PROJETO PERFURAÇÃO'!$P:$P,MATCH(MEDIÇÃO!D423,'PROJETO PERFURAÇÃO'!$B:$B,0))="Buffer","B",IF(INDEX('PROJETO PERFURAÇÃO'!$P:$P,MATCH(MEDIÇÃO!D423,'PROJETO PERFURAÇÃO'!$B:$B,0))="Pre-Splitting","S"))),"")</f>
        <v/>
      </c>
      <c r="D423" s="14">
        <f t="shared" si="39"/>
        <v>913</v>
      </c>
      <c r="E423" s="4" t="str">
        <f>IFERROR(INDEX('LEV R&amp;D'!$D:$D,MATCH(MEDIÇÃO!D423,'LEV R&amp;D'!$A:$A,0))-INDEX('PROJETO PERFURAÇÃO'!$AH:$AH,MATCH(MEDIÇÃO!D423,'PROJETO PERFURAÇÃO'!$B:$B,0)),"")</f>
        <v/>
      </c>
      <c r="F423" s="8" t="str">
        <f>IFERROR(INDEX('PROJETO PERFURAÇÃO'!$AN:$AN,MATCH(MEDIÇÃO!D423,'PROJETO PERFURAÇÃO'!$B:$B,0)),"")</f>
        <v/>
      </c>
      <c r="G423" s="3"/>
      <c r="H423" s="3"/>
      <c r="I423" s="3" t="str">
        <f>IFERROR(ROUND(INDEX('PROJETO PERFURAÇÃO'!$AB:$AB,MATCH(MEDIÇÃO!K423,'PROJETO PERFURAÇÃO'!$B:$B,0)),1)&amp;"''","")</f>
        <v/>
      </c>
      <c r="J423" s="3" t="str">
        <f>IFERROR(IF(INDEX('PROJETO PERFURAÇÃO'!$P:$P,MATCH(MEDIÇÃO!K423,'PROJETO PERFURAÇÃO'!$B:$B,0))="Production","P",IF(INDEX('PROJETO PERFURAÇÃO'!$P:$P,MATCH(MEDIÇÃO!K423,'PROJETO PERFURAÇÃO'!$B:$B,0))="Buffer","B",IF(INDEX('PROJETO PERFURAÇÃO'!$P:$P,MATCH(MEDIÇÃO!K423,'PROJETO PERFURAÇÃO'!$B:$B,0))="Pre-Splitting","S"))),"")</f>
        <v/>
      </c>
      <c r="K423" s="14">
        <f t="shared" si="40"/>
        <v>936</v>
      </c>
      <c r="L423" s="4" t="str">
        <f>IFERROR(INDEX('LEV R&amp;D'!$D:$D,MATCH(MEDIÇÃO!K423,'LEV R&amp;D'!$A:$A,0))-INDEX('PROJETO PERFURAÇÃO'!$AH:$AH,MATCH(MEDIÇÃO!K423,'PROJETO PERFURAÇÃO'!$B:$B,0)),"")</f>
        <v/>
      </c>
      <c r="M423" s="8" t="str">
        <f>IFERROR(INDEX('PROJETO PERFURAÇÃO'!$AN:$AN,MATCH(MEDIÇÃO!K423,'PROJETO PERFURAÇÃO'!$B:$B,0)),"")</f>
        <v/>
      </c>
      <c r="N423" s="3"/>
      <c r="O423" s="3"/>
      <c r="P423" s="3" t="str">
        <f>IFERROR(ROUND(INDEX('PROJETO PERFURAÇÃO'!$AB:$AB,MATCH(MEDIÇÃO!R423,'PROJETO PERFURAÇÃO'!$B:$B,0)),1)&amp;"''","")</f>
        <v/>
      </c>
      <c r="Q423" s="3" t="str">
        <f>IFERROR(IF(INDEX('PROJETO PERFURAÇÃO'!$P:$P,MATCH(MEDIÇÃO!R423,'PROJETO PERFURAÇÃO'!$B:$B,0))="Production","P",IF(INDEX('PROJETO PERFURAÇÃO'!$P:$P,MATCH(MEDIÇÃO!R423,'PROJETO PERFURAÇÃO'!$B:$B,0))="Buffer","B",IF(INDEX('PROJETO PERFURAÇÃO'!$P:$P,MATCH(MEDIÇÃO!R423,'PROJETO PERFURAÇÃO'!$B:$B,0))="Pre-Splitting","S"))),"")</f>
        <v/>
      </c>
      <c r="R423" s="14">
        <f t="shared" si="41"/>
        <v>959</v>
      </c>
      <c r="S423" s="4" t="str">
        <f>IFERROR(INDEX('LEV R&amp;D'!$D:$D,MATCH(MEDIÇÃO!R423,'LEV R&amp;D'!$A:$A,0))-INDEX('PROJETO PERFURAÇÃO'!$AH:$AH,MATCH(MEDIÇÃO!R423,'PROJETO PERFURAÇÃO'!$B:$B,0)),"")</f>
        <v/>
      </c>
      <c r="T423" s="8" t="str">
        <f>IFERROR(INDEX('PROJETO PERFURAÇÃO'!$AN:$AN,MATCH(MEDIÇÃO!R423,'PROJETO PERFURAÇÃO'!$B:$B,0)),"")</f>
        <v/>
      </c>
      <c r="U423" s="3"/>
      <c r="V423" s="3"/>
    </row>
    <row r="424" spans="2:22" ht="45" customHeight="1">
      <c r="B424" s="3" t="str">
        <f>IFERROR(ROUND(INDEX('PROJETO PERFURAÇÃO'!$AB:$AB,MATCH(MEDIÇÃO!D424,'PROJETO PERFURAÇÃO'!$B:$B,0)),1)&amp;"''","")</f>
        <v/>
      </c>
      <c r="C424" s="3" t="str">
        <f>IFERROR(IF(INDEX('PROJETO PERFURAÇÃO'!$P:$P,MATCH(MEDIÇÃO!D424,'PROJETO PERFURAÇÃO'!$B:$B,0))="Production","P",IF(INDEX('PROJETO PERFURAÇÃO'!$P:$P,MATCH(MEDIÇÃO!D424,'PROJETO PERFURAÇÃO'!$B:$B,0))="Buffer","B",IF(INDEX('PROJETO PERFURAÇÃO'!$P:$P,MATCH(MEDIÇÃO!D424,'PROJETO PERFURAÇÃO'!$B:$B,0))="Pre-Splitting","S"))),"")</f>
        <v/>
      </c>
      <c r="D424" s="14">
        <f t="shared" si="39"/>
        <v>914</v>
      </c>
      <c r="E424" s="4" t="str">
        <f>IFERROR(INDEX('LEV R&amp;D'!$D:$D,MATCH(MEDIÇÃO!D424,'LEV R&amp;D'!$A:$A,0))-INDEX('PROJETO PERFURAÇÃO'!$AH:$AH,MATCH(MEDIÇÃO!D424,'PROJETO PERFURAÇÃO'!$B:$B,0)),"")</f>
        <v/>
      </c>
      <c r="F424" s="8" t="str">
        <f>IFERROR(INDEX('PROJETO PERFURAÇÃO'!$AN:$AN,MATCH(MEDIÇÃO!D424,'PROJETO PERFURAÇÃO'!$B:$B,0)),"")</f>
        <v/>
      </c>
      <c r="G424" s="3"/>
      <c r="H424" s="3"/>
      <c r="I424" s="3" t="str">
        <f>IFERROR(ROUND(INDEX('PROJETO PERFURAÇÃO'!$AB:$AB,MATCH(MEDIÇÃO!K424,'PROJETO PERFURAÇÃO'!$B:$B,0)),1)&amp;"''","")</f>
        <v/>
      </c>
      <c r="J424" s="3" t="str">
        <f>IFERROR(IF(INDEX('PROJETO PERFURAÇÃO'!$P:$P,MATCH(MEDIÇÃO!K424,'PROJETO PERFURAÇÃO'!$B:$B,0))="Production","P",IF(INDEX('PROJETO PERFURAÇÃO'!$P:$P,MATCH(MEDIÇÃO!K424,'PROJETO PERFURAÇÃO'!$B:$B,0))="Buffer","B",IF(INDEX('PROJETO PERFURAÇÃO'!$P:$P,MATCH(MEDIÇÃO!K424,'PROJETO PERFURAÇÃO'!$B:$B,0))="Pre-Splitting","S"))),"")</f>
        <v/>
      </c>
      <c r="K424" s="14">
        <f t="shared" si="40"/>
        <v>937</v>
      </c>
      <c r="L424" s="4" t="str">
        <f>IFERROR(INDEX('LEV R&amp;D'!$D:$D,MATCH(MEDIÇÃO!K424,'LEV R&amp;D'!$A:$A,0))-INDEX('PROJETO PERFURAÇÃO'!$AH:$AH,MATCH(MEDIÇÃO!K424,'PROJETO PERFURAÇÃO'!$B:$B,0)),"")</f>
        <v/>
      </c>
      <c r="M424" s="8" t="str">
        <f>IFERROR(INDEX('PROJETO PERFURAÇÃO'!$AN:$AN,MATCH(MEDIÇÃO!K424,'PROJETO PERFURAÇÃO'!$B:$B,0)),"")</f>
        <v/>
      </c>
      <c r="N424" s="3"/>
      <c r="O424" s="3"/>
      <c r="P424" s="3" t="str">
        <f>IFERROR(ROUND(INDEX('PROJETO PERFURAÇÃO'!$AB:$AB,MATCH(MEDIÇÃO!R424,'PROJETO PERFURAÇÃO'!$B:$B,0)),1)&amp;"''","")</f>
        <v/>
      </c>
      <c r="Q424" s="3" t="str">
        <f>IFERROR(IF(INDEX('PROJETO PERFURAÇÃO'!$P:$P,MATCH(MEDIÇÃO!R424,'PROJETO PERFURAÇÃO'!$B:$B,0))="Production","P",IF(INDEX('PROJETO PERFURAÇÃO'!$P:$P,MATCH(MEDIÇÃO!R424,'PROJETO PERFURAÇÃO'!$B:$B,0))="Buffer","B",IF(INDEX('PROJETO PERFURAÇÃO'!$P:$P,MATCH(MEDIÇÃO!R424,'PROJETO PERFURAÇÃO'!$B:$B,0))="Pre-Splitting","S"))),"")</f>
        <v/>
      </c>
      <c r="R424" s="14">
        <f t="shared" si="41"/>
        <v>960</v>
      </c>
      <c r="S424" s="4" t="str">
        <f>IFERROR(INDEX('LEV R&amp;D'!$D:$D,MATCH(MEDIÇÃO!R424,'LEV R&amp;D'!$A:$A,0))-INDEX('PROJETO PERFURAÇÃO'!$AH:$AH,MATCH(MEDIÇÃO!R424,'PROJETO PERFURAÇÃO'!$B:$B,0)),"")</f>
        <v/>
      </c>
      <c r="T424" s="8" t="str">
        <f>IFERROR(INDEX('PROJETO PERFURAÇÃO'!$AN:$AN,MATCH(MEDIÇÃO!R424,'PROJETO PERFURAÇÃO'!$B:$B,0)),"")</f>
        <v/>
      </c>
      <c r="U424" s="3"/>
      <c r="V424" s="3"/>
    </row>
    <row r="425" spans="2:22" ht="45" customHeight="1">
      <c r="B425" s="3" t="str">
        <f>IFERROR(ROUND(INDEX('PROJETO PERFURAÇÃO'!$AB:$AB,MATCH(MEDIÇÃO!D425,'PROJETO PERFURAÇÃO'!$B:$B,0)),1)&amp;"''","")</f>
        <v/>
      </c>
      <c r="C425" s="3" t="str">
        <f>IFERROR(IF(INDEX('PROJETO PERFURAÇÃO'!$P:$P,MATCH(MEDIÇÃO!D425,'PROJETO PERFURAÇÃO'!$B:$B,0))="Production","P",IF(INDEX('PROJETO PERFURAÇÃO'!$P:$P,MATCH(MEDIÇÃO!D425,'PROJETO PERFURAÇÃO'!$B:$B,0))="Buffer","B",IF(INDEX('PROJETO PERFURAÇÃO'!$P:$P,MATCH(MEDIÇÃO!D425,'PROJETO PERFURAÇÃO'!$B:$B,0))="Pre-Splitting","S"))),"")</f>
        <v/>
      </c>
      <c r="D425" s="14">
        <f t="shared" si="39"/>
        <v>915</v>
      </c>
      <c r="E425" s="4" t="str">
        <f>IFERROR(INDEX('LEV R&amp;D'!$D:$D,MATCH(MEDIÇÃO!D425,'LEV R&amp;D'!$A:$A,0))-INDEX('PROJETO PERFURAÇÃO'!$AH:$AH,MATCH(MEDIÇÃO!D425,'PROJETO PERFURAÇÃO'!$B:$B,0)),"")</f>
        <v/>
      </c>
      <c r="F425" s="8" t="str">
        <f>IFERROR(INDEX('PROJETO PERFURAÇÃO'!$AN:$AN,MATCH(MEDIÇÃO!D425,'PROJETO PERFURAÇÃO'!$B:$B,0)),"")</f>
        <v/>
      </c>
      <c r="G425" s="3"/>
      <c r="H425" s="3"/>
      <c r="I425" s="3" t="str">
        <f>IFERROR(ROUND(INDEX('PROJETO PERFURAÇÃO'!$AB:$AB,MATCH(MEDIÇÃO!K425,'PROJETO PERFURAÇÃO'!$B:$B,0)),1)&amp;"''","")</f>
        <v/>
      </c>
      <c r="J425" s="3" t="str">
        <f>IFERROR(IF(INDEX('PROJETO PERFURAÇÃO'!$P:$P,MATCH(MEDIÇÃO!K425,'PROJETO PERFURAÇÃO'!$B:$B,0))="Production","P",IF(INDEX('PROJETO PERFURAÇÃO'!$P:$P,MATCH(MEDIÇÃO!K425,'PROJETO PERFURAÇÃO'!$B:$B,0))="Buffer","B",IF(INDEX('PROJETO PERFURAÇÃO'!$P:$P,MATCH(MEDIÇÃO!K425,'PROJETO PERFURAÇÃO'!$B:$B,0))="Pre-Splitting","S"))),"")</f>
        <v/>
      </c>
      <c r="K425" s="14">
        <f t="shared" si="40"/>
        <v>938</v>
      </c>
      <c r="L425" s="4" t="str">
        <f>IFERROR(INDEX('LEV R&amp;D'!$D:$D,MATCH(MEDIÇÃO!K425,'LEV R&amp;D'!$A:$A,0))-INDEX('PROJETO PERFURAÇÃO'!$AH:$AH,MATCH(MEDIÇÃO!K425,'PROJETO PERFURAÇÃO'!$B:$B,0)),"")</f>
        <v/>
      </c>
      <c r="M425" s="8" t="str">
        <f>IFERROR(INDEX('PROJETO PERFURAÇÃO'!$AN:$AN,MATCH(MEDIÇÃO!K425,'PROJETO PERFURAÇÃO'!$B:$B,0)),"")</f>
        <v/>
      </c>
      <c r="N425" s="3"/>
      <c r="O425" s="3"/>
      <c r="P425" s="3" t="str">
        <f>IFERROR(ROUND(INDEX('PROJETO PERFURAÇÃO'!$AB:$AB,MATCH(MEDIÇÃO!R425,'PROJETO PERFURAÇÃO'!$B:$B,0)),1)&amp;"''","")</f>
        <v/>
      </c>
      <c r="Q425" s="3" t="str">
        <f>IFERROR(IF(INDEX('PROJETO PERFURAÇÃO'!$P:$P,MATCH(MEDIÇÃO!R425,'PROJETO PERFURAÇÃO'!$B:$B,0))="Production","P",IF(INDEX('PROJETO PERFURAÇÃO'!$P:$P,MATCH(MEDIÇÃO!R425,'PROJETO PERFURAÇÃO'!$B:$B,0))="Buffer","B",IF(INDEX('PROJETO PERFURAÇÃO'!$P:$P,MATCH(MEDIÇÃO!R425,'PROJETO PERFURAÇÃO'!$B:$B,0))="Pre-Splitting","S"))),"")</f>
        <v/>
      </c>
      <c r="R425" s="14">
        <f t="shared" si="41"/>
        <v>961</v>
      </c>
      <c r="S425" s="4" t="str">
        <f>IFERROR(INDEX('LEV R&amp;D'!$D:$D,MATCH(MEDIÇÃO!R425,'LEV R&amp;D'!$A:$A,0))-INDEX('PROJETO PERFURAÇÃO'!$AH:$AH,MATCH(MEDIÇÃO!R425,'PROJETO PERFURAÇÃO'!$B:$B,0)),"")</f>
        <v/>
      </c>
      <c r="T425" s="8" t="str">
        <f>IFERROR(INDEX('PROJETO PERFURAÇÃO'!$AN:$AN,MATCH(MEDIÇÃO!R425,'PROJETO PERFURAÇÃO'!$B:$B,0)),"")</f>
        <v/>
      </c>
      <c r="U425" s="3"/>
      <c r="V425" s="3"/>
    </row>
    <row r="426" spans="2:22" ht="45" customHeight="1">
      <c r="B426" s="3" t="str">
        <f>IFERROR(ROUND(INDEX('PROJETO PERFURAÇÃO'!$AB:$AB,MATCH(MEDIÇÃO!D426,'PROJETO PERFURAÇÃO'!$B:$B,0)),1)&amp;"''","")</f>
        <v/>
      </c>
      <c r="C426" s="3" t="str">
        <f>IFERROR(IF(INDEX('PROJETO PERFURAÇÃO'!$P:$P,MATCH(MEDIÇÃO!D426,'PROJETO PERFURAÇÃO'!$B:$B,0))="Production","P",IF(INDEX('PROJETO PERFURAÇÃO'!$P:$P,MATCH(MEDIÇÃO!D426,'PROJETO PERFURAÇÃO'!$B:$B,0))="Buffer","B",IF(INDEX('PROJETO PERFURAÇÃO'!$P:$P,MATCH(MEDIÇÃO!D426,'PROJETO PERFURAÇÃO'!$B:$B,0))="Pre-Splitting","S"))),"")</f>
        <v/>
      </c>
      <c r="D426" s="14">
        <f t="shared" si="39"/>
        <v>916</v>
      </c>
      <c r="E426" s="4" t="str">
        <f>IFERROR(INDEX('LEV R&amp;D'!$D:$D,MATCH(MEDIÇÃO!D426,'LEV R&amp;D'!$A:$A,0))-INDEX('PROJETO PERFURAÇÃO'!$AH:$AH,MATCH(MEDIÇÃO!D426,'PROJETO PERFURAÇÃO'!$B:$B,0)),"")</f>
        <v/>
      </c>
      <c r="F426" s="8" t="str">
        <f>IFERROR(INDEX('PROJETO PERFURAÇÃO'!$AN:$AN,MATCH(MEDIÇÃO!D426,'PROJETO PERFURAÇÃO'!$B:$B,0)),"")</f>
        <v/>
      </c>
      <c r="G426" s="3"/>
      <c r="H426" s="3"/>
      <c r="I426" s="3" t="str">
        <f>IFERROR(ROUND(INDEX('PROJETO PERFURAÇÃO'!$AB:$AB,MATCH(MEDIÇÃO!K426,'PROJETO PERFURAÇÃO'!$B:$B,0)),1)&amp;"''","")</f>
        <v/>
      </c>
      <c r="J426" s="3" t="str">
        <f>IFERROR(IF(INDEX('PROJETO PERFURAÇÃO'!$P:$P,MATCH(MEDIÇÃO!K426,'PROJETO PERFURAÇÃO'!$B:$B,0))="Production","P",IF(INDEX('PROJETO PERFURAÇÃO'!$P:$P,MATCH(MEDIÇÃO!K426,'PROJETO PERFURAÇÃO'!$B:$B,0))="Buffer","B",IF(INDEX('PROJETO PERFURAÇÃO'!$P:$P,MATCH(MEDIÇÃO!K426,'PROJETO PERFURAÇÃO'!$B:$B,0))="Pre-Splitting","S"))),"")</f>
        <v/>
      </c>
      <c r="K426" s="14">
        <f t="shared" si="40"/>
        <v>939</v>
      </c>
      <c r="L426" s="4" t="str">
        <f>IFERROR(INDEX('LEV R&amp;D'!$D:$D,MATCH(MEDIÇÃO!K426,'LEV R&amp;D'!$A:$A,0))-INDEX('PROJETO PERFURAÇÃO'!$AH:$AH,MATCH(MEDIÇÃO!K426,'PROJETO PERFURAÇÃO'!$B:$B,0)),"")</f>
        <v/>
      </c>
      <c r="M426" s="8" t="str">
        <f>IFERROR(INDEX('PROJETO PERFURAÇÃO'!$AN:$AN,MATCH(MEDIÇÃO!K426,'PROJETO PERFURAÇÃO'!$B:$B,0)),"")</f>
        <v/>
      </c>
      <c r="N426" s="3"/>
      <c r="O426" s="3"/>
      <c r="P426" s="3" t="str">
        <f>IFERROR(ROUND(INDEX('PROJETO PERFURAÇÃO'!$AB:$AB,MATCH(MEDIÇÃO!R426,'PROJETO PERFURAÇÃO'!$B:$B,0)),1)&amp;"''","")</f>
        <v/>
      </c>
      <c r="Q426" s="3" t="str">
        <f>IFERROR(IF(INDEX('PROJETO PERFURAÇÃO'!$P:$P,MATCH(MEDIÇÃO!R426,'PROJETO PERFURAÇÃO'!$B:$B,0))="Production","P",IF(INDEX('PROJETO PERFURAÇÃO'!$P:$P,MATCH(MEDIÇÃO!R426,'PROJETO PERFURAÇÃO'!$B:$B,0))="Buffer","B",IF(INDEX('PROJETO PERFURAÇÃO'!$P:$P,MATCH(MEDIÇÃO!R426,'PROJETO PERFURAÇÃO'!$B:$B,0))="Pre-Splitting","S"))),"")</f>
        <v/>
      </c>
      <c r="R426" s="14">
        <f t="shared" si="41"/>
        <v>962</v>
      </c>
      <c r="S426" s="4" t="str">
        <f>IFERROR(INDEX('LEV R&amp;D'!$D:$D,MATCH(MEDIÇÃO!R426,'LEV R&amp;D'!$A:$A,0))-INDEX('PROJETO PERFURAÇÃO'!$AH:$AH,MATCH(MEDIÇÃO!R426,'PROJETO PERFURAÇÃO'!$B:$B,0)),"")</f>
        <v/>
      </c>
      <c r="T426" s="8" t="str">
        <f>IFERROR(INDEX('PROJETO PERFURAÇÃO'!$AN:$AN,MATCH(MEDIÇÃO!R426,'PROJETO PERFURAÇÃO'!$B:$B,0)),"")</f>
        <v/>
      </c>
      <c r="U426" s="3"/>
      <c r="V426" s="3"/>
    </row>
    <row r="427" spans="2:22" ht="45" customHeight="1">
      <c r="B427" s="3" t="str">
        <f>IFERROR(ROUND(INDEX('PROJETO PERFURAÇÃO'!$AB:$AB,MATCH(MEDIÇÃO!D427,'PROJETO PERFURAÇÃO'!$B:$B,0)),1)&amp;"''","")</f>
        <v/>
      </c>
      <c r="C427" s="3" t="str">
        <f>IFERROR(IF(INDEX('PROJETO PERFURAÇÃO'!$P:$P,MATCH(MEDIÇÃO!D427,'PROJETO PERFURAÇÃO'!$B:$B,0))="Production","P",IF(INDEX('PROJETO PERFURAÇÃO'!$P:$P,MATCH(MEDIÇÃO!D427,'PROJETO PERFURAÇÃO'!$B:$B,0))="Buffer","B",IF(INDEX('PROJETO PERFURAÇÃO'!$P:$P,MATCH(MEDIÇÃO!D427,'PROJETO PERFURAÇÃO'!$B:$B,0))="Pre-Splitting","S"))),"")</f>
        <v/>
      </c>
      <c r="D427" s="14">
        <f t="shared" si="39"/>
        <v>917</v>
      </c>
      <c r="E427" s="4" t="str">
        <f>IFERROR(INDEX('LEV R&amp;D'!$D:$D,MATCH(MEDIÇÃO!D427,'LEV R&amp;D'!$A:$A,0))-INDEX('PROJETO PERFURAÇÃO'!$AH:$AH,MATCH(MEDIÇÃO!D427,'PROJETO PERFURAÇÃO'!$B:$B,0)),"")</f>
        <v/>
      </c>
      <c r="F427" s="8" t="str">
        <f>IFERROR(INDEX('PROJETO PERFURAÇÃO'!$AN:$AN,MATCH(MEDIÇÃO!D427,'PROJETO PERFURAÇÃO'!$B:$B,0)),"")</f>
        <v/>
      </c>
      <c r="G427" s="3"/>
      <c r="H427" s="3"/>
      <c r="I427" s="3" t="str">
        <f>IFERROR(ROUND(INDEX('PROJETO PERFURAÇÃO'!$AB:$AB,MATCH(MEDIÇÃO!K427,'PROJETO PERFURAÇÃO'!$B:$B,0)),1)&amp;"''","")</f>
        <v/>
      </c>
      <c r="J427" s="3" t="str">
        <f>IFERROR(IF(INDEX('PROJETO PERFURAÇÃO'!$P:$P,MATCH(MEDIÇÃO!K427,'PROJETO PERFURAÇÃO'!$B:$B,0))="Production","P",IF(INDEX('PROJETO PERFURAÇÃO'!$P:$P,MATCH(MEDIÇÃO!K427,'PROJETO PERFURAÇÃO'!$B:$B,0))="Buffer","B",IF(INDEX('PROJETO PERFURAÇÃO'!$P:$P,MATCH(MEDIÇÃO!K427,'PROJETO PERFURAÇÃO'!$B:$B,0))="Pre-Splitting","S"))),"")</f>
        <v/>
      </c>
      <c r="K427" s="14">
        <f t="shared" si="40"/>
        <v>940</v>
      </c>
      <c r="L427" s="4" t="str">
        <f>IFERROR(INDEX('LEV R&amp;D'!$D:$D,MATCH(MEDIÇÃO!K427,'LEV R&amp;D'!$A:$A,0))-INDEX('PROJETO PERFURAÇÃO'!$AH:$AH,MATCH(MEDIÇÃO!K427,'PROJETO PERFURAÇÃO'!$B:$B,0)),"")</f>
        <v/>
      </c>
      <c r="M427" s="8" t="str">
        <f>IFERROR(INDEX('PROJETO PERFURAÇÃO'!$AN:$AN,MATCH(MEDIÇÃO!K427,'PROJETO PERFURAÇÃO'!$B:$B,0)),"")</f>
        <v/>
      </c>
      <c r="N427" s="3"/>
      <c r="O427" s="3"/>
      <c r="P427" s="3" t="str">
        <f>IFERROR(ROUND(INDEX('PROJETO PERFURAÇÃO'!$AB:$AB,MATCH(MEDIÇÃO!R427,'PROJETO PERFURAÇÃO'!$B:$B,0)),1)&amp;"''","")</f>
        <v/>
      </c>
      <c r="Q427" s="3" t="str">
        <f>IFERROR(IF(INDEX('PROJETO PERFURAÇÃO'!$P:$P,MATCH(MEDIÇÃO!R427,'PROJETO PERFURAÇÃO'!$B:$B,0))="Production","P",IF(INDEX('PROJETO PERFURAÇÃO'!$P:$P,MATCH(MEDIÇÃO!R427,'PROJETO PERFURAÇÃO'!$B:$B,0))="Buffer","B",IF(INDEX('PROJETO PERFURAÇÃO'!$P:$P,MATCH(MEDIÇÃO!R427,'PROJETO PERFURAÇÃO'!$B:$B,0))="Pre-Splitting","S"))),"")</f>
        <v/>
      </c>
      <c r="R427" s="14">
        <f t="shared" si="41"/>
        <v>963</v>
      </c>
      <c r="S427" s="4" t="str">
        <f>IFERROR(INDEX('LEV R&amp;D'!$D:$D,MATCH(MEDIÇÃO!R427,'LEV R&amp;D'!$A:$A,0))-INDEX('PROJETO PERFURAÇÃO'!$AH:$AH,MATCH(MEDIÇÃO!R427,'PROJETO PERFURAÇÃO'!$B:$B,0)),"")</f>
        <v/>
      </c>
      <c r="T427" s="8" t="str">
        <f>IFERROR(INDEX('PROJETO PERFURAÇÃO'!$AN:$AN,MATCH(MEDIÇÃO!R427,'PROJETO PERFURAÇÃO'!$B:$B,0)),"")</f>
        <v/>
      </c>
      <c r="U427" s="3"/>
      <c r="V427" s="3"/>
    </row>
    <row r="428" spans="2:22" ht="45" customHeight="1">
      <c r="B428" s="3" t="str">
        <f>IFERROR(ROUND(INDEX('PROJETO PERFURAÇÃO'!$AB:$AB,MATCH(MEDIÇÃO!D428,'PROJETO PERFURAÇÃO'!$B:$B,0)),1)&amp;"''","")</f>
        <v/>
      </c>
      <c r="C428" s="3" t="str">
        <f>IFERROR(IF(INDEX('PROJETO PERFURAÇÃO'!$P:$P,MATCH(MEDIÇÃO!D428,'PROJETO PERFURAÇÃO'!$B:$B,0))="Production","P",IF(INDEX('PROJETO PERFURAÇÃO'!$P:$P,MATCH(MEDIÇÃO!D428,'PROJETO PERFURAÇÃO'!$B:$B,0))="Buffer","B",IF(INDEX('PROJETO PERFURAÇÃO'!$P:$P,MATCH(MEDIÇÃO!D428,'PROJETO PERFURAÇÃO'!$B:$B,0))="Pre-Splitting","S"))),"")</f>
        <v/>
      </c>
      <c r="D428" s="14">
        <f t="shared" si="39"/>
        <v>918</v>
      </c>
      <c r="E428" s="4" t="str">
        <f>IFERROR(INDEX('LEV R&amp;D'!$D:$D,MATCH(MEDIÇÃO!D428,'LEV R&amp;D'!$A:$A,0))-INDEX('PROJETO PERFURAÇÃO'!$AH:$AH,MATCH(MEDIÇÃO!D428,'PROJETO PERFURAÇÃO'!$B:$B,0)),"")</f>
        <v/>
      </c>
      <c r="F428" s="8" t="str">
        <f>IFERROR(INDEX('PROJETO PERFURAÇÃO'!$AN:$AN,MATCH(MEDIÇÃO!D428,'PROJETO PERFURAÇÃO'!$B:$B,0)),"")</f>
        <v/>
      </c>
      <c r="G428" s="3"/>
      <c r="H428" s="3"/>
      <c r="I428" s="3" t="str">
        <f>IFERROR(ROUND(INDEX('PROJETO PERFURAÇÃO'!$AB:$AB,MATCH(MEDIÇÃO!K428,'PROJETO PERFURAÇÃO'!$B:$B,0)),1)&amp;"''","")</f>
        <v/>
      </c>
      <c r="J428" s="3" t="str">
        <f>IFERROR(IF(INDEX('PROJETO PERFURAÇÃO'!$P:$P,MATCH(MEDIÇÃO!K428,'PROJETO PERFURAÇÃO'!$B:$B,0))="Production","P",IF(INDEX('PROJETO PERFURAÇÃO'!$P:$P,MATCH(MEDIÇÃO!K428,'PROJETO PERFURAÇÃO'!$B:$B,0))="Buffer","B",IF(INDEX('PROJETO PERFURAÇÃO'!$P:$P,MATCH(MEDIÇÃO!K428,'PROJETO PERFURAÇÃO'!$B:$B,0))="Pre-Splitting","S"))),"")</f>
        <v/>
      </c>
      <c r="K428" s="14">
        <f t="shared" si="40"/>
        <v>941</v>
      </c>
      <c r="L428" s="4" t="str">
        <f>IFERROR(INDEX('LEV R&amp;D'!$D:$D,MATCH(MEDIÇÃO!K428,'LEV R&amp;D'!$A:$A,0))-INDEX('PROJETO PERFURAÇÃO'!$AH:$AH,MATCH(MEDIÇÃO!K428,'PROJETO PERFURAÇÃO'!$B:$B,0)),"")</f>
        <v/>
      </c>
      <c r="M428" s="8" t="str">
        <f>IFERROR(INDEX('PROJETO PERFURAÇÃO'!$AN:$AN,MATCH(MEDIÇÃO!K428,'PROJETO PERFURAÇÃO'!$B:$B,0)),"")</f>
        <v/>
      </c>
      <c r="N428" s="3"/>
      <c r="O428" s="3"/>
      <c r="P428" s="3" t="str">
        <f>IFERROR(ROUND(INDEX('PROJETO PERFURAÇÃO'!$AB:$AB,MATCH(MEDIÇÃO!R428,'PROJETO PERFURAÇÃO'!$B:$B,0)),1)&amp;"''","")</f>
        <v/>
      </c>
      <c r="Q428" s="3" t="str">
        <f>IFERROR(IF(INDEX('PROJETO PERFURAÇÃO'!$P:$P,MATCH(MEDIÇÃO!R428,'PROJETO PERFURAÇÃO'!$B:$B,0))="Production","P",IF(INDEX('PROJETO PERFURAÇÃO'!$P:$P,MATCH(MEDIÇÃO!R428,'PROJETO PERFURAÇÃO'!$B:$B,0))="Buffer","B",IF(INDEX('PROJETO PERFURAÇÃO'!$P:$P,MATCH(MEDIÇÃO!R428,'PROJETO PERFURAÇÃO'!$B:$B,0))="Pre-Splitting","S"))),"")</f>
        <v/>
      </c>
      <c r="R428" s="14">
        <f t="shared" si="41"/>
        <v>964</v>
      </c>
      <c r="S428" s="4" t="str">
        <f>IFERROR(INDEX('LEV R&amp;D'!$D:$D,MATCH(MEDIÇÃO!R428,'LEV R&amp;D'!$A:$A,0))-INDEX('PROJETO PERFURAÇÃO'!$AH:$AH,MATCH(MEDIÇÃO!R428,'PROJETO PERFURAÇÃO'!$B:$B,0)),"")</f>
        <v/>
      </c>
      <c r="T428" s="8" t="str">
        <f>IFERROR(INDEX('PROJETO PERFURAÇÃO'!$AN:$AN,MATCH(MEDIÇÃO!R428,'PROJETO PERFURAÇÃO'!$B:$B,0)),"")</f>
        <v/>
      </c>
      <c r="U428" s="3"/>
      <c r="V428" s="3"/>
    </row>
    <row r="429" spans="2:22" ht="45" customHeight="1">
      <c r="B429" s="3" t="str">
        <f>IFERROR(ROUND(INDEX('PROJETO PERFURAÇÃO'!$AB:$AB,MATCH(MEDIÇÃO!D429,'PROJETO PERFURAÇÃO'!$B:$B,0)),1)&amp;"''","")</f>
        <v/>
      </c>
      <c r="C429" s="3" t="str">
        <f>IFERROR(IF(INDEX('PROJETO PERFURAÇÃO'!$P:$P,MATCH(MEDIÇÃO!D429,'PROJETO PERFURAÇÃO'!$B:$B,0))="Production","P",IF(INDEX('PROJETO PERFURAÇÃO'!$P:$P,MATCH(MEDIÇÃO!D429,'PROJETO PERFURAÇÃO'!$B:$B,0))="Buffer","B",IF(INDEX('PROJETO PERFURAÇÃO'!$P:$P,MATCH(MEDIÇÃO!D429,'PROJETO PERFURAÇÃO'!$B:$B,0))="Pre-Splitting","S"))),"")</f>
        <v/>
      </c>
      <c r="D429" s="14">
        <f t="shared" si="39"/>
        <v>919</v>
      </c>
      <c r="E429" s="4" t="str">
        <f>IFERROR(INDEX('LEV R&amp;D'!$D:$D,MATCH(MEDIÇÃO!D429,'LEV R&amp;D'!$A:$A,0))-INDEX('PROJETO PERFURAÇÃO'!$AH:$AH,MATCH(MEDIÇÃO!D429,'PROJETO PERFURAÇÃO'!$B:$B,0)),"")</f>
        <v/>
      </c>
      <c r="F429" s="8" t="str">
        <f>IFERROR(INDEX('PROJETO PERFURAÇÃO'!$AN:$AN,MATCH(MEDIÇÃO!D429,'PROJETO PERFURAÇÃO'!$B:$B,0)),"")</f>
        <v/>
      </c>
      <c r="G429" s="3"/>
      <c r="H429" s="3"/>
      <c r="I429" s="3" t="str">
        <f>IFERROR(ROUND(INDEX('PROJETO PERFURAÇÃO'!$AB:$AB,MATCH(MEDIÇÃO!K429,'PROJETO PERFURAÇÃO'!$B:$B,0)),1)&amp;"''","")</f>
        <v/>
      </c>
      <c r="J429" s="3" t="str">
        <f>IFERROR(IF(INDEX('PROJETO PERFURAÇÃO'!$P:$P,MATCH(MEDIÇÃO!K429,'PROJETO PERFURAÇÃO'!$B:$B,0))="Production","P",IF(INDEX('PROJETO PERFURAÇÃO'!$P:$P,MATCH(MEDIÇÃO!K429,'PROJETO PERFURAÇÃO'!$B:$B,0))="Buffer","B",IF(INDEX('PROJETO PERFURAÇÃO'!$P:$P,MATCH(MEDIÇÃO!K429,'PROJETO PERFURAÇÃO'!$B:$B,0))="Pre-Splitting","S"))),"")</f>
        <v/>
      </c>
      <c r="K429" s="14">
        <f t="shared" si="40"/>
        <v>942</v>
      </c>
      <c r="L429" s="4" t="str">
        <f>IFERROR(INDEX('LEV R&amp;D'!$D:$D,MATCH(MEDIÇÃO!K429,'LEV R&amp;D'!$A:$A,0))-INDEX('PROJETO PERFURAÇÃO'!$AH:$AH,MATCH(MEDIÇÃO!K429,'PROJETO PERFURAÇÃO'!$B:$B,0)),"")</f>
        <v/>
      </c>
      <c r="M429" s="8" t="str">
        <f>IFERROR(INDEX('PROJETO PERFURAÇÃO'!$AN:$AN,MATCH(MEDIÇÃO!K429,'PROJETO PERFURAÇÃO'!$B:$B,0)),"")</f>
        <v/>
      </c>
      <c r="N429" s="3"/>
      <c r="O429" s="3"/>
      <c r="P429" s="3" t="str">
        <f>IFERROR(ROUND(INDEX('PROJETO PERFURAÇÃO'!$AB:$AB,MATCH(MEDIÇÃO!R429,'PROJETO PERFURAÇÃO'!$B:$B,0)),1)&amp;"''","")</f>
        <v/>
      </c>
      <c r="Q429" s="3" t="str">
        <f>IFERROR(IF(INDEX('PROJETO PERFURAÇÃO'!$P:$P,MATCH(MEDIÇÃO!R429,'PROJETO PERFURAÇÃO'!$B:$B,0))="Production","P",IF(INDEX('PROJETO PERFURAÇÃO'!$P:$P,MATCH(MEDIÇÃO!R429,'PROJETO PERFURAÇÃO'!$B:$B,0))="Buffer","B",IF(INDEX('PROJETO PERFURAÇÃO'!$P:$P,MATCH(MEDIÇÃO!R429,'PROJETO PERFURAÇÃO'!$B:$B,0))="Pre-Splitting","S"))),"")</f>
        <v/>
      </c>
      <c r="R429" s="14">
        <f t="shared" si="41"/>
        <v>965</v>
      </c>
      <c r="S429" s="4" t="str">
        <f>IFERROR(INDEX('LEV R&amp;D'!$D:$D,MATCH(MEDIÇÃO!R429,'LEV R&amp;D'!$A:$A,0))-INDEX('PROJETO PERFURAÇÃO'!$AH:$AH,MATCH(MEDIÇÃO!R429,'PROJETO PERFURAÇÃO'!$B:$B,0)),"")</f>
        <v/>
      </c>
      <c r="T429" s="8" t="str">
        <f>IFERROR(INDEX('PROJETO PERFURAÇÃO'!$AN:$AN,MATCH(MEDIÇÃO!R429,'PROJETO PERFURAÇÃO'!$B:$B,0)),"")</f>
        <v/>
      </c>
      <c r="U429" s="3"/>
      <c r="V429" s="3"/>
    </row>
    <row r="430" spans="2:22" ht="45" customHeight="1">
      <c r="B430" s="3" t="str">
        <f>IFERROR(ROUND(INDEX('PROJETO PERFURAÇÃO'!$AB:$AB,MATCH(MEDIÇÃO!D430,'PROJETO PERFURAÇÃO'!$B:$B,0)),1)&amp;"''","")</f>
        <v/>
      </c>
      <c r="C430" s="3" t="str">
        <f>IFERROR(IF(INDEX('PROJETO PERFURAÇÃO'!$P:$P,MATCH(MEDIÇÃO!D430,'PROJETO PERFURAÇÃO'!$B:$B,0))="Production","P",IF(INDEX('PROJETO PERFURAÇÃO'!$P:$P,MATCH(MEDIÇÃO!D430,'PROJETO PERFURAÇÃO'!$B:$B,0))="Buffer","B",IF(INDEX('PROJETO PERFURAÇÃO'!$P:$P,MATCH(MEDIÇÃO!D430,'PROJETO PERFURAÇÃO'!$B:$B,0))="Pre-Splitting","S"))),"")</f>
        <v/>
      </c>
      <c r="D430" s="14">
        <f>D429+1</f>
        <v>920</v>
      </c>
      <c r="E430" s="4" t="str">
        <f>IFERROR(INDEX('LEV R&amp;D'!$D:$D,MATCH(MEDIÇÃO!D430,'LEV R&amp;D'!$A:$A,0))-INDEX('PROJETO PERFURAÇÃO'!$AH:$AH,MATCH(MEDIÇÃO!D430,'PROJETO PERFURAÇÃO'!$B:$B,0)),"")</f>
        <v/>
      </c>
      <c r="F430" s="8" t="str">
        <f>IFERROR(INDEX('PROJETO PERFURAÇÃO'!$AN:$AN,MATCH(MEDIÇÃO!D430,'PROJETO PERFURAÇÃO'!$B:$B,0)),"")</f>
        <v/>
      </c>
      <c r="G430" s="3"/>
      <c r="H430" s="3"/>
      <c r="I430" s="3" t="str">
        <f>IFERROR(ROUND(INDEX('PROJETO PERFURAÇÃO'!$AB:$AB,MATCH(MEDIÇÃO!K430,'PROJETO PERFURAÇÃO'!$B:$B,0)),1)&amp;"''","")</f>
        <v/>
      </c>
      <c r="J430" s="3" t="str">
        <f>IFERROR(IF(INDEX('PROJETO PERFURAÇÃO'!$P:$P,MATCH(MEDIÇÃO!K430,'PROJETO PERFURAÇÃO'!$B:$B,0))="Production","P",IF(INDEX('PROJETO PERFURAÇÃO'!$P:$P,MATCH(MEDIÇÃO!K430,'PROJETO PERFURAÇÃO'!$B:$B,0))="Buffer","B",IF(INDEX('PROJETO PERFURAÇÃO'!$P:$P,MATCH(MEDIÇÃO!K430,'PROJETO PERFURAÇÃO'!$B:$B,0))="Pre-Splitting","S"))),"")</f>
        <v/>
      </c>
      <c r="K430" s="14">
        <f>K429+1</f>
        <v>943</v>
      </c>
      <c r="L430" s="4" t="str">
        <f>IFERROR(INDEX('LEV R&amp;D'!$D:$D,MATCH(MEDIÇÃO!K430,'LEV R&amp;D'!$A:$A,0))-INDEX('PROJETO PERFURAÇÃO'!$AH:$AH,MATCH(MEDIÇÃO!K430,'PROJETO PERFURAÇÃO'!$B:$B,0)),"")</f>
        <v/>
      </c>
      <c r="M430" s="8" t="str">
        <f>IFERROR(INDEX('PROJETO PERFURAÇÃO'!$AN:$AN,MATCH(MEDIÇÃO!K430,'PROJETO PERFURAÇÃO'!$B:$B,0)),"")</f>
        <v/>
      </c>
      <c r="N430" s="3"/>
      <c r="O430" s="3"/>
      <c r="P430" s="3" t="str">
        <f>IFERROR(ROUND(INDEX('PROJETO PERFURAÇÃO'!$AB:$AB,MATCH(MEDIÇÃO!R430,'PROJETO PERFURAÇÃO'!$B:$B,0)),1)&amp;"''","")</f>
        <v/>
      </c>
      <c r="Q430" s="3" t="str">
        <f>IFERROR(IF(INDEX('PROJETO PERFURAÇÃO'!$P:$P,MATCH(MEDIÇÃO!R430,'PROJETO PERFURAÇÃO'!$B:$B,0))="Production","P",IF(INDEX('PROJETO PERFURAÇÃO'!$P:$P,MATCH(MEDIÇÃO!R430,'PROJETO PERFURAÇÃO'!$B:$B,0))="Buffer","B",IF(INDEX('PROJETO PERFURAÇÃO'!$P:$P,MATCH(MEDIÇÃO!R430,'PROJETO PERFURAÇÃO'!$B:$B,0))="Pre-Splitting","S"))),"")</f>
        <v/>
      </c>
      <c r="R430" s="14">
        <f>R429+1</f>
        <v>966</v>
      </c>
      <c r="S430" s="4" t="str">
        <f>IFERROR(INDEX('LEV R&amp;D'!$D:$D,MATCH(MEDIÇÃO!R430,'LEV R&amp;D'!$A:$A,0))-INDEX('PROJETO PERFURAÇÃO'!$AH:$AH,MATCH(MEDIÇÃO!R430,'PROJETO PERFURAÇÃO'!$B:$B,0)),"")</f>
        <v/>
      </c>
      <c r="T430" s="8" t="str">
        <f>IFERROR(INDEX('PROJETO PERFURAÇÃO'!$AN:$AN,MATCH(MEDIÇÃO!R430,'PROJETO PERFURAÇÃO'!$B:$B,0)),"")</f>
        <v/>
      </c>
      <c r="U430" s="3"/>
      <c r="V430" s="3"/>
    </row>
    <row r="431" spans="2:22" ht="30" customHeight="1">
      <c r="B431" s="1"/>
      <c r="C431" s="1"/>
      <c r="D431" s="15"/>
      <c r="E431" s="2"/>
      <c r="F431" s="16"/>
      <c r="G431" s="1"/>
      <c r="H431" s="1"/>
      <c r="I431" s="1"/>
      <c r="J431" s="1"/>
      <c r="K431" s="15"/>
      <c r="L431" s="2"/>
      <c r="M431" s="16"/>
      <c r="N431" s="1"/>
      <c r="O431" s="1"/>
      <c r="P431" s="1"/>
      <c r="Q431" s="1"/>
      <c r="R431" s="15"/>
      <c r="S431" s="2"/>
      <c r="T431" s="16"/>
      <c r="U431" s="1"/>
      <c r="V431" s="1"/>
    </row>
    <row r="432" spans="2:22" ht="30" customHeight="1">
      <c r="C432" s="20"/>
      <c r="D432" s="20"/>
      <c r="E432" s="20"/>
      <c r="F432" s="20"/>
      <c r="G432" s="20"/>
      <c r="H432" s="20"/>
      <c r="I432" s="20"/>
      <c r="J432" s="20"/>
      <c r="K432" s="20"/>
      <c r="M432" s="20"/>
      <c r="N432" s="20"/>
      <c r="O432" s="20"/>
      <c r="P432" s="20"/>
      <c r="Q432" s="20"/>
      <c r="R432" s="20"/>
      <c r="S432" s="20"/>
      <c r="T432" s="20"/>
      <c r="U432" s="20"/>
    </row>
    <row r="433" spans="1:23" ht="30" customHeight="1">
      <c r="C433" s="21" t="s">
        <v>40</v>
      </c>
      <c r="D433" s="21"/>
      <c r="E433" s="21"/>
      <c r="F433" s="21"/>
      <c r="G433" s="21"/>
      <c r="H433" s="21"/>
      <c r="I433" s="21"/>
      <c r="J433" s="21"/>
      <c r="K433" s="21"/>
      <c r="L433" s="9"/>
      <c r="M433" s="21" t="s">
        <v>40</v>
      </c>
      <c r="N433" s="21"/>
      <c r="O433" s="21"/>
      <c r="P433" s="21"/>
      <c r="Q433" s="21"/>
      <c r="R433" s="21"/>
      <c r="S433" s="21"/>
      <c r="T433" s="21"/>
      <c r="U433" s="21"/>
      <c r="V433" s="9"/>
    </row>
    <row r="434" spans="1:23" ht="30" customHeight="1">
      <c r="D434" s="9"/>
      <c r="E434" s="9"/>
      <c r="F434" s="9"/>
      <c r="G434" s="9"/>
      <c r="H434" s="9"/>
      <c r="I434" s="9"/>
      <c r="J434" s="9"/>
      <c r="K434" s="9"/>
      <c r="L434" s="9"/>
      <c r="M434" s="9"/>
      <c r="N434" s="9"/>
      <c r="Q434" s="9"/>
      <c r="R434" s="9"/>
      <c r="S434" s="9"/>
      <c r="T434" s="9"/>
      <c r="U434" s="9"/>
      <c r="V434" s="9"/>
    </row>
    <row r="435" spans="1:23" ht="30" customHeight="1">
      <c r="B435" s="19" t="str">
        <f>'PROJETO PERFURAÇÃO'!$C$2&amp;" - "&amp;'PROJETO PERFURAÇÃO'!$H$2</f>
        <v>LIB037 - PP0370626</v>
      </c>
      <c r="C435" s="19"/>
      <c r="D435" s="19"/>
      <c r="E435" s="19"/>
      <c r="F435" s="19"/>
      <c r="G435" s="19"/>
      <c r="H435" s="19"/>
      <c r="I435" s="11" t="s">
        <v>34</v>
      </c>
      <c r="J435" s="10" t="s">
        <v>37</v>
      </c>
    </row>
    <row r="436" spans="1:23" ht="30" customHeight="1">
      <c r="B436" s="19"/>
      <c r="C436" s="19"/>
      <c r="D436" s="19"/>
      <c r="E436" s="19"/>
      <c r="F436" s="19"/>
      <c r="G436" s="19"/>
      <c r="H436" s="19"/>
      <c r="I436" s="12" t="s">
        <v>35</v>
      </c>
      <c r="J436" s="10" t="s">
        <v>38</v>
      </c>
      <c r="K436" s="9"/>
      <c r="L436" s="9"/>
      <c r="M436" s="9"/>
      <c r="N436" s="9"/>
      <c r="O436" s="9"/>
      <c r="P436" s="9"/>
      <c r="Q436" s="9"/>
      <c r="R436" s="9"/>
      <c r="S436" s="9"/>
      <c r="T436" s="9"/>
      <c r="U436" s="9"/>
      <c r="V436" s="9"/>
    </row>
    <row r="437" spans="1:23" ht="30" customHeight="1">
      <c r="B437" s="19"/>
      <c r="C437" s="19"/>
      <c r="D437" s="19"/>
      <c r="E437" s="19"/>
      <c r="F437" s="19"/>
      <c r="G437" s="19"/>
      <c r="H437" s="19"/>
      <c r="I437" s="13" t="s">
        <v>36</v>
      </c>
      <c r="J437" s="10" t="s">
        <v>39</v>
      </c>
    </row>
    <row r="438" spans="1:23" ht="30" customHeight="1">
      <c r="A438" s="1"/>
      <c r="B438" s="6" t="s">
        <v>33</v>
      </c>
      <c r="C438" s="6" t="s">
        <v>13</v>
      </c>
      <c r="D438" s="7" t="s">
        <v>1</v>
      </c>
      <c r="E438" s="7" t="s">
        <v>29</v>
      </c>
      <c r="F438" s="7" t="s">
        <v>30</v>
      </c>
      <c r="G438" s="7" t="s">
        <v>31</v>
      </c>
      <c r="H438" s="7" t="s">
        <v>32</v>
      </c>
      <c r="I438" s="6" t="s">
        <v>33</v>
      </c>
      <c r="J438" s="6" t="s">
        <v>13</v>
      </c>
      <c r="K438" s="7" t="s">
        <v>1</v>
      </c>
      <c r="L438" s="7" t="s">
        <v>29</v>
      </c>
      <c r="M438" s="7" t="s">
        <v>30</v>
      </c>
      <c r="N438" s="7" t="s">
        <v>31</v>
      </c>
      <c r="O438" s="7" t="s">
        <v>32</v>
      </c>
      <c r="P438" s="6" t="s">
        <v>33</v>
      </c>
      <c r="Q438" s="6" t="s">
        <v>13</v>
      </c>
      <c r="R438" s="7" t="s">
        <v>1</v>
      </c>
      <c r="S438" s="7" t="s">
        <v>29</v>
      </c>
      <c r="T438" s="7" t="s">
        <v>30</v>
      </c>
      <c r="U438" s="7" t="s">
        <v>31</v>
      </c>
      <c r="V438" s="7" t="s">
        <v>32</v>
      </c>
      <c r="W438" s="1"/>
    </row>
    <row r="439" spans="1:23" ht="45" customHeight="1">
      <c r="B439" s="3" t="str">
        <f>IFERROR(ROUND(INDEX('PROJETO PERFURAÇÃO'!$AB:$AB,MATCH(MEDIÇÃO!D439,'PROJETO PERFURAÇÃO'!$B:$B,0)),1)&amp;"''","")</f>
        <v/>
      </c>
      <c r="C439" s="3" t="str">
        <f>IFERROR(IF(INDEX('PROJETO PERFURAÇÃO'!$P:$P,MATCH(MEDIÇÃO!D439,'PROJETO PERFURAÇÃO'!$B:$B,0))="Production","P",IF(INDEX('PROJETO PERFURAÇÃO'!$P:$P,MATCH(MEDIÇÃO!D439,'PROJETO PERFURAÇÃO'!$B:$B,0))="Buffer","B",IF(INDEX('PROJETO PERFURAÇÃO'!$P:$P,MATCH(MEDIÇÃO!D439,'PROJETO PERFURAÇÃO'!$B:$B,0))="Pre-Splitting","S"))),"")</f>
        <v/>
      </c>
      <c r="D439" s="14">
        <f>R430+1</f>
        <v>967</v>
      </c>
      <c r="E439" s="4" t="str">
        <f>IFERROR(INDEX('LEV R&amp;D'!$D:$D,MATCH(MEDIÇÃO!D439,'LEV R&amp;D'!$A:$A,0))-INDEX('PROJETO PERFURAÇÃO'!$AH:$AH,MATCH(MEDIÇÃO!D439,'PROJETO PERFURAÇÃO'!$B:$B,0)),"")</f>
        <v/>
      </c>
      <c r="F439" s="8" t="str">
        <f>IFERROR(INDEX('PROJETO PERFURAÇÃO'!$AN:$AN,MATCH(MEDIÇÃO!D439,'PROJETO PERFURAÇÃO'!$B:$B,0)),"")</f>
        <v/>
      </c>
      <c r="G439" s="3"/>
      <c r="H439" s="3"/>
      <c r="I439" s="3" t="str">
        <f>IFERROR(ROUND(INDEX('PROJETO PERFURAÇÃO'!$AB:$AB,MATCH(MEDIÇÃO!K439,'PROJETO PERFURAÇÃO'!$B:$B,0)),1)&amp;"''","")</f>
        <v/>
      </c>
      <c r="J439" s="3" t="str">
        <f>IFERROR(IF(INDEX('PROJETO PERFURAÇÃO'!$P:$P,MATCH(MEDIÇÃO!K439,'PROJETO PERFURAÇÃO'!$B:$B,0))="Production","P",IF(INDEX('PROJETO PERFURAÇÃO'!$P:$P,MATCH(MEDIÇÃO!K439,'PROJETO PERFURAÇÃO'!$B:$B,0))="Buffer","B",IF(INDEX('PROJETO PERFURAÇÃO'!$P:$P,MATCH(MEDIÇÃO!K439,'PROJETO PERFURAÇÃO'!$B:$B,0))="Pre-Splitting","S"))),"")</f>
        <v/>
      </c>
      <c r="K439" s="14">
        <f>D461+1</f>
        <v>990</v>
      </c>
      <c r="L439" s="4" t="str">
        <f>IFERROR(INDEX('LEV R&amp;D'!$D:$D,MATCH(MEDIÇÃO!K439,'LEV R&amp;D'!$A:$A,0))-INDEX('PROJETO PERFURAÇÃO'!$AH:$AH,MATCH(MEDIÇÃO!K439,'PROJETO PERFURAÇÃO'!$B:$B,0)),"")</f>
        <v/>
      </c>
      <c r="M439" s="8" t="str">
        <f>IFERROR(INDEX('PROJETO PERFURAÇÃO'!$AN:$AN,MATCH(MEDIÇÃO!K439,'PROJETO PERFURAÇÃO'!$B:$B,0)),"")</f>
        <v/>
      </c>
      <c r="N439" s="3"/>
      <c r="O439" s="3"/>
      <c r="P439" s="3" t="str">
        <f>IFERROR(ROUND(INDEX('PROJETO PERFURAÇÃO'!$AB:$AB,MATCH(MEDIÇÃO!R439,'PROJETO PERFURAÇÃO'!$B:$B,0)),1)&amp;"''","")</f>
        <v/>
      </c>
      <c r="Q439" s="3" t="str">
        <f>IFERROR(IF(INDEX('PROJETO PERFURAÇÃO'!$P:$P,MATCH(MEDIÇÃO!R439,'PROJETO PERFURAÇÃO'!$B:$B,0))="Production","P",IF(INDEX('PROJETO PERFURAÇÃO'!$P:$P,MATCH(MEDIÇÃO!R439,'PROJETO PERFURAÇÃO'!$B:$B,0))="Buffer","B",IF(INDEX('PROJETO PERFURAÇÃO'!$P:$P,MATCH(MEDIÇÃO!R439,'PROJETO PERFURAÇÃO'!$B:$B,0))="Pre-Splitting","S"))),"")</f>
        <v/>
      </c>
      <c r="R439" s="14">
        <f>K461+1</f>
        <v>1013</v>
      </c>
      <c r="S439" s="4" t="str">
        <f>IFERROR(INDEX('LEV R&amp;D'!$D:$D,MATCH(MEDIÇÃO!R439,'LEV R&amp;D'!$A:$A,0))-INDEX('PROJETO PERFURAÇÃO'!$AH:$AH,MATCH(MEDIÇÃO!R439,'PROJETO PERFURAÇÃO'!$B:$B,0)),"")</f>
        <v/>
      </c>
      <c r="T439" s="8" t="str">
        <f>IFERROR(INDEX('PROJETO PERFURAÇÃO'!$AN:$AN,MATCH(MEDIÇÃO!R439,'PROJETO PERFURAÇÃO'!$B:$B,0)),"")</f>
        <v/>
      </c>
      <c r="U439" s="3"/>
      <c r="V439" s="3"/>
    </row>
    <row r="440" spans="1:23" ht="45" customHeight="1">
      <c r="B440" s="3" t="str">
        <f>IFERROR(ROUND(INDEX('PROJETO PERFURAÇÃO'!$AB:$AB,MATCH(MEDIÇÃO!D440,'PROJETO PERFURAÇÃO'!$B:$B,0)),1)&amp;"''","")</f>
        <v/>
      </c>
      <c r="C440" s="3" t="str">
        <f>IFERROR(IF(INDEX('PROJETO PERFURAÇÃO'!$P:$P,MATCH(MEDIÇÃO!D440,'PROJETO PERFURAÇÃO'!$B:$B,0))="Production","P",IF(INDEX('PROJETO PERFURAÇÃO'!$P:$P,MATCH(MEDIÇÃO!D440,'PROJETO PERFURAÇÃO'!$B:$B,0))="Buffer","B",IF(INDEX('PROJETO PERFURAÇÃO'!$P:$P,MATCH(MEDIÇÃO!D440,'PROJETO PERFURAÇÃO'!$B:$B,0))="Pre-Splitting","S"))),"")</f>
        <v/>
      </c>
      <c r="D440" s="14">
        <f>D439+1</f>
        <v>968</v>
      </c>
      <c r="E440" s="4" t="str">
        <f>IFERROR(INDEX('LEV R&amp;D'!$D:$D,MATCH(MEDIÇÃO!D440,'LEV R&amp;D'!$A:$A,0))-INDEX('PROJETO PERFURAÇÃO'!$AH:$AH,MATCH(MEDIÇÃO!D440,'PROJETO PERFURAÇÃO'!$B:$B,0)),"")</f>
        <v/>
      </c>
      <c r="F440" s="8" t="str">
        <f>IFERROR(INDEX('PROJETO PERFURAÇÃO'!$AN:$AN,MATCH(MEDIÇÃO!D440,'PROJETO PERFURAÇÃO'!$B:$B,0)),"")</f>
        <v/>
      </c>
      <c r="G440" s="3"/>
      <c r="H440" s="3"/>
      <c r="I440" s="3" t="str">
        <f>IFERROR(ROUND(INDEX('PROJETO PERFURAÇÃO'!$AB:$AB,MATCH(MEDIÇÃO!K440,'PROJETO PERFURAÇÃO'!$B:$B,0)),1)&amp;"''","")</f>
        <v/>
      </c>
      <c r="J440" s="3" t="str">
        <f>IFERROR(IF(INDEX('PROJETO PERFURAÇÃO'!$P:$P,MATCH(MEDIÇÃO!K440,'PROJETO PERFURAÇÃO'!$B:$B,0))="Production","P",IF(INDEX('PROJETO PERFURAÇÃO'!$P:$P,MATCH(MEDIÇÃO!K440,'PROJETO PERFURAÇÃO'!$B:$B,0))="Buffer","B",IF(INDEX('PROJETO PERFURAÇÃO'!$P:$P,MATCH(MEDIÇÃO!K440,'PROJETO PERFURAÇÃO'!$B:$B,0))="Pre-Splitting","S"))),"")</f>
        <v/>
      </c>
      <c r="K440" s="14">
        <f>K439+1</f>
        <v>991</v>
      </c>
      <c r="L440" s="4" t="str">
        <f>IFERROR(INDEX('LEV R&amp;D'!$D:$D,MATCH(MEDIÇÃO!K440,'LEV R&amp;D'!$A:$A,0))-INDEX('PROJETO PERFURAÇÃO'!$AH:$AH,MATCH(MEDIÇÃO!K440,'PROJETO PERFURAÇÃO'!$B:$B,0)),"")</f>
        <v/>
      </c>
      <c r="M440" s="8" t="str">
        <f>IFERROR(INDEX('PROJETO PERFURAÇÃO'!$AN:$AN,MATCH(MEDIÇÃO!K440,'PROJETO PERFURAÇÃO'!$B:$B,0)),"")</f>
        <v/>
      </c>
      <c r="N440" s="3"/>
      <c r="O440" s="3"/>
      <c r="P440" s="3" t="str">
        <f>IFERROR(ROUND(INDEX('PROJETO PERFURAÇÃO'!$AB:$AB,MATCH(MEDIÇÃO!R440,'PROJETO PERFURAÇÃO'!$B:$B,0)),1)&amp;"''","")</f>
        <v/>
      </c>
      <c r="Q440" s="3" t="str">
        <f>IFERROR(IF(INDEX('PROJETO PERFURAÇÃO'!$P:$P,MATCH(MEDIÇÃO!R440,'PROJETO PERFURAÇÃO'!$B:$B,0))="Production","P",IF(INDEX('PROJETO PERFURAÇÃO'!$P:$P,MATCH(MEDIÇÃO!R440,'PROJETO PERFURAÇÃO'!$B:$B,0))="Buffer","B",IF(INDEX('PROJETO PERFURAÇÃO'!$P:$P,MATCH(MEDIÇÃO!R440,'PROJETO PERFURAÇÃO'!$B:$B,0))="Pre-Splitting","S"))),"")</f>
        <v/>
      </c>
      <c r="R440" s="14">
        <f>R439+1</f>
        <v>1014</v>
      </c>
      <c r="S440" s="4" t="str">
        <f>IFERROR(INDEX('LEV R&amp;D'!$D:$D,MATCH(MEDIÇÃO!R440,'LEV R&amp;D'!$A:$A,0))-INDEX('PROJETO PERFURAÇÃO'!$AH:$AH,MATCH(MEDIÇÃO!R440,'PROJETO PERFURAÇÃO'!$B:$B,0)),"")</f>
        <v/>
      </c>
      <c r="T440" s="8" t="str">
        <f>IFERROR(INDEX('PROJETO PERFURAÇÃO'!$AN:$AN,MATCH(MEDIÇÃO!R440,'PROJETO PERFURAÇÃO'!$B:$B,0)),"")</f>
        <v/>
      </c>
      <c r="U440" s="3"/>
      <c r="V440" s="3"/>
    </row>
    <row r="441" spans="1:23" ht="45" customHeight="1">
      <c r="B441" s="3" t="str">
        <f>IFERROR(ROUND(INDEX('PROJETO PERFURAÇÃO'!$AB:$AB,MATCH(MEDIÇÃO!D441,'PROJETO PERFURAÇÃO'!$B:$B,0)),1)&amp;"''","")</f>
        <v/>
      </c>
      <c r="C441" s="3" t="str">
        <f>IFERROR(IF(INDEX('PROJETO PERFURAÇÃO'!$P:$P,MATCH(MEDIÇÃO!D441,'PROJETO PERFURAÇÃO'!$B:$B,0))="Production","P",IF(INDEX('PROJETO PERFURAÇÃO'!$P:$P,MATCH(MEDIÇÃO!D441,'PROJETO PERFURAÇÃO'!$B:$B,0))="Buffer","B",IF(INDEX('PROJETO PERFURAÇÃO'!$P:$P,MATCH(MEDIÇÃO!D441,'PROJETO PERFURAÇÃO'!$B:$B,0))="Pre-Splitting","S"))),"")</f>
        <v/>
      </c>
      <c r="D441" s="14">
        <f t="shared" ref="D441:D460" si="42">D440+1</f>
        <v>969</v>
      </c>
      <c r="E441" s="4" t="str">
        <f>IFERROR(INDEX('LEV R&amp;D'!$D:$D,MATCH(MEDIÇÃO!D441,'LEV R&amp;D'!$A:$A,0))-INDEX('PROJETO PERFURAÇÃO'!$AH:$AH,MATCH(MEDIÇÃO!D441,'PROJETO PERFURAÇÃO'!$B:$B,0)),"")</f>
        <v/>
      </c>
      <c r="F441" s="8" t="str">
        <f>IFERROR(INDEX('PROJETO PERFURAÇÃO'!$AN:$AN,MATCH(MEDIÇÃO!D441,'PROJETO PERFURAÇÃO'!$B:$B,0)),"")</f>
        <v/>
      </c>
      <c r="G441" s="3"/>
      <c r="H441" s="3"/>
      <c r="I441" s="3" t="str">
        <f>IFERROR(ROUND(INDEX('PROJETO PERFURAÇÃO'!$AB:$AB,MATCH(MEDIÇÃO!K441,'PROJETO PERFURAÇÃO'!$B:$B,0)),1)&amp;"''","")</f>
        <v/>
      </c>
      <c r="J441" s="3" t="str">
        <f>IFERROR(IF(INDEX('PROJETO PERFURAÇÃO'!$P:$P,MATCH(MEDIÇÃO!K441,'PROJETO PERFURAÇÃO'!$B:$B,0))="Production","P",IF(INDEX('PROJETO PERFURAÇÃO'!$P:$P,MATCH(MEDIÇÃO!K441,'PROJETO PERFURAÇÃO'!$B:$B,0))="Buffer","B",IF(INDEX('PROJETO PERFURAÇÃO'!$P:$P,MATCH(MEDIÇÃO!K441,'PROJETO PERFURAÇÃO'!$B:$B,0))="Pre-Splitting","S"))),"")</f>
        <v/>
      </c>
      <c r="K441" s="14">
        <f t="shared" ref="K441:K460" si="43">K440+1</f>
        <v>992</v>
      </c>
      <c r="L441" s="4" t="str">
        <f>IFERROR(INDEX('LEV R&amp;D'!$D:$D,MATCH(MEDIÇÃO!K441,'LEV R&amp;D'!$A:$A,0))-INDEX('PROJETO PERFURAÇÃO'!$AH:$AH,MATCH(MEDIÇÃO!K441,'PROJETO PERFURAÇÃO'!$B:$B,0)),"")</f>
        <v/>
      </c>
      <c r="M441" s="8" t="str">
        <f>IFERROR(INDEX('PROJETO PERFURAÇÃO'!$AN:$AN,MATCH(MEDIÇÃO!K441,'PROJETO PERFURAÇÃO'!$B:$B,0)),"")</f>
        <v/>
      </c>
      <c r="N441" s="3"/>
      <c r="O441" s="3"/>
      <c r="P441" s="3" t="str">
        <f>IFERROR(ROUND(INDEX('PROJETO PERFURAÇÃO'!$AB:$AB,MATCH(MEDIÇÃO!R441,'PROJETO PERFURAÇÃO'!$B:$B,0)),1)&amp;"''","")</f>
        <v/>
      </c>
      <c r="Q441" s="3" t="str">
        <f>IFERROR(IF(INDEX('PROJETO PERFURAÇÃO'!$P:$P,MATCH(MEDIÇÃO!R441,'PROJETO PERFURAÇÃO'!$B:$B,0))="Production","P",IF(INDEX('PROJETO PERFURAÇÃO'!$P:$P,MATCH(MEDIÇÃO!R441,'PROJETO PERFURAÇÃO'!$B:$B,0))="Buffer","B",IF(INDEX('PROJETO PERFURAÇÃO'!$P:$P,MATCH(MEDIÇÃO!R441,'PROJETO PERFURAÇÃO'!$B:$B,0))="Pre-Splitting","S"))),"")</f>
        <v/>
      </c>
      <c r="R441" s="14">
        <f t="shared" ref="R441:R460" si="44">R440+1</f>
        <v>1015</v>
      </c>
      <c r="S441" s="4" t="str">
        <f>IFERROR(INDEX('LEV R&amp;D'!$D:$D,MATCH(MEDIÇÃO!R441,'LEV R&amp;D'!$A:$A,0))-INDEX('PROJETO PERFURAÇÃO'!$AH:$AH,MATCH(MEDIÇÃO!R441,'PROJETO PERFURAÇÃO'!$B:$B,0)),"")</f>
        <v/>
      </c>
      <c r="T441" s="8" t="str">
        <f>IFERROR(INDEX('PROJETO PERFURAÇÃO'!$AN:$AN,MATCH(MEDIÇÃO!R441,'PROJETO PERFURAÇÃO'!$B:$B,0)),"")</f>
        <v/>
      </c>
      <c r="U441" s="3"/>
      <c r="V441" s="3"/>
    </row>
    <row r="442" spans="1:23" ht="45" customHeight="1">
      <c r="B442" s="3" t="str">
        <f>IFERROR(ROUND(INDEX('PROJETO PERFURAÇÃO'!$AB:$AB,MATCH(MEDIÇÃO!D442,'PROJETO PERFURAÇÃO'!$B:$B,0)),1)&amp;"''","")</f>
        <v/>
      </c>
      <c r="C442" s="3" t="str">
        <f>IFERROR(IF(INDEX('PROJETO PERFURAÇÃO'!$P:$P,MATCH(MEDIÇÃO!D442,'PROJETO PERFURAÇÃO'!$B:$B,0))="Production","P",IF(INDEX('PROJETO PERFURAÇÃO'!$P:$P,MATCH(MEDIÇÃO!D442,'PROJETO PERFURAÇÃO'!$B:$B,0))="Buffer","B",IF(INDEX('PROJETO PERFURAÇÃO'!$P:$P,MATCH(MEDIÇÃO!D442,'PROJETO PERFURAÇÃO'!$B:$B,0))="Pre-Splitting","S"))),"")</f>
        <v/>
      </c>
      <c r="D442" s="14">
        <f t="shared" si="42"/>
        <v>970</v>
      </c>
      <c r="E442" s="4" t="str">
        <f>IFERROR(INDEX('LEV R&amp;D'!$D:$D,MATCH(MEDIÇÃO!D442,'LEV R&amp;D'!$A:$A,0))-INDEX('PROJETO PERFURAÇÃO'!$AH:$AH,MATCH(MEDIÇÃO!D442,'PROJETO PERFURAÇÃO'!$B:$B,0)),"")</f>
        <v/>
      </c>
      <c r="F442" s="8" t="str">
        <f>IFERROR(INDEX('PROJETO PERFURAÇÃO'!$AN:$AN,MATCH(MEDIÇÃO!D442,'PROJETO PERFURAÇÃO'!$B:$B,0)),"")</f>
        <v/>
      </c>
      <c r="G442" s="3"/>
      <c r="H442" s="3"/>
      <c r="I442" s="3" t="str">
        <f>IFERROR(ROUND(INDEX('PROJETO PERFURAÇÃO'!$AB:$AB,MATCH(MEDIÇÃO!K442,'PROJETO PERFURAÇÃO'!$B:$B,0)),1)&amp;"''","")</f>
        <v/>
      </c>
      <c r="J442" s="3" t="str">
        <f>IFERROR(IF(INDEX('PROJETO PERFURAÇÃO'!$P:$P,MATCH(MEDIÇÃO!K442,'PROJETO PERFURAÇÃO'!$B:$B,0))="Production","P",IF(INDEX('PROJETO PERFURAÇÃO'!$P:$P,MATCH(MEDIÇÃO!K442,'PROJETO PERFURAÇÃO'!$B:$B,0))="Buffer","B",IF(INDEX('PROJETO PERFURAÇÃO'!$P:$P,MATCH(MEDIÇÃO!K442,'PROJETO PERFURAÇÃO'!$B:$B,0))="Pre-Splitting","S"))),"")</f>
        <v/>
      </c>
      <c r="K442" s="14">
        <f t="shared" si="43"/>
        <v>993</v>
      </c>
      <c r="L442" s="4" t="str">
        <f>IFERROR(INDEX('LEV R&amp;D'!$D:$D,MATCH(MEDIÇÃO!K442,'LEV R&amp;D'!$A:$A,0))-INDEX('PROJETO PERFURAÇÃO'!$AH:$AH,MATCH(MEDIÇÃO!K442,'PROJETO PERFURAÇÃO'!$B:$B,0)),"")</f>
        <v/>
      </c>
      <c r="M442" s="8" t="str">
        <f>IFERROR(INDEX('PROJETO PERFURAÇÃO'!$AN:$AN,MATCH(MEDIÇÃO!K442,'PROJETO PERFURAÇÃO'!$B:$B,0)),"")</f>
        <v/>
      </c>
      <c r="N442" s="3"/>
      <c r="O442" s="3"/>
      <c r="P442" s="3" t="str">
        <f>IFERROR(ROUND(INDEX('PROJETO PERFURAÇÃO'!$AB:$AB,MATCH(MEDIÇÃO!R442,'PROJETO PERFURAÇÃO'!$B:$B,0)),1)&amp;"''","")</f>
        <v/>
      </c>
      <c r="Q442" s="3" t="str">
        <f>IFERROR(IF(INDEX('PROJETO PERFURAÇÃO'!$P:$P,MATCH(MEDIÇÃO!R442,'PROJETO PERFURAÇÃO'!$B:$B,0))="Production","P",IF(INDEX('PROJETO PERFURAÇÃO'!$P:$P,MATCH(MEDIÇÃO!R442,'PROJETO PERFURAÇÃO'!$B:$B,0))="Buffer","B",IF(INDEX('PROJETO PERFURAÇÃO'!$P:$P,MATCH(MEDIÇÃO!R442,'PROJETO PERFURAÇÃO'!$B:$B,0))="Pre-Splitting","S"))),"")</f>
        <v/>
      </c>
      <c r="R442" s="14">
        <f t="shared" si="44"/>
        <v>1016</v>
      </c>
      <c r="S442" s="4" t="str">
        <f>IFERROR(INDEX('LEV R&amp;D'!$D:$D,MATCH(MEDIÇÃO!R442,'LEV R&amp;D'!$A:$A,0))-INDEX('PROJETO PERFURAÇÃO'!$AH:$AH,MATCH(MEDIÇÃO!R442,'PROJETO PERFURAÇÃO'!$B:$B,0)),"")</f>
        <v/>
      </c>
      <c r="T442" s="8" t="str">
        <f>IFERROR(INDEX('PROJETO PERFURAÇÃO'!$AN:$AN,MATCH(MEDIÇÃO!R442,'PROJETO PERFURAÇÃO'!$B:$B,0)),"")</f>
        <v/>
      </c>
      <c r="U442" s="3"/>
      <c r="V442" s="3"/>
    </row>
    <row r="443" spans="1:23" ht="45" customHeight="1">
      <c r="B443" s="3" t="str">
        <f>IFERROR(ROUND(INDEX('PROJETO PERFURAÇÃO'!$AB:$AB,MATCH(MEDIÇÃO!D443,'PROJETO PERFURAÇÃO'!$B:$B,0)),1)&amp;"''","")</f>
        <v/>
      </c>
      <c r="C443" s="3" t="str">
        <f>IFERROR(IF(INDEX('PROJETO PERFURAÇÃO'!$P:$P,MATCH(MEDIÇÃO!D443,'PROJETO PERFURAÇÃO'!$B:$B,0))="Production","P",IF(INDEX('PROJETO PERFURAÇÃO'!$P:$P,MATCH(MEDIÇÃO!D443,'PROJETO PERFURAÇÃO'!$B:$B,0))="Buffer","B",IF(INDEX('PROJETO PERFURAÇÃO'!$P:$P,MATCH(MEDIÇÃO!D443,'PROJETO PERFURAÇÃO'!$B:$B,0))="Pre-Splitting","S"))),"")</f>
        <v/>
      </c>
      <c r="D443" s="14">
        <f t="shared" si="42"/>
        <v>971</v>
      </c>
      <c r="E443" s="4" t="str">
        <f>IFERROR(INDEX('LEV R&amp;D'!$D:$D,MATCH(MEDIÇÃO!D443,'LEV R&amp;D'!$A:$A,0))-INDEX('PROJETO PERFURAÇÃO'!$AH:$AH,MATCH(MEDIÇÃO!D443,'PROJETO PERFURAÇÃO'!$B:$B,0)),"")</f>
        <v/>
      </c>
      <c r="F443" s="8" t="str">
        <f>IFERROR(INDEX('PROJETO PERFURAÇÃO'!$AN:$AN,MATCH(MEDIÇÃO!D443,'PROJETO PERFURAÇÃO'!$B:$B,0)),"")</f>
        <v/>
      </c>
      <c r="G443" s="3"/>
      <c r="H443" s="3"/>
      <c r="I443" s="3" t="str">
        <f>IFERROR(ROUND(INDEX('PROJETO PERFURAÇÃO'!$AB:$AB,MATCH(MEDIÇÃO!K443,'PROJETO PERFURAÇÃO'!$B:$B,0)),1)&amp;"''","")</f>
        <v/>
      </c>
      <c r="J443" s="3" t="str">
        <f>IFERROR(IF(INDEX('PROJETO PERFURAÇÃO'!$P:$P,MATCH(MEDIÇÃO!K443,'PROJETO PERFURAÇÃO'!$B:$B,0))="Production","P",IF(INDEX('PROJETO PERFURAÇÃO'!$P:$P,MATCH(MEDIÇÃO!K443,'PROJETO PERFURAÇÃO'!$B:$B,0))="Buffer","B",IF(INDEX('PROJETO PERFURAÇÃO'!$P:$P,MATCH(MEDIÇÃO!K443,'PROJETO PERFURAÇÃO'!$B:$B,0))="Pre-Splitting","S"))),"")</f>
        <v/>
      </c>
      <c r="K443" s="14">
        <f t="shared" si="43"/>
        <v>994</v>
      </c>
      <c r="L443" s="4" t="str">
        <f>IFERROR(INDEX('LEV R&amp;D'!$D:$D,MATCH(MEDIÇÃO!K443,'LEV R&amp;D'!$A:$A,0))-INDEX('PROJETO PERFURAÇÃO'!$AH:$AH,MATCH(MEDIÇÃO!K443,'PROJETO PERFURAÇÃO'!$B:$B,0)),"")</f>
        <v/>
      </c>
      <c r="M443" s="8" t="str">
        <f>IFERROR(INDEX('PROJETO PERFURAÇÃO'!$AN:$AN,MATCH(MEDIÇÃO!K443,'PROJETO PERFURAÇÃO'!$B:$B,0)),"")</f>
        <v/>
      </c>
      <c r="N443" s="3"/>
      <c r="O443" s="3"/>
      <c r="P443" s="3" t="str">
        <f>IFERROR(ROUND(INDEX('PROJETO PERFURAÇÃO'!$AB:$AB,MATCH(MEDIÇÃO!R443,'PROJETO PERFURAÇÃO'!$B:$B,0)),1)&amp;"''","")</f>
        <v/>
      </c>
      <c r="Q443" s="3" t="str">
        <f>IFERROR(IF(INDEX('PROJETO PERFURAÇÃO'!$P:$P,MATCH(MEDIÇÃO!R443,'PROJETO PERFURAÇÃO'!$B:$B,0))="Production","P",IF(INDEX('PROJETO PERFURAÇÃO'!$P:$P,MATCH(MEDIÇÃO!R443,'PROJETO PERFURAÇÃO'!$B:$B,0))="Buffer","B",IF(INDEX('PROJETO PERFURAÇÃO'!$P:$P,MATCH(MEDIÇÃO!R443,'PROJETO PERFURAÇÃO'!$B:$B,0))="Pre-Splitting","S"))),"")</f>
        <v/>
      </c>
      <c r="R443" s="14">
        <f t="shared" si="44"/>
        <v>1017</v>
      </c>
      <c r="S443" s="4" t="str">
        <f>IFERROR(INDEX('LEV R&amp;D'!$D:$D,MATCH(MEDIÇÃO!R443,'LEV R&amp;D'!$A:$A,0))-INDEX('PROJETO PERFURAÇÃO'!$AH:$AH,MATCH(MEDIÇÃO!R443,'PROJETO PERFURAÇÃO'!$B:$B,0)),"")</f>
        <v/>
      </c>
      <c r="T443" s="8" t="str">
        <f>IFERROR(INDEX('PROJETO PERFURAÇÃO'!$AN:$AN,MATCH(MEDIÇÃO!R443,'PROJETO PERFURAÇÃO'!$B:$B,0)),"")</f>
        <v/>
      </c>
      <c r="U443" s="3"/>
      <c r="V443" s="3"/>
    </row>
    <row r="444" spans="1:23" ht="45" customHeight="1">
      <c r="B444" s="3" t="str">
        <f>IFERROR(ROUND(INDEX('PROJETO PERFURAÇÃO'!$AB:$AB,MATCH(MEDIÇÃO!D444,'PROJETO PERFURAÇÃO'!$B:$B,0)),1)&amp;"''","")</f>
        <v/>
      </c>
      <c r="C444" s="3" t="str">
        <f>IFERROR(IF(INDEX('PROJETO PERFURAÇÃO'!$P:$P,MATCH(MEDIÇÃO!D444,'PROJETO PERFURAÇÃO'!$B:$B,0))="Production","P",IF(INDEX('PROJETO PERFURAÇÃO'!$P:$P,MATCH(MEDIÇÃO!D444,'PROJETO PERFURAÇÃO'!$B:$B,0))="Buffer","B",IF(INDEX('PROJETO PERFURAÇÃO'!$P:$P,MATCH(MEDIÇÃO!D444,'PROJETO PERFURAÇÃO'!$B:$B,0))="Pre-Splitting","S"))),"")</f>
        <v/>
      </c>
      <c r="D444" s="14">
        <f t="shared" si="42"/>
        <v>972</v>
      </c>
      <c r="E444" s="4" t="str">
        <f>IFERROR(INDEX('LEV R&amp;D'!$D:$D,MATCH(MEDIÇÃO!D444,'LEV R&amp;D'!$A:$A,0))-INDEX('PROJETO PERFURAÇÃO'!$AH:$AH,MATCH(MEDIÇÃO!D444,'PROJETO PERFURAÇÃO'!$B:$B,0)),"")</f>
        <v/>
      </c>
      <c r="F444" s="8" t="str">
        <f>IFERROR(INDEX('PROJETO PERFURAÇÃO'!$AN:$AN,MATCH(MEDIÇÃO!D444,'PROJETO PERFURAÇÃO'!$B:$B,0)),"")</f>
        <v/>
      </c>
      <c r="G444" s="3"/>
      <c r="H444" s="3"/>
      <c r="I444" s="3" t="str">
        <f>IFERROR(ROUND(INDEX('PROJETO PERFURAÇÃO'!$AB:$AB,MATCH(MEDIÇÃO!K444,'PROJETO PERFURAÇÃO'!$B:$B,0)),1)&amp;"''","")</f>
        <v/>
      </c>
      <c r="J444" s="3" t="str">
        <f>IFERROR(IF(INDEX('PROJETO PERFURAÇÃO'!$P:$P,MATCH(MEDIÇÃO!K444,'PROJETO PERFURAÇÃO'!$B:$B,0))="Production","P",IF(INDEX('PROJETO PERFURAÇÃO'!$P:$P,MATCH(MEDIÇÃO!K444,'PROJETO PERFURAÇÃO'!$B:$B,0))="Buffer","B",IF(INDEX('PROJETO PERFURAÇÃO'!$P:$P,MATCH(MEDIÇÃO!K444,'PROJETO PERFURAÇÃO'!$B:$B,0))="Pre-Splitting","S"))),"")</f>
        <v/>
      </c>
      <c r="K444" s="14">
        <f t="shared" si="43"/>
        <v>995</v>
      </c>
      <c r="L444" s="4" t="str">
        <f>IFERROR(INDEX('LEV R&amp;D'!$D:$D,MATCH(MEDIÇÃO!K444,'LEV R&amp;D'!$A:$A,0))-INDEX('PROJETO PERFURAÇÃO'!$AH:$AH,MATCH(MEDIÇÃO!K444,'PROJETO PERFURAÇÃO'!$B:$B,0)),"")</f>
        <v/>
      </c>
      <c r="M444" s="8" t="str">
        <f>IFERROR(INDEX('PROJETO PERFURAÇÃO'!$AN:$AN,MATCH(MEDIÇÃO!K444,'PROJETO PERFURAÇÃO'!$B:$B,0)),"")</f>
        <v/>
      </c>
      <c r="N444" s="3"/>
      <c r="O444" s="3"/>
      <c r="P444" s="3" t="str">
        <f>IFERROR(ROUND(INDEX('PROJETO PERFURAÇÃO'!$AB:$AB,MATCH(MEDIÇÃO!R444,'PROJETO PERFURAÇÃO'!$B:$B,0)),1)&amp;"''","")</f>
        <v/>
      </c>
      <c r="Q444" s="3" t="str">
        <f>IFERROR(IF(INDEX('PROJETO PERFURAÇÃO'!$P:$P,MATCH(MEDIÇÃO!R444,'PROJETO PERFURAÇÃO'!$B:$B,0))="Production","P",IF(INDEX('PROJETO PERFURAÇÃO'!$P:$P,MATCH(MEDIÇÃO!R444,'PROJETO PERFURAÇÃO'!$B:$B,0))="Buffer","B",IF(INDEX('PROJETO PERFURAÇÃO'!$P:$P,MATCH(MEDIÇÃO!R444,'PROJETO PERFURAÇÃO'!$B:$B,0))="Pre-Splitting","S"))),"")</f>
        <v/>
      </c>
      <c r="R444" s="14">
        <f t="shared" si="44"/>
        <v>1018</v>
      </c>
      <c r="S444" s="4" t="str">
        <f>IFERROR(INDEX('LEV R&amp;D'!$D:$D,MATCH(MEDIÇÃO!R444,'LEV R&amp;D'!$A:$A,0))-INDEX('PROJETO PERFURAÇÃO'!$AH:$AH,MATCH(MEDIÇÃO!R444,'PROJETO PERFURAÇÃO'!$B:$B,0)),"")</f>
        <v/>
      </c>
      <c r="T444" s="8" t="str">
        <f>IFERROR(INDEX('PROJETO PERFURAÇÃO'!$AN:$AN,MATCH(MEDIÇÃO!R444,'PROJETO PERFURAÇÃO'!$B:$B,0)),"")</f>
        <v/>
      </c>
      <c r="U444" s="3"/>
      <c r="V444" s="3"/>
    </row>
    <row r="445" spans="1:23" ht="45" customHeight="1">
      <c r="B445" s="3" t="str">
        <f>IFERROR(ROUND(INDEX('PROJETO PERFURAÇÃO'!$AB:$AB,MATCH(MEDIÇÃO!D445,'PROJETO PERFURAÇÃO'!$B:$B,0)),1)&amp;"''","")</f>
        <v/>
      </c>
      <c r="C445" s="3" t="str">
        <f>IFERROR(IF(INDEX('PROJETO PERFURAÇÃO'!$P:$P,MATCH(MEDIÇÃO!D445,'PROJETO PERFURAÇÃO'!$B:$B,0))="Production","P",IF(INDEX('PROJETO PERFURAÇÃO'!$P:$P,MATCH(MEDIÇÃO!D445,'PROJETO PERFURAÇÃO'!$B:$B,0))="Buffer","B",IF(INDEX('PROJETO PERFURAÇÃO'!$P:$P,MATCH(MEDIÇÃO!D445,'PROJETO PERFURAÇÃO'!$B:$B,0))="Pre-Splitting","S"))),"")</f>
        <v/>
      </c>
      <c r="D445" s="14">
        <f t="shared" si="42"/>
        <v>973</v>
      </c>
      <c r="E445" s="4" t="str">
        <f>IFERROR(INDEX('LEV R&amp;D'!$D:$D,MATCH(MEDIÇÃO!D445,'LEV R&amp;D'!$A:$A,0))-INDEX('PROJETO PERFURAÇÃO'!$AH:$AH,MATCH(MEDIÇÃO!D445,'PROJETO PERFURAÇÃO'!$B:$B,0)),"")</f>
        <v/>
      </c>
      <c r="F445" s="8" t="str">
        <f>IFERROR(INDEX('PROJETO PERFURAÇÃO'!$AN:$AN,MATCH(MEDIÇÃO!D445,'PROJETO PERFURAÇÃO'!$B:$B,0)),"")</f>
        <v/>
      </c>
      <c r="G445" s="3"/>
      <c r="H445" s="3"/>
      <c r="I445" s="3" t="str">
        <f>IFERROR(ROUND(INDEX('PROJETO PERFURAÇÃO'!$AB:$AB,MATCH(MEDIÇÃO!K445,'PROJETO PERFURAÇÃO'!$B:$B,0)),1)&amp;"''","")</f>
        <v/>
      </c>
      <c r="J445" s="3" t="str">
        <f>IFERROR(IF(INDEX('PROJETO PERFURAÇÃO'!$P:$P,MATCH(MEDIÇÃO!K445,'PROJETO PERFURAÇÃO'!$B:$B,0))="Production","P",IF(INDEX('PROJETO PERFURAÇÃO'!$P:$P,MATCH(MEDIÇÃO!K445,'PROJETO PERFURAÇÃO'!$B:$B,0))="Buffer","B",IF(INDEX('PROJETO PERFURAÇÃO'!$P:$P,MATCH(MEDIÇÃO!K445,'PROJETO PERFURAÇÃO'!$B:$B,0))="Pre-Splitting","S"))),"")</f>
        <v/>
      </c>
      <c r="K445" s="14">
        <f t="shared" si="43"/>
        <v>996</v>
      </c>
      <c r="L445" s="4" t="str">
        <f>IFERROR(INDEX('LEV R&amp;D'!$D:$D,MATCH(MEDIÇÃO!K445,'LEV R&amp;D'!$A:$A,0))-INDEX('PROJETO PERFURAÇÃO'!$AH:$AH,MATCH(MEDIÇÃO!K445,'PROJETO PERFURAÇÃO'!$B:$B,0)),"")</f>
        <v/>
      </c>
      <c r="M445" s="8" t="str">
        <f>IFERROR(INDEX('PROJETO PERFURAÇÃO'!$AN:$AN,MATCH(MEDIÇÃO!K445,'PROJETO PERFURAÇÃO'!$B:$B,0)),"")</f>
        <v/>
      </c>
      <c r="N445" s="3"/>
      <c r="O445" s="3"/>
      <c r="P445" s="3" t="str">
        <f>IFERROR(ROUND(INDEX('PROJETO PERFURAÇÃO'!$AB:$AB,MATCH(MEDIÇÃO!R445,'PROJETO PERFURAÇÃO'!$B:$B,0)),1)&amp;"''","")</f>
        <v/>
      </c>
      <c r="Q445" s="3" t="str">
        <f>IFERROR(IF(INDEX('PROJETO PERFURAÇÃO'!$P:$P,MATCH(MEDIÇÃO!R445,'PROJETO PERFURAÇÃO'!$B:$B,0))="Production","P",IF(INDEX('PROJETO PERFURAÇÃO'!$P:$P,MATCH(MEDIÇÃO!R445,'PROJETO PERFURAÇÃO'!$B:$B,0))="Buffer","B",IF(INDEX('PROJETO PERFURAÇÃO'!$P:$P,MATCH(MEDIÇÃO!R445,'PROJETO PERFURAÇÃO'!$B:$B,0))="Pre-Splitting","S"))),"")</f>
        <v/>
      </c>
      <c r="R445" s="14">
        <f t="shared" si="44"/>
        <v>1019</v>
      </c>
      <c r="S445" s="4" t="str">
        <f>IFERROR(INDEX('LEV R&amp;D'!$D:$D,MATCH(MEDIÇÃO!R445,'LEV R&amp;D'!$A:$A,0))-INDEX('PROJETO PERFURAÇÃO'!$AH:$AH,MATCH(MEDIÇÃO!R445,'PROJETO PERFURAÇÃO'!$B:$B,0)),"")</f>
        <v/>
      </c>
      <c r="T445" s="8" t="str">
        <f>IFERROR(INDEX('PROJETO PERFURAÇÃO'!$AN:$AN,MATCH(MEDIÇÃO!R445,'PROJETO PERFURAÇÃO'!$B:$B,0)),"")</f>
        <v/>
      </c>
      <c r="U445" s="3"/>
      <c r="V445" s="3"/>
    </row>
    <row r="446" spans="1:23" ht="45" customHeight="1">
      <c r="B446" s="3" t="str">
        <f>IFERROR(ROUND(INDEX('PROJETO PERFURAÇÃO'!$AB:$AB,MATCH(MEDIÇÃO!D446,'PROJETO PERFURAÇÃO'!$B:$B,0)),1)&amp;"''","")</f>
        <v/>
      </c>
      <c r="C446" s="3" t="str">
        <f>IFERROR(IF(INDEX('PROJETO PERFURAÇÃO'!$P:$P,MATCH(MEDIÇÃO!D446,'PROJETO PERFURAÇÃO'!$B:$B,0))="Production","P",IF(INDEX('PROJETO PERFURAÇÃO'!$P:$P,MATCH(MEDIÇÃO!D446,'PROJETO PERFURAÇÃO'!$B:$B,0))="Buffer","B",IF(INDEX('PROJETO PERFURAÇÃO'!$P:$P,MATCH(MEDIÇÃO!D446,'PROJETO PERFURAÇÃO'!$B:$B,0))="Pre-Splitting","S"))),"")</f>
        <v/>
      </c>
      <c r="D446" s="14">
        <f t="shared" si="42"/>
        <v>974</v>
      </c>
      <c r="E446" s="4" t="str">
        <f>IFERROR(INDEX('LEV R&amp;D'!$D:$D,MATCH(MEDIÇÃO!D446,'LEV R&amp;D'!$A:$A,0))-INDEX('PROJETO PERFURAÇÃO'!$AH:$AH,MATCH(MEDIÇÃO!D446,'PROJETO PERFURAÇÃO'!$B:$B,0)),"")</f>
        <v/>
      </c>
      <c r="F446" s="8" t="str">
        <f>IFERROR(INDEX('PROJETO PERFURAÇÃO'!$AN:$AN,MATCH(MEDIÇÃO!D446,'PROJETO PERFURAÇÃO'!$B:$B,0)),"")</f>
        <v/>
      </c>
      <c r="G446" s="3"/>
      <c r="H446" s="3"/>
      <c r="I446" s="3" t="str">
        <f>IFERROR(ROUND(INDEX('PROJETO PERFURAÇÃO'!$AB:$AB,MATCH(MEDIÇÃO!K446,'PROJETO PERFURAÇÃO'!$B:$B,0)),1)&amp;"''","")</f>
        <v/>
      </c>
      <c r="J446" s="3" t="str">
        <f>IFERROR(IF(INDEX('PROJETO PERFURAÇÃO'!$P:$P,MATCH(MEDIÇÃO!K446,'PROJETO PERFURAÇÃO'!$B:$B,0))="Production","P",IF(INDEX('PROJETO PERFURAÇÃO'!$P:$P,MATCH(MEDIÇÃO!K446,'PROJETO PERFURAÇÃO'!$B:$B,0))="Buffer","B",IF(INDEX('PROJETO PERFURAÇÃO'!$P:$P,MATCH(MEDIÇÃO!K446,'PROJETO PERFURAÇÃO'!$B:$B,0))="Pre-Splitting","S"))),"")</f>
        <v/>
      </c>
      <c r="K446" s="14">
        <f t="shared" si="43"/>
        <v>997</v>
      </c>
      <c r="L446" s="4" t="str">
        <f>IFERROR(INDEX('LEV R&amp;D'!$D:$D,MATCH(MEDIÇÃO!K446,'LEV R&amp;D'!$A:$A,0))-INDEX('PROJETO PERFURAÇÃO'!$AH:$AH,MATCH(MEDIÇÃO!K446,'PROJETO PERFURAÇÃO'!$B:$B,0)),"")</f>
        <v/>
      </c>
      <c r="M446" s="8" t="str">
        <f>IFERROR(INDEX('PROJETO PERFURAÇÃO'!$AN:$AN,MATCH(MEDIÇÃO!K446,'PROJETO PERFURAÇÃO'!$B:$B,0)),"")</f>
        <v/>
      </c>
      <c r="N446" s="3"/>
      <c r="O446" s="3"/>
      <c r="P446" s="3" t="str">
        <f>IFERROR(ROUND(INDEX('PROJETO PERFURAÇÃO'!$AB:$AB,MATCH(MEDIÇÃO!R446,'PROJETO PERFURAÇÃO'!$B:$B,0)),1)&amp;"''","")</f>
        <v/>
      </c>
      <c r="Q446" s="3" t="str">
        <f>IFERROR(IF(INDEX('PROJETO PERFURAÇÃO'!$P:$P,MATCH(MEDIÇÃO!R446,'PROJETO PERFURAÇÃO'!$B:$B,0))="Production","P",IF(INDEX('PROJETO PERFURAÇÃO'!$P:$P,MATCH(MEDIÇÃO!R446,'PROJETO PERFURAÇÃO'!$B:$B,0))="Buffer","B",IF(INDEX('PROJETO PERFURAÇÃO'!$P:$P,MATCH(MEDIÇÃO!R446,'PROJETO PERFURAÇÃO'!$B:$B,0))="Pre-Splitting","S"))),"")</f>
        <v/>
      </c>
      <c r="R446" s="14">
        <f t="shared" si="44"/>
        <v>1020</v>
      </c>
      <c r="S446" s="4" t="str">
        <f>IFERROR(INDEX('LEV R&amp;D'!$D:$D,MATCH(MEDIÇÃO!R446,'LEV R&amp;D'!$A:$A,0))-INDEX('PROJETO PERFURAÇÃO'!$AH:$AH,MATCH(MEDIÇÃO!R446,'PROJETO PERFURAÇÃO'!$B:$B,0)),"")</f>
        <v/>
      </c>
      <c r="T446" s="8" t="str">
        <f>IFERROR(INDEX('PROJETO PERFURAÇÃO'!$AN:$AN,MATCH(MEDIÇÃO!R446,'PROJETO PERFURAÇÃO'!$B:$B,0)),"")</f>
        <v/>
      </c>
      <c r="U446" s="3"/>
      <c r="V446" s="3"/>
    </row>
    <row r="447" spans="1:23" ht="45" customHeight="1">
      <c r="B447" s="3" t="str">
        <f>IFERROR(ROUND(INDEX('PROJETO PERFURAÇÃO'!$AB:$AB,MATCH(MEDIÇÃO!D447,'PROJETO PERFURAÇÃO'!$B:$B,0)),1)&amp;"''","")</f>
        <v/>
      </c>
      <c r="C447" s="3" t="str">
        <f>IFERROR(IF(INDEX('PROJETO PERFURAÇÃO'!$P:$P,MATCH(MEDIÇÃO!D447,'PROJETO PERFURAÇÃO'!$B:$B,0))="Production","P",IF(INDEX('PROJETO PERFURAÇÃO'!$P:$P,MATCH(MEDIÇÃO!D447,'PROJETO PERFURAÇÃO'!$B:$B,0))="Buffer","B",IF(INDEX('PROJETO PERFURAÇÃO'!$P:$P,MATCH(MEDIÇÃO!D447,'PROJETO PERFURAÇÃO'!$B:$B,0))="Pre-Splitting","S"))),"")</f>
        <v/>
      </c>
      <c r="D447" s="14">
        <f t="shared" si="42"/>
        <v>975</v>
      </c>
      <c r="E447" s="4" t="str">
        <f>IFERROR(INDEX('LEV R&amp;D'!$D:$D,MATCH(MEDIÇÃO!D447,'LEV R&amp;D'!$A:$A,0))-INDEX('PROJETO PERFURAÇÃO'!$AH:$AH,MATCH(MEDIÇÃO!D447,'PROJETO PERFURAÇÃO'!$B:$B,0)),"")</f>
        <v/>
      </c>
      <c r="F447" s="8" t="str">
        <f>IFERROR(INDEX('PROJETO PERFURAÇÃO'!$AN:$AN,MATCH(MEDIÇÃO!D447,'PROJETO PERFURAÇÃO'!$B:$B,0)),"")</f>
        <v/>
      </c>
      <c r="G447" s="3"/>
      <c r="H447" s="3"/>
      <c r="I447" s="3" t="str">
        <f>IFERROR(ROUND(INDEX('PROJETO PERFURAÇÃO'!$AB:$AB,MATCH(MEDIÇÃO!K447,'PROJETO PERFURAÇÃO'!$B:$B,0)),1)&amp;"''","")</f>
        <v/>
      </c>
      <c r="J447" s="3" t="str">
        <f>IFERROR(IF(INDEX('PROJETO PERFURAÇÃO'!$P:$P,MATCH(MEDIÇÃO!K447,'PROJETO PERFURAÇÃO'!$B:$B,0))="Production","P",IF(INDEX('PROJETO PERFURAÇÃO'!$P:$P,MATCH(MEDIÇÃO!K447,'PROJETO PERFURAÇÃO'!$B:$B,0))="Buffer","B",IF(INDEX('PROJETO PERFURAÇÃO'!$P:$P,MATCH(MEDIÇÃO!K447,'PROJETO PERFURAÇÃO'!$B:$B,0))="Pre-Splitting","S"))),"")</f>
        <v/>
      </c>
      <c r="K447" s="14">
        <f t="shared" si="43"/>
        <v>998</v>
      </c>
      <c r="L447" s="4" t="str">
        <f>IFERROR(INDEX('LEV R&amp;D'!$D:$D,MATCH(MEDIÇÃO!K447,'LEV R&amp;D'!$A:$A,0))-INDEX('PROJETO PERFURAÇÃO'!$AH:$AH,MATCH(MEDIÇÃO!K447,'PROJETO PERFURAÇÃO'!$B:$B,0)),"")</f>
        <v/>
      </c>
      <c r="M447" s="8" t="str">
        <f>IFERROR(INDEX('PROJETO PERFURAÇÃO'!$AN:$AN,MATCH(MEDIÇÃO!K447,'PROJETO PERFURAÇÃO'!$B:$B,0)),"")</f>
        <v/>
      </c>
      <c r="N447" s="3"/>
      <c r="O447" s="3"/>
      <c r="P447" s="3" t="str">
        <f>IFERROR(ROUND(INDEX('PROJETO PERFURAÇÃO'!$AB:$AB,MATCH(MEDIÇÃO!R447,'PROJETO PERFURAÇÃO'!$B:$B,0)),1)&amp;"''","")</f>
        <v/>
      </c>
      <c r="Q447" s="3" t="str">
        <f>IFERROR(IF(INDEX('PROJETO PERFURAÇÃO'!$P:$P,MATCH(MEDIÇÃO!R447,'PROJETO PERFURAÇÃO'!$B:$B,0))="Production","P",IF(INDEX('PROJETO PERFURAÇÃO'!$P:$P,MATCH(MEDIÇÃO!R447,'PROJETO PERFURAÇÃO'!$B:$B,0))="Buffer","B",IF(INDEX('PROJETO PERFURAÇÃO'!$P:$P,MATCH(MEDIÇÃO!R447,'PROJETO PERFURAÇÃO'!$B:$B,0))="Pre-Splitting","S"))),"")</f>
        <v/>
      </c>
      <c r="R447" s="14">
        <f t="shared" si="44"/>
        <v>1021</v>
      </c>
      <c r="S447" s="4" t="str">
        <f>IFERROR(INDEX('LEV R&amp;D'!$D:$D,MATCH(MEDIÇÃO!R447,'LEV R&amp;D'!$A:$A,0))-INDEX('PROJETO PERFURAÇÃO'!$AH:$AH,MATCH(MEDIÇÃO!R447,'PROJETO PERFURAÇÃO'!$B:$B,0)),"")</f>
        <v/>
      </c>
      <c r="T447" s="8" t="str">
        <f>IFERROR(INDEX('PROJETO PERFURAÇÃO'!$AN:$AN,MATCH(MEDIÇÃO!R447,'PROJETO PERFURAÇÃO'!$B:$B,0)),"")</f>
        <v/>
      </c>
      <c r="U447" s="3"/>
      <c r="V447" s="3"/>
    </row>
    <row r="448" spans="1:23" ht="45" customHeight="1">
      <c r="B448" s="3" t="str">
        <f>IFERROR(ROUND(INDEX('PROJETO PERFURAÇÃO'!$AB:$AB,MATCH(MEDIÇÃO!D448,'PROJETO PERFURAÇÃO'!$B:$B,0)),1)&amp;"''","")</f>
        <v/>
      </c>
      <c r="C448" s="3" t="str">
        <f>IFERROR(IF(INDEX('PROJETO PERFURAÇÃO'!$P:$P,MATCH(MEDIÇÃO!D448,'PROJETO PERFURAÇÃO'!$B:$B,0))="Production","P",IF(INDEX('PROJETO PERFURAÇÃO'!$P:$P,MATCH(MEDIÇÃO!D448,'PROJETO PERFURAÇÃO'!$B:$B,0))="Buffer","B",IF(INDEX('PROJETO PERFURAÇÃO'!$P:$P,MATCH(MEDIÇÃO!D448,'PROJETO PERFURAÇÃO'!$B:$B,0))="Pre-Splitting","S"))),"")</f>
        <v/>
      </c>
      <c r="D448" s="14">
        <f t="shared" si="42"/>
        <v>976</v>
      </c>
      <c r="E448" s="4" t="str">
        <f>IFERROR(INDEX('LEV R&amp;D'!$D:$D,MATCH(MEDIÇÃO!D448,'LEV R&amp;D'!$A:$A,0))-INDEX('PROJETO PERFURAÇÃO'!$AH:$AH,MATCH(MEDIÇÃO!D448,'PROJETO PERFURAÇÃO'!$B:$B,0)),"")</f>
        <v/>
      </c>
      <c r="F448" s="8" t="str">
        <f>IFERROR(INDEX('PROJETO PERFURAÇÃO'!$AN:$AN,MATCH(MEDIÇÃO!D448,'PROJETO PERFURAÇÃO'!$B:$B,0)),"")</f>
        <v/>
      </c>
      <c r="G448" s="3"/>
      <c r="H448" s="3"/>
      <c r="I448" s="3" t="str">
        <f>IFERROR(ROUND(INDEX('PROJETO PERFURAÇÃO'!$AB:$AB,MATCH(MEDIÇÃO!K448,'PROJETO PERFURAÇÃO'!$B:$B,0)),1)&amp;"''","")</f>
        <v/>
      </c>
      <c r="J448" s="3" t="str">
        <f>IFERROR(IF(INDEX('PROJETO PERFURAÇÃO'!$P:$P,MATCH(MEDIÇÃO!K448,'PROJETO PERFURAÇÃO'!$B:$B,0))="Production","P",IF(INDEX('PROJETO PERFURAÇÃO'!$P:$P,MATCH(MEDIÇÃO!K448,'PROJETO PERFURAÇÃO'!$B:$B,0))="Buffer","B",IF(INDEX('PROJETO PERFURAÇÃO'!$P:$P,MATCH(MEDIÇÃO!K448,'PROJETO PERFURAÇÃO'!$B:$B,0))="Pre-Splitting","S"))),"")</f>
        <v/>
      </c>
      <c r="K448" s="14">
        <f t="shared" si="43"/>
        <v>999</v>
      </c>
      <c r="L448" s="4" t="str">
        <f>IFERROR(INDEX('LEV R&amp;D'!$D:$D,MATCH(MEDIÇÃO!K448,'LEV R&amp;D'!$A:$A,0))-INDEX('PROJETO PERFURAÇÃO'!$AH:$AH,MATCH(MEDIÇÃO!K448,'PROJETO PERFURAÇÃO'!$B:$B,0)),"")</f>
        <v/>
      </c>
      <c r="M448" s="8" t="str">
        <f>IFERROR(INDEX('PROJETO PERFURAÇÃO'!$AN:$AN,MATCH(MEDIÇÃO!K448,'PROJETO PERFURAÇÃO'!$B:$B,0)),"")</f>
        <v/>
      </c>
      <c r="N448" s="3"/>
      <c r="O448" s="3"/>
      <c r="P448" s="3" t="str">
        <f>IFERROR(ROUND(INDEX('PROJETO PERFURAÇÃO'!$AB:$AB,MATCH(MEDIÇÃO!R448,'PROJETO PERFURAÇÃO'!$B:$B,0)),1)&amp;"''","")</f>
        <v/>
      </c>
      <c r="Q448" s="3" t="str">
        <f>IFERROR(IF(INDEX('PROJETO PERFURAÇÃO'!$P:$P,MATCH(MEDIÇÃO!R448,'PROJETO PERFURAÇÃO'!$B:$B,0))="Production","P",IF(INDEX('PROJETO PERFURAÇÃO'!$P:$P,MATCH(MEDIÇÃO!R448,'PROJETO PERFURAÇÃO'!$B:$B,0))="Buffer","B",IF(INDEX('PROJETO PERFURAÇÃO'!$P:$P,MATCH(MEDIÇÃO!R448,'PROJETO PERFURAÇÃO'!$B:$B,0))="Pre-Splitting","S"))),"")</f>
        <v/>
      </c>
      <c r="R448" s="14">
        <f t="shared" si="44"/>
        <v>1022</v>
      </c>
      <c r="S448" s="4" t="str">
        <f>IFERROR(INDEX('LEV R&amp;D'!$D:$D,MATCH(MEDIÇÃO!R448,'LEV R&amp;D'!$A:$A,0))-INDEX('PROJETO PERFURAÇÃO'!$AH:$AH,MATCH(MEDIÇÃO!R448,'PROJETO PERFURAÇÃO'!$B:$B,0)),"")</f>
        <v/>
      </c>
      <c r="T448" s="8" t="str">
        <f>IFERROR(INDEX('PROJETO PERFURAÇÃO'!$AN:$AN,MATCH(MEDIÇÃO!R448,'PROJETO PERFURAÇÃO'!$B:$B,0)),"")</f>
        <v/>
      </c>
      <c r="U448" s="3"/>
      <c r="V448" s="3"/>
    </row>
    <row r="449" spans="2:22" ht="45" customHeight="1">
      <c r="B449" s="3" t="str">
        <f>IFERROR(ROUND(INDEX('PROJETO PERFURAÇÃO'!$AB:$AB,MATCH(MEDIÇÃO!D449,'PROJETO PERFURAÇÃO'!$B:$B,0)),1)&amp;"''","")</f>
        <v/>
      </c>
      <c r="C449" s="3" t="str">
        <f>IFERROR(IF(INDEX('PROJETO PERFURAÇÃO'!$P:$P,MATCH(MEDIÇÃO!D449,'PROJETO PERFURAÇÃO'!$B:$B,0))="Production","P",IF(INDEX('PROJETO PERFURAÇÃO'!$P:$P,MATCH(MEDIÇÃO!D449,'PROJETO PERFURAÇÃO'!$B:$B,0))="Buffer","B",IF(INDEX('PROJETO PERFURAÇÃO'!$P:$P,MATCH(MEDIÇÃO!D449,'PROJETO PERFURAÇÃO'!$B:$B,0))="Pre-Splitting","S"))),"")</f>
        <v/>
      </c>
      <c r="D449" s="14">
        <f t="shared" si="42"/>
        <v>977</v>
      </c>
      <c r="E449" s="4" t="str">
        <f>IFERROR(INDEX('LEV R&amp;D'!$D:$D,MATCH(MEDIÇÃO!D449,'LEV R&amp;D'!$A:$A,0))-INDEX('PROJETO PERFURAÇÃO'!$AH:$AH,MATCH(MEDIÇÃO!D449,'PROJETO PERFURAÇÃO'!$B:$B,0)),"")</f>
        <v/>
      </c>
      <c r="F449" s="8" t="str">
        <f>IFERROR(INDEX('PROJETO PERFURAÇÃO'!$AN:$AN,MATCH(MEDIÇÃO!D449,'PROJETO PERFURAÇÃO'!$B:$B,0)),"")</f>
        <v/>
      </c>
      <c r="G449" s="3"/>
      <c r="H449" s="3"/>
      <c r="I449" s="3" t="str">
        <f>IFERROR(ROUND(INDEX('PROJETO PERFURAÇÃO'!$AB:$AB,MATCH(MEDIÇÃO!K449,'PROJETO PERFURAÇÃO'!$B:$B,0)),1)&amp;"''","")</f>
        <v/>
      </c>
      <c r="J449" s="3" t="str">
        <f>IFERROR(IF(INDEX('PROJETO PERFURAÇÃO'!$P:$P,MATCH(MEDIÇÃO!K449,'PROJETO PERFURAÇÃO'!$B:$B,0))="Production","P",IF(INDEX('PROJETO PERFURAÇÃO'!$P:$P,MATCH(MEDIÇÃO!K449,'PROJETO PERFURAÇÃO'!$B:$B,0))="Buffer","B",IF(INDEX('PROJETO PERFURAÇÃO'!$P:$P,MATCH(MEDIÇÃO!K449,'PROJETO PERFURAÇÃO'!$B:$B,0))="Pre-Splitting","S"))),"")</f>
        <v/>
      </c>
      <c r="K449" s="14">
        <f t="shared" si="43"/>
        <v>1000</v>
      </c>
      <c r="L449" s="4" t="str">
        <f>IFERROR(INDEX('LEV R&amp;D'!$D:$D,MATCH(MEDIÇÃO!K449,'LEV R&amp;D'!$A:$A,0))-INDEX('PROJETO PERFURAÇÃO'!$AH:$AH,MATCH(MEDIÇÃO!K449,'PROJETO PERFURAÇÃO'!$B:$B,0)),"")</f>
        <v/>
      </c>
      <c r="M449" s="8" t="str">
        <f>IFERROR(INDEX('PROJETO PERFURAÇÃO'!$AN:$AN,MATCH(MEDIÇÃO!K449,'PROJETO PERFURAÇÃO'!$B:$B,0)),"")</f>
        <v/>
      </c>
      <c r="N449" s="3"/>
      <c r="O449" s="3"/>
      <c r="P449" s="3" t="str">
        <f>IFERROR(ROUND(INDEX('PROJETO PERFURAÇÃO'!$AB:$AB,MATCH(MEDIÇÃO!R449,'PROJETO PERFURAÇÃO'!$B:$B,0)),1)&amp;"''","")</f>
        <v/>
      </c>
      <c r="Q449" s="3" t="str">
        <f>IFERROR(IF(INDEX('PROJETO PERFURAÇÃO'!$P:$P,MATCH(MEDIÇÃO!R449,'PROJETO PERFURAÇÃO'!$B:$B,0))="Production","P",IF(INDEX('PROJETO PERFURAÇÃO'!$P:$P,MATCH(MEDIÇÃO!R449,'PROJETO PERFURAÇÃO'!$B:$B,0))="Buffer","B",IF(INDEX('PROJETO PERFURAÇÃO'!$P:$P,MATCH(MEDIÇÃO!R449,'PROJETO PERFURAÇÃO'!$B:$B,0))="Pre-Splitting","S"))),"")</f>
        <v/>
      </c>
      <c r="R449" s="14">
        <f t="shared" si="44"/>
        <v>1023</v>
      </c>
      <c r="S449" s="4" t="str">
        <f>IFERROR(INDEX('LEV R&amp;D'!$D:$D,MATCH(MEDIÇÃO!R449,'LEV R&amp;D'!$A:$A,0))-INDEX('PROJETO PERFURAÇÃO'!$AH:$AH,MATCH(MEDIÇÃO!R449,'PROJETO PERFURAÇÃO'!$B:$B,0)),"")</f>
        <v/>
      </c>
      <c r="T449" s="8" t="str">
        <f>IFERROR(INDEX('PROJETO PERFURAÇÃO'!$AN:$AN,MATCH(MEDIÇÃO!R449,'PROJETO PERFURAÇÃO'!$B:$B,0)),"")</f>
        <v/>
      </c>
      <c r="U449" s="3"/>
      <c r="V449" s="3"/>
    </row>
    <row r="450" spans="2:22" ht="45" customHeight="1">
      <c r="B450" s="3" t="str">
        <f>IFERROR(ROUND(INDEX('PROJETO PERFURAÇÃO'!$AB:$AB,MATCH(MEDIÇÃO!D450,'PROJETO PERFURAÇÃO'!$B:$B,0)),1)&amp;"''","")</f>
        <v/>
      </c>
      <c r="C450" s="3" t="str">
        <f>IFERROR(IF(INDEX('PROJETO PERFURAÇÃO'!$P:$P,MATCH(MEDIÇÃO!D450,'PROJETO PERFURAÇÃO'!$B:$B,0))="Production","P",IF(INDEX('PROJETO PERFURAÇÃO'!$P:$P,MATCH(MEDIÇÃO!D450,'PROJETO PERFURAÇÃO'!$B:$B,0))="Buffer","B",IF(INDEX('PROJETO PERFURAÇÃO'!$P:$P,MATCH(MEDIÇÃO!D450,'PROJETO PERFURAÇÃO'!$B:$B,0))="Pre-Splitting","S"))),"")</f>
        <v/>
      </c>
      <c r="D450" s="14">
        <f t="shared" si="42"/>
        <v>978</v>
      </c>
      <c r="E450" s="4" t="str">
        <f>IFERROR(INDEX('LEV R&amp;D'!$D:$D,MATCH(MEDIÇÃO!D450,'LEV R&amp;D'!$A:$A,0))-INDEX('PROJETO PERFURAÇÃO'!$AH:$AH,MATCH(MEDIÇÃO!D450,'PROJETO PERFURAÇÃO'!$B:$B,0)),"")</f>
        <v/>
      </c>
      <c r="F450" s="8" t="str">
        <f>IFERROR(INDEX('PROJETO PERFURAÇÃO'!$AN:$AN,MATCH(MEDIÇÃO!D450,'PROJETO PERFURAÇÃO'!$B:$B,0)),"")</f>
        <v/>
      </c>
      <c r="G450" s="3"/>
      <c r="H450" s="3"/>
      <c r="I450" s="3" t="str">
        <f>IFERROR(ROUND(INDEX('PROJETO PERFURAÇÃO'!$AB:$AB,MATCH(MEDIÇÃO!K450,'PROJETO PERFURAÇÃO'!$B:$B,0)),1)&amp;"''","")</f>
        <v/>
      </c>
      <c r="J450" s="3" t="str">
        <f>IFERROR(IF(INDEX('PROJETO PERFURAÇÃO'!$P:$P,MATCH(MEDIÇÃO!K450,'PROJETO PERFURAÇÃO'!$B:$B,0))="Production","P",IF(INDEX('PROJETO PERFURAÇÃO'!$P:$P,MATCH(MEDIÇÃO!K450,'PROJETO PERFURAÇÃO'!$B:$B,0))="Buffer","B",IF(INDEX('PROJETO PERFURAÇÃO'!$P:$P,MATCH(MEDIÇÃO!K450,'PROJETO PERFURAÇÃO'!$B:$B,0))="Pre-Splitting","S"))),"")</f>
        <v/>
      </c>
      <c r="K450" s="14">
        <f t="shared" si="43"/>
        <v>1001</v>
      </c>
      <c r="L450" s="4" t="str">
        <f>IFERROR(INDEX('LEV R&amp;D'!$D:$D,MATCH(MEDIÇÃO!K450,'LEV R&amp;D'!$A:$A,0))-INDEX('PROJETO PERFURAÇÃO'!$AH:$AH,MATCH(MEDIÇÃO!K450,'PROJETO PERFURAÇÃO'!$B:$B,0)),"")</f>
        <v/>
      </c>
      <c r="M450" s="8" t="str">
        <f>IFERROR(INDEX('PROJETO PERFURAÇÃO'!$AN:$AN,MATCH(MEDIÇÃO!K450,'PROJETO PERFURAÇÃO'!$B:$B,0)),"")</f>
        <v/>
      </c>
      <c r="N450" s="3"/>
      <c r="O450" s="3"/>
      <c r="P450" s="3" t="str">
        <f>IFERROR(ROUND(INDEX('PROJETO PERFURAÇÃO'!$AB:$AB,MATCH(MEDIÇÃO!R450,'PROJETO PERFURAÇÃO'!$B:$B,0)),1)&amp;"''","")</f>
        <v/>
      </c>
      <c r="Q450" s="3" t="str">
        <f>IFERROR(IF(INDEX('PROJETO PERFURAÇÃO'!$P:$P,MATCH(MEDIÇÃO!R450,'PROJETO PERFURAÇÃO'!$B:$B,0))="Production","P",IF(INDEX('PROJETO PERFURAÇÃO'!$P:$P,MATCH(MEDIÇÃO!R450,'PROJETO PERFURAÇÃO'!$B:$B,0))="Buffer","B",IF(INDEX('PROJETO PERFURAÇÃO'!$P:$P,MATCH(MEDIÇÃO!R450,'PROJETO PERFURAÇÃO'!$B:$B,0))="Pre-Splitting","S"))),"")</f>
        <v/>
      </c>
      <c r="R450" s="14">
        <f t="shared" si="44"/>
        <v>1024</v>
      </c>
      <c r="S450" s="4" t="str">
        <f>IFERROR(INDEX('LEV R&amp;D'!$D:$D,MATCH(MEDIÇÃO!R450,'LEV R&amp;D'!$A:$A,0))-INDEX('PROJETO PERFURAÇÃO'!$AH:$AH,MATCH(MEDIÇÃO!R450,'PROJETO PERFURAÇÃO'!$B:$B,0)),"")</f>
        <v/>
      </c>
      <c r="T450" s="8" t="str">
        <f>IFERROR(INDEX('PROJETO PERFURAÇÃO'!$AN:$AN,MATCH(MEDIÇÃO!R450,'PROJETO PERFURAÇÃO'!$B:$B,0)),"")</f>
        <v/>
      </c>
      <c r="U450" s="3"/>
      <c r="V450" s="3"/>
    </row>
    <row r="451" spans="2:22" ht="45" customHeight="1">
      <c r="B451" s="3" t="str">
        <f>IFERROR(ROUND(INDEX('PROJETO PERFURAÇÃO'!$AB:$AB,MATCH(MEDIÇÃO!D451,'PROJETO PERFURAÇÃO'!$B:$B,0)),1)&amp;"''","")</f>
        <v/>
      </c>
      <c r="C451" s="3" t="str">
        <f>IFERROR(IF(INDEX('PROJETO PERFURAÇÃO'!$P:$P,MATCH(MEDIÇÃO!D451,'PROJETO PERFURAÇÃO'!$B:$B,0))="Production","P",IF(INDEX('PROJETO PERFURAÇÃO'!$P:$P,MATCH(MEDIÇÃO!D451,'PROJETO PERFURAÇÃO'!$B:$B,0))="Buffer","B",IF(INDEX('PROJETO PERFURAÇÃO'!$P:$P,MATCH(MEDIÇÃO!D451,'PROJETO PERFURAÇÃO'!$B:$B,0))="Pre-Splitting","S"))),"")</f>
        <v/>
      </c>
      <c r="D451" s="14">
        <f t="shared" si="42"/>
        <v>979</v>
      </c>
      <c r="E451" s="4" t="str">
        <f>IFERROR(INDEX('LEV R&amp;D'!$D:$D,MATCH(MEDIÇÃO!D451,'LEV R&amp;D'!$A:$A,0))-INDEX('PROJETO PERFURAÇÃO'!$AH:$AH,MATCH(MEDIÇÃO!D451,'PROJETO PERFURAÇÃO'!$B:$B,0)),"")</f>
        <v/>
      </c>
      <c r="F451" s="8" t="str">
        <f>IFERROR(INDEX('PROJETO PERFURAÇÃO'!$AN:$AN,MATCH(MEDIÇÃO!D451,'PROJETO PERFURAÇÃO'!$B:$B,0)),"")</f>
        <v/>
      </c>
      <c r="G451" s="3"/>
      <c r="H451" s="3"/>
      <c r="I451" s="3" t="str">
        <f>IFERROR(ROUND(INDEX('PROJETO PERFURAÇÃO'!$AB:$AB,MATCH(MEDIÇÃO!K451,'PROJETO PERFURAÇÃO'!$B:$B,0)),1)&amp;"''","")</f>
        <v/>
      </c>
      <c r="J451" s="3" t="str">
        <f>IFERROR(IF(INDEX('PROJETO PERFURAÇÃO'!$P:$P,MATCH(MEDIÇÃO!K451,'PROJETO PERFURAÇÃO'!$B:$B,0))="Production","P",IF(INDEX('PROJETO PERFURAÇÃO'!$P:$P,MATCH(MEDIÇÃO!K451,'PROJETO PERFURAÇÃO'!$B:$B,0))="Buffer","B",IF(INDEX('PROJETO PERFURAÇÃO'!$P:$P,MATCH(MEDIÇÃO!K451,'PROJETO PERFURAÇÃO'!$B:$B,0))="Pre-Splitting","S"))),"")</f>
        <v/>
      </c>
      <c r="K451" s="14">
        <f t="shared" si="43"/>
        <v>1002</v>
      </c>
      <c r="L451" s="4" t="str">
        <f>IFERROR(INDEX('LEV R&amp;D'!$D:$D,MATCH(MEDIÇÃO!K451,'LEV R&amp;D'!$A:$A,0))-INDEX('PROJETO PERFURAÇÃO'!$AH:$AH,MATCH(MEDIÇÃO!K451,'PROJETO PERFURAÇÃO'!$B:$B,0)),"")</f>
        <v/>
      </c>
      <c r="M451" s="8" t="str">
        <f>IFERROR(INDEX('PROJETO PERFURAÇÃO'!$AN:$AN,MATCH(MEDIÇÃO!K451,'PROJETO PERFURAÇÃO'!$B:$B,0)),"")</f>
        <v/>
      </c>
      <c r="N451" s="3"/>
      <c r="O451" s="3"/>
      <c r="P451" s="3" t="str">
        <f>IFERROR(ROUND(INDEX('PROJETO PERFURAÇÃO'!$AB:$AB,MATCH(MEDIÇÃO!R451,'PROJETO PERFURAÇÃO'!$B:$B,0)),1)&amp;"''","")</f>
        <v/>
      </c>
      <c r="Q451" s="3" t="str">
        <f>IFERROR(IF(INDEX('PROJETO PERFURAÇÃO'!$P:$P,MATCH(MEDIÇÃO!R451,'PROJETO PERFURAÇÃO'!$B:$B,0))="Production","P",IF(INDEX('PROJETO PERFURAÇÃO'!$P:$P,MATCH(MEDIÇÃO!R451,'PROJETO PERFURAÇÃO'!$B:$B,0))="Buffer","B",IF(INDEX('PROJETO PERFURAÇÃO'!$P:$P,MATCH(MEDIÇÃO!R451,'PROJETO PERFURAÇÃO'!$B:$B,0))="Pre-Splitting","S"))),"")</f>
        <v/>
      </c>
      <c r="R451" s="14">
        <f t="shared" si="44"/>
        <v>1025</v>
      </c>
      <c r="S451" s="4" t="str">
        <f>IFERROR(INDEX('LEV R&amp;D'!$D:$D,MATCH(MEDIÇÃO!R451,'LEV R&amp;D'!$A:$A,0))-INDEX('PROJETO PERFURAÇÃO'!$AH:$AH,MATCH(MEDIÇÃO!R451,'PROJETO PERFURAÇÃO'!$B:$B,0)),"")</f>
        <v/>
      </c>
      <c r="T451" s="8" t="str">
        <f>IFERROR(INDEX('PROJETO PERFURAÇÃO'!$AN:$AN,MATCH(MEDIÇÃO!R451,'PROJETO PERFURAÇÃO'!$B:$B,0)),"")</f>
        <v/>
      </c>
      <c r="U451" s="3"/>
      <c r="V451" s="3"/>
    </row>
    <row r="452" spans="2:22" ht="45" customHeight="1">
      <c r="B452" s="3" t="str">
        <f>IFERROR(ROUND(INDEX('PROJETO PERFURAÇÃO'!$AB:$AB,MATCH(MEDIÇÃO!D452,'PROJETO PERFURAÇÃO'!$B:$B,0)),1)&amp;"''","")</f>
        <v/>
      </c>
      <c r="C452" s="3" t="str">
        <f>IFERROR(IF(INDEX('PROJETO PERFURAÇÃO'!$P:$P,MATCH(MEDIÇÃO!D452,'PROJETO PERFURAÇÃO'!$B:$B,0))="Production","P",IF(INDEX('PROJETO PERFURAÇÃO'!$P:$P,MATCH(MEDIÇÃO!D452,'PROJETO PERFURAÇÃO'!$B:$B,0))="Buffer","B",IF(INDEX('PROJETO PERFURAÇÃO'!$P:$P,MATCH(MEDIÇÃO!D452,'PROJETO PERFURAÇÃO'!$B:$B,0))="Pre-Splitting","S"))),"")</f>
        <v/>
      </c>
      <c r="D452" s="14">
        <f t="shared" si="42"/>
        <v>980</v>
      </c>
      <c r="E452" s="4" t="str">
        <f>IFERROR(INDEX('LEV R&amp;D'!$D:$D,MATCH(MEDIÇÃO!D452,'LEV R&amp;D'!$A:$A,0))-INDEX('PROJETO PERFURAÇÃO'!$AH:$AH,MATCH(MEDIÇÃO!D452,'PROJETO PERFURAÇÃO'!$B:$B,0)),"")</f>
        <v/>
      </c>
      <c r="F452" s="8" t="str">
        <f>IFERROR(INDEX('PROJETO PERFURAÇÃO'!$AN:$AN,MATCH(MEDIÇÃO!D452,'PROJETO PERFURAÇÃO'!$B:$B,0)),"")</f>
        <v/>
      </c>
      <c r="G452" s="3"/>
      <c r="H452" s="3"/>
      <c r="I452" s="3" t="str">
        <f>IFERROR(ROUND(INDEX('PROJETO PERFURAÇÃO'!$AB:$AB,MATCH(MEDIÇÃO!K452,'PROJETO PERFURAÇÃO'!$B:$B,0)),1)&amp;"''","")</f>
        <v/>
      </c>
      <c r="J452" s="3" t="str">
        <f>IFERROR(IF(INDEX('PROJETO PERFURAÇÃO'!$P:$P,MATCH(MEDIÇÃO!K452,'PROJETO PERFURAÇÃO'!$B:$B,0))="Production","P",IF(INDEX('PROJETO PERFURAÇÃO'!$P:$P,MATCH(MEDIÇÃO!K452,'PROJETO PERFURAÇÃO'!$B:$B,0))="Buffer","B",IF(INDEX('PROJETO PERFURAÇÃO'!$P:$P,MATCH(MEDIÇÃO!K452,'PROJETO PERFURAÇÃO'!$B:$B,0))="Pre-Splitting","S"))),"")</f>
        <v/>
      </c>
      <c r="K452" s="14">
        <f t="shared" si="43"/>
        <v>1003</v>
      </c>
      <c r="L452" s="4" t="str">
        <f>IFERROR(INDEX('LEV R&amp;D'!$D:$D,MATCH(MEDIÇÃO!K452,'LEV R&amp;D'!$A:$A,0))-INDEX('PROJETO PERFURAÇÃO'!$AH:$AH,MATCH(MEDIÇÃO!K452,'PROJETO PERFURAÇÃO'!$B:$B,0)),"")</f>
        <v/>
      </c>
      <c r="M452" s="8" t="str">
        <f>IFERROR(INDEX('PROJETO PERFURAÇÃO'!$AN:$AN,MATCH(MEDIÇÃO!K452,'PROJETO PERFURAÇÃO'!$B:$B,0)),"")</f>
        <v/>
      </c>
      <c r="N452" s="3"/>
      <c r="O452" s="3"/>
      <c r="P452" s="3" t="str">
        <f>IFERROR(ROUND(INDEX('PROJETO PERFURAÇÃO'!$AB:$AB,MATCH(MEDIÇÃO!R452,'PROJETO PERFURAÇÃO'!$B:$B,0)),1)&amp;"''","")</f>
        <v/>
      </c>
      <c r="Q452" s="3" t="str">
        <f>IFERROR(IF(INDEX('PROJETO PERFURAÇÃO'!$P:$P,MATCH(MEDIÇÃO!R452,'PROJETO PERFURAÇÃO'!$B:$B,0))="Production","P",IF(INDEX('PROJETO PERFURAÇÃO'!$P:$P,MATCH(MEDIÇÃO!R452,'PROJETO PERFURAÇÃO'!$B:$B,0))="Buffer","B",IF(INDEX('PROJETO PERFURAÇÃO'!$P:$P,MATCH(MEDIÇÃO!R452,'PROJETO PERFURAÇÃO'!$B:$B,0))="Pre-Splitting","S"))),"")</f>
        <v/>
      </c>
      <c r="R452" s="14">
        <f t="shared" si="44"/>
        <v>1026</v>
      </c>
      <c r="S452" s="4" t="str">
        <f>IFERROR(INDEX('LEV R&amp;D'!$D:$D,MATCH(MEDIÇÃO!R452,'LEV R&amp;D'!$A:$A,0))-INDEX('PROJETO PERFURAÇÃO'!$AH:$AH,MATCH(MEDIÇÃO!R452,'PROJETO PERFURAÇÃO'!$B:$B,0)),"")</f>
        <v/>
      </c>
      <c r="T452" s="8" t="str">
        <f>IFERROR(INDEX('PROJETO PERFURAÇÃO'!$AN:$AN,MATCH(MEDIÇÃO!R452,'PROJETO PERFURAÇÃO'!$B:$B,0)),"")</f>
        <v/>
      </c>
      <c r="U452" s="3"/>
      <c r="V452" s="3"/>
    </row>
    <row r="453" spans="2:22" ht="45" customHeight="1">
      <c r="B453" s="3" t="str">
        <f>IFERROR(ROUND(INDEX('PROJETO PERFURAÇÃO'!$AB:$AB,MATCH(MEDIÇÃO!D453,'PROJETO PERFURAÇÃO'!$B:$B,0)),1)&amp;"''","")</f>
        <v/>
      </c>
      <c r="C453" s="3" t="str">
        <f>IFERROR(IF(INDEX('PROJETO PERFURAÇÃO'!$P:$P,MATCH(MEDIÇÃO!D453,'PROJETO PERFURAÇÃO'!$B:$B,0))="Production","P",IF(INDEX('PROJETO PERFURAÇÃO'!$P:$P,MATCH(MEDIÇÃO!D453,'PROJETO PERFURAÇÃO'!$B:$B,0))="Buffer","B",IF(INDEX('PROJETO PERFURAÇÃO'!$P:$P,MATCH(MEDIÇÃO!D453,'PROJETO PERFURAÇÃO'!$B:$B,0))="Pre-Splitting","S"))),"")</f>
        <v/>
      </c>
      <c r="D453" s="14">
        <f t="shared" si="42"/>
        <v>981</v>
      </c>
      <c r="E453" s="4" t="str">
        <f>IFERROR(INDEX('LEV R&amp;D'!$D:$D,MATCH(MEDIÇÃO!D453,'LEV R&amp;D'!$A:$A,0))-INDEX('PROJETO PERFURAÇÃO'!$AH:$AH,MATCH(MEDIÇÃO!D453,'PROJETO PERFURAÇÃO'!$B:$B,0)),"")</f>
        <v/>
      </c>
      <c r="F453" s="8" t="str">
        <f>IFERROR(INDEX('PROJETO PERFURAÇÃO'!$AN:$AN,MATCH(MEDIÇÃO!D453,'PROJETO PERFURAÇÃO'!$B:$B,0)),"")</f>
        <v/>
      </c>
      <c r="G453" s="3"/>
      <c r="H453" s="3"/>
      <c r="I453" s="3" t="str">
        <f>IFERROR(ROUND(INDEX('PROJETO PERFURAÇÃO'!$AB:$AB,MATCH(MEDIÇÃO!K453,'PROJETO PERFURAÇÃO'!$B:$B,0)),1)&amp;"''","")</f>
        <v/>
      </c>
      <c r="J453" s="3" t="str">
        <f>IFERROR(IF(INDEX('PROJETO PERFURAÇÃO'!$P:$P,MATCH(MEDIÇÃO!K453,'PROJETO PERFURAÇÃO'!$B:$B,0))="Production","P",IF(INDEX('PROJETO PERFURAÇÃO'!$P:$P,MATCH(MEDIÇÃO!K453,'PROJETO PERFURAÇÃO'!$B:$B,0))="Buffer","B",IF(INDEX('PROJETO PERFURAÇÃO'!$P:$P,MATCH(MEDIÇÃO!K453,'PROJETO PERFURAÇÃO'!$B:$B,0))="Pre-Splitting","S"))),"")</f>
        <v/>
      </c>
      <c r="K453" s="14">
        <f t="shared" si="43"/>
        <v>1004</v>
      </c>
      <c r="L453" s="4" t="str">
        <f>IFERROR(INDEX('LEV R&amp;D'!$D:$D,MATCH(MEDIÇÃO!K453,'LEV R&amp;D'!$A:$A,0))-INDEX('PROJETO PERFURAÇÃO'!$AH:$AH,MATCH(MEDIÇÃO!K453,'PROJETO PERFURAÇÃO'!$B:$B,0)),"")</f>
        <v/>
      </c>
      <c r="M453" s="8" t="str">
        <f>IFERROR(INDEX('PROJETO PERFURAÇÃO'!$AN:$AN,MATCH(MEDIÇÃO!K453,'PROJETO PERFURAÇÃO'!$B:$B,0)),"")</f>
        <v/>
      </c>
      <c r="N453" s="3"/>
      <c r="O453" s="3"/>
      <c r="P453" s="3" t="str">
        <f>IFERROR(ROUND(INDEX('PROJETO PERFURAÇÃO'!$AB:$AB,MATCH(MEDIÇÃO!R453,'PROJETO PERFURAÇÃO'!$B:$B,0)),1)&amp;"''","")</f>
        <v/>
      </c>
      <c r="Q453" s="3" t="str">
        <f>IFERROR(IF(INDEX('PROJETO PERFURAÇÃO'!$P:$P,MATCH(MEDIÇÃO!R453,'PROJETO PERFURAÇÃO'!$B:$B,0))="Production","P",IF(INDEX('PROJETO PERFURAÇÃO'!$P:$P,MATCH(MEDIÇÃO!R453,'PROJETO PERFURAÇÃO'!$B:$B,0))="Buffer","B",IF(INDEX('PROJETO PERFURAÇÃO'!$P:$P,MATCH(MEDIÇÃO!R453,'PROJETO PERFURAÇÃO'!$B:$B,0))="Pre-Splitting","S"))),"")</f>
        <v/>
      </c>
      <c r="R453" s="14">
        <f t="shared" si="44"/>
        <v>1027</v>
      </c>
      <c r="S453" s="4" t="str">
        <f>IFERROR(INDEX('LEV R&amp;D'!$D:$D,MATCH(MEDIÇÃO!R453,'LEV R&amp;D'!$A:$A,0))-INDEX('PROJETO PERFURAÇÃO'!$AH:$AH,MATCH(MEDIÇÃO!R453,'PROJETO PERFURAÇÃO'!$B:$B,0)),"")</f>
        <v/>
      </c>
      <c r="T453" s="8" t="str">
        <f>IFERROR(INDEX('PROJETO PERFURAÇÃO'!$AN:$AN,MATCH(MEDIÇÃO!R453,'PROJETO PERFURAÇÃO'!$B:$B,0)),"")</f>
        <v/>
      </c>
      <c r="U453" s="3"/>
      <c r="V453" s="3"/>
    </row>
    <row r="454" spans="2:22" ht="45" customHeight="1">
      <c r="B454" s="3" t="str">
        <f>IFERROR(ROUND(INDEX('PROJETO PERFURAÇÃO'!$AB:$AB,MATCH(MEDIÇÃO!D454,'PROJETO PERFURAÇÃO'!$B:$B,0)),1)&amp;"''","")</f>
        <v/>
      </c>
      <c r="C454" s="3" t="str">
        <f>IFERROR(IF(INDEX('PROJETO PERFURAÇÃO'!$P:$P,MATCH(MEDIÇÃO!D454,'PROJETO PERFURAÇÃO'!$B:$B,0))="Production","P",IF(INDEX('PROJETO PERFURAÇÃO'!$P:$P,MATCH(MEDIÇÃO!D454,'PROJETO PERFURAÇÃO'!$B:$B,0))="Buffer","B",IF(INDEX('PROJETO PERFURAÇÃO'!$P:$P,MATCH(MEDIÇÃO!D454,'PROJETO PERFURAÇÃO'!$B:$B,0))="Pre-Splitting","S"))),"")</f>
        <v/>
      </c>
      <c r="D454" s="14">
        <f t="shared" si="42"/>
        <v>982</v>
      </c>
      <c r="E454" s="4" t="str">
        <f>IFERROR(INDEX('LEV R&amp;D'!$D:$D,MATCH(MEDIÇÃO!D454,'LEV R&amp;D'!$A:$A,0))-INDEX('PROJETO PERFURAÇÃO'!$AH:$AH,MATCH(MEDIÇÃO!D454,'PROJETO PERFURAÇÃO'!$B:$B,0)),"")</f>
        <v/>
      </c>
      <c r="F454" s="8" t="str">
        <f>IFERROR(INDEX('PROJETO PERFURAÇÃO'!$AN:$AN,MATCH(MEDIÇÃO!D454,'PROJETO PERFURAÇÃO'!$B:$B,0)),"")</f>
        <v/>
      </c>
      <c r="G454" s="3"/>
      <c r="H454" s="3"/>
      <c r="I454" s="3" t="str">
        <f>IFERROR(ROUND(INDEX('PROJETO PERFURAÇÃO'!$AB:$AB,MATCH(MEDIÇÃO!K454,'PROJETO PERFURAÇÃO'!$B:$B,0)),1)&amp;"''","")</f>
        <v/>
      </c>
      <c r="J454" s="3" t="str">
        <f>IFERROR(IF(INDEX('PROJETO PERFURAÇÃO'!$P:$P,MATCH(MEDIÇÃO!K454,'PROJETO PERFURAÇÃO'!$B:$B,0))="Production","P",IF(INDEX('PROJETO PERFURAÇÃO'!$P:$P,MATCH(MEDIÇÃO!K454,'PROJETO PERFURAÇÃO'!$B:$B,0))="Buffer","B",IF(INDEX('PROJETO PERFURAÇÃO'!$P:$P,MATCH(MEDIÇÃO!K454,'PROJETO PERFURAÇÃO'!$B:$B,0))="Pre-Splitting","S"))),"")</f>
        <v/>
      </c>
      <c r="K454" s="14">
        <f t="shared" si="43"/>
        <v>1005</v>
      </c>
      <c r="L454" s="4" t="str">
        <f>IFERROR(INDEX('LEV R&amp;D'!$D:$D,MATCH(MEDIÇÃO!K454,'LEV R&amp;D'!$A:$A,0))-INDEX('PROJETO PERFURAÇÃO'!$AH:$AH,MATCH(MEDIÇÃO!K454,'PROJETO PERFURAÇÃO'!$B:$B,0)),"")</f>
        <v/>
      </c>
      <c r="M454" s="8" t="str">
        <f>IFERROR(INDEX('PROJETO PERFURAÇÃO'!$AN:$AN,MATCH(MEDIÇÃO!K454,'PROJETO PERFURAÇÃO'!$B:$B,0)),"")</f>
        <v/>
      </c>
      <c r="N454" s="3"/>
      <c r="O454" s="3"/>
      <c r="P454" s="3" t="str">
        <f>IFERROR(ROUND(INDEX('PROJETO PERFURAÇÃO'!$AB:$AB,MATCH(MEDIÇÃO!R454,'PROJETO PERFURAÇÃO'!$B:$B,0)),1)&amp;"''","")</f>
        <v/>
      </c>
      <c r="Q454" s="3" t="str">
        <f>IFERROR(IF(INDEX('PROJETO PERFURAÇÃO'!$P:$P,MATCH(MEDIÇÃO!R454,'PROJETO PERFURAÇÃO'!$B:$B,0))="Production","P",IF(INDEX('PROJETO PERFURAÇÃO'!$P:$P,MATCH(MEDIÇÃO!R454,'PROJETO PERFURAÇÃO'!$B:$B,0))="Buffer","B",IF(INDEX('PROJETO PERFURAÇÃO'!$P:$P,MATCH(MEDIÇÃO!R454,'PROJETO PERFURAÇÃO'!$B:$B,0))="Pre-Splitting","S"))),"")</f>
        <v/>
      </c>
      <c r="R454" s="14">
        <f t="shared" si="44"/>
        <v>1028</v>
      </c>
      <c r="S454" s="4" t="str">
        <f>IFERROR(INDEX('LEV R&amp;D'!$D:$D,MATCH(MEDIÇÃO!R454,'LEV R&amp;D'!$A:$A,0))-INDEX('PROJETO PERFURAÇÃO'!$AH:$AH,MATCH(MEDIÇÃO!R454,'PROJETO PERFURAÇÃO'!$B:$B,0)),"")</f>
        <v/>
      </c>
      <c r="T454" s="8" t="str">
        <f>IFERROR(INDEX('PROJETO PERFURAÇÃO'!$AN:$AN,MATCH(MEDIÇÃO!R454,'PROJETO PERFURAÇÃO'!$B:$B,0)),"")</f>
        <v/>
      </c>
      <c r="U454" s="3"/>
      <c r="V454" s="3"/>
    </row>
    <row r="455" spans="2:22" ht="45" customHeight="1">
      <c r="B455" s="3" t="str">
        <f>IFERROR(ROUND(INDEX('PROJETO PERFURAÇÃO'!$AB:$AB,MATCH(MEDIÇÃO!D455,'PROJETO PERFURAÇÃO'!$B:$B,0)),1)&amp;"''","")</f>
        <v/>
      </c>
      <c r="C455" s="3" t="str">
        <f>IFERROR(IF(INDEX('PROJETO PERFURAÇÃO'!$P:$P,MATCH(MEDIÇÃO!D455,'PROJETO PERFURAÇÃO'!$B:$B,0))="Production","P",IF(INDEX('PROJETO PERFURAÇÃO'!$P:$P,MATCH(MEDIÇÃO!D455,'PROJETO PERFURAÇÃO'!$B:$B,0))="Buffer","B",IF(INDEX('PROJETO PERFURAÇÃO'!$P:$P,MATCH(MEDIÇÃO!D455,'PROJETO PERFURAÇÃO'!$B:$B,0))="Pre-Splitting","S"))),"")</f>
        <v/>
      </c>
      <c r="D455" s="14">
        <f t="shared" si="42"/>
        <v>983</v>
      </c>
      <c r="E455" s="4" t="str">
        <f>IFERROR(INDEX('LEV R&amp;D'!$D:$D,MATCH(MEDIÇÃO!D455,'LEV R&amp;D'!$A:$A,0))-INDEX('PROJETO PERFURAÇÃO'!$AH:$AH,MATCH(MEDIÇÃO!D455,'PROJETO PERFURAÇÃO'!$B:$B,0)),"")</f>
        <v/>
      </c>
      <c r="F455" s="8" t="str">
        <f>IFERROR(INDEX('PROJETO PERFURAÇÃO'!$AN:$AN,MATCH(MEDIÇÃO!D455,'PROJETO PERFURAÇÃO'!$B:$B,0)),"")</f>
        <v/>
      </c>
      <c r="G455" s="3"/>
      <c r="H455" s="3"/>
      <c r="I455" s="3" t="str">
        <f>IFERROR(ROUND(INDEX('PROJETO PERFURAÇÃO'!$AB:$AB,MATCH(MEDIÇÃO!K455,'PROJETO PERFURAÇÃO'!$B:$B,0)),1)&amp;"''","")</f>
        <v/>
      </c>
      <c r="J455" s="3" t="str">
        <f>IFERROR(IF(INDEX('PROJETO PERFURAÇÃO'!$P:$P,MATCH(MEDIÇÃO!K455,'PROJETO PERFURAÇÃO'!$B:$B,0))="Production","P",IF(INDEX('PROJETO PERFURAÇÃO'!$P:$P,MATCH(MEDIÇÃO!K455,'PROJETO PERFURAÇÃO'!$B:$B,0))="Buffer","B",IF(INDEX('PROJETO PERFURAÇÃO'!$P:$P,MATCH(MEDIÇÃO!K455,'PROJETO PERFURAÇÃO'!$B:$B,0))="Pre-Splitting","S"))),"")</f>
        <v/>
      </c>
      <c r="K455" s="14">
        <f t="shared" si="43"/>
        <v>1006</v>
      </c>
      <c r="L455" s="4" t="str">
        <f>IFERROR(INDEX('LEV R&amp;D'!$D:$D,MATCH(MEDIÇÃO!K455,'LEV R&amp;D'!$A:$A,0))-INDEX('PROJETO PERFURAÇÃO'!$AH:$AH,MATCH(MEDIÇÃO!K455,'PROJETO PERFURAÇÃO'!$B:$B,0)),"")</f>
        <v/>
      </c>
      <c r="M455" s="8" t="str">
        <f>IFERROR(INDEX('PROJETO PERFURAÇÃO'!$AN:$AN,MATCH(MEDIÇÃO!K455,'PROJETO PERFURAÇÃO'!$B:$B,0)),"")</f>
        <v/>
      </c>
      <c r="N455" s="3"/>
      <c r="O455" s="3"/>
      <c r="P455" s="3" t="str">
        <f>IFERROR(ROUND(INDEX('PROJETO PERFURAÇÃO'!$AB:$AB,MATCH(MEDIÇÃO!R455,'PROJETO PERFURAÇÃO'!$B:$B,0)),1)&amp;"''","")</f>
        <v/>
      </c>
      <c r="Q455" s="3" t="str">
        <f>IFERROR(IF(INDEX('PROJETO PERFURAÇÃO'!$P:$P,MATCH(MEDIÇÃO!R455,'PROJETO PERFURAÇÃO'!$B:$B,0))="Production","P",IF(INDEX('PROJETO PERFURAÇÃO'!$P:$P,MATCH(MEDIÇÃO!R455,'PROJETO PERFURAÇÃO'!$B:$B,0))="Buffer","B",IF(INDEX('PROJETO PERFURAÇÃO'!$P:$P,MATCH(MEDIÇÃO!R455,'PROJETO PERFURAÇÃO'!$B:$B,0))="Pre-Splitting","S"))),"")</f>
        <v/>
      </c>
      <c r="R455" s="14">
        <f t="shared" si="44"/>
        <v>1029</v>
      </c>
      <c r="S455" s="4" t="str">
        <f>IFERROR(INDEX('LEV R&amp;D'!$D:$D,MATCH(MEDIÇÃO!R455,'LEV R&amp;D'!$A:$A,0))-INDEX('PROJETO PERFURAÇÃO'!$AH:$AH,MATCH(MEDIÇÃO!R455,'PROJETO PERFURAÇÃO'!$B:$B,0)),"")</f>
        <v/>
      </c>
      <c r="T455" s="8" t="str">
        <f>IFERROR(INDEX('PROJETO PERFURAÇÃO'!$AN:$AN,MATCH(MEDIÇÃO!R455,'PROJETO PERFURAÇÃO'!$B:$B,0)),"")</f>
        <v/>
      </c>
      <c r="U455" s="3"/>
      <c r="V455" s="3"/>
    </row>
    <row r="456" spans="2:22" ht="45" customHeight="1">
      <c r="B456" s="3" t="str">
        <f>IFERROR(ROUND(INDEX('PROJETO PERFURAÇÃO'!$AB:$AB,MATCH(MEDIÇÃO!D456,'PROJETO PERFURAÇÃO'!$B:$B,0)),1)&amp;"''","")</f>
        <v/>
      </c>
      <c r="C456" s="3" t="str">
        <f>IFERROR(IF(INDEX('PROJETO PERFURAÇÃO'!$P:$P,MATCH(MEDIÇÃO!D456,'PROJETO PERFURAÇÃO'!$B:$B,0))="Production","P",IF(INDEX('PROJETO PERFURAÇÃO'!$P:$P,MATCH(MEDIÇÃO!D456,'PROJETO PERFURAÇÃO'!$B:$B,0))="Buffer","B",IF(INDEX('PROJETO PERFURAÇÃO'!$P:$P,MATCH(MEDIÇÃO!D456,'PROJETO PERFURAÇÃO'!$B:$B,0))="Pre-Splitting","S"))),"")</f>
        <v/>
      </c>
      <c r="D456" s="14">
        <f t="shared" si="42"/>
        <v>984</v>
      </c>
      <c r="E456" s="4" t="str">
        <f>IFERROR(INDEX('LEV R&amp;D'!$D:$D,MATCH(MEDIÇÃO!D456,'LEV R&amp;D'!$A:$A,0))-INDEX('PROJETO PERFURAÇÃO'!$AH:$AH,MATCH(MEDIÇÃO!D456,'PROJETO PERFURAÇÃO'!$B:$B,0)),"")</f>
        <v/>
      </c>
      <c r="F456" s="8" t="str">
        <f>IFERROR(INDEX('PROJETO PERFURAÇÃO'!$AN:$AN,MATCH(MEDIÇÃO!D456,'PROJETO PERFURAÇÃO'!$B:$B,0)),"")</f>
        <v/>
      </c>
      <c r="G456" s="3"/>
      <c r="H456" s="3"/>
      <c r="I456" s="3" t="str">
        <f>IFERROR(ROUND(INDEX('PROJETO PERFURAÇÃO'!$AB:$AB,MATCH(MEDIÇÃO!K456,'PROJETO PERFURAÇÃO'!$B:$B,0)),1)&amp;"''","")</f>
        <v/>
      </c>
      <c r="J456" s="3" t="str">
        <f>IFERROR(IF(INDEX('PROJETO PERFURAÇÃO'!$P:$P,MATCH(MEDIÇÃO!K456,'PROJETO PERFURAÇÃO'!$B:$B,0))="Production","P",IF(INDEX('PROJETO PERFURAÇÃO'!$P:$P,MATCH(MEDIÇÃO!K456,'PROJETO PERFURAÇÃO'!$B:$B,0))="Buffer","B",IF(INDEX('PROJETO PERFURAÇÃO'!$P:$P,MATCH(MEDIÇÃO!K456,'PROJETO PERFURAÇÃO'!$B:$B,0))="Pre-Splitting","S"))),"")</f>
        <v/>
      </c>
      <c r="K456" s="14">
        <f t="shared" si="43"/>
        <v>1007</v>
      </c>
      <c r="L456" s="4" t="str">
        <f>IFERROR(INDEX('LEV R&amp;D'!$D:$D,MATCH(MEDIÇÃO!K456,'LEV R&amp;D'!$A:$A,0))-INDEX('PROJETO PERFURAÇÃO'!$AH:$AH,MATCH(MEDIÇÃO!K456,'PROJETO PERFURAÇÃO'!$B:$B,0)),"")</f>
        <v/>
      </c>
      <c r="M456" s="8" t="str">
        <f>IFERROR(INDEX('PROJETO PERFURAÇÃO'!$AN:$AN,MATCH(MEDIÇÃO!K456,'PROJETO PERFURAÇÃO'!$B:$B,0)),"")</f>
        <v/>
      </c>
      <c r="N456" s="3"/>
      <c r="O456" s="3"/>
      <c r="P456" s="3" t="str">
        <f>IFERROR(ROUND(INDEX('PROJETO PERFURAÇÃO'!$AB:$AB,MATCH(MEDIÇÃO!R456,'PROJETO PERFURAÇÃO'!$B:$B,0)),1)&amp;"''","")</f>
        <v/>
      </c>
      <c r="Q456" s="3" t="str">
        <f>IFERROR(IF(INDEX('PROJETO PERFURAÇÃO'!$P:$P,MATCH(MEDIÇÃO!R456,'PROJETO PERFURAÇÃO'!$B:$B,0))="Production","P",IF(INDEX('PROJETO PERFURAÇÃO'!$P:$P,MATCH(MEDIÇÃO!R456,'PROJETO PERFURAÇÃO'!$B:$B,0))="Buffer","B",IF(INDEX('PROJETO PERFURAÇÃO'!$P:$P,MATCH(MEDIÇÃO!R456,'PROJETO PERFURAÇÃO'!$B:$B,0))="Pre-Splitting","S"))),"")</f>
        <v/>
      </c>
      <c r="R456" s="14">
        <f t="shared" si="44"/>
        <v>1030</v>
      </c>
      <c r="S456" s="4" t="str">
        <f>IFERROR(INDEX('LEV R&amp;D'!$D:$D,MATCH(MEDIÇÃO!R456,'LEV R&amp;D'!$A:$A,0))-INDEX('PROJETO PERFURAÇÃO'!$AH:$AH,MATCH(MEDIÇÃO!R456,'PROJETO PERFURAÇÃO'!$B:$B,0)),"")</f>
        <v/>
      </c>
      <c r="T456" s="8" t="str">
        <f>IFERROR(INDEX('PROJETO PERFURAÇÃO'!$AN:$AN,MATCH(MEDIÇÃO!R456,'PROJETO PERFURAÇÃO'!$B:$B,0)),"")</f>
        <v/>
      </c>
      <c r="U456" s="3"/>
      <c r="V456" s="3"/>
    </row>
    <row r="457" spans="2:22" ht="45" customHeight="1">
      <c r="B457" s="3" t="str">
        <f>IFERROR(ROUND(INDEX('PROJETO PERFURAÇÃO'!$AB:$AB,MATCH(MEDIÇÃO!D457,'PROJETO PERFURAÇÃO'!$B:$B,0)),1)&amp;"''","")</f>
        <v/>
      </c>
      <c r="C457" s="3" t="str">
        <f>IFERROR(IF(INDEX('PROJETO PERFURAÇÃO'!$P:$P,MATCH(MEDIÇÃO!D457,'PROJETO PERFURAÇÃO'!$B:$B,0))="Production","P",IF(INDEX('PROJETO PERFURAÇÃO'!$P:$P,MATCH(MEDIÇÃO!D457,'PROJETO PERFURAÇÃO'!$B:$B,0))="Buffer","B",IF(INDEX('PROJETO PERFURAÇÃO'!$P:$P,MATCH(MEDIÇÃO!D457,'PROJETO PERFURAÇÃO'!$B:$B,0))="Pre-Splitting","S"))),"")</f>
        <v/>
      </c>
      <c r="D457" s="14">
        <f t="shared" si="42"/>
        <v>985</v>
      </c>
      <c r="E457" s="4" t="str">
        <f>IFERROR(INDEX('LEV R&amp;D'!$D:$D,MATCH(MEDIÇÃO!D457,'LEV R&amp;D'!$A:$A,0))-INDEX('PROJETO PERFURAÇÃO'!$AH:$AH,MATCH(MEDIÇÃO!D457,'PROJETO PERFURAÇÃO'!$B:$B,0)),"")</f>
        <v/>
      </c>
      <c r="F457" s="8" t="str">
        <f>IFERROR(INDEX('PROJETO PERFURAÇÃO'!$AN:$AN,MATCH(MEDIÇÃO!D457,'PROJETO PERFURAÇÃO'!$B:$B,0)),"")</f>
        <v/>
      </c>
      <c r="G457" s="3"/>
      <c r="H457" s="3"/>
      <c r="I457" s="3" t="str">
        <f>IFERROR(ROUND(INDEX('PROJETO PERFURAÇÃO'!$AB:$AB,MATCH(MEDIÇÃO!K457,'PROJETO PERFURAÇÃO'!$B:$B,0)),1)&amp;"''","")</f>
        <v/>
      </c>
      <c r="J457" s="3" t="str">
        <f>IFERROR(IF(INDEX('PROJETO PERFURAÇÃO'!$P:$P,MATCH(MEDIÇÃO!K457,'PROJETO PERFURAÇÃO'!$B:$B,0))="Production","P",IF(INDEX('PROJETO PERFURAÇÃO'!$P:$P,MATCH(MEDIÇÃO!K457,'PROJETO PERFURAÇÃO'!$B:$B,0))="Buffer","B",IF(INDEX('PROJETO PERFURAÇÃO'!$P:$P,MATCH(MEDIÇÃO!K457,'PROJETO PERFURAÇÃO'!$B:$B,0))="Pre-Splitting","S"))),"")</f>
        <v/>
      </c>
      <c r="K457" s="14">
        <f t="shared" si="43"/>
        <v>1008</v>
      </c>
      <c r="L457" s="4" t="str">
        <f>IFERROR(INDEX('LEV R&amp;D'!$D:$D,MATCH(MEDIÇÃO!K457,'LEV R&amp;D'!$A:$A,0))-INDEX('PROJETO PERFURAÇÃO'!$AH:$AH,MATCH(MEDIÇÃO!K457,'PROJETO PERFURAÇÃO'!$B:$B,0)),"")</f>
        <v/>
      </c>
      <c r="M457" s="8" t="str">
        <f>IFERROR(INDEX('PROJETO PERFURAÇÃO'!$AN:$AN,MATCH(MEDIÇÃO!K457,'PROJETO PERFURAÇÃO'!$B:$B,0)),"")</f>
        <v/>
      </c>
      <c r="N457" s="3"/>
      <c r="O457" s="3"/>
      <c r="P457" s="3" t="str">
        <f>IFERROR(ROUND(INDEX('PROJETO PERFURAÇÃO'!$AB:$AB,MATCH(MEDIÇÃO!R457,'PROJETO PERFURAÇÃO'!$B:$B,0)),1)&amp;"''","")</f>
        <v/>
      </c>
      <c r="Q457" s="3" t="str">
        <f>IFERROR(IF(INDEX('PROJETO PERFURAÇÃO'!$P:$P,MATCH(MEDIÇÃO!R457,'PROJETO PERFURAÇÃO'!$B:$B,0))="Production","P",IF(INDEX('PROJETO PERFURAÇÃO'!$P:$P,MATCH(MEDIÇÃO!R457,'PROJETO PERFURAÇÃO'!$B:$B,0))="Buffer","B",IF(INDEX('PROJETO PERFURAÇÃO'!$P:$P,MATCH(MEDIÇÃO!R457,'PROJETO PERFURAÇÃO'!$B:$B,0))="Pre-Splitting","S"))),"")</f>
        <v/>
      </c>
      <c r="R457" s="14">
        <f t="shared" si="44"/>
        <v>1031</v>
      </c>
      <c r="S457" s="4" t="str">
        <f>IFERROR(INDEX('LEV R&amp;D'!$D:$D,MATCH(MEDIÇÃO!R457,'LEV R&amp;D'!$A:$A,0))-INDEX('PROJETO PERFURAÇÃO'!$AH:$AH,MATCH(MEDIÇÃO!R457,'PROJETO PERFURAÇÃO'!$B:$B,0)),"")</f>
        <v/>
      </c>
      <c r="T457" s="8" t="str">
        <f>IFERROR(INDEX('PROJETO PERFURAÇÃO'!$AN:$AN,MATCH(MEDIÇÃO!R457,'PROJETO PERFURAÇÃO'!$B:$B,0)),"")</f>
        <v/>
      </c>
      <c r="U457" s="3"/>
      <c r="V457" s="3"/>
    </row>
    <row r="458" spans="2:22" ht="45" customHeight="1">
      <c r="B458" s="3" t="str">
        <f>IFERROR(ROUND(INDEX('PROJETO PERFURAÇÃO'!$AB:$AB,MATCH(MEDIÇÃO!D458,'PROJETO PERFURAÇÃO'!$B:$B,0)),1)&amp;"''","")</f>
        <v/>
      </c>
      <c r="C458" s="3" t="str">
        <f>IFERROR(IF(INDEX('PROJETO PERFURAÇÃO'!$P:$P,MATCH(MEDIÇÃO!D458,'PROJETO PERFURAÇÃO'!$B:$B,0))="Production","P",IF(INDEX('PROJETO PERFURAÇÃO'!$P:$P,MATCH(MEDIÇÃO!D458,'PROJETO PERFURAÇÃO'!$B:$B,0))="Buffer","B",IF(INDEX('PROJETO PERFURAÇÃO'!$P:$P,MATCH(MEDIÇÃO!D458,'PROJETO PERFURAÇÃO'!$B:$B,0))="Pre-Splitting","S"))),"")</f>
        <v/>
      </c>
      <c r="D458" s="14">
        <f t="shared" si="42"/>
        <v>986</v>
      </c>
      <c r="E458" s="4" t="str">
        <f>IFERROR(INDEX('LEV R&amp;D'!$D:$D,MATCH(MEDIÇÃO!D458,'LEV R&amp;D'!$A:$A,0))-INDEX('PROJETO PERFURAÇÃO'!$AH:$AH,MATCH(MEDIÇÃO!D458,'PROJETO PERFURAÇÃO'!$B:$B,0)),"")</f>
        <v/>
      </c>
      <c r="F458" s="8" t="str">
        <f>IFERROR(INDEX('PROJETO PERFURAÇÃO'!$AN:$AN,MATCH(MEDIÇÃO!D458,'PROJETO PERFURAÇÃO'!$B:$B,0)),"")</f>
        <v/>
      </c>
      <c r="G458" s="3"/>
      <c r="H458" s="3"/>
      <c r="I458" s="3" t="str">
        <f>IFERROR(ROUND(INDEX('PROJETO PERFURAÇÃO'!$AB:$AB,MATCH(MEDIÇÃO!K458,'PROJETO PERFURAÇÃO'!$B:$B,0)),1)&amp;"''","")</f>
        <v/>
      </c>
      <c r="J458" s="3" t="str">
        <f>IFERROR(IF(INDEX('PROJETO PERFURAÇÃO'!$P:$P,MATCH(MEDIÇÃO!K458,'PROJETO PERFURAÇÃO'!$B:$B,0))="Production","P",IF(INDEX('PROJETO PERFURAÇÃO'!$P:$P,MATCH(MEDIÇÃO!K458,'PROJETO PERFURAÇÃO'!$B:$B,0))="Buffer","B",IF(INDEX('PROJETO PERFURAÇÃO'!$P:$P,MATCH(MEDIÇÃO!K458,'PROJETO PERFURAÇÃO'!$B:$B,0))="Pre-Splitting","S"))),"")</f>
        <v/>
      </c>
      <c r="K458" s="14">
        <f t="shared" si="43"/>
        <v>1009</v>
      </c>
      <c r="L458" s="4" t="str">
        <f>IFERROR(INDEX('LEV R&amp;D'!$D:$D,MATCH(MEDIÇÃO!K458,'LEV R&amp;D'!$A:$A,0))-INDEX('PROJETO PERFURAÇÃO'!$AH:$AH,MATCH(MEDIÇÃO!K458,'PROJETO PERFURAÇÃO'!$B:$B,0)),"")</f>
        <v/>
      </c>
      <c r="M458" s="8" t="str">
        <f>IFERROR(INDEX('PROJETO PERFURAÇÃO'!$AN:$AN,MATCH(MEDIÇÃO!K458,'PROJETO PERFURAÇÃO'!$B:$B,0)),"")</f>
        <v/>
      </c>
      <c r="N458" s="3"/>
      <c r="O458" s="3"/>
      <c r="P458" s="3" t="str">
        <f>IFERROR(ROUND(INDEX('PROJETO PERFURAÇÃO'!$AB:$AB,MATCH(MEDIÇÃO!R458,'PROJETO PERFURAÇÃO'!$B:$B,0)),1)&amp;"''","")</f>
        <v/>
      </c>
      <c r="Q458" s="3" t="str">
        <f>IFERROR(IF(INDEX('PROJETO PERFURAÇÃO'!$P:$P,MATCH(MEDIÇÃO!R458,'PROJETO PERFURAÇÃO'!$B:$B,0))="Production","P",IF(INDEX('PROJETO PERFURAÇÃO'!$P:$P,MATCH(MEDIÇÃO!R458,'PROJETO PERFURAÇÃO'!$B:$B,0))="Buffer","B",IF(INDEX('PROJETO PERFURAÇÃO'!$P:$P,MATCH(MEDIÇÃO!R458,'PROJETO PERFURAÇÃO'!$B:$B,0))="Pre-Splitting","S"))),"")</f>
        <v/>
      </c>
      <c r="R458" s="14">
        <f t="shared" si="44"/>
        <v>1032</v>
      </c>
      <c r="S458" s="4" t="str">
        <f>IFERROR(INDEX('LEV R&amp;D'!$D:$D,MATCH(MEDIÇÃO!R458,'LEV R&amp;D'!$A:$A,0))-INDEX('PROJETO PERFURAÇÃO'!$AH:$AH,MATCH(MEDIÇÃO!R458,'PROJETO PERFURAÇÃO'!$B:$B,0)),"")</f>
        <v/>
      </c>
      <c r="T458" s="8" t="str">
        <f>IFERROR(INDEX('PROJETO PERFURAÇÃO'!$AN:$AN,MATCH(MEDIÇÃO!R458,'PROJETO PERFURAÇÃO'!$B:$B,0)),"")</f>
        <v/>
      </c>
      <c r="U458" s="3"/>
      <c r="V458" s="3"/>
    </row>
    <row r="459" spans="2:22" ht="45" customHeight="1">
      <c r="B459" s="3" t="str">
        <f>IFERROR(ROUND(INDEX('PROJETO PERFURAÇÃO'!$AB:$AB,MATCH(MEDIÇÃO!D459,'PROJETO PERFURAÇÃO'!$B:$B,0)),1)&amp;"''","")</f>
        <v/>
      </c>
      <c r="C459" s="3" t="str">
        <f>IFERROR(IF(INDEX('PROJETO PERFURAÇÃO'!$P:$P,MATCH(MEDIÇÃO!D459,'PROJETO PERFURAÇÃO'!$B:$B,0))="Production","P",IF(INDEX('PROJETO PERFURAÇÃO'!$P:$P,MATCH(MEDIÇÃO!D459,'PROJETO PERFURAÇÃO'!$B:$B,0))="Buffer","B",IF(INDEX('PROJETO PERFURAÇÃO'!$P:$P,MATCH(MEDIÇÃO!D459,'PROJETO PERFURAÇÃO'!$B:$B,0))="Pre-Splitting","S"))),"")</f>
        <v/>
      </c>
      <c r="D459" s="14">
        <f t="shared" si="42"/>
        <v>987</v>
      </c>
      <c r="E459" s="4" t="str">
        <f>IFERROR(INDEX('LEV R&amp;D'!$D:$D,MATCH(MEDIÇÃO!D459,'LEV R&amp;D'!$A:$A,0))-INDEX('PROJETO PERFURAÇÃO'!$AH:$AH,MATCH(MEDIÇÃO!D459,'PROJETO PERFURAÇÃO'!$B:$B,0)),"")</f>
        <v/>
      </c>
      <c r="F459" s="8" t="str">
        <f>IFERROR(INDEX('PROJETO PERFURAÇÃO'!$AN:$AN,MATCH(MEDIÇÃO!D459,'PROJETO PERFURAÇÃO'!$B:$B,0)),"")</f>
        <v/>
      </c>
      <c r="G459" s="3"/>
      <c r="H459" s="3"/>
      <c r="I459" s="3" t="str">
        <f>IFERROR(ROUND(INDEX('PROJETO PERFURAÇÃO'!$AB:$AB,MATCH(MEDIÇÃO!K459,'PROJETO PERFURAÇÃO'!$B:$B,0)),1)&amp;"''","")</f>
        <v/>
      </c>
      <c r="J459" s="3" t="str">
        <f>IFERROR(IF(INDEX('PROJETO PERFURAÇÃO'!$P:$P,MATCH(MEDIÇÃO!K459,'PROJETO PERFURAÇÃO'!$B:$B,0))="Production","P",IF(INDEX('PROJETO PERFURAÇÃO'!$P:$P,MATCH(MEDIÇÃO!K459,'PROJETO PERFURAÇÃO'!$B:$B,0))="Buffer","B",IF(INDEX('PROJETO PERFURAÇÃO'!$P:$P,MATCH(MEDIÇÃO!K459,'PROJETO PERFURAÇÃO'!$B:$B,0))="Pre-Splitting","S"))),"")</f>
        <v/>
      </c>
      <c r="K459" s="14">
        <f t="shared" si="43"/>
        <v>1010</v>
      </c>
      <c r="L459" s="4" t="str">
        <f>IFERROR(INDEX('LEV R&amp;D'!$D:$D,MATCH(MEDIÇÃO!K459,'LEV R&amp;D'!$A:$A,0))-INDEX('PROJETO PERFURAÇÃO'!$AH:$AH,MATCH(MEDIÇÃO!K459,'PROJETO PERFURAÇÃO'!$B:$B,0)),"")</f>
        <v/>
      </c>
      <c r="M459" s="8" t="str">
        <f>IFERROR(INDEX('PROJETO PERFURAÇÃO'!$AN:$AN,MATCH(MEDIÇÃO!K459,'PROJETO PERFURAÇÃO'!$B:$B,0)),"")</f>
        <v/>
      </c>
      <c r="N459" s="3"/>
      <c r="O459" s="3"/>
      <c r="P459" s="3" t="str">
        <f>IFERROR(ROUND(INDEX('PROJETO PERFURAÇÃO'!$AB:$AB,MATCH(MEDIÇÃO!R459,'PROJETO PERFURAÇÃO'!$B:$B,0)),1)&amp;"''","")</f>
        <v/>
      </c>
      <c r="Q459" s="3" t="str">
        <f>IFERROR(IF(INDEX('PROJETO PERFURAÇÃO'!$P:$P,MATCH(MEDIÇÃO!R459,'PROJETO PERFURAÇÃO'!$B:$B,0))="Production","P",IF(INDEX('PROJETO PERFURAÇÃO'!$P:$P,MATCH(MEDIÇÃO!R459,'PROJETO PERFURAÇÃO'!$B:$B,0))="Buffer","B",IF(INDEX('PROJETO PERFURAÇÃO'!$P:$P,MATCH(MEDIÇÃO!R459,'PROJETO PERFURAÇÃO'!$B:$B,0))="Pre-Splitting","S"))),"")</f>
        <v/>
      </c>
      <c r="R459" s="14">
        <f t="shared" si="44"/>
        <v>1033</v>
      </c>
      <c r="S459" s="4" t="str">
        <f>IFERROR(INDEX('LEV R&amp;D'!$D:$D,MATCH(MEDIÇÃO!R459,'LEV R&amp;D'!$A:$A,0))-INDEX('PROJETO PERFURAÇÃO'!$AH:$AH,MATCH(MEDIÇÃO!R459,'PROJETO PERFURAÇÃO'!$B:$B,0)),"")</f>
        <v/>
      </c>
      <c r="T459" s="8" t="str">
        <f>IFERROR(INDEX('PROJETO PERFURAÇÃO'!$AN:$AN,MATCH(MEDIÇÃO!R459,'PROJETO PERFURAÇÃO'!$B:$B,0)),"")</f>
        <v/>
      </c>
      <c r="U459" s="3"/>
      <c r="V459" s="3"/>
    </row>
    <row r="460" spans="2:22" ht="45" customHeight="1">
      <c r="B460" s="3" t="str">
        <f>IFERROR(ROUND(INDEX('PROJETO PERFURAÇÃO'!$AB:$AB,MATCH(MEDIÇÃO!D460,'PROJETO PERFURAÇÃO'!$B:$B,0)),1)&amp;"''","")</f>
        <v/>
      </c>
      <c r="C460" s="3" t="str">
        <f>IFERROR(IF(INDEX('PROJETO PERFURAÇÃO'!$P:$P,MATCH(MEDIÇÃO!D460,'PROJETO PERFURAÇÃO'!$B:$B,0))="Production","P",IF(INDEX('PROJETO PERFURAÇÃO'!$P:$P,MATCH(MEDIÇÃO!D460,'PROJETO PERFURAÇÃO'!$B:$B,0))="Buffer","B",IF(INDEX('PROJETO PERFURAÇÃO'!$P:$P,MATCH(MEDIÇÃO!D460,'PROJETO PERFURAÇÃO'!$B:$B,0))="Pre-Splitting","S"))),"")</f>
        <v/>
      </c>
      <c r="D460" s="14">
        <f t="shared" si="42"/>
        <v>988</v>
      </c>
      <c r="E460" s="4" t="str">
        <f>IFERROR(INDEX('LEV R&amp;D'!$D:$D,MATCH(MEDIÇÃO!D460,'LEV R&amp;D'!$A:$A,0))-INDEX('PROJETO PERFURAÇÃO'!$AH:$AH,MATCH(MEDIÇÃO!D460,'PROJETO PERFURAÇÃO'!$B:$B,0)),"")</f>
        <v/>
      </c>
      <c r="F460" s="8" t="str">
        <f>IFERROR(INDEX('PROJETO PERFURAÇÃO'!$AN:$AN,MATCH(MEDIÇÃO!D460,'PROJETO PERFURAÇÃO'!$B:$B,0)),"")</f>
        <v/>
      </c>
      <c r="G460" s="3"/>
      <c r="H460" s="3"/>
      <c r="I460" s="3" t="str">
        <f>IFERROR(ROUND(INDEX('PROJETO PERFURAÇÃO'!$AB:$AB,MATCH(MEDIÇÃO!K460,'PROJETO PERFURAÇÃO'!$B:$B,0)),1)&amp;"''","")</f>
        <v/>
      </c>
      <c r="J460" s="3" t="str">
        <f>IFERROR(IF(INDEX('PROJETO PERFURAÇÃO'!$P:$P,MATCH(MEDIÇÃO!K460,'PROJETO PERFURAÇÃO'!$B:$B,0))="Production","P",IF(INDEX('PROJETO PERFURAÇÃO'!$P:$P,MATCH(MEDIÇÃO!K460,'PROJETO PERFURAÇÃO'!$B:$B,0))="Buffer","B",IF(INDEX('PROJETO PERFURAÇÃO'!$P:$P,MATCH(MEDIÇÃO!K460,'PROJETO PERFURAÇÃO'!$B:$B,0))="Pre-Splitting","S"))),"")</f>
        <v/>
      </c>
      <c r="K460" s="14">
        <f t="shared" si="43"/>
        <v>1011</v>
      </c>
      <c r="L460" s="4" t="str">
        <f>IFERROR(INDEX('LEV R&amp;D'!$D:$D,MATCH(MEDIÇÃO!K460,'LEV R&amp;D'!$A:$A,0))-INDEX('PROJETO PERFURAÇÃO'!$AH:$AH,MATCH(MEDIÇÃO!K460,'PROJETO PERFURAÇÃO'!$B:$B,0)),"")</f>
        <v/>
      </c>
      <c r="M460" s="8" t="str">
        <f>IFERROR(INDEX('PROJETO PERFURAÇÃO'!$AN:$AN,MATCH(MEDIÇÃO!K460,'PROJETO PERFURAÇÃO'!$B:$B,0)),"")</f>
        <v/>
      </c>
      <c r="N460" s="3"/>
      <c r="O460" s="3"/>
      <c r="P460" s="3" t="str">
        <f>IFERROR(ROUND(INDEX('PROJETO PERFURAÇÃO'!$AB:$AB,MATCH(MEDIÇÃO!R460,'PROJETO PERFURAÇÃO'!$B:$B,0)),1)&amp;"''","")</f>
        <v/>
      </c>
      <c r="Q460" s="3" t="str">
        <f>IFERROR(IF(INDEX('PROJETO PERFURAÇÃO'!$P:$P,MATCH(MEDIÇÃO!R460,'PROJETO PERFURAÇÃO'!$B:$B,0))="Production","P",IF(INDEX('PROJETO PERFURAÇÃO'!$P:$P,MATCH(MEDIÇÃO!R460,'PROJETO PERFURAÇÃO'!$B:$B,0))="Buffer","B",IF(INDEX('PROJETO PERFURAÇÃO'!$P:$P,MATCH(MEDIÇÃO!R460,'PROJETO PERFURAÇÃO'!$B:$B,0))="Pre-Splitting","S"))),"")</f>
        <v/>
      </c>
      <c r="R460" s="14">
        <f t="shared" si="44"/>
        <v>1034</v>
      </c>
      <c r="S460" s="4" t="str">
        <f>IFERROR(INDEX('LEV R&amp;D'!$D:$D,MATCH(MEDIÇÃO!R460,'LEV R&amp;D'!$A:$A,0))-INDEX('PROJETO PERFURAÇÃO'!$AH:$AH,MATCH(MEDIÇÃO!R460,'PROJETO PERFURAÇÃO'!$B:$B,0)),"")</f>
        <v/>
      </c>
      <c r="T460" s="8" t="str">
        <f>IFERROR(INDEX('PROJETO PERFURAÇÃO'!$AN:$AN,MATCH(MEDIÇÃO!R460,'PROJETO PERFURAÇÃO'!$B:$B,0)),"")</f>
        <v/>
      </c>
      <c r="U460" s="3"/>
      <c r="V460" s="3"/>
    </row>
    <row r="461" spans="2:22" ht="45" customHeight="1">
      <c r="B461" s="3" t="str">
        <f>IFERROR(ROUND(INDEX('PROJETO PERFURAÇÃO'!$AB:$AB,MATCH(MEDIÇÃO!D461,'PROJETO PERFURAÇÃO'!$B:$B,0)),1)&amp;"''","")</f>
        <v/>
      </c>
      <c r="C461" s="3" t="str">
        <f>IFERROR(IF(INDEX('PROJETO PERFURAÇÃO'!$P:$P,MATCH(MEDIÇÃO!D461,'PROJETO PERFURAÇÃO'!$B:$B,0))="Production","P",IF(INDEX('PROJETO PERFURAÇÃO'!$P:$P,MATCH(MEDIÇÃO!D461,'PROJETO PERFURAÇÃO'!$B:$B,0))="Buffer","B",IF(INDEX('PROJETO PERFURAÇÃO'!$P:$P,MATCH(MEDIÇÃO!D461,'PROJETO PERFURAÇÃO'!$B:$B,0))="Pre-Splitting","S"))),"")</f>
        <v/>
      </c>
      <c r="D461" s="14">
        <f>D460+1</f>
        <v>989</v>
      </c>
      <c r="E461" s="4" t="str">
        <f>IFERROR(INDEX('LEV R&amp;D'!$D:$D,MATCH(MEDIÇÃO!D461,'LEV R&amp;D'!$A:$A,0))-INDEX('PROJETO PERFURAÇÃO'!$AH:$AH,MATCH(MEDIÇÃO!D461,'PROJETO PERFURAÇÃO'!$B:$B,0)),"")</f>
        <v/>
      </c>
      <c r="F461" s="8" t="str">
        <f>IFERROR(INDEX('PROJETO PERFURAÇÃO'!$AN:$AN,MATCH(MEDIÇÃO!D461,'PROJETO PERFURAÇÃO'!$B:$B,0)),"")</f>
        <v/>
      </c>
      <c r="G461" s="3"/>
      <c r="H461" s="3"/>
      <c r="I461" s="3" t="str">
        <f>IFERROR(ROUND(INDEX('PROJETO PERFURAÇÃO'!$AB:$AB,MATCH(MEDIÇÃO!K461,'PROJETO PERFURAÇÃO'!$B:$B,0)),1)&amp;"''","")</f>
        <v/>
      </c>
      <c r="J461" s="3" t="str">
        <f>IFERROR(IF(INDEX('PROJETO PERFURAÇÃO'!$P:$P,MATCH(MEDIÇÃO!K461,'PROJETO PERFURAÇÃO'!$B:$B,0))="Production","P",IF(INDEX('PROJETO PERFURAÇÃO'!$P:$P,MATCH(MEDIÇÃO!K461,'PROJETO PERFURAÇÃO'!$B:$B,0))="Buffer","B",IF(INDEX('PROJETO PERFURAÇÃO'!$P:$P,MATCH(MEDIÇÃO!K461,'PROJETO PERFURAÇÃO'!$B:$B,0))="Pre-Splitting","S"))),"")</f>
        <v/>
      </c>
      <c r="K461" s="14">
        <f>K460+1</f>
        <v>1012</v>
      </c>
      <c r="L461" s="4" t="str">
        <f>IFERROR(INDEX('LEV R&amp;D'!$D:$D,MATCH(MEDIÇÃO!K461,'LEV R&amp;D'!$A:$A,0))-INDEX('PROJETO PERFURAÇÃO'!$AH:$AH,MATCH(MEDIÇÃO!K461,'PROJETO PERFURAÇÃO'!$B:$B,0)),"")</f>
        <v/>
      </c>
      <c r="M461" s="8" t="str">
        <f>IFERROR(INDEX('PROJETO PERFURAÇÃO'!$AN:$AN,MATCH(MEDIÇÃO!K461,'PROJETO PERFURAÇÃO'!$B:$B,0)),"")</f>
        <v/>
      </c>
      <c r="N461" s="3"/>
      <c r="O461" s="3"/>
      <c r="P461" s="3" t="str">
        <f>IFERROR(ROUND(INDEX('PROJETO PERFURAÇÃO'!$AB:$AB,MATCH(MEDIÇÃO!R461,'PROJETO PERFURAÇÃO'!$B:$B,0)),1)&amp;"''","")</f>
        <v/>
      </c>
      <c r="Q461" s="3" t="str">
        <f>IFERROR(IF(INDEX('PROJETO PERFURAÇÃO'!$P:$P,MATCH(MEDIÇÃO!R461,'PROJETO PERFURAÇÃO'!$B:$B,0))="Production","P",IF(INDEX('PROJETO PERFURAÇÃO'!$P:$P,MATCH(MEDIÇÃO!R461,'PROJETO PERFURAÇÃO'!$B:$B,0))="Buffer","B",IF(INDEX('PROJETO PERFURAÇÃO'!$P:$P,MATCH(MEDIÇÃO!R461,'PROJETO PERFURAÇÃO'!$B:$B,0))="Pre-Splitting","S"))),"")</f>
        <v/>
      </c>
      <c r="R461" s="14">
        <f>R460+1</f>
        <v>1035</v>
      </c>
      <c r="S461" s="4" t="str">
        <f>IFERROR(INDEX('LEV R&amp;D'!$D:$D,MATCH(MEDIÇÃO!R461,'LEV R&amp;D'!$A:$A,0))-INDEX('PROJETO PERFURAÇÃO'!$AH:$AH,MATCH(MEDIÇÃO!R461,'PROJETO PERFURAÇÃO'!$B:$B,0)),"")</f>
        <v/>
      </c>
      <c r="T461" s="8" t="str">
        <f>IFERROR(INDEX('PROJETO PERFURAÇÃO'!$AN:$AN,MATCH(MEDIÇÃO!R461,'PROJETO PERFURAÇÃO'!$B:$B,0)),"")</f>
        <v/>
      </c>
      <c r="U461" s="3"/>
      <c r="V461" s="3"/>
    </row>
    <row r="462" spans="2:22" ht="30" customHeight="1">
      <c r="B462" s="1"/>
      <c r="C462" s="1"/>
      <c r="D462" s="15"/>
      <c r="E462" s="2"/>
      <c r="F462" s="16"/>
      <c r="G462" s="1"/>
      <c r="H462" s="1"/>
      <c r="I462" s="1"/>
      <c r="J462" s="1"/>
      <c r="K462" s="15"/>
      <c r="L462" s="2"/>
      <c r="M462" s="16"/>
      <c r="N462" s="1"/>
      <c r="O462" s="1"/>
      <c r="P462" s="1"/>
      <c r="Q462" s="1"/>
      <c r="R462" s="15"/>
      <c r="S462" s="2"/>
      <c r="T462" s="16"/>
      <c r="U462" s="1"/>
      <c r="V462" s="1"/>
    </row>
    <row r="463" spans="2:22" ht="30" customHeight="1">
      <c r="C463" s="20"/>
      <c r="D463" s="20"/>
      <c r="E463" s="20"/>
      <c r="F463" s="20"/>
      <c r="G463" s="20"/>
      <c r="H463" s="20"/>
      <c r="I463" s="20"/>
      <c r="J463" s="20"/>
      <c r="K463" s="20"/>
      <c r="M463" s="20"/>
      <c r="N463" s="20"/>
      <c r="O463" s="20"/>
      <c r="P463" s="20"/>
      <c r="Q463" s="20"/>
      <c r="R463" s="20"/>
      <c r="S463" s="20"/>
      <c r="T463" s="20"/>
      <c r="U463" s="20"/>
    </row>
    <row r="464" spans="2:22" ht="30" customHeight="1">
      <c r="C464" s="21" t="s">
        <v>40</v>
      </c>
      <c r="D464" s="21"/>
      <c r="E464" s="21"/>
      <c r="F464" s="21"/>
      <c r="G464" s="21"/>
      <c r="H464" s="21"/>
      <c r="I464" s="21"/>
      <c r="J464" s="21"/>
      <c r="K464" s="21"/>
      <c r="L464" s="9"/>
      <c r="M464" s="21" t="s">
        <v>40</v>
      </c>
      <c r="N464" s="21"/>
      <c r="O464" s="21"/>
      <c r="P464" s="21"/>
      <c r="Q464" s="21"/>
      <c r="R464" s="21"/>
      <c r="S464" s="21"/>
      <c r="T464" s="21"/>
      <c r="U464" s="21"/>
      <c r="V464" s="9"/>
    </row>
    <row r="465" spans="1:23" ht="30" customHeight="1">
      <c r="D465" s="9"/>
      <c r="E465" s="9"/>
      <c r="F465" s="9"/>
      <c r="G465" s="9"/>
      <c r="H465" s="9"/>
      <c r="I465" s="9"/>
      <c r="J465" s="9"/>
      <c r="K465" s="9"/>
      <c r="L465" s="9"/>
      <c r="M465" s="9"/>
      <c r="N465" s="9"/>
      <c r="Q465" s="9"/>
      <c r="R465" s="9"/>
      <c r="S465" s="9"/>
      <c r="T465" s="9"/>
      <c r="U465" s="9"/>
      <c r="V465" s="9"/>
    </row>
    <row r="466" spans="1:23" ht="30" customHeight="1">
      <c r="B466" s="19" t="str">
        <f>'PROJETO PERFURAÇÃO'!$C$2&amp;" - "&amp;'PROJETO PERFURAÇÃO'!$H$2</f>
        <v>LIB037 - PP0370626</v>
      </c>
      <c r="C466" s="19"/>
      <c r="D466" s="19"/>
      <c r="E466" s="19"/>
      <c r="F466" s="19"/>
      <c r="G466" s="19"/>
      <c r="H466" s="19"/>
      <c r="I466" s="11" t="s">
        <v>34</v>
      </c>
      <c r="J466" s="10" t="s">
        <v>37</v>
      </c>
    </row>
    <row r="467" spans="1:23" ht="30" customHeight="1">
      <c r="B467" s="19"/>
      <c r="C467" s="19"/>
      <c r="D467" s="19"/>
      <c r="E467" s="19"/>
      <c r="F467" s="19"/>
      <c r="G467" s="19"/>
      <c r="H467" s="19"/>
      <c r="I467" s="12" t="s">
        <v>35</v>
      </c>
      <c r="J467" s="10" t="s">
        <v>38</v>
      </c>
      <c r="K467" s="9"/>
      <c r="L467" s="9"/>
      <c r="M467" s="9"/>
      <c r="N467" s="9"/>
      <c r="O467" s="9"/>
      <c r="P467" s="9"/>
      <c r="Q467" s="9"/>
      <c r="R467" s="9"/>
      <c r="S467" s="9"/>
      <c r="T467" s="9"/>
      <c r="U467" s="9"/>
      <c r="V467" s="9"/>
    </row>
    <row r="468" spans="1:23" ht="30" customHeight="1">
      <c r="B468" s="19"/>
      <c r="C468" s="19"/>
      <c r="D468" s="19"/>
      <c r="E468" s="19"/>
      <c r="F468" s="19"/>
      <c r="G468" s="19"/>
      <c r="H468" s="19"/>
      <c r="I468" s="13" t="s">
        <v>36</v>
      </c>
      <c r="J468" s="10" t="s">
        <v>39</v>
      </c>
    </row>
    <row r="469" spans="1:23" ht="30" customHeight="1">
      <c r="A469" s="1"/>
      <c r="B469" s="6" t="s">
        <v>33</v>
      </c>
      <c r="C469" s="6" t="s">
        <v>13</v>
      </c>
      <c r="D469" s="7" t="s">
        <v>1</v>
      </c>
      <c r="E469" s="7" t="s">
        <v>29</v>
      </c>
      <c r="F469" s="7" t="s">
        <v>30</v>
      </c>
      <c r="G469" s="7" t="s">
        <v>31</v>
      </c>
      <c r="H469" s="7" t="s">
        <v>32</v>
      </c>
      <c r="I469" s="6" t="s">
        <v>33</v>
      </c>
      <c r="J469" s="6" t="s">
        <v>13</v>
      </c>
      <c r="K469" s="7" t="s">
        <v>1</v>
      </c>
      <c r="L469" s="7" t="s">
        <v>29</v>
      </c>
      <c r="M469" s="7" t="s">
        <v>30</v>
      </c>
      <c r="N469" s="7" t="s">
        <v>31</v>
      </c>
      <c r="O469" s="7" t="s">
        <v>32</v>
      </c>
      <c r="P469" s="6" t="s">
        <v>33</v>
      </c>
      <c r="Q469" s="6" t="s">
        <v>13</v>
      </c>
      <c r="R469" s="7" t="s">
        <v>1</v>
      </c>
      <c r="S469" s="7" t="s">
        <v>29</v>
      </c>
      <c r="T469" s="7" t="s">
        <v>30</v>
      </c>
      <c r="U469" s="7" t="s">
        <v>31</v>
      </c>
      <c r="V469" s="7" t="s">
        <v>32</v>
      </c>
      <c r="W469" s="1"/>
    </row>
    <row r="470" spans="1:23" ht="45" customHeight="1">
      <c r="B470" s="3" t="str">
        <f>IFERROR(ROUND(INDEX('PROJETO PERFURAÇÃO'!$AB:$AB,MATCH(MEDIÇÃO!D470,'PROJETO PERFURAÇÃO'!$B:$B,0)),1)&amp;"''","")</f>
        <v/>
      </c>
      <c r="C470" s="3" t="str">
        <f>IFERROR(IF(INDEX('PROJETO PERFURAÇÃO'!$P:$P,MATCH(MEDIÇÃO!D470,'PROJETO PERFURAÇÃO'!$B:$B,0))="Production","P",IF(INDEX('PROJETO PERFURAÇÃO'!$P:$P,MATCH(MEDIÇÃO!D470,'PROJETO PERFURAÇÃO'!$B:$B,0))="Buffer","B",IF(INDEX('PROJETO PERFURAÇÃO'!$P:$P,MATCH(MEDIÇÃO!D470,'PROJETO PERFURAÇÃO'!$B:$B,0))="Pre-Splitting","S"))),"")</f>
        <v/>
      </c>
      <c r="D470" s="14">
        <f>R461+1</f>
        <v>1036</v>
      </c>
      <c r="E470" s="4" t="str">
        <f>IFERROR(INDEX('LEV R&amp;D'!$D:$D,MATCH(MEDIÇÃO!D470,'LEV R&amp;D'!$A:$A,0))-INDEX('PROJETO PERFURAÇÃO'!$AH:$AH,MATCH(MEDIÇÃO!D470,'PROJETO PERFURAÇÃO'!$B:$B,0)),"")</f>
        <v/>
      </c>
      <c r="F470" s="8" t="str">
        <f>IFERROR(INDEX('PROJETO PERFURAÇÃO'!$AN:$AN,MATCH(MEDIÇÃO!D470,'PROJETO PERFURAÇÃO'!$B:$B,0)),"")</f>
        <v/>
      </c>
      <c r="G470" s="3"/>
      <c r="H470" s="3"/>
      <c r="I470" s="3" t="str">
        <f>IFERROR(ROUND(INDEX('PROJETO PERFURAÇÃO'!$AB:$AB,MATCH(MEDIÇÃO!K470,'PROJETO PERFURAÇÃO'!$B:$B,0)),1)&amp;"''","")</f>
        <v/>
      </c>
      <c r="J470" s="3" t="str">
        <f>IFERROR(IF(INDEX('PROJETO PERFURAÇÃO'!$P:$P,MATCH(MEDIÇÃO!K470,'PROJETO PERFURAÇÃO'!$B:$B,0))="Production","P",IF(INDEX('PROJETO PERFURAÇÃO'!$P:$P,MATCH(MEDIÇÃO!K470,'PROJETO PERFURAÇÃO'!$B:$B,0))="Buffer","B",IF(INDEX('PROJETO PERFURAÇÃO'!$P:$P,MATCH(MEDIÇÃO!K470,'PROJETO PERFURAÇÃO'!$B:$B,0))="Pre-Splitting","S"))),"")</f>
        <v/>
      </c>
      <c r="K470" s="14">
        <f>D492+1</f>
        <v>1059</v>
      </c>
      <c r="L470" s="4" t="str">
        <f>IFERROR(INDEX('LEV R&amp;D'!$D:$D,MATCH(MEDIÇÃO!K470,'LEV R&amp;D'!$A:$A,0))-INDEX('PROJETO PERFURAÇÃO'!$AH:$AH,MATCH(MEDIÇÃO!K470,'PROJETO PERFURAÇÃO'!$B:$B,0)),"")</f>
        <v/>
      </c>
      <c r="M470" s="8" t="str">
        <f>IFERROR(INDEX('PROJETO PERFURAÇÃO'!$AN:$AN,MATCH(MEDIÇÃO!K470,'PROJETO PERFURAÇÃO'!$B:$B,0)),"")</f>
        <v/>
      </c>
      <c r="N470" s="3"/>
      <c r="O470" s="3"/>
      <c r="P470" s="3" t="str">
        <f>IFERROR(ROUND(INDEX('PROJETO PERFURAÇÃO'!$AB:$AB,MATCH(MEDIÇÃO!R470,'PROJETO PERFURAÇÃO'!$B:$B,0)),1)&amp;"''","")</f>
        <v/>
      </c>
      <c r="Q470" s="3" t="str">
        <f>IFERROR(IF(INDEX('PROJETO PERFURAÇÃO'!$P:$P,MATCH(MEDIÇÃO!R470,'PROJETO PERFURAÇÃO'!$B:$B,0))="Production","P",IF(INDEX('PROJETO PERFURAÇÃO'!$P:$P,MATCH(MEDIÇÃO!R470,'PROJETO PERFURAÇÃO'!$B:$B,0))="Buffer","B",IF(INDEX('PROJETO PERFURAÇÃO'!$P:$P,MATCH(MEDIÇÃO!R470,'PROJETO PERFURAÇÃO'!$B:$B,0))="Pre-Splitting","S"))),"")</f>
        <v/>
      </c>
      <c r="R470" s="14">
        <f>K492+1</f>
        <v>1082</v>
      </c>
      <c r="S470" s="4" t="str">
        <f>IFERROR(INDEX('LEV R&amp;D'!$D:$D,MATCH(MEDIÇÃO!R470,'LEV R&amp;D'!$A:$A,0))-INDEX('PROJETO PERFURAÇÃO'!$AH:$AH,MATCH(MEDIÇÃO!R470,'PROJETO PERFURAÇÃO'!$B:$B,0)),"")</f>
        <v/>
      </c>
      <c r="T470" s="8" t="str">
        <f>IFERROR(INDEX('PROJETO PERFURAÇÃO'!$AN:$AN,MATCH(MEDIÇÃO!R470,'PROJETO PERFURAÇÃO'!$B:$B,0)),"")</f>
        <v/>
      </c>
      <c r="U470" s="3"/>
      <c r="V470" s="3"/>
    </row>
    <row r="471" spans="1:23" ht="45" customHeight="1">
      <c r="B471" s="3" t="str">
        <f>IFERROR(ROUND(INDEX('PROJETO PERFURAÇÃO'!$AB:$AB,MATCH(MEDIÇÃO!D471,'PROJETO PERFURAÇÃO'!$B:$B,0)),1)&amp;"''","")</f>
        <v/>
      </c>
      <c r="C471" s="3" t="str">
        <f>IFERROR(IF(INDEX('PROJETO PERFURAÇÃO'!$P:$P,MATCH(MEDIÇÃO!D471,'PROJETO PERFURAÇÃO'!$B:$B,0))="Production","P",IF(INDEX('PROJETO PERFURAÇÃO'!$P:$P,MATCH(MEDIÇÃO!D471,'PROJETO PERFURAÇÃO'!$B:$B,0))="Buffer","B",IF(INDEX('PROJETO PERFURAÇÃO'!$P:$P,MATCH(MEDIÇÃO!D471,'PROJETO PERFURAÇÃO'!$B:$B,0))="Pre-Splitting","S"))),"")</f>
        <v/>
      </c>
      <c r="D471" s="14">
        <f>D470+1</f>
        <v>1037</v>
      </c>
      <c r="E471" s="4" t="str">
        <f>IFERROR(INDEX('LEV R&amp;D'!$D:$D,MATCH(MEDIÇÃO!D471,'LEV R&amp;D'!$A:$A,0))-INDEX('PROJETO PERFURAÇÃO'!$AH:$AH,MATCH(MEDIÇÃO!D471,'PROJETO PERFURAÇÃO'!$B:$B,0)),"")</f>
        <v/>
      </c>
      <c r="F471" s="8" t="str">
        <f>IFERROR(INDEX('PROJETO PERFURAÇÃO'!$AN:$AN,MATCH(MEDIÇÃO!D471,'PROJETO PERFURAÇÃO'!$B:$B,0)),"")</f>
        <v/>
      </c>
      <c r="G471" s="3"/>
      <c r="H471" s="3"/>
      <c r="I471" s="3" t="str">
        <f>IFERROR(ROUND(INDEX('PROJETO PERFURAÇÃO'!$AB:$AB,MATCH(MEDIÇÃO!K471,'PROJETO PERFURAÇÃO'!$B:$B,0)),1)&amp;"''","")</f>
        <v/>
      </c>
      <c r="J471" s="3" t="str">
        <f>IFERROR(IF(INDEX('PROJETO PERFURAÇÃO'!$P:$P,MATCH(MEDIÇÃO!K471,'PROJETO PERFURAÇÃO'!$B:$B,0))="Production","P",IF(INDEX('PROJETO PERFURAÇÃO'!$P:$P,MATCH(MEDIÇÃO!K471,'PROJETO PERFURAÇÃO'!$B:$B,0))="Buffer","B",IF(INDEX('PROJETO PERFURAÇÃO'!$P:$P,MATCH(MEDIÇÃO!K471,'PROJETO PERFURAÇÃO'!$B:$B,0))="Pre-Splitting","S"))),"")</f>
        <v/>
      </c>
      <c r="K471" s="14">
        <f>K470+1</f>
        <v>1060</v>
      </c>
      <c r="L471" s="4" t="str">
        <f>IFERROR(INDEX('LEV R&amp;D'!$D:$D,MATCH(MEDIÇÃO!K471,'LEV R&amp;D'!$A:$A,0))-INDEX('PROJETO PERFURAÇÃO'!$AH:$AH,MATCH(MEDIÇÃO!K471,'PROJETO PERFURAÇÃO'!$B:$B,0)),"")</f>
        <v/>
      </c>
      <c r="M471" s="8" t="str">
        <f>IFERROR(INDEX('PROJETO PERFURAÇÃO'!$AN:$AN,MATCH(MEDIÇÃO!K471,'PROJETO PERFURAÇÃO'!$B:$B,0)),"")</f>
        <v/>
      </c>
      <c r="N471" s="3"/>
      <c r="O471" s="3"/>
      <c r="P471" s="3" t="str">
        <f>IFERROR(ROUND(INDEX('PROJETO PERFURAÇÃO'!$AB:$AB,MATCH(MEDIÇÃO!R471,'PROJETO PERFURAÇÃO'!$B:$B,0)),1)&amp;"''","")</f>
        <v/>
      </c>
      <c r="Q471" s="3" t="str">
        <f>IFERROR(IF(INDEX('PROJETO PERFURAÇÃO'!$P:$P,MATCH(MEDIÇÃO!R471,'PROJETO PERFURAÇÃO'!$B:$B,0))="Production","P",IF(INDEX('PROJETO PERFURAÇÃO'!$P:$P,MATCH(MEDIÇÃO!R471,'PROJETO PERFURAÇÃO'!$B:$B,0))="Buffer","B",IF(INDEX('PROJETO PERFURAÇÃO'!$P:$P,MATCH(MEDIÇÃO!R471,'PROJETO PERFURAÇÃO'!$B:$B,0))="Pre-Splitting","S"))),"")</f>
        <v/>
      </c>
      <c r="R471" s="14">
        <f>R470+1</f>
        <v>1083</v>
      </c>
      <c r="S471" s="4" t="str">
        <f>IFERROR(INDEX('LEV R&amp;D'!$D:$D,MATCH(MEDIÇÃO!R471,'LEV R&amp;D'!$A:$A,0))-INDEX('PROJETO PERFURAÇÃO'!$AH:$AH,MATCH(MEDIÇÃO!R471,'PROJETO PERFURAÇÃO'!$B:$B,0)),"")</f>
        <v/>
      </c>
      <c r="T471" s="8" t="str">
        <f>IFERROR(INDEX('PROJETO PERFURAÇÃO'!$AN:$AN,MATCH(MEDIÇÃO!R471,'PROJETO PERFURAÇÃO'!$B:$B,0)),"")</f>
        <v/>
      </c>
      <c r="U471" s="3"/>
      <c r="V471" s="3"/>
    </row>
    <row r="472" spans="1:23" ht="45" customHeight="1">
      <c r="B472" s="3" t="str">
        <f>IFERROR(ROUND(INDEX('PROJETO PERFURAÇÃO'!$AB:$AB,MATCH(MEDIÇÃO!D472,'PROJETO PERFURAÇÃO'!$B:$B,0)),1)&amp;"''","")</f>
        <v/>
      </c>
      <c r="C472" s="3" t="str">
        <f>IFERROR(IF(INDEX('PROJETO PERFURAÇÃO'!$P:$P,MATCH(MEDIÇÃO!D472,'PROJETO PERFURAÇÃO'!$B:$B,0))="Production","P",IF(INDEX('PROJETO PERFURAÇÃO'!$P:$P,MATCH(MEDIÇÃO!D472,'PROJETO PERFURAÇÃO'!$B:$B,0))="Buffer","B",IF(INDEX('PROJETO PERFURAÇÃO'!$P:$P,MATCH(MEDIÇÃO!D472,'PROJETO PERFURAÇÃO'!$B:$B,0))="Pre-Splitting","S"))),"")</f>
        <v/>
      </c>
      <c r="D472" s="14">
        <f t="shared" ref="D472:D491" si="45">D471+1</f>
        <v>1038</v>
      </c>
      <c r="E472" s="4" t="str">
        <f>IFERROR(INDEX('LEV R&amp;D'!$D:$D,MATCH(MEDIÇÃO!D472,'LEV R&amp;D'!$A:$A,0))-INDEX('PROJETO PERFURAÇÃO'!$AH:$AH,MATCH(MEDIÇÃO!D472,'PROJETO PERFURAÇÃO'!$B:$B,0)),"")</f>
        <v/>
      </c>
      <c r="F472" s="8" t="str">
        <f>IFERROR(INDEX('PROJETO PERFURAÇÃO'!$AN:$AN,MATCH(MEDIÇÃO!D472,'PROJETO PERFURAÇÃO'!$B:$B,0)),"")</f>
        <v/>
      </c>
      <c r="G472" s="3"/>
      <c r="H472" s="3"/>
      <c r="I472" s="3" t="str">
        <f>IFERROR(ROUND(INDEX('PROJETO PERFURAÇÃO'!$AB:$AB,MATCH(MEDIÇÃO!K472,'PROJETO PERFURAÇÃO'!$B:$B,0)),1)&amp;"''","")</f>
        <v/>
      </c>
      <c r="J472" s="3" t="str">
        <f>IFERROR(IF(INDEX('PROJETO PERFURAÇÃO'!$P:$P,MATCH(MEDIÇÃO!K472,'PROJETO PERFURAÇÃO'!$B:$B,0))="Production","P",IF(INDEX('PROJETO PERFURAÇÃO'!$P:$P,MATCH(MEDIÇÃO!K472,'PROJETO PERFURAÇÃO'!$B:$B,0))="Buffer","B",IF(INDEX('PROJETO PERFURAÇÃO'!$P:$P,MATCH(MEDIÇÃO!K472,'PROJETO PERFURAÇÃO'!$B:$B,0))="Pre-Splitting","S"))),"")</f>
        <v/>
      </c>
      <c r="K472" s="14">
        <f t="shared" ref="K472:K491" si="46">K471+1</f>
        <v>1061</v>
      </c>
      <c r="L472" s="4" t="str">
        <f>IFERROR(INDEX('LEV R&amp;D'!$D:$D,MATCH(MEDIÇÃO!K472,'LEV R&amp;D'!$A:$A,0))-INDEX('PROJETO PERFURAÇÃO'!$AH:$AH,MATCH(MEDIÇÃO!K472,'PROJETO PERFURAÇÃO'!$B:$B,0)),"")</f>
        <v/>
      </c>
      <c r="M472" s="8" t="str">
        <f>IFERROR(INDEX('PROJETO PERFURAÇÃO'!$AN:$AN,MATCH(MEDIÇÃO!K472,'PROJETO PERFURAÇÃO'!$B:$B,0)),"")</f>
        <v/>
      </c>
      <c r="N472" s="3"/>
      <c r="O472" s="3"/>
      <c r="P472" s="3" t="str">
        <f>IFERROR(ROUND(INDEX('PROJETO PERFURAÇÃO'!$AB:$AB,MATCH(MEDIÇÃO!R472,'PROJETO PERFURAÇÃO'!$B:$B,0)),1)&amp;"''","")</f>
        <v/>
      </c>
      <c r="Q472" s="3" t="str">
        <f>IFERROR(IF(INDEX('PROJETO PERFURAÇÃO'!$P:$P,MATCH(MEDIÇÃO!R472,'PROJETO PERFURAÇÃO'!$B:$B,0))="Production","P",IF(INDEX('PROJETO PERFURAÇÃO'!$P:$P,MATCH(MEDIÇÃO!R472,'PROJETO PERFURAÇÃO'!$B:$B,0))="Buffer","B",IF(INDEX('PROJETO PERFURAÇÃO'!$P:$P,MATCH(MEDIÇÃO!R472,'PROJETO PERFURAÇÃO'!$B:$B,0))="Pre-Splitting","S"))),"")</f>
        <v/>
      </c>
      <c r="R472" s="14">
        <f t="shared" ref="R472:R491" si="47">R471+1</f>
        <v>1084</v>
      </c>
      <c r="S472" s="4" t="str">
        <f>IFERROR(INDEX('LEV R&amp;D'!$D:$D,MATCH(MEDIÇÃO!R472,'LEV R&amp;D'!$A:$A,0))-INDEX('PROJETO PERFURAÇÃO'!$AH:$AH,MATCH(MEDIÇÃO!R472,'PROJETO PERFURAÇÃO'!$B:$B,0)),"")</f>
        <v/>
      </c>
      <c r="T472" s="8" t="str">
        <f>IFERROR(INDEX('PROJETO PERFURAÇÃO'!$AN:$AN,MATCH(MEDIÇÃO!R472,'PROJETO PERFURAÇÃO'!$B:$B,0)),"")</f>
        <v/>
      </c>
      <c r="U472" s="3"/>
      <c r="V472" s="3"/>
    </row>
    <row r="473" spans="1:23" ht="45" customHeight="1">
      <c r="B473" s="3" t="str">
        <f>IFERROR(ROUND(INDEX('PROJETO PERFURAÇÃO'!$AB:$AB,MATCH(MEDIÇÃO!D473,'PROJETO PERFURAÇÃO'!$B:$B,0)),1)&amp;"''","")</f>
        <v/>
      </c>
      <c r="C473" s="3" t="str">
        <f>IFERROR(IF(INDEX('PROJETO PERFURAÇÃO'!$P:$P,MATCH(MEDIÇÃO!D473,'PROJETO PERFURAÇÃO'!$B:$B,0))="Production","P",IF(INDEX('PROJETO PERFURAÇÃO'!$P:$P,MATCH(MEDIÇÃO!D473,'PROJETO PERFURAÇÃO'!$B:$B,0))="Buffer","B",IF(INDEX('PROJETO PERFURAÇÃO'!$P:$P,MATCH(MEDIÇÃO!D473,'PROJETO PERFURAÇÃO'!$B:$B,0))="Pre-Splitting","S"))),"")</f>
        <v/>
      </c>
      <c r="D473" s="14">
        <f t="shared" si="45"/>
        <v>1039</v>
      </c>
      <c r="E473" s="4" t="str">
        <f>IFERROR(INDEX('LEV R&amp;D'!$D:$D,MATCH(MEDIÇÃO!D473,'LEV R&amp;D'!$A:$A,0))-INDEX('PROJETO PERFURAÇÃO'!$AH:$AH,MATCH(MEDIÇÃO!D473,'PROJETO PERFURAÇÃO'!$B:$B,0)),"")</f>
        <v/>
      </c>
      <c r="F473" s="8" t="str">
        <f>IFERROR(INDEX('PROJETO PERFURAÇÃO'!$AN:$AN,MATCH(MEDIÇÃO!D473,'PROJETO PERFURAÇÃO'!$B:$B,0)),"")</f>
        <v/>
      </c>
      <c r="G473" s="3"/>
      <c r="H473" s="3"/>
      <c r="I473" s="3" t="str">
        <f>IFERROR(ROUND(INDEX('PROJETO PERFURAÇÃO'!$AB:$AB,MATCH(MEDIÇÃO!K473,'PROJETO PERFURAÇÃO'!$B:$B,0)),1)&amp;"''","")</f>
        <v/>
      </c>
      <c r="J473" s="3" t="str">
        <f>IFERROR(IF(INDEX('PROJETO PERFURAÇÃO'!$P:$P,MATCH(MEDIÇÃO!K473,'PROJETO PERFURAÇÃO'!$B:$B,0))="Production","P",IF(INDEX('PROJETO PERFURAÇÃO'!$P:$P,MATCH(MEDIÇÃO!K473,'PROJETO PERFURAÇÃO'!$B:$B,0))="Buffer","B",IF(INDEX('PROJETO PERFURAÇÃO'!$P:$P,MATCH(MEDIÇÃO!K473,'PROJETO PERFURAÇÃO'!$B:$B,0))="Pre-Splitting","S"))),"")</f>
        <v/>
      </c>
      <c r="K473" s="14">
        <f t="shared" si="46"/>
        <v>1062</v>
      </c>
      <c r="L473" s="4" t="str">
        <f>IFERROR(INDEX('LEV R&amp;D'!$D:$D,MATCH(MEDIÇÃO!K473,'LEV R&amp;D'!$A:$A,0))-INDEX('PROJETO PERFURAÇÃO'!$AH:$AH,MATCH(MEDIÇÃO!K473,'PROJETO PERFURAÇÃO'!$B:$B,0)),"")</f>
        <v/>
      </c>
      <c r="M473" s="8" t="str">
        <f>IFERROR(INDEX('PROJETO PERFURAÇÃO'!$AN:$AN,MATCH(MEDIÇÃO!K473,'PROJETO PERFURAÇÃO'!$B:$B,0)),"")</f>
        <v/>
      </c>
      <c r="N473" s="3"/>
      <c r="O473" s="3"/>
      <c r="P473" s="3" t="str">
        <f>IFERROR(ROUND(INDEX('PROJETO PERFURAÇÃO'!$AB:$AB,MATCH(MEDIÇÃO!R473,'PROJETO PERFURAÇÃO'!$B:$B,0)),1)&amp;"''","")</f>
        <v/>
      </c>
      <c r="Q473" s="3" t="str">
        <f>IFERROR(IF(INDEX('PROJETO PERFURAÇÃO'!$P:$P,MATCH(MEDIÇÃO!R473,'PROJETO PERFURAÇÃO'!$B:$B,0))="Production","P",IF(INDEX('PROJETO PERFURAÇÃO'!$P:$P,MATCH(MEDIÇÃO!R473,'PROJETO PERFURAÇÃO'!$B:$B,0))="Buffer","B",IF(INDEX('PROJETO PERFURAÇÃO'!$P:$P,MATCH(MEDIÇÃO!R473,'PROJETO PERFURAÇÃO'!$B:$B,0))="Pre-Splitting","S"))),"")</f>
        <v/>
      </c>
      <c r="R473" s="14">
        <f t="shared" si="47"/>
        <v>1085</v>
      </c>
      <c r="S473" s="4" t="str">
        <f>IFERROR(INDEX('LEV R&amp;D'!$D:$D,MATCH(MEDIÇÃO!R473,'LEV R&amp;D'!$A:$A,0))-INDEX('PROJETO PERFURAÇÃO'!$AH:$AH,MATCH(MEDIÇÃO!R473,'PROJETO PERFURAÇÃO'!$B:$B,0)),"")</f>
        <v/>
      </c>
      <c r="T473" s="8" t="str">
        <f>IFERROR(INDEX('PROJETO PERFURAÇÃO'!$AN:$AN,MATCH(MEDIÇÃO!R473,'PROJETO PERFURAÇÃO'!$B:$B,0)),"")</f>
        <v/>
      </c>
      <c r="U473" s="3"/>
      <c r="V473" s="3"/>
    </row>
    <row r="474" spans="1:23" ht="45" customHeight="1">
      <c r="B474" s="3" t="str">
        <f>IFERROR(ROUND(INDEX('PROJETO PERFURAÇÃO'!$AB:$AB,MATCH(MEDIÇÃO!D474,'PROJETO PERFURAÇÃO'!$B:$B,0)),1)&amp;"''","")</f>
        <v/>
      </c>
      <c r="C474" s="3" t="str">
        <f>IFERROR(IF(INDEX('PROJETO PERFURAÇÃO'!$P:$P,MATCH(MEDIÇÃO!D474,'PROJETO PERFURAÇÃO'!$B:$B,0))="Production","P",IF(INDEX('PROJETO PERFURAÇÃO'!$P:$P,MATCH(MEDIÇÃO!D474,'PROJETO PERFURAÇÃO'!$B:$B,0))="Buffer","B",IF(INDEX('PROJETO PERFURAÇÃO'!$P:$P,MATCH(MEDIÇÃO!D474,'PROJETO PERFURAÇÃO'!$B:$B,0))="Pre-Splitting","S"))),"")</f>
        <v/>
      </c>
      <c r="D474" s="14">
        <f t="shared" si="45"/>
        <v>1040</v>
      </c>
      <c r="E474" s="4" t="str">
        <f>IFERROR(INDEX('LEV R&amp;D'!$D:$D,MATCH(MEDIÇÃO!D474,'LEV R&amp;D'!$A:$A,0))-INDEX('PROJETO PERFURAÇÃO'!$AH:$AH,MATCH(MEDIÇÃO!D474,'PROJETO PERFURAÇÃO'!$B:$B,0)),"")</f>
        <v/>
      </c>
      <c r="F474" s="8" t="str">
        <f>IFERROR(INDEX('PROJETO PERFURAÇÃO'!$AN:$AN,MATCH(MEDIÇÃO!D474,'PROJETO PERFURAÇÃO'!$B:$B,0)),"")</f>
        <v/>
      </c>
      <c r="G474" s="3"/>
      <c r="H474" s="3"/>
      <c r="I474" s="3" t="str">
        <f>IFERROR(ROUND(INDEX('PROJETO PERFURAÇÃO'!$AB:$AB,MATCH(MEDIÇÃO!K474,'PROJETO PERFURAÇÃO'!$B:$B,0)),1)&amp;"''","")</f>
        <v/>
      </c>
      <c r="J474" s="3" t="str">
        <f>IFERROR(IF(INDEX('PROJETO PERFURAÇÃO'!$P:$P,MATCH(MEDIÇÃO!K474,'PROJETO PERFURAÇÃO'!$B:$B,0))="Production","P",IF(INDEX('PROJETO PERFURAÇÃO'!$P:$P,MATCH(MEDIÇÃO!K474,'PROJETO PERFURAÇÃO'!$B:$B,0))="Buffer","B",IF(INDEX('PROJETO PERFURAÇÃO'!$P:$P,MATCH(MEDIÇÃO!K474,'PROJETO PERFURAÇÃO'!$B:$B,0))="Pre-Splitting","S"))),"")</f>
        <v/>
      </c>
      <c r="K474" s="14">
        <f t="shared" si="46"/>
        <v>1063</v>
      </c>
      <c r="L474" s="4" t="str">
        <f>IFERROR(INDEX('LEV R&amp;D'!$D:$D,MATCH(MEDIÇÃO!K474,'LEV R&amp;D'!$A:$A,0))-INDEX('PROJETO PERFURAÇÃO'!$AH:$AH,MATCH(MEDIÇÃO!K474,'PROJETO PERFURAÇÃO'!$B:$B,0)),"")</f>
        <v/>
      </c>
      <c r="M474" s="8" t="str">
        <f>IFERROR(INDEX('PROJETO PERFURAÇÃO'!$AN:$AN,MATCH(MEDIÇÃO!K474,'PROJETO PERFURAÇÃO'!$B:$B,0)),"")</f>
        <v/>
      </c>
      <c r="N474" s="3"/>
      <c r="O474" s="3"/>
      <c r="P474" s="3" t="str">
        <f>IFERROR(ROUND(INDEX('PROJETO PERFURAÇÃO'!$AB:$AB,MATCH(MEDIÇÃO!R474,'PROJETO PERFURAÇÃO'!$B:$B,0)),1)&amp;"''","")</f>
        <v/>
      </c>
      <c r="Q474" s="3" t="str">
        <f>IFERROR(IF(INDEX('PROJETO PERFURAÇÃO'!$P:$P,MATCH(MEDIÇÃO!R474,'PROJETO PERFURAÇÃO'!$B:$B,0))="Production","P",IF(INDEX('PROJETO PERFURAÇÃO'!$P:$P,MATCH(MEDIÇÃO!R474,'PROJETO PERFURAÇÃO'!$B:$B,0))="Buffer","B",IF(INDEX('PROJETO PERFURAÇÃO'!$P:$P,MATCH(MEDIÇÃO!R474,'PROJETO PERFURAÇÃO'!$B:$B,0))="Pre-Splitting","S"))),"")</f>
        <v/>
      </c>
      <c r="R474" s="14">
        <f t="shared" si="47"/>
        <v>1086</v>
      </c>
      <c r="S474" s="4" t="str">
        <f>IFERROR(INDEX('LEV R&amp;D'!$D:$D,MATCH(MEDIÇÃO!R474,'LEV R&amp;D'!$A:$A,0))-INDEX('PROJETO PERFURAÇÃO'!$AH:$AH,MATCH(MEDIÇÃO!R474,'PROJETO PERFURAÇÃO'!$B:$B,0)),"")</f>
        <v/>
      </c>
      <c r="T474" s="8" t="str">
        <f>IFERROR(INDEX('PROJETO PERFURAÇÃO'!$AN:$AN,MATCH(MEDIÇÃO!R474,'PROJETO PERFURAÇÃO'!$B:$B,0)),"")</f>
        <v/>
      </c>
      <c r="U474" s="3"/>
      <c r="V474" s="3"/>
    </row>
    <row r="475" spans="1:23" ht="45" customHeight="1">
      <c r="B475" s="3" t="str">
        <f>IFERROR(ROUND(INDEX('PROJETO PERFURAÇÃO'!$AB:$AB,MATCH(MEDIÇÃO!D475,'PROJETO PERFURAÇÃO'!$B:$B,0)),1)&amp;"''","")</f>
        <v/>
      </c>
      <c r="C475" s="3" t="str">
        <f>IFERROR(IF(INDEX('PROJETO PERFURAÇÃO'!$P:$P,MATCH(MEDIÇÃO!D475,'PROJETO PERFURAÇÃO'!$B:$B,0))="Production","P",IF(INDEX('PROJETO PERFURAÇÃO'!$P:$P,MATCH(MEDIÇÃO!D475,'PROJETO PERFURAÇÃO'!$B:$B,0))="Buffer","B",IF(INDEX('PROJETO PERFURAÇÃO'!$P:$P,MATCH(MEDIÇÃO!D475,'PROJETO PERFURAÇÃO'!$B:$B,0))="Pre-Splitting","S"))),"")</f>
        <v/>
      </c>
      <c r="D475" s="14">
        <f t="shared" si="45"/>
        <v>1041</v>
      </c>
      <c r="E475" s="4" t="str">
        <f>IFERROR(INDEX('LEV R&amp;D'!$D:$D,MATCH(MEDIÇÃO!D475,'LEV R&amp;D'!$A:$A,0))-INDEX('PROJETO PERFURAÇÃO'!$AH:$AH,MATCH(MEDIÇÃO!D475,'PROJETO PERFURAÇÃO'!$B:$B,0)),"")</f>
        <v/>
      </c>
      <c r="F475" s="8" t="str">
        <f>IFERROR(INDEX('PROJETO PERFURAÇÃO'!$AN:$AN,MATCH(MEDIÇÃO!D475,'PROJETO PERFURAÇÃO'!$B:$B,0)),"")</f>
        <v/>
      </c>
      <c r="G475" s="3"/>
      <c r="H475" s="3"/>
      <c r="I475" s="3" t="str">
        <f>IFERROR(ROUND(INDEX('PROJETO PERFURAÇÃO'!$AB:$AB,MATCH(MEDIÇÃO!K475,'PROJETO PERFURAÇÃO'!$B:$B,0)),1)&amp;"''","")</f>
        <v/>
      </c>
      <c r="J475" s="3" t="str">
        <f>IFERROR(IF(INDEX('PROJETO PERFURAÇÃO'!$P:$P,MATCH(MEDIÇÃO!K475,'PROJETO PERFURAÇÃO'!$B:$B,0))="Production","P",IF(INDEX('PROJETO PERFURAÇÃO'!$P:$P,MATCH(MEDIÇÃO!K475,'PROJETO PERFURAÇÃO'!$B:$B,0))="Buffer","B",IF(INDEX('PROJETO PERFURAÇÃO'!$P:$P,MATCH(MEDIÇÃO!K475,'PROJETO PERFURAÇÃO'!$B:$B,0))="Pre-Splitting","S"))),"")</f>
        <v/>
      </c>
      <c r="K475" s="14">
        <f t="shared" si="46"/>
        <v>1064</v>
      </c>
      <c r="L475" s="4" t="str">
        <f>IFERROR(INDEX('LEV R&amp;D'!$D:$D,MATCH(MEDIÇÃO!K475,'LEV R&amp;D'!$A:$A,0))-INDEX('PROJETO PERFURAÇÃO'!$AH:$AH,MATCH(MEDIÇÃO!K475,'PROJETO PERFURAÇÃO'!$B:$B,0)),"")</f>
        <v/>
      </c>
      <c r="M475" s="8" t="str">
        <f>IFERROR(INDEX('PROJETO PERFURAÇÃO'!$AN:$AN,MATCH(MEDIÇÃO!K475,'PROJETO PERFURAÇÃO'!$B:$B,0)),"")</f>
        <v/>
      </c>
      <c r="N475" s="3"/>
      <c r="O475" s="3"/>
      <c r="P475" s="3" t="str">
        <f>IFERROR(ROUND(INDEX('PROJETO PERFURAÇÃO'!$AB:$AB,MATCH(MEDIÇÃO!R475,'PROJETO PERFURAÇÃO'!$B:$B,0)),1)&amp;"''","")</f>
        <v/>
      </c>
      <c r="Q475" s="3" t="str">
        <f>IFERROR(IF(INDEX('PROJETO PERFURAÇÃO'!$P:$P,MATCH(MEDIÇÃO!R475,'PROJETO PERFURAÇÃO'!$B:$B,0))="Production","P",IF(INDEX('PROJETO PERFURAÇÃO'!$P:$P,MATCH(MEDIÇÃO!R475,'PROJETO PERFURAÇÃO'!$B:$B,0))="Buffer","B",IF(INDEX('PROJETO PERFURAÇÃO'!$P:$P,MATCH(MEDIÇÃO!R475,'PROJETO PERFURAÇÃO'!$B:$B,0))="Pre-Splitting","S"))),"")</f>
        <v/>
      </c>
      <c r="R475" s="14">
        <f t="shared" si="47"/>
        <v>1087</v>
      </c>
      <c r="S475" s="4" t="str">
        <f>IFERROR(INDEX('LEV R&amp;D'!$D:$D,MATCH(MEDIÇÃO!R475,'LEV R&amp;D'!$A:$A,0))-INDEX('PROJETO PERFURAÇÃO'!$AH:$AH,MATCH(MEDIÇÃO!R475,'PROJETO PERFURAÇÃO'!$B:$B,0)),"")</f>
        <v/>
      </c>
      <c r="T475" s="8" t="str">
        <f>IFERROR(INDEX('PROJETO PERFURAÇÃO'!$AN:$AN,MATCH(MEDIÇÃO!R475,'PROJETO PERFURAÇÃO'!$B:$B,0)),"")</f>
        <v/>
      </c>
      <c r="U475" s="3"/>
      <c r="V475" s="3"/>
    </row>
    <row r="476" spans="1:23" ht="45" customHeight="1">
      <c r="B476" s="3" t="str">
        <f>IFERROR(ROUND(INDEX('PROJETO PERFURAÇÃO'!$AB:$AB,MATCH(MEDIÇÃO!D476,'PROJETO PERFURAÇÃO'!$B:$B,0)),1)&amp;"''","")</f>
        <v/>
      </c>
      <c r="C476" s="3" t="str">
        <f>IFERROR(IF(INDEX('PROJETO PERFURAÇÃO'!$P:$P,MATCH(MEDIÇÃO!D476,'PROJETO PERFURAÇÃO'!$B:$B,0))="Production","P",IF(INDEX('PROJETO PERFURAÇÃO'!$P:$P,MATCH(MEDIÇÃO!D476,'PROJETO PERFURAÇÃO'!$B:$B,0))="Buffer","B",IF(INDEX('PROJETO PERFURAÇÃO'!$P:$P,MATCH(MEDIÇÃO!D476,'PROJETO PERFURAÇÃO'!$B:$B,0))="Pre-Splitting","S"))),"")</f>
        <v/>
      </c>
      <c r="D476" s="14">
        <f t="shared" si="45"/>
        <v>1042</v>
      </c>
      <c r="E476" s="4" t="str">
        <f>IFERROR(INDEX('LEV R&amp;D'!$D:$D,MATCH(MEDIÇÃO!D476,'LEV R&amp;D'!$A:$A,0))-INDEX('PROJETO PERFURAÇÃO'!$AH:$AH,MATCH(MEDIÇÃO!D476,'PROJETO PERFURAÇÃO'!$B:$B,0)),"")</f>
        <v/>
      </c>
      <c r="F476" s="8" t="str">
        <f>IFERROR(INDEX('PROJETO PERFURAÇÃO'!$AN:$AN,MATCH(MEDIÇÃO!D476,'PROJETO PERFURAÇÃO'!$B:$B,0)),"")</f>
        <v/>
      </c>
      <c r="G476" s="3"/>
      <c r="H476" s="3"/>
      <c r="I476" s="3" t="str">
        <f>IFERROR(ROUND(INDEX('PROJETO PERFURAÇÃO'!$AB:$AB,MATCH(MEDIÇÃO!K476,'PROJETO PERFURAÇÃO'!$B:$B,0)),1)&amp;"''","")</f>
        <v/>
      </c>
      <c r="J476" s="3" t="str">
        <f>IFERROR(IF(INDEX('PROJETO PERFURAÇÃO'!$P:$P,MATCH(MEDIÇÃO!K476,'PROJETO PERFURAÇÃO'!$B:$B,0))="Production","P",IF(INDEX('PROJETO PERFURAÇÃO'!$P:$P,MATCH(MEDIÇÃO!K476,'PROJETO PERFURAÇÃO'!$B:$B,0))="Buffer","B",IF(INDEX('PROJETO PERFURAÇÃO'!$P:$P,MATCH(MEDIÇÃO!K476,'PROJETO PERFURAÇÃO'!$B:$B,0))="Pre-Splitting","S"))),"")</f>
        <v/>
      </c>
      <c r="K476" s="14">
        <f t="shared" si="46"/>
        <v>1065</v>
      </c>
      <c r="L476" s="4" t="str">
        <f>IFERROR(INDEX('LEV R&amp;D'!$D:$D,MATCH(MEDIÇÃO!K476,'LEV R&amp;D'!$A:$A,0))-INDEX('PROJETO PERFURAÇÃO'!$AH:$AH,MATCH(MEDIÇÃO!K476,'PROJETO PERFURAÇÃO'!$B:$B,0)),"")</f>
        <v/>
      </c>
      <c r="M476" s="8" t="str">
        <f>IFERROR(INDEX('PROJETO PERFURAÇÃO'!$AN:$AN,MATCH(MEDIÇÃO!K476,'PROJETO PERFURAÇÃO'!$B:$B,0)),"")</f>
        <v/>
      </c>
      <c r="N476" s="3"/>
      <c r="O476" s="3"/>
      <c r="P476" s="3" t="str">
        <f>IFERROR(ROUND(INDEX('PROJETO PERFURAÇÃO'!$AB:$AB,MATCH(MEDIÇÃO!R476,'PROJETO PERFURAÇÃO'!$B:$B,0)),1)&amp;"''","")</f>
        <v/>
      </c>
      <c r="Q476" s="3" t="str">
        <f>IFERROR(IF(INDEX('PROJETO PERFURAÇÃO'!$P:$P,MATCH(MEDIÇÃO!R476,'PROJETO PERFURAÇÃO'!$B:$B,0))="Production","P",IF(INDEX('PROJETO PERFURAÇÃO'!$P:$P,MATCH(MEDIÇÃO!R476,'PROJETO PERFURAÇÃO'!$B:$B,0))="Buffer","B",IF(INDEX('PROJETO PERFURAÇÃO'!$P:$P,MATCH(MEDIÇÃO!R476,'PROJETO PERFURAÇÃO'!$B:$B,0))="Pre-Splitting","S"))),"")</f>
        <v/>
      </c>
      <c r="R476" s="14">
        <f t="shared" si="47"/>
        <v>1088</v>
      </c>
      <c r="S476" s="4" t="str">
        <f>IFERROR(INDEX('LEV R&amp;D'!$D:$D,MATCH(MEDIÇÃO!R476,'LEV R&amp;D'!$A:$A,0))-INDEX('PROJETO PERFURAÇÃO'!$AH:$AH,MATCH(MEDIÇÃO!R476,'PROJETO PERFURAÇÃO'!$B:$B,0)),"")</f>
        <v/>
      </c>
      <c r="T476" s="8" t="str">
        <f>IFERROR(INDEX('PROJETO PERFURAÇÃO'!$AN:$AN,MATCH(MEDIÇÃO!R476,'PROJETO PERFURAÇÃO'!$B:$B,0)),"")</f>
        <v/>
      </c>
      <c r="U476" s="3"/>
      <c r="V476" s="3"/>
    </row>
    <row r="477" spans="1:23" ht="45" customHeight="1">
      <c r="B477" s="3" t="str">
        <f>IFERROR(ROUND(INDEX('PROJETO PERFURAÇÃO'!$AB:$AB,MATCH(MEDIÇÃO!D477,'PROJETO PERFURAÇÃO'!$B:$B,0)),1)&amp;"''","")</f>
        <v/>
      </c>
      <c r="C477" s="3" t="str">
        <f>IFERROR(IF(INDEX('PROJETO PERFURAÇÃO'!$P:$P,MATCH(MEDIÇÃO!D477,'PROJETO PERFURAÇÃO'!$B:$B,0))="Production","P",IF(INDEX('PROJETO PERFURAÇÃO'!$P:$P,MATCH(MEDIÇÃO!D477,'PROJETO PERFURAÇÃO'!$B:$B,0))="Buffer","B",IF(INDEX('PROJETO PERFURAÇÃO'!$P:$P,MATCH(MEDIÇÃO!D477,'PROJETO PERFURAÇÃO'!$B:$B,0))="Pre-Splitting","S"))),"")</f>
        <v/>
      </c>
      <c r="D477" s="14">
        <f t="shared" si="45"/>
        <v>1043</v>
      </c>
      <c r="E477" s="4" t="str">
        <f>IFERROR(INDEX('LEV R&amp;D'!$D:$D,MATCH(MEDIÇÃO!D477,'LEV R&amp;D'!$A:$A,0))-INDEX('PROJETO PERFURAÇÃO'!$AH:$AH,MATCH(MEDIÇÃO!D477,'PROJETO PERFURAÇÃO'!$B:$B,0)),"")</f>
        <v/>
      </c>
      <c r="F477" s="8" t="str">
        <f>IFERROR(INDEX('PROJETO PERFURAÇÃO'!$AN:$AN,MATCH(MEDIÇÃO!D477,'PROJETO PERFURAÇÃO'!$B:$B,0)),"")</f>
        <v/>
      </c>
      <c r="G477" s="3"/>
      <c r="H477" s="3"/>
      <c r="I477" s="3" t="str">
        <f>IFERROR(ROUND(INDEX('PROJETO PERFURAÇÃO'!$AB:$AB,MATCH(MEDIÇÃO!K477,'PROJETO PERFURAÇÃO'!$B:$B,0)),1)&amp;"''","")</f>
        <v/>
      </c>
      <c r="J477" s="3" t="str">
        <f>IFERROR(IF(INDEX('PROJETO PERFURAÇÃO'!$P:$P,MATCH(MEDIÇÃO!K477,'PROJETO PERFURAÇÃO'!$B:$B,0))="Production","P",IF(INDEX('PROJETO PERFURAÇÃO'!$P:$P,MATCH(MEDIÇÃO!K477,'PROJETO PERFURAÇÃO'!$B:$B,0))="Buffer","B",IF(INDEX('PROJETO PERFURAÇÃO'!$P:$P,MATCH(MEDIÇÃO!K477,'PROJETO PERFURAÇÃO'!$B:$B,0))="Pre-Splitting","S"))),"")</f>
        <v/>
      </c>
      <c r="K477" s="14">
        <f t="shared" si="46"/>
        <v>1066</v>
      </c>
      <c r="L477" s="4" t="str">
        <f>IFERROR(INDEX('LEV R&amp;D'!$D:$D,MATCH(MEDIÇÃO!K477,'LEV R&amp;D'!$A:$A,0))-INDEX('PROJETO PERFURAÇÃO'!$AH:$AH,MATCH(MEDIÇÃO!K477,'PROJETO PERFURAÇÃO'!$B:$B,0)),"")</f>
        <v/>
      </c>
      <c r="M477" s="8" t="str">
        <f>IFERROR(INDEX('PROJETO PERFURAÇÃO'!$AN:$AN,MATCH(MEDIÇÃO!K477,'PROJETO PERFURAÇÃO'!$B:$B,0)),"")</f>
        <v/>
      </c>
      <c r="N477" s="3"/>
      <c r="O477" s="3"/>
      <c r="P477" s="3" t="str">
        <f>IFERROR(ROUND(INDEX('PROJETO PERFURAÇÃO'!$AB:$AB,MATCH(MEDIÇÃO!R477,'PROJETO PERFURAÇÃO'!$B:$B,0)),1)&amp;"''","")</f>
        <v/>
      </c>
      <c r="Q477" s="3" t="str">
        <f>IFERROR(IF(INDEX('PROJETO PERFURAÇÃO'!$P:$P,MATCH(MEDIÇÃO!R477,'PROJETO PERFURAÇÃO'!$B:$B,0))="Production","P",IF(INDEX('PROJETO PERFURAÇÃO'!$P:$P,MATCH(MEDIÇÃO!R477,'PROJETO PERFURAÇÃO'!$B:$B,0))="Buffer","B",IF(INDEX('PROJETO PERFURAÇÃO'!$P:$P,MATCH(MEDIÇÃO!R477,'PROJETO PERFURAÇÃO'!$B:$B,0))="Pre-Splitting","S"))),"")</f>
        <v/>
      </c>
      <c r="R477" s="14">
        <f t="shared" si="47"/>
        <v>1089</v>
      </c>
      <c r="S477" s="4" t="str">
        <f>IFERROR(INDEX('LEV R&amp;D'!$D:$D,MATCH(MEDIÇÃO!R477,'LEV R&amp;D'!$A:$A,0))-INDEX('PROJETO PERFURAÇÃO'!$AH:$AH,MATCH(MEDIÇÃO!R477,'PROJETO PERFURAÇÃO'!$B:$B,0)),"")</f>
        <v/>
      </c>
      <c r="T477" s="8" t="str">
        <f>IFERROR(INDEX('PROJETO PERFURAÇÃO'!$AN:$AN,MATCH(MEDIÇÃO!R477,'PROJETO PERFURAÇÃO'!$B:$B,0)),"")</f>
        <v/>
      </c>
      <c r="U477" s="3"/>
      <c r="V477" s="3"/>
    </row>
    <row r="478" spans="1:23" ht="45" customHeight="1">
      <c r="B478" s="3" t="str">
        <f>IFERROR(ROUND(INDEX('PROJETO PERFURAÇÃO'!$AB:$AB,MATCH(MEDIÇÃO!D478,'PROJETO PERFURAÇÃO'!$B:$B,0)),1)&amp;"''","")</f>
        <v/>
      </c>
      <c r="C478" s="3" t="str">
        <f>IFERROR(IF(INDEX('PROJETO PERFURAÇÃO'!$P:$P,MATCH(MEDIÇÃO!D478,'PROJETO PERFURAÇÃO'!$B:$B,0))="Production","P",IF(INDEX('PROJETO PERFURAÇÃO'!$P:$P,MATCH(MEDIÇÃO!D478,'PROJETO PERFURAÇÃO'!$B:$B,0))="Buffer","B",IF(INDEX('PROJETO PERFURAÇÃO'!$P:$P,MATCH(MEDIÇÃO!D478,'PROJETO PERFURAÇÃO'!$B:$B,0))="Pre-Splitting","S"))),"")</f>
        <v/>
      </c>
      <c r="D478" s="14">
        <f t="shared" si="45"/>
        <v>1044</v>
      </c>
      <c r="E478" s="4" t="str">
        <f>IFERROR(INDEX('LEV R&amp;D'!$D:$D,MATCH(MEDIÇÃO!D478,'LEV R&amp;D'!$A:$A,0))-INDEX('PROJETO PERFURAÇÃO'!$AH:$AH,MATCH(MEDIÇÃO!D478,'PROJETO PERFURAÇÃO'!$B:$B,0)),"")</f>
        <v/>
      </c>
      <c r="F478" s="8" t="str">
        <f>IFERROR(INDEX('PROJETO PERFURAÇÃO'!$AN:$AN,MATCH(MEDIÇÃO!D478,'PROJETO PERFURAÇÃO'!$B:$B,0)),"")</f>
        <v/>
      </c>
      <c r="G478" s="3"/>
      <c r="H478" s="3"/>
      <c r="I478" s="3" t="str">
        <f>IFERROR(ROUND(INDEX('PROJETO PERFURAÇÃO'!$AB:$AB,MATCH(MEDIÇÃO!K478,'PROJETO PERFURAÇÃO'!$B:$B,0)),1)&amp;"''","")</f>
        <v/>
      </c>
      <c r="J478" s="3" t="str">
        <f>IFERROR(IF(INDEX('PROJETO PERFURAÇÃO'!$P:$P,MATCH(MEDIÇÃO!K478,'PROJETO PERFURAÇÃO'!$B:$B,0))="Production","P",IF(INDEX('PROJETO PERFURAÇÃO'!$P:$P,MATCH(MEDIÇÃO!K478,'PROJETO PERFURAÇÃO'!$B:$B,0))="Buffer","B",IF(INDEX('PROJETO PERFURAÇÃO'!$P:$P,MATCH(MEDIÇÃO!K478,'PROJETO PERFURAÇÃO'!$B:$B,0))="Pre-Splitting","S"))),"")</f>
        <v/>
      </c>
      <c r="K478" s="14">
        <f t="shared" si="46"/>
        <v>1067</v>
      </c>
      <c r="L478" s="4" t="str">
        <f>IFERROR(INDEX('LEV R&amp;D'!$D:$D,MATCH(MEDIÇÃO!K478,'LEV R&amp;D'!$A:$A,0))-INDEX('PROJETO PERFURAÇÃO'!$AH:$AH,MATCH(MEDIÇÃO!K478,'PROJETO PERFURAÇÃO'!$B:$B,0)),"")</f>
        <v/>
      </c>
      <c r="M478" s="8" t="str">
        <f>IFERROR(INDEX('PROJETO PERFURAÇÃO'!$AN:$AN,MATCH(MEDIÇÃO!K478,'PROJETO PERFURAÇÃO'!$B:$B,0)),"")</f>
        <v/>
      </c>
      <c r="N478" s="3"/>
      <c r="O478" s="3"/>
      <c r="P478" s="3" t="str">
        <f>IFERROR(ROUND(INDEX('PROJETO PERFURAÇÃO'!$AB:$AB,MATCH(MEDIÇÃO!R478,'PROJETO PERFURAÇÃO'!$B:$B,0)),1)&amp;"''","")</f>
        <v/>
      </c>
      <c r="Q478" s="3" t="str">
        <f>IFERROR(IF(INDEX('PROJETO PERFURAÇÃO'!$P:$P,MATCH(MEDIÇÃO!R478,'PROJETO PERFURAÇÃO'!$B:$B,0))="Production","P",IF(INDEX('PROJETO PERFURAÇÃO'!$P:$P,MATCH(MEDIÇÃO!R478,'PROJETO PERFURAÇÃO'!$B:$B,0))="Buffer","B",IF(INDEX('PROJETO PERFURAÇÃO'!$P:$P,MATCH(MEDIÇÃO!R478,'PROJETO PERFURAÇÃO'!$B:$B,0))="Pre-Splitting","S"))),"")</f>
        <v/>
      </c>
      <c r="R478" s="14">
        <f t="shared" si="47"/>
        <v>1090</v>
      </c>
      <c r="S478" s="4" t="str">
        <f>IFERROR(INDEX('LEV R&amp;D'!$D:$D,MATCH(MEDIÇÃO!R478,'LEV R&amp;D'!$A:$A,0))-INDEX('PROJETO PERFURAÇÃO'!$AH:$AH,MATCH(MEDIÇÃO!R478,'PROJETO PERFURAÇÃO'!$B:$B,0)),"")</f>
        <v/>
      </c>
      <c r="T478" s="8" t="str">
        <f>IFERROR(INDEX('PROJETO PERFURAÇÃO'!$AN:$AN,MATCH(MEDIÇÃO!R478,'PROJETO PERFURAÇÃO'!$B:$B,0)),"")</f>
        <v/>
      </c>
      <c r="U478" s="3"/>
      <c r="V478" s="3"/>
    </row>
    <row r="479" spans="1:23" ht="45" customHeight="1">
      <c r="B479" s="3" t="str">
        <f>IFERROR(ROUND(INDEX('PROJETO PERFURAÇÃO'!$AB:$AB,MATCH(MEDIÇÃO!D479,'PROJETO PERFURAÇÃO'!$B:$B,0)),1)&amp;"''","")</f>
        <v/>
      </c>
      <c r="C479" s="3" t="str">
        <f>IFERROR(IF(INDEX('PROJETO PERFURAÇÃO'!$P:$P,MATCH(MEDIÇÃO!D479,'PROJETO PERFURAÇÃO'!$B:$B,0))="Production","P",IF(INDEX('PROJETO PERFURAÇÃO'!$P:$P,MATCH(MEDIÇÃO!D479,'PROJETO PERFURAÇÃO'!$B:$B,0))="Buffer","B",IF(INDEX('PROJETO PERFURAÇÃO'!$P:$P,MATCH(MEDIÇÃO!D479,'PROJETO PERFURAÇÃO'!$B:$B,0))="Pre-Splitting","S"))),"")</f>
        <v/>
      </c>
      <c r="D479" s="14">
        <f t="shared" si="45"/>
        <v>1045</v>
      </c>
      <c r="E479" s="4" t="str">
        <f>IFERROR(INDEX('LEV R&amp;D'!$D:$D,MATCH(MEDIÇÃO!D479,'LEV R&amp;D'!$A:$A,0))-INDEX('PROJETO PERFURAÇÃO'!$AH:$AH,MATCH(MEDIÇÃO!D479,'PROJETO PERFURAÇÃO'!$B:$B,0)),"")</f>
        <v/>
      </c>
      <c r="F479" s="8" t="str">
        <f>IFERROR(INDEX('PROJETO PERFURAÇÃO'!$AN:$AN,MATCH(MEDIÇÃO!D479,'PROJETO PERFURAÇÃO'!$B:$B,0)),"")</f>
        <v/>
      </c>
      <c r="G479" s="3"/>
      <c r="H479" s="3"/>
      <c r="I479" s="3" t="str">
        <f>IFERROR(ROUND(INDEX('PROJETO PERFURAÇÃO'!$AB:$AB,MATCH(MEDIÇÃO!K479,'PROJETO PERFURAÇÃO'!$B:$B,0)),1)&amp;"''","")</f>
        <v/>
      </c>
      <c r="J479" s="3" t="str">
        <f>IFERROR(IF(INDEX('PROJETO PERFURAÇÃO'!$P:$P,MATCH(MEDIÇÃO!K479,'PROJETO PERFURAÇÃO'!$B:$B,0))="Production","P",IF(INDEX('PROJETO PERFURAÇÃO'!$P:$P,MATCH(MEDIÇÃO!K479,'PROJETO PERFURAÇÃO'!$B:$B,0))="Buffer","B",IF(INDEX('PROJETO PERFURAÇÃO'!$P:$P,MATCH(MEDIÇÃO!K479,'PROJETO PERFURAÇÃO'!$B:$B,0))="Pre-Splitting","S"))),"")</f>
        <v/>
      </c>
      <c r="K479" s="14">
        <f t="shared" si="46"/>
        <v>1068</v>
      </c>
      <c r="L479" s="4" t="str">
        <f>IFERROR(INDEX('LEV R&amp;D'!$D:$D,MATCH(MEDIÇÃO!K479,'LEV R&amp;D'!$A:$A,0))-INDEX('PROJETO PERFURAÇÃO'!$AH:$AH,MATCH(MEDIÇÃO!K479,'PROJETO PERFURAÇÃO'!$B:$B,0)),"")</f>
        <v/>
      </c>
      <c r="M479" s="8" t="str">
        <f>IFERROR(INDEX('PROJETO PERFURAÇÃO'!$AN:$AN,MATCH(MEDIÇÃO!K479,'PROJETO PERFURAÇÃO'!$B:$B,0)),"")</f>
        <v/>
      </c>
      <c r="N479" s="3"/>
      <c r="O479" s="3"/>
      <c r="P479" s="3" t="str">
        <f>IFERROR(ROUND(INDEX('PROJETO PERFURAÇÃO'!$AB:$AB,MATCH(MEDIÇÃO!R479,'PROJETO PERFURAÇÃO'!$B:$B,0)),1)&amp;"''","")</f>
        <v/>
      </c>
      <c r="Q479" s="3" t="str">
        <f>IFERROR(IF(INDEX('PROJETO PERFURAÇÃO'!$P:$P,MATCH(MEDIÇÃO!R479,'PROJETO PERFURAÇÃO'!$B:$B,0))="Production","P",IF(INDEX('PROJETO PERFURAÇÃO'!$P:$P,MATCH(MEDIÇÃO!R479,'PROJETO PERFURAÇÃO'!$B:$B,0))="Buffer","B",IF(INDEX('PROJETO PERFURAÇÃO'!$P:$P,MATCH(MEDIÇÃO!R479,'PROJETO PERFURAÇÃO'!$B:$B,0))="Pre-Splitting","S"))),"")</f>
        <v/>
      </c>
      <c r="R479" s="14">
        <f t="shared" si="47"/>
        <v>1091</v>
      </c>
      <c r="S479" s="4" t="str">
        <f>IFERROR(INDEX('LEV R&amp;D'!$D:$D,MATCH(MEDIÇÃO!R479,'LEV R&amp;D'!$A:$A,0))-INDEX('PROJETO PERFURAÇÃO'!$AH:$AH,MATCH(MEDIÇÃO!R479,'PROJETO PERFURAÇÃO'!$B:$B,0)),"")</f>
        <v/>
      </c>
      <c r="T479" s="8" t="str">
        <f>IFERROR(INDEX('PROJETO PERFURAÇÃO'!$AN:$AN,MATCH(MEDIÇÃO!R479,'PROJETO PERFURAÇÃO'!$B:$B,0)),"")</f>
        <v/>
      </c>
      <c r="U479" s="3"/>
      <c r="V479" s="3"/>
    </row>
    <row r="480" spans="1:23" ht="45" customHeight="1">
      <c r="B480" s="3" t="str">
        <f>IFERROR(ROUND(INDEX('PROJETO PERFURAÇÃO'!$AB:$AB,MATCH(MEDIÇÃO!D480,'PROJETO PERFURAÇÃO'!$B:$B,0)),1)&amp;"''","")</f>
        <v/>
      </c>
      <c r="C480" s="3" t="str">
        <f>IFERROR(IF(INDEX('PROJETO PERFURAÇÃO'!$P:$P,MATCH(MEDIÇÃO!D480,'PROJETO PERFURAÇÃO'!$B:$B,0))="Production","P",IF(INDEX('PROJETO PERFURAÇÃO'!$P:$P,MATCH(MEDIÇÃO!D480,'PROJETO PERFURAÇÃO'!$B:$B,0))="Buffer","B",IF(INDEX('PROJETO PERFURAÇÃO'!$P:$P,MATCH(MEDIÇÃO!D480,'PROJETO PERFURAÇÃO'!$B:$B,0))="Pre-Splitting","S"))),"")</f>
        <v/>
      </c>
      <c r="D480" s="14">
        <f t="shared" si="45"/>
        <v>1046</v>
      </c>
      <c r="E480" s="4" t="str">
        <f>IFERROR(INDEX('LEV R&amp;D'!$D:$D,MATCH(MEDIÇÃO!D480,'LEV R&amp;D'!$A:$A,0))-INDEX('PROJETO PERFURAÇÃO'!$AH:$AH,MATCH(MEDIÇÃO!D480,'PROJETO PERFURAÇÃO'!$B:$B,0)),"")</f>
        <v/>
      </c>
      <c r="F480" s="8" t="str">
        <f>IFERROR(INDEX('PROJETO PERFURAÇÃO'!$AN:$AN,MATCH(MEDIÇÃO!D480,'PROJETO PERFURAÇÃO'!$B:$B,0)),"")</f>
        <v/>
      </c>
      <c r="G480" s="3"/>
      <c r="H480" s="3"/>
      <c r="I480" s="3" t="str">
        <f>IFERROR(ROUND(INDEX('PROJETO PERFURAÇÃO'!$AB:$AB,MATCH(MEDIÇÃO!K480,'PROJETO PERFURAÇÃO'!$B:$B,0)),1)&amp;"''","")</f>
        <v/>
      </c>
      <c r="J480" s="3" t="str">
        <f>IFERROR(IF(INDEX('PROJETO PERFURAÇÃO'!$P:$P,MATCH(MEDIÇÃO!K480,'PROJETO PERFURAÇÃO'!$B:$B,0))="Production","P",IF(INDEX('PROJETO PERFURAÇÃO'!$P:$P,MATCH(MEDIÇÃO!K480,'PROJETO PERFURAÇÃO'!$B:$B,0))="Buffer","B",IF(INDEX('PROJETO PERFURAÇÃO'!$P:$P,MATCH(MEDIÇÃO!K480,'PROJETO PERFURAÇÃO'!$B:$B,0))="Pre-Splitting","S"))),"")</f>
        <v/>
      </c>
      <c r="K480" s="14">
        <f t="shared" si="46"/>
        <v>1069</v>
      </c>
      <c r="L480" s="4" t="str">
        <f>IFERROR(INDEX('LEV R&amp;D'!$D:$D,MATCH(MEDIÇÃO!K480,'LEV R&amp;D'!$A:$A,0))-INDEX('PROJETO PERFURAÇÃO'!$AH:$AH,MATCH(MEDIÇÃO!K480,'PROJETO PERFURAÇÃO'!$B:$B,0)),"")</f>
        <v/>
      </c>
      <c r="M480" s="8" t="str">
        <f>IFERROR(INDEX('PROJETO PERFURAÇÃO'!$AN:$AN,MATCH(MEDIÇÃO!K480,'PROJETO PERFURAÇÃO'!$B:$B,0)),"")</f>
        <v/>
      </c>
      <c r="N480" s="3"/>
      <c r="O480" s="3"/>
      <c r="P480" s="3" t="str">
        <f>IFERROR(ROUND(INDEX('PROJETO PERFURAÇÃO'!$AB:$AB,MATCH(MEDIÇÃO!R480,'PROJETO PERFURAÇÃO'!$B:$B,0)),1)&amp;"''","")</f>
        <v/>
      </c>
      <c r="Q480" s="3" t="str">
        <f>IFERROR(IF(INDEX('PROJETO PERFURAÇÃO'!$P:$P,MATCH(MEDIÇÃO!R480,'PROJETO PERFURAÇÃO'!$B:$B,0))="Production","P",IF(INDEX('PROJETO PERFURAÇÃO'!$P:$P,MATCH(MEDIÇÃO!R480,'PROJETO PERFURAÇÃO'!$B:$B,0))="Buffer","B",IF(INDEX('PROJETO PERFURAÇÃO'!$P:$P,MATCH(MEDIÇÃO!R480,'PROJETO PERFURAÇÃO'!$B:$B,0))="Pre-Splitting","S"))),"")</f>
        <v/>
      </c>
      <c r="R480" s="14">
        <f t="shared" si="47"/>
        <v>1092</v>
      </c>
      <c r="S480" s="4" t="str">
        <f>IFERROR(INDEX('LEV R&amp;D'!$D:$D,MATCH(MEDIÇÃO!R480,'LEV R&amp;D'!$A:$A,0))-INDEX('PROJETO PERFURAÇÃO'!$AH:$AH,MATCH(MEDIÇÃO!R480,'PROJETO PERFURAÇÃO'!$B:$B,0)),"")</f>
        <v/>
      </c>
      <c r="T480" s="8" t="str">
        <f>IFERROR(INDEX('PROJETO PERFURAÇÃO'!$AN:$AN,MATCH(MEDIÇÃO!R480,'PROJETO PERFURAÇÃO'!$B:$B,0)),"")</f>
        <v/>
      </c>
      <c r="U480" s="3"/>
      <c r="V480" s="3"/>
    </row>
    <row r="481" spans="2:22" ht="45" customHeight="1">
      <c r="B481" s="3" t="str">
        <f>IFERROR(ROUND(INDEX('PROJETO PERFURAÇÃO'!$AB:$AB,MATCH(MEDIÇÃO!D481,'PROJETO PERFURAÇÃO'!$B:$B,0)),1)&amp;"''","")</f>
        <v/>
      </c>
      <c r="C481" s="3" t="str">
        <f>IFERROR(IF(INDEX('PROJETO PERFURAÇÃO'!$P:$P,MATCH(MEDIÇÃO!D481,'PROJETO PERFURAÇÃO'!$B:$B,0))="Production","P",IF(INDEX('PROJETO PERFURAÇÃO'!$P:$P,MATCH(MEDIÇÃO!D481,'PROJETO PERFURAÇÃO'!$B:$B,0))="Buffer","B",IF(INDEX('PROJETO PERFURAÇÃO'!$P:$P,MATCH(MEDIÇÃO!D481,'PROJETO PERFURAÇÃO'!$B:$B,0))="Pre-Splitting","S"))),"")</f>
        <v/>
      </c>
      <c r="D481" s="14">
        <f t="shared" si="45"/>
        <v>1047</v>
      </c>
      <c r="E481" s="4" t="str">
        <f>IFERROR(INDEX('LEV R&amp;D'!$D:$D,MATCH(MEDIÇÃO!D481,'LEV R&amp;D'!$A:$A,0))-INDEX('PROJETO PERFURAÇÃO'!$AH:$AH,MATCH(MEDIÇÃO!D481,'PROJETO PERFURAÇÃO'!$B:$B,0)),"")</f>
        <v/>
      </c>
      <c r="F481" s="8" t="str">
        <f>IFERROR(INDEX('PROJETO PERFURAÇÃO'!$AN:$AN,MATCH(MEDIÇÃO!D481,'PROJETO PERFURAÇÃO'!$B:$B,0)),"")</f>
        <v/>
      </c>
      <c r="G481" s="3"/>
      <c r="H481" s="3"/>
      <c r="I481" s="3" t="str">
        <f>IFERROR(ROUND(INDEX('PROJETO PERFURAÇÃO'!$AB:$AB,MATCH(MEDIÇÃO!K481,'PROJETO PERFURAÇÃO'!$B:$B,0)),1)&amp;"''","")</f>
        <v/>
      </c>
      <c r="J481" s="3" t="str">
        <f>IFERROR(IF(INDEX('PROJETO PERFURAÇÃO'!$P:$P,MATCH(MEDIÇÃO!K481,'PROJETO PERFURAÇÃO'!$B:$B,0))="Production","P",IF(INDEX('PROJETO PERFURAÇÃO'!$P:$P,MATCH(MEDIÇÃO!K481,'PROJETO PERFURAÇÃO'!$B:$B,0))="Buffer","B",IF(INDEX('PROJETO PERFURAÇÃO'!$P:$P,MATCH(MEDIÇÃO!K481,'PROJETO PERFURAÇÃO'!$B:$B,0))="Pre-Splitting","S"))),"")</f>
        <v/>
      </c>
      <c r="K481" s="14">
        <f t="shared" si="46"/>
        <v>1070</v>
      </c>
      <c r="L481" s="4" t="str">
        <f>IFERROR(INDEX('LEV R&amp;D'!$D:$D,MATCH(MEDIÇÃO!K481,'LEV R&amp;D'!$A:$A,0))-INDEX('PROJETO PERFURAÇÃO'!$AH:$AH,MATCH(MEDIÇÃO!K481,'PROJETO PERFURAÇÃO'!$B:$B,0)),"")</f>
        <v/>
      </c>
      <c r="M481" s="8" t="str">
        <f>IFERROR(INDEX('PROJETO PERFURAÇÃO'!$AN:$AN,MATCH(MEDIÇÃO!K481,'PROJETO PERFURAÇÃO'!$B:$B,0)),"")</f>
        <v/>
      </c>
      <c r="N481" s="3"/>
      <c r="O481" s="3"/>
      <c r="P481" s="3" t="str">
        <f>IFERROR(ROUND(INDEX('PROJETO PERFURAÇÃO'!$AB:$AB,MATCH(MEDIÇÃO!R481,'PROJETO PERFURAÇÃO'!$B:$B,0)),1)&amp;"''","")</f>
        <v/>
      </c>
      <c r="Q481" s="3" t="str">
        <f>IFERROR(IF(INDEX('PROJETO PERFURAÇÃO'!$P:$P,MATCH(MEDIÇÃO!R481,'PROJETO PERFURAÇÃO'!$B:$B,0))="Production","P",IF(INDEX('PROJETO PERFURAÇÃO'!$P:$P,MATCH(MEDIÇÃO!R481,'PROJETO PERFURAÇÃO'!$B:$B,0))="Buffer","B",IF(INDEX('PROJETO PERFURAÇÃO'!$P:$P,MATCH(MEDIÇÃO!R481,'PROJETO PERFURAÇÃO'!$B:$B,0))="Pre-Splitting","S"))),"")</f>
        <v/>
      </c>
      <c r="R481" s="14">
        <f t="shared" si="47"/>
        <v>1093</v>
      </c>
      <c r="S481" s="4" t="str">
        <f>IFERROR(INDEX('LEV R&amp;D'!$D:$D,MATCH(MEDIÇÃO!R481,'LEV R&amp;D'!$A:$A,0))-INDEX('PROJETO PERFURAÇÃO'!$AH:$AH,MATCH(MEDIÇÃO!R481,'PROJETO PERFURAÇÃO'!$B:$B,0)),"")</f>
        <v/>
      </c>
      <c r="T481" s="8" t="str">
        <f>IFERROR(INDEX('PROJETO PERFURAÇÃO'!$AN:$AN,MATCH(MEDIÇÃO!R481,'PROJETO PERFURAÇÃO'!$B:$B,0)),"")</f>
        <v/>
      </c>
      <c r="U481" s="3"/>
      <c r="V481" s="3"/>
    </row>
    <row r="482" spans="2:22" ht="45" customHeight="1">
      <c r="B482" s="3" t="str">
        <f>IFERROR(ROUND(INDEX('PROJETO PERFURAÇÃO'!$AB:$AB,MATCH(MEDIÇÃO!D482,'PROJETO PERFURAÇÃO'!$B:$B,0)),1)&amp;"''","")</f>
        <v/>
      </c>
      <c r="C482" s="3" t="str">
        <f>IFERROR(IF(INDEX('PROJETO PERFURAÇÃO'!$P:$P,MATCH(MEDIÇÃO!D482,'PROJETO PERFURAÇÃO'!$B:$B,0))="Production","P",IF(INDEX('PROJETO PERFURAÇÃO'!$P:$P,MATCH(MEDIÇÃO!D482,'PROJETO PERFURAÇÃO'!$B:$B,0))="Buffer","B",IF(INDEX('PROJETO PERFURAÇÃO'!$P:$P,MATCH(MEDIÇÃO!D482,'PROJETO PERFURAÇÃO'!$B:$B,0))="Pre-Splitting","S"))),"")</f>
        <v/>
      </c>
      <c r="D482" s="14">
        <f t="shared" si="45"/>
        <v>1048</v>
      </c>
      <c r="E482" s="4" t="str">
        <f>IFERROR(INDEX('LEV R&amp;D'!$D:$D,MATCH(MEDIÇÃO!D482,'LEV R&amp;D'!$A:$A,0))-INDEX('PROJETO PERFURAÇÃO'!$AH:$AH,MATCH(MEDIÇÃO!D482,'PROJETO PERFURAÇÃO'!$B:$B,0)),"")</f>
        <v/>
      </c>
      <c r="F482" s="8" t="str">
        <f>IFERROR(INDEX('PROJETO PERFURAÇÃO'!$AN:$AN,MATCH(MEDIÇÃO!D482,'PROJETO PERFURAÇÃO'!$B:$B,0)),"")</f>
        <v/>
      </c>
      <c r="G482" s="3"/>
      <c r="H482" s="3"/>
      <c r="I482" s="3" t="str">
        <f>IFERROR(ROUND(INDEX('PROJETO PERFURAÇÃO'!$AB:$AB,MATCH(MEDIÇÃO!K482,'PROJETO PERFURAÇÃO'!$B:$B,0)),1)&amp;"''","")</f>
        <v/>
      </c>
      <c r="J482" s="3" t="str">
        <f>IFERROR(IF(INDEX('PROJETO PERFURAÇÃO'!$P:$P,MATCH(MEDIÇÃO!K482,'PROJETO PERFURAÇÃO'!$B:$B,0))="Production","P",IF(INDEX('PROJETO PERFURAÇÃO'!$P:$P,MATCH(MEDIÇÃO!K482,'PROJETO PERFURAÇÃO'!$B:$B,0))="Buffer","B",IF(INDEX('PROJETO PERFURAÇÃO'!$P:$P,MATCH(MEDIÇÃO!K482,'PROJETO PERFURAÇÃO'!$B:$B,0))="Pre-Splitting","S"))),"")</f>
        <v/>
      </c>
      <c r="K482" s="14">
        <f t="shared" si="46"/>
        <v>1071</v>
      </c>
      <c r="L482" s="4" t="str">
        <f>IFERROR(INDEX('LEV R&amp;D'!$D:$D,MATCH(MEDIÇÃO!K482,'LEV R&amp;D'!$A:$A,0))-INDEX('PROJETO PERFURAÇÃO'!$AH:$AH,MATCH(MEDIÇÃO!K482,'PROJETO PERFURAÇÃO'!$B:$B,0)),"")</f>
        <v/>
      </c>
      <c r="M482" s="8" t="str">
        <f>IFERROR(INDEX('PROJETO PERFURAÇÃO'!$AN:$AN,MATCH(MEDIÇÃO!K482,'PROJETO PERFURAÇÃO'!$B:$B,0)),"")</f>
        <v/>
      </c>
      <c r="N482" s="3"/>
      <c r="O482" s="3"/>
      <c r="P482" s="3" t="str">
        <f>IFERROR(ROUND(INDEX('PROJETO PERFURAÇÃO'!$AB:$AB,MATCH(MEDIÇÃO!R482,'PROJETO PERFURAÇÃO'!$B:$B,0)),1)&amp;"''","")</f>
        <v/>
      </c>
      <c r="Q482" s="3" t="str">
        <f>IFERROR(IF(INDEX('PROJETO PERFURAÇÃO'!$P:$P,MATCH(MEDIÇÃO!R482,'PROJETO PERFURAÇÃO'!$B:$B,0))="Production","P",IF(INDEX('PROJETO PERFURAÇÃO'!$P:$P,MATCH(MEDIÇÃO!R482,'PROJETO PERFURAÇÃO'!$B:$B,0))="Buffer","B",IF(INDEX('PROJETO PERFURAÇÃO'!$P:$P,MATCH(MEDIÇÃO!R482,'PROJETO PERFURAÇÃO'!$B:$B,0))="Pre-Splitting","S"))),"")</f>
        <v/>
      </c>
      <c r="R482" s="14">
        <f t="shared" si="47"/>
        <v>1094</v>
      </c>
      <c r="S482" s="4" t="str">
        <f>IFERROR(INDEX('LEV R&amp;D'!$D:$D,MATCH(MEDIÇÃO!R482,'LEV R&amp;D'!$A:$A,0))-INDEX('PROJETO PERFURAÇÃO'!$AH:$AH,MATCH(MEDIÇÃO!R482,'PROJETO PERFURAÇÃO'!$B:$B,0)),"")</f>
        <v/>
      </c>
      <c r="T482" s="8" t="str">
        <f>IFERROR(INDEX('PROJETO PERFURAÇÃO'!$AN:$AN,MATCH(MEDIÇÃO!R482,'PROJETO PERFURAÇÃO'!$B:$B,0)),"")</f>
        <v/>
      </c>
      <c r="U482" s="3"/>
      <c r="V482" s="3"/>
    </row>
    <row r="483" spans="2:22" ht="45" customHeight="1">
      <c r="B483" s="3" t="str">
        <f>IFERROR(ROUND(INDEX('PROJETO PERFURAÇÃO'!$AB:$AB,MATCH(MEDIÇÃO!D483,'PROJETO PERFURAÇÃO'!$B:$B,0)),1)&amp;"''","")</f>
        <v/>
      </c>
      <c r="C483" s="3" t="str">
        <f>IFERROR(IF(INDEX('PROJETO PERFURAÇÃO'!$P:$P,MATCH(MEDIÇÃO!D483,'PROJETO PERFURAÇÃO'!$B:$B,0))="Production","P",IF(INDEX('PROJETO PERFURAÇÃO'!$P:$P,MATCH(MEDIÇÃO!D483,'PROJETO PERFURAÇÃO'!$B:$B,0))="Buffer","B",IF(INDEX('PROJETO PERFURAÇÃO'!$P:$P,MATCH(MEDIÇÃO!D483,'PROJETO PERFURAÇÃO'!$B:$B,0))="Pre-Splitting","S"))),"")</f>
        <v/>
      </c>
      <c r="D483" s="14">
        <f t="shared" si="45"/>
        <v>1049</v>
      </c>
      <c r="E483" s="4" t="str">
        <f>IFERROR(INDEX('LEV R&amp;D'!$D:$D,MATCH(MEDIÇÃO!D483,'LEV R&amp;D'!$A:$A,0))-INDEX('PROJETO PERFURAÇÃO'!$AH:$AH,MATCH(MEDIÇÃO!D483,'PROJETO PERFURAÇÃO'!$B:$B,0)),"")</f>
        <v/>
      </c>
      <c r="F483" s="8" t="str">
        <f>IFERROR(INDEX('PROJETO PERFURAÇÃO'!$AN:$AN,MATCH(MEDIÇÃO!D483,'PROJETO PERFURAÇÃO'!$B:$B,0)),"")</f>
        <v/>
      </c>
      <c r="G483" s="3"/>
      <c r="H483" s="3"/>
      <c r="I483" s="3" t="str">
        <f>IFERROR(ROUND(INDEX('PROJETO PERFURAÇÃO'!$AB:$AB,MATCH(MEDIÇÃO!K483,'PROJETO PERFURAÇÃO'!$B:$B,0)),1)&amp;"''","")</f>
        <v/>
      </c>
      <c r="J483" s="3" t="str">
        <f>IFERROR(IF(INDEX('PROJETO PERFURAÇÃO'!$P:$P,MATCH(MEDIÇÃO!K483,'PROJETO PERFURAÇÃO'!$B:$B,0))="Production","P",IF(INDEX('PROJETO PERFURAÇÃO'!$P:$P,MATCH(MEDIÇÃO!K483,'PROJETO PERFURAÇÃO'!$B:$B,0))="Buffer","B",IF(INDEX('PROJETO PERFURAÇÃO'!$P:$P,MATCH(MEDIÇÃO!K483,'PROJETO PERFURAÇÃO'!$B:$B,0))="Pre-Splitting","S"))),"")</f>
        <v/>
      </c>
      <c r="K483" s="14">
        <f t="shared" si="46"/>
        <v>1072</v>
      </c>
      <c r="L483" s="4" t="str">
        <f>IFERROR(INDEX('LEV R&amp;D'!$D:$D,MATCH(MEDIÇÃO!K483,'LEV R&amp;D'!$A:$A,0))-INDEX('PROJETO PERFURAÇÃO'!$AH:$AH,MATCH(MEDIÇÃO!K483,'PROJETO PERFURAÇÃO'!$B:$B,0)),"")</f>
        <v/>
      </c>
      <c r="M483" s="8" t="str">
        <f>IFERROR(INDEX('PROJETO PERFURAÇÃO'!$AN:$AN,MATCH(MEDIÇÃO!K483,'PROJETO PERFURAÇÃO'!$B:$B,0)),"")</f>
        <v/>
      </c>
      <c r="N483" s="3"/>
      <c r="O483" s="3"/>
      <c r="P483" s="3" t="str">
        <f>IFERROR(ROUND(INDEX('PROJETO PERFURAÇÃO'!$AB:$AB,MATCH(MEDIÇÃO!R483,'PROJETO PERFURAÇÃO'!$B:$B,0)),1)&amp;"''","")</f>
        <v/>
      </c>
      <c r="Q483" s="3" t="str">
        <f>IFERROR(IF(INDEX('PROJETO PERFURAÇÃO'!$P:$P,MATCH(MEDIÇÃO!R483,'PROJETO PERFURAÇÃO'!$B:$B,0))="Production","P",IF(INDEX('PROJETO PERFURAÇÃO'!$P:$P,MATCH(MEDIÇÃO!R483,'PROJETO PERFURAÇÃO'!$B:$B,0))="Buffer","B",IF(INDEX('PROJETO PERFURAÇÃO'!$P:$P,MATCH(MEDIÇÃO!R483,'PROJETO PERFURAÇÃO'!$B:$B,0))="Pre-Splitting","S"))),"")</f>
        <v/>
      </c>
      <c r="R483" s="14">
        <f t="shared" si="47"/>
        <v>1095</v>
      </c>
      <c r="S483" s="4" t="str">
        <f>IFERROR(INDEX('LEV R&amp;D'!$D:$D,MATCH(MEDIÇÃO!R483,'LEV R&amp;D'!$A:$A,0))-INDEX('PROJETO PERFURAÇÃO'!$AH:$AH,MATCH(MEDIÇÃO!R483,'PROJETO PERFURAÇÃO'!$B:$B,0)),"")</f>
        <v/>
      </c>
      <c r="T483" s="8" t="str">
        <f>IFERROR(INDEX('PROJETO PERFURAÇÃO'!$AN:$AN,MATCH(MEDIÇÃO!R483,'PROJETO PERFURAÇÃO'!$B:$B,0)),"")</f>
        <v/>
      </c>
      <c r="U483" s="3"/>
      <c r="V483" s="3"/>
    </row>
    <row r="484" spans="2:22" ht="45" customHeight="1">
      <c r="B484" s="3" t="str">
        <f>IFERROR(ROUND(INDEX('PROJETO PERFURAÇÃO'!$AB:$AB,MATCH(MEDIÇÃO!D484,'PROJETO PERFURAÇÃO'!$B:$B,0)),1)&amp;"''","")</f>
        <v/>
      </c>
      <c r="C484" s="3" t="str">
        <f>IFERROR(IF(INDEX('PROJETO PERFURAÇÃO'!$P:$P,MATCH(MEDIÇÃO!D484,'PROJETO PERFURAÇÃO'!$B:$B,0))="Production","P",IF(INDEX('PROJETO PERFURAÇÃO'!$P:$P,MATCH(MEDIÇÃO!D484,'PROJETO PERFURAÇÃO'!$B:$B,0))="Buffer","B",IF(INDEX('PROJETO PERFURAÇÃO'!$P:$P,MATCH(MEDIÇÃO!D484,'PROJETO PERFURAÇÃO'!$B:$B,0))="Pre-Splitting","S"))),"")</f>
        <v/>
      </c>
      <c r="D484" s="14">
        <f t="shared" si="45"/>
        <v>1050</v>
      </c>
      <c r="E484" s="4" t="str">
        <f>IFERROR(INDEX('LEV R&amp;D'!$D:$D,MATCH(MEDIÇÃO!D484,'LEV R&amp;D'!$A:$A,0))-INDEX('PROJETO PERFURAÇÃO'!$AH:$AH,MATCH(MEDIÇÃO!D484,'PROJETO PERFURAÇÃO'!$B:$B,0)),"")</f>
        <v/>
      </c>
      <c r="F484" s="8" t="str">
        <f>IFERROR(INDEX('PROJETO PERFURAÇÃO'!$AN:$AN,MATCH(MEDIÇÃO!D484,'PROJETO PERFURAÇÃO'!$B:$B,0)),"")</f>
        <v/>
      </c>
      <c r="G484" s="3"/>
      <c r="H484" s="3"/>
      <c r="I484" s="3" t="str">
        <f>IFERROR(ROUND(INDEX('PROJETO PERFURAÇÃO'!$AB:$AB,MATCH(MEDIÇÃO!K484,'PROJETO PERFURAÇÃO'!$B:$B,0)),1)&amp;"''","")</f>
        <v/>
      </c>
      <c r="J484" s="3" t="str">
        <f>IFERROR(IF(INDEX('PROJETO PERFURAÇÃO'!$P:$P,MATCH(MEDIÇÃO!K484,'PROJETO PERFURAÇÃO'!$B:$B,0))="Production","P",IF(INDEX('PROJETO PERFURAÇÃO'!$P:$P,MATCH(MEDIÇÃO!K484,'PROJETO PERFURAÇÃO'!$B:$B,0))="Buffer","B",IF(INDEX('PROJETO PERFURAÇÃO'!$P:$P,MATCH(MEDIÇÃO!K484,'PROJETO PERFURAÇÃO'!$B:$B,0))="Pre-Splitting","S"))),"")</f>
        <v/>
      </c>
      <c r="K484" s="14">
        <f t="shared" si="46"/>
        <v>1073</v>
      </c>
      <c r="L484" s="4" t="str">
        <f>IFERROR(INDEX('LEV R&amp;D'!$D:$D,MATCH(MEDIÇÃO!K484,'LEV R&amp;D'!$A:$A,0))-INDEX('PROJETO PERFURAÇÃO'!$AH:$AH,MATCH(MEDIÇÃO!K484,'PROJETO PERFURAÇÃO'!$B:$B,0)),"")</f>
        <v/>
      </c>
      <c r="M484" s="8" t="str">
        <f>IFERROR(INDEX('PROJETO PERFURAÇÃO'!$AN:$AN,MATCH(MEDIÇÃO!K484,'PROJETO PERFURAÇÃO'!$B:$B,0)),"")</f>
        <v/>
      </c>
      <c r="N484" s="3"/>
      <c r="O484" s="3"/>
      <c r="P484" s="3" t="str">
        <f>IFERROR(ROUND(INDEX('PROJETO PERFURAÇÃO'!$AB:$AB,MATCH(MEDIÇÃO!R484,'PROJETO PERFURAÇÃO'!$B:$B,0)),1)&amp;"''","")</f>
        <v/>
      </c>
      <c r="Q484" s="3" t="str">
        <f>IFERROR(IF(INDEX('PROJETO PERFURAÇÃO'!$P:$P,MATCH(MEDIÇÃO!R484,'PROJETO PERFURAÇÃO'!$B:$B,0))="Production","P",IF(INDEX('PROJETO PERFURAÇÃO'!$P:$P,MATCH(MEDIÇÃO!R484,'PROJETO PERFURAÇÃO'!$B:$B,0))="Buffer","B",IF(INDEX('PROJETO PERFURAÇÃO'!$P:$P,MATCH(MEDIÇÃO!R484,'PROJETO PERFURAÇÃO'!$B:$B,0))="Pre-Splitting","S"))),"")</f>
        <v/>
      </c>
      <c r="R484" s="14">
        <f t="shared" si="47"/>
        <v>1096</v>
      </c>
      <c r="S484" s="4" t="str">
        <f>IFERROR(INDEX('LEV R&amp;D'!$D:$D,MATCH(MEDIÇÃO!R484,'LEV R&amp;D'!$A:$A,0))-INDEX('PROJETO PERFURAÇÃO'!$AH:$AH,MATCH(MEDIÇÃO!R484,'PROJETO PERFURAÇÃO'!$B:$B,0)),"")</f>
        <v/>
      </c>
      <c r="T484" s="8" t="str">
        <f>IFERROR(INDEX('PROJETO PERFURAÇÃO'!$AN:$AN,MATCH(MEDIÇÃO!R484,'PROJETO PERFURAÇÃO'!$B:$B,0)),"")</f>
        <v/>
      </c>
      <c r="U484" s="3"/>
      <c r="V484" s="3"/>
    </row>
    <row r="485" spans="2:22" ht="45" customHeight="1">
      <c r="B485" s="3" t="str">
        <f>IFERROR(ROUND(INDEX('PROJETO PERFURAÇÃO'!$AB:$AB,MATCH(MEDIÇÃO!D485,'PROJETO PERFURAÇÃO'!$B:$B,0)),1)&amp;"''","")</f>
        <v/>
      </c>
      <c r="C485" s="3" t="str">
        <f>IFERROR(IF(INDEX('PROJETO PERFURAÇÃO'!$P:$P,MATCH(MEDIÇÃO!D485,'PROJETO PERFURAÇÃO'!$B:$B,0))="Production","P",IF(INDEX('PROJETO PERFURAÇÃO'!$P:$P,MATCH(MEDIÇÃO!D485,'PROJETO PERFURAÇÃO'!$B:$B,0))="Buffer","B",IF(INDEX('PROJETO PERFURAÇÃO'!$P:$P,MATCH(MEDIÇÃO!D485,'PROJETO PERFURAÇÃO'!$B:$B,0))="Pre-Splitting","S"))),"")</f>
        <v/>
      </c>
      <c r="D485" s="14">
        <f t="shared" si="45"/>
        <v>1051</v>
      </c>
      <c r="E485" s="4" t="str">
        <f>IFERROR(INDEX('LEV R&amp;D'!$D:$D,MATCH(MEDIÇÃO!D485,'LEV R&amp;D'!$A:$A,0))-INDEX('PROJETO PERFURAÇÃO'!$AH:$AH,MATCH(MEDIÇÃO!D485,'PROJETO PERFURAÇÃO'!$B:$B,0)),"")</f>
        <v/>
      </c>
      <c r="F485" s="8" t="str">
        <f>IFERROR(INDEX('PROJETO PERFURAÇÃO'!$AN:$AN,MATCH(MEDIÇÃO!D485,'PROJETO PERFURAÇÃO'!$B:$B,0)),"")</f>
        <v/>
      </c>
      <c r="G485" s="3"/>
      <c r="H485" s="3"/>
      <c r="I485" s="3" t="str">
        <f>IFERROR(ROUND(INDEX('PROJETO PERFURAÇÃO'!$AB:$AB,MATCH(MEDIÇÃO!K485,'PROJETO PERFURAÇÃO'!$B:$B,0)),1)&amp;"''","")</f>
        <v/>
      </c>
      <c r="J485" s="3" t="str">
        <f>IFERROR(IF(INDEX('PROJETO PERFURAÇÃO'!$P:$P,MATCH(MEDIÇÃO!K485,'PROJETO PERFURAÇÃO'!$B:$B,0))="Production","P",IF(INDEX('PROJETO PERFURAÇÃO'!$P:$P,MATCH(MEDIÇÃO!K485,'PROJETO PERFURAÇÃO'!$B:$B,0))="Buffer","B",IF(INDEX('PROJETO PERFURAÇÃO'!$P:$P,MATCH(MEDIÇÃO!K485,'PROJETO PERFURAÇÃO'!$B:$B,0))="Pre-Splitting","S"))),"")</f>
        <v/>
      </c>
      <c r="K485" s="14">
        <f t="shared" si="46"/>
        <v>1074</v>
      </c>
      <c r="L485" s="4" t="str">
        <f>IFERROR(INDEX('LEV R&amp;D'!$D:$D,MATCH(MEDIÇÃO!K485,'LEV R&amp;D'!$A:$A,0))-INDEX('PROJETO PERFURAÇÃO'!$AH:$AH,MATCH(MEDIÇÃO!K485,'PROJETO PERFURAÇÃO'!$B:$B,0)),"")</f>
        <v/>
      </c>
      <c r="M485" s="8" t="str">
        <f>IFERROR(INDEX('PROJETO PERFURAÇÃO'!$AN:$AN,MATCH(MEDIÇÃO!K485,'PROJETO PERFURAÇÃO'!$B:$B,0)),"")</f>
        <v/>
      </c>
      <c r="N485" s="3"/>
      <c r="O485" s="3"/>
      <c r="P485" s="3" t="str">
        <f>IFERROR(ROUND(INDEX('PROJETO PERFURAÇÃO'!$AB:$AB,MATCH(MEDIÇÃO!R485,'PROJETO PERFURAÇÃO'!$B:$B,0)),1)&amp;"''","")</f>
        <v/>
      </c>
      <c r="Q485" s="3" t="str">
        <f>IFERROR(IF(INDEX('PROJETO PERFURAÇÃO'!$P:$P,MATCH(MEDIÇÃO!R485,'PROJETO PERFURAÇÃO'!$B:$B,0))="Production","P",IF(INDEX('PROJETO PERFURAÇÃO'!$P:$P,MATCH(MEDIÇÃO!R485,'PROJETO PERFURAÇÃO'!$B:$B,0))="Buffer","B",IF(INDEX('PROJETO PERFURAÇÃO'!$P:$P,MATCH(MEDIÇÃO!R485,'PROJETO PERFURAÇÃO'!$B:$B,0))="Pre-Splitting","S"))),"")</f>
        <v/>
      </c>
      <c r="R485" s="14">
        <f t="shared" si="47"/>
        <v>1097</v>
      </c>
      <c r="S485" s="4" t="str">
        <f>IFERROR(INDEX('LEV R&amp;D'!$D:$D,MATCH(MEDIÇÃO!R485,'LEV R&amp;D'!$A:$A,0))-INDEX('PROJETO PERFURAÇÃO'!$AH:$AH,MATCH(MEDIÇÃO!R485,'PROJETO PERFURAÇÃO'!$B:$B,0)),"")</f>
        <v/>
      </c>
      <c r="T485" s="8" t="str">
        <f>IFERROR(INDEX('PROJETO PERFURAÇÃO'!$AN:$AN,MATCH(MEDIÇÃO!R485,'PROJETO PERFURAÇÃO'!$B:$B,0)),"")</f>
        <v/>
      </c>
      <c r="U485" s="3"/>
      <c r="V485" s="3"/>
    </row>
    <row r="486" spans="2:22" ht="45" customHeight="1">
      <c r="B486" s="3" t="str">
        <f>IFERROR(ROUND(INDEX('PROJETO PERFURAÇÃO'!$AB:$AB,MATCH(MEDIÇÃO!D486,'PROJETO PERFURAÇÃO'!$B:$B,0)),1)&amp;"''","")</f>
        <v/>
      </c>
      <c r="C486" s="3" t="str">
        <f>IFERROR(IF(INDEX('PROJETO PERFURAÇÃO'!$P:$P,MATCH(MEDIÇÃO!D486,'PROJETO PERFURAÇÃO'!$B:$B,0))="Production","P",IF(INDEX('PROJETO PERFURAÇÃO'!$P:$P,MATCH(MEDIÇÃO!D486,'PROJETO PERFURAÇÃO'!$B:$B,0))="Buffer","B",IF(INDEX('PROJETO PERFURAÇÃO'!$P:$P,MATCH(MEDIÇÃO!D486,'PROJETO PERFURAÇÃO'!$B:$B,0))="Pre-Splitting","S"))),"")</f>
        <v/>
      </c>
      <c r="D486" s="14">
        <f t="shared" si="45"/>
        <v>1052</v>
      </c>
      <c r="E486" s="4" t="str">
        <f>IFERROR(INDEX('LEV R&amp;D'!$D:$D,MATCH(MEDIÇÃO!D486,'LEV R&amp;D'!$A:$A,0))-INDEX('PROJETO PERFURAÇÃO'!$AH:$AH,MATCH(MEDIÇÃO!D486,'PROJETO PERFURAÇÃO'!$B:$B,0)),"")</f>
        <v/>
      </c>
      <c r="F486" s="8" t="str">
        <f>IFERROR(INDEX('PROJETO PERFURAÇÃO'!$AN:$AN,MATCH(MEDIÇÃO!D486,'PROJETO PERFURAÇÃO'!$B:$B,0)),"")</f>
        <v/>
      </c>
      <c r="G486" s="3"/>
      <c r="H486" s="3"/>
      <c r="I486" s="3" t="str">
        <f>IFERROR(ROUND(INDEX('PROJETO PERFURAÇÃO'!$AB:$AB,MATCH(MEDIÇÃO!K486,'PROJETO PERFURAÇÃO'!$B:$B,0)),1)&amp;"''","")</f>
        <v/>
      </c>
      <c r="J486" s="3" t="str">
        <f>IFERROR(IF(INDEX('PROJETO PERFURAÇÃO'!$P:$P,MATCH(MEDIÇÃO!K486,'PROJETO PERFURAÇÃO'!$B:$B,0))="Production","P",IF(INDEX('PROJETO PERFURAÇÃO'!$P:$P,MATCH(MEDIÇÃO!K486,'PROJETO PERFURAÇÃO'!$B:$B,0))="Buffer","B",IF(INDEX('PROJETO PERFURAÇÃO'!$P:$P,MATCH(MEDIÇÃO!K486,'PROJETO PERFURAÇÃO'!$B:$B,0))="Pre-Splitting","S"))),"")</f>
        <v/>
      </c>
      <c r="K486" s="14">
        <f t="shared" si="46"/>
        <v>1075</v>
      </c>
      <c r="L486" s="4" t="str">
        <f>IFERROR(INDEX('LEV R&amp;D'!$D:$D,MATCH(MEDIÇÃO!K486,'LEV R&amp;D'!$A:$A,0))-INDEX('PROJETO PERFURAÇÃO'!$AH:$AH,MATCH(MEDIÇÃO!K486,'PROJETO PERFURAÇÃO'!$B:$B,0)),"")</f>
        <v/>
      </c>
      <c r="M486" s="8" t="str">
        <f>IFERROR(INDEX('PROJETO PERFURAÇÃO'!$AN:$AN,MATCH(MEDIÇÃO!K486,'PROJETO PERFURAÇÃO'!$B:$B,0)),"")</f>
        <v/>
      </c>
      <c r="N486" s="3"/>
      <c r="O486" s="3"/>
      <c r="P486" s="3" t="str">
        <f>IFERROR(ROUND(INDEX('PROJETO PERFURAÇÃO'!$AB:$AB,MATCH(MEDIÇÃO!R486,'PROJETO PERFURAÇÃO'!$B:$B,0)),1)&amp;"''","")</f>
        <v/>
      </c>
      <c r="Q486" s="3" t="str">
        <f>IFERROR(IF(INDEX('PROJETO PERFURAÇÃO'!$P:$P,MATCH(MEDIÇÃO!R486,'PROJETO PERFURAÇÃO'!$B:$B,0))="Production","P",IF(INDEX('PROJETO PERFURAÇÃO'!$P:$P,MATCH(MEDIÇÃO!R486,'PROJETO PERFURAÇÃO'!$B:$B,0))="Buffer","B",IF(INDEX('PROJETO PERFURAÇÃO'!$P:$P,MATCH(MEDIÇÃO!R486,'PROJETO PERFURAÇÃO'!$B:$B,0))="Pre-Splitting","S"))),"")</f>
        <v/>
      </c>
      <c r="R486" s="14">
        <f t="shared" si="47"/>
        <v>1098</v>
      </c>
      <c r="S486" s="4" t="str">
        <f>IFERROR(INDEX('LEV R&amp;D'!$D:$D,MATCH(MEDIÇÃO!R486,'LEV R&amp;D'!$A:$A,0))-INDEX('PROJETO PERFURAÇÃO'!$AH:$AH,MATCH(MEDIÇÃO!R486,'PROJETO PERFURAÇÃO'!$B:$B,0)),"")</f>
        <v/>
      </c>
      <c r="T486" s="8" t="str">
        <f>IFERROR(INDEX('PROJETO PERFURAÇÃO'!$AN:$AN,MATCH(MEDIÇÃO!R486,'PROJETO PERFURAÇÃO'!$B:$B,0)),"")</f>
        <v/>
      </c>
      <c r="U486" s="3"/>
      <c r="V486" s="3"/>
    </row>
    <row r="487" spans="2:22" ht="45" customHeight="1">
      <c r="B487" s="3" t="str">
        <f>IFERROR(ROUND(INDEX('PROJETO PERFURAÇÃO'!$AB:$AB,MATCH(MEDIÇÃO!D487,'PROJETO PERFURAÇÃO'!$B:$B,0)),1)&amp;"''","")</f>
        <v/>
      </c>
      <c r="C487" s="3" t="str">
        <f>IFERROR(IF(INDEX('PROJETO PERFURAÇÃO'!$P:$P,MATCH(MEDIÇÃO!D487,'PROJETO PERFURAÇÃO'!$B:$B,0))="Production","P",IF(INDEX('PROJETO PERFURAÇÃO'!$P:$P,MATCH(MEDIÇÃO!D487,'PROJETO PERFURAÇÃO'!$B:$B,0))="Buffer","B",IF(INDEX('PROJETO PERFURAÇÃO'!$P:$P,MATCH(MEDIÇÃO!D487,'PROJETO PERFURAÇÃO'!$B:$B,0))="Pre-Splitting","S"))),"")</f>
        <v/>
      </c>
      <c r="D487" s="14">
        <f t="shared" si="45"/>
        <v>1053</v>
      </c>
      <c r="E487" s="4" t="str">
        <f>IFERROR(INDEX('LEV R&amp;D'!$D:$D,MATCH(MEDIÇÃO!D487,'LEV R&amp;D'!$A:$A,0))-INDEX('PROJETO PERFURAÇÃO'!$AH:$AH,MATCH(MEDIÇÃO!D487,'PROJETO PERFURAÇÃO'!$B:$B,0)),"")</f>
        <v/>
      </c>
      <c r="F487" s="8" t="str">
        <f>IFERROR(INDEX('PROJETO PERFURAÇÃO'!$AN:$AN,MATCH(MEDIÇÃO!D487,'PROJETO PERFURAÇÃO'!$B:$B,0)),"")</f>
        <v/>
      </c>
      <c r="G487" s="3"/>
      <c r="H487" s="3"/>
      <c r="I487" s="3" t="str">
        <f>IFERROR(ROUND(INDEX('PROJETO PERFURAÇÃO'!$AB:$AB,MATCH(MEDIÇÃO!K487,'PROJETO PERFURAÇÃO'!$B:$B,0)),1)&amp;"''","")</f>
        <v/>
      </c>
      <c r="J487" s="3" t="str">
        <f>IFERROR(IF(INDEX('PROJETO PERFURAÇÃO'!$P:$P,MATCH(MEDIÇÃO!K487,'PROJETO PERFURAÇÃO'!$B:$B,0))="Production","P",IF(INDEX('PROJETO PERFURAÇÃO'!$P:$P,MATCH(MEDIÇÃO!K487,'PROJETO PERFURAÇÃO'!$B:$B,0))="Buffer","B",IF(INDEX('PROJETO PERFURAÇÃO'!$P:$P,MATCH(MEDIÇÃO!K487,'PROJETO PERFURAÇÃO'!$B:$B,0))="Pre-Splitting","S"))),"")</f>
        <v/>
      </c>
      <c r="K487" s="14">
        <f t="shared" si="46"/>
        <v>1076</v>
      </c>
      <c r="L487" s="4" t="str">
        <f>IFERROR(INDEX('LEV R&amp;D'!$D:$D,MATCH(MEDIÇÃO!K487,'LEV R&amp;D'!$A:$A,0))-INDEX('PROJETO PERFURAÇÃO'!$AH:$AH,MATCH(MEDIÇÃO!K487,'PROJETO PERFURAÇÃO'!$B:$B,0)),"")</f>
        <v/>
      </c>
      <c r="M487" s="8" t="str">
        <f>IFERROR(INDEX('PROJETO PERFURAÇÃO'!$AN:$AN,MATCH(MEDIÇÃO!K487,'PROJETO PERFURAÇÃO'!$B:$B,0)),"")</f>
        <v/>
      </c>
      <c r="N487" s="3"/>
      <c r="O487" s="3"/>
      <c r="P487" s="3" t="str">
        <f>IFERROR(ROUND(INDEX('PROJETO PERFURAÇÃO'!$AB:$AB,MATCH(MEDIÇÃO!R487,'PROJETO PERFURAÇÃO'!$B:$B,0)),1)&amp;"''","")</f>
        <v/>
      </c>
      <c r="Q487" s="3" t="str">
        <f>IFERROR(IF(INDEX('PROJETO PERFURAÇÃO'!$P:$P,MATCH(MEDIÇÃO!R487,'PROJETO PERFURAÇÃO'!$B:$B,0))="Production","P",IF(INDEX('PROJETO PERFURAÇÃO'!$P:$P,MATCH(MEDIÇÃO!R487,'PROJETO PERFURAÇÃO'!$B:$B,0))="Buffer","B",IF(INDEX('PROJETO PERFURAÇÃO'!$P:$P,MATCH(MEDIÇÃO!R487,'PROJETO PERFURAÇÃO'!$B:$B,0))="Pre-Splitting","S"))),"")</f>
        <v/>
      </c>
      <c r="R487" s="14">
        <f t="shared" si="47"/>
        <v>1099</v>
      </c>
      <c r="S487" s="4" t="str">
        <f>IFERROR(INDEX('LEV R&amp;D'!$D:$D,MATCH(MEDIÇÃO!R487,'LEV R&amp;D'!$A:$A,0))-INDEX('PROJETO PERFURAÇÃO'!$AH:$AH,MATCH(MEDIÇÃO!R487,'PROJETO PERFURAÇÃO'!$B:$B,0)),"")</f>
        <v/>
      </c>
      <c r="T487" s="8" t="str">
        <f>IFERROR(INDEX('PROJETO PERFURAÇÃO'!$AN:$AN,MATCH(MEDIÇÃO!R487,'PROJETO PERFURAÇÃO'!$B:$B,0)),"")</f>
        <v/>
      </c>
      <c r="U487" s="3"/>
      <c r="V487" s="3"/>
    </row>
    <row r="488" spans="2:22" ht="45" customHeight="1">
      <c r="B488" s="3" t="str">
        <f>IFERROR(ROUND(INDEX('PROJETO PERFURAÇÃO'!$AB:$AB,MATCH(MEDIÇÃO!D488,'PROJETO PERFURAÇÃO'!$B:$B,0)),1)&amp;"''","")</f>
        <v/>
      </c>
      <c r="C488" s="3" t="str">
        <f>IFERROR(IF(INDEX('PROJETO PERFURAÇÃO'!$P:$P,MATCH(MEDIÇÃO!D488,'PROJETO PERFURAÇÃO'!$B:$B,0))="Production","P",IF(INDEX('PROJETO PERFURAÇÃO'!$P:$P,MATCH(MEDIÇÃO!D488,'PROJETO PERFURAÇÃO'!$B:$B,0))="Buffer","B",IF(INDEX('PROJETO PERFURAÇÃO'!$P:$P,MATCH(MEDIÇÃO!D488,'PROJETO PERFURAÇÃO'!$B:$B,0))="Pre-Splitting","S"))),"")</f>
        <v/>
      </c>
      <c r="D488" s="14">
        <f t="shared" si="45"/>
        <v>1054</v>
      </c>
      <c r="E488" s="4" t="str">
        <f>IFERROR(INDEX('LEV R&amp;D'!$D:$D,MATCH(MEDIÇÃO!D488,'LEV R&amp;D'!$A:$A,0))-INDEX('PROJETO PERFURAÇÃO'!$AH:$AH,MATCH(MEDIÇÃO!D488,'PROJETO PERFURAÇÃO'!$B:$B,0)),"")</f>
        <v/>
      </c>
      <c r="F488" s="8" t="str">
        <f>IFERROR(INDEX('PROJETO PERFURAÇÃO'!$AN:$AN,MATCH(MEDIÇÃO!D488,'PROJETO PERFURAÇÃO'!$B:$B,0)),"")</f>
        <v/>
      </c>
      <c r="G488" s="3"/>
      <c r="H488" s="3"/>
      <c r="I488" s="3" t="str">
        <f>IFERROR(ROUND(INDEX('PROJETO PERFURAÇÃO'!$AB:$AB,MATCH(MEDIÇÃO!K488,'PROJETO PERFURAÇÃO'!$B:$B,0)),1)&amp;"''","")</f>
        <v/>
      </c>
      <c r="J488" s="3" t="str">
        <f>IFERROR(IF(INDEX('PROJETO PERFURAÇÃO'!$P:$P,MATCH(MEDIÇÃO!K488,'PROJETO PERFURAÇÃO'!$B:$B,0))="Production","P",IF(INDEX('PROJETO PERFURAÇÃO'!$P:$P,MATCH(MEDIÇÃO!K488,'PROJETO PERFURAÇÃO'!$B:$B,0))="Buffer","B",IF(INDEX('PROJETO PERFURAÇÃO'!$P:$P,MATCH(MEDIÇÃO!K488,'PROJETO PERFURAÇÃO'!$B:$B,0))="Pre-Splitting","S"))),"")</f>
        <v/>
      </c>
      <c r="K488" s="14">
        <f t="shared" si="46"/>
        <v>1077</v>
      </c>
      <c r="L488" s="4" t="str">
        <f>IFERROR(INDEX('LEV R&amp;D'!$D:$D,MATCH(MEDIÇÃO!K488,'LEV R&amp;D'!$A:$A,0))-INDEX('PROJETO PERFURAÇÃO'!$AH:$AH,MATCH(MEDIÇÃO!K488,'PROJETO PERFURAÇÃO'!$B:$B,0)),"")</f>
        <v/>
      </c>
      <c r="M488" s="8" t="str">
        <f>IFERROR(INDEX('PROJETO PERFURAÇÃO'!$AN:$AN,MATCH(MEDIÇÃO!K488,'PROJETO PERFURAÇÃO'!$B:$B,0)),"")</f>
        <v/>
      </c>
      <c r="N488" s="3"/>
      <c r="O488" s="3"/>
      <c r="P488" s="3" t="str">
        <f>IFERROR(ROUND(INDEX('PROJETO PERFURAÇÃO'!$AB:$AB,MATCH(MEDIÇÃO!R488,'PROJETO PERFURAÇÃO'!$B:$B,0)),1)&amp;"''","")</f>
        <v/>
      </c>
      <c r="Q488" s="3" t="str">
        <f>IFERROR(IF(INDEX('PROJETO PERFURAÇÃO'!$P:$P,MATCH(MEDIÇÃO!R488,'PROJETO PERFURAÇÃO'!$B:$B,0))="Production","P",IF(INDEX('PROJETO PERFURAÇÃO'!$P:$P,MATCH(MEDIÇÃO!R488,'PROJETO PERFURAÇÃO'!$B:$B,0))="Buffer","B",IF(INDEX('PROJETO PERFURAÇÃO'!$P:$P,MATCH(MEDIÇÃO!R488,'PROJETO PERFURAÇÃO'!$B:$B,0))="Pre-Splitting","S"))),"")</f>
        <v/>
      </c>
      <c r="R488" s="14">
        <f t="shared" si="47"/>
        <v>1100</v>
      </c>
      <c r="S488" s="4" t="str">
        <f>IFERROR(INDEX('LEV R&amp;D'!$D:$D,MATCH(MEDIÇÃO!R488,'LEV R&amp;D'!$A:$A,0))-INDEX('PROJETO PERFURAÇÃO'!$AH:$AH,MATCH(MEDIÇÃO!R488,'PROJETO PERFURAÇÃO'!$B:$B,0)),"")</f>
        <v/>
      </c>
      <c r="T488" s="8" t="str">
        <f>IFERROR(INDEX('PROJETO PERFURAÇÃO'!$AN:$AN,MATCH(MEDIÇÃO!R488,'PROJETO PERFURAÇÃO'!$B:$B,0)),"")</f>
        <v/>
      </c>
      <c r="U488" s="3"/>
      <c r="V488" s="3"/>
    </row>
    <row r="489" spans="2:22" ht="45" customHeight="1">
      <c r="B489" s="3" t="str">
        <f>IFERROR(ROUND(INDEX('PROJETO PERFURAÇÃO'!$AB:$AB,MATCH(MEDIÇÃO!D489,'PROJETO PERFURAÇÃO'!$B:$B,0)),1)&amp;"''","")</f>
        <v/>
      </c>
      <c r="C489" s="3" t="str">
        <f>IFERROR(IF(INDEX('PROJETO PERFURAÇÃO'!$P:$P,MATCH(MEDIÇÃO!D489,'PROJETO PERFURAÇÃO'!$B:$B,0))="Production","P",IF(INDEX('PROJETO PERFURAÇÃO'!$P:$P,MATCH(MEDIÇÃO!D489,'PROJETO PERFURAÇÃO'!$B:$B,0))="Buffer","B",IF(INDEX('PROJETO PERFURAÇÃO'!$P:$P,MATCH(MEDIÇÃO!D489,'PROJETO PERFURAÇÃO'!$B:$B,0))="Pre-Splitting","S"))),"")</f>
        <v/>
      </c>
      <c r="D489" s="14">
        <f t="shared" si="45"/>
        <v>1055</v>
      </c>
      <c r="E489" s="4" t="str">
        <f>IFERROR(INDEX('LEV R&amp;D'!$D:$D,MATCH(MEDIÇÃO!D489,'LEV R&amp;D'!$A:$A,0))-INDEX('PROJETO PERFURAÇÃO'!$AH:$AH,MATCH(MEDIÇÃO!D489,'PROJETO PERFURAÇÃO'!$B:$B,0)),"")</f>
        <v/>
      </c>
      <c r="F489" s="8" t="str">
        <f>IFERROR(INDEX('PROJETO PERFURAÇÃO'!$AN:$AN,MATCH(MEDIÇÃO!D489,'PROJETO PERFURAÇÃO'!$B:$B,0)),"")</f>
        <v/>
      </c>
      <c r="G489" s="3"/>
      <c r="H489" s="3"/>
      <c r="I489" s="3" t="str">
        <f>IFERROR(ROUND(INDEX('PROJETO PERFURAÇÃO'!$AB:$AB,MATCH(MEDIÇÃO!K489,'PROJETO PERFURAÇÃO'!$B:$B,0)),1)&amp;"''","")</f>
        <v/>
      </c>
      <c r="J489" s="3" t="str">
        <f>IFERROR(IF(INDEX('PROJETO PERFURAÇÃO'!$P:$P,MATCH(MEDIÇÃO!K489,'PROJETO PERFURAÇÃO'!$B:$B,0))="Production","P",IF(INDEX('PROJETO PERFURAÇÃO'!$P:$P,MATCH(MEDIÇÃO!K489,'PROJETO PERFURAÇÃO'!$B:$B,0))="Buffer","B",IF(INDEX('PROJETO PERFURAÇÃO'!$P:$P,MATCH(MEDIÇÃO!K489,'PROJETO PERFURAÇÃO'!$B:$B,0))="Pre-Splitting","S"))),"")</f>
        <v/>
      </c>
      <c r="K489" s="14">
        <f t="shared" si="46"/>
        <v>1078</v>
      </c>
      <c r="L489" s="4" t="str">
        <f>IFERROR(INDEX('LEV R&amp;D'!$D:$D,MATCH(MEDIÇÃO!K489,'LEV R&amp;D'!$A:$A,0))-INDEX('PROJETO PERFURAÇÃO'!$AH:$AH,MATCH(MEDIÇÃO!K489,'PROJETO PERFURAÇÃO'!$B:$B,0)),"")</f>
        <v/>
      </c>
      <c r="M489" s="8" t="str">
        <f>IFERROR(INDEX('PROJETO PERFURAÇÃO'!$AN:$AN,MATCH(MEDIÇÃO!K489,'PROJETO PERFURAÇÃO'!$B:$B,0)),"")</f>
        <v/>
      </c>
      <c r="N489" s="3"/>
      <c r="O489" s="3"/>
      <c r="P489" s="3" t="str">
        <f>IFERROR(ROUND(INDEX('PROJETO PERFURAÇÃO'!$AB:$AB,MATCH(MEDIÇÃO!R489,'PROJETO PERFURAÇÃO'!$B:$B,0)),1)&amp;"''","")</f>
        <v/>
      </c>
      <c r="Q489" s="3" t="str">
        <f>IFERROR(IF(INDEX('PROJETO PERFURAÇÃO'!$P:$P,MATCH(MEDIÇÃO!R489,'PROJETO PERFURAÇÃO'!$B:$B,0))="Production","P",IF(INDEX('PROJETO PERFURAÇÃO'!$P:$P,MATCH(MEDIÇÃO!R489,'PROJETO PERFURAÇÃO'!$B:$B,0))="Buffer","B",IF(INDEX('PROJETO PERFURAÇÃO'!$P:$P,MATCH(MEDIÇÃO!R489,'PROJETO PERFURAÇÃO'!$B:$B,0))="Pre-Splitting","S"))),"")</f>
        <v/>
      </c>
      <c r="R489" s="14">
        <f t="shared" si="47"/>
        <v>1101</v>
      </c>
      <c r="S489" s="4" t="str">
        <f>IFERROR(INDEX('LEV R&amp;D'!$D:$D,MATCH(MEDIÇÃO!R489,'LEV R&amp;D'!$A:$A,0))-INDEX('PROJETO PERFURAÇÃO'!$AH:$AH,MATCH(MEDIÇÃO!R489,'PROJETO PERFURAÇÃO'!$B:$B,0)),"")</f>
        <v/>
      </c>
      <c r="T489" s="8" t="str">
        <f>IFERROR(INDEX('PROJETO PERFURAÇÃO'!$AN:$AN,MATCH(MEDIÇÃO!R489,'PROJETO PERFURAÇÃO'!$B:$B,0)),"")</f>
        <v/>
      </c>
      <c r="U489" s="3"/>
      <c r="V489" s="3"/>
    </row>
    <row r="490" spans="2:22" ht="45" customHeight="1">
      <c r="B490" s="3" t="str">
        <f>IFERROR(ROUND(INDEX('PROJETO PERFURAÇÃO'!$AB:$AB,MATCH(MEDIÇÃO!D490,'PROJETO PERFURAÇÃO'!$B:$B,0)),1)&amp;"''","")</f>
        <v/>
      </c>
      <c r="C490" s="3" t="str">
        <f>IFERROR(IF(INDEX('PROJETO PERFURAÇÃO'!$P:$P,MATCH(MEDIÇÃO!D490,'PROJETO PERFURAÇÃO'!$B:$B,0))="Production","P",IF(INDEX('PROJETO PERFURAÇÃO'!$P:$P,MATCH(MEDIÇÃO!D490,'PROJETO PERFURAÇÃO'!$B:$B,0))="Buffer","B",IF(INDEX('PROJETO PERFURAÇÃO'!$P:$P,MATCH(MEDIÇÃO!D490,'PROJETO PERFURAÇÃO'!$B:$B,0))="Pre-Splitting","S"))),"")</f>
        <v/>
      </c>
      <c r="D490" s="14">
        <f t="shared" si="45"/>
        <v>1056</v>
      </c>
      <c r="E490" s="4" t="str">
        <f>IFERROR(INDEX('LEV R&amp;D'!$D:$D,MATCH(MEDIÇÃO!D490,'LEV R&amp;D'!$A:$A,0))-INDEX('PROJETO PERFURAÇÃO'!$AH:$AH,MATCH(MEDIÇÃO!D490,'PROJETO PERFURAÇÃO'!$B:$B,0)),"")</f>
        <v/>
      </c>
      <c r="F490" s="8" t="str">
        <f>IFERROR(INDEX('PROJETO PERFURAÇÃO'!$AN:$AN,MATCH(MEDIÇÃO!D490,'PROJETO PERFURAÇÃO'!$B:$B,0)),"")</f>
        <v/>
      </c>
      <c r="G490" s="3"/>
      <c r="H490" s="3"/>
      <c r="I490" s="3" t="str">
        <f>IFERROR(ROUND(INDEX('PROJETO PERFURAÇÃO'!$AB:$AB,MATCH(MEDIÇÃO!K490,'PROJETO PERFURAÇÃO'!$B:$B,0)),1)&amp;"''","")</f>
        <v/>
      </c>
      <c r="J490" s="3" t="str">
        <f>IFERROR(IF(INDEX('PROJETO PERFURAÇÃO'!$P:$P,MATCH(MEDIÇÃO!K490,'PROJETO PERFURAÇÃO'!$B:$B,0))="Production","P",IF(INDEX('PROJETO PERFURAÇÃO'!$P:$P,MATCH(MEDIÇÃO!K490,'PROJETO PERFURAÇÃO'!$B:$B,0))="Buffer","B",IF(INDEX('PROJETO PERFURAÇÃO'!$P:$P,MATCH(MEDIÇÃO!K490,'PROJETO PERFURAÇÃO'!$B:$B,0))="Pre-Splitting","S"))),"")</f>
        <v/>
      </c>
      <c r="K490" s="14">
        <f t="shared" si="46"/>
        <v>1079</v>
      </c>
      <c r="L490" s="4" t="str">
        <f>IFERROR(INDEX('LEV R&amp;D'!$D:$D,MATCH(MEDIÇÃO!K490,'LEV R&amp;D'!$A:$A,0))-INDEX('PROJETO PERFURAÇÃO'!$AH:$AH,MATCH(MEDIÇÃO!K490,'PROJETO PERFURAÇÃO'!$B:$B,0)),"")</f>
        <v/>
      </c>
      <c r="M490" s="8" t="str">
        <f>IFERROR(INDEX('PROJETO PERFURAÇÃO'!$AN:$AN,MATCH(MEDIÇÃO!K490,'PROJETO PERFURAÇÃO'!$B:$B,0)),"")</f>
        <v/>
      </c>
      <c r="N490" s="3"/>
      <c r="O490" s="3"/>
      <c r="P490" s="3" t="str">
        <f>IFERROR(ROUND(INDEX('PROJETO PERFURAÇÃO'!$AB:$AB,MATCH(MEDIÇÃO!R490,'PROJETO PERFURAÇÃO'!$B:$B,0)),1)&amp;"''","")</f>
        <v/>
      </c>
      <c r="Q490" s="3" t="str">
        <f>IFERROR(IF(INDEX('PROJETO PERFURAÇÃO'!$P:$P,MATCH(MEDIÇÃO!R490,'PROJETO PERFURAÇÃO'!$B:$B,0))="Production","P",IF(INDEX('PROJETO PERFURAÇÃO'!$P:$P,MATCH(MEDIÇÃO!R490,'PROJETO PERFURAÇÃO'!$B:$B,0))="Buffer","B",IF(INDEX('PROJETO PERFURAÇÃO'!$P:$P,MATCH(MEDIÇÃO!R490,'PROJETO PERFURAÇÃO'!$B:$B,0))="Pre-Splitting","S"))),"")</f>
        <v/>
      </c>
      <c r="R490" s="14">
        <f t="shared" si="47"/>
        <v>1102</v>
      </c>
      <c r="S490" s="4" t="str">
        <f>IFERROR(INDEX('LEV R&amp;D'!$D:$D,MATCH(MEDIÇÃO!R490,'LEV R&amp;D'!$A:$A,0))-INDEX('PROJETO PERFURAÇÃO'!$AH:$AH,MATCH(MEDIÇÃO!R490,'PROJETO PERFURAÇÃO'!$B:$B,0)),"")</f>
        <v/>
      </c>
      <c r="T490" s="8" t="str">
        <f>IFERROR(INDEX('PROJETO PERFURAÇÃO'!$AN:$AN,MATCH(MEDIÇÃO!R490,'PROJETO PERFURAÇÃO'!$B:$B,0)),"")</f>
        <v/>
      </c>
      <c r="U490" s="3"/>
      <c r="V490" s="3"/>
    </row>
    <row r="491" spans="2:22" ht="45" customHeight="1">
      <c r="B491" s="3" t="str">
        <f>IFERROR(ROUND(INDEX('PROJETO PERFURAÇÃO'!$AB:$AB,MATCH(MEDIÇÃO!D491,'PROJETO PERFURAÇÃO'!$B:$B,0)),1)&amp;"''","")</f>
        <v/>
      </c>
      <c r="C491" s="3" t="str">
        <f>IFERROR(IF(INDEX('PROJETO PERFURAÇÃO'!$P:$P,MATCH(MEDIÇÃO!D491,'PROJETO PERFURAÇÃO'!$B:$B,0))="Production","P",IF(INDEX('PROJETO PERFURAÇÃO'!$P:$P,MATCH(MEDIÇÃO!D491,'PROJETO PERFURAÇÃO'!$B:$B,0))="Buffer","B",IF(INDEX('PROJETO PERFURAÇÃO'!$P:$P,MATCH(MEDIÇÃO!D491,'PROJETO PERFURAÇÃO'!$B:$B,0))="Pre-Splitting","S"))),"")</f>
        <v/>
      </c>
      <c r="D491" s="14">
        <f t="shared" si="45"/>
        <v>1057</v>
      </c>
      <c r="E491" s="4" t="str">
        <f>IFERROR(INDEX('LEV R&amp;D'!$D:$D,MATCH(MEDIÇÃO!D491,'LEV R&amp;D'!$A:$A,0))-INDEX('PROJETO PERFURAÇÃO'!$AH:$AH,MATCH(MEDIÇÃO!D491,'PROJETO PERFURAÇÃO'!$B:$B,0)),"")</f>
        <v/>
      </c>
      <c r="F491" s="8" t="str">
        <f>IFERROR(INDEX('PROJETO PERFURAÇÃO'!$AN:$AN,MATCH(MEDIÇÃO!D491,'PROJETO PERFURAÇÃO'!$B:$B,0)),"")</f>
        <v/>
      </c>
      <c r="G491" s="3"/>
      <c r="H491" s="3"/>
      <c r="I491" s="3" t="str">
        <f>IFERROR(ROUND(INDEX('PROJETO PERFURAÇÃO'!$AB:$AB,MATCH(MEDIÇÃO!K491,'PROJETO PERFURAÇÃO'!$B:$B,0)),1)&amp;"''","")</f>
        <v/>
      </c>
      <c r="J491" s="3" t="str">
        <f>IFERROR(IF(INDEX('PROJETO PERFURAÇÃO'!$P:$P,MATCH(MEDIÇÃO!K491,'PROJETO PERFURAÇÃO'!$B:$B,0))="Production","P",IF(INDEX('PROJETO PERFURAÇÃO'!$P:$P,MATCH(MEDIÇÃO!K491,'PROJETO PERFURAÇÃO'!$B:$B,0))="Buffer","B",IF(INDEX('PROJETO PERFURAÇÃO'!$P:$P,MATCH(MEDIÇÃO!K491,'PROJETO PERFURAÇÃO'!$B:$B,0))="Pre-Splitting","S"))),"")</f>
        <v/>
      </c>
      <c r="K491" s="14">
        <f t="shared" si="46"/>
        <v>1080</v>
      </c>
      <c r="L491" s="4" t="str">
        <f>IFERROR(INDEX('LEV R&amp;D'!$D:$D,MATCH(MEDIÇÃO!K491,'LEV R&amp;D'!$A:$A,0))-INDEX('PROJETO PERFURAÇÃO'!$AH:$AH,MATCH(MEDIÇÃO!K491,'PROJETO PERFURAÇÃO'!$B:$B,0)),"")</f>
        <v/>
      </c>
      <c r="M491" s="8" t="str">
        <f>IFERROR(INDEX('PROJETO PERFURAÇÃO'!$AN:$AN,MATCH(MEDIÇÃO!K491,'PROJETO PERFURAÇÃO'!$B:$B,0)),"")</f>
        <v/>
      </c>
      <c r="N491" s="3"/>
      <c r="O491" s="3"/>
      <c r="P491" s="3" t="str">
        <f>IFERROR(ROUND(INDEX('PROJETO PERFURAÇÃO'!$AB:$AB,MATCH(MEDIÇÃO!R491,'PROJETO PERFURAÇÃO'!$B:$B,0)),1)&amp;"''","")</f>
        <v/>
      </c>
      <c r="Q491" s="3" t="str">
        <f>IFERROR(IF(INDEX('PROJETO PERFURAÇÃO'!$P:$P,MATCH(MEDIÇÃO!R491,'PROJETO PERFURAÇÃO'!$B:$B,0))="Production","P",IF(INDEX('PROJETO PERFURAÇÃO'!$P:$P,MATCH(MEDIÇÃO!R491,'PROJETO PERFURAÇÃO'!$B:$B,0))="Buffer","B",IF(INDEX('PROJETO PERFURAÇÃO'!$P:$P,MATCH(MEDIÇÃO!R491,'PROJETO PERFURAÇÃO'!$B:$B,0))="Pre-Splitting","S"))),"")</f>
        <v/>
      </c>
      <c r="R491" s="14">
        <f t="shared" si="47"/>
        <v>1103</v>
      </c>
      <c r="S491" s="4" t="str">
        <f>IFERROR(INDEX('LEV R&amp;D'!$D:$D,MATCH(MEDIÇÃO!R491,'LEV R&amp;D'!$A:$A,0))-INDEX('PROJETO PERFURAÇÃO'!$AH:$AH,MATCH(MEDIÇÃO!R491,'PROJETO PERFURAÇÃO'!$B:$B,0)),"")</f>
        <v/>
      </c>
      <c r="T491" s="8" t="str">
        <f>IFERROR(INDEX('PROJETO PERFURAÇÃO'!$AN:$AN,MATCH(MEDIÇÃO!R491,'PROJETO PERFURAÇÃO'!$B:$B,0)),"")</f>
        <v/>
      </c>
      <c r="U491" s="3"/>
      <c r="V491" s="3"/>
    </row>
    <row r="492" spans="2:22" ht="45" customHeight="1">
      <c r="B492" s="3" t="str">
        <f>IFERROR(ROUND(INDEX('PROJETO PERFURAÇÃO'!$AB:$AB,MATCH(MEDIÇÃO!D492,'PROJETO PERFURAÇÃO'!$B:$B,0)),1)&amp;"''","")</f>
        <v/>
      </c>
      <c r="C492" s="3" t="str">
        <f>IFERROR(IF(INDEX('PROJETO PERFURAÇÃO'!$P:$P,MATCH(MEDIÇÃO!D492,'PROJETO PERFURAÇÃO'!$B:$B,0))="Production","P",IF(INDEX('PROJETO PERFURAÇÃO'!$P:$P,MATCH(MEDIÇÃO!D492,'PROJETO PERFURAÇÃO'!$B:$B,0))="Buffer","B",IF(INDEX('PROJETO PERFURAÇÃO'!$P:$P,MATCH(MEDIÇÃO!D492,'PROJETO PERFURAÇÃO'!$B:$B,0))="Pre-Splitting","S"))),"")</f>
        <v/>
      </c>
      <c r="D492" s="14">
        <f>D491+1</f>
        <v>1058</v>
      </c>
      <c r="E492" s="4" t="str">
        <f>IFERROR(INDEX('LEV R&amp;D'!$D:$D,MATCH(MEDIÇÃO!D492,'LEV R&amp;D'!$A:$A,0))-INDEX('PROJETO PERFURAÇÃO'!$AH:$AH,MATCH(MEDIÇÃO!D492,'PROJETO PERFURAÇÃO'!$B:$B,0)),"")</f>
        <v/>
      </c>
      <c r="F492" s="8" t="str">
        <f>IFERROR(INDEX('PROJETO PERFURAÇÃO'!$AN:$AN,MATCH(MEDIÇÃO!D492,'PROJETO PERFURAÇÃO'!$B:$B,0)),"")</f>
        <v/>
      </c>
      <c r="G492" s="3"/>
      <c r="H492" s="3"/>
      <c r="I492" s="3" t="str">
        <f>IFERROR(ROUND(INDEX('PROJETO PERFURAÇÃO'!$AB:$AB,MATCH(MEDIÇÃO!K492,'PROJETO PERFURAÇÃO'!$B:$B,0)),1)&amp;"''","")</f>
        <v/>
      </c>
      <c r="J492" s="3" t="str">
        <f>IFERROR(IF(INDEX('PROJETO PERFURAÇÃO'!$P:$P,MATCH(MEDIÇÃO!K492,'PROJETO PERFURAÇÃO'!$B:$B,0))="Production","P",IF(INDEX('PROJETO PERFURAÇÃO'!$P:$P,MATCH(MEDIÇÃO!K492,'PROJETO PERFURAÇÃO'!$B:$B,0))="Buffer","B",IF(INDEX('PROJETO PERFURAÇÃO'!$P:$P,MATCH(MEDIÇÃO!K492,'PROJETO PERFURAÇÃO'!$B:$B,0))="Pre-Splitting","S"))),"")</f>
        <v/>
      </c>
      <c r="K492" s="14">
        <f>K491+1</f>
        <v>1081</v>
      </c>
      <c r="L492" s="4" t="str">
        <f>IFERROR(INDEX('LEV R&amp;D'!$D:$D,MATCH(MEDIÇÃO!K492,'LEV R&amp;D'!$A:$A,0))-INDEX('PROJETO PERFURAÇÃO'!$AH:$AH,MATCH(MEDIÇÃO!K492,'PROJETO PERFURAÇÃO'!$B:$B,0)),"")</f>
        <v/>
      </c>
      <c r="M492" s="8" t="str">
        <f>IFERROR(INDEX('PROJETO PERFURAÇÃO'!$AN:$AN,MATCH(MEDIÇÃO!K492,'PROJETO PERFURAÇÃO'!$B:$B,0)),"")</f>
        <v/>
      </c>
      <c r="N492" s="3"/>
      <c r="O492" s="3"/>
      <c r="P492" s="3" t="str">
        <f>IFERROR(ROUND(INDEX('PROJETO PERFURAÇÃO'!$AB:$AB,MATCH(MEDIÇÃO!R492,'PROJETO PERFURAÇÃO'!$B:$B,0)),1)&amp;"''","")</f>
        <v/>
      </c>
      <c r="Q492" s="3" t="str">
        <f>IFERROR(IF(INDEX('PROJETO PERFURAÇÃO'!$P:$P,MATCH(MEDIÇÃO!R492,'PROJETO PERFURAÇÃO'!$B:$B,0))="Production","P",IF(INDEX('PROJETO PERFURAÇÃO'!$P:$P,MATCH(MEDIÇÃO!R492,'PROJETO PERFURAÇÃO'!$B:$B,0))="Buffer","B",IF(INDEX('PROJETO PERFURAÇÃO'!$P:$P,MATCH(MEDIÇÃO!R492,'PROJETO PERFURAÇÃO'!$B:$B,0))="Pre-Splitting","S"))),"")</f>
        <v/>
      </c>
      <c r="R492" s="14">
        <f>R491+1</f>
        <v>1104</v>
      </c>
      <c r="S492" s="4" t="str">
        <f>IFERROR(INDEX('LEV R&amp;D'!$D:$D,MATCH(MEDIÇÃO!R492,'LEV R&amp;D'!$A:$A,0))-INDEX('PROJETO PERFURAÇÃO'!$AH:$AH,MATCH(MEDIÇÃO!R492,'PROJETO PERFURAÇÃO'!$B:$B,0)),"")</f>
        <v/>
      </c>
      <c r="T492" s="8" t="str">
        <f>IFERROR(INDEX('PROJETO PERFURAÇÃO'!$AN:$AN,MATCH(MEDIÇÃO!R492,'PROJETO PERFURAÇÃO'!$B:$B,0)),"")</f>
        <v/>
      </c>
      <c r="U492" s="3"/>
      <c r="V492" s="3"/>
    </row>
    <row r="493" spans="2:22" ht="30" customHeight="1">
      <c r="B493" s="1"/>
      <c r="C493" s="1"/>
      <c r="D493" s="15"/>
      <c r="E493" s="2"/>
      <c r="F493" s="16"/>
      <c r="G493" s="1"/>
      <c r="H493" s="1"/>
      <c r="I493" s="1"/>
      <c r="J493" s="1"/>
      <c r="K493" s="15"/>
      <c r="L493" s="2"/>
      <c r="M493" s="16"/>
      <c r="N493" s="1"/>
      <c r="O493" s="1"/>
      <c r="P493" s="1"/>
      <c r="Q493" s="1"/>
      <c r="R493" s="15"/>
      <c r="S493" s="2"/>
      <c r="T493" s="16"/>
      <c r="U493" s="1"/>
      <c r="V493" s="1"/>
    </row>
    <row r="494" spans="2:22" ht="30" customHeight="1">
      <c r="C494" s="20"/>
      <c r="D494" s="20"/>
      <c r="E494" s="20"/>
      <c r="F494" s="20"/>
      <c r="G494" s="20"/>
      <c r="H494" s="20"/>
      <c r="I494" s="20"/>
      <c r="J494" s="20"/>
      <c r="K494" s="20"/>
      <c r="M494" s="20"/>
      <c r="N494" s="20"/>
      <c r="O494" s="20"/>
      <c r="P494" s="20"/>
      <c r="Q494" s="20"/>
      <c r="R494" s="20"/>
      <c r="S494" s="20"/>
      <c r="T494" s="20"/>
      <c r="U494" s="20"/>
    </row>
    <row r="495" spans="2:22" ht="30" customHeight="1">
      <c r="C495" s="21" t="s">
        <v>40</v>
      </c>
      <c r="D495" s="21"/>
      <c r="E495" s="21"/>
      <c r="F495" s="21"/>
      <c r="G495" s="21"/>
      <c r="H495" s="21"/>
      <c r="I495" s="21"/>
      <c r="J495" s="21"/>
      <c r="K495" s="21"/>
      <c r="L495" s="9"/>
      <c r="M495" s="21" t="s">
        <v>40</v>
      </c>
      <c r="N495" s="21"/>
      <c r="O495" s="21"/>
      <c r="P495" s="21"/>
      <c r="Q495" s="21"/>
      <c r="R495" s="21"/>
      <c r="S495" s="21"/>
      <c r="T495" s="21"/>
      <c r="U495" s="21"/>
      <c r="V495" s="9"/>
    </row>
    <row r="496" spans="2:22" ht="30" customHeight="1">
      <c r="D496" s="9"/>
      <c r="E496" s="9"/>
      <c r="F496" s="9"/>
      <c r="G496" s="9"/>
      <c r="H496" s="9"/>
      <c r="I496" s="9"/>
      <c r="J496" s="9"/>
      <c r="K496" s="9"/>
      <c r="L496" s="9"/>
      <c r="M496" s="9"/>
      <c r="N496" s="9"/>
      <c r="Q496" s="9"/>
      <c r="R496" s="9"/>
      <c r="S496" s="9"/>
      <c r="T496" s="9"/>
      <c r="U496" s="9"/>
      <c r="V496" s="9"/>
    </row>
    <row r="497" spans="1:23" ht="30" customHeight="1">
      <c r="B497" s="19" t="str">
        <f>'PROJETO PERFURAÇÃO'!$C$2&amp;" - "&amp;'PROJETO PERFURAÇÃO'!$H$2</f>
        <v>LIB037 - PP0370626</v>
      </c>
      <c r="C497" s="19"/>
      <c r="D497" s="19"/>
      <c r="E497" s="19"/>
      <c r="F497" s="19"/>
      <c r="G497" s="19"/>
      <c r="H497" s="19"/>
      <c r="I497" s="11" t="s">
        <v>34</v>
      </c>
      <c r="J497" s="10" t="s">
        <v>37</v>
      </c>
    </row>
    <row r="498" spans="1:23" ht="30" customHeight="1">
      <c r="B498" s="19"/>
      <c r="C498" s="19"/>
      <c r="D498" s="19"/>
      <c r="E498" s="19"/>
      <c r="F498" s="19"/>
      <c r="G498" s="19"/>
      <c r="H498" s="19"/>
      <c r="I498" s="12" t="s">
        <v>35</v>
      </c>
      <c r="J498" s="10" t="s">
        <v>38</v>
      </c>
      <c r="K498" s="9"/>
      <c r="L498" s="9"/>
      <c r="M498" s="9"/>
      <c r="N498" s="9"/>
      <c r="O498" s="9"/>
      <c r="P498" s="9"/>
      <c r="Q498" s="9"/>
      <c r="R498" s="9"/>
      <c r="S498" s="9"/>
      <c r="T498" s="9"/>
      <c r="U498" s="9"/>
      <c r="V498" s="9"/>
    </row>
    <row r="499" spans="1:23" ht="30" customHeight="1">
      <c r="B499" s="19"/>
      <c r="C499" s="19"/>
      <c r="D499" s="19"/>
      <c r="E499" s="19"/>
      <c r="F499" s="19"/>
      <c r="G499" s="19"/>
      <c r="H499" s="19"/>
      <c r="I499" s="13" t="s">
        <v>36</v>
      </c>
      <c r="J499" s="10" t="s">
        <v>39</v>
      </c>
    </row>
    <row r="500" spans="1:23" ht="30" customHeight="1">
      <c r="A500" s="1"/>
      <c r="B500" s="6" t="s">
        <v>33</v>
      </c>
      <c r="C500" s="6" t="s">
        <v>13</v>
      </c>
      <c r="D500" s="7" t="s">
        <v>1</v>
      </c>
      <c r="E500" s="7" t="s">
        <v>29</v>
      </c>
      <c r="F500" s="7" t="s">
        <v>30</v>
      </c>
      <c r="G500" s="7" t="s">
        <v>31</v>
      </c>
      <c r="H500" s="7" t="s">
        <v>32</v>
      </c>
      <c r="I500" s="6" t="s">
        <v>33</v>
      </c>
      <c r="J500" s="6" t="s">
        <v>13</v>
      </c>
      <c r="K500" s="7" t="s">
        <v>1</v>
      </c>
      <c r="L500" s="7" t="s">
        <v>29</v>
      </c>
      <c r="M500" s="7" t="s">
        <v>30</v>
      </c>
      <c r="N500" s="7" t="s">
        <v>31</v>
      </c>
      <c r="O500" s="7" t="s">
        <v>32</v>
      </c>
      <c r="P500" s="6" t="s">
        <v>33</v>
      </c>
      <c r="Q500" s="6" t="s">
        <v>13</v>
      </c>
      <c r="R500" s="7" t="s">
        <v>1</v>
      </c>
      <c r="S500" s="7" t="s">
        <v>29</v>
      </c>
      <c r="T500" s="7" t="s">
        <v>30</v>
      </c>
      <c r="U500" s="7" t="s">
        <v>31</v>
      </c>
      <c r="V500" s="7" t="s">
        <v>32</v>
      </c>
      <c r="W500" s="1"/>
    </row>
    <row r="501" spans="1:23" ht="45" customHeight="1">
      <c r="B501" s="3" t="str">
        <f>IFERROR(ROUND(INDEX('PROJETO PERFURAÇÃO'!$AB:$AB,MATCH(MEDIÇÃO!D501,'PROJETO PERFURAÇÃO'!$B:$B,0)),1)&amp;"''","")</f>
        <v/>
      </c>
      <c r="C501" s="3" t="str">
        <f>IFERROR(IF(INDEX('PROJETO PERFURAÇÃO'!$P:$P,MATCH(MEDIÇÃO!D501,'PROJETO PERFURAÇÃO'!$B:$B,0))="Production","P",IF(INDEX('PROJETO PERFURAÇÃO'!$P:$P,MATCH(MEDIÇÃO!D501,'PROJETO PERFURAÇÃO'!$B:$B,0))="Buffer","B",IF(INDEX('PROJETO PERFURAÇÃO'!$P:$P,MATCH(MEDIÇÃO!D501,'PROJETO PERFURAÇÃO'!$B:$B,0))="Pre-Splitting","S"))),"")</f>
        <v/>
      </c>
      <c r="D501" s="14">
        <f>R492+1</f>
        <v>1105</v>
      </c>
      <c r="E501" s="4" t="str">
        <f>IFERROR(INDEX('LEV R&amp;D'!$D:$D,MATCH(MEDIÇÃO!D501,'LEV R&amp;D'!$A:$A,0))-INDEX('PROJETO PERFURAÇÃO'!$AH:$AH,MATCH(MEDIÇÃO!D501,'PROJETO PERFURAÇÃO'!$B:$B,0)),"")</f>
        <v/>
      </c>
      <c r="F501" s="8" t="str">
        <f>IFERROR(INDEX('PROJETO PERFURAÇÃO'!$AN:$AN,MATCH(MEDIÇÃO!D501,'PROJETO PERFURAÇÃO'!$B:$B,0)),"")</f>
        <v/>
      </c>
      <c r="G501" s="3"/>
      <c r="H501" s="3"/>
      <c r="I501" s="3" t="str">
        <f>IFERROR(ROUND(INDEX('PROJETO PERFURAÇÃO'!$AB:$AB,MATCH(MEDIÇÃO!K501,'PROJETO PERFURAÇÃO'!$B:$B,0)),1)&amp;"''","")</f>
        <v/>
      </c>
      <c r="J501" s="3" t="str">
        <f>IFERROR(IF(INDEX('PROJETO PERFURAÇÃO'!$P:$P,MATCH(MEDIÇÃO!K501,'PROJETO PERFURAÇÃO'!$B:$B,0))="Production","P",IF(INDEX('PROJETO PERFURAÇÃO'!$P:$P,MATCH(MEDIÇÃO!K501,'PROJETO PERFURAÇÃO'!$B:$B,0))="Buffer","B",IF(INDEX('PROJETO PERFURAÇÃO'!$P:$P,MATCH(MEDIÇÃO!K501,'PROJETO PERFURAÇÃO'!$B:$B,0))="Pre-Splitting","S"))),"")</f>
        <v/>
      </c>
      <c r="K501" s="14">
        <f>D523+1</f>
        <v>1128</v>
      </c>
      <c r="L501" s="4" t="str">
        <f>IFERROR(INDEX('LEV R&amp;D'!$D:$D,MATCH(MEDIÇÃO!K501,'LEV R&amp;D'!$A:$A,0))-INDEX('PROJETO PERFURAÇÃO'!$AH:$AH,MATCH(MEDIÇÃO!K501,'PROJETO PERFURAÇÃO'!$B:$B,0)),"")</f>
        <v/>
      </c>
      <c r="M501" s="8" t="str">
        <f>IFERROR(INDEX('PROJETO PERFURAÇÃO'!$AN:$AN,MATCH(MEDIÇÃO!K501,'PROJETO PERFURAÇÃO'!$B:$B,0)),"")</f>
        <v/>
      </c>
      <c r="N501" s="3"/>
      <c r="O501" s="3"/>
      <c r="P501" s="3" t="str">
        <f>IFERROR(ROUND(INDEX('PROJETO PERFURAÇÃO'!$AB:$AB,MATCH(MEDIÇÃO!R501,'PROJETO PERFURAÇÃO'!$B:$B,0)),1)&amp;"''","")</f>
        <v/>
      </c>
      <c r="Q501" s="3" t="str">
        <f>IFERROR(IF(INDEX('PROJETO PERFURAÇÃO'!$P:$P,MATCH(MEDIÇÃO!R501,'PROJETO PERFURAÇÃO'!$B:$B,0))="Production","P",IF(INDEX('PROJETO PERFURAÇÃO'!$P:$P,MATCH(MEDIÇÃO!R501,'PROJETO PERFURAÇÃO'!$B:$B,0))="Buffer","B",IF(INDEX('PROJETO PERFURAÇÃO'!$P:$P,MATCH(MEDIÇÃO!R501,'PROJETO PERFURAÇÃO'!$B:$B,0))="Pre-Splitting","S"))),"")</f>
        <v/>
      </c>
      <c r="R501" s="14">
        <f>K523+1</f>
        <v>1151</v>
      </c>
      <c r="S501" s="4" t="str">
        <f>IFERROR(INDEX('LEV R&amp;D'!$D:$D,MATCH(MEDIÇÃO!R501,'LEV R&amp;D'!$A:$A,0))-INDEX('PROJETO PERFURAÇÃO'!$AH:$AH,MATCH(MEDIÇÃO!R501,'PROJETO PERFURAÇÃO'!$B:$B,0)),"")</f>
        <v/>
      </c>
      <c r="T501" s="8" t="str">
        <f>IFERROR(INDEX('PROJETO PERFURAÇÃO'!$AN:$AN,MATCH(MEDIÇÃO!R501,'PROJETO PERFURAÇÃO'!$B:$B,0)),"")</f>
        <v/>
      </c>
      <c r="U501" s="3"/>
      <c r="V501" s="3"/>
    </row>
    <row r="502" spans="1:23" ht="45" customHeight="1">
      <c r="B502" s="3" t="str">
        <f>IFERROR(ROUND(INDEX('PROJETO PERFURAÇÃO'!$AB:$AB,MATCH(MEDIÇÃO!D502,'PROJETO PERFURAÇÃO'!$B:$B,0)),1)&amp;"''","")</f>
        <v/>
      </c>
      <c r="C502" s="3" t="str">
        <f>IFERROR(IF(INDEX('PROJETO PERFURAÇÃO'!$P:$P,MATCH(MEDIÇÃO!D502,'PROJETO PERFURAÇÃO'!$B:$B,0))="Production","P",IF(INDEX('PROJETO PERFURAÇÃO'!$P:$P,MATCH(MEDIÇÃO!D502,'PROJETO PERFURAÇÃO'!$B:$B,0))="Buffer","B",IF(INDEX('PROJETO PERFURAÇÃO'!$P:$P,MATCH(MEDIÇÃO!D502,'PROJETO PERFURAÇÃO'!$B:$B,0))="Pre-Splitting","S"))),"")</f>
        <v/>
      </c>
      <c r="D502" s="14">
        <f>D501+1</f>
        <v>1106</v>
      </c>
      <c r="E502" s="4" t="str">
        <f>IFERROR(INDEX('LEV R&amp;D'!$D:$D,MATCH(MEDIÇÃO!D502,'LEV R&amp;D'!$A:$A,0))-INDEX('PROJETO PERFURAÇÃO'!$AH:$AH,MATCH(MEDIÇÃO!D502,'PROJETO PERFURAÇÃO'!$B:$B,0)),"")</f>
        <v/>
      </c>
      <c r="F502" s="8" t="str">
        <f>IFERROR(INDEX('PROJETO PERFURAÇÃO'!$AN:$AN,MATCH(MEDIÇÃO!D502,'PROJETO PERFURAÇÃO'!$B:$B,0)),"")</f>
        <v/>
      </c>
      <c r="G502" s="3"/>
      <c r="H502" s="3"/>
      <c r="I502" s="3" t="str">
        <f>IFERROR(ROUND(INDEX('PROJETO PERFURAÇÃO'!$AB:$AB,MATCH(MEDIÇÃO!K502,'PROJETO PERFURAÇÃO'!$B:$B,0)),1)&amp;"''","")</f>
        <v/>
      </c>
      <c r="J502" s="3" t="str">
        <f>IFERROR(IF(INDEX('PROJETO PERFURAÇÃO'!$P:$P,MATCH(MEDIÇÃO!K502,'PROJETO PERFURAÇÃO'!$B:$B,0))="Production","P",IF(INDEX('PROJETO PERFURAÇÃO'!$P:$P,MATCH(MEDIÇÃO!K502,'PROJETO PERFURAÇÃO'!$B:$B,0))="Buffer","B",IF(INDEX('PROJETO PERFURAÇÃO'!$P:$P,MATCH(MEDIÇÃO!K502,'PROJETO PERFURAÇÃO'!$B:$B,0))="Pre-Splitting","S"))),"")</f>
        <v/>
      </c>
      <c r="K502" s="14">
        <f>K501+1</f>
        <v>1129</v>
      </c>
      <c r="L502" s="4" t="str">
        <f>IFERROR(INDEX('LEV R&amp;D'!$D:$D,MATCH(MEDIÇÃO!K502,'LEV R&amp;D'!$A:$A,0))-INDEX('PROJETO PERFURAÇÃO'!$AH:$AH,MATCH(MEDIÇÃO!K502,'PROJETO PERFURAÇÃO'!$B:$B,0)),"")</f>
        <v/>
      </c>
      <c r="M502" s="8" t="str">
        <f>IFERROR(INDEX('PROJETO PERFURAÇÃO'!$AN:$AN,MATCH(MEDIÇÃO!K502,'PROJETO PERFURAÇÃO'!$B:$B,0)),"")</f>
        <v/>
      </c>
      <c r="N502" s="3"/>
      <c r="O502" s="3"/>
      <c r="P502" s="3" t="str">
        <f>IFERROR(ROUND(INDEX('PROJETO PERFURAÇÃO'!$AB:$AB,MATCH(MEDIÇÃO!R502,'PROJETO PERFURAÇÃO'!$B:$B,0)),1)&amp;"''","")</f>
        <v/>
      </c>
      <c r="Q502" s="3" t="str">
        <f>IFERROR(IF(INDEX('PROJETO PERFURAÇÃO'!$P:$P,MATCH(MEDIÇÃO!R502,'PROJETO PERFURAÇÃO'!$B:$B,0))="Production","P",IF(INDEX('PROJETO PERFURAÇÃO'!$P:$P,MATCH(MEDIÇÃO!R502,'PROJETO PERFURAÇÃO'!$B:$B,0))="Buffer","B",IF(INDEX('PROJETO PERFURAÇÃO'!$P:$P,MATCH(MEDIÇÃO!R502,'PROJETO PERFURAÇÃO'!$B:$B,0))="Pre-Splitting","S"))),"")</f>
        <v/>
      </c>
      <c r="R502" s="14">
        <f>R501+1</f>
        <v>1152</v>
      </c>
      <c r="S502" s="4" t="str">
        <f>IFERROR(INDEX('LEV R&amp;D'!$D:$D,MATCH(MEDIÇÃO!R502,'LEV R&amp;D'!$A:$A,0))-INDEX('PROJETO PERFURAÇÃO'!$AH:$AH,MATCH(MEDIÇÃO!R502,'PROJETO PERFURAÇÃO'!$B:$B,0)),"")</f>
        <v/>
      </c>
      <c r="T502" s="8" t="str">
        <f>IFERROR(INDEX('PROJETO PERFURAÇÃO'!$AN:$AN,MATCH(MEDIÇÃO!R502,'PROJETO PERFURAÇÃO'!$B:$B,0)),"")</f>
        <v/>
      </c>
      <c r="U502" s="3"/>
      <c r="V502" s="3"/>
    </row>
    <row r="503" spans="1:23" ht="45" customHeight="1">
      <c r="B503" s="3" t="str">
        <f>IFERROR(ROUND(INDEX('PROJETO PERFURAÇÃO'!$AB:$AB,MATCH(MEDIÇÃO!D503,'PROJETO PERFURAÇÃO'!$B:$B,0)),1)&amp;"''","")</f>
        <v/>
      </c>
      <c r="C503" s="3" t="str">
        <f>IFERROR(IF(INDEX('PROJETO PERFURAÇÃO'!$P:$P,MATCH(MEDIÇÃO!D503,'PROJETO PERFURAÇÃO'!$B:$B,0))="Production","P",IF(INDEX('PROJETO PERFURAÇÃO'!$P:$P,MATCH(MEDIÇÃO!D503,'PROJETO PERFURAÇÃO'!$B:$B,0))="Buffer","B",IF(INDEX('PROJETO PERFURAÇÃO'!$P:$P,MATCH(MEDIÇÃO!D503,'PROJETO PERFURAÇÃO'!$B:$B,0))="Pre-Splitting","S"))),"")</f>
        <v/>
      </c>
      <c r="D503" s="14">
        <f t="shared" ref="D503:D522" si="48">D502+1</f>
        <v>1107</v>
      </c>
      <c r="E503" s="4" t="str">
        <f>IFERROR(INDEX('LEV R&amp;D'!$D:$D,MATCH(MEDIÇÃO!D503,'LEV R&amp;D'!$A:$A,0))-INDEX('PROJETO PERFURAÇÃO'!$AH:$AH,MATCH(MEDIÇÃO!D503,'PROJETO PERFURAÇÃO'!$B:$B,0)),"")</f>
        <v/>
      </c>
      <c r="F503" s="8" t="str">
        <f>IFERROR(INDEX('PROJETO PERFURAÇÃO'!$AN:$AN,MATCH(MEDIÇÃO!D503,'PROJETO PERFURAÇÃO'!$B:$B,0)),"")</f>
        <v/>
      </c>
      <c r="G503" s="3"/>
      <c r="H503" s="3"/>
      <c r="I503" s="3" t="str">
        <f>IFERROR(ROUND(INDEX('PROJETO PERFURAÇÃO'!$AB:$AB,MATCH(MEDIÇÃO!K503,'PROJETO PERFURAÇÃO'!$B:$B,0)),1)&amp;"''","")</f>
        <v/>
      </c>
      <c r="J503" s="3" t="str">
        <f>IFERROR(IF(INDEX('PROJETO PERFURAÇÃO'!$P:$P,MATCH(MEDIÇÃO!K503,'PROJETO PERFURAÇÃO'!$B:$B,0))="Production","P",IF(INDEX('PROJETO PERFURAÇÃO'!$P:$P,MATCH(MEDIÇÃO!K503,'PROJETO PERFURAÇÃO'!$B:$B,0))="Buffer","B",IF(INDEX('PROJETO PERFURAÇÃO'!$P:$P,MATCH(MEDIÇÃO!K503,'PROJETO PERFURAÇÃO'!$B:$B,0))="Pre-Splitting","S"))),"")</f>
        <v/>
      </c>
      <c r="K503" s="14">
        <f t="shared" ref="K503:K522" si="49">K502+1</f>
        <v>1130</v>
      </c>
      <c r="L503" s="4" t="str">
        <f>IFERROR(INDEX('LEV R&amp;D'!$D:$D,MATCH(MEDIÇÃO!K503,'LEV R&amp;D'!$A:$A,0))-INDEX('PROJETO PERFURAÇÃO'!$AH:$AH,MATCH(MEDIÇÃO!K503,'PROJETO PERFURAÇÃO'!$B:$B,0)),"")</f>
        <v/>
      </c>
      <c r="M503" s="8" t="str">
        <f>IFERROR(INDEX('PROJETO PERFURAÇÃO'!$AN:$AN,MATCH(MEDIÇÃO!K503,'PROJETO PERFURAÇÃO'!$B:$B,0)),"")</f>
        <v/>
      </c>
      <c r="N503" s="3"/>
      <c r="O503" s="3"/>
      <c r="P503" s="3" t="str">
        <f>IFERROR(ROUND(INDEX('PROJETO PERFURAÇÃO'!$AB:$AB,MATCH(MEDIÇÃO!R503,'PROJETO PERFURAÇÃO'!$B:$B,0)),1)&amp;"''","")</f>
        <v/>
      </c>
      <c r="Q503" s="3" t="str">
        <f>IFERROR(IF(INDEX('PROJETO PERFURAÇÃO'!$P:$P,MATCH(MEDIÇÃO!R503,'PROJETO PERFURAÇÃO'!$B:$B,0))="Production","P",IF(INDEX('PROJETO PERFURAÇÃO'!$P:$P,MATCH(MEDIÇÃO!R503,'PROJETO PERFURAÇÃO'!$B:$B,0))="Buffer","B",IF(INDEX('PROJETO PERFURAÇÃO'!$P:$P,MATCH(MEDIÇÃO!R503,'PROJETO PERFURAÇÃO'!$B:$B,0))="Pre-Splitting","S"))),"")</f>
        <v/>
      </c>
      <c r="R503" s="14">
        <f t="shared" ref="R503:R522" si="50">R502+1</f>
        <v>1153</v>
      </c>
      <c r="S503" s="4" t="str">
        <f>IFERROR(INDEX('LEV R&amp;D'!$D:$D,MATCH(MEDIÇÃO!R503,'LEV R&amp;D'!$A:$A,0))-INDEX('PROJETO PERFURAÇÃO'!$AH:$AH,MATCH(MEDIÇÃO!R503,'PROJETO PERFURAÇÃO'!$B:$B,0)),"")</f>
        <v/>
      </c>
      <c r="T503" s="8" t="str">
        <f>IFERROR(INDEX('PROJETO PERFURAÇÃO'!$AN:$AN,MATCH(MEDIÇÃO!R503,'PROJETO PERFURAÇÃO'!$B:$B,0)),"")</f>
        <v/>
      </c>
      <c r="U503" s="3"/>
      <c r="V503" s="3"/>
    </row>
    <row r="504" spans="1:23" ht="45" customHeight="1">
      <c r="B504" s="3" t="str">
        <f>IFERROR(ROUND(INDEX('PROJETO PERFURAÇÃO'!$AB:$AB,MATCH(MEDIÇÃO!D504,'PROJETO PERFURAÇÃO'!$B:$B,0)),1)&amp;"''","")</f>
        <v/>
      </c>
      <c r="C504" s="3" t="str">
        <f>IFERROR(IF(INDEX('PROJETO PERFURAÇÃO'!$P:$P,MATCH(MEDIÇÃO!D504,'PROJETO PERFURAÇÃO'!$B:$B,0))="Production","P",IF(INDEX('PROJETO PERFURAÇÃO'!$P:$P,MATCH(MEDIÇÃO!D504,'PROJETO PERFURAÇÃO'!$B:$B,0))="Buffer","B",IF(INDEX('PROJETO PERFURAÇÃO'!$P:$P,MATCH(MEDIÇÃO!D504,'PROJETO PERFURAÇÃO'!$B:$B,0))="Pre-Splitting","S"))),"")</f>
        <v/>
      </c>
      <c r="D504" s="14">
        <f t="shared" si="48"/>
        <v>1108</v>
      </c>
      <c r="E504" s="4" t="str">
        <f>IFERROR(INDEX('LEV R&amp;D'!$D:$D,MATCH(MEDIÇÃO!D504,'LEV R&amp;D'!$A:$A,0))-INDEX('PROJETO PERFURAÇÃO'!$AH:$AH,MATCH(MEDIÇÃO!D504,'PROJETO PERFURAÇÃO'!$B:$B,0)),"")</f>
        <v/>
      </c>
      <c r="F504" s="8" t="str">
        <f>IFERROR(INDEX('PROJETO PERFURAÇÃO'!$AN:$AN,MATCH(MEDIÇÃO!D504,'PROJETO PERFURAÇÃO'!$B:$B,0)),"")</f>
        <v/>
      </c>
      <c r="G504" s="3"/>
      <c r="H504" s="3"/>
      <c r="I504" s="3" t="str">
        <f>IFERROR(ROUND(INDEX('PROJETO PERFURAÇÃO'!$AB:$AB,MATCH(MEDIÇÃO!K504,'PROJETO PERFURAÇÃO'!$B:$B,0)),1)&amp;"''","")</f>
        <v/>
      </c>
      <c r="J504" s="3" t="str">
        <f>IFERROR(IF(INDEX('PROJETO PERFURAÇÃO'!$P:$P,MATCH(MEDIÇÃO!K504,'PROJETO PERFURAÇÃO'!$B:$B,0))="Production","P",IF(INDEX('PROJETO PERFURAÇÃO'!$P:$P,MATCH(MEDIÇÃO!K504,'PROJETO PERFURAÇÃO'!$B:$B,0))="Buffer","B",IF(INDEX('PROJETO PERFURAÇÃO'!$P:$P,MATCH(MEDIÇÃO!K504,'PROJETO PERFURAÇÃO'!$B:$B,0))="Pre-Splitting","S"))),"")</f>
        <v/>
      </c>
      <c r="K504" s="14">
        <f t="shared" si="49"/>
        <v>1131</v>
      </c>
      <c r="L504" s="4" t="str">
        <f>IFERROR(INDEX('LEV R&amp;D'!$D:$D,MATCH(MEDIÇÃO!K504,'LEV R&amp;D'!$A:$A,0))-INDEX('PROJETO PERFURAÇÃO'!$AH:$AH,MATCH(MEDIÇÃO!K504,'PROJETO PERFURAÇÃO'!$B:$B,0)),"")</f>
        <v/>
      </c>
      <c r="M504" s="8" t="str">
        <f>IFERROR(INDEX('PROJETO PERFURAÇÃO'!$AN:$AN,MATCH(MEDIÇÃO!K504,'PROJETO PERFURAÇÃO'!$B:$B,0)),"")</f>
        <v/>
      </c>
      <c r="N504" s="3"/>
      <c r="O504" s="3"/>
      <c r="P504" s="3" t="str">
        <f>IFERROR(ROUND(INDEX('PROJETO PERFURAÇÃO'!$AB:$AB,MATCH(MEDIÇÃO!R504,'PROJETO PERFURAÇÃO'!$B:$B,0)),1)&amp;"''","")</f>
        <v/>
      </c>
      <c r="Q504" s="3" t="str">
        <f>IFERROR(IF(INDEX('PROJETO PERFURAÇÃO'!$P:$P,MATCH(MEDIÇÃO!R504,'PROJETO PERFURAÇÃO'!$B:$B,0))="Production","P",IF(INDEX('PROJETO PERFURAÇÃO'!$P:$P,MATCH(MEDIÇÃO!R504,'PROJETO PERFURAÇÃO'!$B:$B,0))="Buffer","B",IF(INDEX('PROJETO PERFURAÇÃO'!$P:$P,MATCH(MEDIÇÃO!R504,'PROJETO PERFURAÇÃO'!$B:$B,0))="Pre-Splitting","S"))),"")</f>
        <v/>
      </c>
      <c r="R504" s="14">
        <f t="shared" si="50"/>
        <v>1154</v>
      </c>
      <c r="S504" s="4" t="str">
        <f>IFERROR(INDEX('LEV R&amp;D'!$D:$D,MATCH(MEDIÇÃO!R504,'LEV R&amp;D'!$A:$A,0))-INDEX('PROJETO PERFURAÇÃO'!$AH:$AH,MATCH(MEDIÇÃO!R504,'PROJETO PERFURAÇÃO'!$B:$B,0)),"")</f>
        <v/>
      </c>
      <c r="T504" s="8" t="str">
        <f>IFERROR(INDEX('PROJETO PERFURAÇÃO'!$AN:$AN,MATCH(MEDIÇÃO!R504,'PROJETO PERFURAÇÃO'!$B:$B,0)),"")</f>
        <v/>
      </c>
      <c r="U504" s="3"/>
      <c r="V504" s="3"/>
    </row>
    <row r="505" spans="1:23" ht="45" customHeight="1">
      <c r="B505" s="3" t="str">
        <f>IFERROR(ROUND(INDEX('PROJETO PERFURAÇÃO'!$AB:$AB,MATCH(MEDIÇÃO!D505,'PROJETO PERFURAÇÃO'!$B:$B,0)),1)&amp;"''","")</f>
        <v/>
      </c>
      <c r="C505" s="3" t="str">
        <f>IFERROR(IF(INDEX('PROJETO PERFURAÇÃO'!$P:$P,MATCH(MEDIÇÃO!D505,'PROJETO PERFURAÇÃO'!$B:$B,0))="Production","P",IF(INDEX('PROJETO PERFURAÇÃO'!$P:$P,MATCH(MEDIÇÃO!D505,'PROJETO PERFURAÇÃO'!$B:$B,0))="Buffer","B",IF(INDEX('PROJETO PERFURAÇÃO'!$P:$P,MATCH(MEDIÇÃO!D505,'PROJETO PERFURAÇÃO'!$B:$B,0))="Pre-Splitting","S"))),"")</f>
        <v/>
      </c>
      <c r="D505" s="14">
        <f t="shared" si="48"/>
        <v>1109</v>
      </c>
      <c r="E505" s="4" t="str">
        <f>IFERROR(INDEX('LEV R&amp;D'!$D:$D,MATCH(MEDIÇÃO!D505,'LEV R&amp;D'!$A:$A,0))-INDEX('PROJETO PERFURAÇÃO'!$AH:$AH,MATCH(MEDIÇÃO!D505,'PROJETO PERFURAÇÃO'!$B:$B,0)),"")</f>
        <v/>
      </c>
      <c r="F505" s="8" t="str">
        <f>IFERROR(INDEX('PROJETO PERFURAÇÃO'!$AN:$AN,MATCH(MEDIÇÃO!D505,'PROJETO PERFURAÇÃO'!$B:$B,0)),"")</f>
        <v/>
      </c>
      <c r="G505" s="3"/>
      <c r="H505" s="3"/>
      <c r="I505" s="3" t="str">
        <f>IFERROR(ROUND(INDEX('PROJETO PERFURAÇÃO'!$AB:$AB,MATCH(MEDIÇÃO!K505,'PROJETO PERFURAÇÃO'!$B:$B,0)),1)&amp;"''","")</f>
        <v/>
      </c>
      <c r="J505" s="3" t="str">
        <f>IFERROR(IF(INDEX('PROJETO PERFURAÇÃO'!$P:$P,MATCH(MEDIÇÃO!K505,'PROJETO PERFURAÇÃO'!$B:$B,0))="Production","P",IF(INDEX('PROJETO PERFURAÇÃO'!$P:$P,MATCH(MEDIÇÃO!K505,'PROJETO PERFURAÇÃO'!$B:$B,0))="Buffer","B",IF(INDEX('PROJETO PERFURAÇÃO'!$P:$P,MATCH(MEDIÇÃO!K505,'PROJETO PERFURAÇÃO'!$B:$B,0))="Pre-Splitting","S"))),"")</f>
        <v/>
      </c>
      <c r="K505" s="14">
        <f t="shared" si="49"/>
        <v>1132</v>
      </c>
      <c r="L505" s="4" t="str">
        <f>IFERROR(INDEX('LEV R&amp;D'!$D:$D,MATCH(MEDIÇÃO!K505,'LEV R&amp;D'!$A:$A,0))-INDEX('PROJETO PERFURAÇÃO'!$AH:$AH,MATCH(MEDIÇÃO!K505,'PROJETO PERFURAÇÃO'!$B:$B,0)),"")</f>
        <v/>
      </c>
      <c r="M505" s="8" t="str">
        <f>IFERROR(INDEX('PROJETO PERFURAÇÃO'!$AN:$AN,MATCH(MEDIÇÃO!K505,'PROJETO PERFURAÇÃO'!$B:$B,0)),"")</f>
        <v/>
      </c>
      <c r="N505" s="3"/>
      <c r="O505" s="3"/>
      <c r="P505" s="3" t="str">
        <f>IFERROR(ROUND(INDEX('PROJETO PERFURAÇÃO'!$AB:$AB,MATCH(MEDIÇÃO!R505,'PROJETO PERFURAÇÃO'!$B:$B,0)),1)&amp;"''","")</f>
        <v/>
      </c>
      <c r="Q505" s="3" t="str">
        <f>IFERROR(IF(INDEX('PROJETO PERFURAÇÃO'!$P:$P,MATCH(MEDIÇÃO!R505,'PROJETO PERFURAÇÃO'!$B:$B,0))="Production","P",IF(INDEX('PROJETO PERFURAÇÃO'!$P:$P,MATCH(MEDIÇÃO!R505,'PROJETO PERFURAÇÃO'!$B:$B,0))="Buffer","B",IF(INDEX('PROJETO PERFURAÇÃO'!$P:$P,MATCH(MEDIÇÃO!R505,'PROJETO PERFURAÇÃO'!$B:$B,0))="Pre-Splitting","S"))),"")</f>
        <v/>
      </c>
      <c r="R505" s="14">
        <f t="shared" si="50"/>
        <v>1155</v>
      </c>
      <c r="S505" s="4" t="str">
        <f>IFERROR(INDEX('LEV R&amp;D'!$D:$D,MATCH(MEDIÇÃO!R505,'LEV R&amp;D'!$A:$A,0))-INDEX('PROJETO PERFURAÇÃO'!$AH:$AH,MATCH(MEDIÇÃO!R505,'PROJETO PERFURAÇÃO'!$B:$B,0)),"")</f>
        <v/>
      </c>
      <c r="T505" s="8" t="str">
        <f>IFERROR(INDEX('PROJETO PERFURAÇÃO'!$AN:$AN,MATCH(MEDIÇÃO!R505,'PROJETO PERFURAÇÃO'!$B:$B,0)),"")</f>
        <v/>
      </c>
      <c r="U505" s="3"/>
      <c r="V505" s="3"/>
    </row>
    <row r="506" spans="1:23" ht="45" customHeight="1">
      <c r="B506" s="3" t="str">
        <f>IFERROR(ROUND(INDEX('PROJETO PERFURAÇÃO'!$AB:$AB,MATCH(MEDIÇÃO!D506,'PROJETO PERFURAÇÃO'!$B:$B,0)),1)&amp;"''","")</f>
        <v/>
      </c>
      <c r="C506" s="3" t="str">
        <f>IFERROR(IF(INDEX('PROJETO PERFURAÇÃO'!$P:$P,MATCH(MEDIÇÃO!D506,'PROJETO PERFURAÇÃO'!$B:$B,0))="Production","P",IF(INDEX('PROJETO PERFURAÇÃO'!$P:$P,MATCH(MEDIÇÃO!D506,'PROJETO PERFURAÇÃO'!$B:$B,0))="Buffer","B",IF(INDEX('PROJETO PERFURAÇÃO'!$P:$P,MATCH(MEDIÇÃO!D506,'PROJETO PERFURAÇÃO'!$B:$B,0))="Pre-Splitting","S"))),"")</f>
        <v/>
      </c>
      <c r="D506" s="14">
        <f t="shared" si="48"/>
        <v>1110</v>
      </c>
      <c r="E506" s="4" t="str">
        <f>IFERROR(INDEX('LEV R&amp;D'!$D:$D,MATCH(MEDIÇÃO!D506,'LEV R&amp;D'!$A:$A,0))-INDEX('PROJETO PERFURAÇÃO'!$AH:$AH,MATCH(MEDIÇÃO!D506,'PROJETO PERFURAÇÃO'!$B:$B,0)),"")</f>
        <v/>
      </c>
      <c r="F506" s="8" t="str">
        <f>IFERROR(INDEX('PROJETO PERFURAÇÃO'!$AN:$AN,MATCH(MEDIÇÃO!D506,'PROJETO PERFURAÇÃO'!$B:$B,0)),"")</f>
        <v/>
      </c>
      <c r="G506" s="3"/>
      <c r="H506" s="3"/>
      <c r="I506" s="3" t="str">
        <f>IFERROR(ROUND(INDEX('PROJETO PERFURAÇÃO'!$AB:$AB,MATCH(MEDIÇÃO!K506,'PROJETO PERFURAÇÃO'!$B:$B,0)),1)&amp;"''","")</f>
        <v/>
      </c>
      <c r="J506" s="3" t="str">
        <f>IFERROR(IF(INDEX('PROJETO PERFURAÇÃO'!$P:$P,MATCH(MEDIÇÃO!K506,'PROJETO PERFURAÇÃO'!$B:$B,0))="Production","P",IF(INDEX('PROJETO PERFURAÇÃO'!$P:$P,MATCH(MEDIÇÃO!K506,'PROJETO PERFURAÇÃO'!$B:$B,0))="Buffer","B",IF(INDEX('PROJETO PERFURAÇÃO'!$P:$P,MATCH(MEDIÇÃO!K506,'PROJETO PERFURAÇÃO'!$B:$B,0))="Pre-Splitting","S"))),"")</f>
        <v/>
      </c>
      <c r="K506" s="14">
        <f t="shared" si="49"/>
        <v>1133</v>
      </c>
      <c r="L506" s="4" t="str">
        <f>IFERROR(INDEX('LEV R&amp;D'!$D:$D,MATCH(MEDIÇÃO!K506,'LEV R&amp;D'!$A:$A,0))-INDEX('PROJETO PERFURAÇÃO'!$AH:$AH,MATCH(MEDIÇÃO!K506,'PROJETO PERFURAÇÃO'!$B:$B,0)),"")</f>
        <v/>
      </c>
      <c r="M506" s="8" t="str">
        <f>IFERROR(INDEX('PROJETO PERFURAÇÃO'!$AN:$AN,MATCH(MEDIÇÃO!K506,'PROJETO PERFURAÇÃO'!$B:$B,0)),"")</f>
        <v/>
      </c>
      <c r="N506" s="3"/>
      <c r="O506" s="3"/>
      <c r="P506" s="3" t="str">
        <f>IFERROR(ROUND(INDEX('PROJETO PERFURAÇÃO'!$AB:$AB,MATCH(MEDIÇÃO!R506,'PROJETO PERFURAÇÃO'!$B:$B,0)),1)&amp;"''","")</f>
        <v/>
      </c>
      <c r="Q506" s="3" t="str">
        <f>IFERROR(IF(INDEX('PROJETO PERFURAÇÃO'!$P:$P,MATCH(MEDIÇÃO!R506,'PROJETO PERFURAÇÃO'!$B:$B,0))="Production","P",IF(INDEX('PROJETO PERFURAÇÃO'!$P:$P,MATCH(MEDIÇÃO!R506,'PROJETO PERFURAÇÃO'!$B:$B,0))="Buffer","B",IF(INDEX('PROJETO PERFURAÇÃO'!$P:$P,MATCH(MEDIÇÃO!R506,'PROJETO PERFURAÇÃO'!$B:$B,0))="Pre-Splitting","S"))),"")</f>
        <v/>
      </c>
      <c r="R506" s="14">
        <f t="shared" si="50"/>
        <v>1156</v>
      </c>
      <c r="S506" s="4" t="str">
        <f>IFERROR(INDEX('LEV R&amp;D'!$D:$D,MATCH(MEDIÇÃO!R506,'LEV R&amp;D'!$A:$A,0))-INDEX('PROJETO PERFURAÇÃO'!$AH:$AH,MATCH(MEDIÇÃO!R506,'PROJETO PERFURAÇÃO'!$B:$B,0)),"")</f>
        <v/>
      </c>
      <c r="T506" s="8" t="str">
        <f>IFERROR(INDEX('PROJETO PERFURAÇÃO'!$AN:$AN,MATCH(MEDIÇÃO!R506,'PROJETO PERFURAÇÃO'!$B:$B,0)),"")</f>
        <v/>
      </c>
      <c r="U506" s="3"/>
      <c r="V506" s="3"/>
    </row>
    <row r="507" spans="1:23" ht="45" customHeight="1">
      <c r="B507" s="3" t="str">
        <f>IFERROR(ROUND(INDEX('PROJETO PERFURAÇÃO'!$AB:$AB,MATCH(MEDIÇÃO!D507,'PROJETO PERFURAÇÃO'!$B:$B,0)),1)&amp;"''","")</f>
        <v/>
      </c>
      <c r="C507" s="3" t="str">
        <f>IFERROR(IF(INDEX('PROJETO PERFURAÇÃO'!$P:$P,MATCH(MEDIÇÃO!D507,'PROJETO PERFURAÇÃO'!$B:$B,0))="Production","P",IF(INDEX('PROJETO PERFURAÇÃO'!$P:$P,MATCH(MEDIÇÃO!D507,'PROJETO PERFURAÇÃO'!$B:$B,0))="Buffer","B",IF(INDEX('PROJETO PERFURAÇÃO'!$P:$P,MATCH(MEDIÇÃO!D507,'PROJETO PERFURAÇÃO'!$B:$B,0))="Pre-Splitting","S"))),"")</f>
        <v/>
      </c>
      <c r="D507" s="14">
        <f t="shared" si="48"/>
        <v>1111</v>
      </c>
      <c r="E507" s="4" t="str">
        <f>IFERROR(INDEX('LEV R&amp;D'!$D:$D,MATCH(MEDIÇÃO!D507,'LEV R&amp;D'!$A:$A,0))-INDEX('PROJETO PERFURAÇÃO'!$AH:$AH,MATCH(MEDIÇÃO!D507,'PROJETO PERFURAÇÃO'!$B:$B,0)),"")</f>
        <v/>
      </c>
      <c r="F507" s="8" t="str">
        <f>IFERROR(INDEX('PROJETO PERFURAÇÃO'!$AN:$AN,MATCH(MEDIÇÃO!D507,'PROJETO PERFURAÇÃO'!$B:$B,0)),"")</f>
        <v/>
      </c>
      <c r="G507" s="3"/>
      <c r="H507" s="3"/>
      <c r="I507" s="3" t="str">
        <f>IFERROR(ROUND(INDEX('PROJETO PERFURAÇÃO'!$AB:$AB,MATCH(MEDIÇÃO!K507,'PROJETO PERFURAÇÃO'!$B:$B,0)),1)&amp;"''","")</f>
        <v/>
      </c>
      <c r="J507" s="3" t="str">
        <f>IFERROR(IF(INDEX('PROJETO PERFURAÇÃO'!$P:$P,MATCH(MEDIÇÃO!K507,'PROJETO PERFURAÇÃO'!$B:$B,0))="Production","P",IF(INDEX('PROJETO PERFURAÇÃO'!$P:$P,MATCH(MEDIÇÃO!K507,'PROJETO PERFURAÇÃO'!$B:$B,0))="Buffer","B",IF(INDEX('PROJETO PERFURAÇÃO'!$P:$P,MATCH(MEDIÇÃO!K507,'PROJETO PERFURAÇÃO'!$B:$B,0))="Pre-Splitting","S"))),"")</f>
        <v/>
      </c>
      <c r="K507" s="14">
        <f t="shared" si="49"/>
        <v>1134</v>
      </c>
      <c r="L507" s="4" t="str">
        <f>IFERROR(INDEX('LEV R&amp;D'!$D:$D,MATCH(MEDIÇÃO!K507,'LEV R&amp;D'!$A:$A,0))-INDEX('PROJETO PERFURAÇÃO'!$AH:$AH,MATCH(MEDIÇÃO!K507,'PROJETO PERFURAÇÃO'!$B:$B,0)),"")</f>
        <v/>
      </c>
      <c r="M507" s="8" t="str">
        <f>IFERROR(INDEX('PROJETO PERFURAÇÃO'!$AN:$AN,MATCH(MEDIÇÃO!K507,'PROJETO PERFURAÇÃO'!$B:$B,0)),"")</f>
        <v/>
      </c>
      <c r="N507" s="3"/>
      <c r="O507" s="3"/>
      <c r="P507" s="3" t="str">
        <f>IFERROR(ROUND(INDEX('PROJETO PERFURAÇÃO'!$AB:$AB,MATCH(MEDIÇÃO!R507,'PROJETO PERFURAÇÃO'!$B:$B,0)),1)&amp;"''","")</f>
        <v/>
      </c>
      <c r="Q507" s="3" t="str">
        <f>IFERROR(IF(INDEX('PROJETO PERFURAÇÃO'!$P:$P,MATCH(MEDIÇÃO!R507,'PROJETO PERFURAÇÃO'!$B:$B,0))="Production","P",IF(INDEX('PROJETO PERFURAÇÃO'!$P:$P,MATCH(MEDIÇÃO!R507,'PROJETO PERFURAÇÃO'!$B:$B,0))="Buffer","B",IF(INDEX('PROJETO PERFURAÇÃO'!$P:$P,MATCH(MEDIÇÃO!R507,'PROJETO PERFURAÇÃO'!$B:$B,0))="Pre-Splitting","S"))),"")</f>
        <v/>
      </c>
      <c r="R507" s="14">
        <f t="shared" si="50"/>
        <v>1157</v>
      </c>
      <c r="S507" s="4" t="str">
        <f>IFERROR(INDEX('LEV R&amp;D'!$D:$D,MATCH(MEDIÇÃO!R507,'LEV R&amp;D'!$A:$A,0))-INDEX('PROJETO PERFURAÇÃO'!$AH:$AH,MATCH(MEDIÇÃO!R507,'PROJETO PERFURAÇÃO'!$B:$B,0)),"")</f>
        <v/>
      </c>
      <c r="T507" s="8" t="str">
        <f>IFERROR(INDEX('PROJETO PERFURAÇÃO'!$AN:$AN,MATCH(MEDIÇÃO!R507,'PROJETO PERFURAÇÃO'!$B:$B,0)),"")</f>
        <v/>
      </c>
      <c r="U507" s="3"/>
      <c r="V507" s="3"/>
    </row>
    <row r="508" spans="1:23" ht="45" customHeight="1">
      <c r="B508" s="3" t="str">
        <f>IFERROR(ROUND(INDEX('PROJETO PERFURAÇÃO'!$AB:$AB,MATCH(MEDIÇÃO!D508,'PROJETO PERFURAÇÃO'!$B:$B,0)),1)&amp;"''","")</f>
        <v/>
      </c>
      <c r="C508" s="3" t="str">
        <f>IFERROR(IF(INDEX('PROJETO PERFURAÇÃO'!$P:$P,MATCH(MEDIÇÃO!D508,'PROJETO PERFURAÇÃO'!$B:$B,0))="Production","P",IF(INDEX('PROJETO PERFURAÇÃO'!$P:$P,MATCH(MEDIÇÃO!D508,'PROJETO PERFURAÇÃO'!$B:$B,0))="Buffer","B",IF(INDEX('PROJETO PERFURAÇÃO'!$P:$P,MATCH(MEDIÇÃO!D508,'PROJETO PERFURAÇÃO'!$B:$B,0))="Pre-Splitting","S"))),"")</f>
        <v/>
      </c>
      <c r="D508" s="14">
        <f t="shared" si="48"/>
        <v>1112</v>
      </c>
      <c r="E508" s="4" t="str">
        <f>IFERROR(INDEX('LEV R&amp;D'!$D:$D,MATCH(MEDIÇÃO!D508,'LEV R&amp;D'!$A:$A,0))-INDEX('PROJETO PERFURAÇÃO'!$AH:$AH,MATCH(MEDIÇÃO!D508,'PROJETO PERFURAÇÃO'!$B:$B,0)),"")</f>
        <v/>
      </c>
      <c r="F508" s="8" t="str">
        <f>IFERROR(INDEX('PROJETO PERFURAÇÃO'!$AN:$AN,MATCH(MEDIÇÃO!D508,'PROJETO PERFURAÇÃO'!$B:$B,0)),"")</f>
        <v/>
      </c>
      <c r="G508" s="3"/>
      <c r="H508" s="3"/>
      <c r="I508" s="3" t="str">
        <f>IFERROR(ROUND(INDEX('PROJETO PERFURAÇÃO'!$AB:$AB,MATCH(MEDIÇÃO!K508,'PROJETO PERFURAÇÃO'!$B:$B,0)),1)&amp;"''","")</f>
        <v/>
      </c>
      <c r="J508" s="3" t="str">
        <f>IFERROR(IF(INDEX('PROJETO PERFURAÇÃO'!$P:$P,MATCH(MEDIÇÃO!K508,'PROJETO PERFURAÇÃO'!$B:$B,0))="Production","P",IF(INDEX('PROJETO PERFURAÇÃO'!$P:$P,MATCH(MEDIÇÃO!K508,'PROJETO PERFURAÇÃO'!$B:$B,0))="Buffer","B",IF(INDEX('PROJETO PERFURAÇÃO'!$P:$P,MATCH(MEDIÇÃO!K508,'PROJETO PERFURAÇÃO'!$B:$B,0))="Pre-Splitting","S"))),"")</f>
        <v/>
      </c>
      <c r="K508" s="14">
        <f t="shared" si="49"/>
        <v>1135</v>
      </c>
      <c r="L508" s="4" t="str">
        <f>IFERROR(INDEX('LEV R&amp;D'!$D:$D,MATCH(MEDIÇÃO!K508,'LEV R&amp;D'!$A:$A,0))-INDEX('PROJETO PERFURAÇÃO'!$AH:$AH,MATCH(MEDIÇÃO!K508,'PROJETO PERFURAÇÃO'!$B:$B,0)),"")</f>
        <v/>
      </c>
      <c r="M508" s="8" t="str">
        <f>IFERROR(INDEX('PROJETO PERFURAÇÃO'!$AN:$AN,MATCH(MEDIÇÃO!K508,'PROJETO PERFURAÇÃO'!$B:$B,0)),"")</f>
        <v/>
      </c>
      <c r="N508" s="3"/>
      <c r="O508" s="3"/>
      <c r="P508" s="3" t="str">
        <f>IFERROR(ROUND(INDEX('PROJETO PERFURAÇÃO'!$AB:$AB,MATCH(MEDIÇÃO!R508,'PROJETO PERFURAÇÃO'!$B:$B,0)),1)&amp;"''","")</f>
        <v/>
      </c>
      <c r="Q508" s="3" t="str">
        <f>IFERROR(IF(INDEX('PROJETO PERFURAÇÃO'!$P:$P,MATCH(MEDIÇÃO!R508,'PROJETO PERFURAÇÃO'!$B:$B,0))="Production","P",IF(INDEX('PROJETO PERFURAÇÃO'!$P:$P,MATCH(MEDIÇÃO!R508,'PROJETO PERFURAÇÃO'!$B:$B,0))="Buffer","B",IF(INDEX('PROJETO PERFURAÇÃO'!$P:$P,MATCH(MEDIÇÃO!R508,'PROJETO PERFURAÇÃO'!$B:$B,0))="Pre-Splitting","S"))),"")</f>
        <v/>
      </c>
      <c r="R508" s="14">
        <f t="shared" si="50"/>
        <v>1158</v>
      </c>
      <c r="S508" s="4" t="str">
        <f>IFERROR(INDEX('LEV R&amp;D'!$D:$D,MATCH(MEDIÇÃO!R508,'LEV R&amp;D'!$A:$A,0))-INDEX('PROJETO PERFURAÇÃO'!$AH:$AH,MATCH(MEDIÇÃO!R508,'PROJETO PERFURAÇÃO'!$B:$B,0)),"")</f>
        <v/>
      </c>
      <c r="T508" s="8" t="str">
        <f>IFERROR(INDEX('PROJETO PERFURAÇÃO'!$AN:$AN,MATCH(MEDIÇÃO!R508,'PROJETO PERFURAÇÃO'!$B:$B,0)),"")</f>
        <v/>
      </c>
      <c r="U508" s="3"/>
      <c r="V508" s="3"/>
    </row>
    <row r="509" spans="1:23" ht="45" customHeight="1">
      <c r="B509" s="3" t="str">
        <f>IFERROR(ROUND(INDEX('PROJETO PERFURAÇÃO'!$AB:$AB,MATCH(MEDIÇÃO!D509,'PROJETO PERFURAÇÃO'!$B:$B,0)),1)&amp;"''","")</f>
        <v/>
      </c>
      <c r="C509" s="3" t="str">
        <f>IFERROR(IF(INDEX('PROJETO PERFURAÇÃO'!$P:$P,MATCH(MEDIÇÃO!D509,'PROJETO PERFURAÇÃO'!$B:$B,0))="Production","P",IF(INDEX('PROJETO PERFURAÇÃO'!$P:$P,MATCH(MEDIÇÃO!D509,'PROJETO PERFURAÇÃO'!$B:$B,0))="Buffer","B",IF(INDEX('PROJETO PERFURAÇÃO'!$P:$P,MATCH(MEDIÇÃO!D509,'PROJETO PERFURAÇÃO'!$B:$B,0))="Pre-Splitting","S"))),"")</f>
        <v/>
      </c>
      <c r="D509" s="14">
        <f t="shared" si="48"/>
        <v>1113</v>
      </c>
      <c r="E509" s="4" t="str">
        <f>IFERROR(INDEX('LEV R&amp;D'!$D:$D,MATCH(MEDIÇÃO!D509,'LEV R&amp;D'!$A:$A,0))-INDEX('PROJETO PERFURAÇÃO'!$AH:$AH,MATCH(MEDIÇÃO!D509,'PROJETO PERFURAÇÃO'!$B:$B,0)),"")</f>
        <v/>
      </c>
      <c r="F509" s="8" t="str">
        <f>IFERROR(INDEX('PROJETO PERFURAÇÃO'!$AN:$AN,MATCH(MEDIÇÃO!D509,'PROJETO PERFURAÇÃO'!$B:$B,0)),"")</f>
        <v/>
      </c>
      <c r="G509" s="3"/>
      <c r="H509" s="3"/>
      <c r="I509" s="3" t="str">
        <f>IFERROR(ROUND(INDEX('PROJETO PERFURAÇÃO'!$AB:$AB,MATCH(MEDIÇÃO!K509,'PROJETO PERFURAÇÃO'!$B:$B,0)),1)&amp;"''","")</f>
        <v/>
      </c>
      <c r="J509" s="3" t="str">
        <f>IFERROR(IF(INDEX('PROJETO PERFURAÇÃO'!$P:$P,MATCH(MEDIÇÃO!K509,'PROJETO PERFURAÇÃO'!$B:$B,0))="Production","P",IF(INDEX('PROJETO PERFURAÇÃO'!$P:$P,MATCH(MEDIÇÃO!K509,'PROJETO PERFURAÇÃO'!$B:$B,0))="Buffer","B",IF(INDEX('PROJETO PERFURAÇÃO'!$P:$P,MATCH(MEDIÇÃO!K509,'PROJETO PERFURAÇÃO'!$B:$B,0))="Pre-Splitting","S"))),"")</f>
        <v/>
      </c>
      <c r="K509" s="14">
        <f t="shared" si="49"/>
        <v>1136</v>
      </c>
      <c r="L509" s="4" t="str">
        <f>IFERROR(INDEX('LEV R&amp;D'!$D:$D,MATCH(MEDIÇÃO!K509,'LEV R&amp;D'!$A:$A,0))-INDEX('PROJETO PERFURAÇÃO'!$AH:$AH,MATCH(MEDIÇÃO!K509,'PROJETO PERFURAÇÃO'!$B:$B,0)),"")</f>
        <v/>
      </c>
      <c r="M509" s="8" t="str">
        <f>IFERROR(INDEX('PROJETO PERFURAÇÃO'!$AN:$AN,MATCH(MEDIÇÃO!K509,'PROJETO PERFURAÇÃO'!$B:$B,0)),"")</f>
        <v/>
      </c>
      <c r="N509" s="3"/>
      <c r="O509" s="3"/>
      <c r="P509" s="3" t="str">
        <f>IFERROR(ROUND(INDEX('PROJETO PERFURAÇÃO'!$AB:$AB,MATCH(MEDIÇÃO!R509,'PROJETO PERFURAÇÃO'!$B:$B,0)),1)&amp;"''","")</f>
        <v/>
      </c>
      <c r="Q509" s="3" t="str">
        <f>IFERROR(IF(INDEX('PROJETO PERFURAÇÃO'!$P:$P,MATCH(MEDIÇÃO!R509,'PROJETO PERFURAÇÃO'!$B:$B,0))="Production","P",IF(INDEX('PROJETO PERFURAÇÃO'!$P:$P,MATCH(MEDIÇÃO!R509,'PROJETO PERFURAÇÃO'!$B:$B,0))="Buffer","B",IF(INDEX('PROJETO PERFURAÇÃO'!$P:$P,MATCH(MEDIÇÃO!R509,'PROJETO PERFURAÇÃO'!$B:$B,0))="Pre-Splitting","S"))),"")</f>
        <v/>
      </c>
      <c r="R509" s="14">
        <f t="shared" si="50"/>
        <v>1159</v>
      </c>
      <c r="S509" s="4" t="str">
        <f>IFERROR(INDEX('LEV R&amp;D'!$D:$D,MATCH(MEDIÇÃO!R509,'LEV R&amp;D'!$A:$A,0))-INDEX('PROJETO PERFURAÇÃO'!$AH:$AH,MATCH(MEDIÇÃO!R509,'PROJETO PERFURAÇÃO'!$B:$B,0)),"")</f>
        <v/>
      </c>
      <c r="T509" s="8" t="str">
        <f>IFERROR(INDEX('PROJETO PERFURAÇÃO'!$AN:$AN,MATCH(MEDIÇÃO!R509,'PROJETO PERFURAÇÃO'!$B:$B,0)),"")</f>
        <v/>
      </c>
      <c r="U509" s="3"/>
      <c r="V509" s="3"/>
    </row>
    <row r="510" spans="1:23" ht="45" customHeight="1">
      <c r="B510" s="3" t="str">
        <f>IFERROR(ROUND(INDEX('PROJETO PERFURAÇÃO'!$AB:$AB,MATCH(MEDIÇÃO!D510,'PROJETO PERFURAÇÃO'!$B:$B,0)),1)&amp;"''","")</f>
        <v/>
      </c>
      <c r="C510" s="3" t="str">
        <f>IFERROR(IF(INDEX('PROJETO PERFURAÇÃO'!$P:$P,MATCH(MEDIÇÃO!D510,'PROJETO PERFURAÇÃO'!$B:$B,0))="Production","P",IF(INDEX('PROJETO PERFURAÇÃO'!$P:$P,MATCH(MEDIÇÃO!D510,'PROJETO PERFURAÇÃO'!$B:$B,0))="Buffer","B",IF(INDEX('PROJETO PERFURAÇÃO'!$P:$P,MATCH(MEDIÇÃO!D510,'PROJETO PERFURAÇÃO'!$B:$B,0))="Pre-Splitting","S"))),"")</f>
        <v/>
      </c>
      <c r="D510" s="14">
        <f t="shared" si="48"/>
        <v>1114</v>
      </c>
      <c r="E510" s="4" t="str">
        <f>IFERROR(INDEX('LEV R&amp;D'!$D:$D,MATCH(MEDIÇÃO!D510,'LEV R&amp;D'!$A:$A,0))-INDEX('PROJETO PERFURAÇÃO'!$AH:$AH,MATCH(MEDIÇÃO!D510,'PROJETO PERFURAÇÃO'!$B:$B,0)),"")</f>
        <v/>
      </c>
      <c r="F510" s="8" t="str">
        <f>IFERROR(INDEX('PROJETO PERFURAÇÃO'!$AN:$AN,MATCH(MEDIÇÃO!D510,'PROJETO PERFURAÇÃO'!$B:$B,0)),"")</f>
        <v/>
      </c>
      <c r="G510" s="3"/>
      <c r="H510" s="3"/>
      <c r="I510" s="3" t="str">
        <f>IFERROR(ROUND(INDEX('PROJETO PERFURAÇÃO'!$AB:$AB,MATCH(MEDIÇÃO!K510,'PROJETO PERFURAÇÃO'!$B:$B,0)),1)&amp;"''","")</f>
        <v/>
      </c>
      <c r="J510" s="3" t="str">
        <f>IFERROR(IF(INDEX('PROJETO PERFURAÇÃO'!$P:$P,MATCH(MEDIÇÃO!K510,'PROJETO PERFURAÇÃO'!$B:$B,0))="Production","P",IF(INDEX('PROJETO PERFURAÇÃO'!$P:$P,MATCH(MEDIÇÃO!K510,'PROJETO PERFURAÇÃO'!$B:$B,0))="Buffer","B",IF(INDEX('PROJETO PERFURAÇÃO'!$P:$P,MATCH(MEDIÇÃO!K510,'PROJETO PERFURAÇÃO'!$B:$B,0))="Pre-Splitting","S"))),"")</f>
        <v/>
      </c>
      <c r="K510" s="14">
        <f t="shared" si="49"/>
        <v>1137</v>
      </c>
      <c r="L510" s="4" t="str">
        <f>IFERROR(INDEX('LEV R&amp;D'!$D:$D,MATCH(MEDIÇÃO!K510,'LEV R&amp;D'!$A:$A,0))-INDEX('PROJETO PERFURAÇÃO'!$AH:$AH,MATCH(MEDIÇÃO!K510,'PROJETO PERFURAÇÃO'!$B:$B,0)),"")</f>
        <v/>
      </c>
      <c r="M510" s="8" t="str">
        <f>IFERROR(INDEX('PROJETO PERFURAÇÃO'!$AN:$AN,MATCH(MEDIÇÃO!K510,'PROJETO PERFURAÇÃO'!$B:$B,0)),"")</f>
        <v/>
      </c>
      <c r="N510" s="3"/>
      <c r="O510" s="3"/>
      <c r="P510" s="3" t="str">
        <f>IFERROR(ROUND(INDEX('PROJETO PERFURAÇÃO'!$AB:$AB,MATCH(MEDIÇÃO!R510,'PROJETO PERFURAÇÃO'!$B:$B,0)),1)&amp;"''","")</f>
        <v/>
      </c>
      <c r="Q510" s="3" t="str">
        <f>IFERROR(IF(INDEX('PROJETO PERFURAÇÃO'!$P:$P,MATCH(MEDIÇÃO!R510,'PROJETO PERFURAÇÃO'!$B:$B,0))="Production","P",IF(INDEX('PROJETO PERFURAÇÃO'!$P:$P,MATCH(MEDIÇÃO!R510,'PROJETO PERFURAÇÃO'!$B:$B,0))="Buffer","B",IF(INDEX('PROJETO PERFURAÇÃO'!$P:$P,MATCH(MEDIÇÃO!R510,'PROJETO PERFURAÇÃO'!$B:$B,0))="Pre-Splitting","S"))),"")</f>
        <v/>
      </c>
      <c r="R510" s="14">
        <f t="shared" si="50"/>
        <v>1160</v>
      </c>
      <c r="S510" s="4" t="str">
        <f>IFERROR(INDEX('LEV R&amp;D'!$D:$D,MATCH(MEDIÇÃO!R510,'LEV R&amp;D'!$A:$A,0))-INDEX('PROJETO PERFURAÇÃO'!$AH:$AH,MATCH(MEDIÇÃO!R510,'PROJETO PERFURAÇÃO'!$B:$B,0)),"")</f>
        <v/>
      </c>
      <c r="T510" s="8" t="str">
        <f>IFERROR(INDEX('PROJETO PERFURAÇÃO'!$AN:$AN,MATCH(MEDIÇÃO!R510,'PROJETO PERFURAÇÃO'!$B:$B,0)),"")</f>
        <v/>
      </c>
      <c r="U510" s="3"/>
      <c r="V510" s="3"/>
    </row>
    <row r="511" spans="1:23" ht="45" customHeight="1">
      <c r="B511" s="3" t="str">
        <f>IFERROR(ROUND(INDEX('PROJETO PERFURAÇÃO'!$AB:$AB,MATCH(MEDIÇÃO!D511,'PROJETO PERFURAÇÃO'!$B:$B,0)),1)&amp;"''","")</f>
        <v/>
      </c>
      <c r="C511" s="3" t="str">
        <f>IFERROR(IF(INDEX('PROJETO PERFURAÇÃO'!$P:$P,MATCH(MEDIÇÃO!D511,'PROJETO PERFURAÇÃO'!$B:$B,0))="Production","P",IF(INDEX('PROJETO PERFURAÇÃO'!$P:$P,MATCH(MEDIÇÃO!D511,'PROJETO PERFURAÇÃO'!$B:$B,0))="Buffer","B",IF(INDEX('PROJETO PERFURAÇÃO'!$P:$P,MATCH(MEDIÇÃO!D511,'PROJETO PERFURAÇÃO'!$B:$B,0))="Pre-Splitting","S"))),"")</f>
        <v/>
      </c>
      <c r="D511" s="14">
        <f t="shared" si="48"/>
        <v>1115</v>
      </c>
      <c r="E511" s="4" t="str">
        <f>IFERROR(INDEX('LEV R&amp;D'!$D:$D,MATCH(MEDIÇÃO!D511,'LEV R&amp;D'!$A:$A,0))-INDEX('PROJETO PERFURAÇÃO'!$AH:$AH,MATCH(MEDIÇÃO!D511,'PROJETO PERFURAÇÃO'!$B:$B,0)),"")</f>
        <v/>
      </c>
      <c r="F511" s="8" t="str">
        <f>IFERROR(INDEX('PROJETO PERFURAÇÃO'!$AN:$AN,MATCH(MEDIÇÃO!D511,'PROJETO PERFURAÇÃO'!$B:$B,0)),"")</f>
        <v/>
      </c>
      <c r="G511" s="3"/>
      <c r="H511" s="3"/>
      <c r="I511" s="3" t="str">
        <f>IFERROR(ROUND(INDEX('PROJETO PERFURAÇÃO'!$AB:$AB,MATCH(MEDIÇÃO!K511,'PROJETO PERFURAÇÃO'!$B:$B,0)),1)&amp;"''","")</f>
        <v/>
      </c>
      <c r="J511" s="3" t="str">
        <f>IFERROR(IF(INDEX('PROJETO PERFURAÇÃO'!$P:$P,MATCH(MEDIÇÃO!K511,'PROJETO PERFURAÇÃO'!$B:$B,0))="Production","P",IF(INDEX('PROJETO PERFURAÇÃO'!$P:$P,MATCH(MEDIÇÃO!K511,'PROJETO PERFURAÇÃO'!$B:$B,0))="Buffer","B",IF(INDEX('PROJETO PERFURAÇÃO'!$P:$P,MATCH(MEDIÇÃO!K511,'PROJETO PERFURAÇÃO'!$B:$B,0))="Pre-Splitting","S"))),"")</f>
        <v/>
      </c>
      <c r="K511" s="14">
        <f t="shared" si="49"/>
        <v>1138</v>
      </c>
      <c r="L511" s="4" t="str">
        <f>IFERROR(INDEX('LEV R&amp;D'!$D:$D,MATCH(MEDIÇÃO!K511,'LEV R&amp;D'!$A:$A,0))-INDEX('PROJETO PERFURAÇÃO'!$AH:$AH,MATCH(MEDIÇÃO!K511,'PROJETO PERFURAÇÃO'!$B:$B,0)),"")</f>
        <v/>
      </c>
      <c r="M511" s="8" t="str">
        <f>IFERROR(INDEX('PROJETO PERFURAÇÃO'!$AN:$AN,MATCH(MEDIÇÃO!K511,'PROJETO PERFURAÇÃO'!$B:$B,0)),"")</f>
        <v/>
      </c>
      <c r="N511" s="3"/>
      <c r="O511" s="3"/>
      <c r="P511" s="3" t="str">
        <f>IFERROR(ROUND(INDEX('PROJETO PERFURAÇÃO'!$AB:$AB,MATCH(MEDIÇÃO!R511,'PROJETO PERFURAÇÃO'!$B:$B,0)),1)&amp;"''","")</f>
        <v/>
      </c>
      <c r="Q511" s="3" t="str">
        <f>IFERROR(IF(INDEX('PROJETO PERFURAÇÃO'!$P:$P,MATCH(MEDIÇÃO!R511,'PROJETO PERFURAÇÃO'!$B:$B,0))="Production","P",IF(INDEX('PROJETO PERFURAÇÃO'!$P:$P,MATCH(MEDIÇÃO!R511,'PROJETO PERFURAÇÃO'!$B:$B,0))="Buffer","B",IF(INDEX('PROJETO PERFURAÇÃO'!$P:$P,MATCH(MEDIÇÃO!R511,'PROJETO PERFURAÇÃO'!$B:$B,0))="Pre-Splitting","S"))),"")</f>
        <v/>
      </c>
      <c r="R511" s="14">
        <f t="shared" si="50"/>
        <v>1161</v>
      </c>
      <c r="S511" s="4" t="str">
        <f>IFERROR(INDEX('LEV R&amp;D'!$D:$D,MATCH(MEDIÇÃO!R511,'LEV R&amp;D'!$A:$A,0))-INDEX('PROJETO PERFURAÇÃO'!$AH:$AH,MATCH(MEDIÇÃO!R511,'PROJETO PERFURAÇÃO'!$B:$B,0)),"")</f>
        <v/>
      </c>
      <c r="T511" s="8" t="str">
        <f>IFERROR(INDEX('PROJETO PERFURAÇÃO'!$AN:$AN,MATCH(MEDIÇÃO!R511,'PROJETO PERFURAÇÃO'!$B:$B,0)),"")</f>
        <v/>
      </c>
      <c r="U511" s="3"/>
      <c r="V511" s="3"/>
    </row>
    <row r="512" spans="1:23" ht="45" customHeight="1">
      <c r="B512" s="3" t="str">
        <f>IFERROR(ROUND(INDEX('PROJETO PERFURAÇÃO'!$AB:$AB,MATCH(MEDIÇÃO!D512,'PROJETO PERFURAÇÃO'!$B:$B,0)),1)&amp;"''","")</f>
        <v/>
      </c>
      <c r="C512" s="3" t="str">
        <f>IFERROR(IF(INDEX('PROJETO PERFURAÇÃO'!$P:$P,MATCH(MEDIÇÃO!D512,'PROJETO PERFURAÇÃO'!$B:$B,0))="Production","P",IF(INDEX('PROJETO PERFURAÇÃO'!$P:$P,MATCH(MEDIÇÃO!D512,'PROJETO PERFURAÇÃO'!$B:$B,0))="Buffer","B",IF(INDEX('PROJETO PERFURAÇÃO'!$P:$P,MATCH(MEDIÇÃO!D512,'PROJETO PERFURAÇÃO'!$B:$B,0))="Pre-Splitting","S"))),"")</f>
        <v/>
      </c>
      <c r="D512" s="14">
        <f t="shared" si="48"/>
        <v>1116</v>
      </c>
      <c r="E512" s="4" t="str">
        <f>IFERROR(INDEX('LEV R&amp;D'!$D:$D,MATCH(MEDIÇÃO!D512,'LEV R&amp;D'!$A:$A,0))-INDEX('PROJETO PERFURAÇÃO'!$AH:$AH,MATCH(MEDIÇÃO!D512,'PROJETO PERFURAÇÃO'!$B:$B,0)),"")</f>
        <v/>
      </c>
      <c r="F512" s="8" t="str">
        <f>IFERROR(INDEX('PROJETO PERFURAÇÃO'!$AN:$AN,MATCH(MEDIÇÃO!D512,'PROJETO PERFURAÇÃO'!$B:$B,0)),"")</f>
        <v/>
      </c>
      <c r="G512" s="3"/>
      <c r="H512" s="3"/>
      <c r="I512" s="3" t="str">
        <f>IFERROR(ROUND(INDEX('PROJETO PERFURAÇÃO'!$AB:$AB,MATCH(MEDIÇÃO!K512,'PROJETO PERFURAÇÃO'!$B:$B,0)),1)&amp;"''","")</f>
        <v/>
      </c>
      <c r="J512" s="3" t="str">
        <f>IFERROR(IF(INDEX('PROJETO PERFURAÇÃO'!$P:$P,MATCH(MEDIÇÃO!K512,'PROJETO PERFURAÇÃO'!$B:$B,0))="Production","P",IF(INDEX('PROJETO PERFURAÇÃO'!$P:$P,MATCH(MEDIÇÃO!K512,'PROJETO PERFURAÇÃO'!$B:$B,0))="Buffer","B",IF(INDEX('PROJETO PERFURAÇÃO'!$P:$P,MATCH(MEDIÇÃO!K512,'PROJETO PERFURAÇÃO'!$B:$B,0))="Pre-Splitting","S"))),"")</f>
        <v/>
      </c>
      <c r="K512" s="14">
        <f t="shared" si="49"/>
        <v>1139</v>
      </c>
      <c r="L512" s="4" t="str">
        <f>IFERROR(INDEX('LEV R&amp;D'!$D:$D,MATCH(MEDIÇÃO!K512,'LEV R&amp;D'!$A:$A,0))-INDEX('PROJETO PERFURAÇÃO'!$AH:$AH,MATCH(MEDIÇÃO!K512,'PROJETO PERFURAÇÃO'!$B:$B,0)),"")</f>
        <v/>
      </c>
      <c r="M512" s="8" t="str">
        <f>IFERROR(INDEX('PROJETO PERFURAÇÃO'!$AN:$AN,MATCH(MEDIÇÃO!K512,'PROJETO PERFURAÇÃO'!$B:$B,0)),"")</f>
        <v/>
      </c>
      <c r="N512" s="3"/>
      <c r="O512" s="3"/>
      <c r="P512" s="3" t="str">
        <f>IFERROR(ROUND(INDEX('PROJETO PERFURAÇÃO'!$AB:$AB,MATCH(MEDIÇÃO!R512,'PROJETO PERFURAÇÃO'!$B:$B,0)),1)&amp;"''","")</f>
        <v/>
      </c>
      <c r="Q512" s="3" t="str">
        <f>IFERROR(IF(INDEX('PROJETO PERFURAÇÃO'!$P:$P,MATCH(MEDIÇÃO!R512,'PROJETO PERFURAÇÃO'!$B:$B,0))="Production","P",IF(INDEX('PROJETO PERFURAÇÃO'!$P:$P,MATCH(MEDIÇÃO!R512,'PROJETO PERFURAÇÃO'!$B:$B,0))="Buffer","B",IF(INDEX('PROJETO PERFURAÇÃO'!$P:$P,MATCH(MEDIÇÃO!R512,'PROJETO PERFURAÇÃO'!$B:$B,0))="Pre-Splitting","S"))),"")</f>
        <v/>
      </c>
      <c r="R512" s="14">
        <f t="shared" si="50"/>
        <v>1162</v>
      </c>
      <c r="S512" s="4" t="str">
        <f>IFERROR(INDEX('LEV R&amp;D'!$D:$D,MATCH(MEDIÇÃO!R512,'LEV R&amp;D'!$A:$A,0))-INDEX('PROJETO PERFURAÇÃO'!$AH:$AH,MATCH(MEDIÇÃO!R512,'PROJETO PERFURAÇÃO'!$B:$B,0)),"")</f>
        <v/>
      </c>
      <c r="T512" s="8" t="str">
        <f>IFERROR(INDEX('PROJETO PERFURAÇÃO'!$AN:$AN,MATCH(MEDIÇÃO!R512,'PROJETO PERFURAÇÃO'!$B:$B,0)),"")</f>
        <v/>
      </c>
      <c r="U512" s="3"/>
      <c r="V512" s="3"/>
    </row>
    <row r="513" spans="2:22" ht="45" customHeight="1">
      <c r="B513" s="3" t="str">
        <f>IFERROR(ROUND(INDEX('PROJETO PERFURAÇÃO'!$AB:$AB,MATCH(MEDIÇÃO!D513,'PROJETO PERFURAÇÃO'!$B:$B,0)),1)&amp;"''","")</f>
        <v/>
      </c>
      <c r="C513" s="3" t="str">
        <f>IFERROR(IF(INDEX('PROJETO PERFURAÇÃO'!$P:$P,MATCH(MEDIÇÃO!D513,'PROJETO PERFURAÇÃO'!$B:$B,0))="Production","P",IF(INDEX('PROJETO PERFURAÇÃO'!$P:$P,MATCH(MEDIÇÃO!D513,'PROJETO PERFURAÇÃO'!$B:$B,0))="Buffer","B",IF(INDEX('PROJETO PERFURAÇÃO'!$P:$P,MATCH(MEDIÇÃO!D513,'PROJETO PERFURAÇÃO'!$B:$B,0))="Pre-Splitting","S"))),"")</f>
        <v/>
      </c>
      <c r="D513" s="14">
        <f t="shared" si="48"/>
        <v>1117</v>
      </c>
      <c r="E513" s="4" t="str">
        <f>IFERROR(INDEX('LEV R&amp;D'!$D:$D,MATCH(MEDIÇÃO!D513,'LEV R&amp;D'!$A:$A,0))-INDEX('PROJETO PERFURAÇÃO'!$AH:$AH,MATCH(MEDIÇÃO!D513,'PROJETO PERFURAÇÃO'!$B:$B,0)),"")</f>
        <v/>
      </c>
      <c r="F513" s="8" t="str">
        <f>IFERROR(INDEX('PROJETO PERFURAÇÃO'!$AN:$AN,MATCH(MEDIÇÃO!D513,'PROJETO PERFURAÇÃO'!$B:$B,0)),"")</f>
        <v/>
      </c>
      <c r="G513" s="3"/>
      <c r="H513" s="3"/>
      <c r="I513" s="3" t="str">
        <f>IFERROR(ROUND(INDEX('PROJETO PERFURAÇÃO'!$AB:$AB,MATCH(MEDIÇÃO!K513,'PROJETO PERFURAÇÃO'!$B:$B,0)),1)&amp;"''","")</f>
        <v/>
      </c>
      <c r="J513" s="3" t="str">
        <f>IFERROR(IF(INDEX('PROJETO PERFURAÇÃO'!$P:$P,MATCH(MEDIÇÃO!K513,'PROJETO PERFURAÇÃO'!$B:$B,0))="Production","P",IF(INDEX('PROJETO PERFURAÇÃO'!$P:$P,MATCH(MEDIÇÃO!K513,'PROJETO PERFURAÇÃO'!$B:$B,0))="Buffer","B",IF(INDEX('PROJETO PERFURAÇÃO'!$P:$P,MATCH(MEDIÇÃO!K513,'PROJETO PERFURAÇÃO'!$B:$B,0))="Pre-Splitting","S"))),"")</f>
        <v/>
      </c>
      <c r="K513" s="14">
        <f t="shared" si="49"/>
        <v>1140</v>
      </c>
      <c r="L513" s="4" t="str">
        <f>IFERROR(INDEX('LEV R&amp;D'!$D:$D,MATCH(MEDIÇÃO!K513,'LEV R&amp;D'!$A:$A,0))-INDEX('PROJETO PERFURAÇÃO'!$AH:$AH,MATCH(MEDIÇÃO!K513,'PROJETO PERFURAÇÃO'!$B:$B,0)),"")</f>
        <v/>
      </c>
      <c r="M513" s="8" t="str">
        <f>IFERROR(INDEX('PROJETO PERFURAÇÃO'!$AN:$AN,MATCH(MEDIÇÃO!K513,'PROJETO PERFURAÇÃO'!$B:$B,0)),"")</f>
        <v/>
      </c>
      <c r="N513" s="3"/>
      <c r="O513" s="3"/>
      <c r="P513" s="3" t="str">
        <f>IFERROR(ROUND(INDEX('PROJETO PERFURAÇÃO'!$AB:$AB,MATCH(MEDIÇÃO!R513,'PROJETO PERFURAÇÃO'!$B:$B,0)),1)&amp;"''","")</f>
        <v/>
      </c>
      <c r="Q513" s="3" t="str">
        <f>IFERROR(IF(INDEX('PROJETO PERFURAÇÃO'!$P:$P,MATCH(MEDIÇÃO!R513,'PROJETO PERFURAÇÃO'!$B:$B,0))="Production","P",IF(INDEX('PROJETO PERFURAÇÃO'!$P:$P,MATCH(MEDIÇÃO!R513,'PROJETO PERFURAÇÃO'!$B:$B,0))="Buffer","B",IF(INDEX('PROJETO PERFURAÇÃO'!$P:$P,MATCH(MEDIÇÃO!R513,'PROJETO PERFURAÇÃO'!$B:$B,0))="Pre-Splitting","S"))),"")</f>
        <v/>
      </c>
      <c r="R513" s="14">
        <f t="shared" si="50"/>
        <v>1163</v>
      </c>
      <c r="S513" s="4" t="str">
        <f>IFERROR(INDEX('LEV R&amp;D'!$D:$D,MATCH(MEDIÇÃO!R513,'LEV R&amp;D'!$A:$A,0))-INDEX('PROJETO PERFURAÇÃO'!$AH:$AH,MATCH(MEDIÇÃO!R513,'PROJETO PERFURAÇÃO'!$B:$B,0)),"")</f>
        <v/>
      </c>
      <c r="T513" s="8" t="str">
        <f>IFERROR(INDEX('PROJETO PERFURAÇÃO'!$AN:$AN,MATCH(MEDIÇÃO!R513,'PROJETO PERFURAÇÃO'!$B:$B,0)),"")</f>
        <v/>
      </c>
      <c r="U513" s="3"/>
      <c r="V513" s="3"/>
    </row>
    <row r="514" spans="2:22" ht="45" customHeight="1">
      <c r="B514" s="3" t="str">
        <f>IFERROR(ROUND(INDEX('PROJETO PERFURAÇÃO'!$AB:$AB,MATCH(MEDIÇÃO!D514,'PROJETO PERFURAÇÃO'!$B:$B,0)),1)&amp;"''","")</f>
        <v/>
      </c>
      <c r="C514" s="3" t="str">
        <f>IFERROR(IF(INDEX('PROJETO PERFURAÇÃO'!$P:$P,MATCH(MEDIÇÃO!D514,'PROJETO PERFURAÇÃO'!$B:$B,0))="Production","P",IF(INDEX('PROJETO PERFURAÇÃO'!$P:$P,MATCH(MEDIÇÃO!D514,'PROJETO PERFURAÇÃO'!$B:$B,0))="Buffer","B",IF(INDEX('PROJETO PERFURAÇÃO'!$P:$P,MATCH(MEDIÇÃO!D514,'PROJETO PERFURAÇÃO'!$B:$B,0))="Pre-Splitting","S"))),"")</f>
        <v/>
      </c>
      <c r="D514" s="14">
        <f t="shared" si="48"/>
        <v>1118</v>
      </c>
      <c r="E514" s="4" t="str">
        <f>IFERROR(INDEX('LEV R&amp;D'!$D:$D,MATCH(MEDIÇÃO!D514,'LEV R&amp;D'!$A:$A,0))-INDEX('PROJETO PERFURAÇÃO'!$AH:$AH,MATCH(MEDIÇÃO!D514,'PROJETO PERFURAÇÃO'!$B:$B,0)),"")</f>
        <v/>
      </c>
      <c r="F514" s="8" t="str">
        <f>IFERROR(INDEX('PROJETO PERFURAÇÃO'!$AN:$AN,MATCH(MEDIÇÃO!D514,'PROJETO PERFURAÇÃO'!$B:$B,0)),"")</f>
        <v/>
      </c>
      <c r="G514" s="3"/>
      <c r="H514" s="3"/>
      <c r="I514" s="3" t="str">
        <f>IFERROR(ROUND(INDEX('PROJETO PERFURAÇÃO'!$AB:$AB,MATCH(MEDIÇÃO!K514,'PROJETO PERFURAÇÃO'!$B:$B,0)),1)&amp;"''","")</f>
        <v/>
      </c>
      <c r="J514" s="3" t="str">
        <f>IFERROR(IF(INDEX('PROJETO PERFURAÇÃO'!$P:$P,MATCH(MEDIÇÃO!K514,'PROJETO PERFURAÇÃO'!$B:$B,0))="Production","P",IF(INDEX('PROJETO PERFURAÇÃO'!$P:$P,MATCH(MEDIÇÃO!K514,'PROJETO PERFURAÇÃO'!$B:$B,0))="Buffer","B",IF(INDEX('PROJETO PERFURAÇÃO'!$P:$P,MATCH(MEDIÇÃO!K514,'PROJETO PERFURAÇÃO'!$B:$B,0))="Pre-Splitting","S"))),"")</f>
        <v/>
      </c>
      <c r="K514" s="14">
        <f t="shared" si="49"/>
        <v>1141</v>
      </c>
      <c r="L514" s="4" t="str">
        <f>IFERROR(INDEX('LEV R&amp;D'!$D:$D,MATCH(MEDIÇÃO!K514,'LEV R&amp;D'!$A:$A,0))-INDEX('PROJETO PERFURAÇÃO'!$AH:$AH,MATCH(MEDIÇÃO!K514,'PROJETO PERFURAÇÃO'!$B:$B,0)),"")</f>
        <v/>
      </c>
      <c r="M514" s="8" t="str">
        <f>IFERROR(INDEX('PROJETO PERFURAÇÃO'!$AN:$AN,MATCH(MEDIÇÃO!K514,'PROJETO PERFURAÇÃO'!$B:$B,0)),"")</f>
        <v/>
      </c>
      <c r="N514" s="3"/>
      <c r="O514" s="3"/>
      <c r="P514" s="3" t="str">
        <f>IFERROR(ROUND(INDEX('PROJETO PERFURAÇÃO'!$AB:$AB,MATCH(MEDIÇÃO!R514,'PROJETO PERFURAÇÃO'!$B:$B,0)),1)&amp;"''","")</f>
        <v/>
      </c>
      <c r="Q514" s="3" t="str">
        <f>IFERROR(IF(INDEX('PROJETO PERFURAÇÃO'!$P:$P,MATCH(MEDIÇÃO!R514,'PROJETO PERFURAÇÃO'!$B:$B,0))="Production","P",IF(INDEX('PROJETO PERFURAÇÃO'!$P:$P,MATCH(MEDIÇÃO!R514,'PROJETO PERFURAÇÃO'!$B:$B,0))="Buffer","B",IF(INDEX('PROJETO PERFURAÇÃO'!$P:$P,MATCH(MEDIÇÃO!R514,'PROJETO PERFURAÇÃO'!$B:$B,0))="Pre-Splitting","S"))),"")</f>
        <v/>
      </c>
      <c r="R514" s="14">
        <f t="shared" si="50"/>
        <v>1164</v>
      </c>
      <c r="S514" s="4" t="str">
        <f>IFERROR(INDEX('LEV R&amp;D'!$D:$D,MATCH(MEDIÇÃO!R514,'LEV R&amp;D'!$A:$A,0))-INDEX('PROJETO PERFURAÇÃO'!$AH:$AH,MATCH(MEDIÇÃO!R514,'PROJETO PERFURAÇÃO'!$B:$B,0)),"")</f>
        <v/>
      </c>
      <c r="T514" s="8" t="str">
        <f>IFERROR(INDEX('PROJETO PERFURAÇÃO'!$AN:$AN,MATCH(MEDIÇÃO!R514,'PROJETO PERFURAÇÃO'!$B:$B,0)),"")</f>
        <v/>
      </c>
      <c r="U514" s="3"/>
      <c r="V514" s="3"/>
    </row>
    <row r="515" spans="2:22" ht="45" customHeight="1">
      <c r="B515" s="3" t="str">
        <f>IFERROR(ROUND(INDEX('PROJETO PERFURAÇÃO'!$AB:$AB,MATCH(MEDIÇÃO!D515,'PROJETO PERFURAÇÃO'!$B:$B,0)),1)&amp;"''","")</f>
        <v/>
      </c>
      <c r="C515" s="3" t="str">
        <f>IFERROR(IF(INDEX('PROJETO PERFURAÇÃO'!$P:$P,MATCH(MEDIÇÃO!D515,'PROJETO PERFURAÇÃO'!$B:$B,0))="Production","P",IF(INDEX('PROJETO PERFURAÇÃO'!$P:$P,MATCH(MEDIÇÃO!D515,'PROJETO PERFURAÇÃO'!$B:$B,0))="Buffer","B",IF(INDEX('PROJETO PERFURAÇÃO'!$P:$P,MATCH(MEDIÇÃO!D515,'PROJETO PERFURAÇÃO'!$B:$B,0))="Pre-Splitting","S"))),"")</f>
        <v/>
      </c>
      <c r="D515" s="14">
        <f t="shared" si="48"/>
        <v>1119</v>
      </c>
      <c r="E515" s="4" t="str">
        <f>IFERROR(INDEX('LEV R&amp;D'!$D:$D,MATCH(MEDIÇÃO!D515,'LEV R&amp;D'!$A:$A,0))-INDEX('PROJETO PERFURAÇÃO'!$AH:$AH,MATCH(MEDIÇÃO!D515,'PROJETO PERFURAÇÃO'!$B:$B,0)),"")</f>
        <v/>
      </c>
      <c r="F515" s="8" t="str">
        <f>IFERROR(INDEX('PROJETO PERFURAÇÃO'!$AN:$AN,MATCH(MEDIÇÃO!D515,'PROJETO PERFURAÇÃO'!$B:$B,0)),"")</f>
        <v/>
      </c>
      <c r="G515" s="3"/>
      <c r="H515" s="3"/>
      <c r="I515" s="3" t="str">
        <f>IFERROR(ROUND(INDEX('PROJETO PERFURAÇÃO'!$AB:$AB,MATCH(MEDIÇÃO!K515,'PROJETO PERFURAÇÃO'!$B:$B,0)),1)&amp;"''","")</f>
        <v/>
      </c>
      <c r="J515" s="3" t="str">
        <f>IFERROR(IF(INDEX('PROJETO PERFURAÇÃO'!$P:$P,MATCH(MEDIÇÃO!K515,'PROJETO PERFURAÇÃO'!$B:$B,0))="Production","P",IF(INDEX('PROJETO PERFURAÇÃO'!$P:$P,MATCH(MEDIÇÃO!K515,'PROJETO PERFURAÇÃO'!$B:$B,0))="Buffer","B",IF(INDEX('PROJETO PERFURAÇÃO'!$P:$P,MATCH(MEDIÇÃO!K515,'PROJETO PERFURAÇÃO'!$B:$B,0))="Pre-Splitting","S"))),"")</f>
        <v/>
      </c>
      <c r="K515" s="14">
        <f t="shared" si="49"/>
        <v>1142</v>
      </c>
      <c r="L515" s="4" t="str">
        <f>IFERROR(INDEX('LEV R&amp;D'!$D:$D,MATCH(MEDIÇÃO!K515,'LEV R&amp;D'!$A:$A,0))-INDEX('PROJETO PERFURAÇÃO'!$AH:$AH,MATCH(MEDIÇÃO!K515,'PROJETO PERFURAÇÃO'!$B:$B,0)),"")</f>
        <v/>
      </c>
      <c r="M515" s="8" t="str">
        <f>IFERROR(INDEX('PROJETO PERFURAÇÃO'!$AN:$AN,MATCH(MEDIÇÃO!K515,'PROJETO PERFURAÇÃO'!$B:$B,0)),"")</f>
        <v/>
      </c>
      <c r="N515" s="3"/>
      <c r="O515" s="3"/>
      <c r="P515" s="3" t="str">
        <f>IFERROR(ROUND(INDEX('PROJETO PERFURAÇÃO'!$AB:$AB,MATCH(MEDIÇÃO!R515,'PROJETO PERFURAÇÃO'!$B:$B,0)),1)&amp;"''","")</f>
        <v/>
      </c>
      <c r="Q515" s="3" t="str">
        <f>IFERROR(IF(INDEX('PROJETO PERFURAÇÃO'!$P:$P,MATCH(MEDIÇÃO!R515,'PROJETO PERFURAÇÃO'!$B:$B,0))="Production","P",IF(INDEX('PROJETO PERFURAÇÃO'!$P:$P,MATCH(MEDIÇÃO!R515,'PROJETO PERFURAÇÃO'!$B:$B,0))="Buffer","B",IF(INDEX('PROJETO PERFURAÇÃO'!$P:$P,MATCH(MEDIÇÃO!R515,'PROJETO PERFURAÇÃO'!$B:$B,0))="Pre-Splitting","S"))),"")</f>
        <v/>
      </c>
      <c r="R515" s="14">
        <f t="shared" si="50"/>
        <v>1165</v>
      </c>
      <c r="S515" s="4" t="str">
        <f>IFERROR(INDEX('LEV R&amp;D'!$D:$D,MATCH(MEDIÇÃO!R515,'LEV R&amp;D'!$A:$A,0))-INDEX('PROJETO PERFURAÇÃO'!$AH:$AH,MATCH(MEDIÇÃO!R515,'PROJETO PERFURAÇÃO'!$B:$B,0)),"")</f>
        <v/>
      </c>
      <c r="T515" s="8" t="str">
        <f>IFERROR(INDEX('PROJETO PERFURAÇÃO'!$AN:$AN,MATCH(MEDIÇÃO!R515,'PROJETO PERFURAÇÃO'!$B:$B,0)),"")</f>
        <v/>
      </c>
      <c r="U515" s="3"/>
      <c r="V515" s="3"/>
    </row>
    <row r="516" spans="2:22" ht="45" customHeight="1">
      <c r="B516" s="3" t="str">
        <f>IFERROR(ROUND(INDEX('PROJETO PERFURAÇÃO'!$AB:$AB,MATCH(MEDIÇÃO!D516,'PROJETO PERFURAÇÃO'!$B:$B,0)),1)&amp;"''","")</f>
        <v/>
      </c>
      <c r="C516" s="3" t="str">
        <f>IFERROR(IF(INDEX('PROJETO PERFURAÇÃO'!$P:$P,MATCH(MEDIÇÃO!D516,'PROJETO PERFURAÇÃO'!$B:$B,0))="Production","P",IF(INDEX('PROJETO PERFURAÇÃO'!$P:$P,MATCH(MEDIÇÃO!D516,'PROJETO PERFURAÇÃO'!$B:$B,0))="Buffer","B",IF(INDEX('PROJETO PERFURAÇÃO'!$P:$P,MATCH(MEDIÇÃO!D516,'PROJETO PERFURAÇÃO'!$B:$B,0))="Pre-Splitting","S"))),"")</f>
        <v/>
      </c>
      <c r="D516" s="14">
        <f t="shared" si="48"/>
        <v>1120</v>
      </c>
      <c r="E516" s="4" t="str">
        <f>IFERROR(INDEX('LEV R&amp;D'!$D:$D,MATCH(MEDIÇÃO!D516,'LEV R&amp;D'!$A:$A,0))-INDEX('PROJETO PERFURAÇÃO'!$AH:$AH,MATCH(MEDIÇÃO!D516,'PROJETO PERFURAÇÃO'!$B:$B,0)),"")</f>
        <v/>
      </c>
      <c r="F516" s="8" t="str">
        <f>IFERROR(INDEX('PROJETO PERFURAÇÃO'!$AN:$AN,MATCH(MEDIÇÃO!D516,'PROJETO PERFURAÇÃO'!$B:$B,0)),"")</f>
        <v/>
      </c>
      <c r="G516" s="3"/>
      <c r="H516" s="3"/>
      <c r="I516" s="3" t="str">
        <f>IFERROR(ROUND(INDEX('PROJETO PERFURAÇÃO'!$AB:$AB,MATCH(MEDIÇÃO!K516,'PROJETO PERFURAÇÃO'!$B:$B,0)),1)&amp;"''","")</f>
        <v/>
      </c>
      <c r="J516" s="3" t="str">
        <f>IFERROR(IF(INDEX('PROJETO PERFURAÇÃO'!$P:$P,MATCH(MEDIÇÃO!K516,'PROJETO PERFURAÇÃO'!$B:$B,0))="Production","P",IF(INDEX('PROJETO PERFURAÇÃO'!$P:$P,MATCH(MEDIÇÃO!K516,'PROJETO PERFURAÇÃO'!$B:$B,0))="Buffer","B",IF(INDEX('PROJETO PERFURAÇÃO'!$P:$P,MATCH(MEDIÇÃO!K516,'PROJETO PERFURAÇÃO'!$B:$B,0))="Pre-Splitting","S"))),"")</f>
        <v/>
      </c>
      <c r="K516" s="14">
        <f t="shared" si="49"/>
        <v>1143</v>
      </c>
      <c r="L516" s="4" t="str">
        <f>IFERROR(INDEX('LEV R&amp;D'!$D:$D,MATCH(MEDIÇÃO!K516,'LEV R&amp;D'!$A:$A,0))-INDEX('PROJETO PERFURAÇÃO'!$AH:$AH,MATCH(MEDIÇÃO!K516,'PROJETO PERFURAÇÃO'!$B:$B,0)),"")</f>
        <v/>
      </c>
      <c r="M516" s="8" t="str">
        <f>IFERROR(INDEX('PROJETO PERFURAÇÃO'!$AN:$AN,MATCH(MEDIÇÃO!K516,'PROJETO PERFURAÇÃO'!$B:$B,0)),"")</f>
        <v/>
      </c>
      <c r="N516" s="3"/>
      <c r="O516" s="3"/>
      <c r="P516" s="3" t="str">
        <f>IFERROR(ROUND(INDEX('PROJETO PERFURAÇÃO'!$AB:$AB,MATCH(MEDIÇÃO!R516,'PROJETO PERFURAÇÃO'!$B:$B,0)),1)&amp;"''","")</f>
        <v/>
      </c>
      <c r="Q516" s="3" t="str">
        <f>IFERROR(IF(INDEX('PROJETO PERFURAÇÃO'!$P:$P,MATCH(MEDIÇÃO!R516,'PROJETO PERFURAÇÃO'!$B:$B,0))="Production","P",IF(INDEX('PROJETO PERFURAÇÃO'!$P:$P,MATCH(MEDIÇÃO!R516,'PROJETO PERFURAÇÃO'!$B:$B,0))="Buffer","B",IF(INDEX('PROJETO PERFURAÇÃO'!$P:$P,MATCH(MEDIÇÃO!R516,'PROJETO PERFURAÇÃO'!$B:$B,0))="Pre-Splitting","S"))),"")</f>
        <v/>
      </c>
      <c r="R516" s="14">
        <f t="shared" si="50"/>
        <v>1166</v>
      </c>
      <c r="S516" s="4" t="str">
        <f>IFERROR(INDEX('LEV R&amp;D'!$D:$D,MATCH(MEDIÇÃO!R516,'LEV R&amp;D'!$A:$A,0))-INDEX('PROJETO PERFURAÇÃO'!$AH:$AH,MATCH(MEDIÇÃO!R516,'PROJETO PERFURAÇÃO'!$B:$B,0)),"")</f>
        <v/>
      </c>
      <c r="T516" s="8" t="str">
        <f>IFERROR(INDEX('PROJETO PERFURAÇÃO'!$AN:$AN,MATCH(MEDIÇÃO!R516,'PROJETO PERFURAÇÃO'!$B:$B,0)),"")</f>
        <v/>
      </c>
      <c r="U516" s="3"/>
      <c r="V516" s="3"/>
    </row>
    <row r="517" spans="2:22" ht="45" customHeight="1">
      <c r="B517" s="3" t="str">
        <f>IFERROR(ROUND(INDEX('PROJETO PERFURAÇÃO'!$AB:$AB,MATCH(MEDIÇÃO!D517,'PROJETO PERFURAÇÃO'!$B:$B,0)),1)&amp;"''","")</f>
        <v/>
      </c>
      <c r="C517" s="3" t="str">
        <f>IFERROR(IF(INDEX('PROJETO PERFURAÇÃO'!$P:$P,MATCH(MEDIÇÃO!D517,'PROJETO PERFURAÇÃO'!$B:$B,0))="Production","P",IF(INDEX('PROJETO PERFURAÇÃO'!$P:$P,MATCH(MEDIÇÃO!D517,'PROJETO PERFURAÇÃO'!$B:$B,0))="Buffer","B",IF(INDEX('PROJETO PERFURAÇÃO'!$P:$P,MATCH(MEDIÇÃO!D517,'PROJETO PERFURAÇÃO'!$B:$B,0))="Pre-Splitting","S"))),"")</f>
        <v/>
      </c>
      <c r="D517" s="14">
        <f t="shared" si="48"/>
        <v>1121</v>
      </c>
      <c r="E517" s="4" t="str">
        <f>IFERROR(INDEX('LEV R&amp;D'!$D:$D,MATCH(MEDIÇÃO!D517,'LEV R&amp;D'!$A:$A,0))-INDEX('PROJETO PERFURAÇÃO'!$AH:$AH,MATCH(MEDIÇÃO!D517,'PROJETO PERFURAÇÃO'!$B:$B,0)),"")</f>
        <v/>
      </c>
      <c r="F517" s="8" t="str">
        <f>IFERROR(INDEX('PROJETO PERFURAÇÃO'!$AN:$AN,MATCH(MEDIÇÃO!D517,'PROJETO PERFURAÇÃO'!$B:$B,0)),"")</f>
        <v/>
      </c>
      <c r="G517" s="3"/>
      <c r="H517" s="3"/>
      <c r="I517" s="3" t="str">
        <f>IFERROR(ROUND(INDEX('PROJETO PERFURAÇÃO'!$AB:$AB,MATCH(MEDIÇÃO!K517,'PROJETO PERFURAÇÃO'!$B:$B,0)),1)&amp;"''","")</f>
        <v/>
      </c>
      <c r="J517" s="3" t="str">
        <f>IFERROR(IF(INDEX('PROJETO PERFURAÇÃO'!$P:$P,MATCH(MEDIÇÃO!K517,'PROJETO PERFURAÇÃO'!$B:$B,0))="Production","P",IF(INDEX('PROJETO PERFURAÇÃO'!$P:$P,MATCH(MEDIÇÃO!K517,'PROJETO PERFURAÇÃO'!$B:$B,0))="Buffer","B",IF(INDEX('PROJETO PERFURAÇÃO'!$P:$P,MATCH(MEDIÇÃO!K517,'PROJETO PERFURAÇÃO'!$B:$B,0))="Pre-Splitting","S"))),"")</f>
        <v/>
      </c>
      <c r="K517" s="14">
        <f t="shared" si="49"/>
        <v>1144</v>
      </c>
      <c r="L517" s="4" t="str">
        <f>IFERROR(INDEX('LEV R&amp;D'!$D:$D,MATCH(MEDIÇÃO!K517,'LEV R&amp;D'!$A:$A,0))-INDEX('PROJETO PERFURAÇÃO'!$AH:$AH,MATCH(MEDIÇÃO!K517,'PROJETO PERFURAÇÃO'!$B:$B,0)),"")</f>
        <v/>
      </c>
      <c r="M517" s="8" t="str">
        <f>IFERROR(INDEX('PROJETO PERFURAÇÃO'!$AN:$AN,MATCH(MEDIÇÃO!K517,'PROJETO PERFURAÇÃO'!$B:$B,0)),"")</f>
        <v/>
      </c>
      <c r="N517" s="3"/>
      <c r="O517" s="3"/>
      <c r="P517" s="3" t="str">
        <f>IFERROR(ROUND(INDEX('PROJETO PERFURAÇÃO'!$AB:$AB,MATCH(MEDIÇÃO!R517,'PROJETO PERFURAÇÃO'!$B:$B,0)),1)&amp;"''","")</f>
        <v/>
      </c>
      <c r="Q517" s="3" t="str">
        <f>IFERROR(IF(INDEX('PROJETO PERFURAÇÃO'!$P:$P,MATCH(MEDIÇÃO!R517,'PROJETO PERFURAÇÃO'!$B:$B,0))="Production","P",IF(INDEX('PROJETO PERFURAÇÃO'!$P:$P,MATCH(MEDIÇÃO!R517,'PROJETO PERFURAÇÃO'!$B:$B,0))="Buffer","B",IF(INDEX('PROJETO PERFURAÇÃO'!$P:$P,MATCH(MEDIÇÃO!R517,'PROJETO PERFURAÇÃO'!$B:$B,0))="Pre-Splitting","S"))),"")</f>
        <v/>
      </c>
      <c r="R517" s="14">
        <f t="shared" si="50"/>
        <v>1167</v>
      </c>
      <c r="S517" s="4" t="str">
        <f>IFERROR(INDEX('LEV R&amp;D'!$D:$D,MATCH(MEDIÇÃO!R517,'LEV R&amp;D'!$A:$A,0))-INDEX('PROJETO PERFURAÇÃO'!$AH:$AH,MATCH(MEDIÇÃO!R517,'PROJETO PERFURAÇÃO'!$B:$B,0)),"")</f>
        <v/>
      </c>
      <c r="T517" s="8" t="str">
        <f>IFERROR(INDEX('PROJETO PERFURAÇÃO'!$AN:$AN,MATCH(MEDIÇÃO!R517,'PROJETO PERFURAÇÃO'!$B:$B,0)),"")</f>
        <v/>
      </c>
      <c r="U517" s="3"/>
      <c r="V517" s="3"/>
    </row>
    <row r="518" spans="2:22" ht="45" customHeight="1">
      <c r="B518" s="3" t="str">
        <f>IFERROR(ROUND(INDEX('PROJETO PERFURAÇÃO'!$AB:$AB,MATCH(MEDIÇÃO!D518,'PROJETO PERFURAÇÃO'!$B:$B,0)),1)&amp;"''","")</f>
        <v/>
      </c>
      <c r="C518" s="3" t="str">
        <f>IFERROR(IF(INDEX('PROJETO PERFURAÇÃO'!$P:$P,MATCH(MEDIÇÃO!D518,'PROJETO PERFURAÇÃO'!$B:$B,0))="Production","P",IF(INDEX('PROJETO PERFURAÇÃO'!$P:$P,MATCH(MEDIÇÃO!D518,'PROJETO PERFURAÇÃO'!$B:$B,0))="Buffer","B",IF(INDEX('PROJETO PERFURAÇÃO'!$P:$P,MATCH(MEDIÇÃO!D518,'PROJETO PERFURAÇÃO'!$B:$B,0))="Pre-Splitting","S"))),"")</f>
        <v/>
      </c>
      <c r="D518" s="14">
        <f t="shared" si="48"/>
        <v>1122</v>
      </c>
      <c r="E518" s="4" t="str">
        <f>IFERROR(INDEX('LEV R&amp;D'!$D:$D,MATCH(MEDIÇÃO!D518,'LEV R&amp;D'!$A:$A,0))-INDEX('PROJETO PERFURAÇÃO'!$AH:$AH,MATCH(MEDIÇÃO!D518,'PROJETO PERFURAÇÃO'!$B:$B,0)),"")</f>
        <v/>
      </c>
      <c r="F518" s="8" t="str">
        <f>IFERROR(INDEX('PROJETO PERFURAÇÃO'!$AN:$AN,MATCH(MEDIÇÃO!D518,'PROJETO PERFURAÇÃO'!$B:$B,0)),"")</f>
        <v/>
      </c>
      <c r="G518" s="3"/>
      <c r="H518" s="3"/>
      <c r="I518" s="3" t="str">
        <f>IFERROR(ROUND(INDEX('PROJETO PERFURAÇÃO'!$AB:$AB,MATCH(MEDIÇÃO!K518,'PROJETO PERFURAÇÃO'!$B:$B,0)),1)&amp;"''","")</f>
        <v/>
      </c>
      <c r="J518" s="3" t="str">
        <f>IFERROR(IF(INDEX('PROJETO PERFURAÇÃO'!$P:$P,MATCH(MEDIÇÃO!K518,'PROJETO PERFURAÇÃO'!$B:$B,0))="Production","P",IF(INDEX('PROJETO PERFURAÇÃO'!$P:$P,MATCH(MEDIÇÃO!K518,'PROJETO PERFURAÇÃO'!$B:$B,0))="Buffer","B",IF(INDEX('PROJETO PERFURAÇÃO'!$P:$P,MATCH(MEDIÇÃO!K518,'PROJETO PERFURAÇÃO'!$B:$B,0))="Pre-Splitting","S"))),"")</f>
        <v/>
      </c>
      <c r="K518" s="14">
        <f t="shared" si="49"/>
        <v>1145</v>
      </c>
      <c r="L518" s="4" t="str">
        <f>IFERROR(INDEX('LEV R&amp;D'!$D:$D,MATCH(MEDIÇÃO!K518,'LEV R&amp;D'!$A:$A,0))-INDEX('PROJETO PERFURAÇÃO'!$AH:$AH,MATCH(MEDIÇÃO!K518,'PROJETO PERFURAÇÃO'!$B:$B,0)),"")</f>
        <v/>
      </c>
      <c r="M518" s="8" t="str">
        <f>IFERROR(INDEX('PROJETO PERFURAÇÃO'!$AN:$AN,MATCH(MEDIÇÃO!K518,'PROJETO PERFURAÇÃO'!$B:$B,0)),"")</f>
        <v/>
      </c>
      <c r="N518" s="3"/>
      <c r="O518" s="3"/>
      <c r="P518" s="3" t="str">
        <f>IFERROR(ROUND(INDEX('PROJETO PERFURAÇÃO'!$AB:$AB,MATCH(MEDIÇÃO!R518,'PROJETO PERFURAÇÃO'!$B:$B,0)),1)&amp;"''","")</f>
        <v/>
      </c>
      <c r="Q518" s="3" t="str">
        <f>IFERROR(IF(INDEX('PROJETO PERFURAÇÃO'!$P:$P,MATCH(MEDIÇÃO!R518,'PROJETO PERFURAÇÃO'!$B:$B,0))="Production","P",IF(INDEX('PROJETO PERFURAÇÃO'!$P:$P,MATCH(MEDIÇÃO!R518,'PROJETO PERFURAÇÃO'!$B:$B,0))="Buffer","B",IF(INDEX('PROJETO PERFURAÇÃO'!$P:$P,MATCH(MEDIÇÃO!R518,'PROJETO PERFURAÇÃO'!$B:$B,0))="Pre-Splitting","S"))),"")</f>
        <v/>
      </c>
      <c r="R518" s="14">
        <f t="shared" si="50"/>
        <v>1168</v>
      </c>
      <c r="S518" s="4" t="str">
        <f>IFERROR(INDEX('LEV R&amp;D'!$D:$D,MATCH(MEDIÇÃO!R518,'LEV R&amp;D'!$A:$A,0))-INDEX('PROJETO PERFURAÇÃO'!$AH:$AH,MATCH(MEDIÇÃO!R518,'PROJETO PERFURAÇÃO'!$B:$B,0)),"")</f>
        <v/>
      </c>
      <c r="T518" s="8" t="str">
        <f>IFERROR(INDEX('PROJETO PERFURAÇÃO'!$AN:$AN,MATCH(MEDIÇÃO!R518,'PROJETO PERFURAÇÃO'!$B:$B,0)),"")</f>
        <v/>
      </c>
      <c r="U518" s="3"/>
      <c r="V518" s="3"/>
    </row>
    <row r="519" spans="2:22" ht="45" customHeight="1">
      <c r="B519" s="3" t="str">
        <f>IFERROR(ROUND(INDEX('PROJETO PERFURAÇÃO'!$AB:$AB,MATCH(MEDIÇÃO!D519,'PROJETO PERFURAÇÃO'!$B:$B,0)),1)&amp;"''","")</f>
        <v/>
      </c>
      <c r="C519" s="3" t="str">
        <f>IFERROR(IF(INDEX('PROJETO PERFURAÇÃO'!$P:$P,MATCH(MEDIÇÃO!D519,'PROJETO PERFURAÇÃO'!$B:$B,0))="Production","P",IF(INDEX('PROJETO PERFURAÇÃO'!$P:$P,MATCH(MEDIÇÃO!D519,'PROJETO PERFURAÇÃO'!$B:$B,0))="Buffer","B",IF(INDEX('PROJETO PERFURAÇÃO'!$P:$P,MATCH(MEDIÇÃO!D519,'PROJETO PERFURAÇÃO'!$B:$B,0))="Pre-Splitting","S"))),"")</f>
        <v/>
      </c>
      <c r="D519" s="14">
        <f t="shared" si="48"/>
        <v>1123</v>
      </c>
      <c r="E519" s="4" t="str">
        <f>IFERROR(INDEX('LEV R&amp;D'!$D:$D,MATCH(MEDIÇÃO!D519,'LEV R&amp;D'!$A:$A,0))-INDEX('PROJETO PERFURAÇÃO'!$AH:$AH,MATCH(MEDIÇÃO!D519,'PROJETO PERFURAÇÃO'!$B:$B,0)),"")</f>
        <v/>
      </c>
      <c r="F519" s="8" t="str">
        <f>IFERROR(INDEX('PROJETO PERFURAÇÃO'!$AN:$AN,MATCH(MEDIÇÃO!D519,'PROJETO PERFURAÇÃO'!$B:$B,0)),"")</f>
        <v/>
      </c>
      <c r="G519" s="3"/>
      <c r="H519" s="3"/>
      <c r="I519" s="3" t="str">
        <f>IFERROR(ROUND(INDEX('PROJETO PERFURAÇÃO'!$AB:$AB,MATCH(MEDIÇÃO!K519,'PROJETO PERFURAÇÃO'!$B:$B,0)),1)&amp;"''","")</f>
        <v/>
      </c>
      <c r="J519" s="3" t="str">
        <f>IFERROR(IF(INDEX('PROJETO PERFURAÇÃO'!$P:$P,MATCH(MEDIÇÃO!K519,'PROJETO PERFURAÇÃO'!$B:$B,0))="Production","P",IF(INDEX('PROJETO PERFURAÇÃO'!$P:$P,MATCH(MEDIÇÃO!K519,'PROJETO PERFURAÇÃO'!$B:$B,0))="Buffer","B",IF(INDEX('PROJETO PERFURAÇÃO'!$P:$P,MATCH(MEDIÇÃO!K519,'PROJETO PERFURAÇÃO'!$B:$B,0))="Pre-Splitting","S"))),"")</f>
        <v/>
      </c>
      <c r="K519" s="14">
        <f t="shared" si="49"/>
        <v>1146</v>
      </c>
      <c r="L519" s="4" t="str">
        <f>IFERROR(INDEX('LEV R&amp;D'!$D:$D,MATCH(MEDIÇÃO!K519,'LEV R&amp;D'!$A:$A,0))-INDEX('PROJETO PERFURAÇÃO'!$AH:$AH,MATCH(MEDIÇÃO!K519,'PROJETO PERFURAÇÃO'!$B:$B,0)),"")</f>
        <v/>
      </c>
      <c r="M519" s="8" t="str">
        <f>IFERROR(INDEX('PROJETO PERFURAÇÃO'!$AN:$AN,MATCH(MEDIÇÃO!K519,'PROJETO PERFURAÇÃO'!$B:$B,0)),"")</f>
        <v/>
      </c>
      <c r="N519" s="3"/>
      <c r="O519" s="3"/>
      <c r="P519" s="3" t="str">
        <f>IFERROR(ROUND(INDEX('PROJETO PERFURAÇÃO'!$AB:$AB,MATCH(MEDIÇÃO!R519,'PROJETO PERFURAÇÃO'!$B:$B,0)),1)&amp;"''","")</f>
        <v/>
      </c>
      <c r="Q519" s="3" t="str">
        <f>IFERROR(IF(INDEX('PROJETO PERFURAÇÃO'!$P:$P,MATCH(MEDIÇÃO!R519,'PROJETO PERFURAÇÃO'!$B:$B,0))="Production","P",IF(INDEX('PROJETO PERFURAÇÃO'!$P:$P,MATCH(MEDIÇÃO!R519,'PROJETO PERFURAÇÃO'!$B:$B,0))="Buffer","B",IF(INDEX('PROJETO PERFURAÇÃO'!$P:$P,MATCH(MEDIÇÃO!R519,'PROJETO PERFURAÇÃO'!$B:$B,0))="Pre-Splitting","S"))),"")</f>
        <v/>
      </c>
      <c r="R519" s="14">
        <f t="shared" si="50"/>
        <v>1169</v>
      </c>
      <c r="S519" s="4" t="str">
        <f>IFERROR(INDEX('LEV R&amp;D'!$D:$D,MATCH(MEDIÇÃO!R519,'LEV R&amp;D'!$A:$A,0))-INDEX('PROJETO PERFURAÇÃO'!$AH:$AH,MATCH(MEDIÇÃO!R519,'PROJETO PERFURAÇÃO'!$B:$B,0)),"")</f>
        <v/>
      </c>
      <c r="T519" s="8" t="str">
        <f>IFERROR(INDEX('PROJETO PERFURAÇÃO'!$AN:$AN,MATCH(MEDIÇÃO!R519,'PROJETO PERFURAÇÃO'!$B:$B,0)),"")</f>
        <v/>
      </c>
      <c r="U519" s="3"/>
      <c r="V519" s="3"/>
    </row>
    <row r="520" spans="2:22" ht="45" customHeight="1">
      <c r="B520" s="3" t="str">
        <f>IFERROR(ROUND(INDEX('PROJETO PERFURAÇÃO'!$AB:$AB,MATCH(MEDIÇÃO!D520,'PROJETO PERFURAÇÃO'!$B:$B,0)),1)&amp;"''","")</f>
        <v/>
      </c>
      <c r="C520" s="3" t="str">
        <f>IFERROR(IF(INDEX('PROJETO PERFURAÇÃO'!$P:$P,MATCH(MEDIÇÃO!D520,'PROJETO PERFURAÇÃO'!$B:$B,0))="Production","P",IF(INDEX('PROJETO PERFURAÇÃO'!$P:$P,MATCH(MEDIÇÃO!D520,'PROJETO PERFURAÇÃO'!$B:$B,0))="Buffer","B",IF(INDEX('PROJETO PERFURAÇÃO'!$P:$P,MATCH(MEDIÇÃO!D520,'PROJETO PERFURAÇÃO'!$B:$B,0))="Pre-Splitting","S"))),"")</f>
        <v/>
      </c>
      <c r="D520" s="14">
        <f t="shared" si="48"/>
        <v>1124</v>
      </c>
      <c r="E520" s="4" t="str">
        <f>IFERROR(INDEX('LEV R&amp;D'!$D:$D,MATCH(MEDIÇÃO!D520,'LEV R&amp;D'!$A:$A,0))-INDEX('PROJETO PERFURAÇÃO'!$AH:$AH,MATCH(MEDIÇÃO!D520,'PROJETO PERFURAÇÃO'!$B:$B,0)),"")</f>
        <v/>
      </c>
      <c r="F520" s="8" t="str">
        <f>IFERROR(INDEX('PROJETO PERFURAÇÃO'!$AN:$AN,MATCH(MEDIÇÃO!D520,'PROJETO PERFURAÇÃO'!$B:$B,0)),"")</f>
        <v/>
      </c>
      <c r="G520" s="3"/>
      <c r="H520" s="3"/>
      <c r="I520" s="3" t="str">
        <f>IFERROR(ROUND(INDEX('PROJETO PERFURAÇÃO'!$AB:$AB,MATCH(MEDIÇÃO!K520,'PROJETO PERFURAÇÃO'!$B:$B,0)),1)&amp;"''","")</f>
        <v/>
      </c>
      <c r="J520" s="3" t="str">
        <f>IFERROR(IF(INDEX('PROJETO PERFURAÇÃO'!$P:$P,MATCH(MEDIÇÃO!K520,'PROJETO PERFURAÇÃO'!$B:$B,0))="Production","P",IF(INDEX('PROJETO PERFURAÇÃO'!$P:$P,MATCH(MEDIÇÃO!K520,'PROJETO PERFURAÇÃO'!$B:$B,0))="Buffer","B",IF(INDEX('PROJETO PERFURAÇÃO'!$P:$P,MATCH(MEDIÇÃO!K520,'PROJETO PERFURAÇÃO'!$B:$B,0))="Pre-Splitting","S"))),"")</f>
        <v/>
      </c>
      <c r="K520" s="14">
        <f t="shared" si="49"/>
        <v>1147</v>
      </c>
      <c r="L520" s="4" t="str">
        <f>IFERROR(INDEX('LEV R&amp;D'!$D:$D,MATCH(MEDIÇÃO!K520,'LEV R&amp;D'!$A:$A,0))-INDEX('PROJETO PERFURAÇÃO'!$AH:$AH,MATCH(MEDIÇÃO!K520,'PROJETO PERFURAÇÃO'!$B:$B,0)),"")</f>
        <v/>
      </c>
      <c r="M520" s="8" t="str">
        <f>IFERROR(INDEX('PROJETO PERFURAÇÃO'!$AN:$AN,MATCH(MEDIÇÃO!K520,'PROJETO PERFURAÇÃO'!$B:$B,0)),"")</f>
        <v/>
      </c>
      <c r="N520" s="3"/>
      <c r="O520" s="3"/>
      <c r="P520" s="3" t="str">
        <f>IFERROR(ROUND(INDEX('PROJETO PERFURAÇÃO'!$AB:$AB,MATCH(MEDIÇÃO!R520,'PROJETO PERFURAÇÃO'!$B:$B,0)),1)&amp;"''","")</f>
        <v/>
      </c>
      <c r="Q520" s="3" t="str">
        <f>IFERROR(IF(INDEX('PROJETO PERFURAÇÃO'!$P:$P,MATCH(MEDIÇÃO!R520,'PROJETO PERFURAÇÃO'!$B:$B,0))="Production","P",IF(INDEX('PROJETO PERFURAÇÃO'!$P:$P,MATCH(MEDIÇÃO!R520,'PROJETO PERFURAÇÃO'!$B:$B,0))="Buffer","B",IF(INDEX('PROJETO PERFURAÇÃO'!$P:$P,MATCH(MEDIÇÃO!R520,'PROJETO PERFURAÇÃO'!$B:$B,0))="Pre-Splitting","S"))),"")</f>
        <v/>
      </c>
      <c r="R520" s="14">
        <f t="shared" si="50"/>
        <v>1170</v>
      </c>
      <c r="S520" s="4" t="str">
        <f>IFERROR(INDEX('LEV R&amp;D'!$D:$D,MATCH(MEDIÇÃO!R520,'LEV R&amp;D'!$A:$A,0))-INDEX('PROJETO PERFURAÇÃO'!$AH:$AH,MATCH(MEDIÇÃO!R520,'PROJETO PERFURAÇÃO'!$B:$B,0)),"")</f>
        <v/>
      </c>
      <c r="T520" s="8" t="str">
        <f>IFERROR(INDEX('PROJETO PERFURAÇÃO'!$AN:$AN,MATCH(MEDIÇÃO!R520,'PROJETO PERFURAÇÃO'!$B:$B,0)),"")</f>
        <v/>
      </c>
      <c r="U520" s="3"/>
      <c r="V520" s="3"/>
    </row>
    <row r="521" spans="2:22" ht="45" customHeight="1">
      <c r="B521" s="3" t="str">
        <f>IFERROR(ROUND(INDEX('PROJETO PERFURAÇÃO'!$AB:$AB,MATCH(MEDIÇÃO!D521,'PROJETO PERFURAÇÃO'!$B:$B,0)),1)&amp;"''","")</f>
        <v/>
      </c>
      <c r="C521" s="3" t="str">
        <f>IFERROR(IF(INDEX('PROJETO PERFURAÇÃO'!$P:$P,MATCH(MEDIÇÃO!D521,'PROJETO PERFURAÇÃO'!$B:$B,0))="Production","P",IF(INDEX('PROJETO PERFURAÇÃO'!$P:$P,MATCH(MEDIÇÃO!D521,'PROJETO PERFURAÇÃO'!$B:$B,0))="Buffer","B",IF(INDEX('PROJETO PERFURAÇÃO'!$P:$P,MATCH(MEDIÇÃO!D521,'PROJETO PERFURAÇÃO'!$B:$B,0))="Pre-Splitting","S"))),"")</f>
        <v/>
      </c>
      <c r="D521" s="14">
        <f t="shared" si="48"/>
        <v>1125</v>
      </c>
      <c r="E521" s="4" t="str">
        <f>IFERROR(INDEX('LEV R&amp;D'!$D:$D,MATCH(MEDIÇÃO!D521,'LEV R&amp;D'!$A:$A,0))-INDEX('PROJETO PERFURAÇÃO'!$AH:$AH,MATCH(MEDIÇÃO!D521,'PROJETO PERFURAÇÃO'!$B:$B,0)),"")</f>
        <v/>
      </c>
      <c r="F521" s="8" t="str">
        <f>IFERROR(INDEX('PROJETO PERFURAÇÃO'!$AN:$AN,MATCH(MEDIÇÃO!D521,'PROJETO PERFURAÇÃO'!$B:$B,0)),"")</f>
        <v/>
      </c>
      <c r="G521" s="3"/>
      <c r="H521" s="3"/>
      <c r="I521" s="3" t="str">
        <f>IFERROR(ROUND(INDEX('PROJETO PERFURAÇÃO'!$AB:$AB,MATCH(MEDIÇÃO!K521,'PROJETO PERFURAÇÃO'!$B:$B,0)),1)&amp;"''","")</f>
        <v/>
      </c>
      <c r="J521" s="3" t="str">
        <f>IFERROR(IF(INDEX('PROJETO PERFURAÇÃO'!$P:$P,MATCH(MEDIÇÃO!K521,'PROJETO PERFURAÇÃO'!$B:$B,0))="Production","P",IF(INDEX('PROJETO PERFURAÇÃO'!$P:$P,MATCH(MEDIÇÃO!K521,'PROJETO PERFURAÇÃO'!$B:$B,0))="Buffer","B",IF(INDEX('PROJETO PERFURAÇÃO'!$P:$P,MATCH(MEDIÇÃO!K521,'PROJETO PERFURAÇÃO'!$B:$B,0))="Pre-Splitting","S"))),"")</f>
        <v/>
      </c>
      <c r="K521" s="14">
        <f t="shared" si="49"/>
        <v>1148</v>
      </c>
      <c r="L521" s="4" t="str">
        <f>IFERROR(INDEX('LEV R&amp;D'!$D:$D,MATCH(MEDIÇÃO!K521,'LEV R&amp;D'!$A:$A,0))-INDEX('PROJETO PERFURAÇÃO'!$AH:$AH,MATCH(MEDIÇÃO!K521,'PROJETO PERFURAÇÃO'!$B:$B,0)),"")</f>
        <v/>
      </c>
      <c r="M521" s="8" t="str">
        <f>IFERROR(INDEX('PROJETO PERFURAÇÃO'!$AN:$AN,MATCH(MEDIÇÃO!K521,'PROJETO PERFURAÇÃO'!$B:$B,0)),"")</f>
        <v/>
      </c>
      <c r="N521" s="3"/>
      <c r="O521" s="3"/>
      <c r="P521" s="3" t="str">
        <f>IFERROR(ROUND(INDEX('PROJETO PERFURAÇÃO'!$AB:$AB,MATCH(MEDIÇÃO!R521,'PROJETO PERFURAÇÃO'!$B:$B,0)),1)&amp;"''","")</f>
        <v/>
      </c>
      <c r="Q521" s="3" t="str">
        <f>IFERROR(IF(INDEX('PROJETO PERFURAÇÃO'!$P:$P,MATCH(MEDIÇÃO!R521,'PROJETO PERFURAÇÃO'!$B:$B,0))="Production","P",IF(INDEX('PROJETO PERFURAÇÃO'!$P:$P,MATCH(MEDIÇÃO!R521,'PROJETO PERFURAÇÃO'!$B:$B,0))="Buffer","B",IF(INDEX('PROJETO PERFURAÇÃO'!$P:$P,MATCH(MEDIÇÃO!R521,'PROJETO PERFURAÇÃO'!$B:$B,0))="Pre-Splitting","S"))),"")</f>
        <v/>
      </c>
      <c r="R521" s="14">
        <f t="shared" si="50"/>
        <v>1171</v>
      </c>
      <c r="S521" s="4" t="str">
        <f>IFERROR(INDEX('LEV R&amp;D'!$D:$D,MATCH(MEDIÇÃO!R521,'LEV R&amp;D'!$A:$A,0))-INDEX('PROJETO PERFURAÇÃO'!$AH:$AH,MATCH(MEDIÇÃO!R521,'PROJETO PERFURAÇÃO'!$B:$B,0)),"")</f>
        <v/>
      </c>
      <c r="T521" s="8" t="str">
        <f>IFERROR(INDEX('PROJETO PERFURAÇÃO'!$AN:$AN,MATCH(MEDIÇÃO!R521,'PROJETO PERFURAÇÃO'!$B:$B,0)),"")</f>
        <v/>
      </c>
      <c r="U521" s="3"/>
      <c r="V521" s="3"/>
    </row>
    <row r="522" spans="2:22" ht="45" customHeight="1">
      <c r="B522" s="3" t="str">
        <f>IFERROR(ROUND(INDEX('PROJETO PERFURAÇÃO'!$AB:$AB,MATCH(MEDIÇÃO!D522,'PROJETO PERFURAÇÃO'!$B:$B,0)),1)&amp;"''","")</f>
        <v/>
      </c>
      <c r="C522" s="3" t="str">
        <f>IFERROR(IF(INDEX('PROJETO PERFURAÇÃO'!$P:$P,MATCH(MEDIÇÃO!D522,'PROJETO PERFURAÇÃO'!$B:$B,0))="Production","P",IF(INDEX('PROJETO PERFURAÇÃO'!$P:$P,MATCH(MEDIÇÃO!D522,'PROJETO PERFURAÇÃO'!$B:$B,0))="Buffer","B",IF(INDEX('PROJETO PERFURAÇÃO'!$P:$P,MATCH(MEDIÇÃO!D522,'PROJETO PERFURAÇÃO'!$B:$B,0))="Pre-Splitting","S"))),"")</f>
        <v/>
      </c>
      <c r="D522" s="14">
        <f t="shared" si="48"/>
        <v>1126</v>
      </c>
      <c r="E522" s="4" t="str">
        <f>IFERROR(INDEX('LEV R&amp;D'!$D:$D,MATCH(MEDIÇÃO!D522,'LEV R&amp;D'!$A:$A,0))-INDEX('PROJETO PERFURAÇÃO'!$AH:$AH,MATCH(MEDIÇÃO!D522,'PROJETO PERFURAÇÃO'!$B:$B,0)),"")</f>
        <v/>
      </c>
      <c r="F522" s="8" t="str">
        <f>IFERROR(INDEX('PROJETO PERFURAÇÃO'!$AN:$AN,MATCH(MEDIÇÃO!D522,'PROJETO PERFURAÇÃO'!$B:$B,0)),"")</f>
        <v/>
      </c>
      <c r="G522" s="3"/>
      <c r="H522" s="3"/>
      <c r="I522" s="3" t="str">
        <f>IFERROR(ROUND(INDEX('PROJETO PERFURAÇÃO'!$AB:$AB,MATCH(MEDIÇÃO!K522,'PROJETO PERFURAÇÃO'!$B:$B,0)),1)&amp;"''","")</f>
        <v/>
      </c>
      <c r="J522" s="3" t="str">
        <f>IFERROR(IF(INDEX('PROJETO PERFURAÇÃO'!$P:$P,MATCH(MEDIÇÃO!K522,'PROJETO PERFURAÇÃO'!$B:$B,0))="Production","P",IF(INDEX('PROJETO PERFURAÇÃO'!$P:$P,MATCH(MEDIÇÃO!K522,'PROJETO PERFURAÇÃO'!$B:$B,0))="Buffer","B",IF(INDEX('PROJETO PERFURAÇÃO'!$P:$P,MATCH(MEDIÇÃO!K522,'PROJETO PERFURAÇÃO'!$B:$B,0))="Pre-Splitting","S"))),"")</f>
        <v/>
      </c>
      <c r="K522" s="14">
        <f t="shared" si="49"/>
        <v>1149</v>
      </c>
      <c r="L522" s="4" t="str">
        <f>IFERROR(INDEX('LEV R&amp;D'!$D:$D,MATCH(MEDIÇÃO!K522,'LEV R&amp;D'!$A:$A,0))-INDEX('PROJETO PERFURAÇÃO'!$AH:$AH,MATCH(MEDIÇÃO!K522,'PROJETO PERFURAÇÃO'!$B:$B,0)),"")</f>
        <v/>
      </c>
      <c r="M522" s="8" t="str">
        <f>IFERROR(INDEX('PROJETO PERFURAÇÃO'!$AN:$AN,MATCH(MEDIÇÃO!K522,'PROJETO PERFURAÇÃO'!$B:$B,0)),"")</f>
        <v/>
      </c>
      <c r="N522" s="3"/>
      <c r="O522" s="3"/>
      <c r="P522" s="3" t="str">
        <f>IFERROR(ROUND(INDEX('PROJETO PERFURAÇÃO'!$AB:$AB,MATCH(MEDIÇÃO!R522,'PROJETO PERFURAÇÃO'!$B:$B,0)),1)&amp;"''","")</f>
        <v/>
      </c>
      <c r="Q522" s="3" t="str">
        <f>IFERROR(IF(INDEX('PROJETO PERFURAÇÃO'!$P:$P,MATCH(MEDIÇÃO!R522,'PROJETO PERFURAÇÃO'!$B:$B,0))="Production","P",IF(INDEX('PROJETO PERFURAÇÃO'!$P:$P,MATCH(MEDIÇÃO!R522,'PROJETO PERFURAÇÃO'!$B:$B,0))="Buffer","B",IF(INDEX('PROJETO PERFURAÇÃO'!$P:$P,MATCH(MEDIÇÃO!R522,'PROJETO PERFURAÇÃO'!$B:$B,0))="Pre-Splitting","S"))),"")</f>
        <v/>
      </c>
      <c r="R522" s="14">
        <f t="shared" si="50"/>
        <v>1172</v>
      </c>
      <c r="S522" s="4" t="str">
        <f>IFERROR(INDEX('LEV R&amp;D'!$D:$D,MATCH(MEDIÇÃO!R522,'LEV R&amp;D'!$A:$A,0))-INDEX('PROJETO PERFURAÇÃO'!$AH:$AH,MATCH(MEDIÇÃO!R522,'PROJETO PERFURAÇÃO'!$B:$B,0)),"")</f>
        <v/>
      </c>
      <c r="T522" s="8" t="str">
        <f>IFERROR(INDEX('PROJETO PERFURAÇÃO'!$AN:$AN,MATCH(MEDIÇÃO!R522,'PROJETO PERFURAÇÃO'!$B:$B,0)),"")</f>
        <v/>
      </c>
      <c r="U522" s="3"/>
      <c r="V522" s="3"/>
    </row>
    <row r="523" spans="2:22" ht="45" customHeight="1">
      <c r="B523" s="3" t="str">
        <f>IFERROR(ROUND(INDEX('PROJETO PERFURAÇÃO'!$AB:$AB,MATCH(MEDIÇÃO!D523,'PROJETO PERFURAÇÃO'!$B:$B,0)),1)&amp;"''","")</f>
        <v/>
      </c>
      <c r="C523" s="3" t="str">
        <f>IFERROR(IF(INDEX('PROJETO PERFURAÇÃO'!$P:$P,MATCH(MEDIÇÃO!D523,'PROJETO PERFURAÇÃO'!$B:$B,0))="Production","P",IF(INDEX('PROJETO PERFURAÇÃO'!$P:$P,MATCH(MEDIÇÃO!D523,'PROJETO PERFURAÇÃO'!$B:$B,0))="Buffer","B",IF(INDEX('PROJETO PERFURAÇÃO'!$P:$P,MATCH(MEDIÇÃO!D523,'PROJETO PERFURAÇÃO'!$B:$B,0))="Pre-Splitting","S"))),"")</f>
        <v/>
      </c>
      <c r="D523" s="14">
        <f>D522+1</f>
        <v>1127</v>
      </c>
      <c r="E523" s="4" t="str">
        <f>IFERROR(INDEX('LEV R&amp;D'!$D:$D,MATCH(MEDIÇÃO!D523,'LEV R&amp;D'!$A:$A,0))-INDEX('PROJETO PERFURAÇÃO'!$AH:$AH,MATCH(MEDIÇÃO!D523,'PROJETO PERFURAÇÃO'!$B:$B,0)),"")</f>
        <v/>
      </c>
      <c r="F523" s="8" t="str">
        <f>IFERROR(INDEX('PROJETO PERFURAÇÃO'!$AN:$AN,MATCH(MEDIÇÃO!D523,'PROJETO PERFURAÇÃO'!$B:$B,0)),"")</f>
        <v/>
      </c>
      <c r="G523" s="3"/>
      <c r="H523" s="3"/>
      <c r="I523" s="3" t="str">
        <f>IFERROR(ROUND(INDEX('PROJETO PERFURAÇÃO'!$AB:$AB,MATCH(MEDIÇÃO!K523,'PROJETO PERFURAÇÃO'!$B:$B,0)),1)&amp;"''","")</f>
        <v/>
      </c>
      <c r="J523" s="3" t="str">
        <f>IFERROR(IF(INDEX('PROJETO PERFURAÇÃO'!$P:$P,MATCH(MEDIÇÃO!K523,'PROJETO PERFURAÇÃO'!$B:$B,0))="Production","P",IF(INDEX('PROJETO PERFURAÇÃO'!$P:$P,MATCH(MEDIÇÃO!K523,'PROJETO PERFURAÇÃO'!$B:$B,0))="Buffer","B",IF(INDEX('PROJETO PERFURAÇÃO'!$P:$P,MATCH(MEDIÇÃO!K523,'PROJETO PERFURAÇÃO'!$B:$B,0))="Pre-Splitting","S"))),"")</f>
        <v/>
      </c>
      <c r="K523" s="14">
        <f>K522+1</f>
        <v>1150</v>
      </c>
      <c r="L523" s="4" t="str">
        <f>IFERROR(INDEX('LEV R&amp;D'!$D:$D,MATCH(MEDIÇÃO!K523,'LEV R&amp;D'!$A:$A,0))-INDEX('PROJETO PERFURAÇÃO'!$AH:$AH,MATCH(MEDIÇÃO!K523,'PROJETO PERFURAÇÃO'!$B:$B,0)),"")</f>
        <v/>
      </c>
      <c r="M523" s="8" t="str">
        <f>IFERROR(INDEX('PROJETO PERFURAÇÃO'!$AN:$AN,MATCH(MEDIÇÃO!K523,'PROJETO PERFURAÇÃO'!$B:$B,0)),"")</f>
        <v/>
      </c>
      <c r="N523" s="3"/>
      <c r="O523" s="3"/>
      <c r="P523" s="3" t="str">
        <f>IFERROR(ROUND(INDEX('PROJETO PERFURAÇÃO'!$AB:$AB,MATCH(MEDIÇÃO!R523,'PROJETO PERFURAÇÃO'!$B:$B,0)),1)&amp;"''","")</f>
        <v/>
      </c>
      <c r="Q523" s="3" t="str">
        <f>IFERROR(IF(INDEX('PROJETO PERFURAÇÃO'!$P:$P,MATCH(MEDIÇÃO!R523,'PROJETO PERFURAÇÃO'!$B:$B,0))="Production","P",IF(INDEX('PROJETO PERFURAÇÃO'!$P:$P,MATCH(MEDIÇÃO!R523,'PROJETO PERFURAÇÃO'!$B:$B,0))="Buffer","B",IF(INDEX('PROJETO PERFURAÇÃO'!$P:$P,MATCH(MEDIÇÃO!R523,'PROJETO PERFURAÇÃO'!$B:$B,0))="Pre-Splitting","S"))),"")</f>
        <v/>
      </c>
      <c r="R523" s="14">
        <f>R522+1</f>
        <v>1173</v>
      </c>
      <c r="S523" s="4" t="str">
        <f>IFERROR(INDEX('LEV R&amp;D'!$D:$D,MATCH(MEDIÇÃO!R523,'LEV R&amp;D'!$A:$A,0))-INDEX('PROJETO PERFURAÇÃO'!$AH:$AH,MATCH(MEDIÇÃO!R523,'PROJETO PERFURAÇÃO'!$B:$B,0)),"")</f>
        <v/>
      </c>
      <c r="T523" s="8" t="str">
        <f>IFERROR(INDEX('PROJETO PERFURAÇÃO'!$AN:$AN,MATCH(MEDIÇÃO!R523,'PROJETO PERFURAÇÃO'!$B:$B,0)),"")</f>
        <v/>
      </c>
      <c r="U523" s="3"/>
      <c r="V523" s="3"/>
    </row>
    <row r="524" spans="2:22" ht="30" customHeight="1">
      <c r="B524" s="1"/>
      <c r="C524" s="1"/>
      <c r="D524" s="15"/>
      <c r="E524" s="2"/>
      <c r="F524" s="16"/>
      <c r="G524" s="1"/>
      <c r="H524" s="1"/>
      <c r="I524" s="1"/>
      <c r="J524" s="1"/>
      <c r="K524" s="15"/>
      <c r="L524" s="2"/>
      <c r="M524" s="16"/>
      <c r="N524" s="1"/>
      <c r="O524" s="1"/>
      <c r="P524" s="1"/>
      <c r="Q524" s="1"/>
      <c r="R524" s="15"/>
      <c r="S524" s="2"/>
      <c r="T524" s="16"/>
      <c r="U524" s="1"/>
      <c r="V524" s="1"/>
    </row>
    <row r="525" spans="2:22" ht="30" customHeight="1">
      <c r="C525" s="20"/>
      <c r="D525" s="20"/>
      <c r="E525" s="20"/>
      <c r="F525" s="20"/>
      <c r="G525" s="20"/>
      <c r="H525" s="20"/>
      <c r="I525" s="20"/>
      <c r="J525" s="20"/>
      <c r="K525" s="20"/>
      <c r="M525" s="20"/>
      <c r="N525" s="20"/>
      <c r="O525" s="20"/>
      <c r="P525" s="20"/>
      <c r="Q525" s="20"/>
      <c r="R525" s="20"/>
      <c r="S525" s="20"/>
      <c r="T525" s="20"/>
      <c r="U525" s="20"/>
    </row>
    <row r="526" spans="2:22" ht="30" customHeight="1">
      <c r="C526" s="21" t="s">
        <v>40</v>
      </c>
      <c r="D526" s="21"/>
      <c r="E526" s="21"/>
      <c r="F526" s="21"/>
      <c r="G526" s="21"/>
      <c r="H526" s="21"/>
      <c r="I526" s="21"/>
      <c r="J526" s="21"/>
      <c r="K526" s="21"/>
      <c r="L526" s="9"/>
      <c r="M526" s="21" t="s">
        <v>40</v>
      </c>
      <c r="N526" s="21"/>
      <c r="O526" s="21"/>
      <c r="P526" s="21"/>
      <c r="Q526" s="21"/>
      <c r="R526" s="21"/>
      <c r="S526" s="21"/>
      <c r="T526" s="21"/>
      <c r="U526" s="21"/>
      <c r="V526" s="9"/>
    </row>
    <row r="527" spans="2:22" ht="30" customHeight="1">
      <c r="D527" s="9"/>
      <c r="E527" s="9"/>
      <c r="F527" s="9"/>
      <c r="G527" s="9"/>
      <c r="H527" s="9"/>
      <c r="I527" s="9"/>
      <c r="J527" s="9"/>
      <c r="K527" s="9"/>
      <c r="L527" s="9"/>
      <c r="M527" s="9"/>
      <c r="N527" s="9"/>
      <c r="Q527" s="9"/>
      <c r="R527" s="9"/>
      <c r="S527" s="9"/>
      <c r="T527" s="9"/>
      <c r="U527" s="9"/>
      <c r="V527" s="9"/>
    </row>
    <row r="528" spans="2:22" ht="30" customHeight="1">
      <c r="B528" s="19" t="str">
        <f>'PROJETO PERFURAÇÃO'!$C$2&amp;" - "&amp;'PROJETO PERFURAÇÃO'!$H$2</f>
        <v>LIB037 - PP0370626</v>
      </c>
      <c r="C528" s="19"/>
      <c r="D528" s="19"/>
      <c r="E528" s="19"/>
      <c r="F528" s="19"/>
      <c r="G528" s="19"/>
      <c r="H528" s="19"/>
      <c r="I528" s="11" t="s">
        <v>34</v>
      </c>
      <c r="J528" s="10" t="s">
        <v>37</v>
      </c>
    </row>
    <row r="529" spans="1:23" ht="30" customHeight="1">
      <c r="B529" s="19"/>
      <c r="C529" s="19"/>
      <c r="D529" s="19"/>
      <c r="E529" s="19"/>
      <c r="F529" s="19"/>
      <c r="G529" s="19"/>
      <c r="H529" s="19"/>
      <c r="I529" s="12" t="s">
        <v>35</v>
      </c>
      <c r="J529" s="10" t="s">
        <v>38</v>
      </c>
      <c r="K529" s="9"/>
      <c r="L529" s="9"/>
      <c r="M529" s="9"/>
      <c r="N529" s="9"/>
      <c r="O529" s="9"/>
      <c r="P529" s="9"/>
      <c r="Q529" s="9"/>
      <c r="R529" s="9"/>
      <c r="S529" s="9"/>
      <c r="T529" s="9"/>
      <c r="U529" s="9"/>
      <c r="V529" s="9"/>
    </row>
    <row r="530" spans="1:23" ht="30" customHeight="1">
      <c r="B530" s="19"/>
      <c r="C530" s="19"/>
      <c r="D530" s="19"/>
      <c r="E530" s="19"/>
      <c r="F530" s="19"/>
      <c r="G530" s="19"/>
      <c r="H530" s="19"/>
      <c r="I530" s="13" t="s">
        <v>36</v>
      </c>
      <c r="J530" s="10" t="s">
        <v>39</v>
      </c>
    </row>
    <row r="531" spans="1:23" ht="30" customHeight="1">
      <c r="A531" s="1"/>
      <c r="B531" s="6" t="s">
        <v>33</v>
      </c>
      <c r="C531" s="6" t="s">
        <v>13</v>
      </c>
      <c r="D531" s="7" t="s">
        <v>1</v>
      </c>
      <c r="E531" s="7" t="s">
        <v>29</v>
      </c>
      <c r="F531" s="7" t="s">
        <v>30</v>
      </c>
      <c r="G531" s="7" t="s">
        <v>31</v>
      </c>
      <c r="H531" s="7" t="s">
        <v>32</v>
      </c>
      <c r="I531" s="6" t="s">
        <v>33</v>
      </c>
      <c r="J531" s="6" t="s">
        <v>13</v>
      </c>
      <c r="K531" s="7" t="s">
        <v>1</v>
      </c>
      <c r="L531" s="7" t="s">
        <v>29</v>
      </c>
      <c r="M531" s="7" t="s">
        <v>30</v>
      </c>
      <c r="N531" s="7" t="s">
        <v>31</v>
      </c>
      <c r="O531" s="7" t="s">
        <v>32</v>
      </c>
      <c r="P531" s="6" t="s">
        <v>33</v>
      </c>
      <c r="Q531" s="6" t="s">
        <v>13</v>
      </c>
      <c r="R531" s="7" t="s">
        <v>1</v>
      </c>
      <c r="S531" s="7" t="s">
        <v>29</v>
      </c>
      <c r="T531" s="7" t="s">
        <v>30</v>
      </c>
      <c r="U531" s="7" t="s">
        <v>31</v>
      </c>
      <c r="V531" s="7" t="s">
        <v>32</v>
      </c>
      <c r="W531" s="1"/>
    </row>
    <row r="532" spans="1:23" ht="45" customHeight="1">
      <c r="B532" s="3" t="str">
        <f>IFERROR(ROUND(INDEX('PROJETO PERFURAÇÃO'!$AB:$AB,MATCH(MEDIÇÃO!D532,'PROJETO PERFURAÇÃO'!$B:$B,0)),1)&amp;"''","")</f>
        <v/>
      </c>
      <c r="C532" s="3" t="str">
        <f>IFERROR(IF(INDEX('PROJETO PERFURAÇÃO'!$P:$P,MATCH(MEDIÇÃO!D532,'PROJETO PERFURAÇÃO'!$B:$B,0))="Production","P",IF(INDEX('PROJETO PERFURAÇÃO'!$P:$P,MATCH(MEDIÇÃO!D532,'PROJETO PERFURAÇÃO'!$B:$B,0))="Buffer","B",IF(INDEX('PROJETO PERFURAÇÃO'!$P:$P,MATCH(MEDIÇÃO!D532,'PROJETO PERFURAÇÃO'!$B:$B,0))="Pre-Splitting","S"))),"")</f>
        <v/>
      </c>
      <c r="D532" s="14">
        <f>R523+1</f>
        <v>1174</v>
      </c>
      <c r="E532" s="4" t="str">
        <f>IFERROR(INDEX('LEV R&amp;D'!$D:$D,MATCH(MEDIÇÃO!D532,'LEV R&amp;D'!$A:$A,0))-INDEX('PROJETO PERFURAÇÃO'!$AH:$AH,MATCH(MEDIÇÃO!D532,'PROJETO PERFURAÇÃO'!$B:$B,0)),"")</f>
        <v/>
      </c>
      <c r="F532" s="8" t="str">
        <f>IFERROR(INDEX('PROJETO PERFURAÇÃO'!$AN:$AN,MATCH(MEDIÇÃO!D532,'PROJETO PERFURAÇÃO'!$B:$B,0)),"")</f>
        <v/>
      </c>
      <c r="G532" s="3"/>
      <c r="H532" s="3"/>
      <c r="I532" s="3" t="str">
        <f>IFERROR(ROUND(INDEX('PROJETO PERFURAÇÃO'!$AB:$AB,MATCH(MEDIÇÃO!K532,'PROJETO PERFURAÇÃO'!$B:$B,0)),1)&amp;"''","")</f>
        <v/>
      </c>
      <c r="J532" s="3" t="str">
        <f>IFERROR(IF(INDEX('PROJETO PERFURAÇÃO'!$P:$P,MATCH(MEDIÇÃO!K532,'PROJETO PERFURAÇÃO'!$B:$B,0))="Production","P",IF(INDEX('PROJETO PERFURAÇÃO'!$P:$P,MATCH(MEDIÇÃO!K532,'PROJETO PERFURAÇÃO'!$B:$B,0))="Buffer","B",IF(INDEX('PROJETO PERFURAÇÃO'!$P:$P,MATCH(MEDIÇÃO!K532,'PROJETO PERFURAÇÃO'!$B:$B,0))="Pre-Splitting","S"))),"")</f>
        <v/>
      </c>
      <c r="K532" s="14">
        <f>D554+1</f>
        <v>1197</v>
      </c>
      <c r="L532" s="4" t="str">
        <f>IFERROR(INDEX('LEV R&amp;D'!$D:$D,MATCH(MEDIÇÃO!K532,'LEV R&amp;D'!$A:$A,0))-INDEX('PROJETO PERFURAÇÃO'!$AH:$AH,MATCH(MEDIÇÃO!K532,'PROJETO PERFURAÇÃO'!$B:$B,0)),"")</f>
        <v/>
      </c>
      <c r="M532" s="8" t="str">
        <f>IFERROR(INDEX('PROJETO PERFURAÇÃO'!$AN:$AN,MATCH(MEDIÇÃO!K532,'PROJETO PERFURAÇÃO'!$B:$B,0)),"")</f>
        <v/>
      </c>
      <c r="N532" s="3"/>
      <c r="O532" s="3"/>
      <c r="P532" s="3" t="str">
        <f>IFERROR(ROUND(INDEX('PROJETO PERFURAÇÃO'!$AB:$AB,MATCH(MEDIÇÃO!R532,'PROJETO PERFURAÇÃO'!$B:$B,0)),1)&amp;"''","")</f>
        <v/>
      </c>
      <c r="Q532" s="3" t="str">
        <f>IFERROR(IF(INDEX('PROJETO PERFURAÇÃO'!$P:$P,MATCH(MEDIÇÃO!R532,'PROJETO PERFURAÇÃO'!$B:$B,0))="Production","P",IF(INDEX('PROJETO PERFURAÇÃO'!$P:$P,MATCH(MEDIÇÃO!R532,'PROJETO PERFURAÇÃO'!$B:$B,0))="Buffer","B",IF(INDEX('PROJETO PERFURAÇÃO'!$P:$P,MATCH(MEDIÇÃO!R532,'PROJETO PERFURAÇÃO'!$B:$B,0))="Pre-Splitting","S"))),"")</f>
        <v/>
      </c>
      <c r="R532" s="14">
        <f>K554+1</f>
        <v>1220</v>
      </c>
      <c r="S532" s="4" t="str">
        <f>IFERROR(INDEX('LEV R&amp;D'!$D:$D,MATCH(MEDIÇÃO!R532,'LEV R&amp;D'!$A:$A,0))-INDEX('PROJETO PERFURAÇÃO'!$AH:$AH,MATCH(MEDIÇÃO!R532,'PROJETO PERFURAÇÃO'!$B:$B,0)),"")</f>
        <v/>
      </c>
      <c r="T532" s="8" t="str">
        <f>IFERROR(INDEX('PROJETO PERFURAÇÃO'!$AN:$AN,MATCH(MEDIÇÃO!R532,'PROJETO PERFURAÇÃO'!$B:$B,0)),"")</f>
        <v/>
      </c>
      <c r="U532" s="3"/>
      <c r="V532" s="3"/>
    </row>
    <row r="533" spans="1:23" ht="45" customHeight="1">
      <c r="B533" s="3" t="str">
        <f>IFERROR(ROUND(INDEX('PROJETO PERFURAÇÃO'!$AB:$AB,MATCH(MEDIÇÃO!D533,'PROJETO PERFURAÇÃO'!$B:$B,0)),1)&amp;"''","")</f>
        <v/>
      </c>
      <c r="C533" s="3" t="str">
        <f>IFERROR(IF(INDEX('PROJETO PERFURAÇÃO'!$P:$P,MATCH(MEDIÇÃO!D533,'PROJETO PERFURAÇÃO'!$B:$B,0))="Production","P",IF(INDEX('PROJETO PERFURAÇÃO'!$P:$P,MATCH(MEDIÇÃO!D533,'PROJETO PERFURAÇÃO'!$B:$B,0))="Buffer","B",IF(INDEX('PROJETO PERFURAÇÃO'!$P:$P,MATCH(MEDIÇÃO!D533,'PROJETO PERFURAÇÃO'!$B:$B,0))="Pre-Splitting","S"))),"")</f>
        <v/>
      </c>
      <c r="D533" s="14">
        <f>D532+1</f>
        <v>1175</v>
      </c>
      <c r="E533" s="4" t="str">
        <f>IFERROR(INDEX('LEV R&amp;D'!$D:$D,MATCH(MEDIÇÃO!D533,'LEV R&amp;D'!$A:$A,0))-INDEX('PROJETO PERFURAÇÃO'!$AH:$AH,MATCH(MEDIÇÃO!D533,'PROJETO PERFURAÇÃO'!$B:$B,0)),"")</f>
        <v/>
      </c>
      <c r="F533" s="8" t="str">
        <f>IFERROR(INDEX('PROJETO PERFURAÇÃO'!$AN:$AN,MATCH(MEDIÇÃO!D533,'PROJETO PERFURAÇÃO'!$B:$B,0)),"")</f>
        <v/>
      </c>
      <c r="G533" s="3"/>
      <c r="H533" s="3"/>
      <c r="I533" s="3" t="str">
        <f>IFERROR(ROUND(INDEX('PROJETO PERFURAÇÃO'!$AB:$AB,MATCH(MEDIÇÃO!K533,'PROJETO PERFURAÇÃO'!$B:$B,0)),1)&amp;"''","")</f>
        <v/>
      </c>
      <c r="J533" s="3" t="str">
        <f>IFERROR(IF(INDEX('PROJETO PERFURAÇÃO'!$P:$P,MATCH(MEDIÇÃO!K533,'PROJETO PERFURAÇÃO'!$B:$B,0))="Production","P",IF(INDEX('PROJETO PERFURAÇÃO'!$P:$P,MATCH(MEDIÇÃO!K533,'PROJETO PERFURAÇÃO'!$B:$B,0))="Buffer","B",IF(INDEX('PROJETO PERFURAÇÃO'!$P:$P,MATCH(MEDIÇÃO!K533,'PROJETO PERFURAÇÃO'!$B:$B,0))="Pre-Splitting","S"))),"")</f>
        <v/>
      </c>
      <c r="K533" s="14">
        <f>K532+1</f>
        <v>1198</v>
      </c>
      <c r="L533" s="4" t="str">
        <f>IFERROR(INDEX('LEV R&amp;D'!$D:$D,MATCH(MEDIÇÃO!K533,'LEV R&amp;D'!$A:$A,0))-INDEX('PROJETO PERFURAÇÃO'!$AH:$AH,MATCH(MEDIÇÃO!K533,'PROJETO PERFURAÇÃO'!$B:$B,0)),"")</f>
        <v/>
      </c>
      <c r="M533" s="8" t="str">
        <f>IFERROR(INDEX('PROJETO PERFURAÇÃO'!$AN:$AN,MATCH(MEDIÇÃO!K533,'PROJETO PERFURAÇÃO'!$B:$B,0)),"")</f>
        <v/>
      </c>
      <c r="N533" s="3"/>
      <c r="O533" s="3"/>
      <c r="P533" s="3" t="str">
        <f>IFERROR(ROUND(INDEX('PROJETO PERFURAÇÃO'!$AB:$AB,MATCH(MEDIÇÃO!R533,'PROJETO PERFURAÇÃO'!$B:$B,0)),1)&amp;"''","")</f>
        <v/>
      </c>
      <c r="Q533" s="3" t="str">
        <f>IFERROR(IF(INDEX('PROJETO PERFURAÇÃO'!$P:$P,MATCH(MEDIÇÃO!R533,'PROJETO PERFURAÇÃO'!$B:$B,0))="Production","P",IF(INDEX('PROJETO PERFURAÇÃO'!$P:$P,MATCH(MEDIÇÃO!R533,'PROJETO PERFURAÇÃO'!$B:$B,0))="Buffer","B",IF(INDEX('PROJETO PERFURAÇÃO'!$P:$P,MATCH(MEDIÇÃO!R533,'PROJETO PERFURAÇÃO'!$B:$B,0))="Pre-Splitting","S"))),"")</f>
        <v/>
      </c>
      <c r="R533" s="14">
        <f>R532+1</f>
        <v>1221</v>
      </c>
      <c r="S533" s="4" t="str">
        <f>IFERROR(INDEX('LEV R&amp;D'!$D:$D,MATCH(MEDIÇÃO!R533,'LEV R&amp;D'!$A:$A,0))-INDEX('PROJETO PERFURAÇÃO'!$AH:$AH,MATCH(MEDIÇÃO!R533,'PROJETO PERFURAÇÃO'!$B:$B,0)),"")</f>
        <v/>
      </c>
      <c r="T533" s="8" t="str">
        <f>IFERROR(INDEX('PROJETO PERFURAÇÃO'!$AN:$AN,MATCH(MEDIÇÃO!R533,'PROJETO PERFURAÇÃO'!$B:$B,0)),"")</f>
        <v/>
      </c>
      <c r="U533" s="3"/>
      <c r="V533" s="3"/>
    </row>
    <row r="534" spans="1:23" ht="45" customHeight="1">
      <c r="B534" s="3" t="str">
        <f>IFERROR(ROUND(INDEX('PROJETO PERFURAÇÃO'!$AB:$AB,MATCH(MEDIÇÃO!D534,'PROJETO PERFURAÇÃO'!$B:$B,0)),1)&amp;"''","")</f>
        <v/>
      </c>
      <c r="C534" s="3" t="str">
        <f>IFERROR(IF(INDEX('PROJETO PERFURAÇÃO'!$P:$P,MATCH(MEDIÇÃO!D534,'PROJETO PERFURAÇÃO'!$B:$B,0))="Production","P",IF(INDEX('PROJETO PERFURAÇÃO'!$P:$P,MATCH(MEDIÇÃO!D534,'PROJETO PERFURAÇÃO'!$B:$B,0))="Buffer","B",IF(INDEX('PROJETO PERFURAÇÃO'!$P:$P,MATCH(MEDIÇÃO!D534,'PROJETO PERFURAÇÃO'!$B:$B,0))="Pre-Splitting","S"))),"")</f>
        <v/>
      </c>
      <c r="D534" s="14">
        <f t="shared" ref="D534:D554" si="51">D533+1</f>
        <v>1176</v>
      </c>
      <c r="E534" s="4" t="str">
        <f>IFERROR(INDEX('LEV R&amp;D'!$D:$D,MATCH(MEDIÇÃO!D534,'LEV R&amp;D'!$A:$A,0))-INDEX('PROJETO PERFURAÇÃO'!$AH:$AH,MATCH(MEDIÇÃO!D534,'PROJETO PERFURAÇÃO'!$B:$B,0)),"")</f>
        <v/>
      </c>
      <c r="F534" s="8" t="str">
        <f>IFERROR(INDEX('PROJETO PERFURAÇÃO'!$AN:$AN,MATCH(MEDIÇÃO!D534,'PROJETO PERFURAÇÃO'!$B:$B,0)),"")</f>
        <v/>
      </c>
      <c r="G534" s="3"/>
      <c r="H534" s="3"/>
      <c r="I534" s="3" t="str">
        <f>IFERROR(ROUND(INDEX('PROJETO PERFURAÇÃO'!$AB:$AB,MATCH(MEDIÇÃO!K534,'PROJETO PERFURAÇÃO'!$B:$B,0)),1)&amp;"''","")</f>
        <v/>
      </c>
      <c r="J534" s="3" t="str">
        <f>IFERROR(IF(INDEX('PROJETO PERFURAÇÃO'!$P:$P,MATCH(MEDIÇÃO!K534,'PROJETO PERFURAÇÃO'!$B:$B,0))="Production","P",IF(INDEX('PROJETO PERFURAÇÃO'!$P:$P,MATCH(MEDIÇÃO!K534,'PROJETO PERFURAÇÃO'!$B:$B,0))="Buffer","B",IF(INDEX('PROJETO PERFURAÇÃO'!$P:$P,MATCH(MEDIÇÃO!K534,'PROJETO PERFURAÇÃO'!$B:$B,0))="Pre-Splitting","S"))),"")</f>
        <v/>
      </c>
      <c r="K534" s="14">
        <f t="shared" ref="K534:K553" si="52">K533+1</f>
        <v>1199</v>
      </c>
      <c r="L534" s="4" t="str">
        <f>IFERROR(INDEX('LEV R&amp;D'!$D:$D,MATCH(MEDIÇÃO!K534,'LEV R&amp;D'!$A:$A,0))-INDEX('PROJETO PERFURAÇÃO'!$AH:$AH,MATCH(MEDIÇÃO!K534,'PROJETO PERFURAÇÃO'!$B:$B,0)),"")</f>
        <v/>
      </c>
      <c r="M534" s="8" t="str">
        <f>IFERROR(INDEX('PROJETO PERFURAÇÃO'!$AN:$AN,MATCH(MEDIÇÃO!K534,'PROJETO PERFURAÇÃO'!$B:$B,0)),"")</f>
        <v/>
      </c>
      <c r="N534" s="3"/>
      <c r="O534" s="3"/>
      <c r="P534" s="3" t="str">
        <f>IFERROR(ROUND(INDEX('PROJETO PERFURAÇÃO'!$AB:$AB,MATCH(MEDIÇÃO!R534,'PROJETO PERFURAÇÃO'!$B:$B,0)),1)&amp;"''","")</f>
        <v/>
      </c>
      <c r="Q534" s="3" t="str">
        <f>IFERROR(IF(INDEX('PROJETO PERFURAÇÃO'!$P:$P,MATCH(MEDIÇÃO!R534,'PROJETO PERFURAÇÃO'!$B:$B,0))="Production","P",IF(INDEX('PROJETO PERFURAÇÃO'!$P:$P,MATCH(MEDIÇÃO!R534,'PROJETO PERFURAÇÃO'!$B:$B,0))="Buffer","B",IF(INDEX('PROJETO PERFURAÇÃO'!$P:$P,MATCH(MEDIÇÃO!R534,'PROJETO PERFURAÇÃO'!$B:$B,0))="Pre-Splitting","S"))),"")</f>
        <v/>
      </c>
      <c r="R534" s="14">
        <f t="shared" ref="R534:R553" si="53">R533+1</f>
        <v>1222</v>
      </c>
      <c r="S534" s="4" t="str">
        <f>IFERROR(INDEX('LEV R&amp;D'!$D:$D,MATCH(MEDIÇÃO!R534,'LEV R&amp;D'!$A:$A,0))-INDEX('PROJETO PERFURAÇÃO'!$AH:$AH,MATCH(MEDIÇÃO!R534,'PROJETO PERFURAÇÃO'!$B:$B,0)),"")</f>
        <v/>
      </c>
      <c r="T534" s="8" t="str">
        <f>IFERROR(INDEX('PROJETO PERFURAÇÃO'!$AN:$AN,MATCH(MEDIÇÃO!R534,'PROJETO PERFURAÇÃO'!$B:$B,0)),"")</f>
        <v/>
      </c>
      <c r="U534" s="3"/>
      <c r="V534" s="3"/>
    </row>
    <row r="535" spans="1:23" ht="45" customHeight="1">
      <c r="B535" s="3" t="str">
        <f>IFERROR(ROUND(INDEX('PROJETO PERFURAÇÃO'!$AB:$AB,MATCH(MEDIÇÃO!D535,'PROJETO PERFURAÇÃO'!$B:$B,0)),1)&amp;"''","")</f>
        <v/>
      </c>
      <c r="C535" s="3" t="str">
        <f>IFERROR(IF(INDEX('PROJETO PERFURAÇÃO'!$P:$P,MATCH(MEDIÇÃO!D535,'PROJETO PERFURAÇÃO'!$B:$B,0))="Production","P",IF(INDEX('PROJETO PERFURAÇÃO'!$P:$P,MATCH(MEDIÇÃO!D535,'PROJETO PERFURAÇÃO'!$B:$B,0))="Buffer","B",IF(INDEX('PROJETO PERFURAÇÃO'!$P:$P,MATCH(MEDIÇÃO!D535,'PROJETO PERFURAÇÃO'!$B:$B,0))="Pre-Splitting","S"))),"")</f>
        <v/>
      </c>
      <c r="D535" s="14">
        <f t="shared" si="51"/>
        <v>1177</v>
      </c>
      <c r="E535" s="4" t="str">
        <f>IFERROR(INDEX('LEV R&amp;D'!$D:$D,MATCH(MEDIÇÃO!D535,'LEV R&amp;D'!$A:$A,0))-INDEX('PROJETO PERFURAÇÃO'!$AH:$AH,MATCH(MEDIÇÃO!D535,'PROJETO PERFURAÇÃO'!$B:$B,0)),"")</f>
        <v/>
      </c>
      <c r="F535" s="8" t="str">
        <f>IFERROR(INDEX('PROJETO PERFURAÇÃO'!$AN:$AN,MATCH(MEDIÇÃO!D535,'PROJETO PERFURAÇÃO'!$B:$B,0)),"")</f>
        <v/>
      </c>
      <c r="G535" s="3"/>
      <c r="H535" s="3"/>
      <c r="I535" s="3" t="str">
        <f>IFERROR(ROUND(INDEX('PROJETO PERFURAÇÃO'!$AB:$AB,MATCH(MEDIÇÃO!K535,'PROJETO PERFURAÇÃO'!$B:$B,0)),1)&amp;"''","")</f>
        <v/>
      </c>
      <c r="J535" s="3" t="str">
        <f>IFERROR(IF(INDEX('PROJETO PERFURAÇÃO'!$P:$P,MATCH(MEDIÇÃO!K535,'PROJETO PERFURAÇÃO'!$B:$B,0))="Production","P",IF(INDEX('PROJETO PERFURAÇÃO'!$P:$P,MATCH(MEDIÇÃO!K535,'PROJETO PERFURAÇÃO'!$B:$B,0))="Buffer","B",IF(INDEX('PROJETO PERFURAÇÃO'!$P:$P,MATCH(MEDIÇÃO!K535,'PROJETO PERFURAÇÃO'!$B:$B,0))="Pre-Splitting","S"))),"")</f>
        <v/>
      </c>
      <c r="K535" s="14">
        <f t="shared" si="52"/>
        <v>1200</v>
      </c>
      <c r="L535" s="4" t="str">
        <f>IFERROR(INDEX('LEV R&amp;D'!$D:$D,MATCH(MEDIÇÃO!K535,'LEV R&amp;D'!$A:$A,0))-INDEX('PROJETO PERFURAÇÃO'!$AH:$AH,MATCH(MEDIÇÃO!K535,'PROJETO PERFURAÇÃO'!$B:$B,0)),"")</f>
        <v/>
      </c>
      <c r="M535" s="8" t="str">
        <f>IFERROR(INDEX('PROJETO PERFURAÇÃO'!$AN:$AN,MATCH(MEDIÇÃO!K535,'PROJETO PERFURAÇÃO'!$B:$B,0)),"")</f>
        <v/>
      </c>
      <c r="N535" s="3"/>
      <c r="O535" s="3"/>
      <c r="P535" s="3" t="str">
        <f>IFERROR(ROUND(INDEX('PROJETO PERFURAÇÃO'!$AB:$AB,MATCH(MEDIÇÃO!R535,'PROJETO PERFURAÇÃO'!$B:$B,0)),1)&amp;"''","")</f>
        <v/>
      </c>
      <c r="Q535" s="3" t="str">
        <f>IFERROR(IF(INDEX('PROJETO PERFURAÇÃO'!$P:$P,MATCH(MEDIÇÃO!R535,'PROJETO PERFURAÇÃO'!$B:$B,0))="Production","P",IF(INDEX('PROJETO PERFURAÇÃO'!$P:$P,MATCH(MEDIÇÃO!R535,'PROJETO PERFURAÇÃO'!$B:$B,0))="Buffer","B",IF(INDEX('PROJETO PERFURAÇÃO'!$P:$P,MATCH(MEDIÇÃO!R535,'PROJETO PERFURAÇÃO'!$B:$B,0))="Pre-Splitting","S"))),"")</f>
        <v/>
      </c>
      <c r="R535" s="14">
        <f t="shared" si="53"/>
        <v>1223</v>
      </c>
      <c r="S535" s="4" t="str">
        <f>IFERROR(INDEX('LEV R&amp;D'!$D:$D,MATCH(MEDIÇÃO!R535,'LEV R&amp;D'!$A:$A,0))-INDEX('PROJETO PERFURAÇÃO'!$AH:$AH,MATCH(MEDIÇÃO!R535,'PROJETO PERFURAÇÃO'!$B:$B,0)),"")</f>
        <v/>
      </c>
      <c r="T535" s="8" t="str">
        <f>IFERROR(INDEX('PROJETO PERFURAÇÃO'!$AN:$AN,MATCH(MEDIÇÃO!R535,'PROJETO PERFURAÇÃO'!$B:$B,0)),"")</f>
        <v/>
      </c>
      <c r="U535" s="3"/>
      <c r="V535" s="3"/>
    </row>
    <row r="536" spans="1:23" ht="45" customHeight="1">
      <c r="B536" s="3" t="str">
        <f>IFERROR(ROUND(INDEX('PROJETO PERFURAÇÃO'!$AB:$AB,MATCH(MEDIÇÃO!D536,'PROJETO PERFURAÇÃO'!$B:$B,0)),1)&amp;"''","")</f>
        <v/>
      </c>
      <c r="C536" s="3" t="str">
        <f>IFERROR(IF(INDEX('PROJETO PERFURAÇÃO'!$P:$P,MATCH(MEDIÇÃO!D536,'PROJETO PERFURAÇÃO'!$B:$B,0))="Production","P",IF(INDEX('PROJETO PERFURAÇÃO'!$P:$P,MATCH(MEDIÇÃO!D536,'PROJETO PERFURAÇÃO'!$B:$B,0))="Buffer","B",IF(INDEX('PROJETO PERFURAÇÃO'!$P:$P,MATCH(MEDIÇÃO!D536,'PROJETO PERFURAÇÃO'!$B:$B,0))="Pre-Splitting","S"))),"")</f>
        <v/>
      </c>
      <c r="D536" s="14">
        <f t="shared" si="51"/>
        <v>1178</v>
      </c>
      <c r="E536" s="4" t="str">
        <f>IFERROR(INDEX('LEV R&amp;D'!$D:$D,MATCH(MEDIÇÃO!D536,'LEV R&amp;D'!$A:$A,0))-INDEX('PROJETO PERFURAÇÃO'!$AH:$AH,MATCH(MEDIÇÃO!D536,'PROJETO PERFURAÇÃO'!$B:$B,0)),"")</f>
        <v/>
      </c>
      <c r="F536" s="8" t="str">
        <f>IFERROR(INDEX('PROJETO PERFURAÇÃO'!$AN:$AN,MATCH(MEDIÇÃO!D536,'PROJETO PERFURAÇÃO'!$B:$B,0)),"")</f>
        <v/>
      </c>
      <c r="G536" s="3"/>
      <c r="H536" s="3"/>
      <c r="I536" s="3" t="str">
        <f>IFERROR(ROUND(INDEX('PROJETO PERFURAÇÃO'!$AB:$AB,MATCH(MEDIÇÃO!K536,'PROJETO PERFURAÇÃO'!$B:$B,0)),1)&amp;"''","")</f>
        <v/>
      </c>
      <c r="J536" s="3" t="str">
        <f>IFERROR(IF(INDEX('PROJETO PERFURAÇÃO'!$P:$P,MATCH(MEDIÇÃO!K536,'PROJETO PERFURAÇÃO'!$B:$B,0))="Production","P",IF(INDEX('PROJETO PERFURAÇÃO'!$P:$P,MATCH(MEDIÇÃO!K536,'PROJETO PERFURAÇÃO'!$B:$B,0))="Buffer","B",IF(INDEX('PROJETO PERFURAÇÃO'!$P:$P,MATCH(MEDIÇÃO!K536,'PROJETO PERFURAÇÃO'!$B:$B,0))="Pre-Splitting","S"))),"")</f>
        <v/>
      </c>
      <c r="K536" s="14">
        <f t="shared" si="52"/>
        <v>1201</v>
      </c>
      <c r="L536" s="4" t="str">
        <f>IFERROR(INDEX('LEV R&amp;D'!$D:$D,MATCH(MEDIÇÃO!K536,'LEV R&amp;D'!$A:$A,0))-INDEX('PROJETO PERFURAÇÃO'!$AH:$AH,MATCH(MEDIÇÃO!K536,'PROJETO PERFURAÇÃO'!$B:$B,0)),"")</f>
        <v/>
      </c>
      <c r="M536" s="8" t="str">
        <f>IFERROR(INDEX('PROJETO PERFURAÇÃO'!$AN:$AN,MATCH(MEDIÇÃO!K536,'PROJETO PERFURAÇÃO'!$B:$B,0)),"")</f>
        <v/>
      </c>
      <c r="N536" s="3"/>
      <c r="O536" s="3"/>
      <c r="P536" s="3" t="str">
        <f>IFERROR(ROUND(INDEX('PROJETO PERFURAÇÃO'!$AB:$AB,MATCH(MEDIÇÃO!R536,'PROJETO PERFURAÇÃO'!$B:$B,0)),1)&amp;"''","")</f>
        <v/>
      </c>
      <c r="Q536" s="3" t="str">
        <f>IFERROR(IF(INDEX('PROJETO PERFURAÇÃO'!$P:$P,MATCH(MEDIÇÃO!R536,'PROJETO PERFURAÇÃO'!$B:$B,0))="Production","P",IF(INDEX('PROJETO PERFURAÇÃO'!$P:$P,MATCH(MEDIÇÃO!R536,'PROJETO PERFURAÇÃO'!$B:$B,0))="Buffer","B",IF(INDEX('PROJETO PERFURAÇÃO'!$P:$P,MATCH(MEDIÇÃO!R536,'PROJETO PERFURAÇÃO'!$B:$B,0))="Pre-Splitting","S"))),"")</f>
        <v/>
      </c>
      <c r="R536" s="14">
        <f t="shared" si="53"/>
        <v>1224</v>
      </c>
      <c r="S536" s="4" t="str">
        <f>IFERROR(INDEX('LEV R&amp;D'!$D:$D,MATCH(MEDIÇÃO!R536,'LEV R&amp;D'!$A:$A,0))-INDEX('PROJETO PERFURAÇÃO'!$AH:$AH,MATCH(MEDIÇÃO!R536,'PROJETO PERFURAÇÃO'!$B:$B,0)),"")</f>
        <v/>
      </c>
      <c r="T536" s="8" t="str">
        <f>IFERROR(INDEX('PROJETO PERFURAÇÃO'!$AN:$AN,MATCH(MEDIÇÃO!R536,'PROJETO PERFURAÇÃO'!$B:$B,0)),"")</f>
        <v/>
      </c>
      <c r="U536" s="3"/>
      <c r="V536" s="3"/>
    </row>
    <row r="537" spans="1:23" ht="45" customHeight="1">
      <c r="B537" s="3" t="str">
        <f>IFERROR(ROUND(INDEX('PROJETO PERFURAÇÃO'!$AB:$AB,MATCH(MEDIÇÃO!D537,'PROJETO PERFURAÇÃO'!$B:$B,0)),1)&amp;"''","")</f>
        <v/>
      </c>
      <c r="C537" s="3" t="str">
        <f>IFERROR(IF(INDEX('PROJETO PERFURAÇÃO'!$P:$P,MATCH(MEDIÇÃO!D537,'PROJETO PERFURAÇÃO'!$B:$B,0))="Production","P",IF(INDEX('PROJETO PERFURAÇÃO'!$P:$P,MATCH(MEDIÇÃO!D537,'PROJETO PERFURAÇÃO'!$B:$B,0))="Buffer","B",IF(INDEX('PROJETO PERFURAÇÃO'!$P:$P,MATCH(MEDIÇÃO!D537,'PROJETO PERFURAÇÃO'!$B:$B,0))="Pre-Splitting","S"))),"")</f>
        <v/>
      </c>
      <c r="D537" s="14">
        <f t="shared" si="51"/>
        <v>1179</v>
      </c>
      <c r="E537" s="4" t="str">
        <f>IFERROR(INDEX('LEV R&amp;D'!$D:$D,MATCH(MEDIÇÃO!D537,'LEV R&amp;D'!$A:$A,0))-INDEX('PROJETO PERFURAÇÃO'!$AH:$AH,MATCH(MEDIÇÃO!D537,'PROJETO PERFURAÇÃO'!$B:$B,0)),"")</f>
        <v/>
      </c>
      <c r="F537" s="8" t="str">
        <f>IFERROR(INDEX('PROJETO PERFURAÇÃO'!$AN:$AN,MATCH(MEDIÇÃO!D537,'PROJETO PERFURAÇÃO'!$B:$B,0)),"")</f>
        <v/>
      </c>
      <c r="G537" s="3"/>
      <c r="H537" s="3"/>
      <c r="I537" s="3" t="str">
        <f>IFERROR(ROUND(INDEX('PROJETO PERFURAÇÃO'!$AB:$AB,MATCH(MEDIÇÃO!K537,'PROJETO PERFURAÇÃO'!$B:$B,0)),1)&amp;"''","")</f>
        <v/>
      </c>
      <c r="J537" s="3" t="str">
        <f>IFERROR(IF(INDEX('PROJETO PERFURAÇÃO'!$P:$P,MATCH(MEDIÇÃO!K537,'PROJETO PERFURAÇÃO'!$B:$B,0))="Production","P",IF(INDEX('PROJETO PERFURAÇÃO'!$P:$P,MATCH(MEDIÇÃO!K537,'PROJETO PERFURAÇÃO'!$B:$B,0))="Buffer","B",IF(INDEX('PROJETO PERFURAÇÃO'!$P:$P,MATCH(MEDIÇÃO!K537,'PROJETO PERFURAÇÃO'!$B:$B,0))="Pre-Splitting","S"))),"")</f>
        <v/>
      </c>
      <c r="K537" s="14">
        <f t="shared" si="52"/>
        <v>1202</v>
      </c>
      <c r="L537" s="4" t="str">
        <f>IFERROR(INDEX('LEV R&amp;D'!$D:$D,MATCH(MEDIÇÃO!K537,'LEV R&amp;D'!$A:$A,0))-INDEX('PROJETO PERFURAÇÃO'!$AH:$AH,MATCH(MEDIÇÃO!K537,'PROJETO PERFURAÇÃO'!$B:$B,0)),"")</f>
        <v/>
      </c>
      <c r="M537" s="8" t="str">
        <f>IFERROR(INDEX('PROJETO PERFURAÇÃO'!$AN:$AN,MATCH(MEDIÇÃO!K537,'PROJETO PERFURAÇÃO'!$B:$B,0)),"")</f>
        <v/>
      </c>
      <c r="N537" s="3"/>
      <c r="O537" s="3"/>
      <c r="P537" s="3" t="str">
        <f>IFERROR(ROUND(INDEX('PROJETO PERFURAÇÃO'!$AB:$AB,MATCH(MEDIÇÃO!R537,'PROJETO PERFURAÇÃO'!$B:$B,0)),1)&amp;"''","")</f>
        <v/>
      </c>
      <c r="Q537" s="3" t="str">
        <f>IFERROR(IF(INDEX('PROJETO PERFURAÇÃO'!$P:$P,MATCH(MEDIÇÃO!R537,'PROJETO PERFURAÇÃO'!$B:$B,0))="Production","P",IF(INDEX('PROJETO PERFURAÇÃO'!$P:$P,MATCH(MEDIÇÃO!R537,'PROJETO PERFURAÇÃO'!$B:$B,0))="Buffer","B",IF(INDEX('PROJETO PERFURAÇÃO'!$P:$P,MATCH(MEDIÇÃO!R537,'PROJETO PERFURAÇÃO'!$B:$B,0))="Pre-Splitting","S"))),"")</f>
        <v/>
      </c>
      <c r="R537" s="14">
        <f t="shared" si="53"/>
        <v>1225</v>
      </c>
      <c r="S537" s="4" t="str">
        <f>IFERROR(INDEX('LEV R&amp;D'!$D:$D,MATCH(MEDIÇÃO!R537,'LEV R&amp;D'!$A:$A,0))-INDEX('PROJETO PERFURAÇÃO'!$AH:$AH,MATCH(MEDIÇÃO!R537,'PROJETO PERFURAÇÃO'!$B:$B,0)),"")</f>
        <v/>
      </c>
      <c r="T537" s="8" t="str">
        <f>IFERROR(INDEX('PROJETO PERFURAÇÃO'!$AN:$AN,MATCH(MEDIÇÃO!R537,'PROJETO PERFURAÇÃO'!$B:$B,0)),"")</f>
        <v/>
      </c>
      <c r="U537" s="3"/>
      <c r="V537" s="3"/>
    </row>
    <row r="538" spans="1:23" ht="45" customHeight="1">
      <c r="B538" s="3" t="str">
        <f>IFERROR(ROUND(INDEX('PROJETO PERFURAÇÃO'!$AB:$AB,MATCH(MEDIÇÃO!D538,'PROJETO PERFURAÇÃO'!$B:$B,0)),1)&amp;"''","")</f>
        <v/>
      </c>
      <c r="C538" s="3" t="str">
        <f>IFERROR(IF(INDEX('PROJETO PERFURAÇÃO'!$P:$P,MATCH(MEDIÇÃO!D538,'PROJETO PERFURAÇÃO'!$B:$B,0))="Production","P",IF(INDEX('PROJETO PERFURAÇÃO'!$P:$P,MATCH(MEDIÇÃO!D538,'PROJETO PERFURAÇÃO'!$B:$B,0))="Buffer","B",IF(INDEX('PROJETO PERFURAÇÃO'!$P:$P,MATCH(MEDIÇÃO!D538,'PROJETO PERFURAÇÃO'!$B:$B,0))="Pre-Splitting","S"))),"")</f>
        <v/>
      </c>
      <c r="D538" s="14">
        <f t="shared" si="51"/>
        <v>1180</v>
      </c>
      <c r="E538" s="4" t="str">
        <f>IFERROR(INDEX('LEV R&amp;D'!$D:$D,MATCH(MEDIÇÃO!D538,'LEV R&amp;D'!$A:$A,0))-INDEX('PROJETO PERFURAÇÃO'!$AH:$AH,MATCH(MEDIÇÃO!D538,'PROJETO PERFURAÇÃO'!$B:$B,0)),"")</f>
        <v/>
      </c>
      <c r="F538" s="8" t="str">
        <f>IFERROR(INDEX('PROJETO PERFURAÇÃO'!$AN:$AN,MATCH(MEDIÇÃO!D538,'PROJETO PERFURAÇÃO'!$B:$B,0)),"")</f>
        <v/>
      </c>
      <c r="G538" s="3"/>
      <c r="H538" s="3"/>
      <c r="I538" s="3" t="str">
        <f>IFERROR(ROUND(INDEX('PROJETO PERFURAÇÃO'!$AB:$AB,MATCH(MEDIÇÃO!K538,'PROJETO PERFURAÇÃO'!$B:$B,0)),1)&amp;"''","")</f>
        <v/>
      </c>
      <c r="J538" s="3" t="str">
        <f>IFERROR(IF(INDEX('PROJETO PERFURAÇÃO'!$P:$P,MATCH(MEDIÇÃO!K538,'PROJETO PERFURAÇÃO'!$B:$B,0))="Production","P",IF(INDEX('PROJETO PERFURAÇÃO'!$P:$P,MATCH(MEDIÇÃO!K538,'PROJETO PERFURAÇÃO'!$B:$B,0))="Buffer","B",IF(INDEX('PROJETO PERFURAÇÃO'!$P:$P,MATCH(MEDIÇÃO!K538,'PROJETO PERFURAÇÃO'!$B:$B,0))="Pre-Splitting","S"))),"")</f>
        <v/>
      </c>
      <c r="K538" s="14">
        <f t="shared" si="52"/>
        <v>1203</v>
      </c>
      <c r="L538" s="4" t="str">
        <f>IFERROR(INDEX('LEV R&amp;D'!$D:$D,MATCH(MEDIÇÃO!K538,'LEV R&amp;D'!$A:$A,0))-INDEX('PROJETO PERFURAÇÃO'!$AH:$AH,MATCH(MEDIÇÃO!K538,'PROJETO PERFURAÇÃO'!$B:$B,0)),"")</f>
        <v/>
      </c>
      <c r="M538" s="8" t="str">
        <f>IFERROR(INDEX('PROJETO PERFURAÇÃO'!$AN:$AN,MATCH(MEDIÇÃO!K538,'PROJETO PERFURAÇÃO'!$B:$B,0)),"")</f>
        <v/>
      </c>
      <c r="N538" s="3"/>
      <c r="O538" s="3"/>
      <c r="P538" s="3" t="str">
        <f>IFERROR(ROUND(INDEX('PROJETO PERFURAÇÃO'!$AB:$AB,MATCH(MEDIÇÃO!R538,'PROJETO PERFURAÇÃO'!$B:$B,0)),1)&amp;"''","")</f>
        <v/>
      </c>
      <c r="Q538" s="3" t="str">
        <f>IFERROR(IF(INDEX('PROJETO PERFURAÇÃO'!$P:$P,MATCH(MEDIÇÃO!R538,'PROJETO PERFURAÇÃO'!$B:$B,0))="Production","P",IF(INDEX('PROJETO PERFURAÇÃO'!$P:$P,MATCH(MEDIÇÃO!R538,'PROJETO PERFURAÇÃO'!$B:$B,0))="Buffer","B",IF(INDEX('PROJETO PERFURAÇÃO'!$P:$P,MATCH(MEDIÇÃO!R538,'PROJETO PERFURAÇÃO'!$B:$B,0))="Pre-Splitting","S"))),"")</f>
        <v/>
      </c>
      <c r="R538" s="14">
        <f t="shared" si="53"/>
        <v>1226</v>
      </c>
      <c r="S538" s="4" t="str">
        <f>IFERROR(INDEX('LEV R&amp;D'!$D:$D,MATCH(MEDIÇÃO!R538,'LEV R&amp;D'!$A:$A,0))-INDEX('PROJETO PERFURAÇÃO'!$AH:$AH,MATCH(MEDIÇÃO!R538,'PROJETO PERFURAÇÃO'!$B:$B,0)),"")</f>
        <v/>
      </c>
      <c r="T538" s="8" t="str">
        <f>IFERROR(INDEX('PROJETO PERFURAÇÃO'!$AN:$AN,MATCH(MEDIÇÃO!R538,'PROJETO PERFURAÇÃO'!$B:$B,0)),"")</f>
        <v/>
      </c>
      <c r="U538" s="3"/>
      <c r="V538" s="3"/>
    </row>
    <row r="539" spans="1:23" ht="45" customHeight="1">
      <c r="B539" s="3" t="str">
        <f>IFERROR(ROUND(INDEX('PROJETO PERFURAÇÃO'!$AB:$AB,MATCH(MEDIÇÃO!D539,'PROJETO PERFURAÇÃO'!$B:$B,0)),1)&amp;"''","")</f>
        <v/>
      </c>
      <c r="C539" s="3" t="str">
        <f>IFERROR(IF(INDEX('PROJETO PERFURAÇÃO'!$P:$P,MATCH(MEDIÇÃO!D539,'PROJETO PERFURAÇÃO'!$B:$B,0))="Production","P",IF(INDEX('PROJETO PERFURAÇÃO'!$P:$P,MATCH(MEDIÇÃO!D539,'PROJETO PERFURAÇÃO'!$B:$B,0))="Buffer","B",IF(INDEX('PROJETO PERFURAÇÃO'!$P:$P,MATCH(MEDIÇÃO!D539,'PROJETO PERFURAÇÃO'!$B:$B,0))="Pre-Splitting","S"))),"")</f>
        <v/>
      </c>
      <c r="D539" s="14">
        <f t="shared" si="51"/>
        <v>1181</v>
      </c>
      <c r="E539" s="4" t="str">
        <f>IFERROR(INDEX('LEV R&amp;D'!$D:$D,MATCH(MEDIÇÃO!D539,'LEV R&amp;D'!$A:$A,0))-INDEX('PROJETO PERFURAÇÃO'!$AH:$AH,MATCH(MEDIÇÃO!D539,'PROJETO PERFURAÇÃO'!$B:$B,0)),"")</f>
        <v/>
      </c>
      <c r="F539" s="8" t="str">
        <f>IFERROR(INDEX('PROJETO PERFURAÇÃO'!$AN:$AN,MATCH(MEDIÇÃO!D539,'PROJETO PERFURAÇÃO'!$B:$B,0)),"")</f>
        <v/>
      </c>
      <c r="G539" s="3"/>
      <c r="H539" s="3"/>
      <c r="I539" s="3" t="str">
        <f>IFERROR(ROUND(INDEX('PROJETO PERFURAÇÃO'!$AB:$AB,MATCH(MEDIÇÃO!K539,'PROJETO PERFURAÇÃO'!$B:$B,0)),1)&amp;"''","")</f>
        <v/>
      </c>
      <c r="J539" s="3" t="str">
        <f>IFERROR(IF(INDEX('PROJETO PERFURAÇÃO'!$P:$P,MATCH(MEDIÇÃO!K539,'PROJETO PERFURAÇÃO'!$B:$B,0))="Production","P",IF(INDEX('PROJETO PERFURAÇÃO'!$P:$P,MATCH(MEDIÇÃO!K539,'PROJETO PERFURAÇÃO'!$B:$B,0))="Buffer","B",IF(INDEX('PROJETO PERFURAÇÃO'!$P:$P,MATCH(MEDIÇÃO!K539,'PROJETO PERFURAÇÃO'!$B:$B,0))="Pre-Splitting","S"))),"")</f>
        <v/>
      </c>
      <c r="K539" s="14">
        <f t="shared" si="52"/>
        <v>1204</v>
      </c>
      <c r="L539" s="4" t="str">
        <f>IFERROR(INDEX('LEV R&amp;D'!$D:$D,MATCH(MEDIÇÃO!K539,'LEV R&amp;D'!$A:$A,0))-INDEX('PROJETO PERFURAÇÃO'!$AH:$AH,MATCH(MEDIÇÃO!K539,'PROJETO PERFURAÇÃO'!$B:$B,0)),"")</f>
        <v/>
      </c>
      <c r="M539" s="8" t="str">
        <f>IFERROR(INDEX('PROJETO PERFURAÇÃO'!$AN:$AN,MATCH(MEDIÇÃO!K539,'PROJETO PERFURAÇÃO'!$B:$B,0)),"")</f>
        <v/>
      </c>
      <c r="N539" s="3"/>
      <c r="O539" s="3"/>
      <c r="P539" s="3" t="str">
        <f>IFERROR(ROUND(INDEX('PROJETO PERFURAÇÃO'!$AB:$AB,MATCH(MEDIÇÃO!R539,'PROJETO PERFURAÇÃO'!$B:$B,0)),1)&amp;"''","")</f>
        <v/>
      </c>
      <c r="Q539" s="3" t="str">
        <f>IFERROR(IF(INDEX('PROJETO PERFURAÇÃO'!$P:$P,MATCH(MEDIÇÃO!R539,'PROJETO PERFURAÇÃO'!$B:$B,0))="Production","P",IF(INDEX('PROJETO PERFURAÇÃO'!$P:$P,MATCH(MEDIÇÃO!R539,'PROJETO PERFURAÇÃO'!$B:$B,0))="Buffer","B",IF(INDEX('PROJETO PERFURAÇÃO'!$P:$P,MATCH(MEDIÇÃO!R539,'PROJETO PERFURAÇÃO'!$B:$B,0))="Pre-Splitting","S"))),"")</f>
        <v/>
      </c>
      <c r="R539" s="14">
        <f t="shared" si="53"/>
        <v>1227</v>
      </c>
      <c r="S539" s="4" t="str">
        <f>IFERROR(INDEX('LEV R&amp;D'!$D:$D,MATCH(MEDIÇÃO!R539,'LEV R&amp;D'!$A:$A,0))-INDEX('PROJETO PERFURAÇÃO'!$AH:$AH,MATCH(MEDIÇÃO!R539,'PROJETO PERFURAÇÃO'!$B:$B,0)),"")</f>
        <v/>
      </c>
      <c r="T539" s="8" t="str">
        <f>IFERROR(INDEX('PROJETO PERFURAÇÃO'!$AN:$AN,MATCH(MEDIÇÃO!R539,'PROJETO PERFURAÇÃO'!$B:$B,0)),"")</f>
        <v/>
      </c>
      <c r="U539" s="3"/>
      <c r="V539" s="3"/>
    </row>
    <row r="540" spans="1:23" ht="45" customHeight="1">
      <c r="B540" s="3" t="str">
        <f>IFERROR(ROUND(INDEX('PROJETO PERFURAÇÃO'!$AB:$AB,MATCH(MEDIÇÃO!D540,'PROJETO PERFURAÇÃO'!$B:$B,0)),1)&amp;"''","")</f>
        <v/>
      </c>
      <c r="C540" s="3" t="str">
        <f>IFERROR(IF(INDEX('PROJETO PERFURAÇÃO'!$P:$P,MATCH(MEDIÇÃO!D540,'PROJETO PERFURAÇÃO'!$B:$B,0))="Production","P",IF(INDEX('PROJETO PERFURAÇÃO'!$P:$P,MATCH(MEDIÇÃO!D540,'PROJETO PERFURAÇÃO'!$B:$B,0))="Buffer","B",IF(INDEX('PROJETO PERFURAÇÃO'!$P:$P,MATCH(MEDIÇÃO!D540,'PROJETO PERFURAÇÃO'!$B:$B,0))="Pre-Splitting","S"))),"")</f>
        <v/>
      </c>
      <c r="D540" s="14">
        <f t="shared" si="51"/>
        <v>1182</v>
      </c>
      <c r="E540" s="4" t="str">
        <f>IFERROR(INDEX('LEV R&amp;D'!$D:$D,MATCH(MEDIÇÃO!D540,'LEV R&amp;D'!$A:$A,0))-INDEX('PROJETO PERFURAÇÃO'!$AH:$AH,MATCH(MEDIÇÃO!D540,'PROJETO PERFURAÇÃO'!$B:$B,0)),"")</f>
        <v/>
      </c>
      <c r="F540" s="8" t="str">
        <f>IFERROR(INDEX('PROJETO PERFURAÇÃO'!$AN:$AN,MATCH(MEDIÇÃO!D540,'PROJETO PERFURAÇÃO'!$B:$B,0)),"")</f>
        <v/>
      </c>
      <c r="G540" s="3"/>
      <c r="H540" s="3"/>
      <c r="I540" s="3" t="str">
        <f>IFERROR(ROUND(INDEX('PROJETO PERFURAÇÃO'!$AB:$AB,MATCH(MEDIÇÃO!K540,'PROJETO PERFURAÇÃO'!$B:$B,0)),1)&amp;"''","")</f>
        <v/>
      </c>
      <c r="J540" s="3" t="str">
        <f>IFERROR(IF(INDEX('PROJETO PERFURAÇÃO'!$P:$P,MATCH(MEDIÇÃO!K540,'PROJETO PERFURAÇÃO'!$B:$B,0))="Production","P",IF(INDEX('PROJETO PERFURAÇÃO'!$P:$P,MATCH(MEDIÇÃO!K540,'PROJETO PERFURAÇÃO'!$B:$B,0))="Buffer","B",IF(INDEX('PROJETO PERFURAÇÃO'!$P:$P,MATCH(MEDIÇÃO!K540,'PROJETO PERFURAÇÃO'!$B:$B,0))="Pre-Splitting","S"))),"")</f>
        <v/>
      </c>
      <c r="K540" s="14">
        <f t="shared" si="52"/>
        <v>1205</v>
      </c>
      <c r="L540" s="4" t="str">
        <f>IFERROR(INDEX('LEV R&amp;D'!$D:$D,MATCH(MEDIÇÃO!K540,'LEV R&amp;D'!$A:$A,0))-INDEX('PROJETO PERFURAÇÃO'!$AH:$AH,MATCH(MEDIÇÃO!K540,'PROJETO PERFURAÇÃO'!$B:$B,0)),"")</f>
        <v/>
      </c>
      <c r="M540" s="8" t="str">
        <f>IFERROR(INDEX('PROJETO PERFURAÇÃO'!$AN:$AN,MATCH(MEDIÇÃO!K540,'PROJETO PERFURAÇÃO'!$B:$B,0)),"")</f>
        <v/>
      </c>
      <c r="N540" s="3"/>
      <c r="O540" s="3"/>
      <c r="P540" s="3" t="str">
        <f>IFERROR(ROUND(INDEX('PROJETO PERFURAÇÃO'!$AB:$AB,MATCH(MEDIÇÃO!R540,'PROJETO PERFURAÇÃO'!$B:$B,0)),1)&amp;"''","")</f>
        <v/>
      </c>
      <c r="Q540" s="3" t="str">
        <f>IFERROR(IF(INDEX('PROJETO PERFURAÇÃO'!$P:$P,MATCH(MEDIÇÃO!R540,'PROJETO PERFURAÇÃO'!$B:$B,0))="Production","P",IF(INDEX('PROJETO PERFURAÇÃO'!$P:$P,MATCH(MEDIÇÃO!R540,'PROJETO PERFURAÇÃO'!$B:$B,0))="Buffer","B",IF(INDEX('PROJETO PERFURAÇÃO'!$P:$P,MATCH(MEDIÇÃO!R540,'PROJETO PERFURAÇÃO'!$B:$B,0))="Pre-Splitting","S"))),"")</f>
        <v/>
      </c>
      <c r="R540" s="14">
        <f t="shared" si="53"/>
        <v>1228</v>
      </c>
      <c r="S540" s="4" t="str">
        <f>IFERROR(INDEX('LEV R&amp;D'!$D:$D,MATCH(MEDIÇÃO!R540,'LEV R&amp;D'!$A:$A,0))-INDEX('PROJETO PERFURAÇÃO'!$AH:$AH,MATCH(MEDIÇÃO!R540,'PROJETO PERFURAÇÃO'!$B:$B,0)),"")</f>
        <v/>
      </c>
      <c r="T540" s="8" t="str">
        <f>IFERROR(INDEX('PROJETO PERFURAÇÃO'!$AN:$AN,MATCH(MEDIÇÃO!R540,'PROJETO PERFURAÇÃO'!$B:$B,0)),"")</f>
        <v/>
      </c>
      <c r="U540" s="3"/>
      <c r="V540" s="3"/>
    </row>
    <row r="541" spans="1:23" ht="45" customHeight="1">
      <c r="B541" s="3" t="str">
        <f>IFERROR(ROUND(INDEX('PROJETO PERFURAÇÃO'!$AB:$AB,MATCH(MEDIÇÃO!D541,'PROJETO PERFURAÇÃO'!$B:$B,0)),1)&amp;"''","")</f>
        <v/>
      </c>
      <c r="C541" s="3" t="str">
        <f>IFERROR(IF(INDEX('PROJETO PERFURAÇÃO'!$P:$P,MATCH(MEDIÇÃO!D541,'PROJETO PERFURAÇÃO'!$B:$B,0))="Production","P",IF(INDEX('PROJETO PERFURAÇÃO'!$P:$P,MATCH(MEDIÇÃO!D541,'PROJETO PERFURAÇÃO'!$B:$B,0))="Buffer","B",IF(INDEX('PROJETO PERFURAÇÃO'!$P:$P,MATCH(MEDIÇÃO!D541,'PROJETO PERFURAÇÃO'!$B:$B,0))="Pre-Splitting","S"))),"")</f>
        <v/>
      </c>
      <c r="D541" s="14">
        <f t="shared" si="51"/>
        <v>1183</v>
      </c>
      <c r="E541" s="4" t="str">
        <f>IFERROR(INDEX('LEV R&amp;D'!$D:$D,MATCH(MEDIÇÃO!D541,'LEV R&amp;D'!$A:$A,0))-INDEX('PROJETO PERFURAÇÃO'!$AH:$AH,MATCH(MEDIÇÃO!D541,'PROJETO PERFURAÇÃO'!$B:$B,0)),"")</f>
        <v/>
      </c>
      <c r="F541" s="8" t="str">
        <f>IFERROR(INDEX('PROJETO PERFURAÇÃO'!$AN:$AN,MATCH(MEDIÇÃO!D541,'PROJETO PERFURAÇÃO'!$B:$B,0)),"")</f>
        <v/>
      </c>
      <c r="G541" s="3"/>
      <c r="H541" s="3"/>
      <c r="I541" s="3" t="str">
        <f>IFERROR(ROUND(INDEX('PROJETO PERFURAÇÃO'!$AB:$AB,MATCH(MEDIÇÃO!K541,'PROJETO PERFURAÇÃO'!$B:$B,0)),1)&amp;"''","")</f>
        <v/>
      </c>
      <c r="J541" s="3" t="str">
        <f>IFERROR(IF(INDEX('PROJETO PERFURAÇÃO'!$P:$P,MATCH(MEDIÇÃO!K541,'PROJETO PERFURAÇÃO'!$B:$B,0))="Production","P",IF(INDEX('PROJETO PERFURAÇÃO'!$P:$P,MATCH(MEDIÇÃO!K541,'PROJETO PERFURAÇÃO'!$B:$B,0))="Buffer","B",IF(INDEX('PROJETO PERFURAÇÃO'!$P:$P,MATCH(MEDIÇÃO!K541,'PROJETO PERFURAÇÃO'!$B:$B,0))="Pre-Splitting","S"))),"")</f>
        <v/>
      </c>
      <c r="K541" s="14">
        <f t="shared" si="52"/>
        <v>1206</v>
      </c>
      <c r="L541" s="4" t="str">
        <f>IFERROR(INDEX('LEV R&amp;D'!$D:$D,MATCH(MEDIÇÃO!K541,'LEV R&amp;D'!$A:$A,0))-INDEX('PROJETO PERFURAÇÃO'!$AH:$AH,MATCH(MEDIÇÃO!K541,'PROJETO PERFURAÇÃO'!$B:$B,0)),"")</f>
        <v/>
      </c>
      <c r="M541" s="8" t="str">
        <f>IFERROR(INDEX('PROJETO PERFURAÇÃO'!$AN:$AN,MATCH(MEDIÇÃO!K541,'PROJETO PERFURAÇÃO'!$B:$B,0)),"")</f>
        <v/>
      </c>
      <c r="N541" s="3"/>
      <c r="O541" s="3"/>
      <c r="P541" s="3" t="str">
        <f>IFERROR(ROUND(INDEX('PROJETO PERFURAÇÃO'!$AB:$AB,MATCH(MEDIÇÃO!R541,'PROJETO PERFURAÇÃO'!$B:$B,0)),1)&amp;"''","")</f>
        <v/>
      </c>
      <c r="Q541" s="3" t="str">
        <f>IFERROR(IF(INDEX('PROJETO PERFURAÇÃO'!$P:$P,MATCH(MEDIÇÃO!R541,'PROJETO PERFURAÇÃO'!$B:$B,0))="Production","P",IF(INDEX('PROJETO PERFURAÇÃO'!$P:$P,MATCH(MEDIÇÃO!R541,'PROJETO PERFURAÇÃO'!$B:$B,0))="Buffer","B",IF(INDEX('PROJETO PERFURAÇÃO'!$P:$P,MATCH(MEDIÇÃO!R541,'PROJETO PERFURAÇÃO'!$B:$B,0))="Pre-Splitting","S"))),"")</f>
        <v/>
      </c>
      <c r="R541" s="14">
        <f t="shared" si="53"/>
        <v>1229</v>
      </c>
      <c r="S541" s="4" t="str">
        <f>IFERROR(INDEX('LEV R&amp;D'!$D:$D,MATCH(MEDIÇÃO!R541,'LEV R&amp;D'!$A:$A,0))-INDEX('PROJETO PERFURAÇÃO'!$AH:$AH,MATCH(MEDIÇÃO!R541,'PROJETO PERFURAÇÃO'!$B:$B,0)),"")</f>
        <v/>
      </c>
      <c r="T541" s="8" t="str">
        <f>IFERROR(INDEX('PROJETO PERFURAÇÃO'!$AN:$AN,MATCH(MEDIÇÃO!R541,'PROJETO PERFURAÇÃO'!$B:$B,0)),"")</f>
        <v/>
      </c>
      <c r="U541" s="3"/>
      <c r="V541" s="3"/>
    </row>
    <row r="542" spans="1:23" ht="45" customHeight="1">
      <c r="B542" s="3" t="str">
        <f>IFERROR(ROUND(INDEX('PROJETO PERFURAÇÃO'!$AB:$AB,MATCH(MEDIÇÃO!D542,'PROJETO PERFURAÇÃO'!$B:$B,0)),1)&amp;"''","")</f>
        <v/>
      </c>
      <c r="C542" s="3" t="str">
        <f>IFERROR(IF(INDEX('PROJETO PERFURAÇÃO'!$P:$P,MATCH(MEDIÇÃO!D542,'PROJETO PERFURAÇÃO'!$B:$B,0))="Production","P",IF(INDEX('PROJETO PERFURAÇÃO'!$P:$P,MATCH(MEDIÇÃO!D542,'PROJETO PERFURAÇÃO'!$B:$B,0))="Buffer","B",IF(INDEX('PROJETO PERFURAÇÃO'!$P:$P,MATCH(MEDIÇÃO!D542,'PROJETO PERFURAÇÃO'!$B:$B,0))="Pre-Splitting","S"))),"")</f>
        <v/>
      </c>
      <c r="D542" s="14">
        <f t="shared" si="51"/>
        <v>1184</v>
      </c>
      <c r="E542" s="4" t="str">
        <f>IFERROR(INDEX('LEV R&amp;D'!$D:$D,MATCH(MEDIÇÃO!D542,'LEV R&amp;D'!$A:$A,0))-INDEX('PROJETO PERFURAÇÃO'!$AH:$AH,MATCH(MEDIÇÃO!D542,'PROJETO PERFURAÇÃO'!$B:$B,0)),"")</f>
        <v/>
      </c>
      <c r="F542" s="8" t="str">
        <f>IFERROR(INDEX('PROJETO PERFURAÇÃO'!$AN:$AN,MATCH(MEDIÇÃO!D542,'PROJETO PERFURAÇÃO'!$B:$B,0)),"")</f>
        <v/>
      </c>
      <c r="G542" s="3"/>
      <c r="H542" s="3"/>
      <c r="I542" s="3" t="str">
        <f>IFERROR(ROUND(INDEX('PROJETO PERFURAÇÃO'!$AB:$AB,MATCH(MEDIÇÃO!K542,'PROJETO PERFURAÇÃO'!$B:$B,0)),1)&amp;"''","")</f>
        <v/>
      </c>
      <c r="J542" s="3" t="str">
        <f>IFERROR(IF(INDEX('PROJETO PERFURAÇÃO'!$P:$P,MATCH(MEDIÇÃO!K542,'PROJETO PERFURAÇÃO'!$B:$B,0))="Production","P",IF(INDEX('PROJETO PERFURAÇÃO'!$P:$P,MATCH(MEDIÇÃO!K542,'PROJETO PERFURAÇÃO'!$B:$B,0))="Buffer","B",IF(INDEX('PROJETO PERFURAÇÃO'!$P:$P,MATCH(MEDIÇÃO!K542,'PROJETO PERFURAÇÃO'!$B:$B,0))="Pre-Splitting","S"))),"")</f>
        <v/>
      </c>
      <c r="K542" s="14">
        <f t="shared" si="52"/>
        <v>1207</v>
      </c>
      <c r="L542" s="4" t="str">
        <f>IFERROR(INDEX('LEV R&amp;D'!$D:$D,MATCH(MEDIÇÃO!K542,'LEV R&amp;D'!$A:$A,0))-INDEX('PROJETO PERFURAÇÃO'!$AH:$AH,MATCH(MEDIÇÃO!K542,'PROJETO PERFURAÇÃO'!$B:$B,0)),"")</f>
        <v/>
      </c>
      <c r="M542" s="8" t="str">
        <f>IFERROR(INDEX('PROJETO PERFURAÇÃO'!$AN:$AN,MATCH(MEDIÇÃO!K542,'PROJETO PERFURAÇÃO'!$B:$B,0)),"")</f>
        <v/>
      </c>
      <c r="N542" s="3"/>
      <c r="O542" s="3"/>
      <c r="P542" s="3" t="str">
        <f>IFERROR(ROUND(INDEX('PROJETO PERFURAÇÃO'!$AB:$AB,MATCH(MEDIÇÃO!R542,'PROJETO PERFURAÇÃO'!$B:$B,0)),1)&amp;"''","")</f>
        <v/>
      </c>
      <c r="Q542" s="3" t="str">
        <f>IFERROR(IF(INDEX('PROJETO PERFURAÇÃO'!$P:$P,MATCH(MEDIÇÃO!R542,'PROJETO PERFURAÇÃO'!$B:$B,0))="Production","P",IF(INDEX('PROJETO PERFURAÇÃO'!$P:$P,MATCH(MEDIÇÃO!R542,'PROJETO PERFURAÇÃO'!$B:$B,0))="Buffer","B",IF(INDEX('PROJETO PERFURAÇÃO'!$P:$P,MATCH(MEDIÇÃO!R542,'PROJETO PERFURAÇÃO'!$B:$B,0))="Pre-Splitting","S"))),"")</f>
        <v/>
      </c>
      <c r="R542" s="14">
        <f t="shared" si="53"/>
        <v>1230</v>
      </c>
      <c r="S542" s="4" t="str">
        <f>IFERROR(INDEX('LEV R&amp;D'!$D:$D,MATCH(MEDIÇÃO!R542,'LEV R&amp;D'!$A:$A,0))-INDEX('PROJETO PERFURAÇÃO'!$AH:$AH,MATCH(MEDIÇÃO!R542,'PROJETO PERFURAÇÃO'!$B:$B,0)),"")</f>
        <v/>
      </c>
      <c r="T542" s="8" t="str">
        <f>IFERROR(INDEX('PROJETO PERFURAÇÃO'!$AN:$AN,MATCH(MEDIÇÃO!R542,'PROJETO PERFURAÇÃO'!$B:$B,0)),"")</f>
        <v/>
      </c>
      <c r="U542" s="3"/>
      <c r="V542" s="3"/>
    </row>
    <row r="543" spans="1:23" ht="45" customHeight="1">
      <c r="B543" s="3" t="str">
        <f>IFERROR(ROUND(INDEX('PROJETO PERFURAÇÃO'!$AB:$AB,MATCH(MEDIÇÃO!D543,'PROJETO PERFURAÇÃO'!$B:$B,0)),1)&amp;"''","")</f>
        <v/>
      </c>
      <c r="C543" s="3" t="str">
        <f>IFERROR(IF(INDEX('PROJETO PERFURAÇÃO'!$P:$P,MATCH(MEDIÇÃO!D543,'PROJETO PERFURAÇÃO'!$B:$B,0))="Production","P",IF(INDEX('PROJETO PERFURAÇÃO'!$P:$P,MATCH(MEDIÇÃO!D543,'PROJETO PERFURAÇÃO'!$B:$B,0))="Buffer","B",IF(INDEX('PROJETO PERFURAÇÃO'!$P:$P,MATCH(MEDIÇÃO!D543,'PROJETO PERFURAÇÃO'!$B:$B,0))="Pre-Splitting","S"))),"")</f>
        <v/>
      </c>
      <c r="D543" s="14">
        <f t="shared" si="51"/>
        <v>1185</v>
      </c>
      <c r="E543" s="4" t="str">
        <f>IFERROR(INDEX('LEV R&amp;D'!$D:$D,MATCH(MEDIÇÃO!D543,'LEV R&amp;D'!$A:$A,0))-INDEX('PROJETO PERFURAÇÃO'!$AH:$AH,MATCH(MEDIÇÃO!D543,'PROJETO PERFURAÇÃO'!$B:$B,0)),"")</f>
        <v/>
      </c>
      <c r="F543" s="8" t="str">
        <f>IFERROR(INDEX('PROJETO PERFURAÇÃO'!$AN:$AN,MATCH(MEDIÇÃO!D543,'PROJETO PERFURAÇÃO'!$B:$B,0)),"")</f>
        <v/>
      </c>
      <c r="G543" s="3"/>
      <c r="H543" s="3"/>
      <c r="I543" s="3" t="str">
        <f>IFERROR(ROUND(INDEX('PROJETO PERFURAÇÃO'!$AB:$AB,MATCH(MEDIÇÃO!K543,'PROJETO PERFURAÇÃO'!$B:$B,0)),1)&amp;"''","")</f>
        <v/>
      </c>
      <c r="J543" s="3" t="str">
        <f>IFERROR(IF(INDEX('PROJETO PERFURAÇÃO'!$P:$P,MATCH(MEDIÇÃO!K543,'PROJETO PERFURAÇÃO'!$B:$B,0))="Production","P",IF(INDEX('PROJETO PERFURAÇÃO'!$P:$P,MATCH(MEDIÇÃO!K543,'PROJETO PERFURAÇÃO'!$B:$B,0))="Buffer","B",IF(INDEX('PROJETO PERFURAÇÃO'!$P:$P,MATCH(MEDIÇÃO!K543,'PROJETO PERFURAÇÃO'!$B:$B,0))="Pre-Splitting","S"))),"")</f>
        <v/>
      </c>
      <c r="K543" s="14">
        <f t="shared" si="52"/>
        <v>1208</v>
      </c>
      <c r="L543" s="4" t="str">
        <f>IFERROR(INDEX('LEV R&amp;D'!$D:$D,MATCH(MEDIÇÃO!K543,'LEV R&amp;D'!$A:$A,0))-INDEX('PROJETO PERFURAÇÃO'!$AH:$AH,MATCH(MEDIÇÃO!K543,'PROJETO PERFURAÇÃO'!$B:$B,0)),"")</f>
        <v/>
      </c>
      <c r="M543" s="8" t="str">
        <f>IFERROR(INDEX('PROJETO PERFURAÇÃO'!$AN:$AN,MATCH(MEDIÇÃO!K543,'PROJETO PERFURAÇÃO'!$B:$B,0)),"")</f>
        <v/>
      </c>
      <c r="N543" s="3"/>
      <c r="O543" s="3"/>
      <c r="P543" s="3" t="str">
        <f>IFERROR(ROUND(INDEX('PROJETO PERFURAÇÃO'!$AB:$AB,MATCH(MEDIÇÃO!R543,'PROJETO PERFURAÇÃO'!$B:$B,0)),1)&amp;"''","")</f>
        <v/>
      </c>
      <c r="Q543" s="3" t="str">
        <f>IFERROR(IF(INDEX('PROJETO PERFURAÇÃO'!$P:$P,MATCH(MEDIÇÃO!R543,'PROJETO PERFURAÇÃO'!$B:$B,0))="Production","P",IF(INDEX('PROJETO PERFURAÇÃO'!$P:$P,MATCH(MEDIÇÃO!R543,'PROJETO PERFURAÇÃO'!$B:$B,0))="Buffer","B",IF(INDEX('PROJETO PERFURAÇÃO'!$P:$P,MATCH(MEDIÇÃO!R543,'PROJETO PERFURAÇÃO'!$B:$B,0))="Pre-Splitting","S"))),"")</f>
        <v/>
      </c>
      <c r="R543" s="14">
        <f t="shared" si="53"/>
        <v>1231</v>
      </c>
      <c r="S543" s="4" t="str">
        <f>IFERROR(INDEX('LEV R&amp;D'!$D:$D,MATCH(MEDIÇÃO!R543,'LEV R&amp;D'!$A:$A,0))-INDEX('PROJETO PERFURAÇÃO'!$AH:$AH,MATCH(MEDIÇÃO!R543,'PROJETO PERFURAÇÃO'!$B:$B,0)),"")</f>
        <v/>
      </c>
      <c r="T543" s="8" t="str">
        <f>IFERROR(INDEX('PROJETO PERFURAÇÃO'!$AN:$AN,MATCH(MEDIÇÃO!R543,'PROJETO PERFURAÇÃO'!$B:$B,0)),"")</f>
        <v/>
      </c>
      <c r="U543" s="3"/>
      <c r="V543" s="3"/>
    </row>
    <row r="544" spans="1:23" ht="45" customHeight="1">
      <c r="B544" s="3" t="str">
        <f>IFERROR(ROUND(INDEX('PROJETO PERFURAÇÃO'!$AB:$AB,MATCH(MEDIÇÃO!D544,'PROJETO PERFURAÇÃO'!$B:$B,0)),1)&amp;"''","")</f>
        <v/>
      </c>
      <c r="C544" s="3" t="str">
        <f>IFERROR(IF(INDEX('PROJETO PERFURAÇÃO'!$P:$P,MATCH(MEDIÇÃO!D544,'PROJETO PERFURAÇÃO'!$B:$B,0))="Production","P",IF(INDEX('PROJETO PERFURAÇÃO'!$P:$P,MATCH(MEDIÇÃO!D544,'PROJETO PERFURAÇÃO'!$B:$B,0))="Buffer","B",IF(INDEX('PROJETO PERFURAÇÃO'!$P:$P,MATCH(MEDIÇÃO!D544,'PROJETO PERFURAÇÃO'!$B:$B,0))="Pre-Splitting","S"))),"")</f>
        <v/>
      </c>
      <c r="D544" s="14">
        <f t="shared" si="51"/>
        <v>1186</v>
      </c>
      <c r="E544" s="4" t="str">
        <f>IFERROR(INDEX('LEV R&amp;D'!$D:$D,MATCH(MEDIÇÃO!D544,'LEV R&amp;D'!$A:$A,0))-INDEX('PROJETO PERFURAÇÃO'!$AH:$AH,MATCH(MEDIÇÃO!D544,'PROJETO PERFURAÇÃO'!$B:$B,0)),"")</f>
        <v/>
      </c>
      <c r="F544" s="8" t="str">
        <f>IFERROR(INDEX('PROJETO PERFURAÇÃO'!$AN:$AN,MATCH(MEDIÇÃO!D544,'PROJETO PERFURAÇÃO'!$B:$B,0)),"")</f>
        <v/>
      </c>
      <c r="G544" s="3"/>
      <c r="H544" s="3"/>
      <c r="I544" s="3" t="str">
        <f>IFERROR(ROUND(INDEX('PROJETO PERFURAÇÃO'!$AB:$AB,MATCH(MEDIÇÃO!K544,'PROJETO PERFURAÇÃO'!$B:$B,0)),1)&amp;"''","")</f>
        <v/>
      </c>
      <c r="J544" s="3" t="str">
        <f>IFERROR(IF(INDEX('PROJETO PERFURAÇÃO'!$P:$P,MATCH(MEDIÇÃO!K544,'PROJETO PERFURAÇÃO'!$B:$B,0))="Production","P",IF(INDEX('PROJETO PERFURAÇÃO'!$P:$P,MATCH(MEDIÇÃO!K544,'PROJETO PERFURAÇÃO'!$B:$B,0))="Buffer","B",IF(INDEX('PROJETO PERFURAÇÃO'!$P:$P,MATCH(MEDIÇÃO!K544,'PROJETO PERFURAÇÃO'!$B:$B,0))="Pre-Splitting","S"))),"")</f>
        <v/>
      </c>
      <c r="K544" s="14">
        <f t="shared" si="52"/>
        <v>1209</v>
      </c>
      <c r="L544" s="4" t="str">
        <f>IFERROR(INDEX('LEV R&amp;D'!$D:$D,MATCH(MEDIÇÃO!K544,'LEV R&amp;D'!$A:$A,0))-INDEX('PROJETO PERFURAÇÃO'!$AH:$AH,MATCH(MEDIÇÃO!K544,'PROJETO PERFURAÇÃO'!$B:$B,0)),"")</f>
        <v/>
      </c>
      <c r="M544" s="8" t="str">
        <f>IFERROR(INDEX('PROJETO PERFURAÇÃO'!$AN:$AN,MATCH(MEDIÇÃO!K544,'PROJETO PERFURAÇÃO'!$B:$B,0)),"")</f>
        <v/>
      </c>
      <c r="N544" s="3"/>
      <c r="O544" s="3"/>
      <c r="P544" s="3" t="str">
        <f>IFERROR(ROUND(INDEX('PROJETO PERFURAÇÃO'!$AB:$AB,MATCH(MEDIÇÃO!R544,'PROJETO PERFURAÇÃO'!$B:$B,0)),1)&amp;"''","")</f>
        <v/>
      </c>
      <c r="Q544" s="3" t="str">
        <f>IFERROR(IF(INDEX('PROJETO PERFURAÇÃO'!$P:$P,MATCH(MEDIÇÃO!R544,'PROJETO PERFURAÇÃO'!$B:$B,0))="Production","P",IF(INDEX('PROJETO PERFURAÇÃO'!$P:$P,MATCH(MEDIÇÃO!R544,'PROJETO PERFURAÇÃO'!$B:$B,0))="Buffer","B",IF(INDEX('PROJETO PERFURAÇÃO'!$P:$P,MATCH(MEDIÇÃO!R544,'PROJETO PERFURAÇÃO'!$B:$B,0))="Pre-Splitting","S"))),"")</f>
        <v/>
      </c>
      <c r="R544" s="14">
        <f t="shared" si="53"/>
        <v>1232</v>
      </c>
      <c r="S544" s="4" t="str">
        <f>IFERROR(INDEX('LEV R&amp;D'!$D:$D,MATCH(MEDIÇÃO!R544,'LEV R&amp;D'!$A:$A,0))-INDEX('PROJETO PERFURAÇÃO'!$AH:$AH,MATCH(MEDIÇÃO!R544,'PROJETO PERFURAÇÃO'!$B:$B,0)),"")</f>
        <v/>
      </c>
      <c r="T544" s="8" t="str">
        <f>IFERROR(INDEX('PROJETO PERFURAÇÃO'!$AN:$AN,MATCH(MEDIÇÃO!R544,'PROJETO PERFURAÇÃO'!$B:$B,0)),"")</f>
        <v/>
      </c>
      <c r="U544" s="3"/>
      <c r="V544" s="3"/>
    </row>
    <row r="545" spans="2:22" ht="45" customHeight="1">
      <c r="B545" s="3" t="str">
        <f>IFERROR(ROUND(INDEX('PROJETO PERFURAÇÃO'!$AB:$AB,MATCH(MEDIÇÃO!D545,'PROJETO PERFURAÇÃO'!$B:$B,0)),1)&amp;"''","")</f>
        <v/>
      </c>
      <c r="C545" s="3" t="str">
        <f>IFERROR(IF(INDEX('PROJETO PERFURAÇÃO'!$P:$P,MATCH(MEDIÇÃO!D545,'PROJETO PERFURAÇÃO'!$B:$B,0))="Production","P",IF(INDEX('PROJETO PERFURAÇÃO'!$P:$P,MATCH(MEDIÇÃO!D545,'PROJETO PERFURAÇÃO'!$B:$B,0))="Buffer","B",IF(INDEX('PROJETO PERFURAÇÃO'!$P:$P,MATCH(MEDIÇÃO!D545,'PROJETO PERFURAÇÃO'!$B:$B,0))="Pre-Splitting","S"))),"")</f>
        <v/>
      </c>
      <c r="D545" s="14">
        <f t="shared" si="51"/>
        <v>1187</v>
      </c>
      <c r="E545" s="4" t="str">
        <f>IFERROR(INDEX('LEV R&amp;D'!$D:$D,MATCH(MEDIÇÃO!D545,'LEV R&amp;D'!$A:$A,0))-INDEX('PROJETO PERFURAÇÃO'!$AH:$AH,MATCH(MEDIÇÃO!D545,'PROJETO PERFURAÇÃO'!$B:$B,0)),"")</f>
        <v/>
      </c>
      <c r="F545" s="8" t="str">
        <f>IFERROR(INDEX('PROJETO PERFURAÇÃO'!$AN:$AN,MATCH(MEDIÇÃO!D545,'PROJETO PERFURAÇÃO'!$B:$B,0)),"")</f>
        <v/>
      </c>
      <c r="G545" s="3"/>
      <c r="H545" s="3"/>
      <c r="I545" s="3" t="str">
        <f>IFERROR(ROUND(INDEX('PROJETO PERFURAÇÃO'!$AB:$AB,MATCH(MEDIÇÃO!K545,'PROJETO PERFURAÇÃO'!$B:$B,0)),1)&amp;"''","")</f>
        <v/>
      </c>
      <c r="J545" s="3" t="str">
        <f>IFERROR(IF(INDEX('PROJETO PERFURAÇÃO'!$P:$P,MATCH(MEDIÇÃO!K545,'PROJETO PERFURAÇÃO'!$B:$B,0))="Production","P",IF(INDEX('PROJETO PERFURAÇÃO'!$P:$P,MATCH(MEDIÇÃO!K545,'PROJETO PERFURAÇÃO'!$B:$B,0))="Buffer","B",IF(INDEX('PROJETO PERFURAÇÃO'!$P:$P,MATCH(MEDIÇÃO!K545,'PROJETO PERFURAÇÃO'!$B:$B,0))="Pre-Splitting","S"))),"")</f>
        <v/>
      </c>
      <c r="K545" s="14">
        <f t="shared" si="52"/>
        <v>1210</v>
      </c>
      <c r="L545" s="4" t="str">
        <f>IFERROR(INDEX('LEV R&amp;D'!$D:$D,MATCH(MEDIÇÃO!K545,'LEV R&amp;D'!$A:$A,0))-INDEX('PROJETO PERFURAÇÃO'!$AH:$AH,MATCH(MEDIÇÃO!K545,'PROJETO PERFURAÇÃO'!$B:$B,0)),"")</f>
        <v/>
      </c>
      <c r="M545" s="8" t="str">
        <f>IFERROR(INDEX('PROJETO PERFURAÇÃO'!$AN:$AN,MATCH(MEDIÇÃO!K545,'PROJETO PERFURAÇÃO'!$B:$B,0)),"")</f>
        <v/>
      </c>
      <c r="N545" s="3"/>
      <c r="O545" s="3"/>
      <c r="P545" s="3" t="str">
        <f>IFERROR(ROUND(INDEX('PROJETO PERFURAÇÃO'!$AB:$AB,MATCH(MEDIÇÃO!R545,'PROJETO PERFURAÇÃO'!$B:$B,0)),1)&amp;"''","")</f>
        <v/>
      </c>
      <c r="Q545" s="3" t="str">
        <f>IFERROR(IF(INDEX('PROJETO PERFURAÇÃO'!$P:$P,MATCH(MEDIÇÃO!R545,'PROJETO PERFURAÇÃO'!$B:$B,0))="Production","P",IF(INDEX('PROJETO PERFURAÇÃO'!$P:$P,MATCH(MEDIÇÃO!R545,'PROJETO PERFURAÇÃO'!$B:$B,0))="Buffer","B",IF(INDEX('PROJETO PERFURAÇÃO'!$P:$P,MATCH(MEDIÇÃO!R545,'PROJETO PERFURAÇÃO'!$B:$B,0))="Pre-Splitting","S"))),"")</f>
        <v/>
      </c>
      <c r="R545" s="14">
        <f t="shared" si="53"/>
        <v>1233</v>
      </c>
      <c r="S545" s="4" t="str">
        <f>IFERROR(INDEX('LEV R&amp;D'!$D:$D,MATCH(MEDIÇÃO!R545,'LEV R&amp;D'!$A:$A,0))-INDEX('PROJETO PERFURAÇÃO'!$AH:$AH,MATCH(MEDIÇÃO!R545,'PROJETO PERFURAÇÃO'!$B:$B,0)),"")</f>
        <v/>
      </c>
      <c r="T545" s="8" t="str">
        <f>IFERROR(INDEX('PROJETO PERFURAÇÃO'!$AN:$AN,MATCH(MEDIÇÃO!R545,'PROJETO PERFURAÇÃO'!$B:$B,0)),"")</f>
        <v/>
      </c>
      <c r="U545" s="3"/>
      <c r="V545" s="3"/>
    </row>
    <row r="546" spans="2:22" ht="45" customHeight="1">
      <c r="B546" s="3" t="str">
        <f>IFERROR(ROUND(INDEX('PROJETO PERFURAÇÃO'!$AB:$AB,MATCH(MEDIÇÃO!D546,'PROJETO PERFURAÇÃO'!$B:$B,0)),1)&amp;"''","")</f>
        <v/>
      </c>
      <c r="C546" s="3" t="str">
        <f>IFERROR(IF(INDEX('PROJETO PERFURAÇÃO'!$P:$P,MATCH(MEDIÇÃO!D546,'PROJETO PERFURAÇÃO'!$B:$B,0))="Production","P",IF(INDEX('PROJETO PERFURAÇÃO'!$P:$P,MATCH(MEDIÇÃO!D546,'PROJETO PERFURAÇÃO'!$B:$B,0))="Buffer","B",IF(INDEX('PROJETO PERFURAÇÃO'!$P:$P,MATCH(MEDIÇÃO!D546,'PROJETO PERFURAÇÃO'!$B:$B,0))="Pre-Splitting","S"))),"")</f>
        <v/>
      </c>
      <c r="D546" s="14">
        <f t="shared" si="51"/>
        <v>1188</v>
      </c>
      <c r="E546" s="4" t="str">
        <f>IFERROR(INDEX('LEV R&amp;D'!$D:$D,MATCH(MEDIÇÃO!D546,'LEV R&amp;D'!$A:$A,0))-INDEX('PROJETO PERFURAÇÃO'!$AH:$AH,MATCH(MEDIÇÃO!D546,'PROJETO PERFURAÇÃO'!$B:$B,0)),"")</f>
        <v/>
      </c>
      <c r="F546" s="8" t="str">
        <f>IFERROR(INDEX('PROJETO PERFURAÇÃO'!$AN:$AN,MATCH(MEDIÇÃO!D546,'PROJETO PERFURAÇÃO'!$B:$B,0)),"")</f>
        <v/>
      </c>
      <c r="G546" s="3"/>
      <c r="H546" s="3"/>
      <c r="I546" s="3" t="str">
        <f>IFERROR(ROUND(INDEX('PROJETO PERFURAÇÃO'!$AB:$AB,MATCH(MEDIÇÃO!K546,'PROJETO PERFURAÇÃO'!$B:$B,0)),1)&amp;"''","")</f>
        <v/>
      </c>
      <c r="J546" s="3" t="str">
        <f>IFERROR(IF(INDEX('PROJETO PERFURAÇÃO'!$P:$P,MATCH(MEDIÇÃO!K546,'PROJETO PERFURAÇÃO'!$B:$B,0))="Production","P",IF(INDEX('PROJETO PERFURAÇÃO'!$P:$P,MATCH(MEDIÇÃO!K546,'PROJETO PERFURAÇÃO'!$B:$B,0))="Buffer","B",IF(INDEX('PROJETO PERFURAÇÃO'!$P:$P,MATCH(MEDIÇÃO!K546,'PROJETO PERFURAÇÃO'!$B:$B,0))="Pre-Splitting","S"))),"")</f>
        <v/>
      </c>
      <c r="K546" s="14">
        <f t="shared" si="52"/>
        <v>1211</v>
      </c>
      <c r="L546" s="4" t="str">
        <f>IFERROR(INDEX('LEV R&amp;D'!$D:$D,MATCH(MEDIÇÃO!K546,'LEV R&amp;D'!$A:$A,0))-INDEX('PROJETO PERFURAÇÃO'!$AH:$AH,MATCH(MEDIÇÃO!K546,'PROJETO PERFURAÇÃO'!$B:$B,0)),"")</f>
        <v/>
      </c>
      <c r="M546" s="8" t="str">
        <f>IFERROR(INDEX('PROJETO PERFURAÇÃO'!$AN:$AN,MATCH(MEDIÇÃO!K546,'PROJETO PERFURAÇÃO'!$B:$B,0)),"")</f>
        <v/>
      </c>
      <c r="N546" s="3"/>
      <c r="O546" s="3"/>
      <c r="P546" s="3" t="str">
        <f>IFERROR(ROUND(INDEX('PROJETO PERFURAÇÃO'!$AB:$AB,MATCH(MEDIÇÃO!R546,'PROJETO PERFURAÇÃO'!$B:$B,0)),1)&amp;"''","")</f>
        <v/>
      </c>
      <c r="Q546" s="3" t="str">
        <f>IFERROR(IF(INDEX('PROJETO PERFURAÇÃO'!$P:$P,MATCH(MEDIÇÃO!R546,'PROJETO PERFURAÇÃO'!$B:$B,0))="Production","P",IF(INDEX('PROJETO PERFURAÇÃO'!$P:$P,MATCH(MEDIÇÃO!R546,'PROJETO PERFURAÇÃO'!$B:$B,0))="Buffer","B",IF(INDEX('PROJETO PERFURAÇÃO'!$P:$P,MATCH(MEDIÇÃO!R546,'PROJETO PERFURAÇÃO'!$B:$B,0))="Pre-Splitting","S"))),"")</f>
        <v/>
      </c>
      <c r="R546" s="14">
        <f t="shared" si="53"/>
        <v>1234</v>
      </c>
      <c r="S546" s="4" t="str">
        <f>IFERROR(INDEX('LEV R&amp;D'!$D:$D,MATCH(MEDIÇÃO!R546,'LEV R&amp;D'!$A:$A,0))-INDEX('PROJETO PERFURAÇÃO'!$AH:$AH,MATCH(MEDIÇÃO!R546,'PROJETO PERFURAÇÃO'!$B:$B,0)),"")</f>
        <v/>
      </c>
      <c r="T546" s="8" t="str">
        <f>IFERROR(INDEX('PROJETO PERFURAÇÃO'!$AN:$AN,MATCH(MEDIÇÃO!R546,'PROJETO PERFURAÇÃO'!$B:$B,0)),"")</f>
        <v/>
      </c>
      <c r="U546" s="3"/>
      <c r="V546" s="3"/>
    </row>
    <row r="547" spans="2:22" ht="45" customHeight="1">
      <c r="B547" s="3" t="str">
        <f>IFERROR(ROUND(INDEX('PROJETO PERFURAÇÃO'!$AB:$AB,MATCH(MEDIÇÃO!D547,'PROJETO PERFURAÇÃO'!$B:$B,0)),1)&amp;"''","")</f>
        <v/>
      </c>
      <c r="C547" s="3" t="str">
        <f>IFERROR(IF(INDEX('PROJETO PERFURAÇÃO'!$P:$P,MATCH(MEDIÇÃO!D547,'PROJETO PERFURAÇÃO'!$B:$B,0))="Production","P",IF(INDEX('PROJETO PERFURAÇÃO'!$P:$P,MATCH(MEDIÇÃO!D547,'PROJETO PERFURAÇÃO'!$B:$B,0))="Buffer","B",IF(INDEX('PROJETO PERFURAÇÃO'!$P:$P,MATCH(MEDIÇÃO!D547,'PROJETO PERFURAÇÃO'!$B:$B,0))="Pre-Splitting","S"))),"")</f>
        <v/>
      </c>
      <c r="D547" s="14">
        <f t="shared" si="51"/>
        <v>1189</v>
      </c>
      <c r="E547" s="4" t="str">
        <f>IFERROR(INDEX('LEV R&amp;D'!$D:$D,MATCH(MEDIÇÃO!D547,'LEV R&amp;D'!$A:$A,0))-INDEX('PROJETO PERFURAÇÃO'!$AH:$AH,MATCH(MEDIÇÃO!D547,'PROJETO PERFURAÇÃO'!$B:$B,0)),"")</f>
        <v/>
      </c>
      <c r="F547" s="8" t="str">
        <f>IFERROR(INDEX('PROJETO PERFURAÇÃO'!$AN:$AN,MATCH(MEDIÇÃO!D547,'PROJETO PERFURAÇÃO'!$B:$B,0)),"")</f>
        <v/>
      </c>
      <c r="G547" s="3"/>
      <c r="H547" s="3"/>
      <c r="I547" s="3" t="str">
        <f>IFERROR(ROUND(INDEX('PROJETO PERFURAÇÃO'!$AB:$AB,MATCH(MEDIÇÃO!K547,'PROJETO PERFURAÇÃO'!$B:$B,0)),1)&amp;"''","")</f>
        <v/>
      </c>
      <c r="J547" s="3" t="str">
        <f>IFERROR(IF(INDEX('PROJETO PERFURAÇÃO'!$P:$P,MATCH(MEDIÇÃO!K547,'PROJETO PERFURAÇÃO'!$B:$B,0))="Production","P",IF(INDEX('PROJETO PERFURAÇÃO'!$P:$P,MATCH(MEDIÇÃO!K547,'PROJETO PERFURAÇÃO'!$B:$B,0))="Buffer","B",IF(INDEX('PROJETO PERFURAÇÃO'!$P:$P,MATCH(MEDIÇÃO!K547,'PROJETO PERFURAÇÃO'!$B:$B,0))="Pre-Splitting","S"))),"")</f>
        <v/>
      </c>
      <c r="K547" s="14">
        <f t="shared" si="52"/>
        <v>1212</v>
      </c>
      <c r="L547" s="4" t="str">
        <f>IFERROR(INDEX('LEV R&amp;D'!$D:$D,MATCH(MEDIÇÃO!K547,'LEV R&amp;D'!$A:$A,0))-INDEX('PROJETO PERFURAÇÃO'!$AH:$AH,MATCH(MEDIÇÃO!K547,'PROJETO PERFURAÇÃO'!$B:$B,0)),"")</f>
        <v/>
      </c>
      <c r="M547" s="8" t="str">
        <f>IFERROR(INDEX('PROJETO PERFURAÇÃO'!$AN:$AN,MATCH(MEDIÇÃO!K547,'PROJETO PERFURAÇÃO'!$B:$B,0)),"")</f>
        <v/>
      </c>
      <c r="N547" s="3"/>
      <c r="O547" s="3"/>
      <c r="P547" s="3" t="str">
        <f>IFERROR(ROUND(INDEX('PROJETO PERFURAÇÃO'!$AB:$AB,MATCH(MEDIÇÃO!R547,'PROJETO PERFURAÇÃO'!$B:$B,0)),1)&amp;"''","")</f>
        <v/>
      </c>
      <c r="Q547" s="3" t="str">
        <f>IFERROR(IF(INDEX('PROJETO PERFURAÇÃO'!$P:$P,MATCH(MEDIÇÃO!R547,'PROJETO PERFURAÇÃO'!$B:$B,0))="Production","P",IF(INDEX('PROJETO PERFURAÇÃO'!$P:$P,MATCH(MEDIÇÃO!R547,'PROJETO PERFURAÇÃO'!$B:$B,0))="Buffer","B",IF(INDEX('PROJETO PERFURAÇÃO'!$P:$P,MATCH(MEDIÇÃO!R547,'PROJETO PERFURAÇÃO'!$B:$B,0))="Pre-Splitting","S"))),"")</f>
        <v/>
      </c>
      <c r="R547" s="14">
        <f t="shared" si="53"/>
        <v>1235</v>
      </c>
      <c r="S547" s="4" t="str">
        <f>IFERROR(INDEX('LEV R&amp;D'!$D:$D,MATCH(MEDIÇÃO!R547,'LEV R&amp;D'!$A:$A,0))-INDEX('PROJETO PERFURAÇÃO'!$AH:$AH,MATCH(MEDIÇÃO!R547,'PROJETO PERFURAÇÃO'!$B:$B,0)),"")</f>
        <v/>
      </c>
      <c r="T547" s="8" t="str">
        <f>IFERROR(INDEX('PROJETO PERFURAÇÃO'!$AN:$AN,MATCH(MEDIÇÃO!R547,'PROJETO PERFURAÇÃO'!$B:$B,0)),"")</f>
        <v/>
      </c>
      <c r="U547" s="3"/>
      <c r="V547" s="3"/>
    </row>
    <row r="548" spans="2:22" ht="45" customHeight="1">
      <c r="B548" s="3" t="str">
        <f>IFERROR(ROUND(INDEX('PROJETO PERFURAÇÃO'!$AB:$AB,MATCH(MEDIÇÃO!D548,'PROJETO PERFURAÇÃO'!$B:$B,0)),1)&amp;"''","")</f>
        <v/>
      </c>
      <c r="C548" s="3" t="str">
        <f>IFERROR(IF(INDEX('PROJETO PERFURAÇÃO'!$P:$P,MATCH(MEDIÇÃO!D548,'PROJETO PERFURAÇÃO'!$B:$B,0))="Production","P",IF(INDEX('PROJETO PERFURAÇÃO'!$P:$P,MATCH(MEDIÇÃO!D548,'PROJETO PERFURAÇÃO'!$B:$B,0))="Buffer","B",IF(INDEX('PROJETO PERFURAÇÃO'!$P:$P,MATCH(MEDIÇÃO!D548,'PROJETO PERFURAÇÃO'!$B:$B,0))="Pre-Splitting","S"))),"")</f>
        <v/>
      </c>
      <c r="D548" s="14">
        <f t="shared" si="51"/>
        <v>1190</v>
      </c>
      <c r="E548" s="4" t="str">
        <f>IFERROR(INDEX('LEV R&amp;D'!$D:$D,MATCH(MEDIÇÃO!D548,'LEV R&amp;D'!$A:$A,0))-INDEX('PROJETO PERFURAÇÃO'!$AH:$AH,MATCH(MEDIÇÃO!D548,'PROJETO PERFURAÇÃO'!$B:$B,0)),"")</f>
        <v/>
      </c>
      <c r="F548" s="8" t="str">
        <f>IFERROR(INDEX('PROJETO PERFURAÇÃO'!$AN:$AN,MATCH(MEDIÇÃO!D548,'PROJETO PERFURAÇÃO'!$B:$B,0)),"")</f>
        <v/>
      </c>
      <c r="G548" s="3"/>
      <c r="H548" s="3"/>
      <c r="I548" s="3" t="str">
        <f>IFERROR(ROUND(INDEX('PROJETO PERFURAÇÃO'!$AB:$AB,MATCH(MEDIÇÃO!K548,'PROJETO PERFURAÇÃO'!$B:$B,0)),1)&amp;"''","")</f>
        <v/>
      </c>
      <c r="J548" s="3" t="str">
        <f>IFERROR(IF(INDEX('PROJETO PERFURAÇÃO'!$P:$P,MATCH(MEDIÇÃO!K548,'PROJETO PERFURAÇÃO'!$B:$B,0))="Production","P",IF(INDEX('PROJETO PERFURAÇÃO'!$P:$P,MATCH(MEDIÇÃO!K548,'PROJETO PERFURAÇÃO'!$B:$B,0))="Buffer","B",IF(INDEX('PROJETO PERFURAÇÃO'!$P:$P,MATCH(MEDIÇÃO!K548,'PROJETO PERFURAÇÃO'!$B:$B,0))="Pre-Splitting","S"))),"")</f>
        <v/>
      </c>
      <c r="K548" s="14">
        <f t="shared" si="52"/>
        <v>1213</v>
      </c>
      <c r="L548" s="4" t="str">
        <f>IFERROR(INDEX('LEV R&amp;D'!$D:$D,MATCH(MEDIÇÃO!K548,'LEV R&amp;D'!$A:$A,0))-INDEX('PROJETO PERFURAÇÃO'!$AH:$AH,MATCH(MEDIÇÃO!K548,'PROJETO PERFURAÇÃO'!$B:$B,0)),"")</f>
        <v/>
      </c>
      <c r="M548" s="8" t="str">
        <f>IFERROR(INDEX('PROJETO PERFURAÇÃO'!$AN:$AN,MATCH(MEDIÇÃO!K548,'PROJETO PERFURAÇÃO'!$B:$B,0)),"")</f>
        <v/>
      </c>
      <c r="N548" s="3"/>
      <c r="O548" s="3"/>
      <c r="P548" s="3" t="str">
        <f>IFERROR(ROUND(INDEX('PROJETO PERFURAÇÃO'!$AB:$AB,MATCH(MEDIÇÃO!R548,'PROJETO PERFURAÇÃO'!$B:$B,0)),1)&amp;"''","")</f>
        <v/>
      </c>
      <c r="Q548" s="3" t="str">
        <f>IFERROR(IF(INDEX('PROJETO PERFURAÇÃO'!$P:$P,MATCH(MEDIÇÃO!R548,'PROJETO PERFURAÇÃO'!$B:$B,0))="Production","P",IF(INDEX('PROJETO PERFURAÇÃO'!$P:$P,MATCH(MEDIÇÃO!R548,'PROJETO PERFURAÇÃO'!$B:$B,0))="Buffer","B",IF(INDEX('PROJETO PERFURAÇÃO'!$P:$P,MATCH(MEDIÇÃO!R548,'PROJETO PERFURAÇÃO'!$B:$B,0))="Pre-Splitting","S"))),"")</f>
        <v/>
      </c>
      <c r="R548" s="14">
        <f t="shared" si="53"/>
        <v>1236</v>
      </c>
      <c r="S548" s="4" t="str">
        <f>IFERROR(INDEX('LEV R&amp;D'!$D:$D,MATCH(MEDIÇÃO!R548,'LEV R&amp;D'!$A:$A,0))-INDEX('PROJETO PERFURAÇÃO'!$AH:$AH,MATCH(MEDIÇÃO!R548,'PROJETO PERFURAÇÃO'!$B:$B,0)),"")</f>
        <v/>
      </c>
      <c r="T548" s="8" t="str">
        <f>IFERROR(INDEX('PROJETO PERFURAÇÃO'!$AN:$AN,MATCH(MEDIÇÃO!R548,'PROJETO PERFURAÇÃO'!$B:$B,0)),"")</f>
        <v/>
      </c>
      <c r="U548" s="3"/>
      <c r="V548" s="3"/>
    </row>
    <row r="549" spans="2:22" ht="45" customHeight="1">
      <c r="B549" s="3" t="str">
        <f>IFERROR(ROUND(INDEX('PROJETO PERFURAÇÃO'!$AB:$AB,MATCH(MEDIÇÃO!D549,'PROJETO PERFURAÇÃO'!$B:$B,0)),1)&amp;"''","")</f>
        <v/>
      </c>
      <c r="C549" s="3" t="str">
        <f>IFERROR(IF(INDEX('PROJETO PERFURAÇÃO'!$P:$P,MATCH(MEDIÇÃO!D549,'PROJETO PERFURAÇÃO'!$B:$B,0))="Production","P",IF(INDEX('PROJETO PERFURAÇÃO'!$P:$P,MATCH(MEDIÇÃO!D549,'PROJETO PERFURAÇÃO'!$B:$B,0))="Buffer","B",IF(INDEX('PROJETO PERFURAÇÃO'!$P:$P,MATCH(MEDIÇÃO!D549,'PROJETO PERFURAÇÃO'!$B:$B,0))="Pre-Splitting","S"))),"")</f>
        <v/>
      </c>
      <c r="D549" s="14">
        <f t="shared" si="51"/>
        <v>1191</v>
      </c>
      <c r="E549" s="4" t="str">
        <f>IFERROR(INDEX('LEV R&amp;D'!$D:$D,MATCH(MEDIÇÃO!D549,'LEV R&amp;D'!$A:$A,0))-INDEX('PROJETO PERFURAÇÃO'!$AH:$AH,MATCH(MEDIÇÃO!D549,'PROJETO PERFURAÇÃO'!$B:$B,0)),"")</f>
        <v/>
      </c>
      <c r="F549" s="8" t="str">
        <f>IFERROR(INDEX('PROJETO PERFURAÇÃO'!$AN:$AN,MATCH(MEDIÇÃO!D549,'PROJETO PERFURAÇÃO'!$B:$B,0)),"")</f>
        <v/>
      </c>
      <c r="G549" s="3"/>
      <c r="H549" s="3"/>
      <c r="I549" s="3" t="str">
        <f>IFERROR(ROUND(INDEX('PROJETO PERFURAÇÃO'!$AB:$AB,MATCH(MEDIÇÃO!K549,'PROJETO PERFURAÇÃO'!$B:$B,0)),1)&amp;"''","")</f>
        <v/>
      </c>
      <c r="J549" s="3" t="str">
        <f>IFERROR(IF(INDEX('PROJETO PERFURAÇÃO'!$P:$P,MATCH(MEDIÇÃO!K549,'PROJETO PERFURAÇÃO'!$B:$B,0))="Production","P",IF(INDEX('PROJETO PERFURAÇÃO'!$P:$P,MATCH(MEDIÇÃO!K549,'PROJETO PERFURAÇÃO'!$B:$B,0))="Buffer","B",IF(INDEX('PROJETO PERFURAÇÃO'!$P:$P,MATCH(MEDIÇÃO!K549,'PROJETO PERFURAÇÃO'!$B:$B,0))="Pre-Splitting","S"))),"")</f>
        <v/>
      </c>
      <c r="K549" s="14">
        <f t="shared" si="52"/>
        <v>1214</v>
      </c>
      <c r="L549" s="4" t="str">
        <f>IFERROR(INDEX('LEV R&amp;D'!$D:$D,MATCH(MEDIÇÃO!K549,'LEV R&amp;D'!$A:$A,0))-INDEX('PROJETO PERFURAÇÃO'!$AH:$AH,MATCH(MEDIÇÃO!K549,'PROJETO PERFURAÇÃO'!$B:$B,0)),"")</f>
        <v/>
      </c>
      <c r="M549" s="8" t="str">
        <f>IFERROR(INDEX('PROJETO PERFURAÇÃO'!$AN:$AN,MATCH(MEDIÇÃO!K549,'PROJETO PERFURAÇÃO'!$B:$B,0)),"")</f>
        <v/>
      </c>
      <c r="N549" s="3"/>
      <c r="O549" s="3"/>
      <c r="P549" s="3" t="str">
        <f>IFERROR(ROUND(INDEX('PROJETO PERFURAÇÃO'!$AB:$AB,MATCH(MEDIÇÃO!R549,'PROJETO PERFURAÇÃO'!$B:$B,0)),1)&amp;"''","")</f>
        <v/>
      </c>
      <c r="Q549" s="3" t="str">
        <f>IFERROR(IF(INDEX('PROJETO PERFURAÇÃO'!$P:$P,MATCH(MEDIÇÃO!R549,'PROJETO PERFURAÇÃO'!$B:$B,0))="Production","P",IF(INDEX('PROJETO PERFURAÇÃO'!$P:$P,MATCH(MEDIÇÃO!R549,'PROJETO PERFURAÇÃO'!$B:$B,0))="Buffer","B",IF(INDEX('PROJETO PERFURAÇÃO'!$P:$P,MATCH(MEDIÇÃO!R549,'PROJETO PERFURAÇÃO'!$B:$B,0))="Pre-Splitting","S"))),"")</f>
        <v/>
      </c>
      <c r="R549" s="14">
        <f t="shared" si="53"/>
        <v>1237</v>
      </c>
      <c r="S549" s="4" t="str">
        <f>IFERROR(INDEX('LEV R&amp;D'!$D:$D,MATCH(MEDIÇÃO!R549,'LEV R&amp;D'!$A:$A,0))-INDEX('PROJETO PERFURAÇÃO'!$AH:$AH,MATCH(MEDIÇÃO!R549,'PROJETO PERFURAÇÃO'!$B:$B,0)),"")</f>
        <v/>
      </c>
      <c r="T549" s="8" t="str">
        <f>IFERROR(INDEX('PROJETO PERFURAÇÃO'!$AN:$AN,MATCH(MEDIÇÃO!R549,'PROJETO PERFURAÇÃO'!$B:$B,0)),"")</f>
        <v/>
      </c>
      <c r="U549" s="3"/>
      <c r="V549" s="3"/>
    </row>
    <row r="550" spans="2:22" ht="45" customHeight="1">
      <c r="B550" s="3" t="str">
        <f>IFERROR(ROUND(INDEX('PROJETO PERFURAÇÃO'!$AB:$AB,MATCH(MEDIÇÃO!D550,'PROJETO PERFURAÇÃO'!$B:$B,0)),1)&amp;"''","")</f>
        <v/>
      </c>
      <c r="C550" s="3" t="str">
        <f>IFERROR(IF(INDEX('PROJETO PERFURAÇÃO'!$P:$P,MATCH(MEDIÇÃO!D550,'PROJETO PERFURAÇÃO'!$B:$B,0))="Production","P",IF(INDEX('PROJETO PERFURAÇÃO'!$P:$P,MATCH(MEDIÇÃO!D550,'PROJETO PERFURAÇÃO'!$B:$B,0))="Buffer","B",IF(INDEX('PROJETO PERFURAÇÃO'!$P:$P,MATCH(MEDIÇÃO!D550,'PROJETO PERFURAÇÃO'!$B:$B,0))="Pre-Splitting","S"))),"")</f>
        <v/>
      </c>
      <c r="D550" s="14">
        <f t="shared" si="51"/>
        <v>1192</v>
      </c>
      <c r="E550" s="4" t="str">
        <f>IFERROR(INDEX('LEV R&amp;D'!$D:$D,MATCH(MEDIÇÃO!D550,'LEV R&amp;D'!$A:$A,0))-INDEX('PROJETO PERFURAÇÃO'!$AH:$AH,MATCH(MEDIÇÃO!D550,'PROJETO PERFURAÇÃO'!$B:$B,0)),"")</f>
        <v/>
      </c>
      <c r="F550" s="8" t="str">
        <f>IFERROR(INDEX('PROJETO PERFURAÇÃO'!$AN:$AN,MATCH(MEDIÇÃO!D550,'PROJETO PERFURAÇÃO'!$B:$B,0)),"")</f>
        <v/>
      </c>
      <c r="G550" s="3"/>
      <c r="H550" s="3"/>
      <c r="I550" s="3" t="str">
        <f>IFERROR(ROUND(INDEX('PROJETO PERFURAÇÃO'!$AB:$AB,MATCH(MEDIÇÃO!K550,'PROJETO PERFURAÇÃO'!$B:$B,0)),1)&amp;"''","")</f>
        <v/>
      </c>
      <c r="J550" s="3" t="str">
        <f>IFERROR(IF(INDEX('PROJETO PERFURAÇÃO'!$P:$P,MATCH(MEDIÇÃO!K550,'PROJETO PERFURAÇÃO'!$B:$B,0))="Production","P",IF(INDEX('PROJETO PERFURAÇÃO'!$P:$P,MATCH(MEDIÇÃO!K550,'PROJETO PERFURAÇÃO'!$B:$B,0))="Buffer","B",IF(INDEX('PROJETO PERFURAÇÃO'!$P:$P,MATCH(MEDIÇÃO!K550,'PROJETO PERFURAÇÃO'!$B:$B,0))="Pre-Splitting","S"))),"")</f>
        <v/>
      </c>
      <c r="K550" s="14">
        <f t="shared" si="52"/>
        <v>1215</v>
      </c>
      <c r="L550" s="4" t="str">
        <f>IFERROR(INDEX('LEV R&amp;D'!$D:$D,MATCH(MEDIÇÃO!K550,'LEV R&amp;D'!$A:$A,0))-INDEX('PROJETO PERFURAÇÃO'!$AH:$AH,MATCH(MEDIÇÃO!K550,'PROJETO PERFURAÇÃO'!$B:$B,0)),"")</f>
        <v/>
      </c>
      <c r="M550" s="8" t="str">
        <f>IFERROR(INDEX('PROJETO PERFURAÇÃO'!$AN:$AN,MATCH(MEDIÇÃO!K550,'PROJETO PERFURAÇÃO'!$B:$B,0)),"")</f>
        <v/>
      </c>
      <c r="N550" s="3"/>
      <c r="O550" s="3"/>
      <c r="P550" s="3" t="str">
        <f>IFERROR(ROUND(INDEX('PROJETO PERFURAÇÃO'!$AB:$AB,MATCH(MEDIÇÃO!R550,'PROJETO PERFURAÇÃO'!$B:$B,0)),1)&amp;"''","")</f>
        <v/>
      </c>
      <c r="Q550" s="3" t="str">
        <f>IFERROR(IF(INDEX('PROJETO PERFURAÇÃO'!$P:$P,MATCH(MEDIÇÃO!R550,'PROJETO PERFURAÇÃO'!$B:$B,0))="Production","P",IF(INDEX('PROJETO PERFURAÇÃO'!$P:$P,MATCH(MEDIÇÃO!R550,'PROJETO PERFURAÇÃO'!$B:$B,0))="Buffer","B",IF(INDEX('PROJETO PERFURAÇÃO'!$P:$P,MATCH(MEDIÇÃO!R550,'PROJETO PERFURAÇÃO'!$B:$B,0))="Pre-Splitting","S"))),"")</f>
        <v/>
      </c>
      <c r="R550" s="14">
        <f t="shared" si="53"/>
        <v>1238</v>
      </c>
      <c r="S550" s="4" t="str">
        <f>IFERROR(INDEX('LEV R&amp;D'!$D:$D,MATCH(MEDIÇÃO!R550,'LEV R&amp;D'!$A:$A,0))-INDEX('PROJETO PERFURAÇÃO'!$AH:$AH,MATCH(MEDIÇÃO!R550,'PROJETO PERFURAÇÃO'!$B:$B,0)),"")</f>
        <v/>
      </c>
      <c r="T550" s="8" t="str">
        <f>IFERROR(INDEX('PROJETO PERFURAÇÃO'!$AN:$AN,MATCH(MEDIÇÃO!R550,'PROJETO PERFURAÇÃO'!$B:$B,0)),"")</f>
        <v/>
      </c>
      <c r="U550" s="3"/>
      <c r="V550" s="3"/>
    </row>
    <row r="551" spans="2:22" ht="45" customHeight="1">
      <c r="B551" s="3" t="str">
        <f>IFERROR(ROUND(INDEX('PROJETO PERFURAÇÃO'!$AB:$AB,MATCH(MEDIÇÃO!D551,'PROJETO PERFURAÇÃO'!$B:$B,0)),1)&amp;"''","")</f>
        <v/>
      </c>
      <c r="C551" s="3" t="str">
        <f>IFERROR(IF(INDEX('PROJETO PERFURAÇÃO'!$P:$P,MATCH(MEDIÇÃO!D551,'PROJETO PERFURAÇÃO'!$B:$B,0))="Production","P",IF(INDEX('PROJETO PERFURAÇÃO'!$P:$P,MATCH(MEDIÇÃO!D551,'PROJETO PERFURAÇÃO'!$B:$B,0))="Buffer","B",IF(INDEX('PROJETO PERFURAÇÃO'!$P:$P,MATCH(MEDIÇÃO!D551,'PROJETO PERFURAÇÃO'!$B:$B,0))="Pre-Splitting","S"))),"")</f>
        <v/>
      </c>
      <c r="D551" s="14">
        <f t="shared" si="51"/>
        <v>1193</v>
      </c>
      <c r="E551" s="4" t="str">
        <f>IFERROR(INDEX('LEV R&amp;D'!$D:$D,MATCH(MEDIÇÃO!D551,'LEV R&amp;D'!$A:$A,0))-INDEX('PROJETO PERFURAÇÃO'!$AH:$AH,MATCH(MEDIÇÃO!D551,'PROJETO PERFURAÇÃO'!$B:$B,0)),"")</f>
        <v/>
      </c>
      <c r="F551" s="8" t="str">
        <f>IFERROR(INDEX('PROJETO PERFURAÇÃO'!$AN:$AN,MATCH(MEDIÇÃO!D551,'PROJETO PERFURAÇÃO'!$B:$B,0)),"")</f>
        <v/>
      </c>
      <c r="G551" s="3"/>
      <c r="H551" s="3"/>
      <c r="I551" s="3" t="str">
        <f>IFERROR(ROUND(INDEX('PROJETO PERFURAÇÃO'!$AB:$AB,MATCH(MEDIÇÃO!K551,'PROJETO PERFURAÇÃO'!$B:$B,0)),1)&amp;"''","")</f>
        <v/>
      </c>
      <c r="J551" s="3" t="str">
        <f>IFERROR(IF(INDEX('PROJETO PERFURAÇÃO'!$P:$P,MATCH(MEDIÇÃO!K551,'PROJETO PERFURAÇÃO'!$B:$B,0))="Production","P",IF(INDEX('PROJETO PERFURAÇÃO'!$P:$P,MATCH(MEDIÇÃO!K551,'PROJETO PERFURAÇÃO'!$B:$B,0))="Buffer","B",IF(INDEX('PROJETO PERFURAÇÃO'!$P:$P,MATCH(MEDIÇÃO!K551,'PROJETO PERFURAÇÃO'!$B:$B,0))="Pre-Splitting","S"))),"")</f>
        <v/>
      </c>
      <c r="K551" s="14">
        <f t="shared" si="52"/>
        <v>1216</v>
      </c>
      <c r="L551" s="4" t="str">
        <f>IFERROR(INDEX('LEV R&amp;D'!$D:$D,MATCH(MEDIÇÃO!K551,'LEV R&amp;D'!$A:$A,0))-INDEX('PROJETO PERFURAÇÃO'!$AH:$AH,MATCH(MEDIÇÃO!K551,'PROJETO PERFURAÇÃO'!$B:$B,0)),"")</f>
        <v/>
      </c>
      <c r="M551" s="8" t="str">
        <f>IFERROR(INDEX('PROJETO PERFURAÇÃO'!$AN:$AN,MATCH(MEDIÇÃO!K551,'PROJETO PERFURAÇÃO'!$B:$B,0)),"")</f>
        <v/>
      </c>
      <c r="N551" s="3"/>
      <c r="O551" s="3"/>
      <c r="P551" s="3" t="str">
        <f>IFERROR(ROUND(INDEX('PROJETO PERFURAÇÃO'!$AB:$AB,MATCH(MEDIÇÃO!R551,'PROJETO PERFURAÇÃO'!$B:$B,0)),1)&amp;"''","")</f>
        <v/>
      </c>
      <c r="Q551" s="3" t="str">
        <f>IFERROR(IF(INDEX('PROJETO PERFURAÇÃO'!$P:$P,MATCH(MEDIÇÃO!R551,'PROJETO PERFURAÇÃO'!$B:$B,0))="Production","P",IF(INDEX('PROJETO PERFURAÇÃO'!$P:$P,MATCH(MEDIÇÃO!R551,'PROJETO PERFURAÇÃO'!$B:$B,0))="Buffer","B",IF(INDEX('PROJETO PERFURAÇÃO'!$P:$P,MATCH(MEDIÇÃO!R551,'PROJETO PERFURAÇÃO'!$B:$B,0))="Pre-Splitting","S"))),"")</f>
        <v/>
      </c>
      <c r="R551" s="14">
        <f t="shared" si="53"/>
        <v>1239</v>
      </c>
      <c r="S551" s="4" t="str">
        <f>IFERROR(INDEX('LEV R&amp;D'!$D:$D,MATCH(MEDIÇÃO!R551,'LEV R&amp;D'!$A:$A,0))-INDEX('PROJETO PERFURAÇÃO'!$AH:$AH,MATCH(MEDIÇÃO!R551,'PROJETO PERFURAÇÃO'!$B:$B,0)),"")</f>
        <v/>
      </c>
      <c r="T551" s="8" t="str">
        <f>IFERROR(INDEX('PROJETO PERFURAÇÃO'!$AN:$AN,MATCH(MEDIÇÃO!R551,'PROJETO PERFURAÇÃO'!$B:$B,0)),"")</f>
        <v/>
      </c>
      <c r="U551" s="3"/>
      <c r="V551" s="3"/>
    </row>
    <row r="552" spans="2:22" ht="45" customHeight="1">
      <c r="B552" s="3" t="str">
        <f>IFERROR(ROUND(INDEX('PROJETO PERFURAÇÃO'!$AB:$AB,MATCH(MEDIÇÃO!D552,'PROJETO PERFURAÇÃO'!$B:$B,0)),1)&amp;"''","")</f>
        <v/>
      </c>
      <c r="C552" s="3" t="str">
        <f>IFERROR(IF(INDEX('PROJETO PERFURAÇÃO'!$P:$P,MATCH(MEDIÇÃO!D552,'PROJETO PERFURAÇÃO'!$B:$B,0))="Production","P",IF(INDEX('PROJETO PERFURAÇÃO'!$P:$P,MATCH(MEDIÇÃO!D552,'PROJETO PERFURAÇÃO'!$B:$B,0))="Buffer","B",IF(INDEX('PROJETO PERFURAÇÃO'!$P:$P,MATCH(MEDIÇÃO!D552,'PROJETO PERFURAÇÃO'!$B:$B,0))="Pre-Splitting","S"))),"")</f>
        <v/>
      </c>
      <c r="D552" s="14">
        <f t="shared" si="51"/>
        <v>1194</v>
      </c>
      <c r="E552" s="4" t="str">
        <f>IFERROR(INDEX('LEV R&amp;D'!$D:$D,MATCH(MEDIÇÃO!D552,'LEV R&amp;D'!$A:$A,0))-INDEX('PROJETO PERFURAÇÃO'!$AH:$AH,MATCH(MEDIÇÃO!D552,'PROJETO PERFURAÇÃO'!$B:$B,0)),"")</f>
        <v/>
      </c>
      <c r="F552" s="8" t="str">
        <f>IFERROR(INDEX('PROJETO PERFURAÇÃO'!$AN:$AN,MATCH(MEDIÇÃO!D552,'PROJETO PERFURAÇÃO'!$B:$B,0)),"")</f>
        <v/>
      </c>
      <c r="G552" s="3"/>
      <c r="H552" s="3"/>
      <c r="I552" s="3" t="str">
        <f>IFERROR(ROUND(INDEX('PROJETO PERFURAÇÃO'!$AB:$AB,MATCH(MEDIÇÃO!K552,'PROJETO PERFURAÇÃO'!$B:$B,0)),1)&amp;"''","")</f>
        <v/>
      </c>
      <c r="J552" s="3" t="str">
        <f>IFERROR(IF(INDEX('PROJETO PERFURAÇÃO'!$P:$P,MATCH(MEDIÇÃO!K552,'PROJETO PERFURAÇÃO'!$B:$B,0))="Production","P",IF(INDEX('PROJETO PERFURAÇÃO'!$P:$P,MATCH(MEDIÇÃO!K552,'PROJETO PERFURAÇÃO'!$B:$B,0))="Buffer","B",IF(INDEX('PROJETO PERFURAÇÃO'!$P:$P,MATCH(MEDIÇÃO!K552,'PROJETO PERFURAÇÃO'!$B:$B,0))="Pre-Splitting","S"))),"")</f>
        <v/>
      </c>
      <c r="K552" s="14">
        <f t="shared" si="52"/>
        <v>1217</v>
      </c>
      <c r="L552" s="4" t="str">
        <f>IFERROR(INDEX('LEV R&amp;D'!$D:$D,MATCH(MEDIÇÃO!K552,'LEV R&amp;D'!$A:$A,0))-INDEX('PROJETO PERFURAÇÃO'!$AH:$AH,MATCH(MEDIÇÃO!K552,'PROJETO PERFURAÇÃO'!$B:$B,0)),"")</f>
        <v/>
      </c>
      <c r="M552" s="8" t="str">
        <f>IFERROR(INDEX('PROJETO PERFURAÇÃO'!$AN:$AN,MATCH(MEDIÇÃO!K552,'PROJETO PERFURAÇÃO'!$B:$B,0)),"")</f>
        <v/>
      </c>
      <c r="N552" s="3"/>
      <c r="O552" s="3"/>
      <c r="P552" s="3" t="str">
        <f>IFERROR(ROUND(INDEX('PROJETO PERFURAÇÃO'!$AB:$AB,MATCH(MEDIÇÃO!R552,'PROJETO PERFURAÇÃO'!$B:$B,0)),1)&amp;"''","")</f>
        <v/>
      </c>
      <c r="Q552" s="3" t="str">
        <f>IFERROR(IF(INDEX('PROJETO PERFURAÇÃO'!$P:$P,MATCH(MEDIÇÃO!R552,'PROJETO PERFURAÇÃO'!$B:$B,0))="Production","P",IF(INDEX('PROJETO PERFURAÇÃO'!$P:$P,MATCH(MEDIÇÃO!R552,'PROJETO PERFURAÇÃO'!$B:$B,0))="Buffer","B",IF(INDEX('PROJETO PERFURAÇÃO'!$P:$P,MATCH(MEDIÇÃO!R552,'PROJETO PERFURAÇÃO'!$B:$B,0))="Pre-Splitting","S"))),"")</f>
        <v/>
      </c>
      <c r="R552" s="14">
        <f t="shared" si="53"/>
        <v>1240</v>
      </c>
      <c r="S552" s="4" t="str">
        <f>IFERROR(INDEX('LEV R&amp;D'!$D:$D,MATCH(MEDIÇÃO!R552,'LEV R&amp;D'!$A:$A,0))-INDEX('PROJETO PERFURAÇÃO'!$AH:$AH,MATCH(MEDIÇÃO!R552,'PROJETO PERFURAÇÃO'!$B:$B,0)),"")</f>
        <v/>
      </c>
      <c r="T552" s="8" t="str">
        <f>IFERROR(INDEX('PROJETO PERFURAÇÃO'!$AN:$AN,MATCH(MEDIÇÃO!R552,'PROJETO PERFURAÇÃO'!$B:$B,0)),"")</f>
        <v/>
      </c>
      <c r="U552" s="3"/>
      <c r="V552" s="3"/>
    </row>
    <row r="553" spans="2:22" ht="45" customHeight="1">
      <c r="B553" s="3" t="str">
        <f>IFERROR(ROUND(INDEX('PROJETO PERFURAÇÃO'!$AB:$AB,MATCH(MEDIÇÃO!D553,'PROJETO PERFURAÇÃO'!$B:$B,0)),1)&amp;"''","")</f>
        <v/>
      </c>
      <c r="C553" s="3" t="str">
        <f>IFERROR(IF(INDEX('PROJETO PERFURAÇÃO'!$P:$P,MATCH(MEDIÇÃO!D553,'PROJETO PERFURAÇÃO'!$B:$B,0))="Production","P",IF(INDEX('PROJETO PERFURAÇÃO'!$P:$P,MATCH(MEDIÇÃO!D553,'PROJETO PERFURAÇÃO'!$B:$B,0))="Buffer","B",IF(INDEX('PROJETO PERFURAÇÃO'!$P:$P,MATCH(MEDIÇÃO!D553,'PROJETO PERFURAÇÃO'!$B:$B,0))="Pre-Splitting","S"))),"")</f>
        <v/>
      </c>
      <c r="D553" s="14">
        <f t="shared" si="51"/>
        <v>1195</v>
      </c>
      <c r="E553" s="4" t="str">
        <f>IFERROR(INDEX('LEV R&amp;D'!$D:$D,MATCH(MEDIÇÃO!D553,'LEV R&amp;D'!$A:$A,0))-INDEX('PROJETO PERFURAÇÃO'!$AH:$AH,MATCH(MEDIÇÃO!D553,'PROJETO PERFURAÇÃO'!$B:$B,0)),"")</f>
        <v/>
      </c>
      <c r="F553" s="8" t="str">
        <f>IFERROR(INDEX('PROJETO PERFURAÇÃO'!$AN:$AN,MATCH(MEDIÇÃO!D553,'PROJETO PERFURAÇÃO'!$B:$B,0)),"")</f>
        <v/>
      </c>
      <c r="G553" s="3"/>
      <c r="H553" s="3"/>
      <c r="I553" s="3" t="str">
        <f>IFERROR(ROUND(INDEX('PROJETO PERFURAÇÃO'!$AB:$AB,MATCH(MEDIÇÃO!K553,'PROJETO PERFURAÇÃO'!$B:$B,0)),1)&amp;"''","")</f>
        <v/>
      </c>
      <c r="J553" s="3" t="str">
        <f>IFERROR(IF(INDEX('PROJETO PERFURAÇÃO'!$P:$P,MATCH(MEDIÇÃO!K553,'PROJETO PERFURAÇÃO'!$B:$B,0))="Production","P",IF(INDEX('PROJETO PERFURAÇÃO'!$P:$P,MATCH(MEDIÇÃO!K553,'PROJETO PERFURAÇÃO'!$B:$B,0))="Buffer","B",IF(INDEX('PROJETO PERFURAÇÃO'!$P:$P,MATCH(MEDIÇÃO!K553,'PROJETO PERFURAÇÃO'!$B:$B,0))="Pre-Splitting","S"))),"")</f>
        <v/>
      </c>
      <c r="K553" s="14">
        <f t="shared" si="52"/>
        <v>1218</v>
      </c>
      <c r="L553" s="4" t="str">
        <f>IFERROR(INDEX('LEV R&amp;D'!$D:$D,MATCH(MEDIÇÃO!K553,'LEV R&amp;D'!$A:$A,0))-INDEX('PROJETO PERFURAÇÃO'!$AH:$AH,MATCH(MEDIÇÃO!K553,'PROJETO PERFURAÇÃO'!$B:$B,0)),"")</f>
        <v/>
      </c>
      <c r="M553" s="8" t="str">
        <f>IFERROR(INDEX('PROJETO PERFURAÇÃO'!$AN:$AN,MATCH(MEDIÇÃO!K553,'PROJETO PERFURAÇÃO'!$B:$B,0)),"")</f>
        <v/>
      </c>
      <c r="N553" s="3"/>
      <c r="O553" s="3"/>
      <c r="P553" s="3" t="str">
        <f>IFERROR(ROUND(INDEX('PROJETO PERFURAÇÃO'!$AB:$AB,MATCH(MEDIÇÃO!R553,'PROJETO PERFURAÇÃO'!$B:$B,0)),1)&amp;"''","")</f>
        <v/>
      </c>
      <c r="Q553" s="3" t="str">
        <f>IFERROR(IF(INDEX('PROJETO PERFURAÇÃO'!$P:$P,MATCH(MEDIÇÃO!R553,'PROJETO PERFURAÇÃO'!$B:$B,0))="Production","P",IF(INDEX('PROJETO PERFURAÇÃO'!$P:$P,MATCH(MEDIÇÃO!R553,'PROJETO PERFURAÇÃO'!$B:$B,0))="Buffer","B",IF(INDEX('PROJETO PERFURAÇÃO'!$P:$P,MATCH(MEDIÇÃO!R553,'PROJETO PERFURAÇÃO'!$B:$B,0))="Pre-Splitting","S"))),"")</f>
        <v/>
      </c>
      <c r="R553" s="14">
        <f t="shared" si="53"/>
        <v>1241</v>
      </c>
      <c r="S553" s="4" t="str">
        <f>IFERROR(INDEX('LEV R&amp;D'!$D:$D,MATCH(MEDIÇÃO!R553,'LEV R&amp;D'!$A:$A,0))-INDEX('PROJETO PERFURAÇÃO'!$AH:$AH,MATCH(MEDIÇÃO!R553,'PROJETO PERFURAÇÃO'!$B:$B,0)),"")</f>
        <v/>
      </c>
      <c r="T553" s="8" t="str">
        <f>IFERROR(INDEX('PROJETO PERFURAÇÃO'!$AN:$AN,MATCH(MEDIÇÃO!R553,'PROJETO PERFURAÇÃO'!$B:$B,0)),"")</f>
        <v/>
      </c>
      <c r="U553" s="3"/>
      <c r="V553" s="3"/>
    </row>
    <row r="554" spans="2:22" ht="45" customHeight="1">
      <c r="B554" s="3" t="str">
        <f>IFERROR(ROUND(INDEX('PROJETO PERFURAÇÃO'!$AB:$AB,MATCH(MEDIÇÃO!D554,'PROJETO PERFURAÇÃO'!$B:$B,0)),1)&amp;"''","")</f>
        <v/>
      </c>
      <c r="C554" s="3" t="str">
        <f>IFERROR(IF(INDEX('PROJETO PERFURAÇÃO'!$P:$P,MATCH(MEDIÇÃO!D554,'PROJETO PERFURAÇÃO'!$B:$B,0))="Production","P",IF(INDEX('PROJETO PERFURAÇÃO'!$P:$P,MATCH(MEDIÇÃO!D554,'PROJETO PERFURAÇÃO'!$B:$B,0))="Buffer","B",IF(INDEX('PROJETO PERFURAÇÃO'!$P:$P,MATCH(MEDIÇÃO!D554,'PROJETO PERFURAÇÃO'!$B:$B,0))="Pre-Splitting","S"))),"")</f>
        <v/>
      </c>
      <c r="D554" s="14">
        <f t="shared" si="51"/>
        <v>1196</v>
      </c>
      <c r="E554" s="4" t="str">
        <f>IFERROR(INDEX('LEV R&amp;D'!$D:$D,MATCH(MEDIÇÃO!D554,'LEV R&amp;D'!$A:$A,0))-INDEX('PROJETO PERFURAÇÃO'!$AH:$AH,MATCH(MEDIÇÃO!D554,'PROJETO PERFURAÇÃO'!$B:$B,0)),"")</f>
        <v/>
      </c>
      <c r="F554" s="8" t="str">
        <f>IFERROR(INDEX('PROJETO PERFURAÇÃO'!$AN:$AN,MATCH(MEDIÇÃO!D554,'PROJETO PERFURAÇÃO'!$B:$B,0)),"")</f>
        <v/>
      </c>
      <c r="G554" s="3"/>
      <c r="H554" s="3"/>
      <c r="I554" s="3" t="str">
        <f>IFERROR(ROUND(INDEX('PROJETO PERFURAÇÃO'!$AB:$AB,MATCH(MEDIÇÃO!K554,'PROJETO PERFURAÇÃO'!$B:$B,0)),1)&amp;"''","")</f>
        <v/>
      </c>
      <c r="J554" s="3" t="str">
        <f>IFERROR(IF(INDEX('PROJETO PERFURAÇÃO'!$P:$P,MATCH(MEDIÇÃO!K554,'PROJETO PERFURAÇÃO'!$B:$B,0))="Production","P",IF(INDEX('PROJETO PERFURAÇÃO'!$P:$P,MATCH(MEDIÇÃO!K554,'PROJETO PERFURAÇÃO'!$B:$B,0))="Buffer","B",IF(INDEX('PROJETO PERFURAÇÃO'!$P:$P,MATCH(MEDIÇÃO!K554,'PROJETO PERFURAÇÃO'!$B:$B,0))="Pre-Splitting","S"))),"")</f>
        <v/>
      </c>
      <c r="K554" s="14">
        <f>K553+1</f>
        <v>1219</v>
      </c>
      <c r="L554" s="4" t="str">
        <f>IFERROR(INDEX('LEV R&amp;D'!$D:$D,MATCH(MEDIÇÃO!K554,'LEV R&amp;D'!$A:$A,0))-INDEX('PROJETO PERFURAÇÃO'!$AH:$AH,MATCH(MEDIÇÃO!K554,'PROJETO PERFURAÇÃO'!$B:$B,0)),"")</f>
        <v/>
      </c>
      <c r="M554" s="8" t="str">
        <f>IFERROR(INDEX('PROJETO PERFURAÇÃO'!$AN:$AN,MATCH(MEDIÇÃO!K554,'PROJETO PERFURAÇÃO'!$B:$B,0)),"")</f>
        <v/>
      </c>
      <c r="N554" s="3"/>
      <c r="O554" s="3"/>
      <c r="P554" s="3" t="str">
        <f>IFERROR(ROUND(INDEX('PROJETO PERFURAÇÃO'!$AB:$AB,MATCH(MEDIÇÃO!R554,'PROJETO PERFURAÇÃO'!$B:$B,0)),1)&amp;"''","")</f>
        <v/>
      </c>
      <c r="Q554" s="3" t="str">
        <f>IFERROR(IF(INDEX('PROJETO PERFURAÇÃO'!$P:$P,MATCH(MEDIÇÃO!R554,'PROJETO PERFURAÇÃO'!$B:$B,0))="Production","P",IF(INDEX('PROJETO PERFURAÇÃO'!$P:$P,MATCH(MEDIÇÃO!R554,'PROJETO PERFURAÇÃO'!$B:$B,0))="Buffer","B",IF(INDEX('PROJETO PERFURAÇÃO'!$P:$P,MATCH(MEDIÇÃO!R554,'PROJETO PERFURAÇÃO'!$B:$B,0))="Pre-Splitting","S"))),"")</f>
        <v/>
      </c>
      <c r="R554" s="14">
        <f>R553+1</f>
        <v>1242</v>
      </c>
      <c r="S554" s="4" t="str">
        <f>IFERROR(INDEX('LEV R&amp;D'!$D:$D,MATCH(MEDIÇÃO!R554,'LEV R&amp;D'!$A:$A,0))-INDEX('PROJETO PERFURAÇÃO'!$AH:$AH,MATCH(MEDIÇÃO!R554,'PROJETO PERFURAÇÃO'!$B:$B,0)),"")</f>
        <v/>
      </c>
      <c r="T554" s="8" t="str">
        <f>IFERROR(INDEX('PROJETO PERFURAÇÃO'!$AN:$AN,MATCH(MEDIÇÃO!R554,'PROJETO PERFURAÇÃO'!$B:$B,0)),"")</f>
        <v/>
      </c>
      <c r="U554" s="3"/>
      <c r="V554" s="3"/>
    </row>
    <row r="555" spans="2:22" ht="30" customHeight="1">
      <c r="B555" s="1"/>
      <c r="C555" s="1"/>
      <c r="D555" s="15"/>
      <c r="E555" s="2"/>
      <c r="F555" s="16"/>
      <c r="G555" s="1"/>
      <c r="H555" s="1"/>
      <c r="I555" s="1"/>
      <c r="J555" s="1"/>
      <c r="K555" s="15"/>
      <c r="L555" s="2"/>
      <c r="M555" s="16"/>
      <c r="N555" s="1"/>
      <c r="O555" s="1"/>
      <c r="P555" s="1"/>
      <c r="Q555" s="1"/>
      <c r="R555" s="15"/>
      <c r="S555" s="2"/>
      <c r="T555" s="16"/>
      <c r="U555" s="1"/>
      <c r="V555" s="1"/>
    </row>
    <row r="556" spans="2:22" ht="30" customHeight="1">
      <c r="C556" s="20"/>
      <c r="D556" s="20"/>
      <c r="E556" s="20"/>
      <c r="F556" s="20"/>
      <c r="G556" s="20"/>
      <c r="H556" s="20"/>
      <c r="I556" s="20"/>
      <c r="J556" s="20"/>
      <c r="K556" s="20"/>
      <c r="M556" s="20"/>
      <c r="N556" s="20"/>
      <c r="O556" s="20"/>
      <c r="P556" s="20"/>
      <c r="Q556" s="20"/>
      <c r="R556" s="20"/>
      <c r="S556" s="20"/>
      <c r="T556" s="20"/>
      <c r="U556" s="20"/>
    </row>
    <row r="557" spans="2:22" ht="30" customHeight="1">
      <c r="C557" s="21" t="s">
        <v>40</v>
      </c>
      <c r="D557" s="21"/>
      <c r="E557" s="21"/>
      <c r="F557" s="21"/>
      <c r="G557" s="21"/>
      <c r="H557" s="21"/>
      <c r="I557" s="21"/>
      <c r="J557" s="21"/>
      <c r="K557" s="21"/>
      <c r="L557" s="9"/>
      <c r="M557" s="21" t="s">
        <v>40</v>
      </c>
      <c r="N557" s="21"/>
      <c r="O557" s="21"/>
      <c r="P557" s="21"/>
      <c r="Q557" s="21"/>
      <c r="R557" s="21"/>
      <c r="S557" s="21"/>
      <c r="T557" s="21"/>
      <c r="U557" s="21"/>
      <c r="V557" s="9"/>
    </row>
    <row r="558" spans="2:22" ht="30" customHeight="1">
      <c r="D558" s="9"/>
      <c r="E558" s="9"/>
      <c r="F558" s="9"/>
      <c r="G558" s="9"/>
      <c r="H558" s="9"/>
      <c r="I558" s="9"/>
      <c r="J558" s="9"/>
      <c r="K558" s="9"/>
      <c r="L558" s="9"/>
      <c r="M558" s="9"/>
      <c r="N558" s="9"/>
      <c r="Q558" s="9"/>
      <c r="R558" s="9"/>
      <c r="S558" s="9"/>
      <c r="T558" s="9"/>
      <c r="U558" s="9"/>
      <c r="V558" s="9"/>
    </row>
    <row r="559" spans="2:22" ht="30" customHeight="1">
      <c r="B559" s="19" t="str">
        <f>'PROJETO PERFURAÇÃO'!$C$2&amp;" - "&amp;'PROJETO PERFURAÇÃO'!$H$2</f>
        <v>LIB037 - PP0370626</v>
      </c>
      <c r="C559" s="19"/>
      <c r="D559" s="19"/>
      <c r="E559" s="19"/>
      <c r="F559" s="19"/>
      <c r="G559" s="19"/>
      <c r="H559" s="19"/>
      <c r="I559" s="11" t="s">
        <v>34</v>
      </c>
      <c r="J559" s="10" t="s">
        <v>37</v>
      </c>
    </row>
    <row r="560" spans="2:22" ht="30" customHeight="1">
      <c r="B560" s="19"/>
      <c r="C560" s="19"/>
      <c r="D560" s="19"/>
      <c r="E560" s="19"/>
      <c r="F560" s="19"/>
      <c r="G560" s="19"/>
      <c r="H560" s="19"/>
      <c r="I560" s="12" t="s">
        <v>35</v>
      </c>
      <c r="J560" s="10" t="s">
        <v>38</v>
      </c>
      <c r="K560" s="9"/>
      <c r="L560" s="9"/>
      <c r="M560" s="9"/>
      <c r="N560" s="9"/>
      <c r="O560" s="9"/>
      <c r="P560" s="9"/>
      <c r="Q560" s="9"/>
      <c r="R560" s="9"/>
      <c r="S560" s="9"/>
      <c r="T560" s="9"/>
      <c r="U560" s="9"/>
      <c r="V560" s="9"/>
    </row>
    <row r="561" spans="1:23" ht="30" customHeight="1">
      <c r="B561" s="19"/>
      <c r="C561" s="19"/>
      <c r="D561" s="19"/>
      <c r="E561" s="19"/>
      <c r="F561" s="19"/>
      <c r="G561" s="19"/>
      <c r="H561" s="19"/>
      <c r="I561" s="13" t="s">
        <v>36</v>
      </c>
      <c r="J561" s="10" t="s">
        <v>39</v>
      </c>
    </row>
    <row r="562" spans="1:23" ht="30" customHeight="1">
      <c r="A562" s="1"/>
      <c r="B562" s="6" t="s">
        <v>33</v>
      </c>
      <c r="C562" s="6" t="s">
        <v>13</v>
      </c>
      <c r="D562" s="7" t="s">
        <v>1</v>
      </c>
      <c r="E562" s="7" t="s">
        <v>29</v>
      </c>
      <c r="F562" s="7" t="s">
        <v>30</v>
      </c>
      <c r="G562" s="7" t="s">
        <v>31</v>
      </c>
      <c r="H562" s="7" t="s">
        <v>32</v>
      </c>
      <c r="I562" s="6" t="s">
        <v>33</v>
      </c>
      <c r="J562" s="6" t="s">
        <v>13</v>
      </c>
      <c r="K562" s="7" t="s">
        <v>1</v>
      </c>
      <c r="L562" s="7" t="s">
        <v>29</v>
      </c>
      <c r="M562" s="7" t="s">
        <v>30</v>
      </c>
      <c r="N562" s="7" t="s">
        <v>31</v>
      </c>
      <c r="O562" s="7" t="s">
        <v>32</v>
      </c>
      <c r="P562" s="6" t="s">
        <v>33</v>
      </c>
      <c r="Q562" s="6" t="s">
        <v>13</v>
      </c>
      <c r="R562" s="7" t="s">
        <v>1</v>
      </c>
      <c r="S562" s="7" t="s">
        <v>29</v>
      </c>
      <c r="T562" s="7" t="s">
        <v>30</v>
      </c>
      <c r="U562" s="7" t="s">
        <v>31</v>
      </c>
      <c r="V562" s="7" t="s">
        <v>32</v>
      </c>
      <c r="W562" s="1"/>
    </row>
    <row r="563" spans="1:23" ht="45" customHeight="1">
      <c r="B563" s="3" t="str">
        <f>IFERROR(ROUND(INDEX('PROJETO PERFURAÇÃO'!$AB:$AB,MATCH(MEDIÇÃO!D563,'PROJETO PERFURAÇÃO'!$B:$B,0)),1)&amp;"''","")</f>
        <v/>
      </c>
      <c r="C563" s="3" t="str">
        <f>IFERROR(IF(INDEX('PROJETO PERFURAÇÃO'!$P:$P,MATCH(MEDIÇÃO!D563,'PROJETO PERFURAÇÃO'!$B:$B,0))="Production","P",IF(INDEX('PROJETO PERFURAÇÃO'!$P:$P,MATCH(MEDIÇÃO!D563,'PROJETO PERFURAÇÃO'!$B:$B,0))="Buffer","B",IF(INDEX('PROJETO PERFURAÇÃO'!$P:$P,MATCH(MEDIÇÃO!D563,'PROJETO PERFURAÇÃO'!$B:$B,0))="Pre-Splitting","S"))),"")</f>
        <v/>
      </c>
      <c r="D563" s="14">
        <f>R554+1</f>
        <v>1243</v>
      </c>
      <c r="E563" s="4" t="str">
        <f>IFERROR(INDEX('LEV R&amp;D'!$D:$D,MATCH(MEDIÇÃO!D563,'LEV R&amp;D'!$A:$A,0))-INDEX('PROJETO PERFURAÇÃO'!$AH:$AH,MATCH(MEDIÇÃO!D563,'PROJETO PERFURAÇÃO'!$B:$B,0)),"")</f>
        <v/>
      </c>
      <c r="F563" s="8" t="str">
        <f>IFERROR(INDEX('PROJETO PERFURAÇÃO'!$AN:$AN,MATCH(MEDIÇÃO!D563,'PROJETO PERFURAÇÃO'!$B:$B,0)),"")</f>
        <v/>
      </c>
      <c r="G563" s="3"/>
      <c r="H563" s="3"/>
      <c r="I563" s="3" t="str">
        <f>IFERROR(ROUND(INDEX('PROJETO PERFURAÇÃO'!$AB:$AB,MATCH(MEDIÇÃO!K563,'PROJETO PERFURAÇÃO'!$B:$B,0)),1)&amp;"''","")</f>
        <v/>
      </c>
      <c r="J563" s="3" t="str">
        <f>IFERROR(IF(INDEX('PROJETO PERFURAÇÃO'!$P:$P,MATCH(MEDIÇÃO!K563,'PROJETO PERFURAÇÃO'!$B:$B,0))="Production","P",IF(INDEX('PROJETO PERFURAÇÃO'!$P:$P,MATCH(MEDIÇÃO!K563,'PROJETO PERFURAÇÃO'!$B:$B,0))="Buffer","B",IF(INDEX('PROJETO PERFURAÇÃO'!$P:$P,MATCH(MEDIÇÃO!K563,'PROJETO PERFURAÇÃO'!$B:$B,0))="Pre-Splitting","S"))),"")</f>
        <v/>
      </c>
      <c r="K563" s="14">
        <f>D585+1</f>
        <v>1266</v>
      </c>
      <c r="L563" s="4" t="str">
        <f>IFERROR(INDEX('LEV R&amp;D'!$D:$D,MATCH(MEDIÇÃO!K563,'LEV R&amp;D'!$A:$A,0))-INDEX('PROJETO PERFURAÇÃO'!$AH:$AH,MATCH(MEDIÇÃO!K563,'PROJETO PERFURAÇÃO'!$B:$B,0)),"")</f>
        <v/>
      </c>
      <c r="M563" s="8" t="str">
        <f>IFERROR(INDEX('PROJETO PERFURAÇÃO'!$AN:$AN,MATCH(MEDIÇÃO!K563,'PROJETO PERFURAÇÃO'!$B:$B,0)),"")</f>
        <v/>
      </c>
      <c r="N563" s="3"/>
      <c r="O563" s="3"/>
      <c r="P563" s="3" t="str">
        <f>IFERROR(ROUND(INDEX('PROJETO PERFURAÇÃO'!$AB:$AB,MATCH(MEDIÇÃO!R563,'PROJETO PERFURAÇÃO'!$B:$B,0)),1)&amp;"''","")</f>
        <v/>
      </c>
      <c r="Q563" s="3" t="str">
        <f>IFERROR(IF(INDEX('PROJETO PERFURAÇÃO'!$P:$P,MATCH(MEDIÇÃO!R563,'PROJETO PERFURAÇÃO'!$B:$B,0))="Production","P",IF(INDEX('PROJETO PERFURAÇÃO'!$P:$P,MATCH(MEDIÇÃO!R563,'PROJETO PERFURAÇÃO'!$B:$B,0))="Buffer","B",IF(INDEX('PROJETO PERFURAÇÃO'!$P:$P,MATCH(MEDIÇÃO!R563,'PROJETO PERFURAÇÃO'!$B:$B,0))="Pre-Splitting","S"))),"")</f>
        <v/>
      </c>
      <c r="R563" s="14">
        <f>K585+1</f>
        <v>1289</v>
      </c>
      <c r="S563" s="4" t="str">
        <f>IFERROR(INDEX('LEV R&amp;D'!$D:$D,MATCH(MEDIÇÃO!R563,'LEV R&amp;D'!$A:$A,0))-INDEX('PROJETO PERFURAÇÃO'!$AH:$AH,MATCH(MEDIÇÃO!R563,'PROJETO PERFURAÇÃO'!$B:$B,0)),"")</f>
        <v/>
      </c>
      <c r="T563" s="8" t="str">
        <f>IFERROR(INDEX('PROJETO PERFURAÇÃO'!$AN:$AN,MATCH(MEDIÇÃO!R563,'PROJETO PERFURAÇÃO'!$B:$B,0)),"")</f>
        <v/>
      </c>
      <c r="U563" s="3"/>
      <c r="V563" s="3"/>
    </row>
    <row r="564" spans="1:23" ht="45" customHeight="1">
      <c r="B564" s="3" t="str">
        <f>IFERROR(ROUND(INDEX('PROJETO PERFURAÇÃO'!$AB:$AB,MATCH(MEDIÇÃO!D564,'PROJETO PERFURAÇÃO'!$B:$B,0)),1)&amp;"''","")</f>
        <v/>
      </c>
      <c r="C564" s="3" t="str">
        <f>IFERROR(IF(INDEX('PROJETO PERFURAÇÃO'!$P:$P,MATCH(MEDIÇÃO!D564,'PROJETO PERFURAÇÃO'!$B:$B,0))="Production","P",IF(INDEX('PROJETO PERFURAÇÃO'!$P:$P,MATCH(MEDIÇÃO!D564,'PROJETO PERFURAÇÃO'!$B:$B,0))="Buffer","B",IF(INDEX('PROJETO PERFURAÇÃO'!$P:$P,MATCH(MEDIÇÃO!D564,'PROJETO PERFURAÇÃO'!$B:$B,0))="Pre-Splitting","S"))),"")</f>
        <v/>
      </c>
      <c r="D564" s="14">
        <f>D563+1</f>
        <v>1244</v>
      </c>
      <c r="E564" s="4" t="str">
        <f>IFERROR(INDEX('LEV R&amp;D'!$D:$D,MATCH(MEDIÇÃO!D564,'LEV R&amp;D'!$A:$A,0))-INDEX('PROJETO PERFURAÇÃO'!$AH:$AH,MATCH(MEDIÇÃO!D564,'PROJETO PERFURAÇÃO'!$B:$B,0)),"")</f>
        <v/>
      </c>
      <c r="F564" s="8" t="str">
        <f>IFERROR(INDEX('PROJETO PERFURAÇÃO'!$AN:$AN,MATCH(MEDIÇÃO!D564,'PROJETO PERFURAÇÃO'!$B:$B,0)),"")</f>
        <v/>
      </c>
      <c r="G564" s="3"/>
      <c r="H564" s="3"/>
      <c r="I564" s="3" t="str">
        <f>IFERROR(ROUND(INDEX('PROJETO PERFURAÇÃO'!$AB:$AB,MATCH(MEDIÇÃO!K564,'PROJETO PERFURAÇÃO'!$B:$B,0)),1)&amp;"''","")</f>
        <v/>
      </c>
      <c r="J564" s="3" t="str">
        <f>IFERROR(IF(INDEX('PROJETO PERFURAÇÃO'!$P:$P,MATCH(MEDIÇÃO!K564,'PROJETO PERFURAÇÃO'!$B:$B,0))="Production","P",IF(INDEX('PROJETO PERFURAÇÃO'!$P:$P,MATCH(MEDIÇÃO!K564,'PROJETO PERFURAÇÃO'!$B:$B,0))="Buffer","B",IF(INDEX('PROJETO PERFURAÇÃO'!$P:$P,MATCH(MEDIÇÃO!K564,'PROJETO PERFURAÇÃO'!$B:$B,0))="Pre-Splitting","S"))),"")</f>
        <v/>
      </c>
      <c r="K564" s="14">
        <f>K563+1</f>
        <v>1267</v>
      </c>
      <c r="L564" s="4" t="str">
        <f>IFERROR(INDEX('LEV R&amp;D'!$D:$D,MATCH(MEDIÇÃO!K564,'LEV R&amp;D'!$A:$A,0))-INDEX('PROJETO PERFURAÇÃO'!$AH:$AH,MATCH(MEDIÇÃO!K564,'PROJETO PERFURAÇÃO'!$B:$B,0)),"")</f>
        <v/>
      </c>
      <c r="M564" s="8" t="str">
        <f>IFERROR(INDEX('PROJETO PERFURAÇÃO'!$AN:$AN,MATCH(MEDIÇÃO!K564,'PROJETO PERFURAÇÃO'!$B:$B,0)),"")</f>
        <v/>
      </c>
      <c r="N564" s="3"/>
      <c r="O564" s="3"/>
      <c r="P564" s="3" t="str">
        <f>IFERROR(ROUND(INDEX('PROJETO PERFURAÇÃO'!$AB:$AB,MATCH(MEDIÇÃO!R564,'PROJETO PERFURAÇÃO'!$B:$B,0)),1)&amp;"''","")</f>
        <v/>
      </c>
      <c r="Q564" s="3" t="str">
        <f>IFERROR(IF(INDEX('PROJETO PERFURAÇÃO'!$P:$P,MATCH(MEDIÇÃO!R564,'PROJETO PERFURAÇÃO'!$B:$B,0))="Production","P",IF(INDEX('PROJETO PERFURAÇÃO'!$P:$P,MATCH(MEDIÇÃO!R564,'PROJETO PERFURAÇÃO'!$B:$B,0))="Buffer","B",IF(INDEX('PROJETO PERFURAÇÃO'!$P:$P,MATCH(MEDIÇÃO!R564,'PROJETO PERFURAÇÃO'!$B:$B,0))="Pre-Splitting","S"))),"")</f>
        <v/>
      </c>
      <c r="R564" s="14">
        <f>R563+1</f>
        <v>1290</v>
      </c>
      <c r="S564" s="4" t="str">
        <f>IFERROR(INDEX('LEV R&amp;D'!$D:$D,MATCH(MEDIÇÃO!R564,'LEV R&amp;D'!$A:$A,0))-INDEX('PROJETO PERFURAÇÃO'!$AH:$AH,MATCH(MEDIÇÃO!R564,'PROJETO PERFURAÇÃO'!$B:$B,0)),"")</f>
        <v/>
      </c>
      <c r="T564" s="8" t="str">
        <f>IFERROR(INDEX('PROJETO PERFURAÇÃO'!$AN:$AN,MATCH(MEDIÇÃO!R564,'PROJETO PERFURAÇÃO'!$B:$B,0)),"")</f>
        <v/>
      </c>
      <c r="U564" s="3"/>
      <c r="V564" s="3"/>
    </row>
    <row r="565" spans="1:23" ht="45" customHeight="1">
      <c r="B565" s="3" t="str">
        <f>IFERROR(ROUND(INDEX('PROJETO PERFURAÇÃO'!$AB:$AB,MATCH(MEDIÇÃO!D565,'PROJETO PERFURAÇÃO'!$B:$B,0)),1)&amp;"''","")</f>
        <v/>
      </c>
      <c r="C565" s="3" t="str">
        <f>IFERROR(IF(INDEX('PROJETO PERFURAÇÃO'!$P:$P,MATCH(MEDIÇÃO!D565,'PROJETO PERFURAÇÃO'!$B:$B,0))="Production","P",IF(INDEX('PROJETO PERFURAÇÃO'!$P:$P,MATCH(MEDIÇÃO!D565,'PROJETO PERFURAÇÃO'!$B:$B,0))="Buffer","B",IF(INDEX('PROJETO PERFURAÇÃO'!$P:$P,MATCH(MEDIÇÃO!D565,'PROJETO PERFURAÇÃO'!$B:$B,0))="Pre-Splitting","S"))),"")</f>
        <v/>
      </c>
      <c r="D565" s="14">
        <f t="shared" ref="D565:D585" si="54">D564+1</f>
        <v>1245</v>
      </c>
      <c r="E565" s="4" t="str">
        <f>IFERROR(INDEX('LEV R&amp;D'!$D:$D,MATCH(MEDIÇÃO!D565,'LEV R&amp;D'!$A:$A,0))-INDEX('PROJETO PERFURAÇÃO'!$AH:$AH,MATCH(MEDIÇÃO!D565,'PROJETO PERFURAÇÃO'!$B:$B,0)),"")</f>
        <v/>
      </c>
      <c r="F565" s="8" t="str">
        <f>IFERROR(INDEX('PROJETO PERFURAÇÃO'!$AN:$AN,MATCH(MEDIÇÃO!D565,'PROJETO PERFURAÇÃO'!$B:$B,0)),"")</f>
        <v/>
      </c>
      <c r="G565" s="3"/>
      <c r="H565" s="3"/>
      <c r="I565" s="3" t="str">
        <f>IFERROR(ROUND(INDEX('PROJETO PERFURAÇÃO'!$AB:$AB,MATCH(MEDIÇÃO!K565,'PROJETO PERFURAÇÃO'!$B:$B,0)),1)&amp;"''","")</f>
        <v/>
      </c>
      <c r="J565" s="3" t="str">
        <f>IFERROR(IF(INDEX('PROJETO PERFURAÇÃO'!$P:$P,MATCH(MEDIÇÃO!K565,'PROJETO PERFURAÇÃO'!$B:$B,0))="Production","P",IF(INDEX('PROJETO PERFURAÇÃO'!$P:$P,MATCH(MEDIÇÃO!K565,'PROJETO PERFURAÇÃO'!$B:$B,0))="Buffer","B",IF(INDEX('PROJETO PERFURAÇÃO'!$P:$P,MATCH(MEDIÇÃO!K565,'PROJETO PERFURAÇÃO'!$B:$B,0))="Pre-Splitting","S"))),"")</f>
        <v/>
      </c>
      <c r="K565" s="14">
        <f t="shared" ref="K565:K584" si="55">K564+1</f>
        <v>1268</v>
      </c>
      <c r="L565" s="4" t="str">
        <f>IFERROR(INDEX('LEV R&amp;D'!$D:$D,MATCH(MEDIÇÃO!K565,'LEV R&amp;D'!$A:$A,0))-INDEX('PROJETO PERFURAÇÃO'!$AH:$AH,MATCH(MEDIÇÃO!K565,'PROJETO PERFURAÇÃO'!$B:$B,0)),"")</f>
        <v/>
      </c>
      <c r="M565" s="8" t="str">
        <f>IFERROR(INDEX('PROJETO PERFURAÇÃO'!$AN:$AN,MATCH(MEDIÇÃO!K565,'PROJETO PERFURAÇÃO'!$B:$B,0)),"")</f>
        <v/>
      </c>
      <c r="N565" s="3"/>
      <c r="O565" s="3"/>
      <c r="P565" s="3" t="str">
        <f>IFERROR(ROUND(INDEX('PROJETO PERFURAÇÃO'!$AB:$AB,MATCH(MEDIÇÃO!R565,'PROJETO PERFURAÇÃO'!$B:$B,0)),1)&amp;"''","")</f>
        <v/>
      </c>
      <c r="Q565" s="3" t="str">
        <f>IFERROR(IF(INDEX('PROJETO PERFURAÇÃO'!$P:$P,MATCH(MEDIÇÃO!R565,'PROJETO PERFURAÇÃO'!$B:$B,0))="Production","P",IF(INDEX('PROJETO PERFURAÇÃO'!$P:$P,MATCH(MEDIÇÃO!R565,'PROJETO PERFURAÇÃO'!$B:$B,0))="Buffer","B",IF(INDEX('PROJETO PERFURAÇÃO'!$P:$P,MATCH(MEDIÇÃO!R565,'PROJETO PERFURAÇÃO'!$B:$B,0))="Pre-Splitting","S"))),"")</f>
        <v/>
      </c>
      <c r="R565" s="14">
        <f t="shared" ref="R565:R584" si="56">R564+1</f>
        <v>1291</v>
      </c>
      <c r="S565" s="4" t="str">
        <f>IFERROR(INDEX('LEV R&amp;D'!$D:$D,MATCH(MEDIÇÃO!R565,'LEV R&amp;D'!$A:$A,0))-INDEX('PROJETO PERFURAÇÃO'!$AH:$AH,MATCH(MEDIÇÃO!R565,'PROJETO PERFURAÇÃO'!$B:$B,0)),"")</f>
        <v/>
      </c>
      <c r="T565" s="8" t="str">
        <f>IFERROR(INDEX('PROJETO PERFURAÇÃO'!$AN:$AN,MATCH(MEDIÇÃO!R565,'PROJETO PERFURAÇÃO'!$B:$B,0)),"")</f>
        <v/>
      </c>
      <c r="U565" s="3"/>
      <c r="V565" s="3"/>
    </row>
    <row r="566" spans="1:23" ht="45" customHeight="1">
      <c r="B566" s="3" t="str">
        <f>IFERROR(ROUND(INDEX('PROJETO PERFURAÇÃO'!$AB:$AB,MATCH(MEDIÇÃO!D566,'PROJETO PERFURAÇÃO'!$B:$B,0)),1)&amp;"''","")</f>
        <v/>
      </c>
      <c r="C566" s="3" t="str">
        <f>IFERROR(IF(INDEX('PROJETO PERFURAÇÃO'!$P:$P,MATCH(MEDIÇÃO!D566,'PROJETO PERFURAÇÃO'!$B:$B,0))="Production","P",IF(INDEX('PROJETO PERFURAÇÃO'!$P:$P,MATCH(MEDIÇÃO!D566,'PROJETO PERFURAÇÃO'!$B:$B,0))="Buffer","B",IF(INDEX('PROJETO PERFURAÇÃO'!$P:$P,MATCH(MEDIÇÃO!D566,'PROJETO PERFURAÇÃO'!$B:$B,0))="Pre-Splitting","S"))),"")</f>
        <v/>
      </c>
      <c r="D566" s="14">
        <f t="shared" si="54"/>
        <v>1246</v>
      </c>
      <c r="E566" s="4" t="str">
        <f>IFERROR(INDEX('LEV R&amp;D'!$D:$D,MATCH(MEDIÇÃO!D566,'LEV R&amp;D'!$A:$A,0))-INDEX('PROJETO PERFURAÇÃO'!$AH:$AH,MATCH(MEDIÇÃO!D566,'PROJETO PERFURAÇÃO'!$B:$B,0)),"")</f>
        <v/>
      </c>
      <c r="F566" s="8" t="str">
        <f>IFERROR(INDEX('PROJETO PERFURAÇÃO'!$AN:$AN,MATCH(MEDIÇÃO!D566,'PROJETO PERFURAÇÃO'!$B:$B,0)),"")</f>
        <v/>
      </c>
      <c r="G566" s="3"/>
      <c r="H566" s="3"/>
      <c r="I566" s="3" t="str">
        <f>IFERROR(ROUND(INDEX('PROJETO PERFURAÇÃO'!$AB:$AB,MATCH(MEDIÇÃO!K566,'PROJETO PERFURAÇÃO'!$B:$B,0)),1)&amp;"''","")</f>
        <v/>
      </c>
      <c r="J566" s="3" t="str">
        <f>IFERROR(IF(INDEX('PROJETO PERFURAÇÃO'!$P:$P,MATCH(MEDIÇÃO!K566,'PROJETO PERFURAÇÃO'!$B:$B,0))="Production","P",IF(INDEX('PROJETO PERFURAÇÃO'!$P:$P,MATCH(MEDIÇÃO!K566,'PROJETO PERFURAÇÃO'!$B:$B,0))="Buffer","B",IF(INDEX('PROJETO PERFURAÇÃO'!$P:$P,MATCH(MEDIÇÃO!K566,'PROJETO PERFURAÇÃO'!$B:$B,0))="Pre-Splitting","S"))),"")</f>
        <v/>
      </c>
      <c r="K566" s="14">
        <f t="shared" si="55"/>
        <v>1269</v>
      </c>
      <c r="L566" s="4" t="str">
        <f>IFERROR(INDEX('LEV R&amp;D'!$D:$D,MATCH(MEDIÇÃO!K566,'LEV R&amp;D'!$A:$A,0))-INDEX('PROJETO PERFURAÇÃO'!$AH:$AH,MATCH(MEDIÇÃO!K566,'PROJETO PERFURAÇÃO'!$B:$B,0)),"")</f>
        <v/>
      </c>
      <c r="M566" s="8" t="str">
        <f>IFERROR(INDEX('PROJETO PERFURAÇÃO'!$AN:$AN,MATCH(MEDIÇÃO!K566,'PROJETO PERFURAÇÃO'!$B:$B,0)),"")</f>
        <v/>
      </c>
      <c r="N566" s="3"/>
      <c r="O566" s="3"/>
      <c r="P566" s="3" t="str">
        <f>IFERROR(ROUND(INDEX('PROJETO PERFURAÇÃO'!$AB:$AB,MATCH(MEDIÇÃO!R566,'PROJETO PERFURAÇÃO'!$B:$B,0)),1)&amp;"''","")</f>
        <v/>
      </c>
      <c r="Q566" s="3" t="str">
        <f>IFERROR(IF(INDEX('PROJETO PERFURAÇÃO'!$P:$P,MATCH(MEDIÇÃO!R566,'PROJETO PERFURAÇÃO'!$B:$B,0))="Production","P",IF(INDEX('PROJETO PERFURAÇÃO'!$P:$P,MATCH(MEDIÇÃO!R566,'PROJETO PERFURAÇÃO'!$B:$B,0))="Buffer","B",IF(INDEX('PROJETO PERFURAÇÃO'!$P:$P,MATCH(MEDIÇÃO!R566,'PROJETO PERFURAÇÃO'!$B:$B,0))="Pre-Splitting","S"))),"")</f>
        <v/>
      </c>
      <c r="R566" s="14">
        <f t="shared" si="56"/>
        <v>1292</v>
      </c>
      <c r="S566" s="4" t="str">
        <f>IFERROR(INDEX('LEV R&amp;D'!$D:$D,MATCH(MEDIÇÃO!R566,'LEV R&amp;D'!$A:$A,0))-INDEX('PROJETO PERFURAÇÃO'!$AH:$AH,MATCH(MEDIÇÃO!R566,'PROJETO PERFURAÇÃO'!$B:$B,0)),"")</f>
        <v/>
      </c>
      <c r="T566" s="8" t="str">
        <f>IFERROR(INDEX('PROJETO PERFURAÇÃO'!$AN:$AN,MATCH(MEDIÇÃO!R566,'PROJETO PERFURAÇÃO'!$B:$B,0)),"")</f>
        <v/>
      </c>
      <c r="U566" s="3"/>
      <c r="V566" s="3"/>
    </row>
    <row r="567" spans="1:23" ht="45" customHeight="1">
      <c r="B567" s="3" t="str">
        <f>IFERROR(ROUND(INDEX('PROJETO PERFURAÇÃO'!$AB:$AB,MATCH(MEDIÇÃO!D567,'PROJETO PERFURAÇÃO'!$B:$B,0)),1)&amp;"''","")</f>
        <v/>
      </c>
      <c r="C567" s="3" t="str">
        <f>IFERROR(IF(INDEX('PROJETO PERFURAÇÃO'!$P:$P,MATCH(MEDIÇÃO!D567,'PROJETO PERFURAÇÃO'!$B:$B,0))="Production","P",IF(INDEX('PROJETO PERFURAÇÃO'!$P:$P,MATCH(MEDIÇÃO!D567,'PROJETO PERFURAÇÃO'!$B:$B,0))="Buffer","B",IF(INDEX('PROJETO PERFURAÇÃO'!$P:$P,MATCH(MEDIÇÃO!D567,'PROJETO PERFURAÇÃO'!$B:$B,0))="Pre-Splitting","S"))),"")</f>
        <v/>
      </c>
      <c r="D567" s="14">
        <f t="shared" si="54"/>
        <v>1247</v>
      </c>
      <c r="E567" s="4" t="str">
        <f>IFERROR(INDEX('LEV R&amp;D'!$D:$D,MATCH(MEDIÇÃO!D567,'LEV R&amp;D'!$A:$A,0))-INDEX('PROJETO PERFURAÇÃO'!$AH:$AH,MATCH(MEDIÇÃO!D567,'PROJETO PERFURAÇÃO'!$B:$B,0)),"")</f>
        <v/>
      </c>
      <c r="F567" s="8" t="str">
        <f>IFERROR(INDEX('PROJETO PERFURAÇÃO'!$AN:$AN,MATCH(MEDIÇÃO!D567,'PROJETO PERFURAÇÃO'!$B:$B,0)),"")</f>
        <v/>
      </c>
      <c r="G567" s="3"/>
      <c r="H567" s="3"/>
      <c r="I567" s="3" t="str">
        <f>IFERROR(ROUND(INDEX('PROJETO PERFURAÇÃO'!$AB:$AB,MATCH(MEDIÇÃO!K567,'PROJETO PERFURAÇÃO'!$B:$B,0)),1)&amp;"''","")</f>
        <v/>
      </c>
      <c r="J567" s="3" t="str">
        <f>IFERROR(IF(INDEX('PROJETO PERFURAÇÃO'!$P:$P,MATCH(MEDIÇÃO!K567,'PROJETO PERFURAÇÃO'!$B:$B,0))="Production","P",IF(INDEX('PROJETO PERFURAÇÃO'!$P:$P,MATCH(MEDIÇÃO!K567,'PROJETO PERFURAÇÃO'!$B:$B,0))="Buffer","B",IF(INDEX('PROJETO PERFURAÇÃO'!$P:$P,MATCH(MEDIÇÃO!K567,'PROJETO PERFURAÇÃO'!$B:$B,0))="Pre-Splitting","S"))),"")</f>
        <v/>
      </c>
      <c r="K567" s="14">
        <f t="shared" si="55"/>
        <v>1270</v>
      </c>
      <c r="L567" s="4" t="str">
        <f>IFERROR(INDEX('LEV R&amp;D'!$D:$D,MATCH(MEDIÇÃO!K567,'LEV R&amp;D'!$A:$A,0))-INDEX('PROJETO PERFURAÇÃO'!$AH:$AH,MATCH(MEDIÇÃO!K567,'PROJETO PERFURAÇÃO'!$B:$B,0)),"")</f>
        <v/>
      </c>
      <c r="M567" s="8" t="str">
        <f>IFERROR(INDEX('PROJETO PERFURAÇÃO'!$AN:$AN,MATCH(MEDIÇÃO!K567,'PROJETO PERFURAÇÃO'!$B:$B,0)),"")</f>
        <v/>
      </c>
      <c r="N567" s="3"/>
      <c r="O567" s="3"/>
      <c r="P567" s="3" t="str">
        <f>IFERROR(ROUND(INDEX('PROJETO PERFURAÇÃO'!$AB:$AB,MATCH(MEDIÇÃO!R567,'PROJETO PERFURAÇÃO'!$B:$B,0)),1)&amp;"''","")</f>
        <v/>
      </c>
      <c r="Q567" s="3" t="str">
        <f>IFERROR(IF(INDEX('PROJETO PERFURAÇÃO'!$P:$P,MATCH(MEDIÇÃO!R567,'PROJETO PERFURAÇÃO'!$B:$B,0))="Production","P",IF(INDEX('PROJETO PERFURAÇÃO'!$P:$P,MATCH(MEDIÇÃO!R567,'PROJETO PERFURAÇÃO'!$B:$B,0))="Buffer","B",IF(INDEX('PROJETO PERFURAÇÃO'!$P:$P,MATCH(MEDIÇÃO!R567,'PROJETO PERFURAÇÃO'!$B:$B,0))="Pre-Splitting","S"))),"")</f>
        <v/>
      </c>
      <c r="R567" s="14">
        <f t="shared" si="56"/>
        <v>1293</v>
      </c>
      <c r="S567" s="4" t="str">
        <f>IFERROR(INDEX('LEV R&amp;D'!$D:$D,MATCH(MEDIÇÃO!R567,'LEV R&amp;D'!$A:$A,0))-INDEX('PROJETO PERFURAÇÃO'!$AH:$AH,MATCH(MEDIÇÃO!R567,'PROJETO PERFURAÇÃO'!$B:$B,0)),"")</f>
        <v/>
      </c>
      <c r="T567" s="8" t="str">
        <f>IFERROR(INDEX('PROJETO PERFURAÇÃO'!$AN:$AN,MATCH(MEDIÇÃO!R567,'PROJETO PERFURAÇÃO'!$B:$B,0)),"")</f>
        <v/>
      </c>
      <c r="U567" s="3"/>
      <c r="V567" s="3"/>
    </row>
    <row r="568" spans="1:23" ht="45" customHeight="1">
      <c r="B568" s="3" t="str">
        <f>IFERROR(ROUND(INDEX('PROJETO PERFURAÇÃO'!$AB:$AB,MATCH(MEDIÇÃO!D568,'PROJETO PERFURAÇÃO'!$B:$B,0)),1)&amp;"''","")</f>
        <v/>
      </c>
      <c r="C568" s="3" t="str">
        <f>IFERROR(IF(INDEX('PROJETO PERFURAÇÃO'!$P:$P,MATCH(MEDIÇÃO!D568,'PROJETO PERFURAÇÃO'!$B:$B,0))="Production","P",IF(INDEX('PROJETO PERFURAÇÃO'!$P:$P,MATCH(MEDIÇÃO!D568,'PROJETO PERFURAÇÃO'!$B:$B,0))="Buffer","B",IF(INDEX('PROJETO PERFURAÇÃO'!$P:$P,MATCH(MEDIÇÃO!D568,'PROJETO PERFURAÇÃO'!$B:$B,0))="Pre-Splitting","S"))),"")</f>
        <v/>
      </c>
      <c r="D568" s="14">
        <f t="shared" si="54"/>
        <v>1248</v>
      </c>
      <c r="E568" s="4" t="str">
        <f>IFERROR(INDEX('LEV R&amp;D'!$D:$D,MATCH(MEDIÇÃO!D568,'LEV R&amp;D'!$A:$A,0))-INDEX('PROJETO PERFURAÇÃO'!$AH:$AH,MATCH(MEDIÇÃO!D568,'PROJETO PERFURAÇÃO'!$B:$B,0)),"")</f>
        <v/>
      </c>
      <c r="F568" s="8" t="str">
        <f>IFERROR(INDEX('PROJETO PERFURAÇÃO'!$AN:$AN,MATCH(MEDIÇÃO!D568,'PROJETO PERFURAÇÃO'!$B:$B,0)),"")</f>
        <v/>
      </c>
      <c r="G568" s="3"/>
      <c r="H568" s="3"/>
      <c r="I568" s="3" t="str">
        <f>IFERROR(ROUND(INDEX('PROJETO PERFURAÇÃO'!$AB:$AB,MATCH(MEDIÇÃO!K568,'PROJETO PERFURAÇÃO'!$B:$B,0)),1)&amp;"''","")</f>
        <v/>
      </c>
      <c r="J568" s="3" t="str">
        <f>IFERROR(IF(INDEX('PROJETO PERFURAÇÃO'!$P:$P,MATCH(MEDIÇÃO!K568,'PROJETO PERFURAÇÃO'!$B:$B,0))="Production","P",IF(INDEX('PROJETO PERFURAÇÃO'!$P:$P,MATCH(MEDIÇÃO!K568,'PROJETO PERFURAÇÃO'!$B:$B,0))="Buffer","B",IF(INDEX('PROJETO PERFURAÇÃO'!$P:$P,MATCH(MEDIÇÃO!K568,'PROJETO PERFURAÇÃO'!$B:$B,0))="Pre-Splitting","S"))),"")</f>
        <v/>
      </c>
      <c r="K568" s="14">
        <f t="shared" si="55"/>
        <v>1271</v>
      </c>
      <c r="L568" s="4" t="str">
        <f>IFERROR(INDEX('LEV R&amp;D'!$D:$D,MATCH(MEDIÇÃO!K568,'LEV R&amp;D'!$A:$A,0))-INDEX('PROJETO PERFURAÇÃO'!$AH:$AH,MATCH(MEDIÇÃO!K568,'PROJETO PERFURAÇÃO'!$B:$B,0)),"")</f>
        <v/>
      </c>
      <c r="M568" s="8" t="str">
        <f>IFERROR(INDEX('PROJETO PERFURAÇÃO'!$AN:$AN,MATCH(MEDIÇÃO!K568,'PROJETO PERFURAÇÃO'!$B:$B,0)),"")</f>
        <v/>
      </c>
      <c r="N568" s="3"/>
      <c r="O568" s="3"/>
      <c r="P568" s="3" t="str">
        <f>IFERROR(ROUND(INDEX('PROJETO PERFURAÇÃO'!$AB:$AB,MATCH(MEDIÇÃO!R568,'PROJETO PERFURAÇÃO'!$B:$B,0)),1)&amp;"''","")</f>
        <v/>
      </c>
      <c r="Q568" s="3" t="str">
        <f>IFERROR(IF(INDEX('PROJETO PERFURAÇÃO'!$P:$P,MATCH(MEDIÇÃO!R568,'PROJETO PERFURAÇÃO'!$B:$B,0))="Production","P",IF(INDEX('PROJETO PERFURAÇÃO'!$P:$P,MATCH(MEDIÇÃO!R568,'PROJETO PERFURAÇÃO'!$B:$B,0))="Buffer","B",IF(INDEX('PROJETO PERFURAÇÃO'!$P:$P,MATCH(MEDIÇÃO!R568,'PROJETO PERFURAÇÃO'!$B:$B,0))="Pre-Splitting","S"))),"")</f>
        <v/>
      </c>
      <c r="R568" s="14">
        <f t="shared" si="56"/>
        <v>1294</v>
      </c>
      <c r="S568" s="4" t="str">
        <f>IFERROR(INDEX('LEV R&amp;D'!$D:$D,MATCH(MEDIÇÃO!R568,'LEV R&amp;D'!$A:$A,0))-INDEX('PROJETO PERFURAÇÃO'!$AH:$AH,MATCH(MEDIÇÃO!R568,'PROJETO PERFURAÇÃO'!$B:$B,0)),"")</f>
        <v/>
      </c>
      <c r="T568" s="8" t="str">
        <f>IFERROR(INDEX('PROJETO PERFURAÇÃO'!$AN:$AN,MATCH(MEDIÇÃO!R568,'PROJETO PERFURAÇÃO'!$B:$B,0)),"")</f>
        <v/>
      </c>
      <c r="U568" s="3"/>
      <c r="V568" s="3"/>
    </row>
    <row r="569" spans="1:23" ht="45" customHeight="1">
      <c r="B569" s="3" t="str">
        <f>IFERROR(ROUND(INDEX('PROJETO PERFURAÇÃO'!$AB:$AB,MATCH(MEDIÇÃO!D569,'PROJETO PERFURAÇÃO'!$B:$B,0)),1)&amp;"''","")</f>
        <v/>
      </c>
      <c r="C569" s="3" t="str">
        <f>IFERROR(IF(INDEX('PROJETO PERFURAÇÃO'!$P:$P,MATCH(MEDIÇÃO!D569,'PROJETO PERFURAÇÃO'!$B:$B,0))="Production","P",IF(INDEX('PROJETO PERFURAÇÃO'!$P:$P,MATCH(MEDIÇÃO!D569,'PROJETO PERFURAÇÃO'!$B:$B,0))="Buffer","B",IF(INDEX('PROJETO PERFURAÇÃO'!$P:$P,MATCH(MEDIÇÃO!D569,'PROJETO PERFURAÇÃO'!$B:$B,0))="Pre-Splitting","S"))),"")</f>
        <v/>
      </c>
      <c r="D569" s="14">
        <f t="shared" si="54"/>
        <v>1249</v>
      </c>
      <c r="E569" s="4" t="str">
        <f>IFERROR(INDEX('LEV R&amp;D'!$D:$D,MATCH(MEDIÇÃO!D569,'LEV R&amp;D'!$A:$A,0))-INDEX('PROJETO PERFURAÇÃO'!$AH:$AH,MATCH(MEDIÇÃO!D569,'PROJETO PERFURAÇÃO'!$B:$B,0)),"")</f>
        <v/>
      </c>
      <c r="F569" s="8" t="str">
        <f>IFERROR(INDEX('PROJETO PERFURAÇÃO'!$AN:$AN,MATCH(MEDIÇÃO!D569,'PROJETO PERFURAÇÃO'!$B:$B,0)),"")</f>
        <v/>
      </c>
      <c r="G569" s="3"/>
      <c r="H569" s="3"/>
      <c r="I569" s="3" t="str">
        <f>IFERROR(ROUND(INDEX('PROJETO PERFURAÇÃO'!$AB:$AB,MATCH(MEDIÇÃO!K569,'PROJETO PERFURAÇÃO'!$B:$B,0)),1)&amp;"''","")</f>
        <v/>
      </c>
      <c r="J569" s="3" t="str">
        <f>IFERROR(IF(INDEX('PROJETO PERFURAÇÃO'!$P:$P,MATCH(MEDIÇÃO!K569,'PROJETO PERFURAÇÃO'!$B:$B,0))="Production","P",IF(INDEX('PROJETO PERFURAÇÃO'!$P:$P,MATCH(MEDIÇÃO!K569,'PROJETO PERFURAÇÃO'!$B:$B,0))="Buffer","B",IF(INDEX('PROJETO PERFURAÇÃO'!$P:$P,MATCH(MEDIÇÃO!K569,'PROJETO PERFURAÇÃO'!$B:$B,0))="Pre-Splitting","S"))),"")</f>
        <v/>
      </c>
      <c r="K569" s="14">
        <f t="shared" si="55"/>
        <v>1272</v>
      </c>
      <c r="L569" s="4" t="str">
        <f>IFERROR(INDEX('LEV R&amp;D'!$D:$D,MATCH(MEDIÇÃO!K569,'LEV R&amp;D'!$A:$A,0))-INDEX('PROJETO PERFURAÇÃO'!$AH:$AH,MATCH(MEDIÇÃO!K569,'PROJETO PERFURAÇÃO'!$B:$B,0)),"")</f>
        <v/>
      </c>
      <c r="M569" s="8" t="str">
        <f>IFERROR(INDEX('PROJETO PERFURAÇÃO'!$AN:$AN,MATCH(MEDIÇÃO!K569,'PROJETO PERFURAÇÃO'!$B:$B,0)),"")</f>
        <v/>
      </c>
      <c r="N569" s="3"/>
      <c r="O569" s="3"/>
      <c r="P569" s="3" t="str">
        <f>IFERROR(ROUND(INDEX('PROJETO PERFURAÇÃO'!$AB:$AB,MATCH(MEDIÇÃO!R569,'PROJETO PERFURAÇÃO'!$B:$B,0)),1)&amp;"''","")</f>
        <v/>
      </c>
      <c r="Q569" s="3" t="str">
        <f>IFERROR(IF(INDEX('PROJETO PERFURAÇÃO'!$P:$P,MATCH(MEDIÇÃO!R569,'PROJETO PERFURAÇÃO'!$B:$B,0))="Production","P",IF(INDEX('PROJETO PERFURAÇÃO'!$P:$P,MATCH(MEDIÇÃO!R569,'PROJETO PERFURAÇÃO'!$B:$B,0))="Buffer","B",IF(INDEX('PROJETO PERFURAÇÃO'!$P:$P,MATCH(MEDIÇÃO!R569,'PROJETO PERFURAÇÃO'!$B:$B,0))="Pre-Splitting","S"))),"")</f>
        <v/>
      </c>
      <c r="R569" s="14">
        <f t="shared" si="56"/>
        <v>1295</v>
      </c>
      <c r="S569" s="4" t="str">
        <f>IFERROR(INDEX('LEV R&amp;D'!$D:$D,MATCH(MEDIÇÃO!R569,'LEV R&amp;D'!$A:$A,0))-INDEX('PROJETO PERFURAÇÃO'!$AH:$AH,MATCH(MEDIÇÃO!R569,'PROJETO PERFURAÇÃO'!$B:$B,0)),"")</f>
        <v/>
      </c>
      <c r="T569" s="8" t="str">
        <f>IFERROR(INDEX('PROJETO PERFURAÇÃO'!$AN:$AN,MATCH(MEDIÇÃO!R569,'PROJETO PERFURAÇÃO'!$B:$B,0)),"")</f>
        <v/>
      </c>
      <c r="U569" s="3"/>
      <c r="V569" s="3"/>
    </row>
    <row r="570" spans="1:23" ht="45" customHeight="1">
      <c r="B570" s="3" t="str">
        <f>IFERROR(ROUND(INDEX('PROJETO PERFURAÇÃO'!$AB:$AB,MATCH(MEDIÇÃO!D570,'PROJETO PERFURAÇÃO'!$B:$B,0)),1)&amp;"''","")</f>
        <v/>
      </c>
      <c r="C570" s="3" t="str">
        <f>IFERROR(IF(INDEX('PROJETO PERFURAÇÃO'!$P:$P,MATCH(MEDIÇÃO!D570,'PROJETO PERFURAÇÃO'!$B:$B,0))="Production","P",IF(INDEX('PROJETO PERFURAÇÃO'!$P:$P,MATCH(MEDIÇÃO!D570,'PROJETO PERFURAÇÃO'!$B:$B,0))="Buffer","B",IF(INDEX('PROJETO PERFURAÇÃO'!$P:$P,MATCH(MEDIÇÃO!D570,'PROJETO PERFURAÇÃO'!$B:$B,0))="Pre-Splitting","S"))),"")</f>
        <v/>
      </c>
      <c r="D570" s="14">
        <f t="shared" si="54"/>
        <v>1250</v>
      </c>
      <c r="E570" s="4" t="str">
        <f>IFERROR(INDEX('LEV R&amp;D'!$D:$D,MATCH(MEDIÇÃO!D570,'LEV R&amp;D'!$A:$A,0))-INDEX('PROJETO PERFURAÇÃO'!$AH:$AH,MATCH(MEDIÇÃO!D570,'PROJETO PERFURAÇÃO'!$B:$B,0)),"")</f>
        <v/>
      </c>
      <c r="F570" s="8" t="str">
        <f>IFERROR(INDEX('PROJETO PERFURAÇÃO'!$AN:$AN,MATCH(MEDIÇÃO!D570,'PROJETO PERFURAÇÃO'!$B:$B,0)),"")</f>
        <v/>
      </c>
      <c r="G570" s="3"/>
      <c r="H570" s="3"/>
      <c r="I570" s="3" t="str">
        <f>IFERROR(ROUND(INDEX('PROJETO PERFURAÇÃO'!$AB:$AB,MATCH(MEDIÇÃO!K570,'PROJETO PERFURAÇÃO'!$B:$B,0)),1)&amp;"''","")</f>
        <v/>
      </c>
      <c r="J570" s="3" t="str">
        <f>IFERROR(IF(INDEX('PROJETO PERFURAÇÃO'!$P:$P,MATCH(MEDIÇÃO!K570,'PROJETO PERFURAÇÃO'!$B:$B,0))="Production","P",IF(INDEX('PROJETO PERFURAÇÃO'!$P:$P,MATCH(MEDIÇÃO!K570,'PROJETO PERFURAÇÃO'!$B:$B,0))="Buffer","B",IF(INDEX('PROJETO PERFURAÇÃO'!$P:$P,MATCH(MEDIÇÃO!K570,'PROJETO PERFURAÇÃO'!$B:$B,0))="Pre-Splitting","S"))),"")</f>
        <v/>
      </c>
      <c r="K570" s="14">
        <f t="shared" si="55"/>
        <v>1273</v>
      </c>
      <c r="L570" s="4" t="str">
        <f>IFERROR(INDEX('LEV R&amp;D'!$D:$D,MATCH(MEDIÇÃO!K570,'LEV R&amp;D'!$A:$A,0))-INDEX('PROJETO PERFURAÇÃO'!$AH:$AH,MATCH(MEDIÇÃO!K570,'PROJETO PERFURAÇÃO'!$B:$B,0)),"")</f>
        <v/>
      </c>
      <c r="M570" s="8" t="str">
        <f>IFERROR(INDEX('PROJETO PERFURAÇÃO'!$AN:$AN,MATCH(MEDIÇÃO!K570,'PROJETO PERFURAÇÃO'!$B:$B,0)),"")</f>
        <v/>
      </c>
      <c r="N570" s="3"/>
      <c r="O570" s="3"/>
      <c r="P570" s="3" t="str">
        <f>IFERROR(ROUND(INDEX('PROJETO PERFURAÇÃO'!$AB:$AB,MATCH(MEDIÇÃO!R570,'PROJETO PERFURAÇÃO'!$B:$B,0)),1)&amp;"''","")</f>
        <v/>
      </c>
      <c r="Q570" s="3" t="str">
        <f>IFERROR(IF(INDEX('PROJETO PERFURAÇÃO'!$P:$P,MATCH(MEDIÇÃO!R570,'PROJETO PERFURAÇÃO'!$B:$B,0))="Production","P",IF(INDEX('PROJETO PERFURAÇÃO'!$P:$P,MATCH(MEDIÇÃO!R570,'PROJETO PERFURAÇÃO'!$B:$B,0))="Buffer","B",IF(INDEX('PROJETO PERFURAÇÃO'!$P:$P,MATCH(MEDIÇÃO!R570,'PROJETO PERFURAÇÃO'!$B:$B,0))="Pre-Splitting","S"))),"")</f>
        <v/>
      </c>
      <c r="R570" s="14">
        <f t="shared" si="56"/>
        <v>1296</v>
      </c>
      <c r="S570" s="4" t="str">
        <f>IFERROR(INDEX('LEV R&amp;D'!$D:$D,MATCH(MEDIÇÃO!R570,'LEV R&amp;D'!$A:$A,0))-INDEX('PROJETO PERFURAÇÃO'!$AH:$AH,MATCH(MEDIÇÃO!R570,'PROJETO PERFURAÇÃO'!$B:$B,0)),"")</f>
        <v/>
      </c>
      <c r="T570" s="8" t="str">
        <f>IFERROR(INDEX('PROJETO PERFURAÇÃO'!$AN:$AN,MATCH(MEDIÇÃO!R570,'PROJETO PERFURAÇÃO'!$B:$B,0)),"")</f>
        <v/>
      </c>
      <c r="U570" s="3"/>
      <c r="V570" s="3"/>
    </row>
    <row r="571" spans="1:23" ht="45" customHeight="1">
      <c r="B571" s="3" t="str">
        <f>IFERROR(ROUND(INDEX('PROJETO PERFURAÇÃO'!$AB:$AB,MATCH(MEDIÇÃO!D571,'PROJETO PERFURAÇÃO'!$B:$B,0)),1)&amp;"''","")</f>
        <v/>
      </c>
      <c r="C571" s="3" t="str">
        <f>IFERROR(IF(INDEX('PROJETO PERFURAÇÃO'!$P:$P,MATCH(MEDIÇÃO!D571,'PROJETO PERFURAÇÃO'!$B:$B,0))="Production","P",IF(INDEX('PROJETO PERFURAÇÃO'!$P:$P,MATCH(MEDIÇÃO!D571,'PROJETO PERFURAÇÃO'!$B:$B,0))="Buffer","B",IF(INDEX('PROJETO PERFURAÇÃO'!$P:$P,MATCH(MEDIÇÃO!D571,'PROJETO PERFURAÇÃO'!$B:$B,0))="Pre-Splitting","S"))),"")</f>
        <v/>
      </c>
      <c r="D571" s="14">
        <f t="shared" si="54"/>
        <v>1251</v>
      </c>
      <c r="E571" s="4" t="str">
        <f>IFERROR(INDEX('LEV R&amp;D'!$D:$D,MATCH(MEDIÇÃO!D571,'LEV R&amp;D'!$A:$A,0))-INDEX('PROJETO PERFURAÇÃO'!$AH:$AH,MATCH(MEDIÇÃO!D571,'PROJETO PERFURAÇÃO'!$B:$B,0)),"")</f>
        <v/>
      </c>
      <c r="F571" s="8" t="str">
        <f>IFERROR(INDEX('PROJETO PERFURAÇÃO'!$AN:$AN,MATCH(MEDIÇÃO!D571,'PROJETO PERFURAÇÃO'!$B:$B,0)),"")</f>
        <v/>
      </c>
      <c r="G571" s="3"/>
      <c r="H571" s="3"/>
      <c r="I571" s="3" t="str">
        <f>IFERROR(ROUND(INDEX('PROJETO PERFURAÇÃO'!$AB:$AB,MATCH(MEDIÇÃO!K571,'PROJETO PERFURAÇÃO'!$B:$B,0)),1)&amp;"''","")</f>
        <v/>
      </c>
      <c r="J571" s="3" t="str">
        <f>IFERROR(IF(INDEX('PROJETO PERFURAÇÃO'!$P:$P,MATCH(MEDIÇÃO!K571,'PROJETO PERFURAÇÃO'!$B:$B,0))="Production","P",IF(INDEX('PROJETO PERFURAÇÃO'!$P:$P,MATCH(MEDIÇÃO!K571,'PROJETO PERFURAÇÃO'!$B:$B,0))="Buffer","B",IF(INDEX('PROJETO PERFURAÇÃO'!$P:$P,MATCH(MEDIÇÃO!K571,'PROJETO PERFURAÇÃO'!$B:$B,0))="Pre-Splitting","S"))),"")</f>
        <v/>
      </c>
      <c r="K571" s="14">
        <f t="shared" si="55"/>
        <v>1274</v>
      </c>
      <c r="L571" s="4" t="str">
        <f>IFERROR(INDEX('LEV R&amp;D'!$D:$D,MATCH(MEDIÇÃO!K571,'LEV R&amp;D'!$A:$A,0))-INDEX('PROJETO PERFURAÇÃO'!$AH:$AH,MATCH(MEDIÇÃO!K571,'PROJETO PERFURAÇÃO'!$B:$B,0)),"")</f>
        <v/>
      </c>
      <c r="M571" s="8" t="str">
        <f>IFERROR(INDEX('PROJETO PERFURAÇÃO'!$AN:$AN,MATCH(MEDIÇÃO!K571,'PROJETO PERFURAÇÃO'!$B:$B,0)),"")</f>
        <v/>
      </c>
      <c r="N571" s="3"/>
      <c r="O571" s="3"/>
      <c r="P571" s="3" t="str">
        <f>IFERROR(ROUND(INDEX('PROJETO PERFURAÇÃO'!$AB:$AB,MATCH(MEDIÇÃO!R571,'PROJETO PERFURAÇÃO'!$B:$B,0)),1)&amp;"''","")</f>
        <v/>
      </c>
      <c r="Q571" s="3" t="str">
        <f>IFERROR(IF(INDEX('PROJETO PERFURAÇÃO'!$P:$P,MATCH(MEDIÇÃO!R571,'PROJETO PERFURAÇÃO'!$B:$B,0))="Production","P",IF(INDEX('PROJETO PERFURAÇÃO'!$P:$P,MATCH(MEDIÇÃO!R571,'PROJETO PERFURAÇÃO'!$B:$B,0))="Buffer","B",IF(INDEX('PROJETO PERFURAÇÃO'!$P:$P,MATCH(MEDIÇÃO!R571,'PROJETO PERFURAÇÃO'!$B:$B,0))="Pre-Splitting","S"))),"")</f>
        <v/>
      </c>
      <c r="R571" s="14">
        <f t="shared" si="56"/>
        <v>1297</v>
      </c>
      <c r="S571" s="4" t="str">
        <f>IFERROR(INDEX('LEV R&amp;D'!$D:$D,MATCH(MEDIÇÃO!R571,'LEV R&amp;D'!$A:$A,0))-INDEX('PROJETO PERFURAÇÃO'!$AH:$AH,MATCH(MEDIÇÃO!R571,'PROJETO PERFURAÇÃO'!$B:$B,0)),"")</f>
        <v/>
      </c>
      <c r="T571" s="8" t="str">
        <f>IFERROR(INDEX('PROJETO PERFURAÇÃO'!$AN:$AN,MATCH(MEDIÇÃO!R571,'PROJETO PERFURAÇÃO'!$B:$B,0)),"")</f>
        <v/>
      </c>
      <c r="U571" s="3"/>
      <c r="V571" s="3"/>
    </row>
    <row r="572" spans="1:23" ht="45" customHeight="1">
      <c r="B572" s="3" t="str">
        <f>IFERROR(ROUND(INDEX('PROJETO PERFURAÇÃO'!$AB:$AB,MATCH(MEDIÇÃO!D572,'PROJETO PERFURAÇÃO'!$B:$B,0)),1)&amp;"''","")</f>
        <v/>
      </c>
      <c r="C572" s="3" t="str">
        <f>IFERROR(IF(INDEX('PROJETO PERFURAÇÃO'!$P:$P,MATCH(MEDIÇÃO!D572,'PROJETO PERFURAÇÃO'!$B:$B,0))="Production","P",IF(INDEX('PROJETO PERFURAÇÃO'!$P:$P,MATCH(MEDIÇÃO!D572,'PROJETO PERFURAÇÃO'!$B:$B,0))="Buffer","B",IF(INDEX('PROJETO PERFURAÇÃO'!$P:$P,MATCH(MEDIÇÃO!D572,'PROJETO PERFURAÇÃO'!$B:$B,0))="Pre-Splitting","S"))),"")</f>
        <v/>
      </c>
      <c r="D572" s="14">
        <f t="shared" si="54"/>
        <v>1252</v>
      </c>
      <c r="E572" s="4" t="str">
        <f>IFERROR(INDEX('LEV R&amp;D'!$D:$D,MATCH(MEDIÇÃO!D572,'LEV R&amp;D'!$A:$A,0))-INDEX('PROJETO PERFURAÇÃO'!$AH:$AH,MATCH(MEDIÇÃO!D572,'PROJETO PERFURAÇÃO'!$B:$B,0)),"")</f>
        <v/>
      </c>
      <c r="F572" s="8" t="str">
        <f>IFERROR(INDEX('PROJETO PERFURAÇÃO'!$AN:$AN,MATCH(MEDIÇÃO!D572,'PROJETO PERFURAÇÃO'!$B:$B,0)),"")</f>
        <v/>
      </c>
      <c r="G572" s="3"/>
      <c r="H572" s="3"/>
      <c r="I572" s="3" t="str">
        <f>IFERROR(ROUND(INDEX('PROJETO PERFURAÇÃO'!$AB:$AB,MATCH(MEDIÇÃO!K572,'PROJETO PERFURAÇÃO'!$B:$B,0)),1)&amp;"''","")</f>
        <v/>
      </c>
      <c r="J572" s="3" t="str">
        <f>IFERROR(IF(INDEX('PROJETO PERFURAÇÃO'!$P:$P,MATCH(MEDIÇÃO!K572,'PROJETO PERFURAÇÃO'!$B:$B,0))="Production","P",IF(INDEX('PROJETO PERFURAÇÃO'!$P:$P,MATCH(MEDIÇÃO!K572,'PROJETO PERFURAÇÃO'!$B:$B,0))="Buffer","B",IF(INDEX('PROJETO PERFURAÇÃO'!$P:$P,MATCH(MEDIÇÃO!K572,'PROJETO PERFURAÇÃO'!$B:$B,0))="Pre-Splitting","S"))),"")</f>
        <v/>
      </c>
      <c r="K572" s="14">
        <f t="shared" si="55"/>
        <v>1275</v>
      </c>
      <c r="L572" s="4" t="str">
        <f>IFERROR(INDEX('LEV R&amp;D'!$D:$D,MATCH(MEDIÇÃO!K572,'LEV R&amp;D'!$A:$A,0))-INDEX('PROJETO PERFURAÇÃO'!$AH:$AH,MATCH(MEDIÇÃO!K572,'PROJETO PERFURAÇÃO'!$B:$B,0)),"")</f>
        <v/>
      </c>
      <c r="M572" s="8" t="str">
        <f>IFERROR(INDEX('PROJETO PERFURAÇÃO'!$AN:$AN,MATCH(MEDIÇÃO!K572,'PROJETO PERFURAÇÃO'!$B:$B,0)),"")</f>
        <v/>
      </c>
      <c r="N572" s="3"/>
      <c r="O572" s="3"/>
      <c r="P572" s="3" t="str">
        <f>IFERROR(ROUND(INDEX('PROJETO PERFURAÇÃO'!$AB:$AB,MATCH(MEDIÇÃO!R572,'PROJETO PERFURAÇÃO'!$B:$B,0)),1)&amp;"''","")</f>
        <v/>
      </c>
      <c r="Q572" s="3" t="str">
        <f>IFERROR(IF(INDEX('PROJETO PERFURAÇÃO'!$P:$P,MATCH(MEDIÇÃO!R572,'PROJETO PERFURAÇÃO'!$B:$B,0))="Production","P",IF(INDEX('PROJETO PERFURAÇÃO'!$P:$P,MATCH(MEDIÇÃO!R572,'PROJETO PERFURAÇÃO'!$B:$B,0))="Buffer","B",IF(INDEX('PROJETO PERFURAÇÃO'!$P:$P,MATCH(MEDIÇÃO!R572,'PROJETO PERFURAÇÃO'!$B:$B,0))="Pre-Splitting","S"))),"")</f>
        <v/>
      </c>
      <c r="R572" s="14">
        <f t="shared" si="56"/>
        <v>1298</v>
      </c>
      <c r="S572" s="4" t="str">
        <f>IFERROR(INDEX('LEV R&amp;D'!$D:$D,MATCH(MEDIÇÃO!R572,'LEV R&amp;D'!$A:$A,0))-INDEX('PROJETO PERFURAÇÃO'!$AH:$AH,MATCH(MEDIÇÃO!R572,'PROJETO PERFURAÇÃO'!$B:$B,0)),"")</f>
        <v/>
      </c>
      <c r="T572" s="8" t="str">
        <f>IFERROR(INDEX('PROJETO PERFURAÇÃO'!$AN:$AN,MATCH(MEDIÇÃO!R572,'PROJETO PERFURAÇÃO'!$B:$B,0)),"")</f>
        <v/>
      </c>
      <c r="U572" s="3"/>
      <c r="V572" s="3"/>
    </row>
    <row r="573" spans="1:23" ht="45" customHeight="1">
      <c r="B573" s="3" t="str">
        <f>IFERROR(ROUND(INDEX('PROJETO PERFURAÇÃO'!$AB:$AB,MATCH(MEDIÇÃO!D573,'PROJETO PERFURAÇÃO'!$B:$B,0)),1)&amp;"''","")</f>
        <v/>
      </c>
      <c r="C573" s="3" t="str">
        <f>IFERROR(IF(INDEX('PROJETO PERFURAÇÃO'!$P:$P,MATCH(MEDIÇÃO!D573,'PROJETO PERFURAÇÃO'!$B:$B,0))="Production","P",IF(INDEX('PROJETO PERFURAÇÃO'!$P:$P,MATCH(MEDIÇÃO!D573,'PROJETO PERFURAÇÃO'!$B:$B,0))="Buffer","B",IF(INDEX('PROJETO PERFURAÇÃO'!$P:$P,MATCH(MEDIÇÃO!D573,'PROJETO PERFURAÇÃO'!$B:$B,0))="Pre-Splitting","S"))),"")</f>
        <v/>
      </c>
      <c r="D573" s="14">
        <f t="shared" si="54"/>
        <v>1253</v>
      </c>
      <c r="E573" s="4" t="str">
        <f>IFERROR(INDEX('LEV R&amp;D'!$D:$D,MATCH(MEDIÇÃO!D573,'LEV R&amp;D'!$A:$A,0))-INDEX('PROJETO PERFURAÇÃO'!$AH:$AH,MATCH(MEDIÇÃO!D573,'PROJETO PERFURAÇÃO'!$B:$B,0)),"")</f>
        <v/>
      </c>
      <c r="F573" s="8" t="str">
        <f>IFERROR(INDEX('PROJETO PERFURAÇÃO'!$AN:$AN,MATCH(MEDIÇÃO!D573,'PROJETO PERFURAÇÃO'!$B:$B,0)),"")</f>
        <v/>
      </c>
      <c r="G573" s="3"/>
      <c r="H573" s="3"/>
      <c r="I573" s="3" t="str">
        <f>IFERROR(ROUND(INDEX('PROJETO PERFURAÇÃO'!$AB:$AB,MATCH(MEDIÇÃO!K573,'PROJETO PERFURAÇÃO'!$B:$B,0)),1)&amp;"''","")</f>
        <v/>
      </c>
      <c r="J573" s="3" t="str">
        <f>IFERROR(IF(INDEX('PROJETO PERFURAÇÃO'!$P:$P,MATCH(MEDIÇÃO!K573,'PROJETO PERFURAÇÃO'!$B:$B,0))="Production","P",IF(INDEX('PROJETO PERFURAÇÃO'!$P:$P,MATCH(MEDIÇÃO!K573,'PROJETO PERFURAÇÃO'!$B:$B,0))="Buffer","B",IF(INDEX('PROJETO PERFURAÇÃO'!$P:$P,MATCH(MEDIÇÃO!K573,'PROJETO PERFURAÇÃO'!$B:$B,0))="Pre-Splitting","S"))),"")</f>
        <v/>
      </c>
      <c r="K573" s="14">
        <f t="shared" si="55"/>
        <v>1276</v>
      </c>
      <c r="L573" s="4" t="str">
        <f>IFERROR(INDEX('LEV R&amp;D'!$D:$D,MATCH(MEDIÇÃO!K573,'LEV R&amp;D'!$A:$A,0))-INDEX('PROJETO PERFURAÇÃO'!$AH:$AH,MATCH(MEDIÇÃO!K573,'PROJETO PERFURAÇÃO'!$B:$B,0)),"")</f>
        <v/>
      </c>
      <c r="M573" s="8" t="str">
        <f>IFERROR(INDEX('PROJETO PERFURAÇÃO'!$AN:$AN,MATCH(MEDIÇÃO!K573,'PROJETO PERFURAÇÃO'!$B:$B,0)),"")</f>
        <v/>
      </c>
      <c r="N573" s="3"/>
      <c r="O573" s="3"/>
      <c r="P573" s="3" t="str">
        <f>IFERROR(ROUND(INDEX('PROJETO PERFURAÇÃO'!$AB:$AB,MATCH(MEDIÇÃO!R573,'PROJETO PERFURAÇÃO'!$B:$B,0)),1)&amp;"''","")</f>
        <v/>
      </c>
      <c r="Q573" s="3" t="str">
        <f>IFERROR(IF(INDEX('PROJETO PERFURAÇÃO'!$P:$P,MATCH(MEDIÇÃO!R573,'PROJETO PERFURAÇÃO'!$B:$B,0))="Production","P",IF(INDEX('PROJETO PERFURAÇÃO'!$P:$P,MATCH(MEDIÇÃO!R573,'PROJETO PERFURAÇÃO'!$B:$B,0))="Buffer","B",IF(INDEX('PROJETO PERFURAÇÃO'!$P:$P,MATCH(MEDIÇÃO!R573,'PROJETO PERFURAÇÃO'!$B:$B,0))="Pre-Splitting","S"))),"")</f>
        <v/>
      </c>
      <c r="R573" s="14">
        <f t="shared" si="56"/>
        <v>1299</v>
      </c>
      <c r="S573" s="4" t="str">
        <f>IFERROR(INDEX('LEV R&amp;D'!$D:$D,MATCH(MEDIÇÃO!R573,'LEV R&amp;D'!$A:$A,0))-INDEX('PROJETO PERFURAÇÃO'!$AH:$AH,MATCH(MEDIÇÃO!R573,'PROJETO PERFURAÇÃO'!$B:$B,0)),"")</f>
        <v/>
      </c>
      <c r="T573" s="8" t="str">
        <f>IFERROR(INDEX('PROJETO PERFURAÇÃO'!$AN:$AN,MATCH(MEDIÇÃO!R573,'PROJETO PERFURAÇÃO'!$B:$B,0)),"")</f>
        <v/>
      </c>
      <c r="U573" s="3"/>
      <c r="V573" s="3"/>
    </row>
    <row r="574" spans="1:23" ht="45" customHeight="1">
      <c r="B574" s="3" t="str">
        <f>IFERROR(ROUND(INDEX('PROJETO PERFURAÇÃO'!$AB:$AB,MATCH(MEDIÇÃO!D574,'PROJETO PERFURAÇÃO'!$B:$B,0)),1)&amp;"''","")</f>
        <v/>
      </c>
      <c r="C574" s="3" t="str">
        <f>IFERROR(IF(INDEX('PROJETO PERFURAÇÃO'!$P:$P,MATCH(MEDIÇÃO!D574,'PROJETO PERFURAÇÃO'!$B:$B,0))="Production","P",IF(INDEX('PROJETO PERFURAÇÃO'!$P:$P,MATCH(MEDIÇÃO!D574,'PROJETO PERFURAÇÃO'!$B:$B,0))="Buffer","B",IF(INDEX('PROJETO PERFURAÇÃO'!$P:$P,MATCH(MEDIÇÃO!D574,'PROJETO PERFURAÇÃO'!$B:$B,0))="Pre-Splitting","S"))),"")</f>
        <v/>
      </c>
      <c r="D574" s="14">
        <f t="shared" si="54"/>
        <v>1254</v>
      </c>
      <c r="E574" s="4" t="str">
        <f>IFERROR(INDEX('LEV R&amp;D'!$D:$D,MATCH(MEDIÇÃO!D574,'LEV R&amp;D'!$A:$A,0))-INDEX('PROJETO PERFURAÇÃO'!$AH:$AH,MATCH(MEDIÇÃO!D574,'PROJETO PERFURAÇÃO'!$B:$B,0)),"")</f>
        <v/>
      </c>
      <c r="F574" s="8" t="str">
        <f>IFERROR(INDEX('PROJETO PERFURAÇÃO'!$AN:$AN,MATCH(MEDIÇÃO!D574,'PROJETO PERFURAÇÃO'!$B:$B,0)),"")</f>
        <v/>
      </c>
      <c r="G574" s="3"/>
      <c r="H574" s="3"/>
      <c r="I574" s="3" t="str">
        <f>IFERROR(ROUND(INDEX('PROJETO PERFURAÇÃO'!$AB:$AB,MATCH(MEDIÇÃO!K574,'PROJETO PERFURAÇÃO'!$B:$B,0)),1)&amp;"''","")</f>
        <v/>
      </c>
      <c r="J574" s="3" t="str">
        <f>IFERROR(IF(INDEX('PROJETO PERFURAÇÃO'!$P:$P,MATCH(MEDIÇÃO!K574,'PROJETO PERFURAÇÃO'!$B:$B,0))="Production","P",IF(INDEX('PROJETO PERFURAÇÃO'!$P:$P,MATCH(MEDIÇÃO!K574,'PROJETO PERFURAÇÃO'!$B:$B,0))="Buffer","B",IF(INDEX('PROJETO PERFURAÇÃO'!$P:$P,MATCH(MEDIÇÃO!K574,'PROJETO PERFURAÇÃO'!$B:$B,0))="Pre-Splitting","S"))),"")</f>
        <v/>
      </c>
      <c r="K574" s="14">
        <f t="shared" si="55"/>
        <v>1277</v>
      </c>
      <c r="L574" s="4" t="str">
        <f>IFERROR(INDEX('LEV R&amp;D'!$D:$D,MATCH(MEDIÇÃO!K574,'LEV R&amp;D'!$A:$A,0))-INDEX('PROJETO PERFURAÇÃO'!$AH:$AH,MATCH(MEDIÇÃO!K574,'PROJETO PERFURAÇÃO'!$B:$B,0)),"")</f>
        <v/>
      </c>
      <c r="M574" s="8" t="str">
        <f>IFERROR(INDEX('PROJETO PERFURAÇÃO'!$AN:$AN,MATCH(MEDIÇÃO!K574,'PROJETO PERFURAÇÃO'!$B:$B,0)),"")</f>
        <v/>
      </c>
      <c r="N574" s="3"/>
      <c r="O574" s="3"/>
      <c r="P574" s="3" t="str">
        <f>IFERROR(ROUND(INDEX('PROJETO PERFURAÇÃO'!$AB:$AB,MATCH(MEDIÇÃO!R574,'PROJETO PERFURAÇÃO'!$B:$B,0)),1)&amp;"''","")</f>
        <v/>
      </c>
      <c r="Q574" s="3" t="str">
        <f>IFERROR(IF(INDEX('PROJETO PERFURAÇÃO'!$P:$P,MATCH(MEDIÇÃO!R574,'PROJETO PERFURAÇÃO'!$B:$B,0))="Production","P",IF(INDEX('PROJETO PERFURAÇÃO'!$P:$P,MATCH(MEDIÇÃO!R574,'PROJETO PERFURAÇÃO'!$B:$B,0))="Buffer","B",IF(INDEX('PROJETO PERFURAÇÃO'!$P:$P,MATCH(MEDIÇÃO!R574,'PROJETO PERFURAÇÃO'!$B:$B,0))="Pre-Splitting","S"))),"")</f>
        <v/>
      </c>
      <c r="R574" s="14">
        <f t="shared" si="56"/>
        <v>1300</v>
      </c>
      <c r="S574" s="4" t="str">
        <f>IFERROR(INDEX('LEV R&amp;D'!$D:$D,MATCH(MEDIÇÃO!R574,'LEV R&amp;D'!$A:$A,0))-INDEX('PROJETO PERFURAÇÃO'!$AH:$AH,MATCH(MEDIÇÃO!R574,'PROJETO PERFURAÇÃO'!$B:$B,0)),"")</f>
        <v/>
      </c>
      <c r="T574" s="8" t="str">
        <f>IFERROR(INDEX('PROJETO PERFURAÇÃO'!$AN:$AN,MATCH(MEDIÇÃO!R574,'PROJETO PERFURAÇÃO'!$B:$B,0)),"")</f>
        <v/>
      </c>
      <c r="U574" s="3"/>
      <c r="V574" s="3"/>
    </row>
    <row r="575" spans="1:23" ht="45" customHeight="1">
      <c r="B575" s="3" t="str">
        <f>IFERROR(ROUND(INDEX('PROJETO PERFURAÇÃO'!$AB:$AB,MATCH(MEDIÇÃO!D575,'PROJETO PERFURAÇÃO'!$B:$B,0)),1)&amp;"''","")</f>
        <v/>
      </c>
      <c r="C575" s="3" t="str">
        <f>IFERROR(IF(INDEX('PROJETO PERFURAÇÃO'!$P:$P,MATCH(MEDIÇÃO!D575,'PROJETO PERFURAÇÃO'!$B:$B,0))="Production","P",IF(INDEX('PROJETO PERFURAÇÃO'!$P:$P,MATCH(MEDIÇÃO!D575,'PROJETO PERFURAÇÃO'!$B:$B,0))="Buffer","B",IF(INDEX('PROJETO PERFURAÇÃO'!$P:$P,MATCH(MEDIÇÃO!D575,'PROJETO PERFURAÇÃO'!$B:$B,0))="Pre-Splitting","S"))),"")</f>
        <v/>
      </c>
      <c r="D575" s="14">
        <f t="shared" si="54"/>
        <v>1255</v>
      </c>
      <c r="E575" s="4" t="str">
        <f>IFERROR(INDEX('LEV R&amp;D'!$D:$D,MATCH(MEDIÇÃO!D575,'LEV R&amp;D'!$A:$A,0))-INDEX('PROJETO PERFURAÇÃO'!$AH:$AH,MATCH(MEDIÇÃO!D575,'PROJETO PERFURAÇÃO'!$B:$B,0)),"")</f>
        <v/>
      </c>
      <c r="F575" s="8" t="str">
        <f>IFERROR(INDEX('PROJETO PERFURAÇÃO'!$AN:$AN,MATCH(MEDIÇÃO!D575,'PROJETO PERFURAÇÃO'!$B:$B,0)),"")</f>
        <v/>
      </c>
      <c r="G575" s="3"/>
      <c r="H575" s="3"/>
      <c r="I575" s="3" t="str">
        <f>IFERROR(ROUND(INDEX('PROJETO PERFURAÇÃO'!$AB:$AB,MATCH(MEDIÇÃO!K575,'PROJETO PERFURAÇÃO'!$B:$B,0)),1)&amp;"''","")</f>
        <v/>
      </c>
      <c r="J575" s="3" t="str">
        <f>IFERROR(IF(INDEX('PROJETO PERFURAÇÃO'!$P:$P,MATCH(MEDIÇÃO!K575,'PROJETO PERFURAÇÃO'!$B:$B,0))="Production","P",IF(INDEX('PROJETO PERFURAÇÃO'!$P:$P,MATCH(MEDIÇÃO!K575,'PROJETO PERFURAÇÃO'!$B:$B,0))="Buffer","B",IF(INDEX('PROJETO PERFURAÇÃO'!$P:$P,MATCH(MEDIÇÃO!K575,'PROJETO PERFURAÇÃO'!$B:$B,0))="Pre-Splitting","S"))),"")</f>
        <v/>
      </c>
      <c r="K575" s="14">
        <f t="shared" si="55"/>
        <v>1278</v>
      </c>
      <c r="L575" s="4" t="str">
        <f>IFERROR(INDEX('LEV R&amp;D'!$D:$D,MATCH(MEDIÇÃO!K575,'LEV R&amp;D'!$A:$A,0))-INDEX('PROJETO PERFURAÇÃO'!$AH:$AH,MATCH(MEDIÇÃO!K575,'PROJETO PERFURAÇÃO'!$B:$B,0)),"")</f>
        <v/>
      </c>
      <c r="M575" s="8" t="str">
        <f>IFERROR(INDEX('PROJETO PERFURAÇÃO'!$AN:$AN,MATCH(MEDIÇÃO!K575,'PROJETO PERFURAÇÃO'!$B:$B,0)),"")</f>
        <v/>
      </c>
      <c r="N575" s="3"/>
      <c r="O575" s="3"/>
      <c r="P575" s="3" t="str">
        <f>IFERROR(ROUND(INDEX('PROJETO PERFURAÇÃO'!$AB:$AB,MATCH(MEDIÇÃO!R575,'PROJETO PERFURAÇÃO'!$B:$B,0)),1)&amp;"''","")</f>
        <v/>
      </c>
      <c r="Q575" s="3" t="str">
        <f>IFERROR(IF(INDEX('PROJETO PERFURAÇÃO'!$P:$P,MATCH(MEDIÇÃO!R575,'PROJETO PERFURAÇÃO'!$B:$B,0))="Production","P",IF(INDEX('PROJETO PERFURAÇÃO'!$P:$P,MATCH(MEDIÇÃO!R575,'PROJETO PERFURAÇÃO'!$B:$B,0))="Buffer","B",IF(INDEX('PROJETO PERFURAÇÃO'!$P:$P,MATCH(MEDIÇÃO!R575,'PROJETO PERFURAÇÃO'!$B:$B,0))="Pre-Splitting","S"))),"")</f>
        <v/>
      </c>
      <c r="R575" s="14">
        <f t="shared" si="56"/>
        <v>1301</v>
      </c>
      <c r="S575" s="4" t="str">
        <f>IFERROR(INDEX('LEV R&amp;D'!$D:$D,MATCH(MEDIÇÃO!R575,'LEV R&amp;D'!$A:$A,0))-INDEX('PROJETO PERFURAÇÃO'!$AH:$AH,MATCH(MEDIÇÃO!R575,'PROJETO PERFURAÇÃO'!$B:$B,0)),"")</f>
        <v/>
      </c>
      <c r="T575" s="8" t="str">
        <f>IFERROR(INDEX('PROJETO PERFURAÇÃO'!$AN:$AN,MATCH(MEDIÇÃO!R575,'PROJETO PERFURAÇÃO'!$B:$B,0)),"")</f>
        <v/>
      </c>
      <c r="U575" s="3"/>
      <c r="V575" s="3"/>
    </row>
    <row r="576" spans="1:23" ht="45" customHeight="1">
      <c r="B576" s="3" t="str">
        <f>IFERROR(ROUND(INDEX('PROJETO PERFURAÇÃO'!$AB:$AB,MATCH(MEDIÇÃO!D576,'PROJETO PERFURAÇÃO'!$B:$B,0)),1)&amp;"''","")</f>
        <v/>
      </c>
      <c r="C576" s="3" t="str">
        <f>IFERROR(IF(INDEX('PROJETO PERFURAÇÃO'!$P:$P,MATCH(MEDIÇÃO!D576,'PROJETO PERFURAÇÃO'!$B:$B,0))="Production","P",IF(INDEX('PROJETO PERFURAÇÃO'!$P:$P,MATCH(MEDIÇÃO!D576,'PROJETO PERFURAÇÃO'!$B:$B,0))="Buffer","B",IF(INDEX('PROJETO PERFURAÇÃO'!$P:$P,MATCH(MEDIÇÃO!D576,'PROJETO PERFURAÇÃO'!$B:$B,0))="Pre-Splitting","S"))),"")</f>
        <v/>
      </c>
      <c r="D576" s="14">
        <f t="shared" si="54"/>
        <v>1256</v>
      </c>
      <c r="E576" s="4" t="str">
        <f>IFERROR(INDEX('LEV R&amp;D'!$D:$D,MATCH(MEDIÇÃO!D576,'LEV R&amp;D'!$A:$A,0))-INDEX('PROJETO PERFURAÇÃO'!$AH:$AH,MATCH(MEDIÇÃO!D576,'PROJETO PERFURAÇÃO'!$B:$B,0)),"")</f>
        <v/>
      </c>
      <c r="F576" s="8" t="str">
        <f>IFERROR(INDEX('PROJETO PERFURAÇÃO'!$AN:$AN,MATCH(MEDIÇÃO!D576,'PROJETO PERFURAÇÃO'!$B:$B,0)),"")</f>
        <v/>
      </c>
      <c r="G576" s="3"/>
      <c r="H576" s="3"/>
      <c r="I576" s="3" t="str">
        <f>IFERROR(ROUND(INDEX('PROJETO PERFURAÇÃO'!$AB:$AB,MATCH(MEDIÇÃO!K576,'PROJETO PERFURAÇÃO'!$B:$B,0)),1)&amp;"''","")</f>
        <v/>
      </c>
      <c r="J576" s="3" t="str">
        <f>IFERROR(IF(INDEX('PROJETO PERFURAÇÃO'!$P:$P,MATCH(MEDIÇÃO!K576,'PROJETO PERFURAÇÃO'!$B:$B,0))="Production","P",IF(INDEX('PROJETO PERFURAÇÃO'!$P:$P,MATCH(MEDIÇÃO!K576,'PROJETO PERFURAÇÃO'!$B:$B,0))="Buffer","B",IF(INDEX('PROJETO PERFURAÇÃO'!$P:$P,MATCH(MEDIÇÃO!K576,'PROJETO PERFURAÇÃO'!$B:$B,0))="Pre-Splitting","S"))),"")</f>
        <v/>
      </c>
      <c r="K576" s="14">
        <f t="shared" si="55"/>
        <v>1279</v>
      </c>
      <c r="L576" s="4" t="str">
        <f>IFERROR(INDEX('LEV R&amp;D'!$D:$D,MATCH(MEDIÇÃO!K576,'LEV R&amp;D'!$A:$A,0))-INDEX('PROJETO PERFURAÇÃO'!$AH:$AH,MATCH(MEDIÇÃO!K576,'PROJETO PERFURAÇÃO'!$B:$B,0)),"")</f>
        <v/>
      </c>
      <c r="M576" s="8" t="str">
        <f>IFERROR(INDEX('PROJETO PERFURAÇÃO'!$AN:$AN,MATCH(MEDIÇÃO!K576,'PROJETO PERFURAÇÃO'!$B:$B,0)),"")</f>
        <v/>
      </c>
      <c r="N576" s="3"/>
      <c r="O576" s="3"/>
      <c r="P576" s="3" t="str">
        <f>IFERROR(ROUND(INDEX('PROJETO PERFURAÇÃO'!$AB:$AB,MATCH(MEDIÇÃO!R576,'PROJETO PERFURAÇÃO'!$B:$B,0)),1)&amp;"''","")</f>
        <v/>
      </c>
      <c r="Q576" s="3" t="str">
        <f>IFERROR(IF(INDEX('PROJETO PERFURAÇÃO'!$P:$P,MATCH(MEDIÇÃO!R576,'PROJETO PERFURAÇÃO'!$B:$B,0))="Production","P",IF(INDEX('PROJETO PERFURAÇÃO'!$P:$P,MATCH(MEDIÇÃO!R576,'PROJETO PERFURAÇÃO'!$B:$B,0))="Buffer","B",IF(INDEX('PROJETO PERFURAÇÃO'!$P:$P,MATCH(MEDIÇÃO!R576,'PROJETO PERFURAÇÃO'!$B:$B,0))="Pre-Splitting","S"))),"")</f>
        <v/>
      </c>
      <c r="R576" s="14">
        <f t="shared" si="56"/>
        <v>1302</v>
      </c>
      <c r="S576" s="4" t="str">
        <f>IFERROR(INDEX('LEV R&amp;D'!$D:$D,MATCH(MEDIÇÃO!R576,'LEV R&amp;D'!$A:$A,0))-INDEX('PROJETO PERFURAÇÃO'!$AH:$AH,MATCH(MEDIÇÃO!R576,'PROJETO PERFURAÇÃO'!$B:$B,0)),"")</f>
        <v/>
      </c>
      <c r="T576" s="8" t="str">
        <f>IFERROR(INDEX('PROJETO PERFURAÇÃO'!$AN:$AN,MATCH(MEDIÇÃO!R576,'PROJETO PERFURAÇÃO'!$B:$B,0)),"")</f>
        <v/>
      </c>
      <c r="U576" s="3"/>
      <c r="V576" s="3"/>
    </row>
    <row r="577" spans="2:22" ht="45" customHeight="1">
      <c r="B577" s="3" t="str">
        <f>IFERROR(ROUND(INDEX('PROJETO PERFURAÇÃO'!$AB:$AB,MATCH(MEDIÇÃO!D577,'PROJETO PERFURAÇÃO'!$B:$B,0)),1)&amp;"''","")</f>
        <v/>
      </c>
      <c r="C577" s="3" t="str">
        <f>IFERROR(IF(INDEX('PROJETO PERFURAÇÃO'!$P:$P,MATCH(MEDIÇÃO!D577,'PROJETO PERFURAÇÃO'!$B:$B,0))="Production","P",IF(INDEX('PROJETO PERFURAÇÃO'!$P:$P,MATCH(MEDIÇÃO!D577,'PROJETO PERFURAÇÃO'!$B:$B,0))="Buffer","B",IF(INDEX('PROJETO PERFURAÇÃO'!$P:$P,MATCH(MEDIÇÃO!D577,'PROJETO PERFURAÇÃO'!$B:$B,0))="Pre-Splitting","S"))),"")</f>
        <v/>
      </c>
      <c r="D577" s="14">
        <f t="shared" si="54"/>
        <v>1257</v>
      </c>
      <c r="E577" s="4" t="str">
        <f>IFERROR(INDEX('LEV R&amp;D'!$D:$D,MATCH(MEDIÇÃO!D577,'LEV R&amp;D'!$A:$A,0))-INDEX('PROJETO PERFURAÇÃO'!$AH:$AH,MATCH(MEDIÇÃO!D577,'PROJETO PERFURAÇÃO'!$B:$B,0)),"")</f>
        <v/>
      </c>
      <c r="F577" s="8" t="str">
        <f>IFERROR(INDEX('PROJETO PERFURAÇÃO'!$AN:$AN,MATCH(MEDIÇÃO!D577,'PROJETO PERFURAÇÃO'!$B:$B,0)),"")</f>
        <v/>
      </c>
      <c r="G577" s="3"/>
      <c r="H577" s="3"/>
      <c r="I577" s="3" t="str">
        <f>IFERROR(ROUND(INDEX('PROJETO PERFURAÇÃO'!$AB:$AB,MATCH(MEDIÇÃO!K577,'PROJETO PERFURAÇÃO'!$B:$B,0)),1)&amp;"''","")</f>
        <v/>
      </c>
      <c r="J577" s="3" t="str">
        <f>IFERROR(IF(INDEX('PROJETO PERFURAÇÃO'!$P:$P,MATCH(MEDIÇÃO!K577,'PROJETO PERFURAÇÃO'!$B:$B,0))="Production","P",IF(INDEX('PROJETO PERFURAÇÃO'!$P:$P,MATCH(MEDIÇÃO!K577,'PROJETO PERFURAÇÃO'!$B:$B,0))="Buffer","B",IF(INDEX('PROJETO PERFURAÇÃO'!$P:$P,MATCH(MEDIÇÃO!K577,'PROJETO PERFURAÇÃO'!$B:$B,0))="Pre-Splitting","S"))),"")</f>
        <v/>
      </c>
      <c r="K577" s="14">
        <f t="shared" si="55"/>
        <v>1280</v>
      </c>
      <c r="L577" s="4" t="str">
        <f>IFERROR(INDEX('LEV R&amp;D'!$D:$D,MATCH(MEDIÇÃO!K577,'LEV R&amp;D'!$A:$A,0))-INDEX('PROJETO PERFURAÇÃO'!$AH:$AH,MATCH(MEDIÇÃO!K577,'PROJETO PERFURAÇÃO'!$B:$B,0)),"")</f>
        <v/>
      </c>
      <c r="M577" s="8" t="str">
        <f>IFERROR(INDEX('PROJETO PERFURAÇÃO'!$AN:$AN,MATCH(MEDIÇÃO!K577,'PROJETO PERFURAÇÃO'!$B:$B,0)),"")</f>
        <v/>
      </c>
      <c r="N577" s="3"/>
      <c r="O577" s="3"/>
      <c r="P577" s="3" t="str">
        <f>IFERROR(ROUND(INDEX('PROJETO PERFURAÇÃO'!$AB:$AB,MATCH(MEDIÇÃO!R577,'PROJETO PERFURAÇÃO'!$B:$B,0)),1)&amp;"''","")</f>
        <v/>
      </c>
      <c r="Q577" s="3" t="str">
        <f>IFERROR(IF(INDEX('PROJETO PERFURAÇÃO'!$P:$P,MATCH(MEDIÇÃO!R577,'PROJETO PERFURAÇÃO'!$B:$B,0))="Production","P",IF(INDEX('PROJETO PERFURAÇÃO'!$P:$P,MATCH(MEDIÇÃO!R577,'PROJETO PERFURAÇÃO'!$B:$B,0))="Buffer","B",IF(INDEX('PROJETO PERFURAÇÃO'!$P:$P,MATCH(MEDIÇÃO!R577,'PROJETO PERFURAÇÃO'!$B:$B,0))="Pre-Splitting","S"))),"")</f>
        <v/>
      </c>
      <c r="R577" s="14">
        <f t="shared" si="56"/>
        <v>1303</v>
      </c>
      <c r="S577" s="4" t="str">
        <f>IFERROR(INDEX('LEV R&amp;D'!$D:$D,MATCH(MEDIÇÃO!R577,'LEV R&amp;D'!$A:$A,0))-INDEX('PROJETO PERFURAÇÃO'!$AH:$AH,MATCH(MEDIÇÃO!R577,'PROJETO PERFURAÇÃO'!$B:$B,0)),"")</f>
        <v/>
      </c>
      <c r="T577" s="8" t="str">
        <f>IFERROR(INDEX('PROJETO PERFURAÇÃO'!$AN:$AN,MATCH(MEDIÇÃO!R577,'PROJETO PERFURAÇÃO'!$B:$B,0)),"")</f>
        <v/>
      </c>
      <c r="U577" s="3"/>
      <c r="V577" s="3"/>
    </row>
    <row r="578" spans="2:22" ht="45" customHeight="1">
      <c r="B578" s="3" t="str">
        <f>IFERROR(ROUND(INDEX('PROJETO PERFURAÇÃO'!$AB:$AB,MATCH(MEDIÇÃO!D578,'PROJETO PERFURAÇÃO'!$B:$B,0)),1)&amp;"''","")</f>
        <v/>
      </c>
      <c r="C578" s="3" t="str">
        <f>IFERROR(IF(INDEX('PROJETO PERFURAÇÃO'!$P:$P,MATCH(MEDIÇÃO!D578,'PROJETO PERFURAÇÃO'!$B:$B,0))="Production","P",IF(INDEX('PROJETO PERFURAÇÃO'!$P:$P,MATCH(MEDIÇÃO!D578,'PROJETO PERFURAÇÃO'!$B:$B,0))="Buffer","B",IF(INDEX('PROJETO PERFURAÇÃO'!$P:$P,MATCH(MEDIÇÃO!D578,'PROJETO PERFURAÇÃO'!$B:$B,0))="Pre-Splitting","S"))),"")</f>
        <v/>
      </c>
      <c r="D578" s="14">
        <f t="shared" si="54"/>
        <v>1258</v>
      </c>
      <c r="E578" s="4" t="str">
        <f>IFERROR(INDEX('LEV R&amp;D'!$D:$D,MATCH(MEDIÇÃO!D578,'LEV R&amp;D'!$A:$A,0))-INDEX('PROJETO PERFURAÇÃO'!$AH:$AH,MATCH(MEDIÇÃO!D578,'PROJETO PERFURAÇÃO'!$B:$B,0)),"")</f>
        <v/>
      </c>
      <c r="F578" s="8" t="str">
        <f>IFERROR(INDEX('PROJETO PERFURAÇÃO'!$AN:$AN,MATCH(MEDIÇÃO!D578,'PROJETO PERFURAÇÃO'!$B:$B,0)),"")</f>
        <v/>
      </c>
      <c r="G578" s="3"/>
      <c r="H578" s="3"/>
      <c r="I578" s="3" t="str">
        <f>IFERROR(ROUND(INDEX('PROJETO PERFURAÇÃO'!$AB:$AB,MATCH(MEDIÇÃO!K578,'PROJETO PERFURAÇÃO'!$B:$B,0)),1)&amp;"''","")</f>
        <v/>
      </c>
      <c r="J578" s="3" t="str">
        <f>IFERROR(IF(INDEX('PROJETO PERFURAÇÃO'!$P:$P,MATCH(MEDIÇÃO!K578,'PROJETO PERFURAÇÃO'!$B:$B,0))="Production","P",IF(INDEX('PROJETO PERFURAÇÃO'!$P:$P,MATCH(MEDIÇÃO!K578,'PROJETO PERFURAÇÃO'!$B:$B,0))="Buffer","B",IF(INDEX('PROJETO PERFURAÇÃO'!$P:$P,MATCH(MEDIÇÃO!K578,'PROJETO PERFURAÇÃO'!$B:$B,0))="Pre-Splitting","S"))),"")</f>
        <v/>
      </c>
      <c r="K578" s="14">
        <f t="shared" si="55"/>
        <v>1281</v>
      </c>
      <c r="L578" s="4" t="str">
        <f>IFERROR(INDEX('LEV R&amp;D'!$D:$D,MATCH(MEDIÇÃO!K578,'LEV R&amp;D'!$A:$A,0))-INDEX('PROJETO PERFURAÇÃO'!$AH:$AH,MATCH(MEDIÇÃO!K578,'PROJETO PERFURAÇÃO'!$B:$B,0)),"")</f>
        <v/>
      </c>
      <c r="M578" s="8" t="str">
        <f>IFERROR(INDEX('PROJETO PERFURAÇÃO'!$AN:$AN,MATCH(MEDIÇÃO!K578,'PROJETO PERFURAÇÃO'!$B:$B,0)),"")</f>
        <v/>
      </c>
      <c r="N578" s="3"/>
      <c r="O578" s="3"/>
      <c r="P578" s="3" t="str">
        <f>IFERROR(ROUND(INDEX('PROJETO PERFURAÇÃO'!$AB:$AB,MATCH(MEDIÇÃO!R578,'PROJETO PERFURAÇÃO'!$B:$B,0)),1)&amp;"''","")</f>
        <v/>
      </c>
      <c r="Q578" s="3" t="str">
        <f>IFERROR(IF(INDEX('PROJETO PERFURAÇÃO'!$P:$P,MATCH(MEDIÇÃO!R578,'PROJETO PERFURAÇÃO'!$B:$B,0))="Production","P",IF(INDEX('PROJETO PERFURAÇÃO'!$P:$P,MATCH(MEDIÇÃO!R578,'PROJETO PERFURAÇÃO'!$B:$B,0))="Buffer","B",IF(INDEX('PROJETO PERFURAÇÃO'!$P:$P,MATCH(MEDIÇÃO!R578,'PROJETO PERFURAÇÃO'!$B:$B,0))="Pre-Splitting","S"))),"")</f>
        <v/>
      </c>
      <c r="R578" s="14">
        <f t="shared" si="56"/>
        <v>1304</v>
      </c>
      <c r="S578" s="4" t="str">
        <f>IFERROR(INDEX('LEV R&amp;D'!$D:$D,MATCH(MEDIÇÃO!R578,'LEV R&amp;D'!$A:$A,0))-INDEX('PROJETO PERFURAÇÃO'!$AH:$AH,MATCH(MEDIÇÃO!R578,'PROJETO PERFURAÇÃO'!$B:$B,0)),"")</f>
        <v/>
      </c>
      <c r="T578" s="8" t="str">
        <f>IFERROR(INDEX('PROJETO PERFURAÇÃO'!$AN:$AN,MATCH(MEDIÇÃO!R578,'PROJETO PERFURAÇÃO'!$B:$B,0)),"")</f>
        <v/>
      </c>
      <c r="U578" s="3"/>
      <c r="V578" s="3"/>
    </row>
    <row r="579" spans="2:22" ht="45" customHeight="1">
      <c r="B579" s="3" t="str">
        <f>IFERROR(ROUND(INDEX('PROJETO PERFURAÇÃO'!$AB:$AB,MATCH(MEDIÇÃO!D579,'PROJETO PERFURAÇÃO'!$B:$B,0)),1)&amp;"''","")</f>
        <v/>
      </c>
      <c r="C579" s="3" t="str">
        <f>IFERROR(IF(INDEX('PROJETO PERFURAÇÃO'!$P:$P,MATCH(MEDIÇÃO!D579,'PROJETO PERFURAÇÃO'!$B:$B,0))="Production","P",IF(INDEX('PROJETO PERFURAÇÃO'!$P:$P,MATCH(MEDIÇÃO!D579,'PROJETO PERFURAÇÃO'!$B:$B,0))="Buffer","B",IF(INDEX('PROJETO PERFURAÇÃO'!$P:$P,MATCH(MEDIÇÃO!D579,'PROJETO PERFURAÇÃO'!$B:$B,0))="Pre-Splitting","S"))),"")</f>
        <v/>
      </c>
      <c r="D579" s="14">
        <f t="shared" si="54"/>
        <v>1259</v>
      </c>
      <c r="E579" s="4" t="str">
        <f>IFERROR(INDEX('LEV R&amp;D'!$D:$D,MATCH(MEDIÇÃO!D579,'LEV R&amp;D'!$A:$A,0))-INDEX('PROJETO PERFURAÇÃO'!$AH:$AH,MATCH(MEDIÇÃO!D579,'PROJETO PERFURAÇÃO'!$B:$B,0)),"")</f>
        <v/>
      </c>
      <c r="F579" s="8" t="str">
        <f>IFERROR(INDEX('PROJETO PERFURAÇÃO'!$AN:$AN,MATCH(MEDIÇÃO!D579,'PROJETO PERFURAÇÃO'!$B:$B,0)),"")</f>
        <v/>
      </c>
      <c r="G579" s="3"/>
      <c r="H579" s="3"/>
      <c r="I579" s="3" t="str">
        <f>IFERROR(ROUND(INDEX('PROJETO PERFURAÇÃO'!$AB:$AB,MATCH(MEDIÇÃO!K579,'PROJETO PERFURAÇÃO'!$B:$B,0)),1)&amp;"''","")</f>
        <v/>
      </c>
      <c r="J579" s="3" t="str">
        <f>IFERROR(IF(INDEX('PROJETO PERFURAÇÃO'!$P:$P,MATCH(MEDIÇÃO!K579,'PROJETO PERFURAÇÃO'!$B:$B,0))="Production","P",IF(INDEX('PROJETO PERFURAÇÃO'!$P:$P,MATCH(MEDIÇÃO!K579,'PROJETO PERFURAÇÃO'!$B:$B,0))="Buffer","B",IF(INDEX('PROJETO PERFURAÇÃO'!$P:$P,MATCH(MEDIÇÃO!K579,'PROJETO PERFURAÇÃO'!$B:$B,0))="Pre-Splitting","S"))),"")</f>
        <v/>
      </c>
      <c r="K579" s="14">
        <f t="shared" si="55"/>
        <v>1282</v>
      </c>
      <c r="L579" s="4" t="str">
        <f>IFERROR(INDEX('LEV R&amp;D'!$D:$D,MATCH(MEDIÇÃO!K579,'LEV R&amp;D'!$A:$A,0))-INDEX('PROJETO PERFURAÇÃO'!$AH:$AH,MATCH(MEDIÇÃO!K579,'PROJETO PERFURAÇÃO'!$B:$B,0)),"")</f>
        <v/>
      </c>
      <c r="M579" s="8" t="str">
        <f>IFERROR(INDEX('PROJETO PERFURAÇÃO'!$AN:$AN,MATCH(MEDIÇÃO!K579,'PROJETO PERFURAÇÃO'!$B:$B,0)),"")</f>
        <v/>
      </c>
      <c r="N579" s="3"/>
      <c r="O579" s="3"/>
      <c r="P579" s="3" t="str">
        <f>IFERROR(ROUND(INDEX('PROJETO PERFURAÇÃO'!$AB:$AB,MATCH(MEDIÇÃO!R579,'PROJETO PERFURAÇÃO'!$B:$B,0)),1)&amp;"''","")</f>
        <v/>
      </c>
      <c r="Q579" s="3" t="str">
        <f>IFERROR(IF(INDEX('PROJETO PERFURAÇÃO'!$P:$P,MATCH(MEDIÇÃO!R579,'PROJETO PERFURAÇÃO'!$B:$B,0))="Production","P",IF(INDEX('PROJETO PERFURAÇÃO'!$P:$P,MATCH(MEDIÇÃO!R579,'PROJETO PERFURAÇÃO'!$B:$B,0))="Buffer","B",IF(INDEX('PROJETO PERFURAÇÃO'!$P:$P,MATCH(MEDIÇÃO!R579,'PROJETO PERFURAÇÃO'!$B:$B,0))="Pre-Splitting","S"))),"")</f>
        <v/>
      </c>
      <c r="R579" s="14">
        <f t="shared" si="56"/>
        <v>1305</v>
      </c>
      <c r="S579" s="4" t="str">
        <f>IFERROR(INDEX('LEV R&amp;D'!$D:$D,MATCH(MEDIÇÃO!R579,'LEV R&amp;D'!$A:$A,0))-INDEX('PROJETO PERFURAÇÃO'!$AH:$AH,MATCH(MEDIÇÃO!R579,'PROJETO PERFURAÇÃO'!$B:$B,0)),"")</f>
        <v/>
      </c>
      <c r="T579" s="8" t="str">
        <f>IFERROR(INDEX('PROJETO PERFURAÇÃO'!$AN:$AN,MATCH(MEDIÇÃO!R579,'PROJETO PERFURAÇÃO'!$B:$B,0)),"")</f>
        <v/>
      </c>
      <c r="U579" s="3"/>
      <c r="V579" s="3"/>
    </row>
    <row r="580" spans="2:22" ht="45" customHeight="1">
      <c r="B580" s="3" t="str">
        <f>IFERROR(ROUND(INDEX('PROJETO PERFURAÇÃO'!$AB:$AB,MATCH(MEDIÇÃO!D580,'PROJETO PERFURAÇÃO'!$B:$B,0)),1)&amp;"''","")</f>
        <v/>
      </c>
      <c r="C580" s="3" t="str">
        <f>IFERROR(IF(INDEX('PROJETO PERFURAÇÃO'!$P:$P,MATCH(MEDIÇÃO!D580,'PROJETO PERFURAÇÃO'!$B:$B,0))="Production","P",IF(INDEX('PROJETO PERFURAÇÃO'!$P:$P,MATCH(MEDIÇÃO!D580,'PROJETO PERFURAÇÃO'!$B:$B,0))="Buffer","B",IF(INDEX('PROJETO PERFURAÇÃO'!$P:$P,MATCH(MEDIÇÃO!D580,'PROJETO PERFURAÇÃO'!$B:$B,0))="Pre-Splitting","S"))),"")</f>
        <v/>
      </c>
      <c r="D580" s="14">
        <f t="shared" si="54"/>
        <v>1260</v>
      </c>
      <c r="E580" s="4" t="str">
        <f>IFERROR(INDEX('LEV R&amp;D'!$D:$D,MATCH(MEDIÇÃO!D580,'LEV R&amp;D'!$A:$A,0))-INDEX('PROJETO PERFURAÇÃO'!$AH:$AH,MATCH(MEDIÇÃO!D580,'PROJETO PERFURAÇÃO'!$B:$B,0)),"")</f>
        <v/>
      </c>
      <c r="F580" s="8" t="str">
        <f>IFERROR(INDEX('PROJETO PERFURAÇÃO'!$AN:$AN,MATCH(MEDIÇÃO!D580,'PROJETO PERFURAÇÃO'!$B:$B,0)),"")</f>
        <v/>
      </c>
      <c r="G580" s="3"/>
      <c r="H580" s="3"/>
      <c r="I580" s="3" t="str">
        <f>IFERROR(ROUND(INDEX('PROJETO PERFURAÇÃO'!$AB:$AB,MATCH(MEDIÇÃO!K580,'PROJETO PERFURAÇÃO'!$B:$B,0)),1)&amp;"''","")</f>
        <v/>
      </c>
      <c r="J580" s="3" t="str">
        <f>IFERROR(IF(INDEX('PROJETO PERFURAÇÃO'!$P:$P,MATCH(MEDIÇÃO!K580,'PROJETO PERFURAÇÃO'!$B:$B,0))="Production","P",IF(INDEX('PROJETO PERFURAÇÃO'!$P:$P,MATCH(MEDIÇÃO!K580,'PROJETO PERFURAÇÃO'!$B:$B,0))="Buffer","B",IF(INDEX('PROJETO PERFURAÇÃO'!$P:$P,MATCH(MEDIÇÃO!K580,'PROJETO PERFURAÇÃO'!$B:$B,0))="Pre-Splitting","S"))),"")</f>
        <v/>
      </c>
      <c r="K580" s="14">
        <f t="shared" si="55"/>
        <v>1283</v>
      </c>
      <c r="L580" s="4" t="str">
        <f>IFERROR(INDEX('LEV R&amp;D'!$D:$D,MATCH(MEDIÇÃO!K580,'LEV R&amp;D'!$A:$A,0))-INDEX('PROJETO PERFURAÇÃO'!$AH:$AH,MATCH(MEDIÇÃO!K580,'PROJETO PERFURAÇÃO'!$B:$B,0)),"")</f>
        <v/>
      </c>
      <c r="M580" s="8" t="str">
        <f>IFERROR(INDEX('PROJETO PERFURAÇÃO'!$AN:$AN,MATCH(MEDIÇÃO!K580,'PROJETO PERFURAÇÃO'!$B:$B,0)),"")</f>
        <v/>
      </c>
      <c r="N580" s="3"/>
      <c r="O580" s="3"/>
      <c r="P580" s="3" t="str">
        <f>IFERROR(ROUND(INDEX('PROJETO PERFURAÇÃO'!$AB:$AB,MATCH(MEDIÇÃO!R580,'PROJETO PERFURAÇÃO'!$B:$B,0)),1)&amp;"''","")</f>
        <v/>
      </c>
      <c r="Q580" s="3" t="str">
        <f>IFERROR(IF(INDEX('PROJETO PERFURAÇÃO'!$P:$P,MATCH(MEDIÇÃO!R580,'PROJETO PERFURAÇÃO'!$B:$B,0))="Production","P",IF(INDEX('PROJETO PERFURAÇÃO'!$P:$P,MATCH(MEDIÇÃO!R580,'PROJETO PERFURAÇÃO'!$B:$B,0))="Buffer","B",IF(INDEX('PROJETO PERFURAÇÃO'!$P:$P,MATCH(MEDIÇÃO!R580,'PROJETO PERFURAÇÃO'!$B:$B,0))="Pre-Splitting","S"))),"")</f>
        <v/>
      </c>
      <c r="R580" s="14">
        <f t="shared" si="56"/>
        <v>1306</v>
      </c>
      <c r="S580" s="4" t="str">
        <f>IFERROR(INDEX('LEV R&amp;D'!$D:$D,MATCH(MEDIÇÃO!R580,'LEV R&amp;D'!$A:$A,0))-INDEX('PROJETO PERFURAÇÃO'!$AH:$AH,MATCH(MEDIÇÃO!R580,'PROJETO PERFURAÇÃO'!$B:$B,0)),"")</f>
        <v/>
      </c>
      <c r="T580" s="8" t="str">
        <f>IFERROR(INDEX('PROJETO PERFURAÇÃO'!$AN:$AN,MATCH(MEDIÇÃO!R580,'PROJETO PERFURAÇÃO'!$B:$B,0)),"")</f>
        <v/>
      </c>
      <c r="U580" s="3"/>
      <c r="V580" s="3"/>
    </row>
    <row r="581" spans="2:22" ht="45" customHeight="1">
      <c r="B581" s="3" t="str">
        <f>IFERROR(ROUND(INDEX('PROJETO PERFURAÇÃO'!$AB:$AB,MATCH(MEDIÇÃO!D581,'PROJETO PERFURAÇÃO'!$B:$B,0)),1)&amp;"''","")</f>
        <v/>
      </c>
      <c r="C581" s="3" t="str">
        <f>IFERROR(IF(INDEX('PROJETO PERFURAÇÃO'!$P:$P,MATCH(MEDIÇÃO!D581,'PROJETO PERFURAÇÃO'!$B:$B,0))="Production","P",IF(INDEX('PROJETO PERFURAÇÃO'!$P:$P,MATCH(MEDIÇÃO!D581,'PROJETO PERFURAÇÃO'!$B:$B,0))="Buffer","B",IF(INDEX('PROJETO PERFURAÇÃO'!$P:$P,MATCH(MEDIÇÃO!D581,'PROJETO PERFURAÇÃO'!$B:$B,0))="Pre-Splitting","S"))),"")</f>
        <v/>
      </c>
      <c r="D581" s="14">
        <f t="shared" si="54"/>
        <v>1261</v>
      </c>
      <c r="E581" s="4" t="str">
        <f>IFERROR(INDEX('LEV R&amp;D'!$D:$D,MATCH(MEDIÇÃO!D581,'LEV R&amp;D'!$A:$A,0))-INDEX('PROJETO PERFURAÇÃO'!$AH:$AH,MATCH(MEDIÇÃO!D581,'PROJETO PERFURAÇÃO'!$B:$B,0)),"")</f>
        <v/>
      </c>
      <c r="F581" s="8" t="str">
        <f>IFERROR(INDEX('PROJETO PERFURAÇÃO'!$AN:$AN,MATCH(MEDIÇÃO!D581,'PROJETO PERFURAÇÃO'!$B:$B,0)),"")</f>
        <v/>
      </c>
      <c r="G581" s="3"/>
      <c r="H581" s="3"/>
      <c r="I581" s="3" t="str">
        <f>IFERROR(ROUND(INDEX('PROJETO PERFURAÇÃO'!$AB:$AB,MATCH(MEDIÇÃO!K581,'PROJETO PERFURAÇÃO'!$B:$B,0)),1)&amp;"''","")</f>
        <v/>
      </c>
      <c r="J581" s="3" t="str">
        <f>IFERROR(IF(INDEX('PROJETO PERFURAÇÃO'!$P:$P,MATCH(MEDIÇÃO!K581,'PROJETO PERFURAÇÃO'!$B:$B,0))="Production","P",IF(INDEX('PROJETO PERFURAÇÃO'!$P:$P,MATCH(MEDIÇÃO!K581,'PROJETO PERFURAÇÃO'!$B:$B,0))="Buffer","B",IF(INDEX('PROJETO PERFURAÇÃO'!$P:$P,MATCH(MEDIÇÃO!K581,'PROJETO PERFURAÇÃO'!$B:$B,0))="Pre-Splitting","S"))),"")</f>
        <v/>
      </c>
      <c r="K581" s="14">
        <f t="shared" si="55"/>
        <v>1284</v>
      </c>
      <c r="L581" s="4" t="str">
        <f>IFERROR(INDEX('LEV R&amp;D'!$D:$D,MATCH(MEDIÇÃO!K581,'LEV R&amp;D'!$A:$A,0))-INDEX('PROJETO PERFURAÇÃO'!$AH:$AH,MATCH(MEDIÇÃO!K581,'PROJETO PERFURAÇÃO'!$B:$B,0)),"")</f>
        <v/>
      </c>
      <c r="M581" s="8" t="str">
        <f>IFERROR(INDEX('PROJETO PERFURAÇÃO'!$AN:$AN,MATCH(MEDIÇÃO!K581,'PROJETO PERFURAÇÃO'!$B:$B,0)),"")</f>
        <v/>
      </c>
      <c r="N581" s="3"/>
      <c r="O581" s="3"/>
      <c r="P581" s="3" t="str">
        <f>IFERROR(ROUND(INDEX('PROJETO PERFURAÇÃO'!$AB:$AB,MATCH(MEDIÇÃO!R581,'PROJETO PERFURAÇÃO'!$B:$B,0)),1)&amp;"''","")</f>
        <v/>
      </c>
      <c r="Q581" s="3" t="str">
        <f>IFERROR(IF(INDEX('PROJETO PERFURAÇÃO'!$P:$P,MATCH(MEDIÇÃO!R581,'PROJETO PERFURAÇÃO'!$B:$B,0))="Production","P",IF(INDEX('PROJETO PERFURAÇÃO'!$P:$P,MATCH(MEDIÇÃO!R581,'PROJETO PERFURAÇÃO'!$B:$B,0))="Buffer","B",IF(INDEX('PROJETO PERFURAÇÃO'!$P:$P,MATCH(MEDIÇÃO!R581,'PROJETO PERFURAÇÃO'!$B:$B,0))="Pre-Splitting","S"))),"")</f>
        <v/>
      </c>
      <c r="R581" s="14">
        <f t="shared" si="56"/>
        <v>1307</v>
      </c>
      <c r="S581" s="4" t="str">
        <f>IFERROR(INDEX('LEV R&amp;D'!$D:$D,MATCH(MEDIÇÃO!R581,'LEV R&amp;D'!$A:$A,0))-INDEX('PROJETO PERFURAÇÃO'!$AH:$AH,MATCH(MEDIÇÃO!R581,'PROJETO PERFURAÇÃO'!$B:$B,0)),"")</f>
        <v/>
      </c>
      <c r="T581" s="8" t="str">
        <f>IFERROR(INDEX('PROJETO PERFURAÇÃO'!$AN:$AN,MATCH(MEDIÇÃO!R581,'PROJETO PERFURAÇÃO'!$B:$B,0)),"")</f>
        <v/>
      </c>
      <c r="U581" s="3"/>
      <c r="V581" s="3"/>
    </row>
    <row r="582" spans="2:22" ht="45" customHeight="1">
      <c r="B582" s="3" t="str">
        <f>IFERROR(ROUND(INDEX('PROJETO PERFURAÇÃO'!$AB:$AB,MATCH(MEDIÇÃO!D582,'PROJETO PERFURAÇÃO'!$B:$B,0)),1)&amp;"''","")</f>
        <v/>
      </c>
      <c r="C582" s="3" t="str">
        <f>IFERROR(IF(INDEX('PROJETO PERFURAÇÃO'!$P:$P,MATCH(MEDIÇÃO!D582,'PROJETO PERFURAÇÃO'!$B:$B,0))="Production","P",IF(INDEX('PROJETO PERFURAÇÃO'!$P:$P,MATCH(MEDIÇÃO!D582,'PROJETO PERFURAÇÃO'!$B:$B,0))="Buffer","B",IF(INDEX('PROJETO PERFURAÇÃO'!$P:$P,MATCH(MEDIÇÃO!D582,'PROJETO PERFURAÇÃO'!$B:$B,0))="Pre-Splitting","S"))),"")</f>
        <v/>
      </c>
      <c r="D582" s="14">
        <f t="shared" si="54"/>
        <v>1262</v>
      </c>
      <c r="E582" s="4" t="str">
        <f>IFERROR(INDEX('LEV R&amp;D'!$D:$D,MATCH(MEDIÇÃO!D582,'LEV R&amp;D'!$A:$A,0))-INDEX('PROJETO PERFURAÇÃO'!$AH:$AH,MATCH(MEDIÇÃO!D582,'PROJETO PERFURAÇÃO'!$B:$B,0)),"")</f>
        <v/>
      </c>
      <c r="F582" s="8" t="str">
        <f>IFERROR(INDEX('PROJETO PERFURAÇÃO'!$AN:$AN,MATCH(MEDIÇÃO!D582,'PROJETO PERFURAÇÃO'!$B:$B,0)),"")</f>
        <v/>
      </c>
      <c r="G582" s="3"/>
      <c r="H582" s="3"/>
      <c r="I582" s="3" t="str">
        <f>IFERROR(ROUND(INDEX('PROJETO PERFURAÇÃO'!$AB:$AB,MATCH(MEDIÇÃO!K582,'PROJETO PERFURAÇÃO'!$B:$B,0)),1)&amp;"''","")</f>
        <v/>
      </c>
      <c r="J582" s="3" t="str">
        <f>IFERROR(IF(INDEX('PROJETO PERFURAÇÃO'!$P:$P,MATCH(MEDIÇÃO!K582,'PROJETO PERFURAÇÃO'!$B:$B,0))="Production","P",IF(INDEX('PROJETO PERFURAÇÃO'!$P:$P,MATCH(MEDIÇÃO!K582,'PROJETO PERFURAÇÃO'!$B:$B,0))="Buffer","B",IF(INDEX('PROJETO PERFURAÇÃO'!$P:$P,MATCH(MEDIÇÃO!K582,'PROJETO PERFURAÇÃO'!$B:$B,0))="Pre-Splitting","S"))),"")</f>
        <v/>
      </c>
      <c r="K582" s="14">
        <f t="shared" si="55"/>
        <v>1285</v>
      </c>
      <c r="L582" s="4" t="str">
        <f>IFERROR(INDEX('LEV R&amp;D'!$D:$D,MATCH(MEDIÇÃO!K582,'LEV R&amp;D'!$A:$A,0))-INDEX('PROJETO PERFURAÇÃO'!$AH:$AH,MATCH(MEDIÇÃO!K582,'PROJETO PERFURAÇÃO'!$B:$B,0)),"")</f>
        <v/>
      </c>
      <c r="M582" s="8" t="str">
        <f>IFERROR(INDEX('PROJETO PERFURAÇÃO'!$AN:$AN,MATCH(MEDIÇÃO!K582,'PROJETO PERFURAÇÃO'!$B:$B,0)),"")</f>
        <v/>
      </c>
      <c r="N582" s="3"/>
      <c r="O582" s="3"/>
      <c r="P582" s="3" t="str">
        <f>IFERROR(ROUND(INDEX('PROJETO PERFURAÇÃO'!$AB:$AB,MATCH(MEDIÇÃO!R582,'PROJETO PERFURAÇÃO'!$B:$B,0)),1)&amp;"''","")</f>
        <v/>
      </c>
      <c r="Q582" s="3" t="str">
        <f>IFERROR(IF(INDEX('PROJETO PERFURAÇÃO'!$P:$P,MATCH(MEDIÇÃO!R582,'PROJETO PERFURAÇÃO'!$B:$B,0))="Production","P",IF(INDEX('PROJETO PERFURAÇÃO'!$P:$P,MATCH(MEDIÇÃO!R582,'PROJETO PERFURAÇÃO'!$B:$B,0))="Buffer","B",IF(INDEX('PROJETO PERFURAÇÃO'!$P:$P,MATCH(MEDIÇÃO!R582,'PROJETO PERFURAÇÃO'!$B:$B,0))="Pre-Splitting","S"))),"")</f>
        <v/>
      </c>
      <c r="R582" s="14">
        <f t="shared" si="56"/>
        <v>1308</v>
      </c>
      <c r="S582" s="4" t="str">
        <f>IFERROR(INDEX('LEV R&amp;D'!$D:$D,MATCH(MEDIÇÃO!R582,'LEV R&amp;D'!$A:$A,0))-INDEX('PROJETO PERFURAÇÃO'!$AH:$AH,MATCH(MEDIÇÃO!R582,'PROJETO PERFURAÇÃO'!$B:$B,0)),"")</f>
        <v/>
      </c>
      <c r="T582" s="8" t="str">
        <f>IFERROR(INDEX('PROJETO PERFURAÇÃO'!$AN:$AN,MATCH(MEDIÇÃO!R582,'PROJETO PERFURAÇÃO'!$B:$B,0)),"")</f>
        <v/>
      </c>
      <c r="U582" s="3"/>
      <c r="V582" s="3"/>
    </row>
    <row r="583" spans="2:22" ht="45" customHeight="1">
      <c r="B583" s="3" t="str">
        <f>IFERROR(ROUND(INDEX('PROJETO PERFURAÇÃO'!$AB:$AB,MATCH(MEDIÇÃO!D583,'PROJETO PERFURAÇÃO'!$B:$B,0)),1)&amp;"''","")</f>
        <v/>
      </c>
      <c r="C583" s="3" t="str">
        <f>IFERROR(IF(INDEX('PROJETO PERFURAÇÃO'!$P:$P,MATCH(MEDIÇÃO!D583,'PROJETO PERFURAÇÃO'!$B:$B,0))="Production","P",IF(INDEX('PROJETO PERFURAÇÃO'!$P:$P,MATCH(MEDIÇÃO!D583,'PROJETO PERFURAÇÃO'!$B:$B,0))="Buffer","B",IF(INDEX('PROJETO PERFURAÇÃO'!$P:$P,MATCH(MEDIÇÃO!D583,'PROJETO PERFURAÇÃO'!$B:$B,0))="Pre-Splitting","S"))),"")</f>
        <v/>
      </c>
      <c r="D583" s="14">
        <f t="shared" si="54"/>
        <v>1263</v>
      </c>
      <c r="E583" s="4" t="str">
        <f>IFERROR(INDEX('LEV R&amp;D'!$D:$D,MATCH(MEDIÇÃO!D583,'LEV R&amp;D'!$A:$A,0))-INDEX('PROJETO PERFURAÇÃO'!$AH:$AH,MATCH(MEDIÇÃO!D583,'PROJETO PERFURAÇÃO'!$B:$B,0)),"")</f>
        <v/>
      </c>
      <c r="F583" s="8" t="str">
        <f>IFERROR(INDEX('PROJETO PERFURAÇÃO'!$AN:$AN,MATCH(MEDIÇÃO!D583,'PROJETO PERFURAÇÃO'!$B:$B,0)),"")</f>
        <v/>
      </c>
      <c r="G583" s="3"/>
      <c r="H583" s="3"/>
      <c r="I583" s="3" t="str">
        <f>IFERROR(ROUND(INDEX('PROJETO PERFURAÇÃO'!$AB:$AB,MATCH(MEDIÇÃO!K583,'PROJETO PERFURAÇÃO'!$B:$B,0)),1)&amp;"''","")</f>
        <v/>
      </c>
      <c r="J583" s="3" t="str">
        <f>IFERROR(IF(INDEX('PROJETO PERFURAÇÃO'!$P:$P,MATCH(MEDIÇÃO!K583,'PROJETO PERFURAÇÃO'!$B:$B,0))="Production","P",IF(INDEX('PROJETO PERFURAÇÃO'!$P:$P,MATCH(MEDIÇÃO!K583,'PROJETO PERFURAÇÃO'!$B:$B,0))="Buffer","B",IF(INDEX('PROJETO PERFURAÇÃO'!$P:$P,MATCH(MEDIÇÃO!K583,'PROJETO PERFURAÇÃO'!$B:$B,0))="Pre-Splitting","S"))),"")</f>
        <v/>
      </c>
      <c r="K583" s="14">
        <f t="shared" si="55"/>
        <v>1286</v>
      </c>
      <c r="L583" s="4" t="str">
        <f>IFERROR(INDEX('LEV R&amp;D'!$D:$D,MATCH(MEDIÇÃO!K583,'LEV R&amp;D'!$A:$A,0))-INDEX('PROJETO PERFURAÇÃO'!$AH:$AH,MATCH(MEDIÇÃO!K583,'PROJETO PERFURAÇÃO'!$B:$B,0)),"")</f>
        <v/>
      </c>
      <c r="M583" s="8" t="str">
        <f>IFERROR(INDEX('PROJETO PERFURAÇÃO'!$AN:$AN,MATCH(MEDIÇÃO!K583,'PROJETO PERFURAÇÃO'!$B:$B,0)),"")</f>
        <v/>
      </c>
      <c r="N583" s="3"/>
      <c r="O583" s="3"/>
      <c r="P583" s="3" t="str">
        <f>IFERROR(ROUND(INDEX('PROJETO PERFURAÇÃO'!$AB:$AB,MATCH(MEDIÇÃO!R583,'PROJETO PERFURAÇÃO'!$B:$B,0)),1)&amp;"''","")</f>
        <v/>
      </c>
      <c r="Q583" s="3" t="str">
        <f>IFERROR(IF(INDEX('PROJETO PERFURAÇÃO'!$P:$P,MATCH(MEDIÇÃO!R583,'PROJETO PERFURAÇÃO'!$B:$B,0))="Production","P",IF(INDEX('PROJETO PERFURAÇÃO'!$P:$P,MATCH(MEDIÇÃO!R583,'PROJETO PERFURAÇÃO'!$B:$B,0))="Buffer","B",IF(INDEX('PROJETO PERFURAÇÃO'!$P:$P,MATCH(MEDIÇÃO!R583,'PROJETO PERFURAÇÃO'!$B:$B,0))="Pre-Splitting","S"))),"")</f>
        <v/>
      </c>
      <c r="R583" s="14">
        <f t="shared" si="56"/>
        <v>1309</v>
      </c>
      <c r="S583" s="4" t="str">
        <f>IFERROR(INDEX('LEV R&amp;D'!$D:$D,MATCH(MEDIÇÃO!R583,'LEV R&amp;D'!$A:$A,0))-INDEX('PROJETO PERFURAÇÃO'!$AH:$AH,MATCH(MEDIÇÃO!R583,'PROJETO PERFURAÇÃO'!$B:$B,0)),"")</f>
        <v/>
      </c>
      <c r="T583" s="8" t="str">
        <f>IFERROR(INDEX('PROJETO PERFURAÇÃO'!$AN:$AN,MATCH(MEDIÇÃO!R583,'PROJETO PERFURAÇÃO'!$B:$B,0)),"")</f>
        <v/>
      </c>
      <c r="U583" s="3"/>
      <c r="V583" s="3"/>
    </row>
    <row r="584" spans="2:22" ht="45" customHeight="1">
      <c r="B584" s="3" t="str">
        <f>IFERROR(ROUND(INDEX('PROJETO PERFURAÇÃO'!$AB:$AB,MATCH(MEDIÇÃO!D584,'PROJETO PERFURAÇÃO'!$B:$B,0)),1)&amp;"''","")</f>
        <v/>
      </c>
      <c r="C584" s="3" t="str">
        <f>IFERROR(IF(INDEX('PROJETO PERFURAÇÃO'!$P:$P,MATCH(MEDIÇÃO!D584,'PROJETO PERFURAÇÃO'!$B:$B,0))="Production","P",IF(INDEX('PROJETO PERFURAÇÃO'!$P:$P,MATCH(MEDIÇÃO!D584,'PROJETO PERFURAÇÃO'!$B:$B,0))="Buffer","B",IF(INDEX('PROJETO PERFURAÇÃO'!$P:$P,MATCH(MEDIÇÃO!D584,'PROJETO PERFURAÇÃO'!$B:$B,0))="Pre-Splitting","S"))),"")</f>
        <v/>
      </c>
      <c r="D584" s="14">
        <f t="shared" si="54"/>
        <v>1264</v>
      </c>
      <c r="E584" s="4" t="str">
        <f>IFERROR(INDEX('LEV R&amp;D'!$D:$D,MATCH(MEDIÇÃO!D584,'LEV R&amp;D'!$A:$A,0))-INDEX('PROJETO PERFURAÇÃO'!$AH:$AH,MATCH(MEDIÇÃO!D584,'PROJETO PERFURAÇÃO'!$B:$B,0)),"")</f>
        <v/>
      </c>
      <c r="F584" s="8" t="str">
        <f>IFERROR(INDEX('PROJETO PERFURAÇÃO'!$AN:$AN,MATCH(MEDIÇÃO!D584,'PROJETO PERFURAÇÃO'!$B:$B,0)),"")</f>
        <v/>
      </c>
      <c r="G584" s="3"/>
      <c r="H584" s="3"/>
      <c r="I584" s="3" t="str">
        <f>IFERROR(ROUND(INDEX('PROJETO PERFURAÇÃO'!$AB:$AB,MATCH(MEDIÇÃO!K584,'PROJETO PERFURAÇÃO'!$B:$B,0)),1)&amp;"''","")</f>
        <v/>
      </c>
      <c r="J584" s="3" t="str">
        <f>IFERROR(IF(INDEX('PROJETO PERFURAÇÃO'!$P:$P,MATCH(MEDIÇÃO!K584,'PROJETO PERFURAÇÃO'!$B:$B,0))="Production","P",IF(INDEX('PROJETO PERFURAÇÃO'!$P:$P,MATCH(MEDIÇÃO!K584,'PROJETO PERFURAÇÃO'!$B:$B,0))="Buffer","B",IF(INDEX('PROJETO PERFURAÇÃO'!$P:$P,MATCH(MEDIÇÃO!K584,'PROJETO PERFURAÇÃO'!$B:$B,0))="Pre-Splitting","S"))),"")</f>
        <v/>
      </c>
      <c r="K584" s="14">
        <f t="shared" si="55"/>
        <v>1287</v>
      </c>
      <c r="L584" s="4" t="str">
        <f>IFERROR(INDEX('LEV R&amp;D'!$D:$D,MATCH(MEDIÇÃO!K584,'LEV R&amp;D'!$A:$A,0))-INDEX('PROJETO PERFURAÇÃO'!$AH:$AH,MATCH(MEDIÇÃO!K584,'PROJETO PERFURAÇÃO'!$B:$B,0)),"")</f>
        <v/>
      </c>
      <c r="M584" s="8" t="str">
        <f>IFERROR(INDEX('PROJETO PERFURAÇÃO'!$AN:$AN,MATCH(MEDIÇÃO!K584,'PROJETO PERFURAÇÃO'!$B:$B,0)),"")</f>
        <v/>
      </c>
      <c r="N584" s="3"/>
      <c r="O584" s="3"/>
      <c r="P584" s="3" t="str">
        <f>IFERROR(ROUND(INDEX('PROJETO PERFURAÇÃO'!$AB:$AB,MATCH(MEDIÇÃO!R584,'PROJETO PERFURAÇÃO'!$B:$B,0)),1)&amp;"''","")</f>
        <v/>
      </c>
      <c r="Q584" s="3" t="str">
        <f>IFERROR(IF(INDEX('PROJETO PERFURAÇÃO'!$P:$P,MATCH(MEDIÇÃO!R584,'PROJETO PERFURAÇÃO'!$B:$B,0))="Production","P",IF(INDEX('PROJETO PERFURAÇÃO'!$P:$P,MATCH(MEDIÇÃO!R584,'PROJETO PERFURAÇÃO'!$B:$B,0))="Buffer","B",IF(INDEX('PROJETO PERFURAÇÃO'!$P:$P,MATCH(MEDIÇÃO!R584,'PROJETO PERFURAÇÃO'!$B:$B,0))="Pre-Splitting","S"))),"")</f>
        <v/>
      </c>
      <c r="R584" s="14">
        <f t="shared" si="56"/>
        <v>1310</v>
      </c>
      <c r="S584" s="4" t="str">
        <f>IFERROR(INDEX('LEV R&amp;D'!$D:$D,MATCH(MEDIÇÃO!R584,'LEV R&amp;D'!$A:$A,0))-INDEX('PROJETO PERFURAÇÃO'!$AH:$AH,MATCH(MEDIÇÃO!R584,'PROJETO PERFURAÇÃO'!$B:$B,0)),"")</f>
        <v/>
      </c>
      <c r="T584" s="8" t="str">
        <f>IFERROR(INDEX('PROJETO PERFURAÇÃO'!$AN:$AN,MATCH(MEDIÇÃO!R584,'PROJETO PERFURAÇÃO'!$B:$B,0)),"")</f>
        <v/>
      </c>
      <c r="U584" s="3"/>
      <c r="V584" s="3"/>
    </row>
    <row r="585" spans="2:22" ht="45" customHeight="1">
      <c r="B585" s="3" t="str">
        <f>IFERROR(ROUND(INDEX('PROJETO PERFURAÇÃO'!$AB:$AB,MATCH(MEDIÇÃO!D585,'PROJETO PERFURAÇÃO'!$B:$B,0)),1)&amp;"''","")</f>
        <v/>
      </c>
      <c r="C585" s="3" t="str">
        <f>IFERROR(IF(INDEX('PROJETO PERFURAÇÃO'!$P:$P,MATCH(MEDIÇÃO!D585,'PROJETO PERFURAÇÃO'!$B:$B,0))="Production","P",IF(INDEX('PROJETO PERFURAÇÃO'!$P:$P,MATCH(MEDIÇÃO!D585,'PROJETO PERFURAÇÃO'!$B:$B,0))="Buffer","B",IF(INDEX('PROJETO PERFURAÇÃO'!$P:$P,MATCH(MEDIÇÃO!D585,'PROJETO PERFURAÇÃO'!$B:$B,0))="Pre-Splitting","S"))),"")</f>
        <v/>
      </c>
      <c r="D585" s="14">
        <f t="shared" si="54"/>
        <v>1265</v>
      </c>
      <c r="E585" s="4" t="str">
        <f>IFERROR(INDEX('LEV R&amp;D'!$D:$D,MATCH(MEDIÇÃO!D585,'LEV R&amp;D'!$A:$A,0))-INDEX('PROJETO PERFURAÇÃO'!$AH:$AH,MATCH(MEDIÇÃO!D585,'PROJETO PERFURAÇÃO'!$B:$B,0)),"")</f>
        <v/>
      </c>
      <c r="F585" s="8" t="str">
        <f>IFERROR(INDEX('PROJETO PERFURAÇÃO'!$AN:$AN,MATCH(MEDIÇÃO!D585,'PROJETO PERFURAÇÃO'!$B:$B,0)),"")</f>
        <v/>
      </c>
      <c r="G585" s="3"/>
      <c r="H585" s="3"/>
      <c r="I585" s="3" t="str">
        <f>IFERROR(ROUND(INDEX('PROJETO PERFURAÇÃO'!$AB:$AB,MATCH(MEDIÇÃO!K585,'PROJETO PERFURAÇÃO'!$B:$B,0)),1)&amp;"''","")</f>
        <v/>
      </c>
      <c r="J585" s="3" t="str">
        <f>IFERROR(IF(INDEX('PROJETO PERFURAÇÃO'!$P:$P,MATCH(MEDIÇÃO!K585,'PROJETO PERFURAÇÃO'!$B:$B,0))="Production","P",IF(INDEX('PROJETO PERFURAÇÃO'!$P:$P,MATCH(MEDIÇÃO!K585,'PROJETO PERFURAÇÃO'!$B:$B,0))="Buffer","B",IF(INDEX('PROJETO PERFURAÇÃO'!$P:$P,MATCH(MEDIÇÃO!K585,'PROJETO PERFURAÇÃO'!$B:$B,0))="Pre-Splitting","S"))),"")</f>
        <v/>
      </c>
      <c r="K585" s="14">
        <f>K584+1</f>
        <v>1288</v>
      </c>
      <c r="L585" s="4" t="str">
        <f>IFERROR(INDEX('LEV R&amp;D'!$D:$D,MATCH(MEDIÇÃO!K585,'LEV R&amp;D'!$A:$A,0))-INDEX('PROJETO PERFURAÇÃO'!$AH:$AH,MATCH(MEDIÇÃO!K585,'PROJETO PERFURAÇÃO'!$B:$B,0)),"")</f>
        <v/>
      </c>
      <c r="M585" s="8" t="str">
        <f>IFERROR(INDEX('PROJETO PERFURAÇÃO'!$AN:$AN,MATCH(MEDIÇÃO!K585,'PROJETO PERFURAÇÃO'!$B:$B,0)),"")</f>
        <v/>
      </c>
      <c r="N585" s="3"/>
      <c r="O585" s="3"/>
      <c r="P585" s="3" t="str">
        <f>IFERROR(ROUND(INDEX('PROJETO PERFURAÇÃO'!$AB:$AB,MATCH(MEDIÇÃO!R585,'PROJETO PERFURAÇÃO'!$B:$B,0)),1)&amp;"''","")</f>
        <v/>
      </c>
      <c r="Q585" s="3" t="str">
        <f>IFERROR(IF(INDEX('PROJETO PERFURAÇÃO'!$P:$P,MATCH(MEDIÇÃO!R585,'PROJETO PERFURAÇÃO'!$B:$B,0))="Production","P",IF(INDEX('PROJETO PERFURAÇÃO'!$P:$P,MATCH(MEDIÇÃO!R585,'PROJETO PERFURAÇÃO'!$B:$B,0))="Buffer","B",IF(INDEX('PROJETO PERFURAÇÃO'!$P:$P,MATCH(MEDIÇÃO!R585,'PROJETO PERFURAÇÃO'!$B:$B,0))="Pre-Splitting","S"))),"")</f>
        <v/>
      </c>
      <c r="R585" s="14">
        <f>R584+1</f>
        <v>1311</v>
      </c>
      <c r="S585" s="4" t="str">
        <f>IFERROR(INDEX('LEV R&amp;D'!$D:$D,MATCH(MEDIÇÃO!R585,'LEV R&amp;D'!$A:$A,0))-INDEX('PROJETO PERFURAÇÃO'!$AH:$AH,MATCH(MEDIÇÃO!R585,'PROJETO PERFURAÇÃO'!$B:$B,0)),"")</f>
        <v/>
      </c>
      <c r="T585" s="8" t="str">
        <f>IFERROR(INDEX('PROJETO PERFURAÇÃO'!$AN:$AN,MATCH(MEDIÇÃO!R585,'PROJETO PERFURAÇÃO'!$B:$B,0)),"")</f>
        <v/>
      </c>
      <c r="U585" s="3"/>
      <c r="V585" s="3"/>
    </row>
    <row r="586" spans="2:22" ht="30" customHeight="1">
      <c r="B586" s="1"/>
      <c r="C586" s="1"/>
      <c r="D586" s="15"/>
      <c r="E586" s="2"/>
      <c r="F586" s="16"/>
      <c r="G586" s="1"/>
      <c r="H586" s="1"/>
      <c r="I586" s="1"/>
      <c r="J586" s="1"/>
      <c r="K586" s="15"/>
      <c r="L586" s="2"/>
      <c r="M586" s="16"/>
      <c r="N586" s="1"/>
      <c r="O586" s="1"/>
      <c r="P586" s="1"/>
      <c r="Q586" s="1"/>
      <c r="R586" s="15"/>
      <c r="S586" s="2"/>
      <c r="T586" s="16"/>
      <c r="U586" s="1"/>
      <c r="V586" s="1"/>
    </row>
    <row r="587" spans="2:22" ht="30" customHeight="1">
      <c r="C587" s="20"/>
      <c r="D587" s="20"/>
      <c r="E587" s="20"/>
      <c r="F587" s="20"/>
      <c r="G587" s="20"/>
      <c r="H587" s="20"/>
      <c r="I587" s="20"/>
      <c r="J587" s="20"/>
      <c r="K587" s="20"/>
      <c r="M587" s="20"/>
      <c r="N587" s="20"/>
      <c r="O587" s="20"/>
      <c r="P587" s="20"/>
      <c r="Q587" s="20"/>
      <c r="R587" s="20"/>
      <c r="S587" s="20"/>
      <c r="T587" s="20"/>
      <c r="U587" s="20"/>
    </row>
    <row r="588" spans="2:22" ht="30" customHeight="1">
      <c r="C588" s="21" t="s">
        <v>40</v>
      </c>
      <c r="D588" s="21"/>
      <c r="E588" s="21"/>
      <c r="F588" s="21"/>
      <c r="G588" s="21"/>
      <c r="H588" s="21"/>
      <c r="I588" s="21"/>
      <c r="J588" s="21"/>
      <c r="K588" s="21"/>
      <c r="L588" s="9"/>
      <c r="M588" s="21" t="s">
        <v>40</v>
      </c>
      <c r="N588" s="21"/>
      <c r="O588" s="21"/>
      <c r="P588" s="21"/>
      <c r="Q588" s="21"/>
      <c r="R588" s="21"/>
      <c r="S588" s="21"/>
      <c r="T588" s="21"/>
      <c r="U588" s="21"/>
      <c r="V588" s="9"/>
    </row>
    <row r="589" spans="2:22" ht="30" customHeight="1">
      <c r="D589" s="9"/>
      <c r="E589" s="9"/>
      <c r="F589" s="9"/>
      <c r="G589" s="9"/>
      <c r="H589" s="9"/>
      <c r="I589" s="9"/>
      <c r="J589" s="9"/>
      <c r="K589" s="9"/>
      <c r="L589" s="9"/>
      <c r="M589" s="9"/>
      <c r="N589" s="9"/>
      <c r="Q589" s="9"/>
      <c r="R589" s="9"/>
      <c r="S589" s="9"/>
      <c r="T589" s="9"/>
      <c r="U589" s="9"/>
      <c r="V589" s="9"/>
    </row>
    <row r="590" spans="2:22" ht="30" customHeight="1">
      <c r="B590" s="19" t="str">
        <f>'PROJETO PERFURAÇÃO'!$C$2&amp;" - "&amp;'PROJETO PERFURAÇÃO'!$H$2</f>
        <v>LIB037 - PP0370626</v>
      </c>
      <c r="C590" s="19"/>
      <c r="D590" s="19"/>
      <c r="E590" s="19"/>
      <c r="F590" s="19"/>
      <c r="G590" s="19"/>
      <c r="H590" s="19"/>
      <c r="I590" s="11" t="s">
        <v>34</v>
      </c>
      <c r="J590" s="10" t="s">
        <v>37</v>
      </c>
    </row>
    <row r="591" spans="2:22" ht="30" customHeight="1">
      <c r="B591" s="19"/>
      <c r="C591" s="19"/>
      <c r="D591" s="19"/>
      <c r="E591" s="19"/>
      <c r="F591" s="19"/>
      <c r="G591" s="19"/>
      <c r="H591" s="19"/>
      <c r="I591" s="12" t="s">
        <v>35</v>
      </c>
      <c r="J591" s="10" t="s">
        <v>38</v>
      </c>
      <c r="K591" s="9"/>
      <c r="L591" s="9"/>
      <c r="M591" s="9"/>
      <c r="N591" s="9"/>
      <c r="O591" s="9"/>
      <c r="P591" s="9"/>
      <c r="Q591" s="9"/>
      <c r="R591" s="9"/>
      <c r="S591" s="9"/>
      <c r="T591" s="9"/>
      <c r="U591" s="9"/>
      <c r="V591" s="9"/>
    </row>
    <row r="592" spans="2:22" ht="30" customHeight="1">
      <c r="B592" s="19"/>
      <c r="C592" s="19"/>
      <c r="D592" s="19"/>
      <c r="E592" s="19"/>
      <c r="F592" s="19"/>
      <c r="G592" s="19"/>
      <c r="H592" s="19"/>
      <c r="I592" s="13" t="s">
        <v>36</v>
      </c>
      <c r="J592" s="10" t="s">
        <v>39</v>
      </c>
    </row>
    <row r="593" spans="1:23" ht="30" customHeight="1">
      <c r="A593" s="1"/>
      <c r="B593" s="6" t="s">
        <v>33</v>
      </c>
      <c r="C593" s="6" t="s">
        <v>13</v>
      </c>
      <c r="D593" s="7" t="s">
        <v>1</v>
      </c>
      <c r="E593" s="7" t="s">
        <v>29</v>
      </c>
      <c r="F593" s="7" t="s">
        <v>30</v>
      </c>
      <c r="G593" s="7" t="s">
        <v>31</v>
      </c>
      <c r="H593" s="7" t="s">
        <v>32</v>
      </c>
      <c r="I593" s="6" t="s">
        <v>33</v>
      </c>
      <c r="J593" s="6" t="s">
        <v>13</v>
      </c>
      <c r="K593" s="7" t="s">
        <v>1</v>
      </c>
      <c r="L593" s="7" t="s">
        <v>29</v>
      </c>
      <c r="M593" s="7" t="s">
        <v>30</v>
      </c>
      <c r="N593" s="7" t="s">
        <v>31</v>
      </c>
      <c r="O593" s="7" t="s">
        <v>32</v>
      </c>
      <c r="P593" s="6" t="s">
        <v>33</v>
      </c>
      <c r="Q593" s="6" t="s">
        <v>13</v>
      </c>
      <c r="R593" s="7" t="s">
        <v>1</v>
      </c>
      <c r="S593" s="7" t="s">
        <v>29</v>
      </c>
      <c r="T593" s="7" t="s">
        <v>30</v>
      </c>
      <c r="U593" s="7" t="s">
        <v>31</v>
      </c>
      <c r="V593" s="7" t="s">
        <v>32</v>
      </c>
      <c r="W593" s="1"/>
    </row>
    <row r="594" spans="1:23" ht="45" customHeight="1">
      <c r="B594" s="3" t="str">
        <f>IFERROR(ROUND(INDEX('PROJETO PERFURAÇÃO'!$AB:$AB,MATCH(MEDIÇÃO!D594,'PROJETO PERFURAÇÃO'!$B:$B,0)),1)&amp;"''","")</f>
        <v/>
      </c>
      <c r="C594" s="3" t="str">
        <f>IFERROR(IF(INDEX('PROJETO PERFURAÇÃO'!$P:$P,MATCH(MEDIÇÃO!D594,'PROJETO PERFURAÇÃO'!$B:$B,0))="Production","P",IF(INDEX('PROJETO PERFURAÇÃO'!$P:$P,MATCH(MEDIÇÃO!D594,'PROJETO PERFURAÇÃO'!$B:$B,0))="Buffer","B",IF(INDEX('PROJETO PERFURAÇÃO'!$P:$P,MATCH(MEDIÇÃO!D594,'PROJETO PERFURAÇÃO'!$B:$B,0))="Pre-Splitting","S"))),"")</f>
        <v/>
      </c>
      <c r="D594" s="14">
        <f>R585+1</f>
        <v>1312</v>
      </c>
      <c r="E594" s="4" t="str">
        <f>IFERROR(INDEX('LEV R&amp;D'!$D:$D,MATCH(MEDIÇÃO!D594,'LEV R&amp;D'!$A:$A,0))-INDEX('PROJETO PERFURAÇÃO'!$AH:$AH,MATCH(MEDIÇÃO!D594,'PROJETO PERFURAÇÃO'!$B:$B,0)),"")</f>
        <v/>
      </c>
      <c r="F594" s="8" t="str">
        <f>IFERROR(INDEX('PROJETO PERFURAÇÃO'!$AN:$AN,MATCH(MEDIÇÃO!D594,'PROJETO PERFURAÇÃO'!$B:$B,0)),"")</f>
        <v/>
      </c>
      <c r="G594" s="3"/>
      <c r="H594" s="3"/>
      <c r="I594" s="3" t="str">
        <f>IFERROR(ROUND(INDEX('PROJETO PERFURAÇÃO'!$AB:$AB,MATCH(MEDIÇÃO!K594,'PROJETO PERFURAÇÃO'!$B:$B,0)),1)&amp;"''","")</f>
        <v/>
      </c>
      <c r="J594" s="3" t="str">
        <f>IFERROR(IF(INDEX('PROJETO PERFURAÇÃO'!$P:$P,MATCH(MEDIÇÃO!K594,'PROJETO PERFURAÇÃO'!$B:$B,0))="Production","P",IF(INDEX('PROJETO PERFURAÇÃO'!$P:$P,MATCH(MEDIÇÃO!K594,'PROJETO PERFURAÇÃO'!$B:$B,0))="Buffer","B",IF(INDEX('PROJETO PERFURAÇÃO'!$P:$P,MATCH(MEDIÇÃO!K594,'PROJETO PERFURAÇÃO'!$B:$B,0))="Pre-Splitting","S"))),"")</f>
        <v/>
      </c>
      <c r="K594" s="14">
        <f>D616+1</f>
        <v>1335</v>
      </c>
      <c r="L594" s="4" t="str">
        <f>IFERROR(INDEX('LEV R&amp;D'!$D:$D,MATCH(MEDIÇÃO!K594,'LEV R&amp;D'!$A:$A,0))-INDEX('PROJETO PERFURAÇÃO'!$AH:$AH,MATCH(MEDIÇÃO!K594,'PROJETO PERFURAÇÃO'!$B:$B,0)),"")</f>
        <v/>
      </c>
      <c r="M594" s="8" t="str">
        <f>IFERROR(INDEX('PROJETO PERFURAÇÃO'!$AN:$AN,MATCH(MEDIÇÃO!K594,'PROJETO PERFURAÇÃO'!$B:$B,0)),"")</f>
        <v/>
      </c>
      <c r="N594" s="3"/>
      <c r="O594" s="3"/>
      <c r="P594" s="3" t="str">
        <f>IFERROR(ROUND(INDEX('PROJETO PERFURAÇÃO'!$AB:$AB,MATCH(MEDIÇÃO!R594,'PROJETO PERFURAÇÃO'!$B:$B,0)),1)&amp;"''","")</f>
        <v/>
      </c>
      <c r="Q594" s="3" t="str">
        <f>IFERROR(IF(INDEX('PROJETO PERFURAÇÃO'!$P:$P,MATCH(MEDIÇÃO!R594,'PROJETO PERFURAÇÃO'!$B:$B,0))="Production","P",IF(INDEX('PROJETO PERFURAÇÃO'!$P:$P,MATCH(MEDIÇÃO!R594,'PROJETO PERFURAÇÃO'!$B:$B,0))="Buffer","B",IF(INDEX('PROJETO PERFURAÇÃO'!$P:$P,MATCH(MEDIÇÃO!R594,'PROJETO PERFURAÇÃO'!$B:$B,0))="Pre-Splitting","S"))),"")</f>
        <v/>
      </c>
      <c r="R594" s="14">
        <f>K616+1</f>
        <v>1358</v>
      </c>
      <c r="S594" s="4" t="str">
        <f>IFERROR(INDEX('LEV R&amp;D'!$D:$D,MATCH(MEDIÇÃO!R594,'LEV R&amp;D'!$A:$A,0))-INDEX('PROJETO PERFURAÇÃO'!$AH:$AH,MATCH(MEDIÇÃO!R594,'PROJETO PERFURAÇÃO'!$B:$B,0)),"")</f>
        <v/>
      </c>
      <c r="T594" s="8" t="str">
        <f>IFERROR(INDEX('PROJETO PERFURAÇÃO'!$AN:$AN,MATCH(MEDIÇÃO!R594,'PROJETO PERFURAÇÃO'!$B:$B,0)),"")</f>
        <v/>
      </c>
      <c r="U594" s="3"/>
      <c r="V594" s="3"/>
    </row>
    <row r="595" spans="1:23" ht="45" customHeight="1">
      <c r="B595" s="3" t="str">
        <f>IFERROR(ROUND(INDEX('PROJETO PERFURAÇÃO'!$AB:$AB,MATCH(MEDIÇÃO!D595,'PROJETO PERFURAÇÃO'!$B:$B,0)),1)&amp;"''","")</f>
        <v/>
      </c>
      <c r="C595" s="3" t="str">
        <f>IFERROR(IF(INDEX('PROJETO PERFURAÇÃO'!$P:$P,MATCH(MEDIÇÃO!D595,'PROJETO PERFURAÇÃO'!$B:$B,0))="Production","P",IF(INDEX('PROJETO PERFURAÇÃO'!$P:$P,MATCH(MEDIÇÃO!D595,'PROJETO PERFURAÇÃO'!$B:$B,0))="Buffer","B",IF(INDEX('PROJETO PERFURAÇÃO'!$P:$P,MATCH(MEDIÇÃO!D595,'PROJETO PERFURAÇÃO'!$B:$B,0))="Pre-Splitting","S"))),"")</f>
        <v/>
      </c>
      <c r="D595" s="14">
        <f>D594+1</f>
        <v>1313</v>
      </c>
      <c r="E595" s="4" t="str">
        <f>IFERROR(INDEX('LEV R&amp;D'!$D:$D,MATCH(MEDIÇÃO!D595,'LEV R&amp;D'!$A:$A,0))-INDEX('PROJETO PERFURAÇÃO'!$AH:$AH,MATCH(MEDIÇÃO!D595,'PROJETO PERFURAÇÃO'!$B:$B,0)),"")</f>
        <v/>
      </c>
      <c r="F595" s="8" t="str">
        <f>IFERROR(INDEX('PROJETO PERFURAÇÃO'!$AN:$AN,MATCH(MEDIÇÃO!D595,'PROJETO PERFURAÇÃO'!$B:$B,0)),"")</f>
        <v/>
      </c>
      <c r="G595" s="3"/>
      <c r="H595" s="3"/>
      <c r="I595" s="3" t="str">
        <f>IFERROR(ROUND(INDEX('PROJETO PERFURAÇÃO'!$AB:$AB,MATCH(MEDIÇÃO!K595,'PROJETO PERFURAÇÃO'!$B:$B,0)),1)&amp;"''","")</f>
        <v/>
      </c>
      <c r="J595" s="3" t="str">
        <f>IFERROR(IF(INDEX('PROJETO PERFURAÇÃO'!$P:$P,MATCH(MEDIÇÃO!K595,'PROJETO PERFURAÇÃO'!$B:$B,0))="Production","P",IF(INDEX('PROJETO PERFURAÇÃO'!$P:$P,MATCH(MEDIÇÃO!K595,'PROJETO PERFURAÇÃO'!$B:$B,0))="Buffer","B",IF(INDEX('PROJETO PERFURAÇÃO'!$P:$P,MATCH(MEDIÇÃO!K595,'PROJETO PERFURAÇÃO'!$B:$B,0))="Pre-Splitting","S"))),"")</f>
        <v/>
      </c>
      <c r="K595" s="14">
        <f>K594+1</f>
        <v>1336</v>
      </c>
      <c r="L595" s="4" t="str">
        <f>IFERROR(INDEX('LEV R&amp;D'!$D:$D,MATCH(MEDIÇÃO!K595,'LEV R&amp;D'!$A:$A,0))-INDEX('PROJETO PERFURAÇÃO'!$AH:$AH,MATCH(MEDIÇÃO!K595,'PROJETO PERFURAÇÃO'!$B:$B,0)),"")</f>
        <v/>
      </c>
      <c r="M595" s="8" t="str">
        <f>IFERROR(INDEX('PROJETO PERFURAÇÃO'!$AN:$AN,MATCH(MEDIÇÃO!K595,'PROJETO PERFURAÇÃO'!$B:$B,0)),"")</f>
        <v/>
      </c>
      <c r="N595" s="3"/>
      <c r="O595" s="3"/>
      <c r="P595" s="3" t="str">
        <f>IFERROR(ROUND(INDEX('PROJETO PERFURAÇÃO'!$AB:$AB,MATCH(MEDIÇÃO!R595,'PROJETO PERFURAÇÃO'!$B:$B,0)),1)&amp;"''","")</f>
        <v/>
      </c>
      <c r="Q595" s="3" t="str">
        <f>IFERROR(IF(INDEX('PROJETO PERFURAÇÃO'!$P:$P,MATCH(MEDIÇÃO!R595,'PROJETO PERFURAÇÃO'!$B:$B,0))="Production","P",IF(INDEX('PROJETO PERFURAÇÃO'!$P:$P,MATCH(MEDIÇÃO!R595,'PROJETO PERFURAÇÃO'!$B:$B,0))="Buffer","B",IF(INDEX('PROJETO PERFURAÇÃO'!$P:$P,MATCH(MEDIÇÃO!R595,'PROJETO PERFURAÇÃO'!$B:$B,0))="Pre-Splitting","S"))),"")</f>
        <v/>
      </c>
      <c r="R595" s="14">
        <f>R594+1</f>
        <v>1359</v>
      </c>
      <c r="S595" s="4" t="str">
        <f>IFERROR(INDEX('LEV R&amp;D'!$D:$D,MATCH(MEDIÇÃO!R595,'LEV R&amp;D'!$A:$A,0))-INDEX('PROJETO PERFURAÇÃO'!$AH:$AH,MATCH(MEDIÇÃO!R595,'PROJETO PERFURAÇÃO'!$B:$B,0)),"")</f>
        <v/>
      </c>
      <c r="T595" s="8" t="str">
        <f>IFERROR(INDEX('PROJETO PERFURAÇÃO'!$AN:$AN,MATCH(MEDIÇÃO!R595,'PROJETO PERFURAÇÃO'!$B:$B,0)),"")</f>
        <v/>
      </c>
      <c r="U595" s="3"/>
      <c r="V595" s="3"/>
    </row>
    <row r="596" spans="1:23" ht="45" customHeight="1">
      <c r="B596" s="3" t="str">
        <f>IFERROR(ROUND(INDEX('PROJETO PERFURAÇÃO'!$AB:$AB,MATCH(MEDIÇÃO!D596,'PROJETO PERFURAÇÃO'!$B:$B,0)),1)&amp;"''","")</f>
        <v/>
      </c>
      <c r="C596" s="3" t="str">
        <f>IFERROR(IF(INDEX('PROJETO PERFURAÇÃO'!$P:$P,MATCH(MEDIÇÃO!D596,'PROJETO PERFURAÇÃO'!$B:$B,0))="Production","P",IF(INDEX('PROJETO PERFURAÇÃO'!$P:$P,MATCH(MEDIÇÃO!D596,'PROJETO PERFURAÇÃO'!$B:$B,0))="Buffer","B",IF(INDEX('PROJETO PERFURAÇÃO'!$P:$P,MATCH(MEDIÇÃO!D596,'PROJETO PERFURAÇÃO'!$B:$B,0))="Pre-Splitting","S"))),"")</f>
        <v/>
      </c>
      <c r="D596" s="14">
        <f t="shared" ref="D596:D616" si="57">D595+1</f>
        <v>1314</v>
      </c>
      <c r="E596" s="4" t="str">
        <f>IFERROR(INDEX('LEV R&amp;D'!$D:$D,MATCH(MEDIÇÃO!D596,'LEV R&amp;D'!$A:$A,0))-INDEX('PROJETO PERFURAÇÃO'!$AH:$AH,MATCH(MEDIÇÃO!D596,'PROJETO PERFURAÇÃO'!$B:$B,0)),"")</f>
        <v/>
      </c>
      <c r="F596" s="8" t="str">
        <f>IFERROR(INDEX('PROJETO PERFURAÇÃO'!$AN:$AN,MATCH(MEDIÇÃO!D596,'PROJETO PERFURAÇÃO'!$B:$B,0)),"")</f>
        <v/>
      </c>
      <c r="G596" s="3"/>
      <c r="H596" s="3"/>
      <c r="I596" s="3" t="str">
        <f>IFERROR(ROUND(INDEX('PROJETO PERFURAÇÃO'!$AB:$AB,MATCH(MEDIÇÃO!K596,'PROJETO PERFURAÇÃO'!$B:$B,0)),1)&amp;"''","")</f>
        <v/>
      </c>
      <c r="J596" s="3" t="str">
        <f>IFERROR(IF(INDEX('PROJETO PERFURAÇÃO'!$P:$P,MATCH(MEDIÇÃO!K596,'PROJETO PERFURAÇÃO'!$B:$B,0))="Production","P",IF(INDEX('PROJETO PERFURAÇÃO'!$P:$P,MATCH(MEDIÇÃO!K596,'PROJETO PERFURAÇÃO'!$B:$B,0))="Buffer","B",IF(INDEX('PROJETO PERFURAÇÃO'!$P:$P,MATCH(MEDIÇÃO!K596,'PROJETO PERFURAÇÃO'!$B:$B,0))="Pre-Splitting","S"))),"")</f>
        <v/>
      </c>
      <c r="K596" s="14">
        <f t="shared" ref="K596:K615" si="58">K595+1</f>
        <v>1337</v>
      </c>
      <c r="L596" s="4" t="str">
        <f>IFERROR(INDEX('LEV R&amp;D'!$D:$D,MATCH(MEDIÇÃO!K596,'LEV R&amp;D'!$A:$A,0))-INDEX('PROJETO PERFURAÇÃO'!$AH:$AH,MATCH(MEDIÇÃO!K596,'PROJETO PERFURAÇÃO'!$B:$B,0)),"")</f>
        <v/>
      </c>
      <c r="M596" s="8" t="str">
        <f>IFERROR(INDEX('PROJETO PERFURAÇÃO'!$AN:$AN,MATCH(MEDIÇÃO!K596,'PROJETO PERFURAÇÃO'!$B:$B,0)),"")</f>
        <v/>
      </c>
      <c r="N596" s="3"/>
      <c r="O596" s="3"/>
      <c r="P596" s="3" t="str">
        <f>IFERROR(ROUND(INDEX('PROJETO PERFURAÇÃO'!$AB:$AB,MATCH(MEDIÇÃO!R596,'PROJETO PERFURAÇÃO'!$B:$B,0)),1)&amp;"''","")</f>
        <v/>
      </c>
      <c r="Q596" s="3" t="str">
        <f>IFERROR(IF(INDEX('PROJETO PERFURAÇÃO'!$P:$P,MATCH(MEDIÇÃO!R596,'PROJETO PERFURAÇÃO'!$B:$B,0))="Production","P",IF(INDEX('PROJETO PERFURAÇÃO'!$P:$P,MATCH(MEDIÇÃO!R596,'PROJETO PERFURAÇÃO'!$B:$B,0))="Buffer","B",IF(INDEX('PROJETO PERFURAÇÃO'!$P:$P,MATCH(MEDIÇÃO!R596,'PROJETO PERFURAÇÃO'!$B:$B,0))="Pre-Splitting","S"))),"")</f>
        <v/>
      </c>
      <c r="R596" s="14">
        <f t="shared" ref="R596:R615" si="59">R595+1</f>
        <v>1360</v>
      </c>
      <c r="S596" s="4" t="str">
        <f>IFERROR(INDEX('LEV R&amp;D'!$D:$D,MATCH(MEDIÇÃO!R596,'LEV R&amp;D'!$A:$A,0))-INDEX('PROJETO PERFURAÇÃO'!$AH:$AH,MATCH(MEDIÇÃO!R596,'PROJETO PERFURAÇÃO'!$B:$B,0)),"")</f>
        <v/>
      </c>
      <c r="T596" s="8" t="str">
        <f>IFERROR(INDEX('PROJETO PERFURAÇÃO'!$AN:$AN,MATCH(MEDIÇÃO!R596,'PROJETO PERFURAÇÃO'!$B:$B,0)),"")</f>
        <v/>
      </c>
      <c r="U596" s="3"/>
      <c r="V596" s="3"/>
    </row>
    <row r="597" spans="1:23" ht="45" customHeight="1">
      <c r="B597" s="3" t="str">
        <f>IFERROR(ROUND(INDEX('PROJETO PERFURAÇÃO'!$AB:$AB,MATCH(MEDIÇÃO!D597,'PROJETO PERFURAÇÃO'!$B:$B,0)),1)&amp;"''","")</f>
        <v/>
      </c>
      <c r="C597" s="3" t="str">
        <f>IFERROR(IF(INDEX('PROJETO PERFURAÇÃO'!$P:$P,MATCH(MEDIÇÃO!D597,'PROJETO PERFURAÇÃO'!$B:$B,0))="Production","P",IF(INDEX('PROJETO PERFURAÇÃO'!$P:$P,MATCH(MEDIÇÃO!D597,'PROJETO PERFURAÇÃO'!$B:$B,0))="Buffer","B",IF(INDEX('PROJETO PERFURAÇÃO'!$P:$P,MATCH(MEDIÇÃO!D597,'PROJETO PERFURAÇÃO'!$B:$B,0))="Pre-Splitting","S"))),"")</f>
        <v/>
      </c>
      <c r="D597" s="14">
        <f t="shared" si="57"/>
        <v>1315</v>
      </c>
      <c r="E597" s="4" t="str">
        <f>IFERROR(INDEX('LEV R&amp;D'!$D:$D,MATCH(MEDIÇÃO!D597,'LEV R&amp;D'!$A:$A,0))-INDEX('PROJETO PERFURAÇÃO'!$AH:$AH,MATCH(MEDIÇÃO!D597,'PROJETO PERFURAÇÃO'!$B:$B,0)),"")</f>
        <v/>
      </c>
      <c r="F597" s="8" t="str">
        <f>IFERROR(INDEX('PROJETO PERFURAÇÃO'!$AN:$AN,MATCH(MEDIÇÃO!D597,'PROJETO PERFURAÇÃO'!$B:$B,0)),"")</f>
        <v/>
      </c>
      <c r="G597" s="3"/>
      <c r="H597" s="3"/>
      <c r="I597" s="3" t="str">
        <f>IFERROR(ROUND(INDEX('PROJETO PERFURAÇÃO'!$AB:$AB,MATCH(MEDIÇÃO!K597,'PROJETO PERFURAÇÃO'!$B:$B,0)),1)&amp;"''","")</f>
        <v/>
      </c>
      <c r="J597" s="3" t="str">
        <f>IFERROR(IF(INDEX('PROJETO PERFURAÇÃO'!$P:$P,MATCH(MEDIÇÃO!K597,'PROJETO PERFURAÇÃO'!$B:$B,0))="Production","P",IF(INDEX('PROJETO PERFURAÇÃO'!$P:$P,MATCH(MEDIÇÃO!K597,'PROJETO PERFURAÇÃO'!$B:$B,0))="Buffer","B",IF(INDEX('PROJETO PERFURAÇÃO'!$P:$P,MATCH(MEDIÇÃO!K597,'PROJETO PERFURAÇÃO'!$B:$B,0))="Pre-Splitting","S"))),"")</f>
        <v/>
      </c>
      <c r="K597" s="14">
        <f t="shared" si="58"/>
        <v>1338</v>
      </c>
      <c r="L597" s="4" t="str">
        <f>IFERROR(INDEX('LEV R&amp;D'!$D:$D,MATCH(MEDIÇÃO!K597,'LEV R&amp;D'!$A:$A,0))-INDEX('PROJETO PERFURAÇÃO'!$AH:$AH,MATCH(MEDIÇÃO!K597,'PROJETO PERFURAÇÃO'!$B:$B,0)),"")</f>
        <v/>
      </c>
      <c r="M597" s="8" t="str">
        <f>IFERROR(INDEX('PROJETO PERFURAÇÃO'!$AN:$AN,MATCH(MEDIÇÃO!K597,'PROJETO PERFURAÇÃO'!$B:$B,0)),"")</f>
        <v/>
      </c>
      <c r="N597" s="3"/>
      <c r="O597" s="3"/>
      <c r="P597" s="3" t="str">
        <f>IFERROR(ROUND(INDEX('PROJETO PERFURAÇÃO'!$AB:$AB,MATCH(MEDIÇÃO!R597,'PROJETO PERFURAÇÃO'!$B:$B,0)),1)&amp;"''","")</f>
        <v/>
      </c>
      <c r="Q597" s="3" t="str">
        <f>IFERROR(IF(INDEX('PROJETO PERFURAÇÃO'!$P:$P,MATCH(MEDIÇÃO!R597,'PROJETO PERFURAÇÃO'!$B:$B,0))="Production","P",IF(INDEX('PROJETO PERFURAÇÃO'!$P:$P,MATCH(MEDIÇÃO!R597,'PROJETO PERFURAÇÃO'!$B:$B,0))="Buffer","B",IF(INDEX('PROJETO PERFURAÇÃO'!$P:$P,MATCH(MEDIÇÃO!R597,'PROJETO PERFURAÇÃO'!$B:$B,0))="Pre-Splitting","S"))),"")</f>
        <v/>
      </c>
      <c r="R597" s="14">
        <f t="shared" si="59"/>
        <v>1361</v>
      </c>
      <c r="S597" s="4" t="str">
        <f>IFERROR(INDEX('LEV R&amp;D'!$D:$D,MATCH(MEDIÇÃO!R597,'LEV R&amp;D'!$A:$A,0))-INDEX('PROJETO PERFURAÇÃO'!$AH:$AH,MATCH(MEDIÇÃO!R597,'PROJETO PERFURAÇÃO'!$B:$B,0)),"")</f>
        <v/>
      </c>
      <c r="T597" s="8" t="str">
        <f>IFERROR(INDEX('PROJETO PERFURAÇÃO'!$AN:$AN,MATCH(MEDIÇÃO!R597,'PROJETO PERFURAÇÃO'!$B:$B,0)),"")</f>
        <v/>
      </c>
      <c r="U597" s="3"/>
      <c r="V597" s="3"/>
    </row>
    <row r="598" spans="1:23" ht="45" customHeight="1">
      <c r="B598" s="3" t="str">
        <f>IFERROR(ROUND(INDEX('PROJETO PERFURAÇÃO'!$AB:$AB,MATCH(MEDIÇÃO!D598,'PROJETO PERFURAÇÃO'!$B:$B,0)),1)&amp;"''","")</f>
        <v/>
      </c>
      <c r="C598" s="3" t="str">
        <f>IFERROR(IF(INDEX('PROJETO PERFURAÇÃO'!$P:$P,MATCH(MEDIÇÃO!D598,'PROJETO PERFURAÇÃO'!$B:$B,0))="Production","P",IF(INDEX('PROJETO PERFURAÇÃO'!$P:$P,MATCH(MEDIÇÃO!D598,'PROJETO PERFURAÇÃO'!$B:$B,0))="Buffer","B",IF(INDEX('PROJETO PERFURAÇÃO'!$P:$P,MATCH(MEDIÇÃO!D598,'PROJETO PERFURAÇÃO'!$B:$B,0))="Pre-Splitting","S"))),"")</f>
        <v/>
      </c>
      <c r="D598" s="14">
        <f t="shared" si="57"/>
        <v>1316</v>
      </c>
      <c r="E598" s="4" t="str">
        <f>IFERROR(INDEX('LEV R&amp;D'!$D:$D,MATCH(MEDIÇÃO!D598,'LEV R&amp;D'!$A:$A,0))-INDEX('PROJETO PERFURAÇÃO'!$AH:$AH,MATCH(MEDIÇÃO!D598,'PROJETO PERFURAÇÃO'!$B:$B,0)),"")</f>
        <v/>
      </c>
      <c r="F598" s="8" t="str">
        <f>IFERROR(INDEX('PROJETO PERFURAÇÃO'!$AN:$AN,MATCH(MEDIÇÃO!D598,'PROJETO PERFURAÇÃO'!$B:$B,0)),"")</f>
        <v/>
      </c>
      <c r="G598" s="3"/>
      <c r="H598" s="3"/>
      <c r="I598" s="3" t="str">
        <f>IFERROR(ROUND(INDEX('PROJETO PERFURAÇÃO'!$AB:$AB,MATCH(MEDIÇÃO!K598,'PROJETO PERFURAÇÃO'!$B:$B,0)),1)&amp;"''","")</f>
        <v/>
      </c>
      <c r="J598" s="3" t="str">
        <f>IFERROR(IF(INDEX('PROJETO PERFURAÇÃO'!$P:$P,MATCH(MEDIÇÃO!K598,'PROJETO PERFURAÇÃO'!$B:$B,0))="Production","P",IF(INDEX('PROJETO PERFURAÇÃO'!$P:$P,MATCH(MEDIÇÃO!K598,'PROJETO PERFURAÇÃO'!$B:$B,0))="Buffer","B",IF(INDEX('PROJETO PERFURAÇÃO'!$P:$P,MATCH(MEDIÇÃO!K598,'PROJETO PERFURAÇÃO'!$B:$B,0))="Pre-Splitting","S"))),"")</f>
        <v/>
      </c>
      <c r="K598" s="14">
        <f t="shared" si="58"/>
        <v>1339</v>
      </c>
      <c r="L598" s="4" t="str">
        <f>IFERROR(INDEX('LEV R&amp;D'!$D:$D,MATCH(MEDIÇÃO!K598,'LEV R&amp;D'!$A:$A,0))-INDEX('PROJETO PERFURAÇÃO'!$AH:$AH,MATCH(MEDIÇÃO!K598,'PROJETO PERFURAÇÃO'!$B:$B,0)),"")</f>
        <v/>
      </c>
      <c r="M598" s="8" t="str">
        <f>IFERROR(INDEX('PROJETO PERFURAÇÃO'!$AN:$AN,MATCH(MEDIÇÃO!K598,'PROJETO PERFURAÇÃO'!$B:$B,0)),"")</f>
        <v/>
      </c>
      <c r="N598" s="3"/>
      <c r="O598" s="3"/>
      <c r="P598" s="3" t="str">
        <f>IFERROR(ROUND(INDEX('PROJETO PERFURAÇÃO'!$AB:$AB,MATCH(MEDIÇÃO!R598,'PROJETO PERFURAÇÃO'!$B:$B,0)),1)&amp;"''","")</f>
        <v/>
      </c>
      <c r="Q598" s="3" t="str">
        <f>IFERROR(IF(INDEX('PROJETO PERFURAÇÃO'!$P:$P,MATCH(MEDIÇÃO!R598,'PROJETO PERFURAÇÃO'!$B:$B,0))="Production","P",IF(INDEX('PROJETO PERFURAÇÃO'!$P:$P,MATCH(MEDIÇÃO!R598,'PROJETO PERFURAÇÃO'!$B:$B,0))="Buffer","B",IF(INDEX('PROJETO PERFURAÇÃO'!$P:$P,MATCH(MEDIÇÃO!R598,'PROJETO PERFURAÇÃO'!$B:$B,0))="Pre-Splitting","S"))),"")</f>
        <v/>
      </c>
      <c r="R598" s="14">
        <f t="shared" si="59"/>
        <v>1362</v>
      </c>
      <c r="S598" s="4" t="str">
        <f>IFERROR(INDEX('LEV R&amp;D'!$D:$D,MATCH(MEDIÇÃO!R598,'LEV R&amp;D'!$A:$A,0))-INDEX('PROJETO PERFURAÇÃO'!$AH:$AH,MATCH(MEDIÇÃO!R598,'PROJETO PERFURAÇÃO'!$B:$B,0)),"")</f>
        <v/>
      </c>
      <c r="T598" s="8" t="str">
        <f>IFERROR(INDEX('PROJETO PERFURAÇÃO'!$AN:$AN,MATCH(MEDIÇÃO!R598,'PROJETO PERFURAÇÃO'!$B:$B,0)),"")</f>
        <v/>
      </c>
      <c r="U598" s="3"/>
      <c r="V598" s="3"/>
    </row>
    <row r="599" spans="1:23" ht="45" customHeight="1">
      <c r="B599" s="3" t="str">
        <f>IFERROR(ROUND(INDEX('PROJETO PERFURAÇÃO'!$AB:$AB,MATCH(MEDIÇÃO!D599,'PROJETO PERFURAÇÃO'!$B:$B,0)),1)&amp;"''","")</f>
        <v/>
      </c>
      <c r="C599" s="3" t="str">
        <f>IFERROR(IF(INDEX('PROJETO PERFURAÇÃO'!$P:$P,MATCH(MEDIÇÃO!D599,'PROJETO PERFURAÇÃO'!$B:$B,0))="Production","P",IF(INDEX('PROJETO PERFURAÇÃO'!$P:$P,MATCH(MEDIÇÃO!D599,'PROJETO PERFURAÇÃO'!$B:$B,0))="Buffer","B",IF(INDEX('PROJETO PERFURAÇÃO'!$P:$P,MATCH(MEDIÇÃO!D599,'PROJETO PERFURAÇÃO'!$B:$B,0))="Pre-Splitting","S"))),"")</f>
        <v/>
      </c>
      <c r="D599" s="14">
        <f t="shared" si="57"/>
        <v>1317</v>
      </c>
      <c r="E599" s="4" t="str">
        <f>IFERROR(INDEX('LEV R&amp;D'!$D:$D,MATCH(MEDIÇÃO!D599,'LEV R&amp;D'!$A:$A,0))-INDEX('PROJETO PERFURAÇÃO'!$AH:$AH,MATCH(MEDIÇÃO!D599,'PROJETO PERFURAÇÃO'!$B:$B,0)),"")</f>
        <v/>
      </c>
      <c r="F599" s="8" t="str">
        <f>IFERROR(INDEX('PROJETO PERFURAÇÃO'!$AN:$AN,MATCH(MEDIÇÃO!D599,'PROJETO PERFURAÇÃO'!$B:$B,0)),"")</f>
        <v/>
      </c>
      <c r="G599" s="3"/>
      <c r="H599" s="3"/>
      <c r="I599" s="3" t="str">
        <f>IFERROR(ROUND(INDEX('PROJETO PERFURAÇÃO'!$AB:$AB,MATCH(MEDIÇÃO!K599,'PROJETO PERFURAÇÃO'!$B:$B,0)),1)&amp;"''","")</f>
        <v/>
      </c>
      <c r="J599" s="3" t="str">
        <f>IFERROR(IF(INDEX('PROJETO PERFURAÇÃO'!$P:$P,MATCH(MEDIÇÃO!K599,'PROJETO PERFURAÇÃO'!$B:$B,0))="Production","P",IF(INDEX('PROJETO PERFURAÇÃO'!$P:$P,MATCH(MEDIÇÃO!K599,'PROJETO PERFURAÇÃO'!$B:$B,0))="Buffer","B",IF(INDEX('PROJETO PERFURAÇÃO'!$P:$P,MATCH(MEDIÇÃO!K599,'PROJETO PERFURAÇÃO'!$B:$B,0))="Pre-Splitting","S"))),"")</f>
        <v/>
      </c>
      <c r="K599" s="14">
        <f t="shared" si="58"/>
        <v>1340</v>
      </c>
      <c r="L599" s="4" t="str">
        <f>IFERROR(INDEX('LEV R&amp;D'!$D:$D,MATCH(MEDIÇÃO!K599,'LEV R&amp;D'!$A:$A,0))-INDEX('PROJETO PERFURAÇÃO'!$AH:$AH,MATCH(MEDIÇÃO!K599,'PROJETO PERFURAÇÃO'!$B:$B,0)),"")</f>
        <v/>
      </c>
      <c r="M599" s="8" t="str">
        <f>IFERROR(INDEX('PROJETO PERFURAÇÃO'!$AN:$AN,MATCH(MEDIÇÃO!K599,'PROJETO PERFURAÇÃO'!$B:$B,0)),"")</f>
        <v/>
      </c>
      <c r="N599" s="3"/>
      <c r="O599" s="3"/>
      <c r="P599" s="3" t="str">
        <f>IFERROR(ROUND(INDEX('PROJETO PERFURAÇÃO'!$AB:$AB,MATCH(MEDIÇÃO!R599,'PROJETO PERFURAÇÃO'!$B:$B,0)),1)&amp;"''","")</f>
        <v/>
      </c>
      <c r="Q599" s="3" t="str">
        <f>IFERROR(IF(INDEX('PROJETO PERFURAÇÃO'!$P:$P,MATCH(MEDIÇÃO!R599,'PROJETO PERFURAÇÃO'!$B:$B,0))="Production","P",IF(INDEX('PROJETO PERFURAÇÃO'!$P:$P,MATCH(MEDIÇÃO!R599,'PROJETO PERFURAÇÃO'!$B:$B,0))="Buffer","B",IF(INDEX('PROJETO PERFURAÇÃO'!$P:$P,MATCH(MEDIÇÃO!R599,'PROJETO PERFURAÇÃO'!$B:$B,0))="Pre-Splitting","S"))),"")</f>
        <v/>
      </c>
      <c r="R599" s="14">
        <f t="shared" si="59"/>
        <v>1363</v>
      </c>
      <c r="S599" s="4" t="str">
        <f>IFERROR(INDEX('LEV R&amp;D'!$D:$D,MATCH(MEDIÇÃO!R599,'LEV R&amp;D'!$A:$A,0))-INDEX('PROJETO PERFURAÇÃO'!$AH:$AH,MATCH(MEDIÇÃO!R599,'PROJETO PERFURAÇÃO'!$B:$B,0)),"")</f>
        <v/>
      </c>
      <c r="T599" s="8" t="str">
        <f>IFERROR(INDEX('PROJETO PERFURAÇÃO'!$AN:$AN,MATCH(MEDIÇÃO!R599,'PROJETO PERFURAÇÃO'!$B:$B,0)),"")</f>
        <v/>
      </c>
      <c r="U599" s="3"/>
      <c r="V599" s="3"/>
    </row>
    <row r="600" spans="1:23" ht="45" customHeight="1">
      <c r="B600" s="3" t="str">
        <f>IFERROR(ROUND(INDEX('PROJETO PERFURAÇÃO'!$AB:$AB,MATCH(MEDIÇÃO!D600,'PROJETO PERFURAÇÃO'!$B:$B,0)),1)&amp;"''","")</f>
        <v/>
      </c>
      <c r="C600" s="3" t="str">
        <f>IFERROR(IF(INDEX('PROJETO PERFURAÇÃO'!$P:$P,MATCH(MEDIÇÃO!D600,'PROJETO PERFURAÇÃO'!$B:$B,0))="Production","P",IF(INDEX('PROJETO PERFURAÇÃO'!$P:$P,MATCH(MEDIÇÃO!D600,'PROJETO PERFURAÇÃO'!$B:$B,0))="Buffer","B",IF(INDEX('PROJETO PERFURAÇÃO'!$P:$P,MATCH(MEDIÇÃO!D600,'PROJETO PERFURAÇÃO'!$B:$B,0))="Pre-Splitting","S"))),"")</f>
        <v/>
      </c>
      <c r="D600" s="14">
        <f t="shared" si="57"/>
        <v>1318</v>
      </c>
      <c r="E600" s="4" t="str">
        <f>IFERROR(INDEX('LEV R&amp;D'!$D:$D,MATCH(MEDIÇÃO!D600,'LEV R&amp;D'!$A:$A,0))-INDEX('PROJETO PERFURAÇÃO'!$AH:$AH,MATCH(MEDIÇÃO!D600,'PROJETO PERFURAÇÃO'!$B:$B,0)),"")</f>
        <v/>
      </c>
      <c r="F600" s="8" t="str">
        <f>IFERROR(INDEX('PROJETO PERFURAÇÃO'!$AN:$AN,MATCH(MEDIÇÃO!D600,'PROJETO PERFURAÇÃO'!$B:$B,0)),"")</f>
        <v/>
      </c>
      <c r="G600" s="3"/>
      <c r="H600" s="3"/>
      <c r="I600" s="3" t="str">
        <f>IFERROR(ROUND(INDEX('PROJETO PERFURAÇÃO'!$AB:$AB,MATCH(MEDIÇÃO!K600,'PROJETO PERFURAÇÃO'!$B:$B,0)),1)&amp;"''","")</f>
        <v/>
      </c>
      <c r="J600" s="3" t="str">
        <f>IFERROR(IF(INDEX('PROJETO PERFURAÇÃO'!$P:$P,MATCH(MEDIÇÃO!K600,'PROJETO PERFURAÇÃO'!$B:$B,0))="Production","P",IF(INDEX('PROJETO PERFURAÇÃO'!$P:$P,MATCH(MEDIÇÃO!K600,'PROJETO PERFURAÇÃO'!$B:$B,0))="Buffer","B",IF(INDEX('PROJETO PERFURAÇÃO'!$P:$P,MATCH(MEDIÇÃO!K600,'PROJETO PERFURAÇÃO'!$B:$B,0))="Pre-Splitting","S"))),"")</f>
        <v/>
      </c>
      <c r="K600" s="14">
        <f t="shared" si="58"/>
        <v>1341</v>
      </c>
      <c r="L600" s="4" t="str">
        <f>IFERROR(INDEX('LEV R&amp;D'!$D:$D,MATCH(MEDIÇÃO!K600,'LEV R&amp;D'!$A:$A,0))-INDEX('PROJETO PERFURAÇÃO'!$AH:$AH,MATCH(MEDIÇÃO!K600,'PROJETO PERFURAÇÃO'!$B:$B,0)),"")</f>
        <v/>
      </c>
      <c r="M600" s="8" t="str">
        <f>IFERROR(INDEX('PROJETO PERFURAÇÃO'!$AN:$AN,MATCH(MEDIÇÃO!K600,'PROJETO PERFURAÇÃO'!$B:$B,0)),"")</f>
        <v/>
      </c>
      <c r="N600" s="3"/>
      <c r="O600" s="3"/>
      <c r="P600" s="3" t="str">
        <f>IFERROR(ROUND(INDEX('PROJETO PERFURAÇÃO'!$AB:$AB,MATCH(MEDIÇÃO!R600,'PROJETO PERFURAÇÃO'!$B:$B,0)),1)&amp;"''","")</f>
        <v/>
      </c>
      <c r="Q600" s="3" t="str">
        <f>IFERROR(IF(INDEX('PROJETO PERFURAÇÃO'!$P:$P,MATCH(MEDIÇÃO!R600,'PROJETO PERFURAÇÃO'!$B:$B,0))="Production","P",IF(INDEX('PROJETO PERFURAÇÃO'!$P:$P,MATCH(MEDIÇÃO!R600,'PROJETO PERFURAÇÃO'!$B:$B,0))="Buffer","B",IF(INDEX('PROJETO PERFURAÇÃO'!$P:$P,MATCH(MEDIÇÃO!R600,'PROJETO PERFURAÇÃO'!$B:$B,0))="Pre-Splitting","S"))),"")</f>
        <v/>
      </c>
      <c r="R600" s="14">
        <f t="shared" si="59"/>
        <v>1364</v>
      </c>
      <c r="S600" s="4" t="str">
        <f>IFERROR(INDEX('LEV R&amp;D'!$D:$D,MATCH(MEDIÇÃO!R600,'LEV R&amp;D'!$A:$A,0))-INDEX('PROJETO PERFURAÇÃO'!$AH:$AH,MATCH(MEDIÇÃO!R600,'PROJETO PERFURAÇÃO'!$B:$B,0)),"")</f>
        <v/>
      </c>
      <c r="T600" s="8" t="str">
        <f>IFERROR(INDEX('PROJETO PERFURAÇÃO'!$AN:$AN,MATCH(MEDIÇÃO!R600,'PROJETO PERFURAÇÃO'!$B:$B,0)),"")</f>
        <v/>
      </c>
      <c r="U600" s="3"/>
      <c r="V600" s="3"/>
    </row>
    <row r="601" spans="1:23" ht="45" customHeight="1">
      <c r="B601" s="3" t="str">
        <f>IFERROR(ROUND(INDEX('PROJETO PERFURAÇÃO'!$AB:$AB,MATCH(MEDIÇÃO!D601,'PROJETO PERFURAÇÃO'!$B:$B,0)),1)&amp;"''","")</f>
        <v/>
      </c>
      <c r="C601" s="3" t="str">
        <f>IFERROR(IF(INDEX('PROJETO PERFURAÇÃO'!$P:$P,MATCH(MEDIÇÃO!D601,'PROJETO PERFURAÇÃO'!$B:$B,0))="Production","P",IF(INDEX('PROJETO PERFURAÇÃO'!$P:$P,MATCH(MEDIÇÃO!D601,'PROJETO PERFURAÇÃO'!$B:$B,0))="Buffer","B",IF(INDEX('PROJETO PERFURAÇÃO'!$P:$P,MATCH(MEDIÇÃO!D601,'PROJETO PERFURAÇÃO'!$B:$B,0))="Pre-Splitting","S"))),"")</f>
        <v/>
      </c>
      <c r="D601" s="14">
        <f t="shared" si="57"/>
        <v>1319</v>
      </c>
      <c r="E601" s="4" t="str">
        <f>IFERROR(INDEX('LEV R&amp;D'!$D:$D,MATCH(MEDIÇÃO!D601,'LEV R&amp;D'!$A:$A,0))-INDEX('PROJETO PERFURAÇÃO'!$AH:$AH,MATCH(MEDIÇÃO!D601,'PROJETO PERFURAÇÃO'!$B:$B,0)),"")</f>
        <v/>
      </c>
      <c r="F601" s="8" t="str">
        <f>IFERROR(INDEX('PROJETO PERFURAÇÃO'!$AN:$AN,MATCH(MEDIÇÃO!D601,'PROJETO PERFURAÇÃO'!$B:$B,0)),"")</f>
        <v/>
      </c>
      <c r="G601" s="3"/>
      <c r="H601" s="3"/>
      <c r="I601" s="3" t="str">
        <f>IFERROR(ROUND(INDEX('PROJETO PERFURAÇÃO'!$AB:$AB,MATCH(MEDIÇÃO!K601,'PROJETO PERFURAÇÃO'!$B:$B,0)),1)&amp;"''","")</f>
        <v/>
      </c>
      <c r="J601" s="3" t="str">
        <f>IFERROR(IF(INDEX('PROJETO PERFURAÇÃO'!$P:$P,MATCH(MEDIÇÃO!K601,'PROJETO PERFURAÇÃO'!$B:$B,0))="Production","P",IF(INDEX('PROJETO PERFURAÇÃO'!$P:$P,MATCH(MEDIÇÃO!K601,'PROJETO PERFURAÇÃO'!$B:$B,0))="Buffer","B",IF(INDEX('PROJETO PERFURAÇÃO'!$P:$P,MATCH(MEDIÇÃO!K601,'PROJETO PERFURAÇÃO'!$B:$B,0))="Pre-Splitting","S"))),"")</f>
        <v/>
      </c>
      <c r="K601" s="14">
        <f t="shared" si="58"/>
        <v>1342</v>
      </c>
      <c r="L601" s="4" t="str">
        <f>IFERROR(INDEX('LEV R&amp;D'!$D:$D,MATCH(MEDIÇÃO!K601,'LEV R&amp;D'!$A:$A,0))-INDEX('PROJETO PERFURAÇÃO'!$AH:$AH,MATCH(MEDIÇÃO!K601,'PROJETO PERFURAÇÃO'!$B:$B,0)),"")</f>
        <v/>
      </c>
      <c r="M601" s="8" t="str">
        <f>IFERROR(INDEX('PROJETO PERFURAÇÃO'!$AN:$AN,MATCH(MEDIÇÃO!K601,'PROJETO PERFURAÇÃO'!$B:$B,0)),"")</f>
        <v/>
      </c>
      <c r="N601" s="3"/>
      <c r="O601" s="3"/>
      <c r="P601" s="3" t="str">
        <f>IFERROR(ROUND(INDEX('PROJETO PERFURAÇÃO'!$AB:$AB,MATCH(MEDIÇÃO!R601,'PROJETO PERFURAÇÃO'!$B:$B,0)),1)&amp;"''","")</f>
        <v/>
      </c>
      <c r="Q601" s="3" t="str">
        <f>IFERROR(IF(INDEX('PROJETO PERFURAÇÃO'!$P:$P,MATCH(MEDIÇÃO!R601,'PROJETO PERFURAÇÃO'!$B:$B,0))="Production","P",IF(INDEX('PROJETO PERFURAÇÃO'!$P:$P,MATCH(MEDIÇÃO!R601,'PROJETO PERFURAÇÃO'!$B:$B,0))="Buffer","B",IF(INDEX('PROJETO PERFURAÇÃO'!$P:$P,MATCH(MEDIÇÃO!R601,'PROJETO PERFURAÇÃO'!$B:$B,0))="Pre-Splitting","S"))),"")</f>
        <v/>
      </c>
      <c r="R601" s="14">
        <f t="shared" si="59"/>
        <v>1365</v>
      </c>
      <c r="S601" s="4" t="str">
        <f>IFERROR(INDEX('LEV R&amp;D'!$D:$D,MATCH(MEDIÇÃO!R601,'LEV R&amp;D'!$A:$A,0))-INDEX('PROJETO PERFURAÇÃO'!$AH:$AH,MATCH(MEDIÇÃO!R601,'PROJETO PERFURAÇÃO'!$B:$B,0)),"")</f>
        <v/>
      </c>
      <c r="T601" s="8" t="str">
        <f>IFERROR(INDEX('PROJETO PERFURAÇÃO'!$AN:$AN,MATCH(MEDIÇÃO!R601,'PROJETO PERFURAÇÃO'!$B:$B,0)),"")</f>
        <v/>
      </c>
      <c r="U601" s="3"/>
      <c r="V601" s="3"/>
    </row>
    <row r="602" spans="1:23" ht="45" customHeight="1">
      <c r="B602" s="3" t="str">
        <f>IFERROR(ROUND(INDEX('PROJETO PERFURAÇÃO'!$AB:$AB,MATCH(MEDIÇÃO!D602,'PROJETO PERFURAÇÃO'!$B:$B,0)),1)&amp;"''","")</f>
        <v/>
      </c>
      <c r="C602" s="3" t="str">
        <f>IFERROR(IF(INDEX('PROJETO PERFURAÇÃO'!$P:$P,MATCH(MEDIÇÃO!D602,'PROJETO PERFURAÇÃO'!$B:$B,0))="Production","P",IF(INDEX('PROJETO PERFURAÇÃO'!$P:$P,MATCH(MEDIÇÃO!D602,'PROJETO PERFURAÇÃO'!$B:$B,0))="Buffer","B",IF(INDEX('PROJETO PERFURAÇÃO'!$P:$P,MATCH(MEDIÇÃO!D602,'PROJETO PERFURAÇÃO'!$B:$B,0))="Pre-Splitting","S"))),"")</f>
        <v/>
      </c>
      <c r="D602" s="14">
        <f t="shared" si="57"/>
        <v>1320</v>
      </c>
      <c r="E602" s="4" t="str">
        <f>IFERROR(INDEX('LEV R&amp;D'!$D:$D,MATCH(MEDIÇÃO!D602,'LEV R&amp;D'!$A:$A,0))-INDEX('PROJETO PERFURAÇÃO'!$AH:$AH,MATCH(MEDIÇÃO!D602,'PROJETO PERFURAÇÃO'!$B:$B,0)),"")</f>
        <v/>
      </c>
      <c r="F602" s="8" t="str">
        <f>IFERROR(INDEX('PROJETO PERFURAÇÃO'!$AN:$AN,MATCH(MEDIÇÃO!D602,'PROJETO PERFURAÇÃO'!$B:$B,0)),"")</f>
        <v/>
      </c>
      <c r="G602" s="3"/>
      <c r="H602" s="3"/>
      <c r="I602" s="3" t="str">
        <f>IFERROR(ROUND(INDEX('PROJETO PERFURAÇÃO'!$AB:$AB,MATCH(MEDIÇÃO!K602,'PROJETO PERFURAÇÃO'!$B:$B,0)),1)&amp;"''","")</f>
        <v/>
      </c>
      <c r="J602" s="3" t="str">
        <f>IFERROR(IF(INDEX('PROJETO PERFURAÇÃO'!$P:$P,MATCH(MEDIÇÃO!K602,'PROJETO PERFURAÇÃO'!$B:$B,0))="Production","P",IF(INDEX('PROJETO PERFURAÇÃO'!$P:$P,MATCH(MEDIÇÃO!K602,'PROJETO PERFURAÇÃO'!$B:$B,0))="Buffer","B",IF(INDEX('PROJETO PERFURAÇÃO'!$P:$P,MATCH(MEDIÇÃO!K602,'PROJETO PERFURAÇÃO'!$B:$B,0))="Pre-Splitting","S"))),"")</f>
        <v/>
      </c>
      <c r="K602" s="14">
        <f t="shared" si="58"/>
        <v>1343</v>
      </c>
      <c r="L602" s="4" t="str">
        <f>IFERROR(INDEX('LEV R&amp;D'!$D:$D,MATCH(MEDIÇÃO!K602,'LEV R&amp;D'!$A:$A,0))-INDEX('PROJETO PERFURAÇÃO'!$AH:$AH,MATCH(MEDIÇÃO!K602,'PROJETO PERFURAÇÃO'!$B:$B,0)),"")</f>
        <v/>
      </c>
      <c r="M602" s="8" t="str">
        <f>IFERROR(INDEX('PROJETO PERFURAÇÃO'!$AN:$AN,MATCH(MEDIÇÃO!K602,'PROJETO PERFURAÇÃO'!$B:$B,0)),"")</f>
        <v/>
      </c>
      <c r="N602" s="3"/>
      <c r="O602" s="3"/>
      <c r="P602" s="3" t="str">
        <f>IFERROR(ROUND(INDEX('PROJETO PERFURAÇÃO'!$AB:$AB,MATCH(MEDIÇÃO!R602,'PROJETO PERFURAÇÃO'!$B:$B,0)),1)&amp;"''","")</f>
        <v/>
      </c>
      <c r="Q602" s="3" t="str">
        <f>IFERROR(IF(INDEX('PROJETO PERFURAÇÃO'!$P:$P,MATCH(MEDIÇÃO!R602,'PROJETO PERFURAÇÃO'!$B:$B,0))="Production","P",IF(INDEX('PROJETO PERFURAÇÃO'!$P:$P,MATCH(MEDIÇÃO!R602,'PROJETO PERFURAÇÃO'!$B:$B,0))="Buffer","B",IF(INDEX('PROJETO PERFURAÇÃO'!$P:$P,MATCH(MEDIÇÃO!R602,'PROJETO PERFURAÇÃO'!$B:$B,0))="Pre-Splitting","S"))),"")</f>
        <v/>
      </c>
      <c r="R602" s="14">
        <f t="shared" si="59"/>
        <v>1366</v>
      </c>
      <c r="S602" s="4" t="str">
        <f>IFERROR(INDEX('LEV R&amp;D'!$D:$D,MATCH(MEDIÇÃO!R602,'LEV R&amp;D'!$A:$A,0))-INDEX('PROJETO PERFURAÇÃO'!$AH:$AH,MATCH(MEDIÇÃO!R602,'PROJETO PERFURAÇÃO'!$B:$B,0)),"")</f>
        <v/>
      </c>
      <c r="T602" s="8" t="str">
        <f>IFERROR(INDEX('PROJETO PERFURAÇÃO'!$AN:$AN,MATCH(MEDIÇÃO!R602,'PROJETO PERFURAÇÃO'!$B:$B,0)),"")</f>
        <v/>
      </c>
      <c r="U602" s="3"/>
      <c r="V602" s="3"/>
    </row>
    <row r="603" spans="1:23" ht="45" customHeight="1">
      <c r="B603" s="3" t="str">
        <f>IFERROR(ROUND(INDEX('PROJETO PERFURAÇÃO'!$AB:$AB,MATCH(MEDIÇÃO!D603,'PROJETO PERFURAÇÃO'!$B:$B,0)),1)&amp;"''","")</f>
        <v/>
      </c>
      <c r="C603" s="3" t="str">
        <f>IFERROR(IF(INDEX('PROJETO PERFURAÇÃO'!$P:$P,MATCH(MEDIÇÃO!D603,'PROJETO PERFURAÇÃO'!$B:$B,0))="Production","P",IF(INDEX('PROJETO PERFURAÇÃO'!$P:$P,MATCH(MEDIÇÃO!D603,'PROJETO PERFURAÇÃO'!$B:$B,0))="Buffer","B",IF(INDEX('PROJETO PERFURAÇÃO'!$P:$P,MATCH(MEDIÇÃO!D603,'PROJETO PERFURAÇÃO'!$B:$B,0))="Pre-Splitting","S"))),"")</f>
        <v/>
      </c>
      <c r="D603" s="14">
        <f t="shared" si="57"/>
        <v>1321</v>
      </c>
      <c r="E603" s="4" t="str">
        <f>IFERROR(INDEX('LEV R&amp;D'!$D:$D,MATCH(MEDIÇÃO!D603,'LEV R&amp;D'!$A:$A,0))-INDEX('PROJETO PERFURAÇÃO'!$AH:$AH,MATCH(MEDIÇÃO!D603,'PROJETO PERFURAÇÃO'!$B:$B,0)),"")</f>
        <v/>
      </c>
      <c r="F603" s="8" t="str">
        <f>IFERROR(INDEX('PROJETO PERFURAÇÃO'!$AN:$AN,MATCH(MEDIÇÃO!D603,'PROJETO PERFURAÇÃO'!$B:$B,0)),"")</f>
        <v/>
      </c>
      <c r="G603" s="3"/>
      <c r="H603" s="3"/>
      <c r="I603" s="3" t="str">
        <f>IFERROR(ROUND(INDEX('PROJETO PERFURAÇÃO'!$AB:$AB,MATCH(MEDIÇÃO!K603,'PROJETO PERFURAÇÃO'!$B:$B,0)),1)&amp;"''","")</f>
        <v/>
      </c>
      <c r="J603" s="3" t="str">
        <f>IFERROR(IF(INDEX('PROJETO PERFURAÇÃO'!$P:$P,MATCH(MEDIÇÃO!K603,'PROJETO PERFURAÇÃO'!$B:$B,0))="Production","P",IF(INDEX('PROJETO PERFURAÇÃO'!$P:$P,MATCH(MEDIÇÃO!K603,'PROJETO PERFURAÇÃO'!$B:$B,0))="Buffer","B",IF(INDEX('PROJETO PERFURAÇÃO'!$P:$P,MATCH(MEDIÇÃO!K603,'PROJETO PERFURAÇÃO'!$B:$B,0))="Pre-Splitting","S"))),"")</f>
        <v/>
      </c>
      <c r="K603" s="14">
        <f t="shared" si="58"/>
        <v>1344</v>
      </c>
      <c r="L603" s="4" t="str">
        <f>IFERROR(INDEX('LEV R&amp;D'!$D:$D,MATCH(MEDIÇÃO!K603,'LEV R&amp;D'!$A:$A,0))-INDEX('PROJETO PERFURAÇÃO'!$AH:$AH,MATCH(MEDIÇÃO!K603,'PROJETO PERFURAÇÃO'!$B:$B,0)),"")</f>
        <v/>
      </c>
      <c r="M603" s="8" t="str">
        <f>IFERROR(INDEX('PROJETO PERFURAÇÃO'!$AN:$AN,MATCH(MEDIÇÃO!K603,'PROJETO PERFURAÇÃO'!$B:$B,0)),"")</f>
        <v/>
      </c>
      <c r="N603" s="3"/>
      <c r="O603" s="3"/>
      <c r="P603" s="3" t="str">
        <f>IFERROR(ROUND(INDEX('PROJETO PERFURAÇÃO'!$AB:$AB,MATCH(MEDIÇÃO!R603,'PROJETO PERFURAÇÃO'!$B:$B,0)),1)&amp;"''","")</f>
        <v/>
      </c>
      <c r="Q603" s="3" t="str">
        <f>IFERROR(IF(INDEX('PROJETO PERFURAÇÃO'!$P:$P,MATCH(MEDIÇÃO!R603,'PROJETO PERFURAÇÃO'!$B:$B,0))="Production","P",IF(INDEX('PROJETO PERFURAÇÃO'!$P:$P,MATCH(MEDIÇÃO!R603,'PROJETO PERFURAÇÃO'!$B:$B,0))="Buffer","B",IF(INDEX('PROJETO PERFURAÇÃO'!$P:$P,MATCH(MEDIÇÃO!R603,'PROJETO PERFURAÇÃO'!$B:$B,0))="Pre-Splitting","S"))),"")</f>
        <v/>
      </c>
      <c r="R603" s="14">
        <f t="shared" si="59"/>
        <v>1367</v>
      </c>
      <c r="S603" s="4" t="str">
        <f>IFERROR(INDEX('LEV R&amp;D'!$D:$D,MATCH(MEDIÇÃO!R603,'LEV R&amp;D'!$A:$A,0))-INDEX('PROJETO PERFURAÇÃO'!$AH:$AH,MATCH(MEDIÇÃO!R603,'PROJETO PERFURAÇÃO'!$B:$B,0)),"")</f>
        <v/>
      </c>
      <c r="T603" s="8" t="str">
        <f>IFERROR(INDEX('PROJETO PERFURAÇÃO'!$AN:$AN,MATCH(MEDIÇÃO!R603,'PROJETO PERFURAÇÃO'!$B:$B,0)),"")</f>
        <v/>
      </c>
      <c r="U603" s="3"/>
      <c r="V603" s="3"/>
    </row>
    <row r="604" spans="1:23" ht="45" customHeight="1">
      <c r="B604" s="3" t="str">
        <f>IFERROR(ROUND(INDEX('PROJETO PERFURAÇÃO'!$AB:$AB,MATCH(MEDIÇÃO!D604,'PROJETO PERFURAÇÃO'!$B:$B,0)),1)&amp;"''","")</f>
        <v/>
      </c>
      <c r="C604" s="3" t="str">
        <f>IFERROR(IF(INDEX('PROJETO PERFURAÇÃO'!$P:$P,MATCH(MEDIÇÃO!D604,'PROJETO PERFURAÇÃO'!$B:$B,0))="Production","P",IF(INDEX('PROJETO PERFURAÇÃO'!$P:$P,MATCH(MEDIÇÃO!D604,'PROJETO PERFURAÇÃO'!$B:$B,0))="Buffer","B",IF(INDEX('PROJETO PERFURAÇÃO'!$P:$P,MATCH(MEDIÇÃO!D604,'PROJETO PERFURAÇÃO'!$B:$B,0))="Pre-Splitting","S"))),"")</f>
        <v/>
      </c>
      <c r="D604" s="14">
        <f t="shared" si="57"/>
        <v>1322</v>
      </c>
      <c r="E604" s="4" t="str">
        <f>IFERROR(INDEX('LEV R&amp;D'!$D:$D,MATCH(MEDIÇÃO!D604,'LEV R&amp;D'!$A:$A,0))-INDEX('PROJETO PERFURAÇÃO'!$AH:$AH,MATCH(MEDIÇÃO!D604,'PROJETO PERFURAÇÃO'!$B:$B,0)),"")</f>
        <v/>
      </c>
      <c r="F604" s="8" t="str">
        <f>IFERROR(INDEX('PROJETO PERFURAÇÃO'!$AN:$AN,MATCH(MEDIÇÃO!D604,'PROJETO PERFURAÇÃO'!$B:$B,0)),"")</f>
        <v/>
      </c>
      <c r="G604" s="3"/>
      <c r="H604" s="3"/>
      <c r="I604" s="3" t="str">
        <f>IFERROR(ROUND(INDEX('PROJETO PERFURAÇÃO'!$AB:$AB,MATCH(MEDIÇÃO!K604,'PROJETO PERFURAÇÃO'!$B:$B,0)),1)&amp;"''","")</f>
        <v/>
      </c>
      <c r="J604" s="3" t="str">
        <f>IFERROR(IF(INDEX('PROJETO PERFURAÇÃO'!$P:$P,MATCH(MEDIÇÃO!K604,'PROJETO PERFURAÇÃO'!$B:$B,0))="Production","P",IF(INDEX('PROJETO PERFURAÇÃO'!$P:$P,MATCH(MEDIÇÃO!K604,'PROJETO PERFURAÇÃO'!$B:$B,0))="Buffer","B",IF(INDEX('PROJETO PERFURAÇÃO'!$P:$P,MATCH(MEDIÇÃO!K604,'PROJETO PERFURAÇÃO'!$B:$B,0))="Pre-Splitting","S"))),"")</f>
        <v/>
      </c>
      <c r="K604" s="14">
        <f t="shared" si="58"/>
        <v>1345</v>
      </c>
      <c r="L604" s="4" t="str">
        <f>IFERROR(INDEX('LEV R&amp;D'!$D:$D,MATCH(MEDIÇÃO!K604,'LEV R&amp;D'!$A:$A,0))-INDEX('PROJETO PERFURAÇÃO'!$AH:$AH,MATCH(MEDIÇÃO!K604,'PROJETO PERFURAÇÃO'!$B:$B,0)),"")</f>
        <v/>
      </c>
      <c r="M604" s="8" t="str">
        <f>IFERROR(INDEX('PROJETO PERFURAÇÃO'!$AN:$AN,MATCH(MEDIÇÃO!K604,'PROJETO PERFURAÇÃO'!$B:$B,0)),"")</f>
        <v/>
      </c>
      <c r="N604" s="3"/>
      <c r="O604" s="3"/>
      <c r="P604" s="3" t="str">
        <f>IFERROR(ROUND(INDEX('PROJETO PERFURAÇÃO'!$AB:$AB,MATCH(MEDIÇÃO!R604,'PROJETO PERFURAÇÃO'!$B:$B,0)),1)&amp;"''","")</f>
        <v/>
      </c>
      <c r="Q604" s="3" t="str">
        <f>IFERROR(IF(INDEX('PROJETO PERFURAÇÃO'!$P:$P,MATCH(MEDIÇÃO!R604,'PROJETO PERFURAÇÃO'!$B:$B,0))="Production","P",IF(INDEX('PROJETO PERFURAÇÃO'!$P:$P,MATCH(MEDIÇÃO!R604,'PROJETO PERFURAÇÃO'!$B:$B,0))="Buffer","B",IF(INDEX('PROJETO PERFURAÇÃO'!$P:$P,MATCH(MEDIÇÃO!R604,'PROJETO PERFURAÇÃO'!$B:$B,0))="Pre-Splitting","S"))),"")</f>
        <v/>
      </c>
      <c r="R604" s="14">
        <f t="shared" si="59"/>
        <v>1368</v>
      </c>
      <c r="S604" s="4" t="str">
        <f>IFERROR(INDEX('LEV R&amp;D'!$D:$D,MATCH(MEDIÇÃO!R604,'LEV R&amp;D'!$A:$A,0))-INDEX('PROJETO PERFURAÇÃO'!$AH:$AH,MATCH(MEDIÇÃO!R604,'PROJETO PERFURAÇÃO'!$B:$B,0)),"")</f>
        <v/>
      </c>
      <c r="T604" s="8" t="str">
        <f>IFERROR(INDEX('PROJETO PERFURAÇÃO'!$AN:$AN,MATCH(MEDIÇÃO!R604,'PROJETO PERFURAÇÃO'!$B:$B,0)),"")</f>
        <v/>
      </c>
      <c r="U604" s="3"/>
      <c r="V604" s="3"/>
    </row>
    <row r="605" spans="1:23" ht="45" customHeight="1">
      <c r="B605" s="3" t="str">
        <f>IFERROR(ROUND(INDEX('PROJETO PERFURAÇÃO'!$AB:$AB,MATCH(MEDIÇÃO!D605,'PROJETO PERFURAÇÃO'!$B:$B,0)),1)&amp;"''","")</f>
        <v/>
      </c>
      <c r="C605" s="3" t="str">
        <f>IFERROR(IF(INDEX('PROJETO PERFURAÇÃO'!$P:$P,MATCH(MEDIÇÃO!D605,'PROJETO PERFURAÇÃO'!$B:$B,0))="Production","P",IF(INDEX('PROJETO PERFURAÇÃO'!$P:$P,MATCH(MEDIÇÃO!D605,'PROJETO PERFURAÇÃO'!$B:$B,0))="Buffer","B",IF(INDEX('PROJETO PERFURAÇÃO'!$P:$P,MATCH(MEDIÇÃO!D605,'PROJETO PERFURAÇÃO'!$B:$B,0))="Pre-Splitting","S"))),"")</f>
        <v/>
      </c>
      <c r="D605" s="14">
        <f t="shared" si="57"/>
        <v>1323</v>
      </c>
      <c r="E605" s="4" t="str">
        <f>IFERROR(INDEX('LEV R&amp;D'!$D:$D,MATCH(MEDIÇÃO!D605,'LEV R&amp;D'!$A:$A,0))-INDEX('PROJETO PERFURAÇÃO'!$AH:$AH,MATCH(MEDIÇÃO!D605,'PROJETO PERFURAÇÃO'!$B:$B,0)),"")</f>
        <v/>
      </c>
      <c r="F605" s="8" t="str">
        <f>IFERROR(INDEX('PROJETO PERFURAÇÃO'!$AN:$AN,MATCH(MEDIÇÃO!D605,'PROJETO PERFURAÇÃO'!$B:$B,0)),"")</f>
        <v/>
      </c>
      <c r="G605" s="3"/>
      <c r="H605" s="3"/>
      <c r="I605" s="3" t="str">
        <f>IFERROR(ROUND(INDEX('PROJETO PERFURAÇÃO'!$AB:$AB,MATCH(MEDIÇÃO!K605,'PROJETO PERFURAÇÃO'!$B:$B,0)),1)&amp;"''","")</f>
        <v/>
      </c>
      <c r="J605" s="3" t="str">
        <f>IFERROR(IF(INDEX('PROJETO PERFURAÇÃO'!$P:$P,MATCH(MEDIÇÃO!K605,'PROJETO PERFURAÇÃO'!$B:$B,0))="Production","P",IF(INDEX('PROJETO PERFURAÇÃO'!$P:$P,MATCH(MEDIÇÃO!K605,'PROJETO PERFURAÇÃO'!$B:$B,0))="Buffer","B",IF(INDEX('PROJETO PERFURAÇÃO'!$P:$P,MATCH(MEDIÇÃO!K605,'PROJETO PERFURAÇÃO'!$B:$B,0))="Pre-Splitting","S"))),"")</f>
        <v/>
      </c>
      <c r="K605" s="14">
        <f t="shared" si="58"/>
        <v>1346</v>
      </c>
      <c r="L605" s="4" t="str">
        <f>IFERROR(INDEX('LEV R&amp;D'!$D:$D,MATCH(MEDIÇÃO!K605,'LEV R&amp;D'!$A:$A,0))-INDEX('PROJETO PERFURAÇÃO'!$AH:$AH,MATCH(MEDIÇÃO!K605,'PROJETO PERFURAÇÃO'!$B:$B,0)),"")</f>
        <v/>
      </c>
      <c r="M605" s="8" t="str">
        <f>IFERROR(INDEX('PROJETO PERFURAÇÃO'!$AN:$AN,MATCH(MEDIÇÃO!K605,'PROJETO PERFURAÇÃO'!$B:$B,0)),"")</f>
        <v/>
      </c>
      <c r="N605" s="3"/>
      <c r="O605" s="3"/>
      <c r="P605" s="3" t="str">
        <f>IFERROR(ROUND(INDEX('PROJETO PERFURAÇÃO'!$AB:$AB,MATCH(MEDIÇÃO!R605,'PROJETO PERFURAÇÃO'!$B:$B,0)),1)&amp;"''","")</f>
        <v/>
      </c>
      <c r="Q605" s="3" t="str">
        <f>IFERROR(IF(INDEX('PROJETO PERFURAÇÃO'!$P:$P,MATCH(MEDIÇÃO!R605,'PROJETO PERFURAÇÃO'!$B:$B,0))="Production","P",IF(INDEX('PROJETO PERFURAÇÃO'!$P:$P,MATCH(MEDIÇÃO!R605,'PROJETO PERFURAÇÃO'!$B:$B,0))="Buffer","B",IF(INDEX('PROJETO PERFURAÇÃO'!$P:$P,MATCH(MEDIÇÃO!R605,'PROJETO PERFURAÇÃO'!$B:$B,0))="Pre-Splitting","S"))),"")</f>
        <v/>
      </c>
      <c r="R605" s="14">
        <f t="shared" si="59"/>
        <v>1369</v>
      </c>
      <c r="S605" s="4" t="str">
        <f>IFERROR(INDEX('LEV R&amp;D'!$D:$D,MATCH(MEDIÇÃO!R605,'LEV R&amp;D'!$A:$A,0))-INDEX('PROJETO PERFURAÇÃO'!$AH:$AH,MATCH(MEDIÇÃO!R605,'PROJETO PERFURAÇÃO'!$B:$B,0)),"")</f>
        <v/>
      </c>
      <c r="T605" s="8" t="str">
        <f>IFERROR(INDEX('PROJETO PERFURAÇÃO'!$AN:$AN,MATCH(MEDIÇÃO!R605,'PROJETO PERFURAÇÃO'!$B:$B,0)),"")</f>
        <v/>
      </c>
      <c r="U605" s="3"/>
      <c r="V605" s="3"/>
    </row>
    <row r="606" spans="1:23" ht="45" customHeight="1">
      <c r="B606" s="3" t="str">
        <f>IFERROR(ROUND(INDEX('PROJETO PERFURAÇÃO'!$AB:$AB,MATCH(MEDIÇÃO!D606,'PROJETO PERFURAÇÃO'!$B:$B,0)),1)&amp;"''","")</f>
        <v/>
      </c>
      <c r="C606" s="3" t="str">
        <f>IFERROR(IF(INDEX('PROJETO PERFURAÇÃO'!$P:$P,MATCH(MEDIÇÃO!D606,'PROJETO PERFURAÇÃO'!$B:$B,0))="Production","P",IF(INDEX('PROJETO PERFURAÇÃO'!$P:$P,MATCH(MEDIÇÃO!D606,'PROJETO PERFURAÇÃO'!$B:$B,0))="Buffer","B",IF(INDEX('PROJETO PERFURAÇÃO'!$P:$P,MATCH(MEDIÇÃO!D606,'PROJETO PERFURAÇÃO'!$B:$B,0))="Pre-Splitting","S"))),"")</f>
        <v/>
      </c>
      <c r="D606" s="14">
        <f t="shared" si="57"/>
        <v>1324</v>
      </c>
      <c r="E606" s="4" t="str">
        <f>IFERROR(INDEX('LEV R&amp;D'!$D:$D,MATCH(MEDIÇÃO!D606,'LEV R&amp;D'!$A:$A,0))-INDEX('PROJETO PERFURAÇÃO'!$AH:$AH,MATCH(MEDIÇÃO!D606,'PROJETO PERFURAÇÃO'!$B:$B,0)),"")</f>
        <v/>
      </c>
      <c r="F606" s="8" t="str">
        <f>IFERROR(INDEX('PROJETO PERFURAÇÃO'!$AN:$AN,MATCH(MEDIÇÃO!D606,'PROJETO PERFURAÇÃO'!$B:$B,0)),"")</f>
        <v/>
      </c>
      <c r="G606" s="3"/>
      <c r="H606" s="3"/>
      <c r="I606" s="3" t="str">
        <f>IFERROR(ROUND(INDEX('PROJETO PERFURAÇÃO'!$AB:$AB,MATCH(MEDIÇÃO!K606,'PROJETO PERFURAÇÃO'!$B:$B,0)),1)&amp;"''","")</f>
        <v/>
      </c>
      <c r="J606" s="3" t="str">
        <f>IFERROR(IF(INDEX('PROJETO PERFURAÇÃO'!$P:$P,MATCH(MEDIÇÃO!K606,'PROJETO PERFURAÇÃO'!$B:$B,0))="Production","P",IF(INDEX('PROJETO PERFURAÇÃO'!$P:$P,MATCH(MEDIÇÃO!K606,'PROJETO PERFURAÇÃO'!$B:$B,0))="Buffer","B",IF(INDEX('PROJETO PERFURAÇÃO'!$P:$P,MATCH(MEDIÇÃO!K606,'PROJETO PERFURAÇÃO'!$B:$B,0))="Pre-Splitting","S"))),"")</f>
        <v/>
      </c>
      <c r="K606" s="14">
        <f t="shared" si="58"/>
        <v>1347</v>
      </c>
      <c r="L606" s="4" t="str">
        <f>IFERROR(INDEX('LEV R&amp;D'!$D:$D,MATCH(MEDIÇÃO!K606,'LEV R&amp;D'!$A:$A,0))-INDEX('PROJETO PERFURAÇÃO'!$AH:$AH,MATCH(MEDIÇÃO!K606,'PROJETO PERFURAÇÃO'!$B:$B,0)),"")</f>
        <v/>
      </c>
      <c r="M606" s="8" t="str">
        <f>IFERROR(INDEX('PROJETO PERFURAÇÃO'!$AN:$AN,MATCH(MEDIÇÃO!K606,'PROJETO PERFURAÇÃO'!$B:$B,0)),"")</f>
        <v/>
      </c>
      <c r="N606" s="3"/>
      <c r="O606" s="3"/>
      <c r="P606" s="3" t="str">
        <f>IFERROR(ROUND(INDEX('PROJETO PERFURAÇÃO'!$AB:$AB,MATCH(MEDIÇÃO!R606,'PROJETO PERFURAÇÃO'!$B:$B,0)),1)&amp;"''","")</f>
        <v/>
      </c>
      <c r="Q606" s="3" t="str">
        <f>IFERROR(IF(INDEX('PROJETO PERFURAÇÃO'!$P:$P,MATCH(MEDIÇÃO!R606,'PROJETO PERFURAÇÃO'!$B:$B,0))="Production","P",IF(INDEX('PROJETO PERFURAÇÃO'!$P:$P,MATCH(MEDIÇÃO!R606,'PROJETO PERFURAÇÃO'!$B:$B,0))="Buffer","B",IF(INDEX('PROJETO PERFURAÇÃO'!$P:$P,MATCH(MEDIÇÃO!R606,'PROJETO PERFURAÇÃO'!$B:$B,0))="Pre-Splitting","S"))),"")</f>
        <v/>
      </c>
      <c r="R606" s="14">
        <f t="shared" si="59"/>
        <v>1370</v>
      </c>
      <c r="S606" s="4" t="str">
        <f>IFERROR(INDEX('LEV R&amp;D'!$D:$D,MATCH(MEDIÇÃO!R606,'LEV R&amp;D'!$A:$A,0))-INDEX('PROJETO PERFURAÇÃO'!$AH:$AH,MATCH(MEDIÇÃO!R606,'PROJETO PERFURAÇÃO'!$B:$B,0)),"")</f>
        <v/>
      </c>
      <c r="T606" s="8" t="str">
        <f>IFERROR(INDEX('PROJETO PERFURAÇÃO'!$AN:$AN,MATCH(MEDIÇÃO!R606,'PROJETO PERFURAÇÃO'!$B:$B,0)),"")</f>
        <v/>
      </c>
      <c r="U606" s="3"/>
      <c r="V606" s="3"/>
    </row>
    <row r="607" spans="1:23" ht="45" customHeight="1">
      <c r="B607" s="3" t="str">
        <f>IFERROR(ROUND(INDEX('PROJETO PERFURAÇÃO'!$AB:$AB,MATCH(MEDIÇÃO!D607,'PROJETO PERFURAÇÃO'!$B:$B,0)),1)&amp;"''","")</f>
        <v/>
      </c>
      <c r="C607" s="3" t="str">
        <f>IFERROR(IF(INDEX('PROJETO PERFURAÇÃO'!$P:$P,MATCH(MEDIÇÃO!D607,'PROJETO PERFURAÇÃO'!$B:$B,0))="Production","P",IF(INDEX('PROJETO PERFURAÇÃO'!$P:$P,MATCH(MEDIÇÃO!D607,'PROJETO PERFURAÇÃO'!$B:$B,0))="Buffer","B",IF(INDEX('PROJETO PERFURAÇÃO'!$P:$P,MATCH(MEDIÇÃO!D607,'PROJETO PERFURAÇÃO'!$B:$B,0))="Pre-Splitting","S"))),"")</f>
        <v/>
      </c>
      <c r="D607" s="14">
        <f t="shared" si="57"/>
        <v>1325</v>
      </c>
      <c r="E607" s="4" t="str">
        <f>IFERROR(INDEX('LEV R&amp;D'!$D:$D,MATCH(MEDIÇÃO!D607,'LEV R&amp;D'!$A:$A,0))-INDEX('PROJETO PERFURAÇÃO'!$AH:$AH,MATCH(MEDIÇÃO!D607,'PROJETO PERFURAÇÃO'!$B:$B,0)),"")</f>
        <v/>
      </c>
      <c r="F607" s="8" t="str">
        <f>IFERROR(INDEX('PROJETO PERFURAÇÃO'!$AN:$AN,MATCH(MEDIÇÃO!D607,'PROJETO PERFURAÇÃO'!$B:$B,0)),"")</f>
        <v/>
      </c>
      <c r="G607" s="3"/>
      <c r="H607" s="3"/>
      <c r="I607" s="3" t="str">
        <f>IFERROR(ROUND(INDEX('PROJETO PERFURAÇÃO'!$AB:$AB,MATCH(MEDIÇÃO!K607,'PROJETO PERFURAÇÃO'!$B:$B,0)),1)&amp;"''","")</f>
        <v/>
      </c>
      <c r="J607" s="3" t="str">
        <f>IFERROR(IF(INDEX('PROJETO PERFURAÇÃO'!$P:$P,MATCH(MEDIÇÃO!K607,'PROJETO PERFURAÇÃO'!$B:$B,0))="Production","P",IF(INDEX('PROJETO PERFURAÇÃO'!$P:$P,MATCH(MEDIÇÃO!K607,'PROJETO PERFURAÇÃO'!$B:$B,0))="Buffer","B",IF(INDEX('PROJETO PERFURAÇÃO'!$P:$P,MATCH(MEDIÇÃO!K607,'PROJETO PERFURAÇÃO'!$B:$B,0))="Pre-Splitting","S"))),"")</f>
        <v/>
      </c>
      <c r="K607" s="14">
        <f t="shared" si="58"/>
        <v>1348</v>
      </c>
      <c r="L607" s="4" t="str">
        <f>IFERROR(INDEX('LEV R&amp;D'!$D:$D,MATCH(MEDIÇÃO!K607,'LEV R&amp;D'!$A:$A,0))-INDEX('PROJETO PERFURAÇÃO'!$AH:$AH,MATCH(MEDIÇÃO!K607,'PROJETO PERFURAÇÃO'!$B:$B,0)),"")</f>
        <v/>
      </c>
      <c r="M607" s="8" t="str">
        <f>IFERROR(INDEX('PROJETO PERFURAÇÃO'!$AN:$AN,MATCH(MEDIÇÃO!K607,'PROJETO PERFURAÇÃO'!$B:$B,0)),"")</f>
        <v/>
      </c>
      <c r="N607" s="3"/>
      <c r="O607" s="3"/>
      <c r="P607" s="3" t="str">
        <f>IFERROR(ROUND(INDEX('PROJETO PERFURAÇÃO'!$AB:$AB,MATCH(MEDIÇÃO!R607,'PROJETO PERFURAÇÃO'!$B:$B,0)),1)&amp;"''","")</f>
        <v/>
      </c>
      <c r="Q607" s="3" t="str">
        <f>IFERROR(IF(INDEX('PROJETO PERFURAÇÃO'!$P:$P,MATCH(MEDIÇÃO!R607,'PROJETO PERFURAÇÃO'!$B:$B,0))="Production","P",IF(INDEX('PROJETO PERFURAÇÃO'!$P:$P,MATCH(MEDIÇÃO!R607,'PROJETO PERFURAÇÃO'!$B:$B,0))="Buffer","B",IF(INDEX('PROJETO PERFURAÇÃO'!$P:$P,MATCH(MEDIÇÃO!R607,'PROJETO PERFURAÇÃO'!$B:$B,0))="Pre-Splitting","S"))),"")</f>
        <v/>
      </c>
      <c r="R607" s="14">
        <f t="shared" si="59"/>
        <v>1371</v>
      </c>
      <c r="S607" s="4" t="str">
        <f>IFERROR(INDEX('LEV R&amp;D'!$D:$D,MATCH(MEDIÇÃO!R607,'LEV R&amp;D'!$A:$A,0))-INDEX('PROJETO PERFURAÇÃO'!$AH:$AH,MATCH(MEDIÇÃO!R607,'PROJETO PERFURAÇÃO'!$B:$B,0)),"")</f>
        <v/>
      </c>
      <c r="T607" s="8" t="str">
        <f>IFERROR(INDEX('PROJETO PERFURAÇÃO'!$AN:$AN,MATCH(MEDIÇÃO!R607,'PROJETO PERFURAÇÃO'!$B:$B,0)),"")</f>
        <v/>
      </c>
      <c r="U607" s="3"/>
      <c r="V607" s="3"/>
    </row>
    <row r="608" spans="1:23" ht="45" customHeight="1">
      <c r="B608" s="3" t="str">
        <f>IFERROR(ROUND(INDEX('PROJETO PERFURAÇÃO'!$AB:$AB,MATCH(MEDIÇÃO!D608,'PROJETO PERFURAÇÃO'!$B:$B,0)),1)&amp;"''","")</f>
        <v/>
      </c>
      <c r="C608" s="3" t="str">
        <f>IFERROR(IF(INDEX('PROJETO PERFURAÇÃO'!$P:$P,MATCH(MEDIÇÃO!D608,'PROJETO PERFURAÇÃO'!$B:$B,0))="Production","P",IF(INDEX('PROJETO PERFURAÇÃO'!$P:$P,MATCH(MEDIÇÃO!D608,'PROJETO PERFURAÇÃO'!$B:$B,0))="Buffer","B",IF(INDEX('PROJETO PERFURAÇÃO'!$P:$P,MATCH(MEDIÇÃO!D608,'PROJETO PERFURAÇÃO'!$B:$B,0))="Pre-Splitting","S"))),"")</f>
        <v/>
      </c>
      <c r="D608" s="14">
        <f t="shared" si="57"/>
        <v>1326</v>
      </c>
      <c r="E608" s="4" t="str">
        <f>IFERROR(INDEX('LEV R&amp;D'!$D:$D,MATCH(MEDIÇÃO!D608,'LEV R&amp;D'!$A:$A,0))-INDEX('PROJETO PERFURAÇÃO'!$AH:$AH,MATCH(MEDIÇÃO!D608,'PROJETO PERFURAÇÃO'!$B:$B,0)),"")</f>
        <v/>
      </c>
      <c r="F608" s="8" t="str">
        <f>IFERROR(INDEX('PROJETO PERFURAÇÃO'!$AN:$AN,MATCH(MEDIÇÃO!D608,'PROJETO PERFURAÇÃO'!$B:$B,0)),"")</f>
        <v/>
      </c>
      <c r="G608" s="3"/>
      <c r="H608" s="3"/>
      <c r="I608" s="3" t="str">
        <f>IFERROR(ROUND(INDEX('PROJETO PERFURAÇÃO'!$AB:$AB,MATCH(MEDIÇÃO!K608,'PROJETO PERFURAÇÃO'!$B:$B,0)),1)&amp;"''","")</f>
        <v/>
      </c>
      <c r="J608" s="3" t="str">
        <f>IFERROR(IF(INDEX('PROJETO PERFURAÇÃO'!$P:$P,MATCH(MEDIÇÃO!K608,'PROJETO PERFURAÇÃO'!$B:$B,0))="Production","P",IF(INDEX('PROJETO PERFURAÇÃO'!$P:$P,MATCH(MEDIÇÃO!K608,'PROJETO PERFURAÇÃO'!$B:$B,0))="Buffer","B",IF(INDEX('PROJETO PERFURAÇÃO'!$P:$P,MATCH(MEDIÇÃO!K608,'PROJETO PERFURAÇÃO'!$B:$B,0))="Pre-Splitting","S"))),"")</f>
        <v/>
      </c>
      <c r="K608" s="14">
        <f t="shared" si="58"/>
        <v>1349</v>
      </c>
      <c r="L608" s="4" t="str">
        <f>IFERROR(INDEX('LEV R&amp;D'!$D:$D,MATCH(MEDIÇÃO!K608,'LEV R&amp;D'!$A:$A,0))-INDEX('PROJETO PERFURAÇÃO'!$AH:$AH,MATCH(MEDIÇÃO!K608,'PROJETO PERFURAÇÃO'!$B:$B,0)),"")</f>
        <v/>
      </c>
      <c r="M608" s="8" t="str">
        <f>IFERROR(INDEX('PROJETO PERFURAÇÃO'!$AN:$AN,MATCH(MEDIÇÃO!K608,'PROJETO PERFURAÇÃO'!$B:$B,0)),"")</f>
        <v/>
      </c>
      <c r="N608" s="3"/>
      <c r="O608" s="3"/>
      <c r="P608" s="3" t="str">
        <f>IFERROR(ROUND(INDEX('PROJETO PERFURAÇÃO'!$AB:$AB,MATCH(MEDIÇÃO!R608,'PROJETO PERFURAÇÃO'!$B:$B,0)),1)&amp;"''","")</f>
        <v/>
      </c>
      <c r="Q608" s="3" t="str">
        <f>IFERROR(IF(INDEX('PROJETO PERFURAÇÃO'!$P:$P,MATCH(MEDIÇÃO!R608,'PROJETO PERFURAÇÃO'!$B:$B,0))="Production","P",IF(INDEX('PROJETO PERFURAÇÃO'!$P:$P,MATCH(MEDIÇÃO!R608,'PROJETO PERFURAÇÃO'!$B:$B,0))="Buffer","B",IF(INDEX('PROJETO PERFURAÇÃO'!$P:$P,MATCH(MEDIÇÃO!R608,'PROJETO PERFURAÇÃO'!$B:$B,0))="Pre-Splitting","S"))),"")</f>
        <v/>
      </c>
      <c r="R608" s="14">
        <f t="shared" si="59"/>
        <v>1372</v>
      </c>
      <c r="S608" s="4" t="str">
        <f>IFERROR(INDEX('LEV R&amp;D'!$D:$D,MATCH(MEDIÇÃO!R608,'LEV R&amp;D'!$A:$A,0))-INDEX('PROJETO PERFURAÇÃO'!$AH:$AH,MATCH(MEDIÇÃO!R608,'PROJETO PERFURAÇÃO'!$B:$B,0)),"")</f>
        <v/>
      </c>
      <c r="T608" s="8" t="str">
        <f>IFERROR(INDEX('PROJETO PERFURAÇÃO'!$AN:$AN,MATCH(MEDIÇÃO!R608,'PROJETO PERFURAÇÃO'!$B:$B,0)),"")</f>
        <v/>
      </c>
      <c r="U608" s="3"/>
      <c r="V608" s="3"/>
    </row>
    <row r="609" spans="1:23" ht="45" customHeight="1">
      <c r="B609" s="3" t="str">
        <f>IFERROR(ROUND(INDEX('PROJETO PERFURAÇÃO'!$AB:$AB,MATCH(MEDIÇÃO!D609,'PROJETO PERFURAÇÃO'!$B:$B,0)),1)&amp;"''","")</f>
        <v/>
      </c>
      <c r="C609" s="3" t="str">
        <f>IFERROR(IF(INDEX('PROJETO PERFURAÇÃO'!$P:$P,MATCH(MEDIÇÃO!D609,'PROJETO PERFURAÇÃO'!$B:$B,0))="Production","P",IF(INDEX('PROJETO PERFURAÇÃO'!$P:$P,MATCH(MEDIÇÃO!D609,'PROJETO PERFURAÇÃO'!$B:$B,0))="Buffer","B",IF(INDEX('PROJETO PERFURAÇÃO'!$P:$P,MATCH(MEDIÇÃO!D609,'PROJETO PERFURAÇÃO'!$B:$B,0))="Pre-Splitting","S"))),"")</f>
        <v/>
      </c>
      <c r="D609" s="14">
        <f t="shared" si="57"/>
        <v>1327</v>
      </c>
      <c r="E609" s="4" t="str">
        <f>IFERROR(INDEX('LEV R&amp;D'!$D:$D,MATCH(MEDIÇÃO!D609,'LEV R&amp;D'!$A:$A,0))-INDEX('PROJETO PERFURAÇÃO'!$AH:$AH,MATCH(MEDIÇÃO!D609,'PROJETO PERFURAÇÃO'!$B:$B,0)),"")</f>
        <v/>
      </c>
      <c r="F609" s="8" t="str">
        <f>IFERROR(INDEX('PROJETO PERFURAÇÃO'!$AN:$AN,MATCH(MEDIÇÃO!D609,'PROJETO PERFURAÇÃO'!$B:$B,0)),"")</f>
        <v/>
      </c>
      <c r="G609" s="3"/>
      <c r="H609" s="3"/>
      <c r="I609" s="3" t="str">
        <f>IFERROR(ROUND(INDEX('PROJETO PERFURAÇÃO'!$AB:$AB,MATCH(MEDIÇÃO!K609,'PROJETO PERFURAÇÃO'!$B:$B,0)),1)&amp;"''","")</f>
        <v/>
      </c>
      <c r="J609" s="3" t="str">
        <f>IFERROR(IF(INDEX('PROJETO PERFURAÇÃO'!$P:$P,MATCH(MEDIÇÃO!K609,'PROJETO PERFURAÇÃO'!$B:$B,0))="Production","P",IF(INDEX('PROJETO PERFURAÇÃO'!$P:$P,MATCH(MEDIÇÃO!K609,'PROJETO PERFURAÇÃO'!$B:$B,0))="Buffer","B",IF(INDEX('PROJETO PERFURAÇÃO'!$P:$P,MATCH(MEDIÇÃO!K609,'PROJETO PERFURAÇÃO'!$B:$B,0))="Pre-Splitting","S"))),"")</f>
        <v/>
      </c>
      <c r="K609" s="14">
        <f t="shared" si="58"/>
        <v>1350</v>
      </c>
      <c r="L609" s="4" t="str">
        <f>IFERROR(INDEX('LEV R&amp;D'!$D:$D,MATCH(MEDIÇÃO!K609,'LEV R&amp;D'!$A:$A,0))-INDEX('PROJETO PERFURAÇÃO'!$AH:$AH,MATCH(MEDIÇÃO!K609,'PROJETO PERFURAÇÃO'!$B:$B,0)),"")</f>
        <v/>
      </c>
      <c r="M609" s="8" t="str">
        <f>IFERROR(INDEX('PROJETO PERFURAÇÃO'!$AN:$AN,MATCH(MEDIÇÃO!K609,'PROJETO PERFURAÇÃO'!$B:$B,0)),"")</f>
        <v/>
      </c>
      <c r="N609" s="3"/>
      <c r="O609" s="3"/>
      <c r="P609" s="3" t="str">
        <f>IFERROR(ROUND(INDEX('PROJETO PERFURAÇÃO'!$AB:$AB,MATCH(MEDIÇÃO!R609,'PROJETO PERFURAÇÃO'!$B:$B,0)),1)&amp;"''","")</f>
        <v/>
      </c>
      <c r="Q609" s="3" t="str">
        <f>IFERROR(IF(INDEX('PROJETO PERFURAÇÃO'!$P:$P,MATCH(MEDIÇÃO!R609,'PROJETO PERFURAÇÃO'!$B:$B,0))="Production","P",IF(INDEX('PROJETO PERFURAÇÃO'!$P:$P,MATCH(MEDIÇÃO!R609,'PROJETO PERFURAÇÃO'!$B:$B,0))="Buffer","B",IF(INDEX('PROJETO PERFURAÇÃO'!$P:$P,MATCH(MEDIÇÃO!R609,'PROJETO PERFURAÇÃO'!$B:$B,0))="Pre-Splitting","S"))),"")</f>
        <v/>
      </c>
      <c r="R609" s="14">
        <f t="shared" si="59"/>
        <v>1373</v>
      </c>
      <c r="S609" s="4" t="str">
        <f>IFERROR(INDEX('LEV R&amp;D'!$D:$D,MATCH(MEDIÇÃO!R609,'LEV R&amp;D'!$A:$A,0))-INDEX('PROJETO PERFURAÇÃO'!$AH:$AH,MATCH(MEDIÇÃO!R609,'PROJETO PERFURAÇÃO'!$B:$B,0)),"")</f>
        <v/>
      </c>
      <c r="T609" s="8" t="str">
        <f>IFERROR(INDEX('PROJETO PERFURAÇÃO'!$AN:$AN,MATCH(MEDIÇÃO!R609,'PROJETO PERFURAÇÃO'!$B:$B,0)),"")</f>
        <v/>
      </c>
      <c r="U609" s="3"/>
      <c r="V609" s="3"/>
    </row>
    <row r="610" spans="1:23" ht="45" customHeight="1">
      <c r="B610" s="3" t="str">
        <f>IFERROR(ROUND(INDEX('PROJETO PERFURAÇÃO'!$AB:$AB,MATCH(MEDIÇÃO!D610,'PROJETO PERFURAÇÃO'!$B:$B,0)),1)&amp;"''","")</f>
        <v/>
      </c>
      <c r="C610" s="3" t="str">
        <f>IFERROR(IF(INDEX('PROJETO PERFURAÇÃO'!$P:$P,MATCH(MEDIÇÃO!D610,'PROJETO PERFURAÇÃO'!$B:$B,0))="Production","P",IF(INDEX('PROJETO PERFURAÇÃO'!$P:$P,MATCH(MEDIÇÃO!D610,'PROJETO PERFURAÇÃO'!$B:$B,0))="Buffer","B",IF(INDEX('PROJETO PERFURAÇÃO'!$P:$P,MATCH(MEDIÇÃO!D610,'PROJETO PERFURAÇÃO'!$B:$B,0))="Pre-Splitting","S"))),"")</f>
        <v/>
      </c>
      <c r="D610" s="14">
        <f t="shared" si="57"/>
        <v>1328</v>
      </c>
      <c r="E610" s="4" t="str">
        <f>IFERROR(INDEX('LEV R&amp;D'!$D:$D,MATCH(MEDIÇÃO!D610,'LEV R&amp;D'!$A:$A,0))-INDEX('PROJETO PERFURAÇÃO'!$AH:$AH,MATCH(MEDIÇÃO!D610,'PROJETO PERFURAÇÃO'!$B:$B,0)),"")</f>
        <v/>
      </c>
      <c r="F610" s="8" t="str">
        <f>IFERROR(INDEX('PROJETO PERFURAÇÃO'!$AN:$AN,MATCH(MEDIÇÃO!D610,'PROJETO PERFURAÇÃO'!$B:$B,0)),"")</f>
        <v/>
      </c>
      <c r="G610" s="3"/>
      <c r="H610" s="3"/>
      <c r="I610" s="3" t="str">
        <f>IFERROR(ROUND(INDEX('PROJETO PERFURAÇÃO'!$AB:$AB,MATCH(MEDIÇÃO!K610,'PROJETO PERFURAÇÃO'!$B:$B,0)),1)&amp;"''","")</f>
        <v/>
      </c>
      <c r="J610" s="3" t="str">
        <f>IFERROR(IF(INDEX('PROJETO PERFURAÇÃO'!$P:$P,MATCH(MEDIÇÃO!K610,'PROJETO PERFURAÇÃO'!$B:$B,0))="Production","P",IF(INDEX('PROJETO PERFURAÇÃO'!$P:$P,MATCH(MEDIÇÃO!K610,'PROJETO PERFURAÇÃO'!$B:$B,0))="Buffer","B",IF(INDEX('PROJETO PERFURAÇÃO'!$P:$P,MATCH(MEDIÇÃO!K610,'PROJETO PERFURAÇÃO'!$B:$B,0))="Pre-Splitting","S"))),"")</f>
        <v/>
      </c>
      <c r="K610" s="14">
        <f t="shared" si="58"/>
        <v>1351</v>
      </c>
      <c r="L610" s="4" t="str">
        <f>IFERROR(INDEX('LEV R&amp;D'!$D:$D,MATCH(MEDIÇÃO!K610,'LEV R&amp;D'!$A:$A,0))-INDEX('PROJETO PERFURAÇÃO'!$AH:$AH,MATCH(MEDIÇÃO!K610,'PROJETO PERFURAÇÃO'!$B:$B,0)),"")</f>
        <v/>
      </c>
      <c r="M610" s="8" t="str">
        <f>IFERROR(INDEX('PROJETO PERFURAÇÃO'!$AN:$AN,MATCH(MEDIÇÃO!K610,'PROJETO PERFURAÇÃO'!$B:$B,0)),"")</f>
        <v/>
      </c>
      <c r="N610" s="3"/>
      <c r="O610" s="3"/>
      <c r="P610" s="3" t="str">
        <f>IFERROR(ROUND(INDEX('PROJETO PERFURAÇÃO'!$AB:$AB,MATCH(MEDIÇÃO!R610,'PROJETO PERFURAÇÃO'!$B:$B,0)),1)&amp;"''","")</f>
        <v/>
      </c>
      <c r="Q610" s="3" t="str">
        <f>IFERROR(IF(INDEX('PROJETO PERFURAÇÃO'!$P:$P,MATCH(MEDIÇÃO!R610,'PROJETO PERFURAÇÃO'!$B:$B,0))="Production","P",IF(INDEX('PROJETO PERFURAÇÃO'!$P:$P,MATCH(MEDIÇÃO!R610,'PROJETO PERFURAÇÃO'!$B:$B,0))="Buffer","B",IF(INDEX('PROJETO PERFURAÇÃO'!$P:$P,MATCH(MEDIÇÃO!R610,'PROJETO PERFURAÇÃO'!$B:$B,0))="Pre-Splitting","S"))),"")</f>
        <v/>
      </c>
      <c r="R610" s="14">
        <f t="shared" si="59"/>
        <v>1374</v>
      </c>
      <c r="S610" s="4" t="str">
        <f>IFERROR(INDEX('LEV R&amp;D'!$D:$D,MATCH(MEDIÇÃO!R610,'LEV R&amp;D'!$A:$A,0))-INDEX('PROJETO PERFURAÇÃO'!$AH:$AH,MATCH(MEDIÇÃO!R610,'PROJETO PERFURAÇÃO'!$B:$B,0)),"")</f>
        <v/>
      </c>
      <c r="T610" s="8" t="str">
        <f>IFERROR(INDEX('PROJETO PERFURAÇÃO'!$AN:$AN,MATCH(MEDIÇÃO!R610,'PROJETO PERFURAÇÃO'!$B:$B,0)),"")</f>
        <v/>
      </c>
      <c r="U610" s="3"/>
      <c r="V610" s="3"/>
    </row>
    <row r="611" spans="1:23" ht="45" customHeight="1">
      <c r="B611" s="3" t="str">
        <f>IFERROR(ROUND(INDEX('PROJETO PERFURAÇÃO'!$AB:$AB,MATCH(MEDIÇÃO!D611,'PROJETO PERFURAÇÃO'!$B:$B,0)),1)&amp;"''","")</f>
        <v/>
      </c>
      <c r="C611" s="3" t="str">
        <f>IFERROR(IF(INDEX('PROJETO PERFURAÇÃO'!$P:$P,MATCH(MEDIÇÃO!D611,'PROJETO PERFURAÇÃO'!$B:$B,0))="Production","P",IF(INDEX('PROJETO PERFURAÇÃO'!$P:$P,MATCH(MEDIÇÃO!D611,'PROJETO PERFURAÇÃO'!$B:$B,0))="Buffer","B",IF(INDEX('PROJETO PERFURAÇÃO'!$P:$P,MATCH(MEDIÇÃO!D611,'PROJETO PERFURAÇÃO'!$B:$B,0))="Pre-Splitting","S"))),"")</f>
        <v/>
      </c>
      <c r="D611" s="14">
        <f t="shared" si="57"/>
        <v>1329</v>
      </c>
      <c r="E611" s="4" t="str">
        <f>IFERROR(INDEX('LEV R&amp;D'!$D:$D,MATCH(MEDIÇÃO!D611,'LEV R&amp;D'!$A:$A,0))-INDEX('PROJETO PERFURAÇÃO'!$AH:$AH,MATCH(MEDIÇÃO!D611,'PROJETO PERFURAÇÃO'!$B:$B,0)),"")</f>
        <v/>
      </c>
      <c r="F611" s="8" t="str">
        <f>IFERROR(INDEX('PROJETO PERFURAÇÃO'!$AN:$AN,MATCH(MEDIÇÃO!D611,'PROJETO PERFURAÇÃO'!$B:$B,0)),"")</f>
        <v/>
      </c>
      <c r="G611" s="3"/>
      <c r="H611" s="3"/>
      <c r="I611" s="3" t="str">
        <f>IFERROR(ROUND(INDEX('PROJETO PERFURAÇÃO'!$AB:$AB,MATCH(MEDIÇÃO!K611,'PROJETO PERFURAÇÃO'!$B:$B,0)),1)&amp;"''","")</f>
        <v/>
      </c>
      <c r="J611" s="3" t="str">
        <f>IFERROR(IF(INDEX('PROJETO PERFURAÇÃO'!$P:$P,MATCH(MEDIÇÃO!K611,'PROJETO PERFURAÇÃO'!$B:$B,0))="Production","P",IF(INDEX('PROJETO PERFURAÇÃO'!$P:$P,MATCH(MEDIÇÃO!K611,'PROJETO PERFURAÇÃO'!$B:$B,0))="Buffer","B",IF(INDEX('PROJETO PERFURAÇÃO'!$P:$P,MATCH(MEDIÇÃO!K611,'PROJETO PERFURAÇÃO'!$B:$B,0))="Pre-Splitting","S"))),"")</f>
        <v/>
      </c>
      <c r="K611" s="14">
        <f t="shared" si="58"/>
        <v>1352</v>
      </c>
      <c r="L611" s="4" t="str">
        <f>IFERROR(INDEX('LEV R&amp;D'!$D:$D,MATCH(MEDIÇÃO!K611,'LEV R&amp;D'!$A:$A,0))-INDEX('PROJETO PERFURAÇÃO'!$AH:$AH,MATCH(MEDIÇÃO!K611,'PROJETO PERFURAÇÃO'!$B:$B,0)),"")</f>
        <v/>
      </c>
      <c r="M611" s="8" t="str">
        <f>IFERROR(INDEX('PROJETO PERFURAÇÃO'!$AN:$AN,MATCH(MEDIÇÃO!K611,'PROJETO PERFURAÇÃO'!$B:$B,0)),"")</f>
        <v/>
      </c>
      <c r="N611" s="3"/>
      <c r="O611" s="3"/>
      <c r="P611" s="3" t="str">
        <f>IFERROR(ROUND(INDEX('PROJETO PERFURAÇÃO'!$AB:$AB,MATCH(MEDIÇÃO!R611,'PROJETO PERFURAÇÃO'!$B:$B,0)),1)&amp;"''","")</f>
        <v/>
      </c>
      <c r="Q611" s="3" t="str">
        <f>IFERROR(IF(INDEX('PROJETO PERFURAÇÃO'!$P:$P,MATCH(MEDIÇÃO!R611,'PROJETO PERFURAÇÃO'!$B:$B,0))="Production","P",IF(INDEX('PROJETO PERFURAÇÃO'!$P:$P,MATCH(MEDIÇÃO!R611,'PROJETO PERFURAÇÃO'!$B:$B,0))="Buffer","B",IF(INDEX('PROJETO PERFURAÇÃO'!$P:$P,MATCH(MEDIÇÃO!R611,'PROJETO PERFURAÇÃO'!$B:$B,0))="Pre-Splitting","S"))),"")</f>
        <v/>
      </c>
      <c r="R611" s="14">
        <f t="shared" si="59"/>
        <v>1375</v>
      </c>
      <c r="S611" s="4" t="str">
        <f>IFERROR(INDEX('LEV R&amp;D'!$D:$D,MATCH(MEDIÇÃO!R611,'LEV R&amp;D'!$A:$A,0))-INDEX('PROJETO PERFURAÇÃO'!$AH:$AH,MATCH(MEDIÇÃO!R611,'PROJETO PERFURAÇÃO'!$B:$B,0)),"")</f>
        <v/>
      </c>
      <c r="T611" s="8" t="str">
        <f>IFERROR(INDEX('PROJETO PERFURAÇÃO'!$AN:$AN,MATCH(MEDIÇÃO!R611,'PROJETO PERFURAÇÃO'!$B:$B,0)),"")</f>
        <v/>
      </c>
      <c r="U611" s="3"/>
      <c r="V611" s="3"/>
    </row>
    <row r="612" spans="1:23" ht="45" customHeight="1">
      <c r="B612" s="3" t="str">
        <f>IFERROR(ROUND(INDEX('PROJETO PERFURAÇÃO'!$AB:$AB,MATCH(MEDIÇÃO!D612,'PROJETO PERFURAÇÃO'!$B:$B,0)),1)&amp;"''","")</f>
        <v/>
      </c>
      <c r="C612" s="3" t="str">
        <f>IFERROR(IF(INDEX('PROJETO PERFURAÇÃO'!$P:$P,MATCH(MEDIÇÃO!D612,'PROJETO PERFURAÇÃO'!$B:$B,0))="Production","P",IF(INDEX('PROJETO PERFURAÇÃO'!$P:$P,MATCH(MEDIÇÃO!D612,'PROJETO PERFURAÇÃO'!$B:$B,0))="Buffer","B",IF(INDEX('PROJETO PERFURAÇÃO'!$P:$P,MATCH(MEDIÇÃO!D612,'PROJETO PERFURAÇÃO'!$B:$B,0))="Pre-Splitting","S"))),"")</f>
        <v/>
      </c>
      <c r="D612" s="14">
        <f t="shared" si="57"/>
        <v>1330</v>
      </c>
      <c r="E612" s="4" t="str">
        <f>IFERROR(INDEX('LEV R&amp;D'!$D:$D,MATCH(MEDIÇÃO!D612,'LEV R&amp;D'!$A:$A,0))-INDEX('PROJETO PERFURAÇÃO'!$AH:$AH,MATCH(MEDIÇÃO!D612,'PROJETO PERFURAÇÃO'!$B:$B,0)),"")</f>
        <v/>
      </c>
      <c r="F612" s="8" t="str">
        <f>IFERROR(INDEX('PROJETO PERFURAÇÃO'!$AN:$AN,MATCH(MEDIÇÃO!D612,'PROJETO PERFURAÇÃO'!$B:$B,0)),"")</f>
        <v/>
      </c>
      <c r="G612" s="3"/>
      <c r="H612" s="3"/>
      <c r="I612" s="3" t="str">
        <f>IFERROR(ROUND(INDEX('PROJETO PERFURAÇÃO'!$AB:$AB,MATCH(MEDIÇÃO!K612,'PROJETO PERFURAÇÃO'!$B:$B,0)),1)&amp;"''","")</f>
        <v/>
      </c>
      <c r="J612" s="3" t="str">
        <f>IFERROR(IF(INDEX('PROJETO PERFURAÇÃO'!$P:$P,MATCH(MEDIÇÃO!K612,'PROJETO PERFURAÇÃO'!$B:$B,0))="Production","P",IF(INDEX('PROJETO PERFURAÇÃO'!$P:$P,MATCH(MEDIÇÃO!K612,'PROJETO PERFURAÇÃO'!$B:$B,0))="Buffer","B",IF(INDEX('PROJETO PERFURAÇÃO'!$P:$P,MATCH(MEDIÇÃO!K612,'PROJETO PERFURAÇÃO'!$B:$B,0))="Pre-Splitting","S"))),"")</f>
        <v/>
      </c>
      <c r="K612" s="14">
        <f t="shared" si="58"/>
        <v>1353</v>
      </c>
      <c r="L612" s="4" t="str">
        <f>IFERROR(INDEX('LEV R&amp;D'!$D:$D,MATCH(MEDIÇÃO!K612,'LEV R&amp;D'!$A:$A,0))-INDEX('PROJETO PERFURAÇÃO'!$AH:$AH,MATCH(MEDIÇÃO!K612,'PROJETO PERFURAÇÃO'!$B:$B,0)),"")</f>
        <v/>
      </c>
      <c r="M612" s="8" t="str">
        <f>IFERROR(INDEX('PROJETO PERFURAÇÃO'!$AN:$AN,MATCH(MEDIÇÃO!K612,'PROJETO PERFURAÇÃO'!$B:$B,0)),"")</f>
        <v/>
      </c>
      <c r="N612" s="3"/>
      <c r="O612" s="3"/>
      <c r="P612" s="3" t="str">
        <f>IFERROR(ROUND(INDEX('PROJETO PERFURAÇÃO'!$AB:$AB,MATCH(MEDIÇÃO!R612,'PROJETO PERFURAÇÃO'!$B:$B,0)),1)&amp;"''","")</f>
        <v/>
      </c>
      <c r="Q612" s="3" t="str">
        <f>IFERROR(IF(INDEX('PROJETO PERFURAÇÃO'!$P:$P,MATCH(MEDIÇÃO!R612,'PROJETO PERFURAÇÃO'!$B:$B,0))="Production","P",IF(INDEX('PROJETO PERFURAÇÃO'!$P:$P,MATCH(MEDIÇÃO!R612,'PROJETO PERFURAÇÃO'!$B:$B,0))="Buffer","B",IF(INDEX('PROJETO PERFURAÇÃO'!$P:$P,MATCH(MEDIÇÃO!R612,'PROJETO PERFURAÇÃO'!$B:$B,0))="Pre-Splitting","S"))),"")</f>
        <v/>
      </c>
      <c r="R612" s="14">
        <f t="shared" si="59"/>
        <v>1376</v>
      </c>
      <c r="S612" s="4" t="str">
        <f>IFERROR(INDEX('LEV R&amp;D'!$D:$D,MATCH(MEDIÇÃO!R612,'LEV R&amp;D'!$A:$A,0))-INDEX('PROJETO PERFURAÇÃO'!$AH:$AH,MATCH(MEDIÇÃO!R612,'PROJETO PERFURAÇÃO'!$B:$B,0)),"")</f>
        <v/>
      </c>
      <c r="T612" s="8" t="str">
        <f>IFERROR(INDEX('PROJETO PERFURAÇÃO'!$AN:$AN,MATCH(MEDIÇÃO!R612,'PROJETO PERFURAÇÃO'!$B:$B,0)),"")</f>
        <v/>
      </c>
      <c r="U612" s="3"/>
      <c r="V612" s="3"/>
    </row>
    <row r="613" spans="1:23" ht="45" customHeight="1">
      <c r="B613" s="3" t="str">
        <f>IFERROR(ROUND(INDEX('PROJETO PERFURAÇÃO'!$AB:$AB,MATCH(MEDIÇÃO!D613,'PROJETO PERFURAÇÃO'!$B:$B,0)),1)&amp;"''","")</f>
        <v/>
      </c>
      <c r="C613" s="3" t="str">
        <f>IFERROR(IF(INDEX('PROJETO PERFURAÇÃO'!$P:$P,MATCH(MEDIÇÃO!D613,'PROJETO PERFURAÇÃO'!$B:$B,0))="Production","P",IF(INDEX('PROJETO PERFURAÇÃO'!$P:$P,MATCH(MEDIÇÃO!D613,'PROJETO PERFURAÇÃO'!$B:$B,0))="Buffer","B",IF(INDEX('PROJETO PERFURAÇÃO'!$P:$P,MATCH(MEDIÇÃO!D613,'PROJETO PERFURAÇÃO'!$B:$B,0))="Pre-Splitting","S"))),"")</f>
        <v/>
      </c>
      <c r="D613" s="14">
        <f t="shared" si="57"/>
        <v>1331</v>
      </c>
      <c r="E613" s="4" t="str">
        <f>IFERROR(INDEX('LEV R&amp;D'!$D:$D,MATCH(MEDIÇÃO!D613,'LEV R&amp;D'!$A:$A,0))-INDEX('PROJETO PERFURAÇÃO'!$AH:$AH,MATCH(MEDIÇÃO!D613,'PROJETO PERFURAÇÃO'!$B:$B,0)),"")</f>
        <v/>
      </c>
      <c r="F613" s="8" t="str">
        <f>IFERROR(INDEX('PROJETO PERFURAÇÃO'!$AN:$AN,MATCH(MEDIÇÃO!D613,'PROJETO PERFURAÇÃO'!$B:$B,0)),"")</f>
        <v/>
      </c>
      <c r="G613" s="3"/>
      <c r="H613" s="3"/>
      <c r="I613" s="3" t="str">
        <f>IFERROR(ROUND(INDEX('PROJETO PERFURAÇÃO'!$AB:$AB,MATCH(MEDIÇÃO!K613,'PROJETO PERFURAÇÃO'!$B:$B,0)),1)&amp;"''","")</f>
        <v/>
      </c>
      <c r="J613" s="3" t="str">
        <f>IFERROR(IF(INDEX('PROJETO PERFURAÇÃO'!$P:$P,MATCH(MEDIÇÃO!K613,'PROJETO PERFURAÇÃO'!$B:$B,0))="Production","P",IF(INDEX('PROJETO PERFURAÇÃO'!$P:$P,MATCH(MEDIÇÃO!K613,'PROJETO PERFURAÇÃO'!$B:$B,0))="Buffer","B",IF(INDEX('PROJETO PERFURAÇÃO'!$P:$P,MATCH(MEDIÇÃO!K613,'PROJETO PERFURAÇÃO'!$B:$B,0))="Pre-Splitting","S"))),"")</f>
        <v/>
      </c>
      <c r="K613" s="14">
        <f t="shared" si="58"/>
        <v>1354</v>
      </c>
      <c r="L613" s="4" t="str">
        <f>IFERROR(INDEX('LEV R&amp;D'!$D:$D,MATCH(MEDIÇÃO!K613,'LEV R&amp;D'!$A:$A,0))-INDEX('PROJETO PERFURAÇÃO'!$AH:$AH,MATCH(MEDIÇÃO!K613,'PROJETO PERFURAÇÃO'!$B:$B,0)),"")</f>
        <v/>
      </c>
      <c r="M613" s="8" t="str">
        <f>IFERROR(INDEX('PROJETO PERFURAÇÃO'!$AN:$AN,MATCH(MEDIÇÃO!K613,'PROJETO PERFURAÇÃO'!$B:$B,0)),"")</f>
        <v/>
      </c>
      <c r="N613" s="3"/>
      <c r="O613" s="3"/>
      <c r="P613" s="3" t="str">
        <f>IFERROR(ROUND(INDEX('PROJETO PERFURAÇÃO'!$AB:$AB,MATCH(MEDIÇÃO!R613,'PROJETO PERFURAÇÃO'!$B:$B,0)),1)&amp;"''","")</f>
        <v/>
      </c>
      <c r="Q613" s="3" t="str">
        <f>IFERROR(IF(INDEX('PROJETO PERFURAÇÃO'!$P:$P,MATCH(MEDIÇÃO!R613,'PROJETO PERFURAÇÃO'!$B:$B,0))="Production","P",IF(INDEX('PROJETO PERFURAÇÃO'!$P:$P,MATCH(MEDIÇÃO!R613,'PROJETO PERFURAÇÃO'!$B:$B,0))="Buffer","B",IF(INDEX('PROJETO PERFURAÇÃO'!$P:$P,MATCH(MEDIÇÃO!R613,'PROJETO PERFURAÇÃO'!$B:$B,0))="Pre-Splitting","S"))),"")</f>
        <v/>
      </c>
      <c r="R613" s="14">
        <f t="shared" si="59"/>
        <v>1377</v>
      </c>
      <c r="S613" s="4" t="str">
        <f>IFERROR(INDEX('LEV R&amp;D'!$D:$D,MATCH(MEDIÇÃO!R613,'LEV R&amp;D'!$A:$A,0))-INDEX('PROJETO PERFURAÇÃO'!$AH:$AH,MATCH(MEDIÇÃO!R613,'PROJETO PERFURAÇÃO'!$B:$B,0)),"")</f>
        <v/>
      </c>
      <c r="T613" s="8" t="str">
        <f>IFERROR(INDEX('PROJETO PERFURAÇÃO'!$AN:$AN,MATCH(MEDIÇÃO!R613,'PROJETO PERFURAÇÃO'!$B:$B,0)),"")</f>
        <v/>
      </c>
      <c r="U613" s="3"/>
      <c r="V613" s="3"/>
    </row>
    <row r="614" spans="1:23" ht="45" customHeight="1">
      <c r="B614" s="3" t="str">
        <f>IFERROR(ROUND(INDEX('PROJETO PERFURAÇÃO'!$AB:$AB,MATCH(MEDIÇÃO!D614,'PROJETO PERFURAÇÃO'!$B:$B,0)),1)&amp;"''","")</f>
        <v/>
      </c>
      <c r="C614" s="3" t="str">
        <f>IFERROR(IF(INDEX('PROJETO PERFURAÇÃO'!$P:$P,MATCH(MEDIÇÃO!D614,'PROJETO PERFURAÇÃO'!$B:$B,0))="Production","P",IF(INDEX('PROJETO PERFURAÇÃO'!$P:$P,MATCH(MEDIÇÃO!D614,'PROJETO PERFURAÇÃO'!$B:$B,0))="Buffer","B",IF(INDEX('PROJETO PERFURAÇÃO'!$P:$P,MATCH(MEDIÇÃO!D614,'PROJETO PERFURAÇÃO'!$B:$B,0))="Pre-Splitting","S"))),"")</f>
        <v/>
      </c>
      <c r="D614" s="14">
        <f t="shared" si="57"/>
        <v>1332</v>
      </c>
      <c r="E614" s="4" t="str">
        <f>IFERROR(INDEX('LEV R&amp;D'!$D:$D,MATCH(MEDIÇÃO!D614,'LEV R&amp;D'!$A:$A,0))-INDEX('PROJETO PERFURAÇÃO'!$AH:$AH,MATCH(MEDIÇÃO!D614,'PROJETO PERFURAÇÃO'!$B:$B,0)),"")</f>
        <v/>
      </c>
      <c r="F614" s="8" t="str">
        <f>IFERROR(INDEX('PROJETO PERFURAÇÃO'!$AN:$AN,MATCH(MEDIÇÃO!D614,'PROJETO PERFURAÇÃO'!$B:$B,0)),"")</f>
        <v/>
      </c>
      <c r="G614" s="3"/>
      <c r="H614" s="3"/>
      <c r="I614" s="3" t="str">
        <f>IFERROR(ROUND(INDEX('PROJETO PERFURAÇÃO'!$AB:$AB,MATCH(MEDIÇÃO!K614,'PROJETO PERFURAÇÃO'!$B:$B,0)),1)&amp;"''","")</f>
        <v/>
      </c>
      <c r="J614" s="3" t="str">
        <f>IFERROR(IF(INDEX('PROJETO PERFURAÇÃO'!$P:$P,MATCH(MEDIÇÃO!K614,'PROJETO PERFURAÇÃO'!$B:$B,0))="Production","P",IF(INDEX('PROJETO PERFURAÇÃO'!$P:$P,MATCH(MEDIÇÃO!K614,'PROJETO PERFURAÇÃO'!$B:$B,0))="Buffer","B",IF(INDEX('PROJETO PERFURAÇÃO'!$P:$P,MATCH(MEDIÇÃO!K614,'PROJETO PERFURAÇÃO'!$B:$B,0))="Pre-Splitting","S"))),"")</f>
        <v/>
      </c>
      <c r="K614" s="14">
        <f t="shared" si="58"/>
        <v>1355</v>
      </c>
      <c r="L614" s="4" t="str">
        <f>IFERROR(INDEX('LEV R&amp;D'!$D:$D,MATCH(MEDIÇÃO!K614,'LEV R&amp;D'!$A:$A,0))-INDEX('PROJETO PERFURAÇÃO'!$AH:$AH,MATCH(MEDIÇÃO!K614,'PROJETO PERFURAÇÃO'!$B:$B,0)),"")</f>
        <v/>
      </c>
      <c r="M614" s="8" t="str">
        <f>IFERROR(INDEX('PROJETO PERFURAÇÃO'!$AN:$AN,MATCH(MEDIÇÃO!K614,'PROJETO PERFURAÇÃO'!$B:$B,0)),"")</f>
        <v/>
      </c>
      <c r="N614" s="3"/>
      <c r="O614" s="3"/>
      <c r="P614" s="3" t="str">
        <f>IFERROR(ROUND(INDEX('PROJETO PERFURAÇÃO'!$AB:$AB,MATCH(MEDIÇÃO!R614,'PROJETO PERFURAÇÃO'!$B:$B,0)),1)&amp;"''","")</f>
        <v/>
      </c>
      <c r="Q614" s="3" t="str">
        <f>IFERROR(IF(INDEX('PROJETO PERFURAÇÃO'!$P:$P,MATCH(MEDIÇÃO!R614,'PROJETO PERFURAÇÃO'!$B:$B,0))="Production","P",IF(INDEX('PROJETO PERFURAÇÃO'!$P:$P,MATCH(MEDIÇÃO!R614,'PROJETO PERFURAÇÃO'!$B:$B,0))="Buffer","B",IF(INDEX('PROJETO PERFURAÇÃO'!$P:$P,MATCH(MEDIÇÃO!R614,'PROJETO PERFURAÇÃO'!$B:$B,0))="Pre-Splitting","S"))),"")</f>
        <v/>
      </c>
      <c r="R614" s="14">
        <f t="shared" si="59"/>
        <v>1378</v>
      </c>
      <c r="S614" s="4" t="str">
        <f>IFERROR(INDEX('LEV R&amp;D'!$D:$D,MATCH(MEDIÇÃO!R614,'LEV R&amp;D'!$A:$A,0))-INDEX('PROJETO PERFURAÇÃO'!$AH:$AH,MATCH(MEDIÇÃO!R614,'PROJETO PERFURAÇÃO'!$B:$B,0)),"")</f>
        <v/>
      </c>
      <c r="T614" s="8" t="str">
        <f>IFERROR(INDEX('PROJETO PERFURAÇÃO'!$AN:$AN,MATCH(MEDIÇÃO!R614,'PROJETO PERFURAÇÃO'!$B:$B,0)),"")</f>
        <v/>
      </c>
      <c r="U614" s="3"/>
      <c r="V614" s="3"/>
    </row>
    <row r="615" spans="1:23" ht="45" customHeight="1">
      <c r="B615" s="3" t="str">
        <f>IFERROR(ROUND(INDEX('PROJETO PERFURAÇÃO'!$AB:$AB,MATCH(MEDIÇÃO!D615,'PROJETO PERFURAÇÃO'!$B:$B,0)),1)&amp;"''","")</f>
        <v/>
      </c>
      <c r="C615" s="3" t="str">
        <f>IFERROR(IF(INDEX('PROJETO PERFURAÇÃO'!$P:$P,MATCH(MEDIÇÃO!D615,'PROJETO PERFURAÇÃO'!$B:$B,0))="Production","P",IF(INDEX('PROJETO PERFURAÇÃO'!$P:$P,MATCH(MEDIÇÃO!D615,'PROJETO PERFURAÇÃO'!$B:$B,0))="Buffer","B",IF(INDEX('PROJETO PERFURAÇÃO'!$P:$P,MATCH(MEDIÇÃO!D615,'PROJETO PERFURAÇÃO'!$B:$B,0))="Pre-Splitting","S"))),"")</f>
        <v/>
      </c>
      <c r="D615" s="14">
        <f t="shared" si="57"/>
        <v>1333</v>
      </c>
      <c r="E615" s="4" t="str">
        <f>IFERROR(INDEX('LEV R&amp;D'!$D:$D,MATCH(MEDIÇÃO!D615,'LEV R&amp;D'!$A:$A,0))-INDEX('PROJETO PERFURAÇÃO'!$AH:$AH,MATCH(MEDIÇÃO!D615,'PROJETO PERFURAÇÃO'!$B:$B,0)),"")</f>
        <v/>
      </c>
      <c r="F615" s="8" t="str">
        <f>IFERROR(INDEX('PROJETO PERFURAÇÃO'!$AN:$AN,MATCH(MEDIÇÃO!D615,'PROJETO PERFURAÇÃO'!$B:$B,0)),"")</f>
        <v/>
      </c>
      <c r="G615" s="3"/>
      <c r="H615" s="3"/>
      <c r="I615" s="3" t="str">
        <f>IFERROR(ROUND(INDEX('PROJETO PERFURAÇÃO'!$AB:$AB,MATCH(MEDIÇÃO!K615,'PROJETO PERFURAÇÃO'!$B:$B,0)),1)&amp;"''","")</f>
        <v/>
      </c>
      <c r="J615" s="3" t="str">
        <f>IFERROR(IF(INDEX('PROJETO PERFURAÇÃO'!$P:$P,MATCH(MEDIÇÃO!K615,'PROJETO PERFURAÇÃO'!$B:$B,0))="Production","P",IF(INDEX('PROJETO PERFURAÇÃO'!$P:$P,MATCH(MEDIÇÃO!K615,'PROJETO PERFURAÇÃO'!$B:$B,0))="Buffer","B",IF(INDEX('PROJETO PERFURAÇÃO'!$P:$P,MATCH(MEDIÇÃO!K615,'PROJETO PERFURAÇÃO'!$B:$B,0))="Pre-Splitting","S"))),"")</f>
        <v/>
      </c>
      <c r="K615" s="14">
        <f t="shared" si="58"/>
        <v>1356</v>
      </c>
      <c r="L615" s="4" t="str">
        <f>IFERROR(INDEX('LEV R&amp;D'!$D:$D,MATCH(MEDIÇÃO!K615,'LEV R&amp;D'!$A:$A,0))-INDEX('PROJETO PERFURAÇÃO'!$AH:$AH,MATCH(MEDIÇÃO!K615,'PROJETO PERFURAÇÃO'!$B:$B,0)),"")</f>
        <v/>
      </c>
      <c r="M615" s="8" t="str">
        <f>IFERROR(INDEX('PROJETO PERFURAÇÃO'!$AN:$AN,MATCH(MEDIÇÃO!K615,'PROJETO PERFURAÇÃO'!$B:$B,0)),"")</f>
        <v/>
      </c>
      <c r="N615" s="3"/>
      <c r="O615" s="3"/>
      <c r="P615" s="3" t="str">
        <f>IFERROR(ROUND(INDEX('PROJETO PERFURAÇÃO'!$AB:$AB,MATCH(MEDIÇÃO!R615,'PROJETO PERFURAÇÃO'!$B:$B,0)),1)&amp;"''","")</f>
        <v/>
      </c>
      <c r="Q615" s="3" t="str">
        <f>IFERROR(IF(INDEX('PROJETO PERFURAÇÃO'!$P:$P,MATCH(MEDIÇÃO!R615,'PROJETO PERFURAÇÃO'!$B:$B,0))="Production","P",IF(INDEX('PROJETO PERFURAÇÃO'!$P:$P,MATCH(MEDIÇÃO!R615,'PROJETO PERFURAÇÃO'!$B:$B,0))="Buffer","B",IF(INDEX('PROJETO PERFURAÇÃO'!$P:$P,MATCH(MEDIÇÃO!R615,'PROJETO PERFURAÇÃO'!$B:$B,0))="Pre-Splitting","S"))),"")</f>
        <v/>
      </c>
      <c r="R615" s="14">
        <f t="shared" si="59"/>
        <v>1379</v>
      </c>
      <c r="S615" s="4" t="str">
        <f>IFERROR(INDEX('LEV R&amp;D'!$D:$D,MATCH(MEDIÇÃO!R615,'LEV R&amp;D'!$A:$A,0))-INDEX('PROJETO PERFURAÇÃO'!$AH:$AH,MATCH(MEDIÇÃO!R615,'PROJETO PERFURAÇÃO'!$B:$B,0)),"")</f>
        <v/>
      </c>
      <c r="T615" s="8" t="str">
        <f>IFERROR(INDEX('PROJETO PERFURAÇÃO'!$AN:$AN,MATCH(MEDIÇÃO!R615,'PROJETO PERFURAÇÃO'!$B:$B,0)),"")</f>
        <v/>
      </c>
      <c r="U615" s="3"/>
      <c r="V615" s="3"/>
    </row>
    <row r="616" spans="1:23" ht="45" customHeight="1">
      <c r="B616" s="3" t="str">
        <f>IFERROR(ROUND(INDEX('PROJETO PERFURAÇÃO'!$AB:$AB,MATCH(MEDIÇÃO!D616,'PROJETO PERFURAÇÃO'!$B:$B,0)),1)&amp;"''","")</f>
        <v/>
      </c>
      <c r="C616" s="3" t="str">
        <f>IFERROR(IF(INDEX('PROJETO PERFURAÇÃO'!$P:$P,MATCH(MEDIÇÃO!D616,'PROJETO PERFURAÇÃO'!$B:$B,0))="Production","P",IF(INDEX('PROJETO PERFURAÇÃO'!$P:$P,MATCH(MEDIÇÃO!D616,'PROJETO PERFURAÇÃO'!$B:$B,0))="Buffer","B",IF(INDEX('PROJETO PERFURAÇÃO'!$P:$P,MATCH(MEDIÇÃO!D616,'PROJETO PERFURAÇÃO'!$B:$B,0))="Pre-Splitting","S"))),"")</f>
        <v/>
      </c>
      <c r="D616" s="14">
        <f t="shared" si="57"/>
        <v>1334</v>
      </c>
      <c r="E616" s="4" t="str">
        <f>IFERROR(INDEX('LEV R&amp;D'!$D:$D,MATCH(MEDIÇÃO!D616,'LEV R&amp;D'!$A:$A,0))-INDEX('PROJETO PERFURAÇÃO'!$AH:$AH,MATCH(MEDIÇÃO!D616,'PROJETO PERFURAÇÃO'!$B:$B,0)),"")</f>
        <v/>
      </c>
      <c r="F616" s="8" t="str">
        <f>IFERROR(INDEX('PROJETO PERFURAÇÃO'!$AN:$AN,MATCH(MEDIÇÃO!D616,'PROJETO PERFURAÇÃO'!$B:$B,0)),"")</f>
        <v/>
      </c>
      <c r="G616" s="3"/>
      <c r="H616" s="3"/>
      <c r="I616" s="3" t="str">
        <f>IFERROR(ROUND(INDEX('PROJETO PERFURAÇÃO'!$AB:$AB,MATCH(MEDIÇÃO!K616,'PROJETO PERFURAÇÃO'!$B:$B,0)),1)&amp;"''","")</f>
        <v/>
      </c>
      <c r="J616" s="3" t="str">
        <f>IFERROR(IF(INDEX('PROJETO PERFURAÇÃO'!$P:$P,MATCH(MEDIÇÃO!K616,'PROJETO PERFURAÇÃO'!$B:$B,0))="Production","P",IF(INDEX('PROJETO PERFURAÇÃO'!$P:$P,MATCH(MEDIÇÃO!K616,'PROJETO PERFURAÇÃO'!$B:$B,0))="Buffer","B",IF(INDEX('PROJETO PERFURAÇÃO'!$P:$P,MATCH(MEDIÇÃO!K616,'PROJETO PERFURAÇÃO'!$B:$B,0))="Pre-Splitting","S"))),"")</f>
        <v/>
      </c>
      <c r="K616" s="14">
        <f>K615+1</f>
        <v>1357</v>
      </c>
      <c r="L616" s="4" t="str">
        <f>IFERROR(INDEX('LEV R&amp;D'!$D:$D,MATCH(MEDIÇÃO!K616,'LEV R&amp;D'!$A:$A,0))-INDEX('PROJETO PERFURAÇÃO'!$AH:$AH,MATCH(MEDIÇÃO!K616,'PROJETO PERFURAÇÃO'!$B:$B,0)),"")</f>
        <v/>
      </c>
      <c r="M616" s="8" t="str">
        <f>IFERROR(INDEX('PROJETO PERFURAÇÃO'!$AN:$AN,MATCH(MEDIÇÃO!K616,'PROJETO PERFURAÇÃO'!$B:$B,0)),"")</f>
        <v/>
      </c>
      <c r="N616" s="3"/>
      <c r="O616" s="3"/>
      <c r="P616" s="3" t="str">
        <f>IFERROR(ROUND(INDEX('PROJETO PERFURAÇÃO'!$AB:$AB,MATCH(MEDIÇÃO!R616,'PROJETO PERFURAÇÃO'!$B:$B,0)),1)&amp;"''","")</f>
        <v/>
      </c>
      <c r="Q616" s="3" t="str">
        <f>IFERROR(IF(INDEX('PROJETO PERFURAÇÃO'!$P:$P,MATCH(MEDIÇÃO!R616,'PROJETO PERFURAÇÃO'!$B:$B,0))="Production","P",IF(INDEX('PROJETO PERFURAÇÃO'!$P:$P,MATCH(MEDIÇÃO!R616,'PROJETO PERFURAÇÃO'!$B:$B,0))="Buffer","B",IF(INDEX('PROJETO PERFURAÇÃO'!$P:$P,MATCH(MEDIÇÃO!R616,'PROJETO PERFURAÇÃO'!$B:$B,0))="Pre-Splitting","S"))),"")</f>
        <v/>
      </c>
      <c r="R616" s="14">
        <f>R615+1</f>
        <v>1380</v>
      </c>
      <c r="S616" s="4" t="str">
        <f>IFERROR(INDEX('LEV R&amp;D'!$D:$D,MATCH(MEDIÇÃO!R616,'LEV R&amp;D'!$A:$A,0))-INDEX('PROJETO PERFURAÇÃO'!$AH:$AH,MATCH(MEDIÇÃO!R616,'PROJETO PERFURAÇÃO'!$B:$B,0)),"")</f>
        <v/>
      </c>
      <c r="T616" s="8" t="str">
        <f>IFERROR(INDEX('PROJETO PERFURAÇÃO'!$AN:$AN,MATCH(MEDIÇÃO!R616,'PROJETO PERFURAÇÃO'!$B:$B,0)),"")</f>
        <v/>
      </c>
      <c r="U616" s="3"/>
      <c r="V616" s="3"/>
    </row>
    <row r="617" spans="1:23" ht="30" customHeight="1">
      <c r="B617" s="1"/>
      <c r="C617" s="1"/>
      <c r="D617" s="15"/>
      <c r="E617" s="2"/>
      <c r="F617" s="16"/>
      <c r="G617" s="1"/>
      <c r="H617" s="1"/>
      <c r="I617" s="1"/>
      <c r="J617" s="1"/>
      <c r="K617" s="15"/>
      <c r="L617" s="2"/>
      <c r="M617" s="16"/>
      <c r="N617" s="1"/>
      <c r="O617" s="1"/>
      <c r="P617" s="1"/>
      <c r="Q617" s="1"/>
      <c r="R617" s="15"/>
      <c r="S617" s="2"/>
      <c r="T617" s="16"/>
      <c r="U617" s="1"/>
      <c r="V617" s="1"/>
    </row>
    <row r="618" spans="1:23" ht="30" customHeight="1">
      <c r="C618" s="20"/>
      <c r="D618" s="20"/>
      <c r="E618" s="20"/>
      <c r="F618" s="20"/>
      <c r="G618" s="20"/>
      <c r="H618" s="20"/>
      <c r="I618" s="20"/>
      <c r="J618" s="20"/>
      <c r="K618" s="20"/>
      <c r="M618" s="20"/>
      <c r="N618" s="20"/>
      <c r="O618" s="20"/>
      <c r="P618" s="20"/>
      <c r="Q618" s="20"/>
      <c r="R618" s="20"/>
      <c r="S618" s="20"/>
      <c r="T618" s="20"/>
      <c r="U618" s="20"/>
    </row>
    <row r="619" spans="1:23" ht="30" customHeight="1">
      <c r="C619" s="21" t="s">
        <v>40</v>
      </c>
      <c r="D619" s="21"/>
      <c r="E619" s="21"/>
      <c r="F619" s="21"/>
      <c r="G619" s="21"/>
      <c r="H619" s="21"/>
      <c r="I619" s="21"/>
      <c r="J619" s="21"/>
      <c r="K619" s="21"/>
      <c r="L619" s="9"/>
      <c r="M619" s="21" t="s">
        <v>40</v>
      </c>
      <c r="N619" s="21"/>
      <c r="O619" s="21"/>
      <c r="P619" s="21"/>
      <c r="Q619" s="21"/>
      <c r="R619" s="21"/>
      <c r="S619" s="21"/>
      <c r="T619" s="21"/>
      <c r="U619" s="21"/>
      <c r="V619" s="9"/>
    </row>
    <row r="620" spans="1:23" ht="30" customHeight="1">
      <c r="D620" s="9"/>
      <c r="E620" s="9"/>
      <c r="F620" s="9"/>
      <c r="G620" s="9"/>
      <c r="H620" s="9"/>
      <c r="I620" s="9"/>
      <c r="J620" s="9"/>
      <c r="K620" s="9"/>
      <c r="L620" s="9"/>
      <c r="M620" s="9"/>
      <c r="N620" s="9"/>
      <c r="Q620" s="9"/>
      <c r="R620" s="9"/>
      <c r="S620" s="9"/>
      <c r="T620" s="9"/>
      <c r="U620" s="9"/>
      <c r="V620" s="9"/>
    </row>
    <row r="621" spans="1:23" ht="30" customHeight="1">
      <c r="B621" s="19" t="str">
        <f>'PROJETO PERFURAÇÃO'!$C$2&amp;" - "&amp;'PROJETO PERFURAÇÃO'!$H$2</f>
        <v>LIB037 - PP0370626</v>
      </c>
      <c r="C621" s="19"/>
      <c r="D621" s="19"/>
      <c r="E621" s="19"/>
      <c r="F621" s="19"/>
      <c r="G621" s="19"/>
      <c r="H621" s="19"/>
      <c r="I621" s="11" t="s">
        <v>34</v>
      </c>
      <c r="J621" s="10" t="s">
        <v>37</v>
      </c>
    </row>
    <row r="622" spans="1:23" ht="30" customHeight="1">
      <c r="B622" s="19"/>
      <c r="C622" s="19"/>
      <c r="D622" s="19"/>
      <c r="E622" s="19"/>
      <c r="F622" s="19"/>
      <c r="G622" s="19"/>
      <c r="H622" s="19"/>
      <c r="I622" s="12" t="s">
        <v>35</v>
      </c>
      <c r="J622" s="10" t="s">
        <v>38</v>
      </c>
      <c r="K622" s="9"/>
      <c r="L622" s="9"/>
      <c r="M622" s="9"/>
      <c r="N622" s="9"/>
      <c r="O622" s="9"/>
      <c r="P622" s="9"/>
      <c r="Q622" s="9"/>
      <c r="R622" s="9"/>
      <c r="S622" s="9"/>
      <c r="T622" s="9"/>
      <c r="U622" s="9"/>
      <c r="V622" s="9"/>
    </row>
    <row r="623" spans="1:23" ht="30" customHeight="1">
      <c r="B623" s="19"/>
      <c r="C623" s="19"/>
      <c r="D623" s="19"/>
      <c r="E623" s="19"/>
      <c r="F623" s="19"/>
      <c r="G623" s="19"/>
      <c r="H623" s="19"/>
      <c r="I623" s="13" t="s">
        <v>36</v>
      </c>
      <c r="J623" s="10" t="s">
        <v>39</v>
      </c>
    </row>
    <row r="624" spans="1:23" ht="30" customHeight="1">
      <c r="A624" s="1"/>
      <c r="B624" s="6" t="s">
        <v>33</v>
      </c>
      <c r="C624" s="6" t="s">
        <v>13</v>
      </c>
      <c r="D624" s="7" t="s">
        <v>1</v>
      </c>
      <c r="E624" s="7" t="s">
        <v>29</v>
      </c>
      <c r="F624" s="7" t="s">
        <v>30</v>
      </c>
      <c r="G624" s="7" t="s">
        <v>31</v>
      </c>
      <c r="H624" s="7" t="s">
        <v>32</v>
      </c>
      <c r="I624" s="6" t="s">
        <v>33</v>
      </c>
      <c r="J624" s="6" t="s">
        <v>13</v>
      </c>
      <c r="K624" s="7" t="s">
        <v>1</v>
      </c>
      <c r="L624" s="7" t="s">
        <v>29</v>
      </c>
      <c r="M624" s="7" t="s">
        <v>30</v>
      </c>
      <c r="N624" s="7" t="s">
        <v>31</v>
      </c>
      <c r="O624" s="7" t="s">
        <v>32</v>
      </c>
      <c r="P624" s="6" t="s">
        <v>33</v>
      </c>
      <c r="Q624" s="6" t="s">
        <v>13</v>
      </c>
      <c r="R624" s="7" t="s">
        <v>1</v>
      </c>
      <c r="S624" s="7" t="s">
        <v>29</v>
      </c>
      <c r="T624" s="7" t="s">
        <v>30</v>
      </c>
      <c r="U624" s="7" t="s">
        <v>31</v>
      </c>
      <c r="V624" s="7" t="s">
        <v>32</v>
      </c>
      <c r="W624" s="1"/>
    </row>
    <row r="625" spans="2:22" ht="45" customHeight="1">
      <c r="B625" s="3" t="str">
        <f>IFERROR(ROUND(INDEX('PROJETO PERFURAÇÃO'!$AB:$AB,MATCH(MEDIÇÃO!D625,'PROJETO PERFURAÇÃO'!$B:$B,0)),1)&amp;"''","")</f>
        <v/>
      </c>
      <c r="C625" s="3" t="str">
        <f>IFERROR(IF(INDEX('PROJETO PERFURAÇÃO'!$P:$P,MATCH(MEDIÇÃO!D625,'PROJETO PERFURAÇÃO'!$B:$B,0))="Production","P",IF(INDEX('PROJETO PERFURAÇÃO'!$P:$P,MATCH(MEDIÇÃO!D625,'PROJETO PERFURAÇÃO'!$B:$B,0))="Buffer","B",IF(INDEX('PROJETO PERFURAÇÃO'!$P:$P,MATCH(MEDIÇÃO!D625,'PROJETO PERFURAÇÃO'!$B:$B,0))="Pre-Splitting","S"))),"")</f>
        <v/>
      </c>
      <c r="D625" s="14">
        <f>R616+1</f>
        <v>1381</v>
      </c>
      <c r="E625" s="4" t="str">
        <f>IFERROR(INDEX('LEV R&amp;D'!$D:$D,MATCH(MEDIÇÃO!D625,'LEV R&amp;D'!$A:$A,0))-INDEX('PROJETO PERFURAÇÃO'!$AH:$AH,MATCH(MEDIÇÃO!D625,'PROJETO PERFURAÇÃO'!$B:$B,0)),"")</f>
        <v/>
      </c>
      <c r="F625" s="8" t="str">
        <f>IFERROR(INDEX('PROJETO PERFURAÇÃO'!$AN:$AN,MATCH(MEDIÇÃO!D625,'PROJETO PERFURAÇÃO'!$B:$B,0)),"")</f>
        <v/>
      </c>
      <c r="G625" s="3"/>
      <c r="H625" s="3"/>
      <c r="I625" s="3" t="str">
        <f>IFERROR(ROUND(INDEX('PROJETO PERFURAÇÃO'!$AB:$AB,MATCH(MEDIÇÃO!K625,'PROJETO PERFURAÇÃO'!$B:$B,0)),1)&amp;"''","")</f>
        <v/>
      </c>
      <c r="J625" s="3" t="str">
        <f>IFERROR(IF(INDEX('PROJETO PERFURAÇÃO'!$P:$P,MATCH(MEDIÇÃO!K625,'PROJETO PERFURAÇÃO'!$B:$B,0))="Production","P",IF(INDEX('PROJETO PERFURAÇÃO'!$P:$P,MATCH(MEDIÇÃO!K625,'PROJETO PERFURAÇÃO'!$B:$B,0))="Buffer","B",IF(INDEX('PROJETO PERFURAÇÃO'!$P:$P,MATCH(MEDIÇÃO!K625,'PROJETO PERFURAÇÃO'!$B:$B,0))="Pre-Splitting","S"))),"")</f>
        <v/>
      </c>
      <c r="K625" s="14">
        <f>D647+1</f>
        <v>1404</v>
      </c>
      <c r="L625" s="4" t="str">
        <f>IFERROR(INDEX('LEV R&amp;D'!$D:$D,MATCH(MEDIÇÃO!K625,'LEV R&amp;D'!$A:$A,0))-INDEX('PROJETO PERFURAÇÃO'!$AH:$AH,MATCH(MEDIÇÃO!K625,'PROJETO PERFURAÇÃO'!$B:$B,0)),"")</f>
        <v/>
      </c>
      <c r="M625" s="8" t="str">
        <f>IFERROR(INDEX('PROJETO PERFURAÇÃO'!$AN:$AN,MATCH(MEDIÇÃO!K625,'PROJETO PERFURAÇÃO'!$B:$B,0)),"")</f>
        <v/>
      </c>
      <c r="N625" s="3"/>
      <c r="O625" s="3"/>
      <c r="P625" s="3" t="str">
        <f>IFERROR(ROUND(INDEX('PROJETO PERFURAÇÃO'!$AB:$AB,MATCH(MEDIÇÃO!R625,'PROJETO PERFURAÇÃO'!$B:$B,0)),1)&amp;"''","")</f>
        <v/>
      </c>
      <c r="Q625" s="3" t="str">
        <f>IFERROR(IF(INDEX('PROJETO PERFURAÇÃO'!$P:$P,MATCH(MEDIÇÃO!R625,'PROJETO PERFURAÇÃO'!$B:$B,0))="Production","P",IF(INDEX('PROJETO PERFURAÇÃO'!$P:$P,MATCH(MEDIÇÃO!R625,'PROJETO PERFURAÇÃO'!$B:$B,0))="Buffer","B",IF(INDEX('PROJETO PERFURAÇÃO'!$P:$P,MATCH(MEDIÇÃO!R625,'PROJETO PERFURAÇÃO'!$B:$B,0))="Pre-Splitting","S"))),"")</f>
        <v/>
      </c>
      <c r="R625" s="14">
        <f>K647+1</f>
        <v>1427</v>
      </c>
      <c r="S625" s="4" t="str">
        <f>IFERROR(INDEX('LEV R&amp;D'!$D:$D,MATCH(MEDIÇÃO!R625,'LEV R&amp;D'!$A:$A,0))-INDEX('PROJETO PERFURAÇÃO'!$AH:$AH,MATCH(MEDIÇÃO!R625,'PROJETO PERFURAÇÃO'!$B:$B,0)),"")</f>
        <v/>
      </c>
      <c r="T625" s="8" t="str">
        <f>IFERROR(INDEX('PROJETO PERFURAÇÃO'!$AN:$AN,MATCH(MEDIÇÃO!R625,'PROJETO PERFURAÇÃO'!$B:$B,0)),"")</f>
        <v/>
      </c>
      <c r="U625" s="3"/>
      <c r="V625" s="3"/>
    </row>
    <row r="626" spans="2:22" ht="45" customHeight="1">
      <c r="B626" s="3" t="str">
        <f>IFERROR(ROUND(INDEX('PROJETO PERFURAÇÃO'!$AB:$AB,MATCH(MEDIÇÃO!D626,'PROJETO PERFURAÇÃO'!$B:$B,0)),1)&amp;"''","")</f>
        <v/>
      </c>
      <c r="C626" s="3" t="str">
        <f>IFERROR(IF(INDEX('PROJETO PERFURAÇÃO'!$P:$P,MATCH(MEDIÇÃO!D626,'PROJETO PERFURAÇÃO'!$B:$B,0))="Production","P",IF(INDEX('PROJETO PERFURAÇÃO'!$P:$P,MATCH(MEDIÇÃO!D626,'PROJETO PERFURAÇÃO'!$B:$B,0))="Buffer","B",IF(INDEX('PROJETO PERFURAÇÃO'!$P:$P,MATCH(MEDIÇÃO!D626,'PROJETO PERFURAÇÃO'!$B:$B,0))="Pre-Splitting","S"))),"")</f>
        <v/>
      </c>
      <c r="D626" s="14">
        <f>D625+1</f>
        <v>1382</v>
      </c>
      <c r="E626" s="4" t="str">
        <f>IFERROR(INDEX('LEV R&amp;D'!$D:$D,MATCH(MEDIÇÃO!D626,'LEV R&amp;D'!$A:$A,0))-INDEX('PROJETO PERFURAÇÃO'!$AH:$AH,MATCH(MEDIÇÃO!D626,'PROJETO PERFURAÇÃO'!$B:$B,0)),"")</f>
        <v/>
      </c>
      <c r="F626" s="8" t="str">
        <f>IFERROR(INDEX('PROJETO PERFURAÇÃO'!$AN:$AN,MATCH(MEDIÇÃO!D626,'PROJETO PERFURAÇÃO'!$B:$B,0)),"")</f>
        <v/>
      </c>
      <c r="G626" s="3"/>
      <c r="H626" s="3"/>
      <c r="I626" s="3" t="str">
        <f>IFERROR(ROUND(INDEX('PROJETO PERFURAÇÃO'!$AB:$AB,MATCH(MEDIÇÃO!K626,'PROJETO PERFURAÇÃO'!$B:$B,0)),1)&amp;"''","")</f>
        <v/>
      </c>
      <c r="J626" s="3" t="str">
        <f>IFERROR(IF(INDEX('PROJETO PERFURAÇÃO'!$P:$P,MATCH(MEDIÇÃO!K626,'PROJETO PERFURAÇÃO'!$B:$B,0))="Production","P",IF(INDEX('PROJETO PERFURAÇÃO'!$P:$P,MATCH(MEDIÇÃO!K626,'PROJETO PERFURAÇÃO'!$B:$B,0))="Buffer","B",IF(INDEX('PROJETO PERFURAÇÃO'!$P:$P,MATCH(MEDIÇÃO!K626,'PROJETO PERFURAÇÃO'!$B:$B,0))="Pre-Splitting","S"))),"")</f>
        <v/>
      </c>
      <c r="K626" s="14">
        <f>K625+1</f>
        <v>1405</v>
      </c>
      <c r="L626" s="4" t="str">
        <f>IFERROR(INDEX('LEV R&amp;D'!$D:$D,MATCH(MEDIÇÃO!K626,'LEV R&amp;D'!$A:$A,0))-INDEX('PROJETO PERFURAÇÃO'!$AH:$AH,MATCH(MEDIÇÃO!K626,'PROJETO PERFURAÇÃO'!$B:$B,0)),"")</f>
        <v/>
      </c>
      <c r="M626" s="8" t="str">
        <f>IFERROR(INDEX('PROJETO PERFURAÇÃO'!$AN:$AN,MATCH(MEDIÇÃO!K626,'PROJETO PERFURAÇÃO'!$B:$B,0)),"")</f>
        <v/>
      </c>
      <c r="N626" s="3"/>
      <c r="O626" s="3"/>
      <c r="P626" s="3" t="str">
        <f>IFERROR(ROUND(INDEX('PROJETO PERFURAÇÃO'!$AB:$AB,MATCH(MEDIÇÃO!R626,'PROJETO PERFURAÇÃO'!$B:$B,0)),1)&amp;"''","")</f>
        <v/>
      </c>
      <c r="Q626" s="3" t="str">
        <f>IFERROR(IF(INDEX('PROJETO PERFURAÇÃO'!$P:$P,MATCH(MEDIÇÃO!R626,'PROJETO PERFURAÇÃO'!$B:$B,0))="Production","P",IF(INDEX('PROJETO PERFURAÇÃO'!$P:$P,MATCH(MEDIÇÃO!R626,'PROJETO PERFURAÇÃO'!$B:$B,0))="Buffer","B",IF(INDEX('PROJETO PERFURAÇÃO'!$P:$P,MATCH(MEDIÇÃO!R626,'PROJETO PERFURAÇÃO'!$B:$B,0))="Pre-Splitting","S"))),"")</f>
        <v/>
      </c>
      <c r="R626" s="14">
        <f>R625+1</f>
        <v>1428</v>
      </c>
      <c r="S626" s="4" t="str">
        <f>IFERROR(INDEX('LEV R&amp;D'!$D:$D,MATCH(MEDIÇÃO!R626,'LEV R&amp;D'!$A:$A,0))-INDEX('PROJETO PERFURAÇÃO'!$AH:$AH,MATCH(MEDIÇÃO!R626,'PROJETO PERFURAÇÃO'!$B:$B,0)),"")</f>
        <v/>
      </c>
      <c r="T626" s="8" t="str">
        <f>IFERROR(INDEX('PROJETO PERFURAÇÃO'!$AN:$AN,MATCH(MEDIÇÃO!R626,'PROJETO PERFURAÇÃO'!$B:$B,0)),"")</f>
        <v/>
      </c>
      <c r="U626" s="3"/>
      <c r="V626" s="3"/>
    </row>
    <row r="627" spans="2:22" ht="45" customHeight="1">
      <c r="B627" s="3" t="str">
        <f>IFERROR(ROUND(INDEX('PROJETO PERFURAÇÃO'!$AB:$AB,MATCH(MEDIÇÃO!D627,'PROJETO PERFURAÇÃO'!$B:$B,0)),1)&amp;"''","")</f>
        <v/>
      </c>
      <c r="C627" s="3" t="str">
        <f>IFERROR(IF(INDEX('PROJETO PERFURAÇÃO'!$P:$P,MATCH(MEDIÇÃO!D627,'PROJETO PERFURAÇÃO'!$B:$B,0))="Production","P",IF(INDEX('PROJETO PERFURAÇÃO'!$P:$P,MATCH(MEDIÇÃO!D627,'PROJETO PERFURAÇÃO'!$B:$B,0))="Buffer","B",IF(INDEX('PROJETO PERFURAÇÃO'!$P:$P,MATCH(MEDIÇÃO!D627,'PROJETO PERFURAÇÃO'!$B:$B,0))="Pre-Splitting","S"))),"")</f>
        <v/>
      </c>
      <c r="D627" s="14">
        <f t="shared" ref="D627:D647" si="60">D626+1</f>
        <v>1383</v>
      </c>
      <c r="E627" s="4" t="str">
        <f>IFERROR(INDEX('LEV R&amp;D'!$D:$D,MATCH(MEDIÇÃO!D627,'LEV R&amp;D'!$A:$A,0))-INDEX('PROJETO PERFURAÇÃO'!$AH:$AH,MATCH(MEDIÇÃO!D627,'PROJETO PERFURAÇÃO'!$B:$B,0)),"")</f>
        <v/>
      </c>
      <c r="F627" s="8" t="str">
        <f>IFERROR(INDEX('PROJETO PERFURAÇÃO'!$AN:$AN,MATCH(MEDIÇÃO!D627,'PROJETO PERFURAÇÃO'!$B:$B,0)),"")</f>
        <v/>
      </c>
      <c r="G627" s="3"/>
      <c r="H627" s="3"/>
      <c r="I627" s="3" t="str">
        <f>IFERROR(ROUND(INDEX('PROJETO PERFURAÇÃO'!$AB:$AB,MATCH(MEDIÇÃO!K627,'PROJETO PERFURAÇÃO'!$B:$B,0)),1)&amp;"''","")</f>
        <v/>
      </c>
      <c r="J627" s="3" t="str">
        <f>IFERROR(IF(INDEX('PROJETO PERFURAÇÃO'!$P:$P,MATCH(MEDIÇÃO!K627,'PROJETO PERFURAÇÃO'!$B:$B,0))="Production","P",IF(INDEX('PROJETO PERFURAÇÃO'!$P:$P,MATCH(MEDIÇÃO!K627,'PROJETO PERFURAÇÃO'!$B:$B,0))="Buffer","B",IF(INDEX('PROJETO PERFURAÇÃO'!$P:$P,MATCH(MEDIÇÃO!K627,'PROJETO PERFURAÇÃO'!$B:$B,0))="Pre-Splitting","S"))),"")</f>
        <v/>
      </c>
      <c r="K627" s="14">
        <f t="shared" ref="K627:K646" si="61">K626+1</f>
        <v>1406</v>
      </c>
      <c r="L627" s="4" t="str">
        <f>IFERROR(INDEX('LEV R&amp;D'!$D:$D,MATCH(MEDIÇÃO!K627,'LEV R&amp;D'!$A:$A,0))-INDEX('PROJETO PERFURAÇÃO'!$AH:$AH,MATCH(MEDIÇÃO!K627,'PROJETO PERFURAÇÃO'!$B:$B,0)),"")</f>
        <v/>
      </c>
      <c r="M627" s="8" t="str">
        <f>IFERROR(INDEX('PROJETO PERFURAÇÃO'!$AN:$AN,MATCH(MEDIÇÃO!K627,'PROJETO PERFURAÇÃO'!$B:$B,0)),"")</f>
        <v/>
      </c>
      <c r="N627" s="3"/>
      <c r="O627" s="3"/>
      <c r="P627" s="3" t="str">
        <f>IFERROR(ROUND(INDEX('PROJETO PERFURAÇÃO'!$AB:$AB,MATCH(MEDIÇÃO!R627,'PROJETO PERFURAÇÃO'!$B:$B,0)),1)&amp;"''","")</f>
        <v/>
      </c>
      <c r="Q627" s="3" t="str">
        <f>IFERROR(IF(INDEX('PROJETO PERFURAÇÃO'!$P:$P,MATCH(MEDIÇÃO!R627,'PROJETO PERFURAÇÃO'!$B:$B,0))="Production","P",IF(INDEX('PROJETO PERFURAÇÃO'!$P:$P,MATCH(MEDIÇÃO!R627,'PROJETO PERFURAÇÃO'!$B:$B,0))="Buffer","B",IF(INDEX('PROJETO PERFURAÇÃO'!$P:$P,MATCH(MEDIÇÃO!R627,'PROJETO PERFURAÇÃO'!$B:$B,0))="Pre-Splitting","S"))),"")</f>
        <v/>
      </c>
      <c r="R627" s="14">
        <f t="shared" ref="R627:R646" si="62">R626+1</f>
        <v>1429</v>
      </c>
      <c r="S627" s="4" t="str">
        <f>IFERROR(INDEX('LEV R&amp;D'!$D:$D,MATCH(MEDIÇÃO!R627,'LEV R&amp;D'!$A:$A,0))-INDEX('PROJETO PERFURAÇÃO'!$AH:$AH,MATCH(MEDIÇÃO!R627,'PROJETO PERFURAÇÃO'!$B:$B,0)),"")</f>
        <v/>
      </c>
      <c r="T627" s="8" t="str">
        <f>IFERROR(INDEX('PROJETO PERFURAÇÃO'!$AN:$AN,MATCH(MEDIÇÃO!R627,'PROJETO PERFURAÇÃO'!$B:$B,0)),"")</f>
        <v/>
      </c>
      <c r="U627" s="3"/>
      <c r="V627" s="3"/>
    </row>
    <row r="628" spans="2:22" ht="45" customHeight="1">
      <c r="B628" s="3" t="str">
        <f>IFERROR(ROUND(INDEX('PROJETO PERFURAÇÃO'!$AB:$AB,MATCH(MEDIÇÃO!D628,'PROJETO PERFURAÇÃO'!$B:$B,0)),1)&amp;"''","")</f>
        <v/>
      </c>
      <c r="C628" s="3" t="str">
        <f>IFERROR(IF(INDEX('PROJETO PERFURAÇÃO'!$P:$P,MATCH(MEDIÇÃO!D628,'PROJETO PERFURAÇÃO'!$B:$B,0))="Production","P",IF(INDEX('PROJETO PERFURAÇÃO'!$P:$P,MATCH(MEDIÇÃO!D628,'PROJETO PERFURAÇÃO'!$B:$B,0))="Buffer","B",IF(INDEX('PROJETO PERFURAÇÃO'!$P:$P,MATCH(MEDIÇÃO!D628,'PROJETO PERFURAÇÃO'!$B:$B,0))="Pre-Splitting","S"))),"")</f>
        <v/>
      </c>
      <c r="D628" s="14">
        <f t="shared" si="60"/>
        <v>1384</v>
      </c>
      <c r="E628" s="4" t="str">
        <f>IFERROR(INDEX('LEV R&amp;D'!$D:$D,MATCH(MEDIÇÃO!D628,'LEV R&amp;D'!$A:$A,0))-INDEX('PROJETO PERFURAÇÃO'!$AH:$AH,MATCH(MEDIÇÃO!D628,'PROJETO PERFURAÇÃO'!$B:$B,0)),"")</f>
        <v/>
      </c>
      <c r="F628" s="8" t="str">
        <f>IFERROR(INDEX('PROJETO PERFURAÇÃO'!$AN:$AN,MATCH(MEDIÇÃO!D628,'PROJETO PERFURAÇÃO'!$B:$B,0)),"")</f>
        <v/>
      </c>
      <c r="G628" s="3"/>
      <c r="H628" s="3"/>
      <c r="I628" s="3" t="str">
        <f>IFERROR(ROUND(INDEX('PROJETO PERFURAÇÃO'!$AB:$AB,MATCH(MEDIÇÃO!K628,'PROJETO PERFURAÇÃO'!$B:$B,0)),1)&amp;"''","")</f>
        <v/>
      </c>
      <c r="J628" s="3" t="str">
        <f>IFERROR(IF(INDEX('PROJETO PERFURAÇÃO'!$P:$P,MATCH(MEDIÇÃO!K628,'PROJETO PERFURAÇÃO'!$B:$B,0))="Production","P",IF(INDEX('PROJETO PERFURAÇÃO'!$P:$P,MATCH(MEDIÇÃO!K628,'PROJETO PERFURAÇÃO'!$B:$B,0))="Buffer","B",IF(INDEX('PROJETO PERFURAÇÃO'!$P:$P,MATCH(MEDIÇÃO!K628,'PROJETO PERFURAÇÃO'!$B:$B,0))="Pre-Splitting","S"))),"")</f>
        <v/>
      </c>
      <c r="K628" s="14">
        <f t="shared" si="61"/>
        <v>1407</v>
      </c>
      <c r="L628" s="4" t="str">
        <f>IFERROR(INDEX('LEV R&amp;D'!$D:$D,MATCH(MEDIÇÃO!K628,'LEV R&amp;D'!$A:$A,0))-INDEX('PROJETO PERFURAÇÃO'!$AH:$AH,MATCH(MEDIÇÃO!K628,'PROJETO PERFURAÇÃO'!$B:$B,0)),"")</f>
        <v/>
      </c>
      <c r="M628" s="8" t="str">
        <f>IFERROR(INDEX('PROJETO PERFURAÇÃO'!$AN:$AN,MATCH(MEDIÇÃO!K628,'PROJETO PERFURAÇÃO'!$B:$B,0)),"")</f>
        <v/>
      </c>
      <c r="N628" s="3"/>
      <c r="O628" s="3"/>
      <c r="P628" s="3" t="str">
        <f>IFERROR(ROUND(INDEX('PROJETO PERFURAÇÃO'!$AB:$AB,MATCH(MEDIÇÃO!R628,'PROJETO PERFURAÇÃO'!$B:$B,0)),1)&amp;"''","")</f>
        <v/>
      </c>
      <c r="Q628" s="3" t="str">
        <f>IFERROR(IF(INDEX('PROJETO PERFURAÇÃO'!$P:$P,MATCH(MEDIÇÃO!R628,'PROJETO PERFURAÇÃO'!$B:$B,0))="Production","P",IF(INDEX('PROJETO PERFURAÇÃO'!$P:$P,MATCH(MEDIÇÃO!R628,'PROJETO PERFURAÇÃO'!$B:$B,0))="Buffer","B",IF(INDEX('PROJETO PERFURAÇÃO'!$P:$P,MATCH(MEDIÇÃO!R628,'PROJETO PERFURAÇÃO'!$B:$B,0))="Pre-Splitting","S"))),"")</f>
        <v/>
      </c>
      <c r="R628" s="14">
        <f t="shared" si="62"/>
        <v>1430</v>
      </c>
      <c r="S628" s="4" t="str">
        <f>IFERROR(INDEX('LEV R&amp;D'!$D:$D,MATCH(MEDIÇÃO!R628,'LEV R&amp;D'!$A:$A,0))-INDEX('PROJETO PERFURAÇÃO'!$AH:$AH,MATCH(MEDIÇÃO!R628,'PROJETO PERFURAÇÃO'!$B:$B,0)),"")</f>
        <v/>
      </c>
      <c r="T628" s="8" t="str">
        <f>IFERROR(INDEX('PROJETO PERFURAÇÃO'!$AN:$AN,MATCH(MEDIÇÃO!R628,'PROJETO PERFURAÇÃO'!$B:$B,0)),"")</f>
        <v/>
      </c>
      <c r="U628" s="3"/>
      <c r="V628" s="3"/>
    </row>
    <row r="629" spans="2:22" ht="45" customHeight="1">
      <c r="B629" s="3" t="str">
        <f>IFERROR(ROUND(INDEX('PROJETO PERFURAÇÃO'!$AB:$AB,MATCH(MEDIÇÃO!D629,'PROJETO PERFURAÇÃO'!$B:$B,0)),1)&amp;"''","")</f>
        <v/>
      </c>
      <c r="C629" s="3" t="str">
        <f>IFERROR(IF(INDEX('PROJETO PERFURAÇÃO'!$P:$P,MATCH(MEDIÇÃO!D629,'PROJETO PERFURAÇÃO'!$B:$B,0))="Production","P",IF(INDEX('PROJETO PERFURAÇÃO'!$P:$P,MATCH(MEDIÇÃO!D629,'PROJETO PERFURAÇÃO'!$B:$B,0))="Buffer","B",IF(INDEX('PROJETO PERFURAÇÃO'!$P:$P,MATCH(MEDIÇÃO!D629,'PROJETO PERFURAÇÃO'!$B:$B,0))="Pre-Splitting","S"))),"")</f>
        <v/>
      </c>
      <c r="D629" s="14">
        <f t="shared" si="60"/>
        <v>1385</v>
      </c>
      <c r="E629" s="4" t="str">
        <f>IFERROR(INDEX('LEV R&amp;D'!$D:$D,MATCH(MEDIÇÃO!D629,'LEV R&amp;D'!$A:$A,0))-INDEX('PROJETO PERFURAÇÃO'!$AH:$AH,MATCH(MEDIÇÃO!D629,'PROJETO PERFURAÇÃO'!$B:$B,0)),"")</f>
        <v/>
      </c>
      <c r="F629" s="8" t="str">
        <f>IFERROR(INDEX('PROJETO PERFURAÇÃO'!$AN:$AN,MATCH(MEDIÇÃO!D629,'PROJETO PERFURAÇÃO'!$B:$B,0)),"")</f>
        <v/>
      </c>
      <c r="G629" s="3"/>
      <c r="H629" s="3"/>
      <c r="I629" s="3" t="str">
        <f>IFERROR(ROUND(INDEX('PROJETO PERFURAÇÃO'!$AB:$AB,MATCH(MEDIÇÃO!K629,'PROJETO PERFURAÇÃO'!$B:$B,0)),1)&amp;"''","")</f>
        <v/>
      </c>
      <c r="J629" s="3" t="str">
        <f>IFERROR(IF(INDEX('PROJETO PERFURAÇÃO'!$P:$P,MATCH(MEDIÇÃO!K629,'PROJETO PERFURAÇÃO'!$B:$B,0))="Production","P",IF(INDEX('PROJETO PERFURAÇÃO'!$P:$P,MATCH(MEDIÇÃO!K629,'PROJETO PERFURAÇÃO'!$B:$B,0))="Buffer","B",IF(INDEX('PROJETO PERFURAÇÃO'!$P:$P,MATCH(MEDIÇÃO!K629,'PROJETO PERFURAÇÃO'!$B:$B,0))="Pre-Splitting","S"))),"")</f>
        <v/>
      </c>
      <c r="K629" s="14">
        <f t="shared" si="61"/>
        <v>1408</v>
      </c>
      <c r="L629" s="4" t="str">
        <f>IFERROR(INDEX('LEV R&amp;D'!$D:$D,MATCH(MEDIÇÃO!K629,'LEV R&amp;D'!$A:$A,0))-INDEX('PROJETO PERFURAÇÃO'!$AH:$AH,MATCH(MEDIÇÃO!K629,'PROJETO PERFURAÇÃO'!$B:$B,0)),"")</f>
        <v/>
      </c>
      <c r="M629" s="8" t="str">
        <f>IFERROR(INDEX('PROJETO PERFURAÇÃO'!$AN:$AN,MATCH(MEDIÇÃO!K629,'PROJETO PERFURAÇÃO'!$B:$B,0)),"")</f>
        <v/>
      </c>
      <c r="N629" s="3"/>
      <c r="O629" s="3"/>
      <c r="P629" s="3" t="str">
        <f>IFERROR(ROUND(INDEX('PROJETO PERFURAÇÃO'!$AB:$AB,MATCH(MEDIÇÃO!R629,'PROJETO PERFURAÇÃO'!$B:$B,0)),1)&amp;"''","")</f>
        <v/>
      </c>
      <c r="Q629" s="3" t="str">
        <f>IFERROR(IF(INDEX('PROJETO PERFURAÇÃO'!$P:$P,MATCH(MEDIÇÃO!R629,'PROJETO PERFURAÇÃO'!$B:$B,0))="Production","P",IF(INDEX('PROJETO PERFURAÇÃO'!$P:$P,MATCH(MEDIÇÃO!R629,'PROJETO PERFURAÇÃO'!$B:$B,0))="Buffer","B",IF(INDEX('PROJETO PERFURAÇÃO'!$P:$P,MATCH(MEDIÇÃO!R629,'PROJETO PERFURAÇÃO'!$B:$B,0))="Pre-Splitting","S"))),"")</f>
        <v/>
      </c>
      <c r="R629" s="14">
        <f t="shared" si="62"/>
        <v>1431</v>
      </c>
      <c r="S629" s="4" t="str">
        <f>IFERROR(INDEX('LEV R&amp;D'!$D:$D,MATCH(MEDIÇÃO!R629,'LEV R&amp;D'!$A:$A,0))-INDEX('PROJETO PERFURAÇÃO'!$AH:$AH,MATCH(MEDIÇÃO!R629,'PROJETO PERFURAÇÃO'!$B:$B,0)),"")</f>
        <v/>
      </c>
      <c r="T629" s="8" t="str">
        <f>IFERROR(INDEX('PROJETO PERFURAÇÃO'!$AN:$AN,MATCH(MEDIÇÃO!R629,'PROJETO PERFURAÇÃO'!$B:$B,0)),"")</f>
        <v/>
      </c>
      <c r="U629" s="3"/>
      <c r="V629" s="3"/>
    </row>
    <row r="630" spans="2:22" ht="45" customHeight="1">
      <c r="B630" s="3" t="str">
        <f>IFERROR(ROUND(INDEX('PROJETO PERFURAÇÃO'!$AB:$AB,MATCH(MEDIÇÃO!D630,'PROJETO PERFURAÇÃO'!$B:$B,0)),1)&amp;"''","")</f>
        <v/>
      </c>
      <c r="C630" s="3" t="str">
        <f>IFERROR(IF(INDEX('PROJETO PERFURAÇÃO'!$P:$P,MATCH(MEDIÇÃO!D630,'PROJETO PERFURAÇÃO'!$B:$B,0))="Production","P",IF(INDEX('PROJETO PERFURAÇÃO'!$P:$P,MATCH(MEDIÇÃO!D630,'PROJETO PERFURAÇÃO'!$B:$B,0))="Buffer","B",IF(INDEX('PROJETO PERFURAÇÃO'!$P:$P,MATCH(MEDIÇÃO!D630,'PROJETO PERFURAÇÃO'!$B:$B,0))="Pre-Splitting","S"))),"")</f>
        <v/>
      </c>
      <c r="D630" s="14">
        <f t="shared" si="60"/>
        <v>1386</v>
      </c>
      <c r="E630" s="4" t="str">
        <f>IFERROR(INDEX('LEV R&amp;D'!$D:$D,MATCH(MEDIÇÃO!D630,'LEV R&amp;D'!$A:$A,0))-INDEX('PROJETO PERFURAÇÃO'!$AH:$AH,MATCH(MEDIÇÃO!D630,'PROJETO PERFURAÇÃO'!$B:$B,0)),"")</f>
        <v/>
      </c>
      <c r="F630" s="8" t="str">
        <f>IFERROR(INDEX('PROJETO PERFURAÇÃO'!$AN:$AN,MATCH(MEDIÇÃO!D630,'PROJETO PERFURAÇÃO'!$B:$B,0)),"")</f>
        <v/>
      </c>
      <c r="G630" s="3"/>
      <c r="H630" s="3"/>
      <c r="I630" s="3" t="str">
        <f>IFERROR(ROUND(INDEX('PROJETO PERFURAÇÃO'!$AB:$AB,MATCH(MEDIÇÃO!K630,'PROJETO PERFURAÇÃO'!$B:$B,0)),1)&amp;"''","")</f>
        <v/>
      </c>
      <c r="J630" s="3" t="str">
        <f>IFERROR(IF(INDEX('PROJETO PERFURAÇÃO'!$P:$P,MATCH(MEDIÇÃO!K630,'PROJETO PERFURAÇÃO'!$B:$B,0))="Production","P",IF(INDEX('PROJETO PERFURAÇÃO'!$P:$P,MATCH(MEDIÇÃO!K630,'PROJETO PERFURAÇÃO'!$B:$B,0))="Buffer","B",IF(INDEX('PROJETO PERFURAÇÃO'!$P:$P,MATCH(MEDIÇÃO!K630,'PROJETO PERFURAÇÃO'!$B:$B,0))="Pre-Splitting","S"))),"")</f>
        <v/>
      </c>
      <c r="K630" s="14">
        <f t="shared" si="61"/>
        <v>1409</v>
      </c>
      <c r="L630" s="4" t="str">
        <f>IFERROR(INDEX('LEV R&amp;D'!$D:$D,MATCH(MEDIÇÃO!K630,'LEV R&amp;D'!$A:$A,0))-INDEX('PROJETO PERFURAÇÃO'!$AH:$AH,MATCH(MEDIÇÃO!K630,'PROJETO PERFURAÇÃO'!$B:$B,0)),"")</f>
        <v/>
      </c>
      <c r="M630" s="8" t="str">
        <f>IFERROR(INDEX('PROJETO PERFURAÇÃO'!$AN:$AN,MATCH(MEDIÇÃO!K630,'PROJETO PERFURAÇÃO'!$B:$B,0)),"")</f>
        <v/>
      </c>
      <c r="N630" s="3"/>
      <c r="O630" s="3"/>
      <c r="P630" s="3" t="str">
        <f>IFERROR(ROUND(INDEX('PROJETO PERFURAÇÃO'!$AB:$AB,MATCH(MEDIÇÃO!R630,'PROJETO PERFURAÇÃO'!$B:$B,0)),1)&amp;"''","")</f>
        <v/>
      </c>
      <c r="Q630" s="3" t="str">
        <f>IFERROR(IF(INDEX('PROJETO PERFURAÇÃO'!$P:$P,MATCH(MEDIÇÃO!R630,'PROJETO PERFURAÇÃO'!$B:$B,0))="Production","P",IF(INDEX('PROJETO PERFURAÇÃO'!$P:$P,MATCH(MEDIÇÃO!R630,'PROJETO PERFURAÇÃO'!$B:$B,0))="Buffer","B",IF(INDEX('PROJETO PERFURAÇÃO'!$P:$P,MATCH(MEDIÇÃO!R630,'PROJETO PERFURAÇÃO'!$B:$B,0))="Pre-Splitting","S"))),"")</f>
        <v/>
      </c>
      <c r="R630" s="14">
        <f t="shared" si="62"/>
        <v>1432</v>
      </c>
      <c r="S630" s="4" t="str">
        <f>IFERROR(INDEX('LEV R&amp;D'!$D:$D,MATCH(MEDIÇÃO!R630,'LEV R&amp;D'!$A:$A,0))-INDEX('PROJETO PERFURAÇÃO'!$AH:$AH,MATCH(MEDIÇÃO!R630,'PROJETO PERFURAÇÃO'!$B:$B,0)),"")</f>
        <v/>
      </c>
      <c r="T630" s="8" t="str">
        <f>IFERROR(INDEX('PROJETO PERFURAÇÃO'!$AN:$AN,MATCH(MEDIÇÃO!R630,'PROJETO PERFURAÇÃO'!$B:$B,0)),"")</f>
        <v/>
      </c>
      <c r="U630" s="3"/>
      <c r="V630" s="3"/>
    </row>
    <row r="631" spans="2:22" ht="45" customHeight="1">
      <c r="B631" s="3" t="str">
        <f>IFERROR(ROUND(INDEX('PROJETO PERFURAÇÃO'!$AB:$AB,MATCH(MEDIÇÃO!D631,'PROJETO PERFURAÇÃO'!$B:$B,0)),1)&amp;"''","")</f>
        <v/>
      </c>
      <c r="C631" s="3" t="str">
        <f>IFERROR(IF(INDEX('PROJETO PERFURAÇÃO'!$P:$P,MATCH(MEDIÇÃO!D631,'PROJETO PERFURAÇÃO'!$B:$B,0))="Production","P",IF(INDEX('PROJETO PERFURAÇÃO'!$P:$P,MATCH(MEDIÇÃO!D631,'PROJETO PERFURAÇÃO'!$B:$B,0))="Buffer","B",IF(INDEX('PROJETO PERFURAÇÃO'!$P:$P,MATCH(MEDIÇÃO!D631,'PROJETO PERFURAÇÃO'!$B:$B,0))="Pre-Splitting","S"))),"")</f>
        <v/>
      </c>
      <c r="D631" s="14">
        <f t="shared" si="60"/>
        <v>1387</v>
      </c>
      <c r="E631" s="4" t="str">
        <f>IFERROR(INDEX('LEV R&amp;D'!$D:$D,MATCH(MEDIÇÃO!D631,'LEV R&amp;D'!$A:$A,0))-INDEX('PROJETO PERFURAÇÃO'!$AH:$AH,MATCH(MEDIÇÃO!D631,'PROJETO PERFURAÇÃO'!$B:$B,0)),"")</f>
        <v/>
      </c>
      <c r="F631" s="8" t="str">
        <f>IFERROR(INDEX('PROJETO PERFURAÇÃO'!$AN:$AN,MATCH(MEDIÇÃO!D631,'PROJETO PERFURAÇÃO'!$B:$B,0)),"")</f>
        <v/>
      </c>
      <c r="G631" s="3"/>
      <c r="H631" s="3"/>
      <c r="I631" s="3" t="str">
        <f>IFERROR(ROUND(INDEX('PROJETO PERFURAÇÃO'!$AB:$AB,MATCH(MEDIÇÃO!K631,'PROJETO PERFURAÇÃO'!$B:$B,0)),1)&amp;"''","")</f>
        <v/>
      </c>
      <c r="J631" s="3" t="str">
        <f>IFERROR(IF(INDEX('PROJETO PERFURAÇÃO'!$P:$P,MATCH(MEDIÇÃO!K631,'PROJETO PERFURAÇÃO'!$B:$B,0))="Production","P",IF(INDEX('PROJETO PERFURAÇÃO'!$P:$P,MATCH(MEDIÇÃO!K631,'PROJETO PERFURAÇÃO'!$B:$B,0))="Buffer","B",IF(INDEX('PROJETO PERFURAÇÃO'!$P:$P,MATCH(MEDIÇÃO!K631,'PROJETO PERFURAÇÃO'!$B:$B,0))="Pre-Splitting","S"))),"")</f>
        <v/>
      </c>
      <c r="K631" s="14">
        <f t="shared" si="61"/>
        <v>1410</v>
      </c>
      <c r="L631" s="4" t="str">
        <f>IFERROR(INDEX('LEV R&amp;D'!$D:$D,MATCH(MEDIÇÃO!K631,'LEV R&amp;D'!$A:$A,0))-INDEX('PROJETO PERFURAÇÃO'!$AH:$AH,MATCH(MEDIÇÃO!K631,'PROJETO PERFURAÇÃO'!$B:$B,0)),"")</f>
        <v/>
      </c>
      <c r="M631" s="8" t="str">
        <f>IFERROR(INDEX('PROJETO PERFURAÇÃO'!$AN:$AN,MATCH(MEDIÇÃO!K631,'PROJETO PERFURAÇÃO'!$B:$B,0)),"")</f>
        <v/>
      </c>
      <c r="N631" s="3"/>
      <c r="O631" s="3"/>
      <c r="P631" s="3" t="str">
        <f>IFERROR(ROUND(INDEX('PROJETO PERFURAÇÃO'!$AB:$AB,MATCH(MEDIÇÃO!R631,'PROJETO PERFURAÇÃO'!$B:$B,0)),1)&amp;"''","")</f>
        <v/>
      </c>
      <c r="Q631" s="3" t="str">
        <f>IFERROR(IF(INDEX('PROJETO PERFURAÇÃO'!$P:$P,MATCH(MEDIÇÃO!R631,'PROJETO PERFURAÇÃO'!$B:$B,0))="Production","P",IF(INDEX('PROJETO PERFURAÇÃO'!$P:$P,MATCH(MEDIÇÃO!R631,'PROJETO PERFURAÇÃO'!$B:$B,0))="Buffer","B",IF(INDEX('PROJETO PERFURAÇÃO'!$P:$P,MATCH(MEDIÇÃO!R631,'PROJETO PERFURAÇÃO'!$B:$B,0))="Pre-Splitting","S"))),"")</f>
        <v/>
      </c>
      <c r="R631" s="14">
        <f t="shared" si="62"/>
        <v>1433</v>
      </c>
      <c r="S631" s="4" t="str">
        <f>IFERROR(INDEX('LEV R&amp;D'!$D:$D,MATCH(MEDIÇÃO!R631,'LEV R&amp;D'!$A:$A,0))-INDEX('PROJETO PERFURAÇÃO'!$AH:$AH,MATCH(MEDIÇÃO!R631,'PROJETO PERFURAÇÃO'!$B:$B,0)),"")</f>
        <v/>
      </c>
      <c r="T631" s="8" t="str">
        <f>IFERROR(INDEX('PROJETO PERFURAÇÃO'!$AN:$AN,MATCH(MEDIÇÃO!R631,'PROJETO PERFURAÇÃO'!$B:$B,0)),"")</f>
        <v/>
      </c>
      <c r="U631" s="3"/>
      <c r="V631" s="3"/>
    </row>
    <row r="632" spans="2:22" ht="45" customHeight="1">
      <c r="B632" s="3" t="str">
        <f>IFERROR(ROUND(INDEX('PROJETO PERFURAÇÃO'!$AB:$AB,MATCH(MEDIÇÃO!D632,'PROJETO PERFURAÇÃO'!$B:$B,0)),1)&amp;"''","")</f>
        <v/>
      </c>
      <c r="C632" s="3" t="str">
        <f>IFERROR(IF(INDEX('PROJETO PERFURAÇÃO'!$P:$P,MATCH(MEDIÇÃO!D632,'PROJETO PERFURAÇÃO'!$B:$B,0))="Production","P",IF(INDEX('PROJETO PERFURAÇÃO'!$P:$P,MATCH(MEDIÇÃO!D632,'PROJETO PERFURAÇÃO'!$B:$B,0))="Buffer","B",IF(INDEX('PROJETO PERFURAÇÃO'!$P:$P,MATCH(MEDIÇÃO!D632,'PROJETO PERFURAÇÃO'!$B:$B,0))="Pre-Splitting","S"))),"")</f>
        <v/>
      </c>
      <c r="D632" s="14">
        <f t="shared" si="60"/>
        <v>1388</v>
      </c>
      <c r="E632" s="4" t="str">
        <f>IFERROR(INDEX('LEV R&amp;D'!$D:$D,MATCH(MEDIÇÃO!D632,'LEV R&amp;D'!$A:$A,0))-INDEX('PROJETO PERFURAÇÃO'!$AH:$AH,MATCH(MEDIÇÃO!D632,'PROJETO PERFURAÇÃO'!$B:$B,0)),"")</f>
        <v/>
      </c>
      <c r="F632" s="8" t="str">
        <f>IFERROR(INDEX('PROJETO PERFURAÇÃO'!$AN:$AN,MATCH(MEDIÇÃO!D632,'PROJETO PERFURAÇÃO'!$B:$B,0)),"")</f>
        <v/>
      </c>
      <c r="G632" s="3"/>
      <c r="H632" s="3"/>
      <c r="I632" s="3" t="str">
        <f>IFERROR(ROUND(INDEX('PROJETO PERFURAÇÃO'!$AB:$AB,MATCH(MEDIÇÃO!K632,'PROJETO PERFURAÇÃO'!$B:$B,0)),1)&amp;"''","")</f>
        <v/>
      </c>
      <c r="J632" s="3" t="str">
        <f>IFERROR(IF(INDEX('PROJETO PERFURAÇÃO'!$P:$P,MATCH(MEDIÇÃO!K632,'PROJETO PERFURAÇÃO'!$B:$B,0))="Production","P",IF(INDEX('PROJETO PERFURAÇÃO'!$P:$P,MATCH(MEDIÇÃO!K632,'PROJETO PERFURAÇÃO'!$B:$B,0))="Buffer","B",IF(INDEX('PROJETO PERFURAÇÃO'!$P:$P,MATCH(MEDIÇÃO!K632,'PROJETO PERFURAÇÃO'!$B:$B,0))="Pre-Splitting","S"))),"")</f>
        <v/>
      </c>
      <c r="K632" s="14">
        <f t="shared" si="61"/>
        <v>1411</v>
      </c>
      <c r="L632" s="4" t="str">
        <f>IFERROR(INDEX('LEV R&amp;D'!$D:$D,MATCH(MEDIÇÃO!K632,'LEV R&amp;D'!$A:$A,0))-INDEX('PROJETO PERFURAÇÃO'!$AH:$AH,MATCH(MEDIÇÃO!K632,'PROJETO PERFURAÇÃO'!$B:$B,0)),"")</f>
        <v/>
      </c>
      <c r="M632" s="8" t="str">
        <f>IFERROR(INDEX('PROJETO PERFURAÇÃO'!$AN:$AN,MATCH(MEDIÇÃO!K632,'PROJETO PERFURAÇÃO'!$B:$B,0)),"")</f>
        <v/>
      </c>
      <c r="N632" s="3"/>
      <c r="O632" s="3"/>
      <c r="P632" s="3" t="str">
        <f>IFERROR(ROUND(INDEX('PROJETO PERFURAÇÃO'!$AB:$AB,MATCH(MEDIÇÃO!R632,'PROJETO PERFURAÇÃO'!$B:$B,0)),1)&amp;"''","")</f>
        <v/>
      </c>
      <c r="Q632" s="3" t="str">
        <f>IFERROR(IF(INDEX('PROJETO PERFURAÇÃO'!$P:$P,MATCH(MEDIÇÃO!R632,'PROJETO PERFURAÇÃO'!$B:$B,0))="Production","P",IF(INDEX('PROJETO PERFURAÇÃO'!$P:$P,MATCH(MEDIÇÃO!R632,'PROJETO PERFURAÇÃO'!$B:$B,0))="Buffer","B",IF(INDEX('PROJETO PERFURAÇÃO'!$P:$P,MATCH(MEDIÇÃO!R632,'PROJETO PERFURAÇÃO'!$B:$B,0))="Pre-Splitting","S"))),"")</f>
        <v/>
      </c>
      <c r="R632" s="14">
        <f t="shared" si="62"/>
        <v>1434</v>
      </c>
      <c r="S632" s="4" t="str">
        <f>IFERROR(INDEX('LEV R&amp;D'!$D:$D,MATCH(MEDIÇÃO!R632,'LEV R&amp;D'!$A:$A,0))-INDEX('PROJETO PERFURAÇÃO'!$AH:$AH,MATCH(MEDIÇÃO!R632,'PROJETO PERFURAÇÃO'!$B:$B,0)),"")</f>
        <v/>
      </c>
      <c r="T632" s="8" t="str">
        <f>IFERROR(INDEX('PROJETO PERFURAÇÃO'!$AN:$AN,MATCH(MEDIÇÃO!R632,'PROJETO PERFURAÇÃO'!$B:$B,0)),"")</f>
        <v/>
      </c>
      <c r="U632" s="3"/>
      <c r="V632" s="3"/>
    </row>
    <row r="633" spans="2:22" ht="45" customHeight="1">
      <c r="B633" s="3" t="str">
        <f>IFERROR(ROUND(INDEX('PROJETO PERFURAÇÃO'!$AB:$AB,MATCH(MEDIÇÃO!D633,'PROJETO PERFURAÇÃO'!$B:$B,0)),1)&amp;"''","")</f>
        <v/>
      </c>
      <c r="C633" s="3" t="str">
        <f>IFERROR(IF(INDEX('PROJETO PERFURAÇÃO'!$P:$P,MATCH(MEDIÇÃO!D633,'PROJETO PERFURAÇÃO'!$B:$B,0))="Production","P",IF(INDEX('PROJETO PERFURAÇÃO'!$P:$P,MATCH(MEDIÇÃO!D633,'PROJETO PERFURAÇÃO'!$B:$B,0))="Buffer","B",IF(INDEX('PROJETO PERFURAÇÃO'!$P:$P,MATCH(MEDIÇÃO!D633,'PROJETO PERFURAÇÃO'!$B:$B,0))="Pre-Splitting","S"))),"")</f>
        <v/>
      </c>
      <c r="D633" s="14">
        <f t="shared" si="60"/>
        <v>1389</v>
      </c>
      <c r="E633" s="4" t="str">
        <f>IFERROR(INDEX('LEV R&amp;D'!$D:$D,MATCH(MEDIÇÃO!D633,'LEV R&amp;D'!$A:$A,0))-INDEX('PROJETO PERFURAÇÃO'!$AH:$AH,MATCH(MEDIÇÃO!D633,'PROJETO PERFURAÇÃO'!$B:$B,0)),"")</f>
        <v/>
      </c>
      <c r="F633" s="8" t="str">
        <f>IFERROR(INDEX('PROJETO PERFURAÇÃO'!$AN:$AN,MATCH(MEDIÇÃO!D633,'PROJETO PERFURAÇÃO'!$B:$B,0)),"")</f>
        <v/>
      </c>
      <c r="G633" s="3"/>
      <c r="H633" s="3"/>
      <c r="I633" s="3" t="str">
        <f>IFERROR(ROUND(INDEX('PROJETO PERFURAÇÃO'!$AB:$AB,MATCH(MEDIÇÃO!K633,'PROJETO PERFURAÇÃO'!$B:$B,0)),1)&amp;"''","")</f>
        <v/>
      </c>
      <c r="J633" s="3" t="str">
        <f>IFERROR(IF(INDEX('PROJETO PERFURAÇÃO'!$P:$P,MATCH(MEDIÇÃO!K633,'PROJETO PERFURAÇÃO'!$B:$B,0))="Production","P",IF(INDEX('PROJETO PERFURAÇÃO'!$P:$P,MATCH(MEDIÇÃO!K633,'PROJETO PERFURAÇÃO'!$B:$B,0))="Buffer","B",IF(INDEX('PROJETO PERFURAÇÃO'!$P:$P,MATCH(MEDIÇÃO!K633,'PROJETO PERFURAÇÃO'!$B:$B,0))="Pre-Splitting","S"))),"")</f>
        <v/>
      </c>
      <c r="K633" s="14">
        <f t="shared" si="61"/>
        <v>1412</v>
      </c>
      <c r="L633" s="4" t="str">
        <f>IFERROR(INDEX('LEV R&amp;D'!$D:$D,MATCH(MEDIÇÃO!K633,'LEV R&amp;D'!$A:$A,0))-INDEX('PROJETO PERFURAÇÃO'!$AH:$AH,MATCH(MEDIÇÃO!K633,'PROJETO PERFURAÇÃO'!$B:$B,0)),"")</f>
        <v/>
      </c>
      <c r="M633" s="8" t="str">
        <f>IFERROR(INDEX('PROJETO PERFURAÇÃO'!$AN:$AN,MATCH(MEDIÇÃO!K633,'PROJETO PERFURAÇÃO'!$B:$B,0)),"")</f>
        <v/>
      </c>
      <c r="N633" s="3"/>
      <c r="O633" s="3"/>
      <c r="P633" s="3" t="str">
        <f>IFERROR(ROUND(INDEX('PROJETO PERFURAÇÃO'!$AB:$AB,MATCH(MEDIÇÃO!R633,'PROJETO PERFURAÇÃO'!$B:$B,0)),1)&amp;"''","")</f>
        <v/>
      </c>
      <c r="Q633" s="3" t="str">
        <f>IFERROR(IF(INDEX('PROJETO PERFURAÇÃO'!$P:$P,MATCH(MEDIÇÃO!R633,'PROJETO PERFURAÇÃO'!$B:$B,0))="Production","P",IF(INDEX('PROJETO PERFURAÇÃO'!$P:$P,MATCH(MEDIÇÃO!R633,'PROJETO PERFURAÇÃO'!$B:$B,0))="Buffer","B",IF(INDEX('PROJETO PERFURAÇÃO'!$P:$P,MATCH(MEDIÇÃO!R633,'PROJETO PERFURAÇÃO'!$B:$B,0))="Pre-Splitting","S"))),"")</f>
        <v/>
      </c>
      <c r="R633" s="14">
        <f t="shared" si="62"/>
        <v>1435</v>
      </c>
      <c r="S633" s="4" t="str">
        <f>IFERROR(INDEX('LEV R&amp;D'!$D:$D,MATCH(MEDIÇÃO!R633,'LEV R&amp;D'!$A:$A,0))-INDEX('PROJETO PERFURAÇÃO'!$AH:$AH,MATCH(MEDIÇÃO!R633,'PROJETO PERFURAÇÃO'!$B:$B,0)),"")</f>
        <v/>
      </c>
      <c r="T633" s="8" t="str">
        <f>IFERROR(INDEX('PROJETO PERFURAÇÃO'!$AN:$AN,MATCH(MEDIÇÃO!R633,'PROJETO PERFURAÇÃO'!$B:$B,0)),"")</f>
        <v/>
      </c>
      <c r="U633" s="3"/>
      <c r="V633" s="3"/>
    </row>
    <row r="634" spans="2:22" ht="45" customHeight="1">
      <c r="B634" s="3" t="str">
        <f>IFERROR(ROUND(INDEX('PROJETO PERFURAÇÃO'!$AB:$AB,MATCH(MEDIÇÃO!D634,'PROJETO PERFURAÇÃO'!$B:$B,0)),1)&amp;"''","")</f>
        <v/>
      </c>
      <c r="C634" s="3" t="str">
        <f>IFERROR(IF(INDEX('PROJETO PERFURAÇÃO'!$P:$P,MATCH(MEDIÇÃO!D634,'PROJETO PERFURAÇÃO'!$B:$B,0))="Production","P",IF(INDEX('PROJETO PERFURAÇÃO'!$P:$P,MATCH(MEDIÇÃO!D634,'PROJETO PERFURAÇÃO'!$B:$B,0))="Buffer","B",IF(INDEX('PROJETO PERFURAÇÃO'!$P:$P,MATCH(MEDIÇÃO!D634,'PROJETO PERFURAÇÃO'!$B:$B,0))="Pre-Splitting","S"))),"")</f>
        <v/>
      </c>
      <c r="D634" s="14">
        <f t="shared" si="60"/>
        <v>1390</v>
      </c>
      <c r="E634" s="4" t="str">
        <f>IFERROR(INDEX('LEV R&amp;D'!$D:$D,MATCH(MEDIÇÃO!D634,'LEV R&amp;D'!$A:$A,0))-INDEX('PROJETO PERFURAÇÃO'!$AH:$AH,MATCH(MEDIÇÃO!D634,'PROJETO PERFURAÇÃO'!$B:$B,0)),"")</f>
        <v/>
      </c>
      <c r="F634" s="8" t="str">
        <f>IFERROR(INDEX('PROJETO PERFURAÇÃO'!$AN:$AN,MATCH(MEDIÇÃO!D634,'PROJETO PERFURAÇÃO'!$B:$B,0)),"")</f>
        <v/>
      </c>
      <c r="G634" s="3"/>
      <c r="H634" s="3"/>
      <c r="I634" s="3" t="str">
        <f>IFERROR(ROUND(INDEX('PROJETO PERFURAÇÃO'!$AB:$AB,MATCH(MEDIÇÃO!K634,'PROJETO PERFURAÇÃO'!$B:$B,0)),1)&amp;"''","")</f>
        <v/>
      </c>
      <c r="J634" s="3" t="str">
        <f>IFERROR(IF(INDEX('PROJETO PERFURAÇÃO'!$P:$P,MATCH(MEDIÇÃO!K634,'PROJETO PERFURAÇÃO'!$B:$B,0))="Production","P",IF(INDEX('PROJETO PERFURAÇÃO'!$P:$P,MATCH(MEDIÇÃO!K634,'PROJETO PERFURAÇÃO'!$B:$B,0))="Buffer","B",IF(INDEX('PROJETO PERFURAÇÃO'!$P:$P,MATCH(MEDIÇÃO!K634,'PROJETO PERFURAÇÃO'!$B:$B,0))="Pre-Splitting","S"))),"")</f>
        <v/>
      </c>
      <c r="K634" s="14">
        <f t="shared" si="61"/>
        <v>1413</v>
      </c>
      <c r="L634" s="4" t="str">
        <f>IFERROR(INDEX('LEV R&amp;D'!$D:$D,MATCH(MEDIÇÃO!K634,'LEV R&amp;D'!$A:$A,0))-INDEX('PROJETO PERFURAÇÃO'!$AH:$AH,MATCH(MEDIÇÃO!K634,'PROJETO PERFURAÇÃO'!$B:$B,0)),"")</f>
        <v/>
      </c>
      <c r="M634" s="8" t="str">
        <f>IFERROR(INDEX('PROJETO PERFURAÇÃO'!$AN:$AN,MATCH(MEDIÇÃO!K634,'PROJETO PERFURAÇÃO'!$B:$B,0)),"")</f>
        <v/>
      </c>
      <c r="N634" s="3"/>
      <c r="O634" s="3"/>
      <c r="P634" s="3" t="str">
        <f>IFERROR(ROUND(INDEX('PROJETO PERFURAÇÃO'!$AB:$AB,MATCH(MEDIÇÃO!R634,'PROJETO PERFURAÇÃO'!$B:$B,0)),1)&amp;"''","")</f>
        <v/>
      </c>
      <c r="Q634" s="3" t="str">
        <f>IFERROR(IF(INDEX('PROJETO PERFURAÇÃO'!$P:$P,MATCH(MEDIÇÃO!R634,'PROJETO PERFURAÇÃO'!$B:$B,0))="Production","P",IF(INDEX('PROJETO PERFURAÇÃO'!$P:$P,MATCH(MEDIÇÃO!R634,'PROJETO PERFURAÇÃO'!$B:$B,0))="Buffer","B",IF(INDEX('PROJETO PERFURAÇÃO'!$P:$P,MATCH(MEDIÇÃO!R634,'PROJETO PERFURAÇÃO'!$B:$B,0))="Pre-Splitting","S"))),"")</f>
        <v/>
      </c>
      <c r="R634" s="14">
        <f t="shared" si="62"/>
        <v>1436</v>
      </c>
      <c r="S634" s="4" t="str">
        <f>IFERROR(INDEX('LEV R&amp;D'!$D:$D,MATCH(MEDIÇÃO!R634,'LEV R&amp;D'!$A:$A,0))-INDEX('PROJETO PERFURAÇÃO'!$AH:$AH,MATCH(MEDIÇÃO!R634,'PROJETO PERFURAÇÃO'!$B:$B,0)),"")</f>
        <v/>
      </c>
      <c r="T634" s="8" t="str">
        <f>IFERROR(INDEX('PROJETO PERFURAÇÃO'!$AN:$AN,MATCH(MEDIÇÃO!R634,'PROJETO PERFURAÇÃO'!$B:$B,0)),"")</f>
        <v/>
      </c>
      <c r="U634" s="3"/>
      <c r="V634" s="3"/>
    </row>
    <row r="635" spans="2:22" ht="45" customHeight="1">
      <c r="B635" s="3" t="str">
        <f>IFERROR(ROUND(INDEX('PROJETO PERFURAÇÃO'!$AB:$AB,MATCH(MEDIÇÃO!D635,'PROJETO PERFURAÇÃO'!$B:$B,0)),1)&amp;"''","")</f>
        <v/>
      </c>
      <c r="C635" s="3" t="str">
        <f>IFERROR(IF(INDEX('PROJETO PERFURAÇÃO'!$P:$P,MATCH(MEDIÇÃO!D635,'PROJETO PERFURAÇÃO'!$B:$B,0))="Production","P",IF(INDEX('PROJETO PERFURAÇÃO'!$P:$P,MATCH(MEDIÇÃO!D635,'PROJETO PERFURAÇÃO'!$B:$B,0))="Buffer","B",IF(INDEX('PROJETO PERFURAÇÃO'!$P:$P,MATCH(MEDIÇÃO!D635,'PROJETO PERFURAÇÃO'!$B:$B,0))="Pre-Splitting","S"))),"")</f>
        <v/>
      </c>
      <c r="D635" s="14">
        <f t="shared" si="60"/>
        <v>1391</v>
      </c>
      <c r="E635" s="4" t="str">
        <f>IFERROR(INDEX('LEV R&amp;D'!$D:$D,MATCH(MEDIÇÃO!D635,'LEV R&amp;D'!$A:$A,0))-INDEX('PROJETO PERFURAÇÃO'!$AH:$AH,MATCH(MEDIÇÃO!D635,'PROJETO PERFURAÇÃO'!$B:$B,0)),"")</f>
        <v/>
      </c>
      <c r="F635" s="8" t="str">
        <f>IFERROR(INDEX('PROJETO PERFURAÇÃO'!$AN:$AN,MATCH(MEDIÇÃO!D635,'PROJETO PERFURAÇÃO'!$B:$B,0)),"")</f>
        <v/>
      </c>
      <c r="G635" s="3"/>
      <c r="H635" s="3"/>
      <c r="I635" s="3" t="str">
        <f>IFERROR(ROUND(INDEX('PROJETO PERFURAÇÃO'!$AB:$AB,MATCH(MEDIÇÃO!K635,'PROJETO PERFURAÇÃO'!$B:$B,0)),1)&amp;"''","")</f>
        <v/>
      </c>
      <c r="J635" s="3" t="str">
        <f>IFERROR(IF(INDEX('PROJETO PERFURAÇÃO'!$P:$P,MATCH(MEDIÇÃO!K635,'PROJETO PERFURAÇÃO'!$B:$B,0))="Production","P",IF(INDEX('PROJETO PERFURAÇÃO'!$P:$P,MATCH(MEDIÇÃO!K635,'PROJETO PERFURAÇÃO'!$B:$B,0))="Buffer","B",IF(INDEX('PROJETO PERFURAÇÃO'!$P:$P,MATCH(MEDIÇÃO!K635,'PROJETO PERFURAÇÃO'!$B:$B,0))="Pre-Splitting","S"))),"")</f>
        <v/>
      </c>
      <c r="K635" s="14">
        <f t="shared" si="61"/>
        <v>1414</v>
      </c>
      <c r="L635" s="4" t="str">
        <f>IFERROR(INDEX('LEV R&amp;D'!$D:$D,MATCH(MEDIÇÃO!K635,'LEV R&amp;D'!$A:$A,0))-INDEX('PROJETO PERFURAÇÃO'!$AH:$AH,MATCH(MEDIÇÃO!K635,'PROJETO PERFURAÇÃO'!$B:$B,0)),"")</f>
        <v/>
      </c>
      <c r="M635" s="8" t="str">
        <f>IFERROR(INDEX('PROJETO PERFURAÇÃO'!$AN:$AN,MATCH(MEDIÇÃO!K635,'PROJETO PERFURAÇÃO'!$B:$B,0)),"")</f>
        <v/>
      </c>
      <c r="N635" s="3"/>
      <c r="O635" s="3"/>
      <c r="P635" s="3" t="str">
        <f>IFERROR(ROUND(INDEX('PROJETO PERFURAÇÃO'!$AB:$AB,MATCH(MEDIÇÃO!R635,'PROJETO PERFURAÇÃO'!$B:$B,0)),1)&amp;"''","")</f>
        <v/>
      </c>
      <c r="Q635" s="3" t="str">
        <f>IFERROR(IF(INDEX('PROJETO PERFURAÇÃO'!$P:$P,MATCH(MEDIÇÃO!R635,'PROJETO PERFURAÇÃO'!$B:$B,0))="Production","P",IF(INDEX('PROJETO PERFURAÇÃO'!$P:$P,MATCH(MEDIÇÃO!R635,'PROJETO PERFURAÇÃO'!$B:$B,0))="Buffer","B",IF(INDEX('PROJETO PERFURAÇÃO'!$P:$P,MATCH(MEDIÇÃO!R635,'PROJETO PERFURAÇÃO'!$B:$B,0))="Pre-Splitting","S"))),"")</f>
        <v/>
      </c>
      <c r="R635" s="14">
        <f t="shared" si="62"/>
        <v>1437</v>
      </c>
      <c r="S635" s="4" t="str">
        <f>IFERROR(INDEX('LEV R&amp;D'!$D:$D,MATCH(MEDIÇÃO!R635,'LEV R&amp;D'!$A:$A,0))-INDEX('PROJETO PERFURAÇÃO'!$AH:$AH,MATCH(MEDIÇÃO!R635,'PROJETO PERFURAÇÃO'!$B:$B,0)),"")</f>
        <v/>
      </c>
      <c r="T635" s="8" t="str">
        <f>IFERROR(INDEX('PROJETO PERFURAÇÃO'!$AN:$AN,MATCH(MEDIÇÃO!R635,'PROJETO PERFURAÇÃO'!$B:$B,0)),"")</f>
        <v/>
      </c>
      <c r="U635" s="3"/>
      <c r="V635" s="3"/>
    </row>
    <row r="636" spans="2:22" ht="45" customHeight="1">
      <c r="B636" s="3" t="str">
        <f>IFERROR(ROUND(INDEX('PROJETO PERFURAÇÃO'!$AB:$AB,MATCH(MEDIÇÃO!D636,'PROJETO PERFURAÇÃO'!$B:$B,0)),1)&amp;"''","")</f>
        <v/>
      </c>
      <c r="C636" s="3" t="str">
        <f>IFERROR(IF(INDEX('PROJETO PERFURAÇÃO'!$P:$P,MATCH(MEDIÇÃO!D636,'PROJETO PERFURAÇÃO'!$B:$B,0))="Production","P",IF(INDEX('PROJETO PERFURAÇÃO'!$P:$P,MATCH(MEDIÇÃO!D636,'PROJETO PERFURAÇÃO'!$B:$B,0))="Buffer","B",IF(INDEX('PROJETO PERFURAÇÃO'!$P:$P,MATCH(MEDIÇÃO!D636,'PROJETO PERFURAÇÃO'!$B:$B,0))="Pre-Splitting","S"))),"")</f>
        <v/>
      </c>
      <c r="D636" s="14">
        <f t="shared" si="60"/>
        <v>1392</v>
      </c>
      <c r="E636" s="4" t="str">
        <f>IFERROR(INDEX('LEV R&amp;D'!$D:$D,MATCH(MEDIÇÃO!D636,'LEV R&amp;D'!$A:$A,0))-INDEX('PROJETO PERFURAÇÃO'!$AH:$AH,MATCH(MEDIÇÃO!D636,'PROJETO PERFURAÇÃO'!$B:$B,0)),"")</f>
        <v/>
      </c>
      <c r="F636" s="8" t="str">
        <f>IFERROR(INDEX('PROJETO PERFURAÇÃO'!$AN:$AN,MATCH(MEDIÇÃO!D636,'PROJETO PERFURAÇÃO'!$B:$B,0)),"")</f>
        <v/>
      </c>
      <c r="G636" s="3"/>
      <c r="H636" s="3"/>
      <c r="I636" s="3" t="str">
        <f>IFERROR(ROUND(INDEX('PROJETO PERFURAÇÃO'!$AB:$AB,MATCH(MEDIÇÃO!K636,'PROJETO PERFURAÇÃO'!$B:$B,0)),1)&amp;"''","")</f>
        <v/>
      </c>
      <c r="J636" s="3" t="str">
        <f>IFERROR(IF(INDEX('PROJETO PERFURAÇÃO'!$P:$P,MATCH(MEDIÇÃO!K636,'PROJETO PERFURAÇÃO'!$B:$B,0))="Production","P",IF(INDEX('PROJETO PERFURAÇÃO'!$P:$P,MATCH(MEDIÇÃO!K636,'PROJETO PERFURAÇÃO'!$B:$B,0))="Buffer","B",IF(INDEX('PROJETO PERFURAÇÃO'!$P:$P,MATCH(MEDIÇÃO!K636,'PROJETO PERFURAÇÃO'!$B:$B,0))="Pre-Splitting","S"))),"")</f>
        <v/>
      </c>
      <c r="K636" s="14">
        <f t="shared" si="61"/>
        <v>1415</v>
      </c>
      <c r="L636" s="4" t="str">
        <f>IFERROR(INDEX('LEV R&amp;D'!$D:$D,MATCH(MEDIÇÃO!K636,'LEV R&amp;D'!$A:$A,0))-INDEX('PROJETO PERFURAÇÃO'!$AH:$AH,MATCH(MEDIÇÃO!K636,'PROJETO PERFURAÇÃO'!$B:$B,0)),"")</f>
        <v/>
      </c>
      <c r="M636" s="8" t="str">
        <f>IFERROR(INDEX('PROJETO PERFURAÇÃO'!$AN:$AN,MATCH(MEDIÇÃO!K636,'PROJETO PERFURAÇÃO'!$B:$B,0)),"")</f>
        <v/>
      </c>
      <c r="N636" s="3"/>
      <c r="O636" s="3"/>
      <c r="P636" s="3" t="str">
        <f>IFERROR(ROUND(INDEX('PROJETO PERFURAÇÃO'!$AB:$AB,MATCH(MEDIÇÃO!R636,'PROJETO PERFURAÇÃO'!$B:$B,0)),1)&amp;"''","")</f>
        <v/>
      </c>
      <c r="Q636" s="3" t="str">
        <f>IFERROR(IF(INDEX('PROJETO PERFURAÇÃO'!$P:$P,MATCH(MEDIÇÃO!R636,'PROJETO PERFURAÇÃO'!$B:$B,0))="Production","P",IF(INDEX('PROJETO PERFURAÇÃO'!$P:$P,MATCH(MEDIÇÃO!R636,'PROJETO PERFURAÇÃO'!$B:$B,0))="Buffer","B",IF(INDEX('PROJETO PERFURAÇÃO'!$P:$P,MATCH(MEDIÇÃO!R636,'PROJETO PERFURAÇÃO'!$B:$B,0))="Pre-Splitting","S"))),"")</f>
        <v/>
      </c>
      <c r="R636" s="14">
        <f t="shared" si="62"/>
        <v>1438</v>
      </c>
      <c r="S636" s="4" t="str">
        <f>IFERROR(INDEX('LEV R&amp;D'!$D:$D,MATCH(MEDIÇÃO!R636,'LEV R&amp;D'!$A:$A,0))-INDEX('PROJETO PERFURAÇÃO'!$AH:$AH,MATCH(MEDIÇÃO!R636,'PROJETO PERFURAÇÃO'!$B:$B,0)),"")</f>
        <v/>
      </c>
      <c r="T636" s="8" t="str">
        <f>IFERROR(INDEX('PROJETO PERFURAÇÃO'!$AN:$AN,MATCH(MEDIÇÃO!R636,'PROJETO PERFURAÇÃO'!$B:$B,0)),"")</f>
        <v/>
      </c>
      <c r="U636" s="3"/>
      <c r="V636" s="3"/>
    </row>
    <row r="637" spans="2:22" ht="45" customHeight="1">
      <c r="B637" s="3" t="str">
        <f>IFERROR(ROUND(INDEX('PROJETO PERFURAÇÃO'!$AB:$AB,MATCH(MEDIÇÃO!D637,'PROJETO PERFURAÇÃO'!$B:$B,0)),1)&amp;"''","")</f>
        <v/>
      </c>
      <c r="C637" s="3" t="str">
        <f>IFERROR(IF(INDEX('PROJETO PERFURAÇÃO'!$P:$P,MATCH(MEDIÇÃO!D637,'PROJETO PERFURAÇÃO'!$B:$B,0))="Production","P",IF(INDEX('PROJETO PERFURAÇÃO'!$P:$P,MATCH(MEDIÇÃO!D637,'PROJETO PERFURAÇÃO'!$B:$B,0))="Buffer","B",IF(INDEX('PROJETO PERFURAÇÃO'!$P:$P,MATCH(MEDIÇÃO!D637,'PROJETO PERFURAÇÃO'!$B:$B,0))="Pre-Splitting","S"))),"")</f>
        <v/>
      </c>
      <c r="D637" s="14">
        <f t="shared" si="60"/>
        <v>1393</v>
      </c>
      <c r="E637" s="4" t="str">
        <f>IFERROR(INDEX('LEV R&amp;D'!$D:$D,MATCH(MEDIÇÃO!D637,'LEV R&amp;D'!$A:$A,0))-INDEX('PROJETO PERFURAÇÃO'!$AH:$AH,MATCH(MEDIÇÃO!D637,'PROJETO PERFURAÇÃO'!$B:$B,0)),"")</f>
        <v/>
      </c>
      <c r="F637" s="8" t="str">
        <f>IFERROR(INDEX('PROJETO PERFURAÇÃO'!$AN:$AN,MATCH(MEDIÇÃO!D637,'PROJETO PERFURAÇÃO'!$B:$B,0)),"")</f>
        <v/>
      </c>
      <c r="G637" s="3"/>
      <c r="H637" s="3"/>
      <c r="I637" s="3" t="str">
        <f>IFERROR(ROUND(INDEX('PROJETO PERFURAÇÃO'!$AB:$AB,MATCH(MEDIÇÃO!K637,'PROJETO PERFURAÇÃO'!$B:$B,0)),1)&amp;"''","")</f>
        <v/>
      </c>
      <c r="J637" s="3" t="str">
        <f>IFERROR(IF(INDEX('PROJETO PERFURAÇÃO'!$P:$P,MATCH(MEDIÇÃO!K637,'PROJETO PERFURAÇÃO'!$B:$B,0))="Production","P",IF(INDEX('PROJETO PERFURAÇÃO'!$P:$P,MATCH(MEDIÇÃO!K637,'PROJETO PERFURAÇÃO'!$B:$B,0))="Buffer","B",IF(INDEX('PROJETO PERFURAÇÃO'!$P:$P,MATCH(MEDIÇÃO!K637,'PROJETO PERFURAÇÃO'!$B:$B,0))="Pre-Splitting","S"))),"")</f>
        <v/>
      </c>
      <c r="K637" s="14">
        <f t="shared" si="61"/>
        <v>1416</v>
      </c>
      <c r="L637" s="4" t="str">
        <f>IFERROR(INDEX('LEV R&amp;D'!$D:$D,MATCH(MEDIÇÃO!K637,'LEV R&amp;D'!$A:$A,0))-INDEX('PROJETO PERFURAÇÃO'!$AH:$AH,MATCH(MEDIÇÃO!K637,'PROJETO PERFURAÇÃO'!$B:$B,0)),"")</f>
        <v/>
      </c>
      <c r="M637" s="8" t="str">
        <f>IFERROR(INDEX('PROJETO PERFURAÇÃO'!$AN:$AN,MATCH(MEDIÇÃO!K637,'PROJETO PERFURAÇÃO'!$B:$B,0)),"")</f>
        <v/>
      </c>
      <c r="N637" s="3"/>
      <c r="O637" s="3"/>
      <c r="P637" s="3" t="str">
        <f>IFERROR(ROUND(INDEX('PROJETO PERFURAÇÃO'!$AB:$AB,MATCH(MEDIÇÃO!R637,'PROJETO PERFURAÇÃO'!$B:$B,0)),1)&amp;"''","")</f>
        <v/>
      </c>
      <c r="Q637" s="3" t="str">
        <f>IFERROR(IF(INDEX('PROJETO PERFURAÇÃO'!$P:$P,MATCH(MEDIÇÃO!R637,'PROJETO PERFURAÇÃO'!$B:$B,0))="Production","P",IF(INDEX('PROJETO PERFURAÇÃO'!$P:$P,MATCH(MEDIÇÃO!R637,'PROJETO PERFURAÇÃO'!$B:$B,0))="Buffer","B",IF(INDEX('PROJETO PERFURAÇÃO'!$P:$P,MATCH(MEDIÇÃO!R637,'PROJETO PERFURAÇÃO'!$B:$B,0))="Pre-Splitting","S"))),"")</f>
        <v/>
      </c>
      <c r="R637" s="14">
        <f t="shared" si="62"/>
        <v>1439</v>
      </c>
      <c r="S637" s="4" t="str">
        <f>IFERROR(INDEX('LEV R&amp;D'!$D:$D,MATCH(MEDIÇÃO!R637,'LEV R&amp;D'!$A:$A,0))-INDEX('PROJETO PERFURAÇÃO'!$AH:$AH,MATCH(MEDIÇÃO!R637,'PROJETO PERFURAÇÃO'!$B:$B,0)),"")</f>
        <v/>
      </c>
      <c r="T637" s="8" t="str">
        <f>IFERROR(INDEX('PROJETO PERFURAÇÃO'!$AN:$AN,MATCH(MEDIÇÃO!R637,'PROJETO PERFURAÇÃO'!$B:$B,0)),"")</f>
        <v/>
      </c>
      <c r="U637" s="3"/>
      <c r="V637" s="3"/>
    </row>
    <row r="638" spans="2:22" ht="45" customHeight="1">
      <c r="B638" s="3" t="str">
        <f>IFERROR(ROUND(INDEX('PROJETO PERFURAÇÃO'!$AB:$AB,MATCH(MEDIÇÃO!D638,'PROJETO PERFURAÇÃO'!$B:$B,0)),1)&amp;"''","")</f>
        <v/>
      </c>
      <c r="C638" s="3" t="str">
        <f>IFERROR(IF(INDEX('PROJETO PERFURAÇÃO'!$P:$P,MATCH(MEDIÇÃO!D638,'PROJETO PERFURAÇÃO'!$B:$B,0))="Production","P",IF(INDEX('PROJETO PERFURAÇÃO'!$P:$P,MATCH(MEDIÇÃO!D638,'PROJETO PERFURAÇÃO'!$B:$B,0))="Buffer","B",IF(INDEX('PROJETO PERFURAÇÃO'!$P:$P,MATCH(MEDIÇÃO!D638,'PROJETO PERFURAÇÃO'!$B:$B,0))="Pre-Splitting","S"))),"")</f>
        <v/>
      </c>
      <c r="D638" s="14">
        <f t="shared" si="60"/>
        <v>1394</v>
      </c>
      <c r="E638" s="4" t="str">
        <f>IFERROR(INDEX('LEV R&amp;D'!$D:$D,MATCH(MEDIÇÃO!D638,'LEV R&amp;D'!$A:$A,0))-INDEX('PROJETO PERFURAÇÃO'!$AH:$AH,MATCH(MEDIÇÃO!D638,'PROJETO PERFURAÇÃO'!$B:$B,0)),"")</f>
        <v/>
      </c>
      <c r="F638" s="8" t="str">
        <f>IFERROR(INDEX('PROJETO PERFURAÇÃO'!$AN:$AN,MATCH(MEDIÇÃO!D638,'PROJETO PERFURAÇÃO'!$B:$B,0)),"")</f>
        <v/>
      </c>
      <c r="G638" s="3"/>
      <c r="H638" s="3"/>
      <c r="I638" s="3" t="str">
        <f>IFERROR(ROUND(INDEX('PROJETO PERFURAÇÃO'!$AB:$AB,MATCH(MEDIÇÃO!K638,'PROJETO PERFURAÇÃO'!$B:$B,0)),1)&amp;"''","")</f>
        <v/>
      </c>
      <c r="J638" s="3" t="str">
        <f>IFERROR(IF(INDEX('PROJETO PERFURAÇÃO'!$P:$P,MATCH(MEDIÇÃO!K638,'PROJETO PERFURAÇÃO'!$B:$B,0))="Production","P",IF(INDEX('PROJETO PERFURAÇÃO'!$P:$P,MATCH(MEDIÇÃO!K638,'PROJETO PERFURAÇÃO'!$B:$B,0))="Buffer","B",IF(INDEX('PROJETO PERFURAÇÃO'!$P:$P,MATCH(MEDIÇÃO!K638,'PROJETO PERFURAÇÃO'!$B:$B,0))="Pre-Splitting","S"))),"")</f>
        <v/>
      </c>
      <c r="K638" s="14">
        <f t="shared" si="61"/>
        <v>1417</v>
      </c>
      <c r="L638" s="4" t="str">
        <f>IFERROR(INDEX('LEV R&amp;D'!$D:$D,MATCH(MEDIÇÃO!K638,'LEV R&amp;D'!$A:$A,0))-INDEX('PROJETO PERFURAÇÃO'!$AH:$AH,MATCH(MEDIÇÃO!K638,'PROJETO PERFURAÇÃO'!$B:$B,0)),"")</f>
        <v/>
      </c>
      <c r="M638" s="8" t="str">
        <f>IFERROR(INDEX('PROJETO PERFURAÇÃO'!$AN:$AN,MATCH(MEDIÇÃO!K638,'PROJETO PERFURAÇÃO'!$B:$B,0)),"")</f>
        <v/>
      </c>
      <c r="N638" s="3"/>
      <c r="O638" s="3"/>
      <c r="P638" s="3" t="str">
        <f>IFERROR(ROUND(INDEX('PROJETO PERFURAÇÃO'!$AB:$AB,MATCH(MEDIÇÃO!R638,'PROJETO PERFURAÇÃO'!$B:$B,0)),1)&amp;"''","")</f>
        <v/>
      </c>
      <c r="Q638" s="3" t="str">
        <f>IFERROR(IF(INDEX('PROJETO PERFURAÇÃO'!$P:$P,MATCH(MEDIÇÃO!R638,'PROJETO PERFURAÇÃO'!$B:$B,0))="Production","P",IF(INDEX('PROJETO PERFURAÇÃO'!$P:$P,MATCH(MEDIÇÃO!R638,'PROJETO PERFURAÇÃO'!$B:$B,0))="Buffer","B",IF(INDEX('PROJETO PERFURAÇÃO'!$P:$P,MATCH(MEDIÇÃO!R638,'PROJETO PERFURAÇÃO'!$B:$B,0))="Pre-Splitting","S"))),"")</f>
        <v/>
      </c>
      <c r="R638" s="14">
        <f t="shared" si="62"/>
        <v>1440</v>
      </c>
      <c r="S638" s="4" t="str">
        <f>IFERROR(INDEX('LEV R&amp;D'!$D:$D,MATCH(MEDIÇÃO!R638,'LEV R&amp;D'!$A:$A,0))-INDEX('PROJETO PERFURAÇÃO'!$AH:$AH,MATCH(MEDIÇÃO!R638,'PROJETO PERFURAÇÃO'!$B:$B,0)),"")</f>
        <v/>
      </c>
      <c r="T638" s="8" t="str">
        <f>IFERROR(INDEX('PROJETO PERFURAÇÃO'!$AN:$AN,MATCH(MEDIÇÃO!R638,'PROJETO PERFURAÇÃO'!$B:$B,0)),"")</f>
        <v/>
      </c>
      <c r="U638" s="3"/>
      <c r="V638" s="3"/>
    </row>
    <row r="639" spans="2:22" ht="45" customHeight="1">
      <c r="B639" s="3" t="str">
        <f>IFERROR(ROUND(INDEX('PROJETO PERFURAÇÃO'!$AB:$AB,MATCH(MEDIÇÃO!D639,'PROJETO PERFURAÇÃO'!$B:$B,0)),1)&amp;"''","")</f>
        <v/>
      </c>
      <c r="C639" s="3" t="str">
        <f>IFERROR(IF(INDEX('PROJETO PERFURAÇÃO'!$P:$P,MATCH(MEDIÇÃO!D639,'PROJETO PERFURAÇÃO'!$B:$B,0))="Production","P",IF(INDEX('PROJETO PERFURAÇÃO'!$P:$P,MATCH(MEDIÇÃO!D639,'PROJETO PERFURAÇÃO'!$B:$B,0))="Buffer","B",IF(INDEX('PROJETO PERFURAÇÃO'!$P:$P,MATCH(MEDIÇÃO!D639,'PROJETO PERFURAÇÃO'!$B:$B,0))="Pre-Splitting","S"))),"")</f>
        <v/>
      </c>
      <c r="D639" s="14">
        <f t="shared" si="60"/>
        <v>1395</v>
      </c>
      <c r="E639" s="4" t="str">
        <f>IFERROR(INDEX('LEV R&amp;D'!$D:$D,MATCH(MEDIÇÃO!D639,'LEV R&amp;D'!$A:$A,0))-INDEX('PROJETO PERFURAÇÃO'!$AH:$AH,MATCH(MEDIÇÃO!D639,'PROJETO PERFURAÇÃO'!$B:$B,0)),"")</f>
        <v/>
      </c>
      <c r="F639" s="8" t="str">
        <f>IFERROR(INDEX('PROJETO PERFURAÇÃO'!$AN:$AN,MATCH(MEDIÇÃO!D639,'PROJETO PERFURAÇÃO'!$B:$B,0)),"")</f>
        <v/>
      </c>
      <c r="G639" s="3"/>
      <c r="H639" s="3"/>
      <c r="I639" s="3" t="str">
        <f>IFERROR(ROUND(INDEX('PROJETO PERFURAÇÃO'!$AB:$AB,MATCH(MEDIÇÃO!K639,'PROJETO PERFURAÇÃO'!$B:$B,0)),1)&amp;"''","")</f>
        <v/>
      </c>
      <c r="J639" s="3" t="str">
        <f>IFERROR(IF(INDEX('PROJETO PERFURAÇÃO'!$P:$P,MATCH(MEDIÇÃO!K639,'PROJETO PERFURAÇÃO'!$B:$B,0))="Production","P",IF(INDEX('PROJETO PERFURAÇÃO'!$P:$P,MATCH(MEDIÇÃO!K639,'PROJETO PERFURAÇÃO'!$B:$B,0))="Buffer","B",IF(INDEX('PROJETO PERFURAÇÃO'!$P:$P,MATCH(MEDIÇÃO!K639,'PROJETO PERFURAÇÃO'!$B:$B,0))="Pre-Splitting","S"))),"")</f>
        <v/>
      </c>
      <c r="K639" s="14">
        <f t="shared" si="61"/>
        <v>1418</v>
      </c>
      <c r="L639" s="4" t="str">
        <f>IFERROR(INDEX('LEV R&amp;D'!$D:$D,MATCH(MEDIÇÃO!K639,'LEV R&amp;D'!$A:$A,0))-INDEX('PROJETO PERFURAÇÃO'!$AH:$AH,MATCH(MEDIÇÃO!K639,'PROJETO PERFURAÇÃO'!$B:$B,0)),"")</f>
        <v/>
      </c>
      <c r="M639" s="8" t="str">
        <f>IFERROR(INDEX('PROJETO PERFURAÇÃO'!$AN:$AN,MATCH(MEDIÇÃO!K639,'PROJETO PERFURAÇÃO'!$B:$B,0)),"")</f>
        <v/>
      </c>
      <c r="N639" s="3"/>
      <c r="O639" s="3"/>
      <c r="P639" s="3" t="str">
        <f>IFERROR(ROUND(INDEX('PROJETO PERFURAÇÃO'!$AB:$AB,MATCH(MEDIÇÃO!R639,'PROJETO PERFURAÇÃO'!$B:$B,0)),1)&amp;"''","")</f>
        <v/>
      </c>
      <c r="Q639" s="3" t="str">
        <f>IFERROR(IF(INDEX('PROJETO PERFURAÇÃO'!$P:$P,MATCH(MEDIÇÃO!R639,'PROJETO PERFURAÇÃO'!$B:$B,0))="Production","P",IF(INDEX('PROJETO PERFURAÇÃO'!$P:$P,MATCH(MEDIÇÃO!R639,'PROJETO PERFURAÇÃO'!$B:$B,0))="Buffer","B",IF(INDEX('PROJETO PERFURAÇÃO'!$P:$P,MATCH(MEDIÇÃO!R639,'PROJETO PERFURAÇÃO'!$B:$B,0))="Pre-Splitting","S"))),"")</f>
        <v/>
      </c>
      <c r="R639" s="14">
        <f t="shared" si="62"/>
        <v>1441</v>
      </c>
      <c r="S639" s="4" t="str">
        <f>IFERROR(INDEX('LEV R&amp;D'!$D:$D,MATCH(MEDIÇÃO!R639,'LEV R&amp;D'!$A:$A,0))-INDEX('PROJETO PERFURAÇÃO'!$AH:$AH,MATCH(MEDIÇÃO!R639,'PROJETO PERFURAÇÃO'!$B:$B,0)),"")</f>
        <v/>
      </c>
      <c r="T639" s="8" t="str">
        <f>IFERROR(INDEX('PROJETO PERFURAÇÃO'!$AN:$AN,MATCH(MEDIÇÃO!R639,'PROJETO PERFURAÇÃO'!$B:$B,0)),"")</f>
        <v/>
      </c>
      <c r="U639" s="3"/>
      <c r="V639" s="3"/>
    </row>
    <row r="640" spans="2:22" ht="45" customHeight="1">
      <c r="B640" s="3" t="str">
        <f>IFERROR(ROUND(INDEX('PROJETO PERFURAÇÃO'!$AB:$AB,MATCH(MEDIÇÃO!D640,'PROJETO PERFURAÇÃO'!$B:$B,0)),1)&amp;"''","")</f>
        <v/>
      </c>
      <c r="C640" s="3" t="str">
        <f>IFERROR(IF(INDEX('PROJETO PERFURAÇÃO'!$P:$P,MATCH(MEDIÇÃO!D640,'PROJETO PERFURAÇÃO'!$B:$B,0))="Production","P",IF(INDEX('PROJETO PERFURAÇÃO'!$P:$P,MATCH(MEDIÇÃO!D640,'PROJETO PERFURAÇÃO'!$B:$B,0))="Buffer","B",IF(INDEX('PROJETO PERFURAÇÃO'!$P:$P,MATCH(MEDIÇÃO!D640,'PROJETO PERFURAÇÃO'!$B:$B,0))="Pre-Splitting","S"))),"")</f>
        <v/>
      </c>
      <c r="D640" s="14">
        <f t="shared" si="60"/>
        <v>1396</v>
      </c>
      <c r="E640" s="4" t="str">
        <f>IFERROR(INDEX('LEV R&amp;D'!$D:$D,MATCH(MEDIÇÃO!D640,'LEV R&amp;D'!$A:$A,0))-INDEX('PROJETO PERFURAÇÃO'!$AH:$AH,MATCH(MEDIÇÃO!D640,'PROJETO PERFURAÇÃO'!$B:$B,0)),"")</f>
        <v/>
      </c>
      <c r="F640" s="8" t="str">
        <f>IFERROR(INDEX('PROJETO PERFURAÇÃO'!$AN:$AN,MATCH(MEDIÇÃO!D640,'PROJETO PERFURAÇÃO'!$B:$B,0)),"")</f>
        <v/>
      </c>
      <c r="G640" s="3"/>
      <c r="H640" s="3"/>
      <c r="I640" s="3" t="str">
        <f>IFERROR(ROUND(INDEX('PROJETO PERFURAÇÃO'!$AB:$AB,MATCH(MEDIÇÃO!K640,'PROJETO PERFURAÇÃO'!$B:$B,0)),1)&amp;"''","")</f>
        <v/>
      </c>
      <c r="J640" s="3" t="str">
        <f>IFERROR(IF(INDEX('PROJETO PERFURAÇÃO'!$P:$P,MATCH(MEDIÇÃO!K640,'PROJETO PERFURAÇÃO'!$B:$B,0))="Production","P",IF(INDEX('PROJETO PERFURAÇÃO'!$P:$P,MATCH(MEDIÇÃO!K640,'PROJETO PERFURAÇÃO'!$B:$B,0))="Buffer","B",IF(INDEX('PROJETO PERFURAÇÃO'!$P:$P,MATCH(MEDIÇÃO!K640,'PROJETO PERFURAÇÃO'!$B:$B,0))="Pre-Splitting","S"))),"")</f>
        <v/>
      </c>
      <c r="K640" s="14">
        <f t="shared" si="61"/>
        <v>1419</v>
      </c>
      <c r="L640" s="4" t="str">
        <f>IFERROR(INDEX('LEV R&amp;D'!$D:$D,MATCH(MEDIÇÃO!K640,'LEV R&amp;D'!$A:$A,0))-INDEX('PROJETO PERFURAÇÃO'!$AH:$AH,MATCH(MEDIÇÃO!K640,'PROJETO PERFURAÇÃO'!$B:$B,0)),"")</f>
        <v/>
      </c>
      <c r="M640" s="8" t="str">
        <f>IFERROR(INDEX('PROJETO PERFURAÇÃO'!$AN:$AN,MATCH(MEDIÇÃO!K640,'PROJETO PERFURAÇÃO'!$B:$B,0)),"")</f>
        <v/>
      </c>
      <c r="N640" s="3"/>
      <c r="O640" s="3"/>
      <c r="P640" s="3" t="str">
        <f>IFERROR(ROUND(INDEX('PROJETO PERFURAÇÃO'!$AB:$AB,MATCH(MEDIÇÃO!R640,'PROJETO PERFURAÇÃO'!$B:$B,0)),1)&amp;"''","")</f>
        <v/>
      </c>
      <c r="Q640" s="3" t="str">
        <f>IFERROR(IF(INDEX('PROJETO PERFURAÇÃO'!$P:$P,MATCH(MEDIÇÃO!R640,'PROJETO PERFURAÇÃO'!$B:$B,0))="Production","P",IF(INDEX('PROJETO PERFURAÇÃO'!$P:$P,MATCH(MEDIÇÃO!R640,'PROJETO PERFURAÇÃO'!$B:$B,0))="Buffer","B",IF(INDEX('PROJETO PERFURAÇÃO'!$P:$P,MATCH(MEDIÇÃO!R640,'PROJETO PERFURAÇÃO'!$B:$B,0))="Pre-Splitting","S"))),"")</f>
        <v/>
      </c>
      <c r="R640" s="14">
        <f t="shared" si="62"/>
        <v>1442</v>
      </c>
      <c r="S640" s="4" t="str">
        <f>IFERROR(INDEX('LEV R&amp;D'!$D:$D,MATCH(MEDIÇÃO!R640,'LEV R&amp;D'!$A:$A,0))-INDEX('PROJETO PERFURAÇÃO'!$AH:$AH,MATCH(MEDIÇÃO!R640,'PROJETO PERFURAÇÃO'!$B:$B,0)),"")</f>
        <v/>
      </c>
      <c r="T640" s="8" t="str">
        <f>IFERROR(INDEX('PROJETO PERFURAÇÃO'!$AN:$AN,MATCH(MEDIÇÃO!R640,'PROJETO PERFURAÇÃO'!$B:$B,0)),"")</f>
        <v/>
      </c>
      <c r="U640" s="3"/>
      <c r="V640" s="3"/>
    </row>
    <row r="641" spans="1:23" ht="45" customHeight="1">
      <c r="B641" s="3" t="str">
        <f>IFERROR(ROUND(INDEX('PROJETO PERFURAÇÃO'!$AB:$AB,MATCH(MEDIÇÃO!D641,'PROJETO PERFURAÇÃO'!$B:$B,0)),1)&amp;"''","")</f>
        <v/>
      </c>
      <c r="C641" s="3" t="str">
        <f>IFERROR(IF(INDEX('PROJETO PERFURAÇÃO'!$P:$P,MATCH(MEDIÇÃO!D641,'PROJETO PERFURAÇÃO'!$B:$B,0))="Production","P",IF(INDEX('PROJETO PERFURAÇÃO'!$P:$P,MATCH(MEDIÇÃO!D641,'PROJETO PERFURAÇÃO'!$B:$B,0))="Buffer","B",IF(INDEX('PROJETO PERFURAÇÃO'!$P:$P,MATCH(MEDIÇÃO!D641,'PROJETO PERFURAÇÃO'!$B:$B,0))="Pre-Splitting","S"))),"")</f>
        <v/>
      </c>
      <c r="D641" s="14">
        <f t="shared" si="60"/>
        <v>1397</v>
      </c>
      <c r="E641" s="4" t="str">
        <f>IFERROR(INDEX('LEV R&amp;D'!$D:$D,MATCH(MEDIÇÃO!D641,'LEV R&amp;D'!$A:$A,0))-INDEX('PROJETO PERFURAÇÃO'!$AH:$AH,MATCH(MEDIÇÃO!D641,'PROJETO PERFURAÇÃO'!$B:$B,0)),"")</f>
        <v/>
      </c>
      <c r="F641" s="8" t="str">
        <f>IFERROR(INDEX('PROJETO PERFURAÇÃO'!$AN:$AN,MATCH(MEDIÇÃO!D641,'PROJETO PERFURAÇÃO'!$B:$B,0)),"")</f>
        <v/>
      </c>
      <c r="G641" s="3"/>
      <c r="H641" s="3"/>
      <c r="I641" s="3" t="str">
        <f>IFERROR(ROUND(INDEX('PROJETO PERFURAÇÃO'!$AB:$AB,MATCH(MEDIÇÃO!K641,'PROJETO PERFURAÇÃO'!$B:$B,0)),1)&amp;"''","")</f>
        <v/>
      </c>
      <c r="J641" s="3" t="str">
        <f>IFERROR(IF(INDEX('PROJETO PERFURAÇÃO'!$P:$P,MATCH(MEDIÇÃO!K641,'PROJETO PERFURAÇÃO'!$B:$B,0))="Production","P",IF(INDEX('PROJETO PERFURAÇÃO'!$P:$P,MATCH(MEDIÇÃO!K641,'PROJETO PERFURAÇÃO'!$B:$B,0))="Buffer","B",IF(INDEX('PROJETO PERFURAÇÃO'!$P:$P,MATCH(MEDIÇÃO!K641,'PROJETO PERFURAÇÃO'!$B:$B,0))="Pre-Splitting","S"))),"")</f>
        <v/>
      </c>
      <c r="K641" s="14">
        <f t="shared" si="61"/>
        <v>1420</v>
      </c>
      <c r="L641" s="4" t="str">
        <f>IFERROR(INDEX('LEV R&amp;D'!$D:$D,MATCH(MEDIÇÃO!K641,'LEV R&amp;D'!$A:$A,0))-INDEX('PROJETO PERFURAÇÃO'!$AH:$AH,MATCH(MEDIÇÃO!K641,'PROJETO PERFURAÇÃO'!$B:$B,0)),"")</f>
        <v/>
      </c>
      <c r="M641" s="8" t="str">
        <f>IFERROR(INDEX('PROJETO PERFURAÇÃO'!$AN:$AN,MATCH(MEDIÇÃO!K641,'PROJETO PERFURAÇÃO'!$B:$B,0)),"")</f>
        <v/>
      </c>
      <c r="N641" s="3"/>
      <c r="O641" s="3"/>
      <c r="P641" s="3" t="str">
        <f>IFERROR(ROUND(INDEX('PROJETO PERFURAÇÃO'!$AB:$AB,MATCH(MEDIÇÃO!R641,'PROJETO PERFURAÇÃO'!$B:$B,0)),1)&amp;"''","")</f>
        <v/>
      </c>
      <c r="Q641" s="3" t="str">
        <f>IFERROR(IF(INDEX('PROJETO PERFURAÇÃO'!$P:$P,MATCH(MEDIÇÃO!R641,'PROJETO PERFURAÇÃO'!$B:$B,0))="Production","P",IF(INDEX('PROJETO PERFURAÇÃO'!$P:$P,MATCH(MEDIÇÃO!R641,'PROJETO PERFURAÇÃO'!$B:$B,0))="Buffer","B",IF(INDEX('PROJETO PERFURAÇÃO'!$P:$P,MATCH(MEDIÇÃO!R641,'PROJETO PERFURAÇÃO'!$B:$B,0))="Pre-Splitting","S"))),"")</f>
        <v/>
      </c>
      <c r="R641" s="14">
        <f t="shared" si="62"/>
        <v>1443</v>
      </c>
      <c r="S641" s="4" t="str">
        <f>IFERROR(INDEX('LEV R&amp;D'!$D:$D,MATCH(MEDIÇÃO!R641,'LEV R&amp;D'!$A:$A,0))-INDEX('PROJETO PERFURAÇÃO'!$AH:$AH,MATCH(MEDIÇÃO!R641,'PROJETO PERFURAÇÃO'!$B:$B,0)),"")</f>
        <v/>
      </c>
      <c r="T641" s="8" t="str">
        <f>IFERROR(INDEX('PROJETO PERFURAÇÃO'!$AN:$AN,MATCH(MEDIÇÃO!R641,'PROJETO PERFURAÇÃO'!$B:$B,0)),"")</f>
        <v/>
      </c>
      <c r="U641" s="3"/>
      <c r="V641" s="3"/>
    </row>
    <row r="642" spans="1:23" ht="45" customHeight="1">
      <c r="B642" s="3" t="str">
        <f>IFERROR(ROUND(INDEX('PROJETO PERFURAÇÃO'!$AB:$AB,MATCH(MEDIÇÃO!D642,'PROJETO PERFURAÇÃO'!$B:$B,0)),1)&amp;"''","")</f>
        <v/>
      </c>
      <c r="C642" s="3" t="str">
        <f>IFERROR(IF(INDEX('PROJETO PERFURAÇÃO'!$P:$P,MATCH(MEDIÇÃO!D642,'PROJETO PERFURAÇÃO'!$B:$B,0))="Production","P",IF(INDEX('PROJETO PERFURAÇÃO'!$P:$P,MATCH(MEDIÇÃO!D642,'PROJETO PERFURAÇÃO'!$B:$B,0))="Buffer","B",IF(INDEX('PROJETO PERFURAÇÃO'!$P:$P,MATCH(MEDIÇÃO!D642,'PROJETO PERFURAÇÃO'!$B:$B,0))="Pre-Splitting","S"))),"")</f>
        <v/>
      </c>
      <c r="D642" s="14">
        <f t="shared" si="60"/>
        <v>1398</v>
      </c>
      <c r="E642" s="4" t="str">
        <f>IFERROR(INDEX('LEV R&amp;D'!$D:$D,MATCH(MEDIÇÃO!D642,'LEV R&amp;D'!$A:$A,0))-INDEX('PROJETO PERFURAÇÃO'!$AH:$AH,MATCH(MEDIÇÃO!D642,'PROJETO PERFURAÇÃO'!$B:$B,0)),"")</f>
        <v/>
      </c>
      <c r="F642" s="8" t="str">
        <f>IFERROR(INDEX('PROJETO PERFURAÇÃO'!$AN:$AN,MATCH(MEDIÇÃO!D642,'PROJETO PERFURAÇÃO'!$B:$B,0)),"")</f>
        <v/>
      </c>
      <c r="G642" s="3"/>
      <c r="H642" s="3"/>
      <c r="I642" s="3" t="str">
        <f>IFERROR(ROUND(INDEX('PROJETO PERFURAÇÃO'!$AB:$AB,MATCH(MEDIÇÃO!K642,'PROJETO PERFURAÇÃO'!$B:$B,0)),1)&amp;"''","")</f>
        <v/>
      </c>
      <c r="J642" s="3" t="str">
        <f>IFERROR(IF(INDEX('PROJETO PERFURAÇÃO'!$P:$P,MATCH(MEDIÇÃO!K642,'PROJETO PERFURAÇÃO'!$B:$B,0))="Production","P",IF(INDEX('PROJETO PERFURAÇÃO'!$P:$P,MATCH(MEDIÇÃO!K642,'PROJETO PERFURAÇÃO'!$B:$B,0))="Buffer","B",IF(INDEX('PROJETO PERFURAÇÃO'!$P:$P,MATCH(MEDIÇÃO!K642,'PROJETO PERFURAÇÃO'!$B:$B,0))="Pre-Splitting","S"))),"")</f>
        <v/>
      </c>
      <c r="K642" s="14">
        <f t="shared" si="61"/>
        <v>1421</v>
      </c>
      <c r="L642" s="4" t="str">
        <f>IFERROR(INDEX('LEV R&amp;D'!$D:$D,MATCH(MEDIÇÃO!K642,'LEV R&amp;D'!$A:$A,0))-INDEX('PROJETO PERFURAÇÃO'!$AH:$AH,MATCH(MEDIÇÃO!K642,'PROJETO PERFURAÇÃO'!$B:$B,0)),"")</f>
        <v/>
      </c>
      <c r="M642" s="8" t="str">
        <f>IFERROR(INDEX('PROJETO PERFURAÇÃO'!$AN:$AN,MATCH(MEDIÇÃO!K642,'PROJETO PERFURAÇÃO'!$B:$B,0)),"")</f>
        <v/>
      </c>
      <c r="N642" s="3"/>
      <c r="O642" s="3"/>
      <c r="P642" s="3" t="str">
        <f>IFERROR(ROUND(INDEX('PROJETO PERFURAÇÃO'!$AB:$AB,MATCH(MEDIÇÃO!R642,'PROJETO PERFURAÇÃO'!$B:$B,0)),1)&amp;"''","")</f>
        <v/>
      </c>
      <c r="Q642" s="3" t="str">
        <f>IFERROR(IF(INDEX('PROJETO PERFURAÇÃO'!$P:$P,MATCH(MEDIÇÃO!R642,'PROJETO PERFURAÇÃO'!$B:$B,0))="Production","P",IF(INDEX('PROJETO PERFURAÇÃO'!$P:$P,MATCH(MEDIÇÃO!R642,'PROJETO PERFURAÇÃO'!$B:$B,0))="Buffer","B",IF(INDEX('PROJETO PERFURAÇÃO'!$P:$P,MATCH(MEDIÇÃO!R642,'PROJETO PERFURAÇÃO'!$B:$B,0))="Pre-Splitting","S"))),"")</f>
        <v/>
      </c>
      <c r="R642" s="14">
        <f t="shared" si="62"/>
        <v>1444</v>
      </c>
      <c r="S642" s="4" t="str">
        <f>IFERROR(INDEX('LEV R&amp;D'!$D:$D,MATCH(MEDIÇÃO!R642,'LEV R&amp;D'!$A:$A,0))-INDEX('PROJETO PERFURAÇÃO'!$AH:$AH,MATCH(MEDIÇÃO!R642,'PROJETO PERFURAÇÃO'!$B:$B,0)),"")</f>
        <v/>
      </c>
      <c r="T642" s="8" t="str">
        <f>IFERROR(INDEX('PROJETO PERFURAÇÃO'!$AN:$AN,MATCH(MEDIÇÃO!R642,'PROJETO PERFURAÇÃO'!$B:$B,0)),"")</f>
        <v/>
      </c>
      <c r="U642" s="3"/>
      <c r="V642" s="3"/>
    </row>
    <row r="643" spans="1:23" ht="45" customHeight="1">
      <c r="B643" s="3" t="str">
        <f>IFERROR(ROUND(INDEX('PROJETO PERFURAÇÃO'!$AB:$AB,MATCH(MEDIÇÃO!D643,'PROJETO PERFURAÇÃO'!$B:$B,0)),1)&amp;"''","")</f>
        <v/>
      </c>
      <c r="C643" s="3" t="str">
        <f>IFERROR(IF(INDEX('PROJETO PERFURAÇÃO'!$P:$P,MATCH(MEDIÇÃO!D643,'PROJETO PERFURAÇÃO'!$B:$B,0))="Production","P",IF(INDEX('PROJETO PERFURAÇÃO'!$P:$P,MATCH(MEDIÇÃO!D643,'PROJETO PERFURAÇÃO'!$B:$B,0))="Buffer","B",IF(INDEX('PROJETO PERFURAÇÃO'!$P:$P,MATCH(MEDIÇÃO!D643,'PROJETO PERFURAÇÃO'!$B:$B,0))="Pre-Splitting","S"))),"")</f>
        <v/>
      </c>
      <c r="D643" s="14">
        <f t="shared" si="60"/>
        <v>1399</v>
      </c>
      <c r="E643" s="4" t="str">
        <f>IFERROR(INDEX('LEV R&amp;D'!$D:$D,MATCH(MEDIÇÃO!D643,'LEV R&amp;D'!$A:$A,0))-INDEX('PROJETO PERFURAÇÃO'!$AH:$AH,MATCH(MEDIÇÃO!D643,'PROJETO PERFURAÇÃO'!$B:$B,0)),"")</f>
        <v/>
      </c>
      <c r="F643" s="8" t="str">
        <f>IFERROR(INDEX('PROJETO PERFURAÇÃO'!$AN:$AN,MATCH(MEDIÇÃO!D643,'PROJETO PERFURAÇÃO'!$B:$B,0)),"")</f>
        <v/>
      </c>
      <c r="G643" s="3"/>
      <c r="H643" s="3"/>
      <c r="I643" s="3" t="str">
        <f>IFERROR(ROUND(INDEX('PROJETO PERFURAÇÃO'!$AB:$AB,MATCH(MEDIÇÃO!K643,'PROJETO PERFURAÇÃO'!$B:$B,0)),1)&amp;"''","")</f>
        <v/>
      </c>
      <c r="J643" s="3" t="str">
        <f>IFERROR(IF(INDEX('PROJETO PERFURAÇÃO'!$P:$P,MATCH(MEDIÇÃO!K643,'PROJETO PERFURAÇÃO'!$B:$B,0))="Production","P",IF(INDEX('PROJETO PERFURAÇÃO'!$P:$P,MATCH(MEDIÇÃO!K643,'PROJETO PERFURAÇÃO'!$B:$B,0))="Buffer","B",IF(INDEX('PROJETO PERFURAÇÃO'!$P:$P,MATCH(MEDIÇÃO!K643,'PROJETO PERFURAÇÃO'!$B:$B,0))="Pre-Splitting","S"))),"")</f>
        <v/>
      </c>
      <c r="K643" s="14">
        <f t="shared" si="61"/>
        <v>1422</v>
      </c>
      <c r="L643" s="4" t="str">
        <f>IFERROR(INDEX('LEV R&amp;D'!$D:$D,MATCH(MEDIÇÃO!K643,'LEV R&amp;D'!$A:$A,0))-INDEX('PROJETO PERFURAÇÃO'!$AH:$AH,MATCH(MEDIÇÃO!K643,'PROJETO PERFURAÇÃO'!$B:$B,0)),"")</f>
        <v/>
      </c>
      <c r="M643" s="8" t="str">
        <f>IFERROR(INDEX('PROJETO PERFURAÇÃO'!$AN:$AN,MATCH(MEDIÇÃO!K643,'PROJETO PERFURAÇÃO'!$B:$B,0)),"")</f>
        <v/>
      </c>
      <c r="N643" s="3"/>
      <c r="O643" s="3"/>
      <c r="P643" s="3" t="str">
        <f>IFERROR(ROUND(INDEX('PROJETO PERFURAÇÃO'!$AB:$AB,MATCH(MEDIÇÃO!R643,'PROJETO PERFURAÇÃO'!$B:$B,0)),1)&amp;"''","")</f>
        <v/>
      </c>
      <c r="Q643" s="3" t="str">
        <f>IFERROR(IF(INDEX('PROJETO PERFURAÇÃO'!$P:$P,MATCH(MEDIÇÃO!R643,'PROJETO PERFURAÇÃO'!$B:$B,0))="Production","P",IF(INDEX('PROJETO PERFURAÇÃO'!$P:$P,MATCH(MEDIÇÃO!R643,'PROJETO PERFURAÇÃO'!$B:$B,0))="Buffer","B",IF(INDEX('PROJETO PERFURAÇÃO'!$P:$P,MATCH(MEDIÇÃO!R643,'PROJETO PERFURAÇÃO'!$B:$B,0))="Pre-Splitting","S"))),"")</f>
        <v/>
      </c>
      <c r="R643" s="14">
        <f t="shared" si="62"/>
        <v>1445</v>
      </c>
      <c r="S643" s="4" t="str">
        <f>IFERROR(INDEX('LEV R&amp;D'!$D:$D,MATCH(MEDIÇÃO!R643,'LEV R&amp;D'!$A:$A,0))-INDEX('PROJETO PERFURAÇÃO'!$AH:$AH,MATCH(MEDIÇÃO!R643,'PROJETO PERFURAÇÃO'!$B:$B,0)),"")</f>
        <v/>
      </c>
      <c r="T643" s="8" t="str">
        <f>IFERROR(INDEX('PROJETO PERFURAÇÃO'!$AN:$AN,MATCH(MEDIÇÃO!R643,'PROJETO PERFURAÇÃO'!$B:$B,0)),"")</f>
        <v/>
      </c>
      <c r="U643" s="3"/>
      <c r="V643" s="3"/>
    </row>
    <row r="644" spans="1:23" ht="45" customHeight="1">
      <c r="B644" s="3" t="str">
        <f>IFERROR(ROUND(INDEX('PROJETO PERFURAÇÃO'!$AB:$AB,MATCH(MEDIÇÃO!D644,'PROJETO PERFURAÇÃO'!$B:$B,0)),1)&amp;"''","")</f>
        <v/>
      </c>
      <c r="C644" s="3" t="str">
        <f>IFERROR(IF(INDEX('PROJETO PERFURAÇÃO'!$P:$P,MATCH(MEDIÇÃO!D644,'PROJETO PERFURAÇÃO'!$B:$B,0))="Production","P",IF(INDEX('PROJETO PERFURAÇÃO'!$P:$P,MATCH(MEDIÇÃO!D644,'PROJETO PERFURAÇÃO'!$B:$B,0))="Buffer","B",IF(INDEX('PROJETO PERFURAÇÃO'!$P:$P,MATCH(MEDIÇÃO!D644,'PROJETO PERFURAÇÃO'!$B:$B,0))="Pre-Splitting","S"))),"")</f>
        <v/>
      </c>
      <c r="D644" s="14">
        <f t="shared" si="60"/>
        <v>1400</v>
      </c>
      <c r="E644" s="4" t="str">
        <f>IFERROR(INDEX('LEV R&amp;D'!$D:$D,MATCH(MEDIÇÃO!D644,'LEV R&amp;D'!$A:$A,0))-INDEX('PROJETO PERFURAÇÃO'!$AH:$AH,MATCH(MEDIÇÃO!D644,'PROJETO PERFURAÇÃO'!$B:$B,0)),"")</f>
        <v/>
      </c>
      <c r="F644" s="8" t="str">
        <f>IFERROR(INDEX('PROJETO PERFURAÇÃO'!$AN:$AN,MATCH(MEDIÇÃO!D644,'PROJETO PERFURAÇÃO'!$B:$B,0)),"")</f>
        <v/>
      </c>
      <c r="G644" s="3"/>
      <c r="H644" s="3"/>
      <c r="I644" s="3" t="str">
        <f>IFERROR(ROUND(INDEX('PROJETO PERFURAÇÃO'!$AB:$AB,MATCH(MEDIÇÃO!K644,'PROJETO PERFURAÇÃO'!$B:$B,0)),1)&amp;"''","")</f>
        <v/>
      </c>
      <c r="J644" s="3" t="str">
        <f>IFERROR(IF(INDEX('PROJETO PERFURAÇÃO'!$P:$P,MATCH(MEDIÇÃO!K644,'PROJETO PERFURAÇÃO'!$B:$B,0))="Production","P",IF(INDEX('PROJETO PERFURAÇÃO'!$P:$P,MATCH(MEDIÇÃO!K644,'PROJETO PERFURAÇÃO'!$B:$B,0))="Buffer","B",IF(INDEX('PROJETO PERFURAÇÃO'!$P:$P,MATCH(MEDIÇÃO!K644,'PROJETO PERFURAÇÃO'!$B:$B,0))="Pre-Splitting","S"))),"")</f>
        <v/>
      </c>
      <c r="K644" s="14">
        <f t="shared" si="61"/>
        <v>1423</v>
      </c>
      <c r="L644" s="4" t="str">
        <f>IFERROR(INDEX('LEV R&amp;D'!$D:$D,MATCH(MEDIÇÃO!K644,'LEV R&amp;D'!$A:$A,0))-INDEX('PROJETO PERFURAÇÃO'!$AH:$AH,MATCH(MEDIÇÃO!K644,'PROJETO PERFURAÇÃO'!$B:$B,0)),"")</f>
        <v/>
      </c>
      <c r="M644" s="8" t="str">
        <f>IFERROR(INDEX('PROJETO PERFURAÇÃO'!$AN:$AN,MATCH(MEDIÇÃO!K644,'PROJETO PERFURAÇÃO'!$B:$B,0)),"")</f>
        <v/>
      </c>
      <c r="N644" s="3"/>
      <c r="O644" s="3"/>
      <c r="P644" s="3" t="str">
        <f>IFERROR(ROUND(INDEX('PROJETO PERFURAÇÃO'!$AB:$AB,MATCH(MEDIÇÃO!R644,'PROJETO PERFURAÇÃO'!$B:$B,0)),1)&amp;"''","")</f>
        <v/>
      </c>
      <c r="Q644" s="3" t="str">
        <f>IFERROR(IF(INDEX('PROJETO PERFURAÇÃO'!$P:$P,MATCH(MEDIÇÃO!R644,'PROJETO PERFURAÇÃO'!$B:$B,0))="Production","P",IF(INDEX('PROJETO PERFURAÇÃO'!$P:$P,MATCH(MEDIÇÃO!R644,'PROJETO PERFURAÇÃO'!$B:$B,0))="Buffer","B",IF(INDEX('PROJETO PERFURAÇÃO'!$P:$P,MATCH(MEDIÇÃO!R644,'PROJETO PERFURAÇÃO'!$B:$B,0))="Pre-Splitting","S"))),"")</f>
        <v/>
      </c>
      <c r="R644" s="14">
        <f t="shared" si="62"/>
        <v>1446</v>
      </c>
      <c r="S644" s="4" t="str">
        <f>IFERROR(INDEX('LEV R&amp;D'!$D:$D,MATCH(MEDIÇÃO!R644,'LEV R&amp;D'!$A:$A,0))-INDEX('PROJETO PERFURAÇÃO'!$AH:$AH,MATCH(MEDIÇÃO!R644,'PROJETO PERFURAÇÃO'!$B:$B,0)),"")</f>
        <v/>
      </c>
      <c r="T644" s="8" t="str">
        <f>IFERROR(INDEX('PROJETO PERFURAÇÃO'!$AN:$AN,MATCH(MEDIÇÃO!R644,'PROJETO PERFURAÇÃO'!$B:$B,0)),"")</f>
        <v/>
      </c>
      <c r="U644" s="3"/>
      <c r="V644" s="3"/>
    </row>
    <row r="645" spans="1:23" ht="45" customHeight="1">
      <c r="B645" s="3" t="str">
        <f>IFERROR(ROUND(INDEX('PROJETO PERFURAÇÃO'!$AB:$AB,MATCH(MEDIÇÃO!D645,'PROJETO PERFURAÇÃO'!$B:$B,0)),1)&amp;"''","")</f>
        <v/>
      </c>
      <c r="C645" s="3" t="str">
        <f>IFERROR(IF(INDEX('PROJETO PERFURAÇÃO'!$P:$P,MATCH(MEDIÇÃO!D645,'PROJETO PERFURAÇÃO'!$B:$B,0))="Production","P",IF(INDEX('PROJETO PERFURAÇÃO'!$P:$P,MATCH(MEDIÇÃO!D645,'PROJETO PERFURAÇÃO'!$B:$B,0))="Buffer","B",IF(INDEX('PROJETO PERFURAÇÃO'!$P:$P,MATCH(MEDIÇÃO!D645,'PROJETO PERFURAÇÃO'!$B:$B,0))="Pre-Splitting","S"))),"")</f>
        <v/>
      </c>
      <c r="D645" s="14">
        <f t="shared" si="60"/>
        <v>1401</v>
      </c>
      <c r="E645" s="4" t="str">
        <f>IFERROR(INDEX('LEV R&amp;D'!$D:$D,MATCH(MEDIÇÃO!D645,'LEV R&amp;D'!$A:$A,0))-INDEX('PROJETO PERFURAÇÃO'!$AH:$AH,MATCH(MEDIÇÃO!D645,'PROJETO PERFURAÇÃO'!$B:$B,0)),"")</f>
        <v/>
      </c>
      <c r="F645" s="8" t="str">
        <f>IFERROR(INDEX('PROJETO PERFURAÇÃO'!$AN:$AN,MATCH(MEDIÇÃO!D645,'PROJETO PERFURAÇÃO'!$B:$B,0)),"")</f>
        <v/>
      </c>
      <c r="G645" s="3"/>
      <c r="H645" s="3"/>
      <c r="I645" s="3" t="str">
        <f>IFERROR(ROUND(INDEX('PROJETO PERFURAÇÃO'!$AB:$AB,MATCH(MEDIÇÃO!K645,'PROJETO PERFURAÇÃO'!$B:$B,0)),1)&amp;"''","")</f>
        <v/>
      </c>
      <c r="J645" s="3" t="str">
        <f>IFERROR(IF(INDEX('PROJETO PERFURAÇÃO'!$P:$P,MATCH(MEDIÇÃO!K645,'PROJETO PERFURAÇÃO'!$B:$B,0))="Production","P",IF(INDEX('PROJETO PERFURAÇÃO'!$P:$P,MATCH(MEDIÇÃO!K645,'PROJETO PERFURAÇÃO'!$B:$B,0))="Buffer","B",IF(INDEX('PROJETO PERFURAÇÃO'!$P:$P,MATCH(MEDIÇÃO!K645,'PROJETO PERFURAÇÃO'!$B:$B,0))="Pre-Splitting","S"))),"")</f>
        <v/>
      </c>
      <c r="K645" s="14">
        <f t="shared" si="61"/>
        <v>1424</v>
      </c>
      <c r="L645" s="4" t="str">
        <f>IFERROR(INDEX('LEV R&amp;D'!$D:$D,MATCH(MEDIÇÃO!K645,'LEV R&amp;D'!$A:$A,0))-INDEX('PROJETO PERFURAÇÃO'!$AH:$AH,MATCH(MEDIÇÃO!K645,'PROJETO PERFURAÇÃO'!$B:$B,0)),"")</f>
        <v/>
      </c>
      <c r="M645" s="8" t="str">
        <f>IFERROR(INDEX('PROJETO PERFURAÇÃO'!$AN:$AN,MATCH(MEDIÇÃO!K645,'PROJETO PERFURAÇÃO'!$B:$B,0)),"")</f>
        <v/>
      </c>
      <c r="N645" s="3"/>
      <c r="O645" s="3"/>
      <c r="P645" s="3" t="str">
        <f>IFERROR(ROUND(INDEX('PROJETO PERFURAÇÃO'!$AB:$AB,MATCH(MEDIÇÃO!R645,'PROJETO PERFURAÇÃO'!$B:$B,0)),1)&amp;"''","")</f>
        <v/>
      </c>
      <c r="Q645" s="3" t="str">
        <f>IFERROR(IF(INDEX('PROJETO PERFURAÇÃO'!$P:$P,MATCH(MEDIÇÃO!R645,'PROJETO PERFURAÇÃO'!$B:$B,0))="Production","P",IF(INDEX('PROJETO PERFURAÇÃO'!$P:$P,MATCH(MEDIÇÃO!R645,'PROJETO PERFURAÇÃO'!$B:$B,0))="Buffer","B",IF(INDEX('PROJETO PERFURAÇÃO'!$P:$P,MATCH(MEDIÇÃO!R645,'PROJETO PERFURAÇÃO'!$B:$B,0))="Pre-Splitting","S"))),"")</f>
        <v/>
      </c>
      <c r="R645" s="14">
        <f t="shared" si="62"/>
        <v>1447</v>
      </c>
      <c r="S645" s="4" t="str">
        <f>IFERROR(INDEX('LEV R&amp;D'!$D:$D,MATCH(MEDIÇÃO!R645,'LEV R&amp;D'!$A:$A,0))-INDEX('PROJETO PERFURAÇÃO'!$AH:$AH,MATCH(MEDIÇÃO!R645,'PROJETO PERFURAÇÃO'!$B:$B,0)),"")</f>
        <v/>
      </c>
      <c r="T645" s="8" t="str">
        <f>IFERROR(INDEX('PROJETO PERFURAÇÃO'!$AN:$AN,MATCH(MEDIÇÃO!R645,'PROJETO PERFURAÇÃO'!$B:$B,0)),"")</f>
        <v/>
      </c>
      <c r="U645" s="3"/>
      <c r="V645" s="3"/>
    </row>
    <row r="646" spans="1:23" ht="45" customHeight="1">
      <c r="B646" s="3" t="str">
        <f>IFERROR(ROUND(INDEX('PROJETO PERFURAÇÃO'!$AB:$AB,MATCH(MEDIÇÃO!D646,'PROJETO PERFURAÇÃO'!$B:$B,0)),1)&amp;"''","")</f>
        <v/>
      </c>
      <c r="C646" s="3" t="str">
        <f>IFERROR(IF(INDEX('PROJETO PERFURAÇÃO'!$P:$P,MATCH(MEDIÇÃO!D646,'PROJETO PERFURAÇÃO'!$B:$B,0))="Production","P",IF(INDEX('PROJETO PERFURAÇÃO'!$P:$P,MATCH(MEDIÇÃO!D646,'PROJETO PERFURAÇÃO'!$B:$B,0))="Buffer","B",IF(INDEX('PROJETO PERFURAÇÃO'!$P:$P,MATCH(MEDIÇÃO!D646,'PROJETO PERFURAÇÃO'!$B:$B,0))="Pre-Splitting","S"))),"")</f>
        <v/>
      </c>
      <c r="D646" s="14">
        <f t="shared" si="60"/>
        <v>1402</v>
      </c>
      <c r="E646" s="4" t="str">
        <f>IFERROR(INDEX('LEV R&amp;D'!$D:$D,MATCH(MEDIÇÃO!D646,'LEV R&amp;D'!$A:$A,0))-INDEX('PROJETO PERFURAÇÃO'!$AH:$AH,MATCH(MEDIÇÃO!D646,'PROJETO PERFURAÇÃO'!$B:$B,0)),"")</f>
        <v/>
      </c>
      <c r="F646" s="8" t="str">
        <f>IFERROR(INDEX('PROJETO PERFURAÇÃO'!$AN:$AN,MATCH(MEDIÇÃO!D646,'PROJETO PERFURAÇÃO'!$B:$B,0)),"")</f>
        <v/>
      </c>
      <c r="G646" s="3"/>
      <c r="H646" s="3"/>
      <c r="I646" s="3" t="str">
        <f>IFERROR(ROUND(INDEX('PROJETO PERFURAÇÃO'!$AB:$AB,MATCH(MEDIÇÃO!K646,'PROJETO PERFURAÇÃO'!$B:$B,0)),1)&amp;"''","")</f>
        <v/>
      </c>
      <c r="J646" s="3" t="str">
        <f>IFERROR(IF(INDEX('PROJETO PERFURAÇÃO'!$P:$P,MATCH(MEDIÇÃO!K646,'PROJETO PERFURAÇÃO'!$B:$B,0))="Production","P",IF(INDEX('PROJETO PERFURAÇÃO'!$P:$P,MATCH(MEDIÇÃO!K646,'PROJETO PERFURAÇÃO'!$B:$B,0))="Buffer","B",IF(INDEX('PROJETO PERFURAÇÃO'!$P:$P,MATCH(MEDIÇÃO!K646,'PROJETO PERFURAÇÃO'!$B:$B,0))="Pre-Splitting","S"))),"")</f>
        <v/>
      </c>
      <c r="K646" s="14">
        <f t="shared" si="61"/>
        <v>1425</v>
      </c>
      <c r="L646" s="4" t="str">
        <f>IFERROR(INDEX('LEV R&amp;D'!$D:$D,MATCH(MEDIÇÃO!K646,'LEV R&amp;D'!$A:$A,0))-INDEX('PROJETO PERFURAÇÃO'!$AH:$AH,MATCH(MEDIÇÃO!K646,'PROJETO PERFURAÇÃO'!$B:$B,0)),"")</f>
        <v/>
      </c>
      <c r="M646" s="8" t="str">
        <f>IFERROR(INDEX('PROJETO PERFURAÇÃO'!$AN:$AN,MATCH(MEDIÇÃO!K646,'PROJETO PERFURAÇÃO'!$B:$B,0)),"")</f>
        <v/>
      </c>
      <c r="N646" s="3"/>
      <c r="O646" s="3"/>
      <c r="P646" s="3" t="str">
        <f>IFERROR(ROUND(INDEX('PROJETO PERFURAÇÃO'!$AB:$AB,MATCH(MEDIÇÃO!R646,'PROJETO PERFURAÇÃO'!$B:$B,0)),1)&amp;"''","")</f>
        <v/>
      </c>
      <c r="Q646" s="3" t="str">
        <f>IFERROR(IF(INDEX('PROJETO PERFURAÇÃO'!$P:$P,MATCH(MEDIÇÃO!R646,'PROJETO PERFURAÇÃO'!$B:$B,0))="Production","P",IF(INDEX('PROJETO PERFURAÇÃO'!$P:$P,MATCH(MEDIÇÃO!R646,'PROJETO PERFURAÇÃO'!$B:$B,0))="Buffer","B",IF(INDEX('PROJETO PERFURAÇÃO'!$P:$P,MATCH(MEDIÇÃO!R646,'PROJETO PERFURAÇÃO'!$B:$B,0))="Pre-Splitting","S"))),"")</f>
        <v/>
      </c>
      <c r="R646" s="14">
        <f t="shared" si="62"/>
        <v>1448</v>
      </c>
      <c r="S646" s="4" t="str">
        <f>IFERROR(INDEX('LEV R&amp;D'!$D:$D,MATCH(MEDIÇÃO!R646,'LEV R&amp;D'!$A:$A,0))-INDEX('PROJETO PERFURAÇÃO'!$AH:$AH,MATCH(MEDIÇÃO!R646,'PROJETO PERFURAÇÃO'!$B:$B,0)),"")</f>
        <v/>
      </c>
      <c r="T646" s="8" t="str">
        <f>IFERROR(INDEX('PROJETO PERFURAÇÃO'!$AN:$AN,MATCH(MEDIÇÃO!R646,'PROJETO PERFURAÇÃO'!$B:$B,0)),"")</f>
        <v/>
      </c>
      <c r="U646" s="3"/>
      <c r="V646" s="3"/>
    </row>
    <row r="647" spans="1:23" ht="45" customHeight="1">
      <c r="B647" s="3" t="str">
        <f>IFERROR(ROUND(INDEX('PROJETO PERFURAÇÃO'!$AB:$AB,MATCH(MEDIÇÃO!D647,'PROJETO PERFURAÇÃO'!$B:$B,0)),1)&amp;"''","")</f>
        <v/>
      </c>
      <c r="C647" s="3" t="str">
        <f>IFERROR(IF(INDEX('PROJETO PERFURAÇÃO'!$P:$P,MATCH(MEDIÇÃO!D647,'PROJETO PERFURAÇÃO'!$B:$B,0))="Production","P",IF(INDEX('PROJETO PERFURAÇÃO'!$P:$P,MATCH(MEDIÇÃO!D647,'PROJETO PERFURAÇÃO'!$B:$B,0))="Buffer","B",IF(INDEX('PROJETO PERFURAÇÃO'!$P:$P,MATCH(MEDIÇÃO!D647,'PROJETO PERFURAÇÃO'!$B:$B,0))="Pre-Splitting","S"))),"")</f>
        <v/>
      </c>
      <c r="D647" s="14">
        <f t="shared" si="60"/>
        <v>1403</v>
      </c>
      <c r="E647" s="4" t="str">
        <f>IFERROR(INDEX('LEV R&amp;D'!$D:$D,MATCH(MEDIÇÃO!D647,'LEV R&amp;D'!$A:$A,0))-INDEX('PROJETO PERFURAÇÃO'!$AH:$AH,MATCH(MEDIÇÃO!D647,'PROJETO PERFURAÇÃO'!$B:$B,0)),"")</f>
        <v/>
      </c>
      <c r="F647" s="8" t="str">
        <f>IFERROR(INDEX('PROJETO PERFURAÇÃO'!$AN:$AN,MATCH(MEDIÇÃO!D647,'PROJETO PERFURAÇÃO'!$B:$B,0)),"")</f>
        <v/>
      </c>
      <c r="G647" s="3"/>
      <c r="H647" s="3"/>
      <c r="I647" s="3" t="str">
        <f>IFERROR(ROUND(INDEX('PROJETO PERFURAÇÃO'!$AB:$AB,MATCH(MEDIÇÃO!K647,'PROJETO PERFURAÇÃO'!$B:$B,0)),1)&amp;"''","")</f>
        <v/>
      </c>
      <c r="J647" s="3" t="str">
        <f>IFERROR(IF(INDEX('PROJETO PERFURAÇÃO'!$P:$P,MATCH(MEDIÇÃO!K647,'PROJETO PERFURAÇÃO'!$B:$B,0))="Production","P",IF(INDEX('PROJETO PERFURAÇÃO'!$P:$P,MATCH(MEDIÇÃO!K647,'PROJETO PERFURAÇÃO'!$B:$B,0))="Buffer","B",IF(INDEX('PROJETO PERFURAÇÃO'!$P:$P,MATCH(MEDIÇÃO!K647,'PROJETO PERFURAÇÃO'!$B:$B,0))="Pre-Splitting","S"))),"")</f>
        <v/>
      </c>
      <c r="K647" s="14">
        <f>K646+1</f>
        <v>1426</v>
      </c>
      <c r="L647" s="4" t="str">
        <f>IFERROR(INDEX('LEV R&amp;D'!$D:$D,MATCH(MEDIÇÃO!K647,'LEV R&amp;D'!$A:$A,0))-INDEX('PROJETO PERFURAÇÃO'!$AH:$AH,MATCH(MEDIÇÃO!K647,'PROJETO PERFURAÇÃO'!$B:$B,0)),"")</f>
        <v/>
      </c>
      <c r="M647" s="8" t="str">
        <f>IFERROR(INDEX('PROJETO PERFURAÇÃO'!$AN:$AN,MATCH(MEDIÇÃO!K647,'PROJETO PERFURAÇÃO'!$B:$B,0)),"")</f>
        <v/>
      </c>
      <c r="N647" s="3"/>
      <c r="O647" s="3"/>
      <c r="P647" s="3" t="str">
        <f>IFERROR(ROUND(INDEX('PROJETO PERFURAÇÃO'!$AB:$AB,MATCH(MEDIÇÃO!R647,'PROJETO PERFURAÇÃO'!$B:$B,0)),1)&amp;"''","")</f>
        <v/>
      </c>
      <c r="Q647" s="3" t="str">
        <f>IFERROR(IF(INDEX('PROJETO PERFURAÇÃO'!$P:$P,MATCH(MEDIÇÃO!R647,'PROJETO PERFURAÇÃO'!$B:$B,0))="Production","P",IF(INDEX('PROJETO PERFURAÇÃO'!$P:$P,MATCH(MEDIÇÃO!R647,'PROJETO PERFURAÇÃO'!$B:$B,0))="Buffer","B",IF(INDEX('PROJETO PERFURAÇÃO'!$P:$P,MATCH(MEDIÇÃO!R647,'PROJETO PERFURAÇÃO'!$B:$B,0))="Pre-Splitting","S"))),"")</f>
        <v/>
      </c>
      <c r="R647" s="14">
        <f>R646+1</f>
        <v>1449</v>
      </c>
      <c r="S647" s="4" t="str">
        <f>IFERROR(INDEX('LEV R&amp;D'!$D:$D,MATCH(MEDIÇÃO!R647,'LEV R&amp;D'!$A:$A,0))-INDEX('PROJETO PERFURAÇÃO'!$AH:$AH,MATCH(MEDIÇÃO!R647,'PROJETO PERFURAÇÃO'!$B:$B,0)),"")</f>
        <v/>
      </c>
      <c r="T647" s="8" t="str">
        <f>IFERROR(INDEX('PROJETO PERFURAÇÃO'!$AN:$AN,MATCH(MEDIÇÃO!R647,'PROJETO PERFURAÇÃO'!$B:$B,0)),"")</f>
        <v/>
      </c>
      <c r="U647" s="3"/>
      <c r="V647" s="3"/>
    </row>
    <row r="648" spans="1:23" ht="30" customHeight="1">
      <c r="B648" s="1"/>
      <c r="C648" s="1"/>
      <c r="D648" s="15"/>
      <c r="E648" s="2"/>
      <c r="F648" s="16"/>
      <c r="G648" s="1"/>
      <c r="H648" s="1"/>
      <c r="I648" s="1"/>
      <c r="J648" s="1"/>
      <c r="K648" s="15"/>
      <c r="L648" s="2"/>
      <c r="M648" s="16"/>
      <c r="N648" s="1"/>
      <c r="O648" s="1"/>
      <c r="P648" s="1"/>
      <c r="Q648" s="1"/>
      <c r="R648" s="15"/>
      <c r="S648" s="2"/>
      <c r="T648" s="16"/>
      <c r="U648" s="1"/>
      <c r="V648" s="1"/>
    </row>
    <row r="649" spans="1:23" ht="30" customHeight="1">
      <c r="C649" s="20"/>
      <c r="D649" s="20"/>
      <c r="E649" s="20"/>
      <c r="F649" s="20"/>
      <c r="G649" s="20"/>
      <c r="H649" s="20"/>
      <c r="I649" s="20"/>
      <c r="J649" s="20"/>
      <c r="K649" s="20"/>
      <c r="M649" s="20"/>
      <c r="N649" s="20"/>
      <c r="O649" s="20"/>
      <c r="P649" s="20"/>
      <c r="Q649" s="20"/>
      <c r="R649" s="20"/>
      <c r="S649" s="20"/>
      <c r="T649" s="20"/>
      <c r="U649" s="20"/>
    </row>
    <row r="650" spans="1:23" ht="30" customHeight="1">
      <c r="C650" s="21" t="s">
        <v>40</v>
      </c>
      <c r="D650" s="21"/>
      <c r="E650" s="21"/>
      <c r="F650" s="21"/>
      <c r="G650" s="21"/>
      <c r="H650" s="21"/>
      <c r="I650" s="21"/>
      <c r="J650" s="21"/>
      <c r="K650" s="21"/>
      <c r="L650" s="9"/>
      <c r="M650" s="21" t="s">
        <v>40</v>
      </c>
      <c r="N650" s="21"/>
      <c r="O650" s="21"/>
      <c r="P650" s="21"/>
      <c r="Q650" s="21"/>
      <c r="R650" s="21"/>
      <c r="S650" s="21"/>
      <c r="T650" s="21"/>
      <c r="U650" s="21"/>
      <c r="V650" s="9"/>
    </row>
    <row r="651" spans="1:23" ht="30" customHeight="1">
      <c r="D651" s="9"/>
      <c r="E651" s="9"/>
      <c r="F651" s="9"/>
      <c r="G651" s="9"/>
      <c r="H651" s="9"/>
      <c r="I651" s="9"/>
      <c r="J651" s="9"/>
      <c r="K651" s="9"/>
      <c r="L651" s="9"/>
      <c r="M651" s="9"/>
      <c r="N651" s="9"/>
      <c r="Q651" s="9"/>
      <c r="R651" s="9"/>
      <c r="S651" s="9"/>
      <c r="T651" s="9"/>
      <c r="U651" s="9"/>
      <c r="V651" s="9"/>
    </row>
    <row r="652" spans="1:23" ht="30" customHeight="1">
      <c r="B652" s="19" t="str">
        <f>'PROJETO PERFURAÇÃO'!$C$2&amp;" - "&amp;'PROJETO PERFURAÇÃO'!$H$2</f>
        <v>LIB037 - PP0370626</v>
      </c>
      <c r="C652" s="19"/>
      <c r="D652" s="19"/>
      <c r="E652" s="19"/>
      <c r="F652" s="19"/>
      <c r="G652" s="19"/>
      <c r="H652" s="19"/>
      <c r="I652" s="11" t="s">
        <v>34</v>
      </c>
      <c r="J652" s="10" t="s">
        <v>37</v>
      </c>
    </row>
    <row r="653" spans="1:23" ht="30" customHeight="1">
      <c r="B653" s="19"/>
      <c r="C653" s="19"/>
      <c r="D653" s="19"/>
      <c r="E653" s="19"/>
      <c r="F653" s="19"/>
      <c r="G653" s="19"/>
      <c r="H653" s="19"/>
      <c r="I653" s="12" t="s">
        <v>35</v>
      </c>
      <c r="J653" s="10" t="s">
        <v>38</v>
      </c>
      <c r="K653" s="9"/>
      <c r="L653" s="9"/>
      <c r="M653" s="9"/>
      <c r="N653" s="9"/>
      <c r="O653" s="9"/>
      <c r="P653" s="9"/>
      <c r="Q653" s="9"/>
      <c r="R653" s="9"/>
      <c r="S653" s="9"/>
      <c r="T653" s="9"/>
      <c r="U653" s="9"/>
      <c r="V653" s="9"/>
    </row>
    <row r="654" spans="1:23" ht="30" customHeight="1">
      <c r="B654" s="19"/>
      <c r="C654" s="19"/>
      <c r="D654" s="19"/>
      <c r="E654" s="19"/>
      <c r="F654" s="19"/>
      <c r="G654" s="19"/>
      <c r="H654" s="19"/>
      <c r="I654" s="13" t="s">
        <v>36</v>
      </c>
      <c r="J654" s="10" t="s">
        <v>39</v>
      </c>
    </row>
    <row r="655" spans="1:23" ht="30" customHeight="1">
      <c r="A655" s="1"/>
      <c r="B655" s="6" t="s">
        <v>33</v>
      </c>
      <c r="C655" s="6" t="s">
        <v>13</v>
      </c>
      <c r="D655" s="7" t="s">
        <v>1</v>
      </c>
      <c r="E655" s="7" t="s">
        <v>29</v>
      </c>
      <c r="F655" s="7" t="s">
        <v>30</v>
      </c>
      <c r="G655" s="7" t="s">
        <v>31</v>
      </c>
      <c r="H655" s="7" t="s">
        <v>32</v>
      </c>
      <c r="I655" s="6" t="s">
        <v>33</v>
      </c>
      <c r="J655" s="6" t="s">
        <v>13</v>
      </c>
      <c r="K655" s="7" t="s">
        <v>1</v>
      </c>
      <c r="L655" s="7" t="s">
        <v>29</v>
      </c>
      <c r="M655" s="7" t="s">
        <v>30</v>
      </c>
      <c r="N655" s="7" t="s">
        <v>31</v>
      </c>
      <c r="O655" s="7" t="s">
        <v>32</v>
      </c>
      <c r="P655" s="6" t="s">
        <v>33</v>
      </c>
      <c r="Q655" s="6" t="s">
        <v>13</v>
      </c>
      <c r="R655" s="7" t="s">
        <v>1</v>
      </c>
      <c r="S655" s="7" t="s">
        <v>29</v>
      </c>
      <c r="T655" s="7" t="s">
        <v>30</v>
      </c>
      <c r="U655" s="7" t="s">
        <v>31</v>
      </c>
      <c r="V655" s="7" t="s">
        <v>32</v>
      </c>
      <c r="W655" s="1"/>
    </row>
    <row r="656" spans="1:23" ht="45" customHeight="1">
      <c r="B656" s="3" t="str">
        <f>IFERROR(ROUND(INDEX('PROJETO PERFURAÇÃO'!$AB:$AB,MATCH(MEDIÇÃO!D656,'PROJETO PERFURAÇÃO'!$B:$B,0)),1)&amp;"''","")</f>
        <v/>
      </c>
      <c r="C656" s="3" t="str">
        <f>IFERROR(IF(INDEX('PROJETO PERFURAÇÃO'!$P:$P,MATCH(MEDIÇÃO!D656,'PROJETO PERFURAÇÃO'!$B:$B,0))="Production","P",IF(INDEX('PROJETO PERFURAÇÃO'!$P:$P,MATCH(MEDIÇÃO!D656,'PROJETO PERFURAÇÃO'!$B:$B,0))="Buffer","B",IF(INDEX('PROJETO PERFURAÇÃO'!$P:$P,MATCH(MEDIÇÃO!D656,'PROJETO PERFURAÇÃO'!$B:$B,0))="Pre-Splitting","S"))),"")</f>
        <v/>
      </c>
      <c r="D656" s="14">
        <f>R647+1</f>
        <v>1450</v>
      </c>
      <c r="E656" s="4" t="str">
        <f>IFERROR(INDEX('LEV R&amp;D'!$D:$D,MATCH(MEDIÇÃO!D656,'LEV R&amp;D'!$A:$A,0))-INDEX('PROJETO PERFURAÇÃO'!$AH:$AH,MATCH(MEDIÇÃO!D656,'PROJETO PERFURAÇÃO'!$B:$B,0)),"")</f>
        <v/>
      </c>
      <c r="F656" s="8" t="str">
        <f>IFERROR(INDEX('PROJETO PERFURAÇÃO'!$AN:$AN,MATCH(MEDIÇÃO!D656,'PROJETO PERFURAÇÃO'!$B:$B,0)),"")</f>
        <v/>
      </c>
      <c r="G656" s="3"/>
      <c r="H656" s="3"/>
      <c r="I656" s="3" t="str">
        <f>IFERROR(ROUND(INDEX('PROJETO PERFURAÇÃO'!$AB:$AB,MATCH(MEDIÇÃO!K656,'PROJETO PERFURAÇÃO'!$B:$B,0)),1)&amp;"''","")</f>
        <v/>
      </c>
      <c r="J656" s="3" t="str">
        <f>IFERROR(IF(INDEX('PROJETO PERFURAÇÃO'!$P:$P,MATCH(MEDIÇÃO!K656,'PROJETO PERFURAÇÃO'!$B:$B,0))="Production","P",IF(INDEX('PROJETO PERFURAÇÃO'!$P:$P,MATCH(MEDIÇÃO!K656,'PROJETO PERFURAÇÃO'!$B:$B,0))="Buffer","B",IF(INDEX('PROJETO PERFURAÇÃO'!$P:$P,MATCH(MEDIÇÃO!K656,'PROJETO PERFURAÇÃO'!$B:$B,0))="Pre-Splitting","S"))),"")</f>
        <v/>
      </c>
      <c r="K656" s="14">
        <f>D678+1</f>
        <v>1473</v>
      </c>
      <c r="L656" s="4" t="str">
        <f>IFERROR(INDEX('LEV R&amp;D'!$D:$D,MATCH(MEDIÇÃO!K656,'LEV R&amp;D'!$A:$A,0))-INDEX('PROJETO PERFURAÇÃO'!$AH:$AH,MATCH(MEDIÇÃO!K656,'PROJETO PERFURAÇÃO'!$B:$B,0)),"")</f>
        <v/>
      </c>
      <c r="M656" s="8" t="str">
        <f>IFERROR(INDEX('PROJETO PERFURAÇÃO'!$AN:$AN,MATCH(MEDIÇÃO!K656,'PROJETO PERFURAÇÃO'!$B:$B,0)),"")</f>
        <v/>
      </c>
      <c r="N656" s="3"/>
      <c r="O656" s="3"/>
      <c r="P656" s="3" t="str">
        <f>IFERROR(ROUND(INDEX('PROJETO PERFURAÇÃO'!$AB:$AB,MATCH(MEDIÇÃO!R656,'PROJETO PERFURAÇÃO'!$B:$B,0)),1)&amp;"''","")</f>
        <v/>
      </c>
      <c r="Q656" s="3" t="str">
        <f>IFERROR(IF(INDEX('PROJETO PERFURAÇÃO'!$P:$P,MATCH(MEDIÇÃO!R656,'PROJETO PERFURAÇÃO'!$B:$B,0))="Production","P",IF(INDEX('PROJETO PERFURAÇÃO'!$P:$P,MATCH(MEDIÇÃO!R656,'PROJETO PERFURAÇÃO'!$B:$B,0))="Buffer","B",IF(INDEX('PROJETO PERFURAÇÃO'!$P:$P,MATCH(MEDIÇÃO!R656,'PROJETO PERFURAÇÃO'!$B:$B,0))="Pre-Splitting","S"))),"")</f>
        <v/>
      </c>
      <c r="R656" s="14">
        <f>K678+1</f>
        <v>1496</v>
      </c>
      <c r="S656" s="4" t="str">
        <f>IFERROR(INDEX('LEV R&amp;D'!$D:$D,MATCH(MEDIÇÃO!R656,'LEV R&amp;D'!$A:$A,0))-INDEX('PROJETO PERFURAÇÃO'!$AH:$AH,MATCH(MEDIÇÃO!R656,'PROJETO PERFURAÇÃO'!$B:$B,0)),"")</f>
        <v/>
      </c>
      <c r="T656" s="8" t="str">
        <f>IFERROR(INDEX('PROJETO PERFURAÇÃO'!$AN:$AN,MATCH(MEDIÇÃO!R656,'PROJETO PERFURAÇÃO'!$B:$B,0)),"")</f>
        <v/>
      </c>
      <c r="U656" s="3"/>
      <c r="V656" s="3"/>
    </row>
    <row r="657" spans="2:22" ht="45" customHeight="1">
      <c r="B657" s="3" t="str">
        <f>IFERROR(ROUND(INDEX('PROJETO PERFURAÇÃO'!$AB:$AB,MATCH(MEDIÇÃO!D657,'PROJETO PERFURAÇÃO'!$B:$B,0)),1)&amp;"''","")</f>
        <v/>
      </c>
      <c r="C657" s="3" t="str">
        <f>IFERROR(IF(INDEX('PROJETO PERFURAÇÃO'!$P:$P,MATCH(MEDIÇÃO!D657,'PROJETO PERFURAÇÃO'!$B:$B,0))="Production","P",IF(INDEX('PROJETO PERFURAÇÃO'!$P:$P,MATCH(MEDIÇÃO!D657,'PROJETO PERFURAÇÃO'!$B:$B,0))="Buffer","B",IF(INDEX('PROJETO PERFURAÇÃO'!$P:$P,MATCH(MEDIÇÃO!D657,'PROJETO PERFURAÇÃO'!$B:$B,0))="Pre-Splitting","S"))),"")</f>
        <v/>
      </c>
      <c r="D657" s="14">
        <f>D656+1</f>
        <v>1451</v>
      </c>
      <c r="E657" s="4" t="str">
        <f>IFERROR(INDEX('LEV R&amp;D'!$D:$D,MATCH(MEDIÇÃO!D657,'LEV R&amp;D'!$A:$A,0))-INDEX('PROJETO PERFURAÇÃO'!$AH:$AH,MATCH(MEDIÇÃO!D657,'PROJETO PERFURAÇÃO'!$B:$B,0)),"")</f>
        <v/>
      </c>
      <c r="F657" s="8" t="str">
        <f>IFERROR(INDEX('PROJETO PERFURAÇÃO'!$AN:$AN,MATCH(MEDIÇÃO!D657,'PROJETO PERFURAÇÃO'!$B:$B,0)),"")</f>
        <v/>
      </c>
      <c r="G657" s="3"/>
      <c r="H657" s="3"/>
      <c r="I657" s="3" t="str">
        <f>IFERROR(ROUND(INDEX('PROJETO PERFURAÇÃO'!$AB:$AB,MATCH(MEDIÇÃO!K657,'PROJETO PERFURAÇÃO'!$B:$B,0)),1)&amp;"''","")</f>
        <v/>
      </c>
      <c r="J657" s="3" t="str">
        <f>IFERROR(IF(INDEX('PROJETO PERFURAÇÃO'!$P:$P,MATCH(MEDIÇÃO!K657,'PROJETO PERFURAÇÃO'!$B:$B,0))="Production","P",IF(INDEX('PROJETO PERFURAÇÃO'!$P:$P,MATCH(MEDIÇÃO!K657,'PROJETO PERFURAÇÃO'!$B:$B,0))="Buffer","B",IF(INDEX('PROJETO PERFURAÇÃO'!$P:$P,MATCH(MEDIÇÃO!K657,'PROJETO PERFURAÇÃO'!$B:$B,0))="Pre-Splitting","S"))),"")</f>
        <v/>
      </c>
      <c r="K657" s="14">
        <f>K656+1</f>
        <v>1474</v>
      </c>
      <c r="L657" s="4" t="str">
        <f>IFERROR(INDEX('LEV R&amp;D'!$D:$D,MATCH(MEDIÇÃO!K657,'LEV R&amp;D'!$A:$A,0))-INDEX('PROJETO PERFURAÇÃO'!$AH:$AH,MATCH(MEDIÇÃO!K657,'PROJETO PERFURAÇÃO'!$B:$B,0)),"")</f>
        <v/>
      </c>
      <c r="M657" s="8" t="str">
        <f>IFERROR(INDEX('PROJETO PERFURAÇÃO'!$AN:$AN,MATCH(MEDIÇÃO!K657,'PROJETO PERFURAÇÃO'!$B:$B,0)),"")</f>
        <v/>
      </c>
      <c r="N657" s="3"/>
      <c r="O657" s="3"/>
      <c r="P657" s="3" t="str">
        <f>IFERROR(ROUND(INDEX('PROJETO PERFURAÇÃO'!$AB:$AB,MATCH(MEDIÇÃO!R657,'PROJETO PERFURAÇÃO'!$B:$B,0)),1)&amp;"''","")</f>
        <v/>
      </c>
      <c r="Q657" s="3" t="str">
        <f>IFERROR(IF(INDEX('PROJETO PERFURAÇÃO'!$P:$P,MATCH(MEDIÇÃO!R657,'PROJETO PERFURAÇÃO'!$B:$B,0))="Production","P",IF(INDEX('PROJETO PERFURAÇÃO'!$P:$P,MATCH(MEDIÇÃO!R657,'PROJETO PERFURAÇÃO'!$B:$B,0))="Buffer","B",IF(INDEX('PROJETO PERFURAÇÃO'!$P:$P,MATCH(MEDIÇÃO!R657,'PROJETO PERFURAÇÃO'!$B:$B,0))="Pre-Splitting","S"))),"")</f>
        <v/>
      </c>
      <c r="R657" s="14">
        <f>R656+1</f>
        <v>1497</v>
      </c>
      <c r="S657" s="4" t="str">
        <f>IFERROR(INDEX('LEV R&amp;D'!$D:$D,MATCH(MEDIÇÃO!R657,'LEV R&amp;D'!$A:$A,0))-INDEX('PROJETO PERFURAÇÃO'!$AH:$AH,MATCH(MEDIÇÃO!R657,'PROJETO PERFURAÇÃO'!$B:$B,0)),"")</f>
        <v/>
      </c>
      <c r="T657" s="8" t="str">
        <f>IFERROR(INDEX('PROJETO PERFURAÇÃO'!$AN:$AN,MATCH(MEDIÇÃO!R657,'PROJETO PERFURAÇÃO'!$B:$B,0)),"")</f>
        <v/>
      </c>
      <c r="U657" s="3"/>
      <c r="V657" s="3"/>
    </row>
    <row r="658" spans="2:22" ht="45" customHeight="1">
      <c r="B658" s="3" t="str">
        <f>IFERROR(ROUND(INDEX('PROJETO PERFURAÇÃO'!$AB:$AB,MATCH(MEDIÇÃO!D658,'PROJETO PERFURAÇÃO'!$B:$B,0)),1)&amp;"''","")</f>
        <v/>
      </c>
      <c r="C658" s="3" t="str">
        <f>IFERROR(IF(INDEX('PROJETO PERFURAÇÃO'!$P:$P,MATCH(MEDIÇÃO!D658,'PROJETO PERFURAÇÃO'!$B:$B,0))="Production","P",IF(INDEX('PROJETO PERFURAÇÃO'!$P:$P,MATCH(MEDIÇÃO!D658,'PROJETO PERFURAÇÃO'!$B:$B,0))="Buffer","B",IF(INDEX('PROJETO PERFURAÇÃO'!$P:$P,MATCH(MEDIÇÃO!D658,'PROJETO PERFURAÇÃO'!$B:$B,0))="Pre-Splitting","S"))),"")</f>
        <v/>
      </c>
      <c r="D658" s="14">
        <f t="shared" ref="D658:D678" si="63">D657+1</f>
        <v>1452</v>
      </c>
      <c r="E658" s="4" t="str">
        <f>IFERROR(INDEX('LEV R&amp;D'!$D:$D,MATCH(MEDIÇÃO!D658,'LEV R&amp;D'!$A:$A,0))-INDEX('PROJETO PERFURAÇÃO'!$AH:$AH,MATCH(MEDIÇÃO!D658,'PROJETO PERFURAÇÃO'!$B:$B,0)),"")</f>
        <v/>
      </c>
      <c r="F658" s="8" t="str">
        <f>IFERROR(INDEX('PROJETO PERFURAÇÃO'!$AN:$AN,MATCH(MEDIÇÃO!D658,'PROJETO PERFURAÇÃO'!$B:$B,0)),"")</f>
        <v/>
      </c>
      <c r="G658" s="3"/>
      <c r="H658" s="3"/>
      <c r="I658" s="3" t="str">
        <f>IFERROR(ROUND(INDEX('PROJETO PERFURAÇÃO'!$AB:$AB,MATCH(MEDIÇÃO!K658,'PROJETO PERFURAÇÃO'!$B:$B,0)),1)&amp;"''","")</f>
        <v/>
      </c>
      <c r="J658" s="3" t="str">
        <f>IFERROR(IF(INDEX('PROJETO PERFURAÇÃO'!$P:$P,MATCH(MEDIÇÃO!K658,'PROJETO PERFURAÇÃO'!$B:$B,0))="Production","P",IF(INDEX('PROJETO PERFURAÇÃO'!$P:$P,MATCH(MEDIÇÃO!K658,'PROJETO PERFURAÇÃO'!$B:$B,0))="Buffer","B",IF(INDEX('PROJETO PERFURAÇÃO'!$P:$P,MATCH(MEDIÇÃO!K658,'PROJETO PERFURAÇÃO'!$B:$B,0))="Pre-Splitting","S"))),"")</f>
        <v/>
      </c>
      <c r="K658" s="14">
        <f t="shared" ref="K658:K677" si="64">K657+1</f>
        <v>1475</v>
      </c>
      <c r="L658" s="4" t="str">
        <f>IFERROR(INDEX('LEV R&amp;D'!$D:$D,MATCH(MEDIÇÃO!K658,'LEV R&amp;D'!$A:$A,0))-INDEX('PROJETO PERFURAÇÃO'!$AH:$AH,MATCH(MEDIÇÃO!K658,'PROJETO PERFURAÇÃO'!$B:$B,0)),"")</f>
        <v/>
      </c>
      <c r="M658" s="8" t="str">
        <f>IFERROR(INDEX('PROJETO PERFURAÇÃO'!$AN:$AN,MATCH(MEDIÇÃO!K658,'PROJETO PERFURAÇÃO'!$B:$B,0)),"")</f>
        <v/>
      </c>
      <c r="N658" s="3"/>
      <c r="O658" s="3"/>
      <c r="P658" s="3" t="str">
        <f>IFERROR(ROUND(INDEX('PROJETO PERFURAÇÃO'!$AB:$AB,MATCH(MEDIÇÃO!R658,'PROJETO PERFURAÇÃO'!$B:$B,0)),1)&amp;"''","")</f>
        <v/>
      </c>
      <c r="Q658" s="3" t="str">
        <f>IFERROR(IF(INDEX('PROJETO PERFURAÇÃO'!$P:$P,MATCH(MEDIÇÃO!R658,'PROJETO PERFURAÇÃO'!$B:$B,0))="Production","P",IF(INDEX('PROJETO PERFURAÇÃO'!$P:$P,MATCH(MEDIÇÃO!R658,'PROJETO PERFURAÇÃO'!$B:$B,0))="Buffer","B",IF(INDEX('PROJETO PERFURAÇÃO'!$P:$P,MATCH(MEDIÇÃO!R658,'PROJETO PERFURAÇÃO'!$B:$B,0))="Pre-Splitting","S"))),"")</f>
        <v/>
      </c>
      <c r="R658" s="14">
        <f t="shared" ref="R658:R677" si="65">R657+1</f>
        <v>1498</v>
      </c>
      <c r="S658" s="4" t="str">
        <f>IFERROR(INDEX('LEV R&amp;D'!$D:$D,MATCH(MEDIÇÃO!R658,'LEV R&amp;D'!$A:$A,0))-INDEX('PROJETO PERFURAÇÃO'!$AH:$AH,MATCH(MEDIÇÃO!R658,'PROJETO PERFURAÇÃO'!$B:$B,0)),"")</f>
        <v/>
      </c>
      <c r="T658" s="8" t="str">
        <f>IFERROR(INDEX('PROJETO PERFURAÇÃO'!$AN:$AN,MATCH(MEDIÇÃO!R658,'PROJETO PERFURAÇÃO'!$B:$B,0)),"")</f>
        <v/>
      </c>
      <c r="U658" s="3"/>
      <c r="V658" s="3"/>
    </row>
    <row r="659" spans="2:22" ht="45" customHeight="1">
      <c r="B659" s="3" t="str">
        <f>IFERROR(ROUND(INDEX('PROJETO PERFURAÇÃO'!$AB:$AB,MATCH(MEDIÇÃO!D659,'PROJETO PERFURAÇÃO'!$B:$B,0)),1)&amp;"''","")</f>
        <v/>
      </c>
      <c r="C659" s="3" t="str">
        <f>IFERROR(IF(INDEX('PROJETO PERFURAÇÃO'!$P:$P,MATCH(MEDIÇÃO!D659,'PROJETO PERFURAÇÃO'!$B:$B,0))="Production","P",IF(INDEX('PROJETO PERFURAÇÃO'!$P:$P,MATCH(MEDIÇÃO!D659,'PROJETO PERFURAÇÃO'!$B:$B,0))="Buffer","B",IF(INDEX('PROJETO PERFURAÇÃO'!$P:$P,MATCH(MEDIÇÃO!D659,'PROJETO PERFURAÇÃO'!$B:$B,0))="Pre-Splitting","S"))),"")</f>
        <v/>
      </c>
      <c r="D659" s="14">
        <f t="shared" si="63"/>
        <v>1453</v>
      </c>
      <c r="E659" s="4" t="str">
        <f>IFERROR(INDEX('LEV R&amp;D'!$D:$D,MATCH(MEDIÇÃO!D659,'LEV R&amp;D'!$A:$A,0))-INDEX('PROJETO PERFURAÇÃO'!$AH:$AH,MATCH(MEDIÇÃO!D659,'PROJETO PERFURAÇÃO'!$B:$B,0)),"")</f>
        <v/>
      </c>
      <c r="F659" s="8" t="str">
        <f>IFERROR(INDEX('PROJETO PERFURAÇÃO'!$AN:$AN,MATCH(MEDIÇÃO!D659,'PROJETO PERFURAÇÃO'!$B:$B,0)),"")</f>
        <v/>
      </c>
      <c r="G659" s="3"/>
      <c r="H659" s="3"/>
      <c r="I659" s="3" t="str">
        <f>IFERROR(ROUND(INDEX('PROJETO PERFURAÇÃO'!$AB:$AB,MATCH(MEDIÇÃO!K659,'PROJETO PERFURAÇÃO'!$B:$B,0)),1)&amp;"''","")</f>
        <v/>
      </c>
      <c r="J659" s="3" t="str">
        <f>IFERROR(IF(INDEX('PROJETO PERFURAÇÃO'!$P:$P,MATCH(MEDIÇÃO!K659,'PROJETO PERFURAÇÃO'!$B:$B,0))="Production","P",IF(INDEX('PROJETO PERFURAÇÃO'!$P:$P,MATCH(MEDIÇÃO!K659,'PROJETO PERFURAÇÃO'!$B:$B,0))="Buffer","B",IF(INDEX('PROJETO PERFURAÇÃO'!$P:$P,MATCH(MEDIÇÃO!K659,'PROJETO PERFURAÇÃO'!$B:$B,0))="Pre-Splitting","S"))),"")</f>
        <v/>
      </c>
      <c r="K659" s="14">
        <f t="shared" si="64"/>
        <v>1476</v>
      </c>
      <c r="L659" s="4" t="str">
        <f>IFERROR(INDEX('LEV R&amp;D'!$D:$D,MATCH(MEDIÇÃO!K659,'LEV R&amp;D'!$A:$A,0))-INDEX('PROJETO PERFURAÇÃO'!$AH:$AH,MATCH(MEDIÇÃO!K659,'PROJETO PERFURAÇÃO'!$B:$B,0)),"")</f>
        <v/>
      </c>
      <c r="M659" s="8" t="str">
        <f>IFERROR(INDEX('PROJETO PERFURAÇÃO'!$AN:$AN,MATCH(MEDIÇÃO!K659,'PROJETO PERFURAÇÃO'!$B:$B,0)),"")</f>
        <v/>
      </c>
      <c r="N659" s="3"/>
      <c r="O659" s="3"/>
      <c r="P659" s="3" t="str">
        <f>IFERROR(ROUND(INDEX('PROJETO PERFURAÇÃO'!$AB:$AB,MATCH(MEDIÇÃO!R659,'PROJETO PERFURAÇÃO'!$B:$B,0)),1)&amp;"''","")</f>
        <v/>
      </c>
      <c r="Q659" s="3" t="str">
        <f>IFERROR(IF(INDEX('PROJETO PERFURAÇÃO'!$P:$P,MATCH(MEDIÇÃO!R659,'PROJETO PERFURAÇÃO'!$B:$B,0))="Production","P",IF(INDEX('PROJETO PERFURAÇÃO'!$P:$P,MATCH(MEDIÇÃO!R659,'PROJETO PERFURAÇÃO'!$B:$B,0))="Buffer","B",IF(INDEX('PROJETO PERFURAÇÃO'!$P:$P,MATCH(MEDIÇÃO!R659,'PROJETO PERFURAÇÃO'!$B:$B,0))="Pre-Splitting","S"))),"")</f>
        <v/>
      </c>
      <c r="R659" s="14">
        <f t="shared" si="65"/>
        <v>1499</v>
      </c>
      <c r="S659" s="4" t="str">
        <f>IFERROR(INDEX('LEV R&amp;D'!$D:$D,MATCH(MEDIÇÃO!R659,'LEV R&amp;D'!$A:$A,0))-INDEX('PROJETO PERFURAÇÃO'!$AH:$AH,MATCH(MEDIÇÃO!R659,'PROJETO PERFURAÇÃO'!$B:$B,0)),"")</f>
        <v/>
      </c>
      <c r="T659" s="8" t="str">
        <f>IFERROR(INDEX('PROJETO PERFURAÇÃO'!$AN:$AN,MATCH(MEDIÇÃO!R659,'PROJETO PERFURAÇÃO'!$B:$B,0)),"")</f>
        <v/>
      </c>
      <c r="U659" s="3"/>
      <c r="V659" s="3"/>
    </row>
    <row r="660" spans="2:22" ht="45" customHeight="1">
      <c r="B660" s="3" t="str">
        <f>IFERROR(ROUND(INDEX('PROJETO PERFURAÇÃO'!$AB:$AB,MATCH(MEDIÇÃO!D660,'PROJETO PERFURAÇÃO'!$B:$B,0)),1)&amp;"''","")</f>
        <v/>
      </c>
      <c r="C660" s="3" t="str">
        <f>IFERROR(IF(INDEX('PROJETO PERFURAÇÃO'!$P:$P,MATCH(MEDIÇÃO!D660,'PROJETO PERFURAÇÃO'!$B:$B,0))="Production","P",IF(INDEX('PROJETO PERFURAÇÃO'!$P:$P,MATCH(MEDIÇÃO!D660,'PROJETO PERFURAÇÃO'!$B:$B,0))="Buffer","B",IF(INDEX('PROJETO PERFURAÇÃO'!$P:$P,MATCH(MEDIÇÃO!D660,'PROJETO PERFURAÇÃO'!$B:$B,0))="Pre-Splitting","S"))),"")</f>
        <v/>
      </c>
      <c r="D660" s="14">
        <f t="shared" si="63"/>
        <v>1454</v>
      </c>
      <c r="E660" s="4" t="str">
        <f>IFERROR(INDEX('LEV R&amp;D'!$D:$D,MATCH(MEDIÇÃO!D660,'LEV R&amp;D'!$A:$A,0))-INDEX('PROJETO PERFURAÇÃO'!$AH:$AH,MATCH(MEDIÇÃO!D660,'PROJETO PERFURAÇÃO'!$B:$B,0)),"")</f>
        <v/>
      </c>
      <c r="F660" s="8" t="str">
        <f>IFERROR(INDEX('PROJETO PERFURAÇÃO'!$AN:$AN,MATCH(MEDIÇÃO!D660,'PROJETO PERFURAÇÃO'!$B:$B,0)),"")</f>
        <v/>
      </c>
      <c r="G660" s="3"/>
      <c r="H660" s="3"/>
      <c r="I660" s="3" t="str">
        <f>IFERROR(ROUND(INDEX('PROJETO PERFURAÇÃO'!$AB:$AB,MATCH(MEDIÇÃO!K660,'PROJETO PERFURAÇÃO'!$B:$B,0)),1)&amp;"''","")</f>
        <v/>
      </c>
      <c r="J660" s="3" t="str">
        <f>IFERROR(IF(INDEX('PROJETO PERFURAÇÃO'!$P:$P,MATCH(MEDIÇÃO!K660,'PROJETO PERFURAÇÃO'!$B:$B,0))="Production","P",IF(INDEX('PROJETO PERFURAÇÃO'!$P:$P,MATCH(MEDIÇÃO!K660,'PROJETO PERFURAÇÃO'!$B:$B,0))="Buffer","B",IF(INDEX('PROJETO PERFURAÇÃO'!$P:$P,MATCH(MEDIÇÃO!K660,'PROJETO PERFURAÇÃO'!$B:$B,0))="Pre-Splitting","S"))),"")</f>
        <v/>
      </c>
      <c r="K660" s="14">
        <f t="shared" si="64"/>
        <v>1477</v>
      </c>
      <c r="L660" s="4" t="str">
        <f>IFERROR(INDEX('LEV R&amp;D'!$D:$D,MATCH(MEDIÇÃO!K660,'LEV R&amp;D'!$A:$A,0))-INDEX('PROJETO PERFURAÇÃO'!$AH:$AH,MATCH(MEDIÇÃO!K660,'PROJETO PERFURAÇÃO'!$B:$B,0)),"")</f>
        <v/>
      </c>
      <c r="M660" s="8" t="str">
        <f>IFERROR(INDEX('PROJETO PERFURAÇÃO'!$AN:$AN,MATCH(MEDIÇÃO!K660,'PROJETO PERFURAÇÃO'!$B:$B,0)),"")</f>
        <v/>
      </c>
      <c r="N660" s="3"/>
      <c r="O660" s="3"/>
      <c r="P660" s="3" t="str">
        <f>IFERROR(ROUND(INDEX('PROJETO PERFURAÇÃO'!$AB:$AB,MATCH(MEDIÇÃO!R660,'PROJETO PERFURAÇÃO'!$B:$B,0)),1)&amp;"''","")</f>
        <v/>
      </c>
      <c r="Q660" s="3" t="str">
        <f>IFERROR(IF(INDEX('PROJETO PERFURAÇÃO'!$P:$P,MATCH(MEDIÇÃO!R660,'PROJETO PERFURAÇÃO'!$B:$B,0))="Production","P",IF(INDEX('PROJETO PERFURAÇÃO'!$P:$P,MATCH(MEDIÇÃO!R660,'PROJETO PERFURAÇÃO'!$B:$B,0))="Buffer","B",IF(INDEX('PROJETO PERFURAÇÃO'!$P:$P,MATCH(MEDIÇÃO!R660,'PROJETO PERFURAÇÃO'!$B:$B,0))="Pre-Splitting","S"))),"")</f>
        <v/>
      </c>
      <c r="R660" s="14">
        <f t="shared" si="65"/>
        <v>1500</v>
      </c>
      <c r="S660" s="4" t="str">
        <f>IFERROR(INDEX('LEV R&amp;D'!$D:$D,MATCH(MEDIÇÃO!R660,'LEV R&amp;D'!$A:$A,0))-INDEX('PROJETO PERFURAÇÃO'!$AH:$AH,MATCH(MEDIÇÃO!R660,'PROJETO PERFURAÇÃO'!$B:$B,0)),"")</f>
        <v/>
      </c>
      <c r="T660" s="8" t="str">
        <f>IFERROR(INDEX('PROJETO PERFURAÇÃO'!$AN:$AN,MATCH(MEDIÇÃO!R660,'PROJETO PERFURAÇÃO'!$B:$B,0)),"")</f>
        <v/>
      </c>
      <c r="U660" s="3"/>
      <c r="V660" s="3"/>
    </row>
    <row r="661" spans="2:22" ht="45" customHeight="1">
      <c r="B661" s="3" t="str">
        <f>IFERROR(ROUND(INDEX('PROJETO PERFURAÇÃO'!$AB:$AB,MATCH(MEDIÇÃO!D661,'PROJETO PERFURAÇÃO'!$B:$B,0)),1)&amp;"''","")</f>
        <v/>
      </c>
      <c r="C661" s="3" t="str">
        <f>IFERROR(IF(INDEX('PROJETO PERFURAÇÃO'!$P:$P,MATCH(MEDIÇÃO!D661,'PROJETO PERFURAÇÃO'!$B:$B,0))="Production","P",IF(INDEX('PROJETO PERFURAÇÃO'!$P:$P,MATCH(MEDIÇÃO!D661,'PROJETO PERFURAÇÃO'!$B:$B,0))="Buffer","B",IF(INDEX('PROJETO PERFURAÇÃO'!$P:$P,MATCH(MEDIÇÃO!D661,'PROJETO PERFURAÇÃO'!$B:$B,0))="Pre-Splitting","S"))),"")</f>
        <v/>
      </c>
      <c r="D661" s="14">
        <f t="shared" si="63"/>
        <v>1455</v>
      </c>
      <c r="E661" s="4" t="str">
        <f>IFERROR(INDEX('LEV R&amp;D'!$D:$D,MATCH(MEDIÇÃO!D661,'LEV R&amp;D'!$A:$A,0))-INDEX('PROJETO PERFURAÇÃO'!$AH:$AH,MATCH(MEDIÇÃO!D661,'PROJETO PERFURAÇÃO'!$B:$B,0)),"")</f>
        <v/>
      </c>
      <c r="F661" s="8" t="str">
        <f>IFERROR(INDEX('PROJETO PERFURAÇÃO'!$AN:$AN,MATCH(MEDIÇÃO!D661,'PROJETO PERFURAÇÃO'!$B:$B,0)),"")</f>
        <v/>
      </c>
      <c r="G661" s="3"/>
      <c r="H661" s="3"/>
      <c r="I661" s="3" t="str">
        <f>IFERROR(ROUND(INDEX('PROJETO PERFURAÇÃO'!$AB:$AB,MATCH(MEDIÇÃO!K661,'PROJETO PERFURAÇÃO'!$B:$B,0)),1)&amp;"''","")</f>
        <v/>
      </c>
      <c r="J661" s="3" t="str">
        <f>IFERROR(IF(INDEX('PROJETO PERFURAÇÃO'!$P:$P,MATCH(MEDIÇÃO!K661,'PROJETO PERFURAÇÃO'!$B:$B,0))="Production","P",IF(INDEX('PROJETO PERFURAÇÃO'!$P:$P,MATCH(MEDIÇÃO!K661,'PROJETO PERFURAÇÃO'!$B:$B,0))="Buffer","B",IF(INDEX('PROJETO PERFURAÇÃO'!$P:$P,MATCH(MEDIÇÃO!K661,'PROJETO PERFURAÇÃO'!$B:$B,0))="Pre-Splitting","S"))),"")</f>
        <v/>
      </c>
      <c r="K661" s="14">
        <f t="shared" si="64"/>
        <v>1478</v>
      </c>
      <c r="L661" s="4" t="str">
        <f>IFERROR(INDEX('LEV R&amp;D'!$D:$D,MATCH(MEDIÇÃO!K661,'LEV R&amp;D'!$A:$A,0))-INDEX('PROJETO PERFURAÇÃO'!$AH:$AH,MATCH(MEDIÇÃO!K661,'PROJETO PERFURAÇÃO'!$B:$B,0)),"")</f>
        <v/>
      </c>
      <c r="M661" s="8" t="str">
        <f>IFERROR(INDEX('PROJETO PERFURAÇÃO'!$AN:$AN,MATCH(MEDIÇÃO!K661,'PROJETO PERFURAÇÃO'!$B:$B,0)),"")</f>
        <v/>
      </c>
      <c r="N661" s="3"/>
      <c r="O661" s="3"/>
      <c r="P661" s="3" t="str">
        <f>IFERROR(ROUND(INDEX('PROJETO PERFURAÇÃO'!$AB:$AB,MATCH(MEDIÇÃO!R661,'PROJETO PERFURAÇÃO'!$B:$B,0)),1)&amp;"''","")</f>
        <v/>
      </c>
      <c r="Q661" s="3" t="str">
        <f>IFERROR(IF(INDEX('PROJETO PERFURAÇÃO'!$P:$P,MATCH(MEDIÇÃO!R661,'PROJETO PERFURAÇÃO'!$B:$B,0))="Production","P",IF(INDEX('PROJETO PERFURAÇÃO'!$P:$P,MATCH(MEDIÇÃO!R661,'PROJETO PERFURAÇÃO'!$B:$B,0))="Buffer","B",IF(INDEX('PROJETO PERFURAÇÃO'!$P:$P,MATCH(MEDIÇÃO!R661,'PROJETO PERFURAÇÃO'!$B:$B,0))="Pre-Splitting","S"))),"")</f>
        <v/>
      </c>
      <c r="R661" s="14">
        <f t="shared" si="65"/>
        <v>1501</v>
      </c>
      <c r="S661" s="4" t="str">
        <f>IFERROR(INDEX('LEV R&amp;D'!$D:$D,MATCH(MEDIÇÃO!R661,'LEV R&amp;D'!$A:$A,0))-INDEX('PROJETO PERFURAÇÃO'!$AH:$AH,MATCH(MEDIÇÃO!R661,'PROJETO PERFURAÇÃO'!$B:$B,0)),"")</f>
        <v/>
      </c>
      <c r="T661" s="8" t="str">
        <f>IFERROR(INDEX('PROJETO PERFURAÇÃO'!$AN:$AN,MATCH(MEDIÇÃO!R661,'PROJETO PERFURAÇÃO'!$B:$B,0)),"")</f>
        <v/>
      </c>
      <c r="U661" s="3"/>
      <c r="V661" s="3"/>
    </row>
    <row r="662" spans="2:22" ht="45" customHeight="1">
      <c r="B662" s="3" t="str">
        <f>IFERROR(ROUND(INDEX('PROJETO PERFURAÇÃO'!$AB:$AB,MATCH(MEDIÇÃO!D662,'PROJETO PERFURAÇÃO'!$B:$B,0)),1)&amp;"''","")</f>
        <v/>
      </c>
      <c r="C662" s="3" t="str">
        <f>IFERROR(IF(INDEX('PROJETO PERFURAÇÃO'!$P:$P,MATCH(MEDIÇÃO!D662,'PROJETO PERFURAÇÃO'!$B:$B,0))="Production","P",IF(INDEX('PROJETO PERFURAÇÃO'!$P:$P,MATCH(MEDIÇÃO!D662,'PROJETO PERFURAÇÃO'!$B:$B,0))="Buffer","B",IF(INDEX('PROJETO PERFURAÇÃO'!$P:$P,MATCH(MEDIÇÃO!D662,'PROJETO PERFURAÇÃO'!$B:$B,0))="Pre-Splitting","S"))),"")</f>
        <v/>
      </c>
      <c r="D662" s="14">
        <f t="shared" si="63"/>
        <v>1456</v>
      </c>
      <c r="E662" s="4" t="str">
        <f>IFERROR(INDEX('LEV R&amp;D'!$D:$D,MATCH(MEDIÇÃO!D662,'LEV R&amp;D'!$A:$A,0))-INDEX('PROJETO PERFURAÇÃO'!$AH:$AH,MATCH(MEDIÇÃO!D662,'PROJETO PERFURAÇÃO'!$B:$B,0)),"")</f>
        <v/>
      </c>
      <c r="F662" s="8" t="str">
        <f>IFERROR(INDEX('PROJETO PERFURAÇÃO'!$AN:$AN,MATCH(MEDIÇÃO!D662,'PROJETO PERFURAÇÃO'!$B:$B,0)),"")</f>
        <v/>
      </c>
      <c r="G662" s="3"/>
      <c r="H662" s="3"/>
      <c r="I662" s="3" t="str">
        <f>IFERROR(ROUND(INDEX('PROJETO PERFURAÇÃO'!$AB:$AB,MATCH(MEDIÇÃO!K662,'PROJETO PERFURAÇÃO'!$B:$B,0)),1)&amp;"''","")</f>
        <v/>
      </c>
      <c r="J662" s="3" t="str">
        <f>IFERROR(IF(INDEX('PROJETO PERFURAÇÃO'!$P:$P,MATCH(MEDIÇÃO!K662,'PROJETO PERFURAÇÃO'!$B:$B,0))="Production","P",IF(INDEX('PROJETO PERFURAÇÃO'!$P:$P,MATCH(MEDIÇÃO!K662,'PROJETO PERFURAÇÃO'!$B:$B,0))="Buffer","B",IF(INDEX('PROJETO PERFURAÇÃO'!$P:$P,MATCH(MEDIÇÃO!K662,'PROJETO PERFURAÇÃO'!$B:$B,0))="Pre-Splitting","S"))),"")</f>
        <v/>
      </c>
      <c r="K662" s="14">
        <f t="shared" si="64"/>
        <v>1479</v>
      </c>
      <c r="L662" s="4" t="str">
        <f>IFERROR(INDEX('LEV R&amp;D'!$D:$D,MATCH(MEDIÇÃO!K662,'LEV R&amp;D'!$A:$A,0))-INDEX('PROJETO PERFURAÇÃO'!$AH:$AH,MATCH(MEDIÇÃO!K662,'PROJETO PERFURAÇÃO'!$B:$B,0)),"")</f>
        <v/>
      </c>
      <c r="M662" s="8" t="str">
        <f>IFERROR(INDEX('PROJETO PERFURAÇÃO'!$AN:$AN,MATCH(MEDIÇÃO!K662,'PROJETO PERFURAÇÃO'!$B:$B,0)),"")</f>
        <v/>
      </c>
      <c r="N662" s="3"/>
      <c r="O662" s="3"/>
      <c r="P662" s="3" t="str">
        <f>IFERROR(ROUND(INDEX('PROJETO PERFURAÇÃO'!$AB:$AB,MATCH(MEDIÇÃO!R662,'PROJETO PERFURAÇÃO'!$B:$B,0)),1)&amp;"''","")</f>
        <v/>
      </c>
      <c r="Q662" s="3" t="str">
        <f>IFERROR(IF(INDEX('PROJETO PERFURAÇÃO'!$P:$P,MATCH(MEDIÇÃO!R662,'PROJETO PERFURAÇÃO'!$B:$B,0))="Production","P",IF(INDEX('PROJETO PERFURAÇÃO'!$P:$P,MATCH(MEDIÇÃO!R662,'PROJETO PERFURAÇÃO'!$B:$B,0))="Buffer","B",IF(INDEX('PROJETO PERFURAÇÃO'!$P:$P,MATCH(MEDIÇÃO!R662,'PROJETO PERFURAÇÃO'!$B:$B,0))="Pre-Splitting","S"))),"")</f>
        <v/>
      </c>
      <c r="R662" s="14">
        <f t="shared" si="65"/>
        <v>1502</v>
      </c>
      <c r="S662" s="4" t="str">
        <f>IFERROR(INDEX('LEV R&amp;D'!$D:$D,MATCH(MEDIÇÃO!R662,'LEV R&amp;D'!$A:$A,0))-INDEX('PROJETO PERFURAÇÃO'!$AH:$AH,MATCH(MEDIÇÃO!R662,'PROJETO PERFURAÇÃO'!$B:$B,0)),"")</f>
        <v/>
      </c>
      <c r="T662" s="8" t="str">
        <f>IFERROR(INDEX('PROJETO PERFURAÇÃO'!$AN:$AN,MATCH(MEDIÇÃO!R662,'PROJETO PERFURAÇÃO'!$B:$B,0)),"")</f>
        <v/>
      </c>
      <c r="U662" s="3"/>
      <c r="V662" s="3"/>
    </row>
    <row r="663" spans="2:22" ht="45" customHeight="1">
      <c r="B663" s="3" t="str">
        <f>IFERROR(ROUND(INDEX('PROJETO PERFURAÇÃO'!$AB:$AB,MATCH(MEDIÇÃO!D663,'PROJETO PERFURAÇÃO'!$B:$B,0)),1)&amp;"''","")</f>
        <v/>
      </c>
      <c r="C663" s="3" t="str">
        <f>IFERROR(IF(INDEX('PROJETO PERFURAÇÃO'!$P:$P,MATCH(MEDIÇÃO!D663,'PROJETO PERFURAÇÃO'!$B:$B,0))="Production","P",IF(INDEX('PROJETO PERFURAÇÃO'!$P:$P,MATCH(MEDIÇÃO!D663,'PROJETO PERFURAÇÃO'!$B:$B,0))="Buffer","B",IF(INDEX('PROJETO PERFURAÇÃO'!$P:$P,MATCH(MEDIÇÃO!D663,'PROJETO PERFURAÇÃO'!$B:$B,0))="Pre-Splitting","S"))),"")</f>
        <v/>
      </c>
      <c r="D663" s="14">
        <f t="shared" si="63"/>
        <v>1457</v>
      </c>
      <c r="E663" s="4" t="str">
        <f>IFERROR(INDEX('LEV R&amp;D'!$D:$D,MATCH(MEDIÇÃO!D663,'LEV R&amp;D'!$A:$A,0))-INDEX('PROJETO PERFURAÇÃO'!$AH:$AH,MATCH(MEDIÇÃO!D663,'PROJETO PERFURAÇÃO'!$B:$B,0)),"")</f>
        <v/>
      </c>
      <c r="F663" s="8" t="str">
        <f>IFERROR(INDEX('PROJETO PERFURAÇÃO'!$AN:$AN,MATCH(MEDIÇÃO!D663,'PROJETO PERFURAÇÃO'!$B:$B,0)),"")</f>
        <v/>
      </c>
      <c r="G663" s="3"/>
      <c r="H663" s="3"/>
      <c r="I663" s="3" t="str">
        <f>IFERROR(ROUND(INDEX('PROJETO PERFURAÇÃO'!$AB:$AB,MATCH(MEDIÇÃO!K663,'PROJETO PERFURAÇÃO'!$B:$B,0)),1)&amp;"''","")</f>
        <v/>
      </c>
      <c r="J663" s="3" t="str">
        <f>IFERROR(IF(INDEX('PROJETO PERFURAÇÃO'!$P:$P,MATCH(MEDIÇÃO!K663,'PROJETO PERFURAÇÃO'!$B:$B,0))="Production","P",IF(INDEX('PROJETO PERFURAÇÃO'!$P:$P,MATCH(MEDIÇÃO!K663,'PROJETO PERFURAÇÃO'!$B:$B,0))="Buffer","B",IF(INDEX('PROJETO PERFURAÇÃO'!$P:$P,MATCH(MEDIÇÃO!K663,'PROJETO PERFURAÇÃO'!$B:$B,0))="Pre-Splitting","S"))),"")</f>
        <v/>
      </c>
      <c r="K663" s="14">
        <f t="shared" si="64"/>
        <v>1480</v>
      </c>
      <c r="L663" s="4" t="str">
        <f>IFERROR(INDEX('LEV R&amp;D'!$D:$D,MATCH(MEDIÇÃO!K663,'LEV R&amp;D'!$A:$A,0))-INDEX('PROJETO PERFURAÇÃO'!$AH:$AH,MATCH(MEDIÇÃO!K663,'PROJETO PERFURAÇÃO'!$B:$B,0)),"")</f>
        <v/>
      </c>
      <c r="M663" s="8" t="str">
        <f>IFERROR(INDEX('PROJETO PERFURAÇÃO'!$AN:$AN,MATCH(MEDIÇÃO!K663,'PROJETO PERFURAÇÃO'!$B:$B,0)),"")</f>
        <v/>
      </c>
      <c r="N663" s="3"/>
      <c r="O663" s="3"/>
      <c r="P663" s="3" t="str">
        <f>IFERROR(ROUND(INDEX('PROJETO PERFURAÇÃO'!$AB:$AB,MATCH(MEDIÇÃO!R663,'PROJETO PERFURAÇÃO'!$B:$B,0)),1)&amp;"''","")</f>
        <v/>
      </c>
      <c r="Q663" s="3" t="str">
        <f>IFERROR(IF(INDEX('PROJETO PERFURAÇÃO'!$P:$P,MATCH(MEDIÇÃO!R663,'PROJETO PERFURAÇÃO'!$B:$B,0))="Production","P",IF(INDEX('PROJETO PERFURAÇÃO'!$P:$P,MATCH(MEDIÇÃO!R663,'PROJETO PERFURAÇÃO'!$B:$B,0))="Buffer","B",IF(INDEX('PROJETO PERFURAÇÃO'!$P:$P,MATCH(MEDIÇÃO!R663,'PROJETO PERFURAÇÃO'!$B:$B,0))="Pre-Splitting","S"))),"")</f>
        <v/>
      </c>
      <c r="R663" s="14">
        <f t="shared" si="65"/>
        <v>1503</v>
      </c>
      <c r="S663" s="4" t="str">
        <f>IFERROR(INDEX('LEV R&amp;D'!$D:$D,MATCH(MEDIÇÃO!R663,'LEV R&amp;D'!$A:$A,0))-INDEX('PROJETO PERFURAÇÃO'!$AH:$AH,MATCH(MEDIÇÃO!R663,'PROJETO PERFURAÇÃO'!$B:$B,0)),"")</f>
        <v/>
      </c>
      <c r="T663" s="8" t="str">
        <f>IFERROR(INDEX('PROJETO PERFURAÇÃO'!$AN:$AN,MATCH(MEDIÇÃO!R663,'PROJETO PERFURAÇÃO'!$B:$B,0)),"")</f>
        <v/>
      </c>
      <c r="U663" s="3"/>
      <c r="V663" s="3"/>
    </row>
    <row r="664" spans="2:22" ht="45" customHeight="1">
      <c r="B664" s="3" t="str">
        <f>IFERROR(ROUND(INDEX('PROJETO PERFURAÇÃO'!$AB:$AB,MATCH(MEDIÇÃO!D664,'PROJETO PERFURAÇÃO'!$B:$B,0)),1)&amp;"''","")</f>
        <v/>
      </c>
      <c r="C664" s="3" t="str">
        <f>IFERROR(IF(INDEX('PROJETO PERFURAÇÃO'!$P:$P,MATCH(MEDIÇÃO!D664,'PROJETO PERFURAÇÃO'!$B:$B,0))="Production","P",IF(INDEX('PROJETO PERFURAÇÃO'!$P:$P,MATCH(MEDIÇÃO!D664,'PROJETO PERFURAÇÃO'!$B:$B,0))="Buffer","B",IF(INDEX('PROJETO PERFURAÇÃO'!$P:$P,MATCH(MEDIÇÃO!D664,'PROJETO PERFURAÇÃO'!$B:$B,0))="Pre-Splitting","S"))),"")</f>
        <v/>
      </c>
      <c r="D664" s="14">
        <f t="shared" si="63"/>
        <v>1458</v>
      </c>
      <c r="E664" s="4" t="str">
        <f>IFERROR(INDEX('LEV R&amp;D'!$D:$D,MATCH(MEDIÇÃO!D664,'LEV R&amp;D'!$A:$A,0))-INDEX('PROJETO PERFURAÇÃO'!$AH:$AH,MATCH(MEDIÇÃO!D664,'PROJETO PERFURAÇÃO'!$B:$B,0)),"")</f>
        <v/>
      </c>
      <c r="F664" s="8" t="str">
        <f>IFERROR(INDEX('PROJETO PERFURAÇÃO'!$AN:$AN,MATCH(MEDIÇÃO!D664,'PROJETO PERFURAÇÃO'!$B:$B,0)),"")</f>
        <v/>
      </c>
      <c r="G664" s="3"/>
      <c r="H664" s="3"/>
      <c r="I664" s="3" t="str">
        <f>IFERROR(ROUND(INDEX('PROJETO PERFURAÇÃO'!$AB:$AB,MATCH(MEDIÇÃO!K664,'PROJETO PERFURAÇÃO'!$B:$B,0)),1)&amp;"''","")</f>
        <v/>
      </c>
      <c r="J664" s="3" t="str">
        <f>IFERROR(IF(INDEX('PROJETO PERFURAÇÃO'!$P:$P,MATCH(MEDIÇÃO!K664,'PROJETO PERFURAÇÃO'!$B:$B,0))="Production","P",IF(INDEX('PROJETO PERFURAÇÃO'!$P:$P,MATCH(MEDIÇÃO!K664,'PROJETO PERFURAÇÃO'!$B:$B,0))="Buffer","B",IF(INDEX('PROJETO PERFURAÇÃO'!$P:$P,MATCH(MEDIÇÃO!K664,'PROJETO PERFURAÇÃO'!$B:$B,0))="Pre-Splitting","S"))),"")</f>
        <v/>
      </c>
      <c r="K664" s="14">
        <f t="shared" si="64"/>
        <v>1481</v>
      </c>
      <c r="L664" s="4" t="str">
        <f>IFERROR(INDEX('LEV R&amp;D'!$D:$D,MATCH(MEDIÇÃO!K664,'LEV R&amp;D'!$A:$A,0))-INDEX('PROJETO PERFURAÇÃO'!$AH:$AH,MATCH(MEDIÇÃO!K664,'PROJETO PERFURAÇÃO'!$B:$B,0)),"")</f>
        <v/>
      </c>
      <c r="M664" s="8" t="str">
        <f>IFERROR(INDEX('PROJETO PERFURAÇÃO'!$AN:$AN,MATCH(MEDIÇÃO!K664,'PROJETO PERFURAÇÃO'!$B:$B,0)),"")</f>
        <v/>
      </c>
      <c r="N664" s="3"/>
      <c r="O664" s="3"/>
      <c r="P664" s="3" t="str">
        <f>IFERROR(ROUND(INDEX('PROJETO PERFURAÇÃO'!$AB:$AB,MATCH(MEDIÇÃO!R664,'PROJETO PERFURAÇÃO'!$B:$B,0)),1)&amp;"''","")</f>
        <v/>
      </c>
      <c r="Q664" s="3" t="str">
        <f>IFERROR(IF(INDEX('PROJETO PERFURAÇÃO'!$P:$P,MATCH(MEDIÇÃO!R664,'PROJETO PERFURAÇÃO'!$B:$B,0))="Production","P",IF(INDEX('PROJETO PERFURAÇÃO'!$P:$P,MATCH(MEDIÇÃO!R664,'PROJETO PERFURAÇÃO'!$B:$B,0))="Buffer","B",IF(INDEX('PROJETO PERFURAÇÃO'!$P:$P,MATCH(MEDIÇÃO!R664,'PROJETO PERFURAÇÃO'!$B:$B,0))="Pre-Splitting","S"))),"")</f>
        <v/>
      </c>
      <c r="R664" s="14">
        <f t="shared" si="65"/>
        <v>1504</v>
      </c>
      <c r="S664" s="4" t="str">
        <f>IFERROR(INDEX('LEV R&amp;D'!$D:$D,MATCH(MEDIÇÃO!R664,'LEV R&amp;D'!$A:$A,0))-INDEX('PROJETO PERFURAÇÃO'!$AH:$AH,MATCH(MEDIÇÃO!R664,'PROJETO PERFURAÇÃO'!$B:$B,0)),"")</f>
        <v/>
      </c>
      <c r="T664" s="8" t="str">
        <f>IFERROR(INDEX('PROJETO PERFURAÇÃO'!$AN:$AN,MATCH(MEDIÇÃO!R664,'PROJETO PERFURAÇÃO'!$B:$B,0)),"")</f>
        <v/>
      </c>
      <c r="U664" s="3"/>
      <c r="V664" s="3"/>
    </row>
    <row r="665" spans="2:22" ht="45" customHeight="1">
      <c r="B665" s="3" t="str">
        <f>IFERROR(ROUND(INDEX('PROJETO PERFURAÇÃO'!$AB:$AB,MATCH(MEDIÇÃO!D665,'PROJETO PERFURAÇÃO'!$B:$B,0)),1)&amp;"''","")</f>
        <v/>
      </c>
      <c r="C665" s="3" t="str">
        <f>IFERROR(IF(INDEX('PROJETO PERFURAÇÃO'!$P:$P,MATCH(MEDIÇÃO!D665,'PROJETO PERFURAÇÃO'!$B:$B,0))="Production","P",IF(INDEX('PROJETO PERFURAÇÃO'!$P:$P,MATCH(MEDIÇÃO!D665,'PROJETO PERFURAÇÃO'!$B:$B,0))="Buffer","B",IF(INDEX('PROJETO PERFURAÇÃO'!$P:$P,MATCH(MEDIÇÃO!D665,'PROJETO PERFURAÇÃO'!$B:$B,0))="Pre-Splitting","S"))),"")</f>
        <v/>
      </c>
      <c r="D665" s="14">
        <f t="shared" si="63"/>
        <v>1459</v>
      </c>
      <c r="E665" s="4" t="str">
        <f>IFERROR(INDEX('LEV R&amp;D'!$D:$D,MATCH(MEDIÇÃO!D665,'LEV R&amp;D'!$A:$A,0))-INDEX('PROJETO PERFURAÇÃO'!$AH:$AH,MATCH(MEDIÇÃO!D665,'PROJETO PERFURAÇÃO'!$B:$B,0)),"")</f>
        <v/>
      </c>
      <c r="F665" s="8" t="str">
        <f>IFERROR(INDEX('PROJETO PERFURAÇÃO'!$AN:$AN,MATCH(MEDIÇÃO!D665,'PROJETO PERFURAÇÃO'!$B:$B,0)),"")</f>
        <v/>
      </c>
      <c r="G665" s="3"/>
      <c r="H665" s="3"/>
      <c r="I665" s="3" t="str">
        <f>IFERROR(ROUND(INDEX('PROJETO PERFURAÇÃO'!$AB:$AB,MATCH(MEDIÇÃO!K665,'PROJETO PERFURAÇÃO'!$B:$B,0)),1)&amp;"''","")</f>
        <v/>
      </c>
      <c r="J665" s="3" t="str">
        <f>IFERROR(IF(INDEX('PROJETO PERFURAÇÃO'!$P:$P,MATCH(MEDIÇÃO!K665,'PROJETO PERFURAÇÃO'!$B:$B,0))="Production","P",IF(INDEX('PROJETO PERFURAÇÃO'!$P:$P,MATCH(MEDIÇÃO!K665,'PROJETO PERFURAÇÃO'!$B:$B,0))="Buffer","B",IF(INDEX('PROJETO PERFURAÇÃO'!$P:$P,MATCH(MEDIÇÃO!K665,'PROJETO PERFURAÇÃO'!$B:$B,0))="Pre-Splitting","S"))),"")</f>
        <v/>
      </c>
      <c r="K665" s="14">
        <f t="shared" si="64"/>
        <v>1482</v>
      </c>
      <c r="L665" s="4" t="str">
        <f>IFERROR(INDEX('LEV R&amp;D'!$D:$D,MATCH(MEDIÇÃO!K665,'LEV R&amp;D'!$A:$A,0))-INDEX('PROJETO PERFURAÇÃO'!$AH:$AH,MATCH(MEDIÇÃO!K665,'PROJETO PERFURAÇÃO'!$B:$B,0)),"")</f>
        <v/>
      </c>
      <c r="M665" s="8" t="str">
        <f>IFERROR(INDEX('PROJETO PERFURAÇÃO'!$AN:$AN,MATCH(MEDIÇÃO!K665,'PROJETO PERFURAÇÃO'!$B:$B,0)),"")</f>
        <v/>
      </c>
      <c r="N665" s="3"/>
      <c r="O665" s="3"/>
      <c r="P665" s="3" t="str">
        <f>IFERROR(ROUND(INDEX('PROJETO PERFURAÇÃO'!$AB:$AB,MATCH(MEDIÇÃO!R665,'PROJETO PERFURAÇÃO'!$B:$B,0)),1)&amp;"''","")</f>
        <v/>
      </c>
      <c r="Q665" s="3" t="str">
        <f>IFERROR(IF(INDEX('PROJETO PERFURAÇÃO'!$P:$P,MATCH(MEDIÇÃO!R665,'PROJETO PERFURAÇÃO'!$B:$B,0))="Production","P",IF(INDEX('PROJETO PERFURAÇÃO'!$P:$P,MATCH(MEDIÇÃO!R665,'PROJETO PERFURAÇÃO'!$B:$B,0))="Buffer","B",IF(INDEX('PROJETO PERFURAÇÃO'!$P:$P,MATCH(MEDIÇÃO!R665,'PROJETO PERFURAÇÃO'!$B:$B,0))="Pre-Splitting","S"))),"")</f>
        <v/>
      </c>
      <c r="R665" s="14">
        <f t="shared" si="65"/>
        <v>1505</v>
      </c>
      <c r="S665" s="4" t="str">
        <f>IFERROR(INDEX('LEV R&amp;D'!$D:$D,MATCH(MEDIÇÃO!R665,'LEV R&amp;D'!$A:$A,0))-INDEX('PROJETO PERFURAÇÃO'!$AH:$AH,MATCH(MEDIÇÃO!R665,'PROJETO PERFURAÇÃO'!$B:$B,0)),"")</f>
        <v/>
      </c>
      <c r="T665" s="8" t="str">
        <f>IFERROR(INDEX('PROJETO PERFURAÇÃO'!$AN:$AN,MATCH(MEDIÇÃO!R665,'PROJETO PERFURAÇÃO'!$B:$B,0)),"")</f>
        <v/>
      </c>
      <c r="U665" s="3"/>
      <c r="V665" s="3"/>
    </row>
    <row r="666" spans="2:22" ht="45" customHeight="1">
      <c r="B666" s="3" t="str">
        <f>IFERROR(ROUND(INDEX('PROJETO PERFURAÇÃO'!$AB:$AB,MATCH(MEDIÇÃO!D666,'PROJETO PERFURAÇÃO'!$B:$B,0)),1)&amp;"''","")</f>
        <v/>
      </c>
      <c r="C666" s="3" t="str">
        <f>IFERROR(IF(INDEX('PROJETO PERFURAÇÃO'!$P:$P,MATCH(MEDIÇÃO!D666,'PROJETO PERFURAÇÃO'!$B:$B,0))="Production","P",IF(INDEX('PROJETO PERFURAÇÃO'!$P:$P,MATCH(MEDIÇÃO!D666,'PROJETO PERFURAÇÃO'!$B:$B,0))="Buffer","B",IF(INDEX('PROJETO PERFURAÇÃO'!$P:$P,MATCH(MEDIÇÃO!D666,'PROJETO PERFURAÇÃO'!$B:$B,0))="Pre-Splitting","S"))),"")</f>
        <v/>
      </c>
      <c r="D666" s="14">
        <f t="shared" si="63"/>
        <v>1460</v>
      </c>
      <c r="E666" s="4" t="str">
        <f>IFERROR(INDEX('LEV R&amp;D'!$D:$D,MATCH(MEDIÇÃO!D666,'LEV R&amp;D'!$A:$A,0))-INDEX('PROJETO PERFURAÇÃO'!$AH:$AH,MATCH(MEDIÇÃO!D666,'PROJETO PERFURAÇÃO'!$B:$B,0)),"")</f>
        <v/>
      </c>
      <c r="F666" s="8" t="str">
        <f>IFERROR(INDEX('PROJETO PERFURAÇÃO'!$AN:$AN,MATCH(MEDIÇÃO!D666,'PROJETO PERFURAÇÃO'!$B:$B,0)),"")</f>
        <v/>
      </c>
      <c r="G666" s="3"/>
      <c r="H666" s="3"/>
      <c r="I666" s="3" t="str">
        <f>IFERROR(ROUND(INDEX('PROJETO PERFURAÇÃO'!$AB:$AB,MATCH(MEDIÇÃO!K666,'PROJETO PERFURAÇÃO'!$B:$B,0)),1)&amp;"''","")</f>
        <v/>
      </c>
      <c r="J666" s="3" t="str">
        <f>IFERROR(IF(INDEX('PROJETO PERFURAÇÃO'!$P:$P,MATCH(MEDIÇÃO!K666,'PROJETO PERFURAÇÃO'!$B:$B,0))="Production","P",IF(INDEX('PROJETO PERFURAÇÃO'!$P:$P,MATCH(MEDIÇÃO!K666,'PROJETO PERFURAÇÃO'!$B:$B,0))="Buffer","B",IF(INDEX('PROJETO PERFURAÇÃO'!$P:$P,MATCH(MEDIÇÃO!K666,'PROJETO PERFURAÇÃO'!$B:$B,0))="Pre-Splitting","S"))),"")</f>
        <v/>
      </c>
      <c r="K666" s="14">
        <f t="shared" si="64"/>
        <v>1483</v>
      </c>
      <c r="L666" s="4" t="str">
        <f>IFERROR(INDEX('LEV R&amp;D'!$D:$D,MATCH(MEDIÇÃO!K666,'LEV R&amp;D'!$A:$A,0))-INDEX('PROJETO PERFURAÇÃO'!$AH:$AH,MATCH(MEDIÇÃO!K666,'PROJETO PERFURAÇÃO'!$B:$B,0)),"")</f>
        <v/>
      </c>
      <c r="M666" s="8" t="str">
        <f>IFERROR(INDEX('PROJETO PERFURAÇÃO'!$AN:$AN,MATCH(MEDIÇÃO!K666,'PROJETO PERFURAÇÃO'!$B:$B,0)),"")</f>
        <v/>
      </c>
      <c r="N666" s="3"/>
      <c r="O666" s="3"/>
      <c r="P666" s="3" t="str">
        <f>IFERROR(ROUND(INDEX('PROJETO PERFURAÇÃO'!$AB:$AB,MATCH(MEDIÇÃO!R666,'PROJETO PERFURAÇÃO'!$B:$B,0)),1)&amp;"''","")</f>
        <v/>
      </c>
      <c r="Q666" s="3" t="str">
        <f>IFERROR(IF(INDEX('PROJETO PERFURAÇÃO'!$P:$P,MATCH(MEDIÇÃO!R666,'PROJETO PERFURAÇÃO'!$B:$B,0))="Production","P",IF(INDEX('PROJETO PERFURAÇÃO'!$P:$P,MATCH(MEDIÇÃO!R666,'PROJETO PERFURAÇÃO'!$B:$B,0))="Buffer","B",IF(INDEX('PROJETO PERFURAÇÃO'!$P:$P,MATCH(MEDIÇÃO!R666,'PROJETO PERFURAÇÃO'!$B:$B,0))="Pre-Splitting","S"))),"")</f>
        <v/>
      </c>
      <c r="R666" s="14">
        <f t="shared" si="65"/>
        <v>1506</v>
      </c>
      <c r="S666" s="4" t="str">
        <f>IFERROR(INDEX('LEV R&amp;D'!$D:$D,MATCH(MEDIÇÃO!R666,'LEV R&amp;D'!$A:$A,0))-INDEX('PROJETO PERFURAÇÃO'!$AH:$AH,MATCH(MEDIÇÃO!R666,'PROJETO PERFURAÇÃO'!$B:$B,0)),"")</f>
        <v/>
      </c>
      <c r="T666" s="8" t="str">
        <f>IFERROR(INDEX('PROJETO PERFURAÇÃO'!$AN:$AN,MATCH(MEDIÇÃO!R666,'PROJETO PERFURAÇÃO'!$B:$B,0)),"")</f>
        <v/>
      </c>
      <c r="U666" s="3"/>
      <c r="V666" s="3"/>
    </row>
    <row r="667" spans="2:22" ht="45" customHeight="1">
      <c r="B667" s="3" t="str">
        <f>IFERROR(ROUND(INDEX('PROJETO PERFURAÇÃO'!$AB:$AB,MATCH(MEDIÇÃO!D667,'PROJETO PERFURAÇÃO'!$B:$B,0)),1)&amp;"''","")</f>
        <v/>
      </c>
      <c r="C667" s="3" t="str">
        <f>IFERROR(IF(INDEX('PROJETO PERFURAÇÃO'!$P:$P,MATCH(MEDIÇÃO!D667,'PROJETO PERFURAÇÃO'!$B:$B,0))="Production","P",IF(INDEX('PROJETO PERFURAÇÃO'!$P:$P,MATCH(MEDIÇÃO!D667,'PROJETO PERFURAÇÃO'!$B:$B,0))="Buffer","B",IF(INDEX('PROJETO PERFURAÇÃO'!$P:$P,MATCH(MEDIÇÃO!D667,'PROJETO PERFURAÇÃO'!$B:$B,0))="Pre-Splitting","S"))),"")</f>
        <v/>
      </c>
      <c r="D667" s="14">
        <f t="shared" si="63"/>
        <v>1461</v>
      </c>
      <c r="E667" s="4" t="str">
        <f>IFERROR(INDEX('LEV R&amp;D'!$D:$D,MATCH(MEDIÇÃO!D667,'LEV R&amp;D'!$A:$A,0))-INDEX('PROJETO PERFURAÇÃO'!$AH:$AH,MATCH(MEDIÇÃO!D667,'PROJETO PERFURAÇÃO'!$B:$B,0)),"")</f>
        <v/>
      </c>
      <c r="F667" s="8" t="str">
        <f>IFERROR(INDEX('PROJETO PERFURAÇÃO'!$AN:$AN,MATCH(MEDIÇÃO!D667,'PROJETO PERFURAÇÃO'!$B:$B,0)),"")</f>
        <v/>
      </c>
      <c r="G667" s="3"/>
      <c r="H667" s="3"/>
      <c r="I667" s="3" t="str">
        <f>IFERROR(ROUND(INDEX('PROJETO PERFURAÇÃO'!$AB:$AB,MATCH(MEDIÇÃO!K667,'PROJETO PERFURAÇÃO'!$B:$B,0)),1)&amp;"''","")</f>
        <v/>
      </c>
      <c r="J667" s="3" t="str">
        <f>IFERROR(IF(INDEX('PROJETO PERFURAÇÃO'!$P:$P,MATCH(MEDIÇÃO!K667,'PROJETO PERFURAÇÃO'!$B:$B,0))="Production","P",IF(INDEX('PROJETO PERFURAÇÃO'!$P:$P,MATCH(MEDIÇÃO!K667,'PROJETO PERFURAÇÃO'!$B:$B,0))="Buffer","B",IF(INDEX('PROJETO PERFURAÇÃO'!$P:$P,MATCH(MEDIÇÃO!K667,'PROJETO PERFURAÇÃO'!$B:$B,0))="Pre-Splitting","S"))),"")</f>
        <v/>
      </c>
      <c r="K667" s="14">
        <f t="shared" si="64"/>
        <v>1484</v>
      </c>
      <c r="L667" s="4" t="str">
        <f>IFERROR(INDEX('LEV R&amp;D'!$D:$D,MATCH(MEDIÇÃO!K667,'LEV R&amp;D'!$A:$A,0))-INDEX('PROJETO PERFURAÇÃO'!$AH:$AH,MATCH(MEDIÇÃO!K667,'PROJETO PERFURAÇÃO'!$B:$B,0)),"")</f>
        <v/>
      </c>
      <c r="M667" s="8" t="str">
        <f>IFERROR(INDEX('PROJETO PERFURAÇÃO'!$AN:$AN,MATCH(MEDIÇÃO!K667,'PROJETO PERFURAÇÃO'!$B:$B,0)),"")</f>
        <v/>
      </c>
      <c r="N667" s="3"/>
      <c r="O667" s="3"/>
      <c r="P667" s="3" t="str">
        <f>IFERROR(ROUND(INDEX('PROJETO PERFURAÇÃO'!$AB:$AB,MATCH(MEDIÇÃO!R667,'PROJETO PERFURAÇÃO'!$B:$B,0)),1)&amp;"''","")</f>
        <v/>
      </c>
      <c r="Q667" s="3" t="str">
        <f>IFERROR(IF(INDEX('PROJETO PERFURAÇÃO'!$P:$P,MATCH(MEDIÇÃO!R667,'PROJETO PERFURAÇÃO'!$B:$B,0))="Production","P",IF(INDEX('PROJETO PERFURAÇÃO'!$P:$P,MATCH(MEDIÇÃO!R667,'PROJETO PERFURAÇÃO'!$B:$B,0))="Buffer","B",IF(INDEX('PROJETO PERFURAÇÃO'!$P:$P,MATCH(MEDIÇÃO!R667,'PROJETO PERFURAÇÃO'!$B:$B,0))="Pre-Splitting","S"))),"")</f>
        <v/>
      </c>
      <c r="R667" s="14">
        <f t="shared" si="65"/>
        <v>1507</v>
      </c>
      <c r="S667" s="4" t="str">
        <f>IFERROR(INDEX('LEV R&amp;D'!$D:$D,MATCH(MEDIÇÃO!R667,'LEV R&amp;D'!$A:$A,0))-INDEX('PROJETO PERFURAÇÃO'!$AH:$AH,MATCH(MEDIÇÃO!R667,'PROJETO PERFURAÇÃO'!$B:$B,0)),"")</f>
        <v/>
      </c>
      <c r="T667" s="8" t="str">
        <f>IFERROR(INDEX('PROJETO PERFURAÇÃO'!$AN:$AN,MATCH(MEDIÇÃO!R667,'PROJETO PERFURAÇÃO'!$B:$B,0)),"")</f>
        <v/>
      </c>
      <c r="U667" s="3"/>
      <c r="V667" s="3"/>
    </row>
    <row r="668" spans="2:22" ht="45" customHeight="1">
      <c r="B668" s="3" t="str">
        <f>IFERROR(ROUND(INDEX('PROJETO PERFURAÇÃO'!$AB:$AB,MATCH(MEDIÇÃO!D668,'PROJETO PERFURAÇÃO'!$B:$B,0)),1)&amp;"''","")</f>
        <v/>
      </c>
      <c r="C668" s="3" t="str">
        <f>IFERROR(IF(INDEX('PROJETO PERFURAÇÃO'!$P:$P,MATCH(MEDIÇÃO!D668,'PROJETO PERFURAÇÃO'!$B:$B,0))="Production","P",IF(INDEX('PROJETO PERFURAÇÃO'!$P:$P,MATCH(MEDIÇÃO!D668,'PROJETO PERFURAÇÃO'!$B:$B,0))="Buffer","B",IF(INDEX('PROJETO PERFURAÇÃO'!$P:$P,MATCH(MEDIÇÃO!D668,'PROJETO PERFURAÇÃO'!$B:$B,0))="Pre-Splitting","S"))),"")</f>
        <v/>
      </c>
      <c r="D668" s="14">
        <f t="shared" si="63"/>
        <v>1462</v>
      </c>
      <c r="E668" s="4" t="str">
        <f>IFERROR(INDEX('LEV R&amp;D'!$D:$D,MATCH(MEDIÇÃO!D668,'LEV R&amp;D'!$A:$A,0))-INDEX('PROJETO PERFURAÇÃO'!$AH:$AH,MATCH(MEDIÇÃO!D668,'PROJETO PERFURAÇÃO'!$B:$B,0)),"")</f>
        <v/>
      </c>
      <c r="F668" s="8" t="str">
        <f>IFERROR(INDEX('PROJETO PERFURAÇÃO'!$AN:$AN,MATCH(MEDIÇÃO!D668,'PROJETO PERFURAÇÃO'!$B:$B,0)),"")</f>
        <v/>
      </c>
      <c r="G668" s="3"/>
      <c r="H668" s="3"/>
      <c r="I668" s="3" t="str">
        <f>IFERROR(ROUND(INDEX('PROJETO PERFURAÇÃO'!$AB:$AB,MATCH(MEDIÇÃO!K668,'PROJETO PERFURAÇÃO'!$B:$B,0)),1)&amp;"''","")</f>
        <v/>
      </c>
      <c r="J668" s="3" t="str">
        <f>IFERROR(IF(INDEX('PROJETO PERFURAÇÃO'!$P:$P,MATCH(MEDIÇÃO!K668,'PROJETO PERFURAÇÃO'!$B:$B,0))="Production","P",IF(INDEX('PROJETO PERFURAÇÃO'!$P:$P,MATCH(MEDIÇÃO!K668,'PROJETO PERFURAÇÃO'!$B:$B,0))="Buffer","B",IF(INDEX('PROJETO PERFURAÇÃO'!$P:$P,MATCH(MEDIÇÃO!K668,'PROJETO PERFURAÇÃO'!$B:$B,0))="Pre-Splitting","S"))),"")</f>
        <v/>
      </c>
      <c r="K668" s="14">
        <f t="shared" si="64"/>
        <v>1485</v>
      </c>
      <c r="L668" s="4" t="str">
        <f>IFERROR(INDEX('LEV R&amp;D'!$D:$D,MATCH(MEDIÇÃO!K668,'LEV R&amp;D'!$A:$A,0))-INDEX('PROJETO PERFURAÇÃO'!$AH:$AH,MATCH(MEDIÇÃO!K668,'PROJETO PERFURAÇÃO'!$B:$B,0)),"")</f>
        <v/>
      </c>
      <c r="M668" s="8" t="str">
        <f>IFERROR(INDEX('PROJETO PERFURAÇÃO'!$AN:$AN,MATCH(MEDIÇÃO!K668,'PROJETO PERFURAÇÃO'!$B:$B,0)),"")</f>
        <v/>
      </c>
      <c r="N668" s="3"/>
      <c r="O668" s="3"/>
      <c r="P668" s="3" t="str">
        <f>IFERROR(ROUND(INDEX('PROJETO PERFURAÇÃO'!$AB:$AB,MATCH(MEDIÇÃO!R668,'PROJETO PERFURAÇÃO'!$B:$B,0)),1)&amp;"''","")</f>
        <v/>
      </c>
      <c r="Q668" s="3" t="str">
        <f>IFERROR(IF(INDEX('PROJETO PERFURAÇÃO'!$P:$P,MATCH(MEDIÇÃO!R668,'PROJETO PERFURAÇÃO'!$B:$B,0))="Production","P",IF(INDEX('PROJETO PERFURAÇÃO'!$P:$P,MATCH(MEDIÇÃO!R668,'PROJETO PERFURAÇÃO'!$B:$B,0))="Buffer","B",IF(INDEX('PROJETO PERFURAÇÃO'!$P:$P,MATCH(MEDIÇÃO!R668,'PROJETO PERFURAÇÃO'!$B:$B,0))="Pre-Splitting","S"))),"")</f>
        <v/>
      </c>
      <c r="R668" s="14">
        <f t="shared" si="65"/>
        <v>1508</v>
      </c>
      <c r="S668" s="4" t="str">
        <f>IFERROR(INDEX('LEV R&amp;D'!$D:$D,MATCH(MEDIÇÃO!R668,'LEV R&amp;D'!$A:$A,0))-INDEX('PROJETO PERFURAÇÃO'!$AH:$AH,MATCH(MEDIÇÃO!R668,'PROJETO PERFURAÇÃO'!$B:$B,0)),"")</f>
        <v/>
      </c>
      <c r="T668" s="8" t="str">
        <f>IFERROR(INDEX('PROJETO PERFURAÇÃO'!$AN:$AN,MATCH(MEDIÇÃO!R668,'PROJETO PERFURAÇÃO'!$B:$B,0)),"")</f>
        <v/>
      </c>
      <c r="U668" s="3"/>
      <c r="V668" s="3"/>
    </row>
    <row r="669" spans="2:22" ht="45" customHeight="1">
      <c r="B669" s="3" t="str">
        <f>IFERROR(ROUND(INDEX('PROJETO PERFURAÇÃO'!$AB:$AB,MATCH(MEDIÇÃO!D669,'PROJETO PERFURAÇÃO'!$B:$B,0)),1)&amp;"''","")</f>
        <v/>
      </c>
      <c r="C669" s="3" t="str">
        <f>IFERROR(IF(INDEX('PROJETO PERFURAÇÃO'!$P:$P,MATCH(MEDIÇÃO!D669,'PROJETO PERFURAÇÃO'!$B:$B,0))="Production","P",IF(INDEX('PROJETO PERFURAÇÃO'!$P:$P,MATCH(MEDIÇÃO!D669,'PROJETO PERFURAÇÃO'!$B:$B,0))="Buffer","B",IF(INDEX('PROJETO PERFURAÇÃO'!$P:$P,MATCH(MEDIÇÃO!D669,'PROJETO PERFURAÇÃO'!$B:$B,0))="Pre-Splitting","S"))),"")</f>
        <v/>
      </c>
      <c r="D669" s="14">
        <f t="shared" si="63"/>
        <v>1463</v>
      </c>
      <c r="E669" s="4" t="str">
        <f>IFERROR(INDEX('LEV R&amp;D'!$D:$D,MATCH(MEDIÇÃO!D669,'LEV R&amp;D'!$A:$A,0))-INDEX('PROJETO PERFURAÇÃO'!$AH:$AH,MATCH(MEDIÇÃO!D669,'PROJETO PERFURAÇÃO'!$B:$B,0)),"")</f>
        <v/>
      </c>
      <c r="F669" s="8" t="str">
        <f>IFERROR(INDEX('PROJETO PERFURAÇÃO'!$AN:$AN,MATCH(MEDIÇÃO!D669,'PROJETO PERFURAÇÃO'!$B:$B,0)),"")</f>
        <v/>
      </c>
      <c r="G669" s="3"/>
      <c r="H669" s="3"/>
      <c r="I669" s="3" t="str">
        <f>IFERROR(ROUND(INDEX('PROJETO PERFURAÇÃO'!$AB:$AB,MATCH(MEDIÇÃO!K669,'PROJETO PERFURAÇÃO'!$B:$B,0)),1)&amp;"''","")</f>
        <v/>
      </c>
      <c r="J669" s="3" t="str">
        <f>IFERROR(IF(INDEX('PROJETO PERFURAÇÃO'!$P:$P,MATCH(MEDIÇÃO!K669,'PROJETO PERFURAÇÃO'!$B:$B,0))="Production","P",IF(INDEX('PROJETO PERFURAÇÃO'!$P:$P,MATCH(MEDIÇÃO!K669,'PROJETO PERFURAÇÃO'!$B:$B,0))="Buffer","B",IF(INDEX('PROJETO PERFURAÇÃO'!$P:$P,MATCH(MEDIÇÃO!K669,'PROJETO PERFURAÇÃO'!$B:$B,0))="Pre-Splitting","S"))),"")</f>
        <v/>
      </c>
      <c r="K669" s="14">
        <f t="shared" si="64"/>
        <v>1486</v>
      </c>
      <c r="L669" s="4" t="str">
        <f>IFERROR(INDEX('LEV R&amp;D'!$D:$D,MATCH(MEDIÇÃO!K669,'LEV R&amp;D'!$A:$A,0))-INDEX('PROJETO PERFURAÇÃO'!$AH:$AH,MATCH(MEDIÇÃO!K669,'PROJETO PERFURAÇÃO'!$B:$B,0)),"")</f>
        <v/>
      </c>
      <c r="M669" s="8" t="str">
        <f>IFERROR(INDEX('PROJETO PERFURAÇÃO'!$AN:$AN,MATCH(MEDIÇÃO!K669,'PROJETO PERFURAÇÃO'!$B:$B,0)),"")</f>
        <v/>
      </c>
      <c r="N669" s="3"/>
      <c r="O669" s="3"/>
      <c r="P669" s="3" t="str">
        <f>IFERROR(ROUND(INDEX('PROJETO PERFURAÇÃO'!$AB:$AB,MATCH(MEDIÇÃO!R669,'PROJETO PERFURAÇÃO'!$B:$B,0)),1)&amp;"''","")</f>
        <v/>
      </c>
      <c r="Q669" s="3" t="str">
        <f>IFERROR(IF(INDEX('PROJETO PERFURAÇÃO'!$P:$P,MATCH(MEDIÇÃO!R669,'PROJETO PERFURAÇÃO'!$B:$B,0))="Production","P",IF(INDEX('PROJETO PERFURAÇÃO'!$P:$P,MATCH(MEDIÇÃO!R669,'PROJETO PERFURAÇÃO'!$B:$B,0))="Buffer","B",IF(INDEX('PROJETO PERFURAÇÃO'!$P:$P,MATCH(MEDIÇÃO!R669,'PROJETO PERFURAÇÃO'!$B:$B,0))="Pre-Splitting","S"))),"")</f>
        <v/>
      </c>
      <c r="R669" s="14">
        <f t="shared" si="65"/>
        <v>1509</v>
      </c>
      <c r="S669" s="4" t="str">
        <f>IFERROR(INDEX('LEV R&amp;D'!$D:$D,MATCH(MEDIÇÃO!R669,'LEV R&amp;D'!$A:$A,0))-INDEX('PROJETO PERFURAÇÃO'!$AH:$AH,MATCH(MEDIÇÃO!R669,'PROJETO PERFURAÇÃO'!$B:$B,0)),"")</f>
        <v/>
      </c>
      <c r="T669" s="8" t="str">
        <f>IFERROR(INDEX('PROJETO PERFURAÇÃO'!$AN:$AN,MATCH(MEDIÇÃO!R669,'PROJETO PERFURAÇÃO'!$B:$B,0)),"")</f>
        <v/>
      </c>
      <c r="U669" s="3"/>
      <c r="V669" s="3"/>
    </row>
    <row r="670" spans="2:22" ht="45" customHeight="1">
      <c r="B670" s="3" t="str">
        <f>IFERROR(ROUND(INDEX('PROJETO PERFURAÇÃO'!$AB:$AB,MATCH(MEDIÇÃO!D670,'PROJETO PERFURAÇÃO'!$B:$B,0)),1)&amp;"''","")</f>
        <v/>
      </c>
      <c r="C670" s="3" t="str">
        <f>IFERROR(IF(INDEX('PROJETO PERFURAÇÃO'!$P:$P,MATCH(MEDIÇÃO!D670,'PROJETO PERFURAÇÃO'!$B:$B,0))="Production","P",IF(INDEX('PROJETO PERFURAÇÃO'!$P:$P,MATCH(MEDIÇÃO!D670,'PROJETO PERFURAÇÃO'!$B:$B,0))="Buffer","B",IF(INDEX('PROJETO PERFURAÇÃO'!$P:$P,MATCH(MEDIÇÃO!D670,'PROJETO PERFURAÇÃO'!$B:$B,0))="Pre-Splitting","S"))),"")</f>
        <v/>
      </c>
      <c r="D670" s="14">
        <f t="shared" si="63"/>
        <v>1464</v>
      </c>
      <c r="E670" s="4" t="str">
        <f>IFERROR(INDEX('LEV R&amp;D'!$D:$D,MATCH(MEDIÇÃO!D670,'LEV R&amp;D'!$A:$A,0))-INDEX('PROJETO PERFURAÇÃO'!$AH:$AH,MATCH(MEDIÇÃO!D670,'PROJETO PERFURAÇÃO'!$B:$B,0)),"")</f>
        <v/>
      </c>
      <c r="F670" s="8" t="str">
        <f>IFERROR(INDEX('PROJETO PERFURAÇÃO'!$AN:$AN,MATCH(MEDIÇÃO!D670,'PROJETO PERFURAÇÃO'!$B:$B,0)),"")</f>
        <v/>
      </c>
      <c r="G670" s="3"/>
      <c r="H670" s="3"/>
      <c r="I670" s="3" t="str">
        <f>IFERROR(ROUND(INDEX('PROJETO PERFURAÇÃO'!$AB:$AB,MATCH(MEDIÇÃO!K670,'PROJETO PERFURAÇÃO'!$B:$B,0)),1)&amp;"''","")</f>
        <v/>
      </c>
      <c r="J670" s="3" t="str">
        <f>IFERROR(IF(INDEX('PROJETO PERFURAÇÃO'!$P:$P,MATCH(MEDIÇÃO!K670,'PROJETO PERFURAÇÃO'!$B:$B,0))="Production","P",IF(INDEX('PROJETO PERFURAÇÃO'!$P:$P,MATCH(MEDIÇÃO!K670,'PROJETO PERFURAÇÃO'!$B:$B,0))="Buffer","B",IF(INDEX('PROJETO PERFURAÇÃO'!$P:$P,MATCH(MEDIÇÃO!K670,'PROJETO PERFURAÇÃO'!$B:$B,0))="Pre-Splitting","S"))),"")</f>
        <v/>
      </c>
      <c r="K670" s="14">
        <f t="shared" si="64"/>
        <v>1487</v>
      </c>
      <c r="L670" s="4" t="str">
        <f>IFERROR(INDEX('LEV R&amp;D'!$D:$D,MATCH(MEDIÇÃO!K670,'LEV R&amp;D'!$A:$A,0))-INDEX('PROJETO PERFURAÇÃO'!$AH:$AH,MATCH(MEDIÇÃO!K670,'PROJETO PERFURAÇÃO'!$B:$B,0)),"")</f>
        <v/>
      </c>
      <c r="M670" s="8" t="str">
        <f>IFERROR(INDEX('PROJETO PERFURAÇÃO'!$AN:$AN,MATCH(MEDIÇÃO!K670,'PROJETO PERFURAÇÃO'!$B:$B,0)),"")</f>
        <v/>
      </c>
      <c r="N670" s="3"/>
      <c r="O670" s="3"/>
      <c r="P670" s="3" t="str">
        <f>IFERROR(ROUND(INDEX('PROJETO PERFURAÇÃO'!$AB:$AB,MATCH(MEDIÇÃO!R670,'PROJETO PERFURAÇÃO'!$B:$B,0)),1)&amp;"''","")</f>
        <v/>
      </c>
      <c r="Q670" s="3" t="str">
        <f>IFERROR(IF(INDEX('PROJETO PERFURAÇÃO'!$P:$P,MATCH(MEDIÇÃO!R670,'PROJETO PERFURAÇÃO'!$B:$B,0))="Production","P",IF(INDEX('PROJETO PERFURAÇÃO'!$P:$P,MATCH(MEDIÇÃO!R670,'PROJETO PERFURAÇÃO'!$B:$B,0))="Buffer","B",IF(INDEX('PROJETO PERFURAÇÃO'!$P:$P,MATCH(MEDIÇÃO!R670,'PROJETO PERFURAÇÃO'!$B:$B,0))="Pre-Splitting","S"))),"")</f>
        <v/>
      </c>
      <c r="R670" s="14">
        <f t="shared" si="65"/>
        <v>1510</v>
      </c>
      <c r="S670" s="4" t="str">
        <f>IFERROR(INDEX('LEV R&amp;D'!$D:$D,MATCH(MEDIÇÃO!R670,'LEV R&amp;D'!$A:$A,0))-INDEX('PROJETO PERFURAÇÃO'!$AH:$AH,MATCH(MEDIÇÃO!R670,'PROJETO PERFURAÇÃO'!$B:$B,0)),"")</f>
        <v/>
      </c>
      <c r="T670" s="8" t="str">
        <f>IFERROR(INDEX('PROJETO PERFURAÇÃO'!$AN:$AN,MATCH(MEDIÇÃO!R670,'PROJETO PERFURAÇÃO'!$B:$B,0)),"")</f>
        <v/>
      </c>
      <c r="U670" s="3"/>
      <c r="V670" s="3"/>
    </row>
    <row r="671" spans="2:22" ht="45" customHeight="1">
      <c r="B671" s="3" t="str">
        <f>IFERROR(ROUND(INDEX('PROJETO PERFURAÇÃO'!$AB:$AB,MATCH(MEDIÇÃO!D671,'PROJETO PERFURAÇÃO'!$B:$B,0)),1)&amp;"''","")</f>
        <v/>
      </c>
      <c r="C671" s="3" t="str">
        <f>IFERROR(IF(INDEX('PROJETO PERFURAÇÃO'!$P:$P,MATCH(MEDIÇÃO!D671,'PROJETO PERFURAÇÃO'!$B:$B,0))="Production","P",IF(INDEX('PROJETO PERFURAÇÃO'!$P:$P,MATCH(MEDIÇÃO!D671,'PROJETO PERFURAÇÃO'!$B:$B,0))="Buffer","B",IF(INDEX('PROJETO PERFURAÇÃO'!$P:$P,MATCH(MEDIÇÃO!D671,'PROJETO PERFURAÇÃO'!$B:$B,0))="Pre-Splitting","S"))),"")</f>
        <v/>
      </c>
      <c r="D671" s="14">
        <f t="shared" si="63"/>
        <v>1465</v>
      </c>
      <c r="E671" s="4" t="str">
        <f>IFERROR(INDEX('LEV R&amp;D'!$D:$D,MATCH(MEDIÇÃO!D671,'LEV R&amp;D'!$A:$A,0))-INDEX('PROJETO PERFURAÇÃO'!$AH:$AH,MATCH(MEDIÇÃO!D671,'PROJETO PERFURAÇÃO'!$B:$B,0)),"")</f>
        <v/>
      </c>
      <c r="F671" s="8" t="str">
        <f>IFERROR(INDEX('PROJETO PERFURAÇÃO'!$AN:$AN,MATCH(MEDIÇÃO!D671,'PROJETO PERFURAÇÃO'!$B:$B,0)),"")</f>
        <v/>
      </c>
      <c r="G671" s="3"/>
      <c r="H671" s="3"/>
      <c r="I671" s="3" t="str">
        <f>IFERROR(ROUND(INDEX('PROJETO PERFURAÇÃO'!$AB:$AB,MATCH(MEDIÇÃO!K671,'PROJETO PERFURAÇÃO'!$B:$B,0)),1)&amp;"''","")</f>
        <v/>
      </c>
      <c r="J671" s="3" t="str">
        <f>IFERROR(IF(INDEX('PROJETO PERFURAÇÃO'!$P:$P,MATCH(MEDIÇÃO!K671,'PROJETO PERFURAÇÃO'!$B:$B,0))="Production","P",IF(INDEX('PROJETO PERFURAÇÃO'!$P:$P,MATCH(MEDIÇÃO!K671,'PROJETO PERFURAÇÃO'!$B:$B,0))="Buffer","B",IF(INDEX('PROJETO PERFURAÇÃO'!$P:$P,MATCH(MEDIÇÃO!K671,'PROJETO PERFURAÇÃO'!$B:$B,0))="Pre-Splitting","S"))),"")</f>
        <v/>
      </c>
      <c r="K671" s="14">
        <f t="shared" si="64"/>
        <v>1488</v>
      </c>
      <c r="L671" s="4" t="str">
        <f>IFERROR(INDEX('LEV R&amp;D'!$D:$D,MATCH(MEDIÇÃO!K671,'LEV R&amp;D'!$A:$A,0))-INDEX('PROJETO PERFURAÇÃO'!$AH:$AH,MATCH(MEDIÇÃO!K671,'PROJETO PERFURAÇÃO'!$B:$B,0)),"")</f>
        <v/>
      </c>
      <c r="M671" s="8" t="str">
        <f>IFERROR(INDEX('PROJETO PERFURAÇÃO'!$AN:$AN,MATCH(MEDIÇÃO!K671,'PROJETO PERFURAÇÃO'!$B:$B,0)),"")</f>
        <v/>
      </c>
      <c r="N671" s="3"/>
      <c r="O671" s="3"/>
      <c r="P671" s="3" t="str">
        <f>IFERROR(ROUND(INDEX('PROJETO PERFURAÇÃO'!$AB:$AB,MATCH(MEDIÇÃO!R671,'PROJETO PERFURAÇÃO'!$B:$B,0)),1)&amp;"''","")</f>
        <v/>
      </c>
      <c r="Q671" s="3" t="str">
        <f>IFERROR(IF(INDEX('PROJETO PERFURAÇÃO'!$P:$P,MATCH(MEDIÇÃO!R671,'PROJETO PERFURAÇÃO'!$B:$B,0))="Production","P",IF(INDEX('PROJETO PERFURAÇÃO'!$P:$P,MATCH(MEDIÇÃO!R671,'PROJETO PERFURAÇÃO'!$B:$B,0))="Buffer","B",IF(INDEX('PROJETO PERFURAÇÃO'!$P:$P,MATCH(MEDIÇÃO!R671,'PROJETO PERFURAÇÃO'!$B:$B,0))="Pre-Splitting","S"))),"")</f>
        <v/>
      </c>
      <c r="R671" s="14">
        <f t="shared" si="65"/>
        <v>1511</v>
      </c>
      <c r="S671" s="4" t="str">
        <f>IFERROR(INDEX('LEV R&amp;D'!$D:$D,MATCH(MEDIÇÃO!R671,'LEV R&amp;D'!$A:$A,0))-INDEX('PROJETO PERFURAÇÃO'!$AH:$AH,MATCH(MEDIÇÃO!R671,'PROJETO PERFURAÇÃO'!$B:$B,0)),"")</f>
        <v/>
      </c>
      <c r="T671" s="8" t="str">
        <f>IFERROR(INDEX('PROJETO PERFURAÇÃO'!$AN:$AN,MATCH(MEDIÇÃO!R671,'PROJETO PERFURAÇÃO'!$B:$B,0)),"")</f>
        <v/>
      </c>
      <c r="U671" s="3"/>
      <c r="V671" s="3"/>
    </row>
    <row r="672" spans="2:22" ht="45" customHeight="1">
      <c r="B672" s="3" t="str">
        <f>IFERROR(ROUND(INDEX('PROJETO PERFURAÇÃO'!$AB:$AB,MATCH(MEDIÇÃO!D672,'PROJETO PERFURAÇÃO'!$B:$B,0)),1)&amp;"''","")</f>
        <v/>
      </c>
      <c r="C672" s="3" t="str">
        <f>IFERROR(IF(INDEX('PROJETO PERFURAÇÃO'!$P:$P,MATCH(MEDIÇÃO!D672,'PROJETO PERFURAÇÃO'!$B:$B,0))="Production","P",IF(INDEX('PROJETO PERFURAÇÃO'!$P:$P,MATCH(MEDIÇÃO!D672,'PROJETO PERFURAÇÃO'!$B:$B,0))="Buffer","B",IF(INDEX('PROJETO PERFURAÇÃO'!$P:$P,MATCH(MEDIÇÃO!D672,'PROJETO PERFURAÇÃO'!$B:$B,0))="Pre-Splitting","S"))),"")</f>
        <v/>
      </c>
      <c r="D672" s="14">
        <f t="shared" si="63"/>
        <v>1466</v>
      </c>
      <c r="E672" s="4" t="str">
        <f>IFERROR(INDEX('LEV R&amp;D'!$D:$D,MATCH(MEDIÇÃO!D672,'LEV R&amp;D'!$A:$A,0))-INDEX('PROJETO PERFURAÇÃO'!$AH:$AH,MATCH(MEDIÇÃO!D672,'PROJETO PERFURAÇÃO'!$B:$B,0)),"")</f>
        <v/>
      </c>
      <c r="F672" s="8" t="str">
        <f>IFERROR(INDEX('PROJETO PERFURAÇÃO'!$AN:$AN,MATCH(MEDIÇÃO!D672,'PROJETO PERFURAÇÃO'!$B:$B,0)),"")</f>
        <v/>
      </c>
      <c r="G672" s="3"/>
      <c r="H672" s="3"/>
      <c r="I672" s="3" t="str">
        <f>IFERROR(ROUND(INDEX('PROJETO PERFURAÇÃO'!$AB:$AB,MATCH(MEDIÇÃO!K672,'PROJETO PERFURAÇÃO'!$B:$B,0)),1)&amp;"''","")</f>
        <v/>
      </c>
      <c r="J672" s="3" t="str">
        <f>IFERROR(IF(INDEX('PROJETO PERFURAÇÃO'!$P:$P,MATCH(MEDIÇÃO!K672,'PROJETO PERFURAÇÃO'!$B:$B,0))="Production","P",IF(INDEX('PROJETO PERFURAÇÃO'!$P:$P,MATCH(MEDIÇÃO!K672,'PROJETO PERFURAÇÃO'!$B:$B,0))="Buffer","B",IF(INDEX('PROJETO PERFURAÇÃO'!$P:$P,MATCH(MEDIÇÃO!K672,'PROJETO PERFURAÇÃO'!$B:$B,0))="Pre-Splitting","S"))),"")</f>
        <v/>
      </c>
      <c r="K672" s="14">
        <f t="shared" si="64"/>
        <v>1489</v>
      </c>
      <c r="L672" s="4" t="str">
        <f>IFERROR(INDEX('LEV R&amp;D'!$D:$D,MATCH(MEDIÇÃO!K672,'LEV R&amp;D'!$A:$A,0))-INDEX('PROJETO PERFURAÇÃO'!$AH:$AH,MATCH(MEDIÇÃO!K672,'PROJETO PERFURAÇÃO'!$B:$B,0)),"")</f>
        <v/>
      </c>
      <c r="M672" s="8" t="str">
        <f>IFERROR(INDEX('PROJETO PERFURAÇÃO'!$AN:$AN,MATCH(MEDIÇÃO!K672,'PROJETO PERFURAÇÃO'!$B:$B,0)),"")</f>
        <v/>
      </c>
      <c r="N672" s="3"/>
      <c r="O672" s="3"/>
      <c r="P672" s="3" t="str">
        <f>IFERROR(ROUND(INDEX('PROJETO PERFURAÇÃO'!$AB:$AB,MATCH(MEDIÇÃO!R672,'PROJETO PERFURAÇÃO'!$B:$B,0)),1)&amp;"''","")</f>
        <v/>
      </c>
      <c r="Q672" s="3" t="str">
        <f>IFERROR(IF(INDEX('PROJETO PERFURAÇÃO'!$P:$P,MATCH(MEDIÇÃO!R672,'PROJETO PERFURAÇÃO'!$B:$B,0))="Production","P",IF(INDEX('PROJETO PERFURAÇÃO'!$P:$P,MATCH(MEDIÇÃO!R672,'PROJETO PERFURAÇÃO'!$B:$B,0))="Buffer","B",IF(INDEX('PROJETO PERFURAÇÃO'!$P:$P,MATCH(MEDIÇÃO!R672,'PROJETO PERFURAÇÃO'!$B:$B,0))="Pre-Splitting","S"))),"")</f>
        <v/>
      </c>
      <c r="R672" s="14">
        <f t="shared" si="65"/>
        <v>1512</v>
      </c>
      <c r="S672" s="4" t="str">
        <f>IFERROR(INDEX('LEV R&amp;D'!$D:$D,MATCH(MEDIÇÃO!R672,'LEV R&amp;D'!$A:$A,0))-INDEX('PROJETO PERFURAÇÃO'!$AH:$AH,MATCH(MEDIÇÃO!R672,'PROJETO PERFURAÇÃO'!$B:$B,0)),"")</f>
        <v/>
      </c>
      <c r="T672" s="8" t="str">
        <f>IFERROR(INDEX('PROJETO PERFURAÇÃO'!$AN:$AN,MATCH(MEDIÇÃO!R672,'PROJETO PERFURAÇÃO'!$B:$B,0)),"")</f>
        <v/>
      </c>
      <c r="U672" s="3"/>
      <c r="V672" s="3"/>
    </row>
    <row r="673" spans="1:23" ht="45" customHeight="1">
      <c r="B673" s="3" t="str">
        <f>IFERROR(ROUND(INDEX('PROJETO PERFURAÇÃO'!$AB:$AB,MATCH(MEDIÇÃO!D673,'PROJETO PERFURAÇÃO'!$B:$B,0)),1)&amp;"''","")</f>
        <v/>
      </c>
      <c r="C673" s="3" t="str">
        <f>IFERROR(IF(INDEX('PROJETO PERFURAÇÃO'!$P:$P,MATCH(MEDIÇÃO!D673,'PROJETO PERFURAÇÃO'!$B:$B,0))="Production","P",IF(INDEX('PROJETO PERFURAÇÃO'!$P:$P,MATCH(MEDIÇÃO!D673,'PROJETO PERFURAÇÃO'!$B:$B,0))="Buffer","B",IF(INDEX('PROJETO PERFURAÇÃO'!$P:$P,MATCH(MEDIÇÃO!D673,'PROJETO PERFURAÇÃO'!$B:$B,0))="Pre-Splitting","S"))),"")</f>
        <v/>
      </c>
      <c r="D673" s="14">
        <f t="shared" si="63"/>
        <v>1467</v>
      </c>
      <c r="E673" s="4" t="str">
        <f>IFERROR(INDEX('LEV R&amp;D'!$D:$D,MATCH(MEDIÇÃO!D673,'LEV R&amp;D'!$A:$A,0))-INDEX('PROJETO PERFURAÇÃO'!$AH:$AH,MATCH(MEDIÇÃO!D673,'PROJETO PERFURAÇÃO'!$B:$B,0)),"")</f>
        <v/>
      </c>
      <c r="F673" s="8" t="str">
        <f>IFERROR(INDEX('PROJETO PERFURAÇÃO'!$AN:$AN,MATCH(MEDIÇÃO!D673,'PROJETO PERFURAÇÃO'!$B:$B,0)),"")</f>
        <v/>
      </c>
      <c r="G673" s="3"/>
      <c r="H673" s="3"/>
      <c r="I673" s="3" t="str">
        <f>IFERROR(ROUND(INDEX('PROJETO PERFURAÇÃO'!$AB:$AB,MATCH(MEDIÇÃO!K673,'PROJETO PERFURAÇÃO'!$B:$B,0)),1)&amp;"''","")</f>
        <v/>
      </c>
      <c r="J673" s="3" t="str">
        <f>IFERROR(IF(INDEX('PROJETO PERFURAÇÃO'!$P:$P,MATCH(MEDIÇÃO!K673,'PROJETO PERFURAÇÃO'!$B:$B,0))="Production","P",IF(INDEX('PROJETO PERFURAÇÃO'!$P:$P,MATCH(MEDIÇÃO!K673,'PROJETO PERFURAÇÃO'!$B:$B,0))="Buffer","B",IF(INDEX('PROJETO PERFURAÇÃO'!$P:$P,MATCH(MEDIÇÃO!K673,'PROJETO PERFURAÇÃO'!$B:$B,0))="Pre-Splitting","S"))),"")</f>
        <v/>
      </c>
      <c r="K673" s="14">
        <f t="shared" si="64"/>
        <v>1490</v>
      </c>
      <c r="L673" s="4" t="str">
        <f>IFERROR(INDEX('LEV R&amp;D'!$D:$D,MATCH(MEDIÇÃO!K673,'LEV R&amp;D'!$A:$A,0))-INDEX('PROJETO PERFURAÇÃO'!$AH:$AH,MATCH(MEDIÇÃO!K673,'PROJETO PERFURAÇÃO'!$B:$B,0)),"")</f>
        <v/>
      </c>
      <c r="M673" s="8" t="str">
        <f>IFERROR(INDEX('PROJETO PERFURAÇÃO'!$AN:$AN,MATCH(MEDIÇÃO!K673,'PROJETO PERFURAÇÃO'!$B:$B,0)),"")</f>
        <v/>
      </c>
      <c r="N673" s="3"/>
      <c r="O673" s="3"/>
      <c r="P673" s="3" t="str">
        <f>IFERROR(ROUND(INDEX('PROJETO PERFURAÇÃO'!$AB:$AB,MATCH(MEDIÇÃO!R673,'PROJETO PERFURAÇÃO'!$B:$B,0)),1)&amp;"''","")</f>
        <v/>
      </c>
      <c r="Q673" s="3" t="str">
        <f>IFERROR(IF(INDEX('PROJETO PERFURAÇÃO'!$P:$P,MATCH(MEDIÇÃO!R673,'PROJETO PERFURAÇÃO'!$B:$B,0))="Production","P",IF(INDEX('PROJETO PERFURAÇÃO'!$P:$P,MATCH(MEDIÇÃO!R673,'PROJETO PERFURAÇÃO'!$B:$B,0))="Buffer","B",IF(INDEX('PROJETO PERFURAÇÃO'!$P:$P,MATCH(MEDIÇÃO!R673,'PROJETO PERFURAÇÃO'!$B:$B,0))="Pre-Splitting","S"))),"")</f>
        <v/>
      </c>
      <c r="R673" s="14">
        <f t="shared" si="65"/>
        <v>1513</v>
      </c>
      <c r="S673" s="4" t="str">
        <f>IFERROR(INDEX('LEV R&amp;D'!$D:$D,MATCH(MEDIÇÃO!R673,'LEV R&amp;D'!$A:$A,0))-INDEX('PROJETO PERFURAÇÃO'!$AH:$AH,MATCH(MEDIÇÃO!R673,'PROJETO PERFURAÇÃO'!$B:$B,0)),"")</f>
        <v/>
      </c>
      <c r="T673" s="8" t="str">
        <f>IFERROR(INDEX('PROJETO PERFURAÇÃO'!$AN:$AN,MATCH(MEDIÇÃO!R673,'PROJETO PERFURAÇÃO'!$B:$B,0)),"")</f>
        <v/>
      </c>
      <c r="U673" s="3"/>
      <c r="V673" s="3"/>
    </row>
    <row r="674" spans="1:23" ht="45" customHeight="1">
      <c r="B674" s="3" t="str">
        <f>IFERROR(ROUND(INDEX('PROJETO PERFURAÇÃO'!$AB:$AB,MATCH(MEDIÇÃO!D674,'PROJETO PERFURAÇÃO'!$B:$B,0)),1)&amp;"''","")</f>
        <v/>
      </c>
      <c r="C674" s="3" t="str">
        <f>IFERROR(IF(INDEX('PROJETO PERFURAÇÃO'!$P:$P,MATCH(MEDIÇÃO!D674,'PROJETO PERFURAÇÃO'!$B:$B,0))="Production","P",IF(INDEX('PROJETO PERFURAÇÃO'!$P:$P,MATCH(MEDIÇÃO!D674,'PROJETO PERFURAÇÃO'!$B:$B,0))="Buffer","B",IF(INDEX('PROJETO PERFURAÇÃO'!$P:$P,MATCH(MEDIÇÃO!D674,'PROJETO PERFURAÇÃO'!$B:$B,0))="Pre-Splitting","S"))),"")</f>
        <v/>
      </c>
      <c r="D674" s="14">
        <f t="shared" si="63"/>
        <v>1468</v>
      </c>
      <c r="E674" s="4" t="str">
        <f>IFERROR(INDEX('LEV R&amp;D'!$D:$D,MATCH(MEDIÇÃO!D674,'LEV R&amp;D'!$A:$A,0))-INDEX('PROJETO PERFURAÇÃO'!$AH:$AH,MATCH(MEDIÇÃO!D674,'PROJETO PERFURAÇÃO'!$B:$B,0)),"")</f>
        <v/>
      </c>
      <c r="F674" s="8" t="str">
        <f>IFERROR(INDEX('PROJETO PERFURAÇÃO'!$AN:$AN,MATCH(MEDIÇÃO!D674,'PROJETO PERFURAÇÃO'!$B:$B,0)),"")</f>
        <v/>
      </c>
      <c r="G674" s="3"/>
      <c r="H674" s="3"/>
      <c r="I674" s="3" t="str">
        <f>IFERROR(ROUND(INDEX('PROJETO PERFURAÇÃO'!$AB:$AB,MATCH(MEDIÇÃO!K674,'PROJETO PERFURAÇÃO'!$B:$B,0)),1)&amp;"''","")</f>
        <v/>
      </c>
      <c r="J674" s="3" t="str">
        <f>IFERROR(IF(INDEX('PROJETO PERFURAÇÃO'!$P:$P,MATCH(MEDIÇÃO!K674,'PROJETO PERFURAÇÃO'!$B:$B,0))="Production","P",IF(INDEX('PROJETO PERFURAÇÃO'!$P:$P,MATCH(MEDIÇÃO!K674,'PROJETO PERFURAÇÃO'!$B:$B,0))="Buffer","B",IF(INDEX('PROJETO PERFURAÇÃO'!$P:$P,MATCH(MEDIÇÃO!K674,'PROJETO PERFURAÇÃO'!$B:$B,0))="Pre-Splitting","S"))),"")</f>
        <v/>
      </c>
      <c r="K674" s="14">
        <f t="shared" si="64"/>
        <v>1491</v>
      </c>
      <c r="L674" s="4" t="str">
        <f>IFERROR(INDEX('LEV R&amp;D'!$D:$D,MATCH(MEDIÇÃO!K674,'LEV R&amp;D'!$A:$A,0))-INDEX('PROJETO PERFURAÇÃO'!$AH:$AH,MATCH(MEDIÇÃO!K674,'PROJETO PERFURAÇÃO'!$B:$B,0)),"")</f>
        <v/>
      </c>
      <c r="M674" s="8" t="str">
        <f>IFERROR(INDEX('PROJETO PERFURAÇÃO'!$AN:$AN,MATCH(MEDIÇÃO!K674,'PROJETO PERFURAÇÃO'!$B:$B,0)),"")</f>
        <v/>
      </c>
      <c r="N674" s="3"/>
      <c r="O674" s="3"/>
      <c r="P674" s="3" t="str">
        <f>IFERROR(ROUND(INDEX('PROJETO PERFURAÇÃO'!$AB:$AB,MATCH(MEDIÇÃO!R674,'PROJETO PERFURAÇÃO'!$B:$B,0)),1)&amp;"''","")</f>
        <v/>
      </c>
      <c r="Q674" s="3" t="str">
        <f>IFERROR(IF(INDEX('PROJETO PERFURAÇÃO'!$P:$P,MATCH(MEDIÇÃO!R674,'PROJETO PERFURAÇÃO'!$B:$B,0))="Production","P",IF(INDEX('PROJETO PERFURAÇÃO'!$P:$P,MATCH(MEDIÇÃO!R674,'PROJETO PERFURAÇÃO'!$B:$B,0))="Buffer","B",IF(INDEX('PROJETO PERFURAÇÃO'!$P:$P,MATCH(MEDIÇÃO!R674,'PROJETO PERFURAÇÃO'!$B:$B,0))="Pre-Splitting","S"))),"")</f>
        <v/>
      </c>
      <c r="R674" s="14">
        <f t="shared" si="65"/>
        <v>1514</v>
      </c>
      <c r="S674" s="4" t="str">
        <f>IFERROR(INDEX('LEV R&amp;D'!$D:$D,MATCH(MEDIÇÃO!R674,'LEV R&amp;D'!$A:$A,0))-INDEX('PROJETO PERFURAÇÃO'!$AH:$AH,MATCH(MEDIÇÃO!R674,'PROJETO PERFURAÇÃO'!$B:$B,0)),"")</f>
        <v/>
      </c>
      <c r="T674" s="8" t="str">
        <f>IFERROR(INDEX('PROJETO PERFURAÇÃO'!$AN:$AN,MATCH(MEDIÇÃO!R674,'PROJETO PERFURAÇÃO'!$B:$B,0)),"")</f>
        <v/>
      </c>
      <c r="U674" s="3"/>
      <c r="V674" s="3"/>
    </row>
    <row r="675" spans="1:23" ht="45" customHeight="1">
      <c r="B675" s="3" t="str">
        <f>IFERROR(ROUND(INDEX('PROJETO PERFURAÇÃO'!$AB:$AB,MATCH(MEDIÇÃO!D675,'PROJETO PERFURAÇÃO'!$B:$B,0)),1)&amp;"''","")</f>
        <v/>
      </c>
      <c r="C675" s="3" t="str">
        <f>IFERROR(IF(INDEX('PROJETO PERFURAÇÃO'!$P:$P,MATCH(MEDIÇÃO!D675,'PROJETO PERFURAÇÃO'!$B:$B,0))="Production","P",IF(INDEX('PROJETO PERFURAÇÃO'!$P:$P,MATCH(MEDIÇÃO!D675,'PROJETO PERFURAÇÃO'!$B:$B,0))="Buffer","B",IF(INDEX('PROJETO PERFURAÇÃO'!$P:$P,MATCH(MEDIÇÃO!D675,'PROJETO PERFURAÇÃO'!$B:$B,0))="Pre-Splitting","S"))),"")</f>
        <v/>
      </c>
      <c r="D675" s="14">
        <f t="shared" si="63"/>
        <v>1469</v>
      </c>
      <c r="E675" s="4" t="str">
        <f>IFERROR(INDEX('LEV R&amp;D'!$D:$D,MATCH(MEDIÇÃO!D675,'LEV R&amp;D'!$A:$A,0))-INDEX('PROJETO PERFURAÇÃO'!$AH:$AH,MATCH(MEDIÇÃO!D675,'PROJETO PERFURAÇÃO'!$B:$B,0)),"")</f>
        <v/>
      </c>
      <c r="F675" s="8" t="str">
        <f>IFERROR(INDEX('PROJETO PERFURAÇÃO'!$AN:$AN,MATCH(MEDIÇÃO!D675,'PROJETO PERFURAÇÃO'!$B:$B,0)),"")</f>
        <v/>
      </c>
      <c r="G675" s="3"/>
      <c r="H675" s="3"/>
      <c r="I675" s="3" t="str">
        <f>IFERROR(ROUND(INDEX('PROJETO PERFURAÇÃO'!$AB:$AB,MATCH(MEDIÇÃO!K675,'PROJETO PERFURAÇÃO'!$B:$B,0)),1)&amp;"''","")</f>
        <v/>
      </c>
      <c r="J675" s="3" t="str">
        <f>IFERROR(IF(INDEX('PROJETO PERFURAÇÃO'!$P:$P,MATCH(MEDIÇÃO!K675,'PROJETO PERFURAÇÃO'!$B:$B,0))="Production","P",IF(INDEX('PROJETO PERFURAÇÃO'!$P:$P,MATCH(MEDIÇÃO!K675,'PROJETO PERFURAÇÃO'!$B:$B,0))="Buffer","B",IF(INDEX('PROJETO PERFURAÇÃO'!$P:$P,MATCH(MEDIÇÃO!K675,'PROJETO PERFURAÇÃO'!$B:$B,0))="Pre-Splitting","S"))),"")</f>
        <v/>
      </c>
      <c r="K675" s="14">
        <f t="shared" si="64"/>
        <v>1492</v>
      </c>
      <c r="L675" s="4" t="str">
        <f>IFERROR(INDEX('LEV R&amp;D'!$D:$D,MATCH(MEDIÇÃO!K675,'LEV R&amp;D'!$A:$A,0))-INDEX('PROJETO PERFURAÇÃO'!$AH:$AH,MATCH(MEDIÇÃO!K675,'PROJETO PERFURAÇÃO'!$B:$B,0)),"")</f>
        <v/>
      </c>
      <c r="M675" s="8" t="str">
        <f>IFERROR(INDEX('PROJETO PERFURAÇÃO'!$AN:$AN,MATCH(MEDIÇÃO!K675,'PROJETO PERFURAÇÃO'!$B:$B,0)),"")</f>
        <v/>
      </c>
      <c r="N675" s="3"/>
      <c r="O675" s="3"/>
      <c r="P675" s="3" t="str">
        <f>IFERROR(ROUND(INDEX('PROJETO PERFURAÇÃO'!$AB:$AB,MATCH(MEDIÇÃO!R675,'PROJETO PERFURAÇÃO'!$B:$B,0)),1)&amp;"''","")</f>
        <v/>
      </c>
      <c r="Q675" s="3" t="str">
        <f>IFERROR(IF(INDEX('PROJETO PERFURAÇÃO'!$P:$P,MATCH(MEDIÇÃO!R675,'PROJETO PERFURAÇÃO'!$B:$B,0))="Production","P",IF(INDEX('PROJETO PERFURAÇÃO'!$P:$P,MATCH(MEDIÇÃO!R675,'PROJETO PERFURAÇÃO'!$B:$B,0))="Buffer","B",IF(INDEX('PROJETO PERFURAÇÃO'!$P:$P,MATCH(MEDIÇÃO!R675,'PROJETO PERFURAÇÃO'!$B:$B,0))="Pre-Splitting","S"))),"")</f>
        <v/>
      </c>
      <c r="R675" s="14">
        <f t="shared" si="65"/>
        <v>1515</v>
      </c>
      <c r="S675" s="4" t="str">
        <f>IFERROR(INDEX('LEV R&amp;D'!$D:$D,MATCH(MEDIÇÃO!R675,'LEV R&amp;D'!$A:$A,0))-INDEX('PROJETO PERFURAÇÃO'!$AH:$AH,MATCH(MEDIÇÃO!R675,'PROJETO PERFURAÇÃO'!$B:$B,0)),"")</f>
        <v/>
      </c>
      <c r="T675" s="8" t="str">
        <f>IFERROR(INDEX('PROJETO PERFURAÇÃO'!$AN:$AN,MATCH(MEDIÇÃO!R675,'PROJETO PERFURAÇÃO'!$B:$B,0)),"")</f>
        <v/>
      </c>
      <c r="U675" s="3"/>
      <c r="V675" s="3"/>
    </row>
    <row r="676" spans="1:23" ht="45" customHeight="1">
      <c r="B676" s="3" t="str">
        <f>IFERROR(ROUND(INDEX('PROJETO PERFURAÇÃO'!$AB:$AB,MATCH(MEDIÇÃO!D676,'PROJETO PERFURAÇÃO'!$B:$B,0)),1)&amp;"''","")</f>
        <v/>
      </c>
      <c r="C676" s="3" t="str">
        <f>IFERROR(IF(INDEX('PROJETO PERFURAÇÃO'!$P:$P,MATCH(MEDIÇÃO!D676,'PROJETO PERFURAÇÃO'!$B:$B,0))="Production","P",IF(INDEX('PROJETO PERFURAÇÃO'!$P:$P,MATCH(MEDIÇÃO!D676,'PROJETO PERFURAÇÃO'!$B:$B,0))="Buffer","B",IF(INDEX('PROJETO PERFURAÇÃO'!$P:$P,MATCH(MEDIÇÃO!D676,'PROJETO PERFURAÇÃO'!$B:$B,0))="Pre-Splitting","S"))),"")</f>
        <v/>
      </c>
      <c r="D676" s="14">
        <f t="shared" si="63"/>
        <v>1470</v>
      </c>
      <c r="E676" s="4" t="str">
        <f>IFERROR(INDEX('LEV R&amp;D'!$D:$D,MATCH(MEDIÇÃO!D676,'LEV R&amp;D'!$A:$A,0))-INDEX('PROJETO PERFURAÇÃO'!$AH:$AH,MATCH(MEDIÇÃO!D676,'PROJETO PERFURAÇÃO'!$B:$B,0)),"")</f>
        <v/>
      </c>
      <c r="F676" s="8" t="str">
        <f>IFERROR(INDEX('PROJETO PERFURAÇÃO'!$AN:$AN,MATCH(MEDIÇÃO!D676,'PROJETO PERFURAÇÃO'!$B:$B,0)),"")</f>
        <v/>
      </c>
      <c r="G676" s="3"/>
      <c r="H676" s="3"/>
      <c r="I676" s="3" t="str">
        <f>IFERROR(ROUND(INDEX('PROJETO PERFURAÇÃO'!$AB:$AB,MATCH(MEDIÇÃO!K676,'PROJETO PERFURAÇÃO'!$B:$B,0)),1)&amp;"''","")</f>
        <v/>
      </c>
      <c r="J676" s="3" t="str">
        <f>IFERROR(IF(INDEX('PROJETO PERFURAÇÃO'!$P:$P,MATCH(MEDIÇÃO!K676,'PROJETO PERFURAÇÃO'!$B:$B,0))="Production","P",IF(INDEX('PROJETO PERFURAÇÃO'!$P:$P,MATCH(MEDIÇÃO!K676,'PROJETO PERFURAÇÃO'!$B:$B,0))="Buffer","B",IF(INDEX('PROJETO PERFURAÇÃO'!$P:$P,MATCH(MEDIÇÃO!K676,'PROJETO PERFURAÇÃO'!$B:$B,0))="Pre-Splitting","S"))),"")</f>
        <v/>
      </c>
      <c r="K676" s="14">
        <f t="shared" si="64"/>
        <v>1493</v>
      </c>
      <c r="L676" s="4" t="str">
        <f>IFERROR(INDEX('LEV R&amp;D'!$D:$D,MATCH(MEDIÇÃO!K676,'LEV R&amp;D'!$A:$A,0))-INDEX('PROJETO PERFURAÇÃO'!$AH:$AH,MATCH(MEDIÇÃO!K676,'PROJETO PERFURAÇÃO'!$B:$B,0)),"")</f>
        <v/>
      </c>
      <c r="M676" s="8" t="str">
        <f>IFERROR(INDEX('PROJETO PERFURAÇÃO'!$AN:$AN,MATCH(MEDIÇÃO!K676,'PROJETO PERFURAÇÃO'!$B:$B,0)),"")</f>
        <v/>
      </c>
      <c r="N676" s="3"/>
      <c r="O676" s="3"/>
      <c r="P676" s="3" t="str">
        <f>IFERROR(ROUND(INDEX('PROJETO PERFURAÇÃO'!$AB:$AB,MATCH(MEDIÇÃO!R676,'PROJETO PERFURAÇÃO'!$B:$B,0)),1)&amp;"''","")</f>
        <v/>
      </c>
      <c r="Q676" s="3" t="str">
        <f>IFERROR(IF(INDEX('PROJETO PERFURAÇÃO'!$P:$P,MATCH(MEDIÇÃO!R676,'PROJETO PERFURAÇÃO'!$B:$B,0))="Production","P",IF(INDEX('PROJETO PERFURAÇÃO'!$P:$P,MATCH(MEDIÇÃO!R676,'PROJETO PERFURAÇÃO'!$B:$B,0))="Buffer","B",IF(INDEX('PROJETO PERFURAÇÃO'!$P:$P,MATCH(MEDIÇÃO!R676,'PROJETO PERFURAÇÃO'!$B:$B,0))="Pre-Splitting","S"))),"")</f>
        <v/>
      </c>
      <c r="R676" s="14">
        <f t="shared" si="65"/>
        <v>1516</v>
      </c>
      <c r="S676" s="4" t="str">
        <f>IFERROR(INDEX('LEV R&amp;D'!$D:$D,MATCH(MEDIÇÃO!R676,'LEV R&amp;D'!$A:$A,0))-INDEX('PROJETO PERFURAÇÃO'!$AH:$AH,MATCH(MEDIÇÃO!R676,'PROJETO PERFURAÇÃO'!$B:$B,0)),"")</f>
        <v/>
      </c>
      <c r="T676" s="8" t="str">
        <f>IFERROR(INDEX('PROJETO PERFURAÇÃO'!$AN:$AN,MATCH(MEDIÇÃO!R676,'PROJETO PERFURAÇÃO'!$B:$B,0)),"")</f>
        <v/>
      </c>
      <c r="U676" s="3"/>
      <c r="V676" s="3"/>
    </row>
    <row r="677" spans="1:23" ht="45" customHeight="1">
      <c r="B677" s="3" t="str">
        <f>IFERROR(ROUND(INDEX('PROJETO PERFURAÇÃO'!$AB:$AB,MATCH(MEDIÇÃO!D677,'PROJETO PERFURAÇÃO'!$B:$B,0)),1)&amp;"''","")</f>
        <v/>
      </c>
      <c r="C677" s="3" t="str">
        <f>IFERROR(IF(INDEX('PROJETO PERFURAÇÃO'!$P:$P,MATCH(MEDIÇÃO!D677,'PROJETO PERFURAÇÃO'!$B:$B,0))="Production","P",IF(INDEX('PROJETO PERFURAÇÃO'!$P:$P,MATCH(MEDIÇÃO!D677,'PROJETO PERFURAÇÃO'!$B:$B,0))="Buffer","B",IF(INDEX('PROJETO PERFURAÇÃO'!$P:$P,MATCH(MEDIÇÃO!D677,'PROJETO PERFURAÇÃO'!$B:$B,0))="Pre-Splitting","S"))),"")</f>
        <v/>
      </c>
      <c r="D677" s="14">
        <f t="shared" si="63"/>
        <v>1471</v>
      </c>
      <c r="E677" s="4" t="str">
        <f>IFERROR(INDEX('LEV R&amp;D'!$D:$D,MATCH(MEDIÇÃO!D677,'LEV R&amp;D'!$A:$A,0))-INDEX('PROJETO PERFURAÇÃO'!$AH:$AH,MATCH(MEDIÇÃO!D677,'PROJETO PERFURAÇÃO'!$B:$B,0)),"")</f>
        <v/>
      </c>
      <c r="F677" s="8" t="str">
        <f>IFERROR(INDEX('PROJETO PERFURAÇÃO'!$AN:$AN,MATCH(MEDIÇÃO!D677,'PROJETO PERFURAÇÃO'!$B:$B,0)),"")</f>
        <v/>
      </c>
      <c r="G677" s="3"/>
      <c r="H677" s="3"/>
      <c r="I677" s="3" t="str">
        <f>IFERROR(ROUND(INDEX('PROJETO PERFURAÇÃO'!$AB:$AB,MATCH(MEDIÇÃO!K677,'PROJETO PERFURAÇÃO'!$B:$B,0)),1)&amp;"''","")</f>
        <v/>
      </c>
      <c r="J677" s="3" t="str">
        <f>IFERROR(IF(INDEX('PROJETO PERFURAÇÃO'!$P:$P,MATCH(MEDIÇÃO!K677,'PROJETO PERFURAÇÃO'!$B:$B,0))="Production","P",IF(INDEX('PROJETO PERFURAÇÃO'!$P:$P,MATCH(MEDIÇÃO!K677,'PROJETO PERFURAÇÃO'!$B:$B,0))="Buffer","B",IF(INDEX('PROJETO PERFURAÇÃO'!$P:$P,MATCH(MEDIÇÃO!K677,'PROJETO PERFURAÇÃO'!$B:$B,0))="Pre-Splitting","S"))),"")</f>
        <v/>
      </c>
      <c r="K677" s="14">
        <f t="shared" si="64"/>
        <v>1494</v>
      </c>
      <c r="L677" s="4" t="str">
        <f>IFERROR(INDEX('LEV R&amp;D'!$D:$D,MATCH(MEDIÇÃO!K677,'LEV R&amp;D'!$A:$A,0))-INDEX('PROJETO PERFURAÇÃO'!$AH:$AH,MATCH(MEDIÇÃO!K677,'PROJETO PERFURAÇÃO'!$B:$B,0)),"")</f>
        <v/>
      </c>
      <c r="M677" s="8" t="str">
        <f>IFERROR(INDEX('PROJETO PERFURAÇÃO'!$AN:$AN,MATCH(MEDIÇÃO!K677,'PROJETO PERFURAÇÃO'!$B:$B,0)),"")</f>
        <v/>
      </c>
      <c r="N677" s="3"/>
      <c r="O677" s="3"/>
      <c r="P677" s="3" t="str">
        <f>IFERROR(ROUND(INDEX('PROJETO PERFURAÇÃO'!$AB:$AB,MATCH(MEDIÇÃO!R677,'PROJETO PERFURAÇÃO'!$B:$B,0)),1)&amp;"''","")</f>
        <v/>
      </c>
      <c r="Q677" s="3" t="str">
        <f>IFERROR(IF(INDEX('PROJETO PERFURAÇÃO'!$P:$P,MATCH(MEDIÇÃO!R677,'PROJETO PERFURAÇÃO'!$B:$B,0))="Production","P",IF(INDEX('PROJETO PERFURAÇÃO'!$P:$P,MATCH(MEDIÇÃO!R677,'PROJETO PERFURAÇÃO'!$B:$B,0))="Buffer","B",IF(INDEX('PROJETO PERFURAÇÃO'!$P:$P,MATCH(MEDIÇÃO!R677,'PROJETO PERFURAÇÃO'!$B:$B,0))="Pre-Splitting","S"))),"")</f>
        <v/>
      </c>
      <c r="R677" s="14">
        <f t="shared" si="65"/>
        <v>1517</v>
      </c>
      <c r="S677" s="4" t="str">
        <f>IFERROR(INDEX('LEV R&amp;D'!$D:$D,MATCH(MEDIÇÃO!R677,'LEV R&amp;D'!$A:$A,0))-INDEX('PROJETO PERFURAÇÃO'!$AH:$AH,MATCH(MEDIÇÃO!R677,'PROJETO PERFURAÇÃO'!$B:$B,0)),"")</f>
        <v/>
      </c>
      <c r="T677" s="8" t="str">
        <f>IFERROR(INDEX('PROJETO PERFURAÇÃO'!$AN:$AN,MATCH(MEDIÇÃO!R677,'PROJETO PERFURAÇÃO'!$B:$B,0)),"")</f>
        <v/>
      </c>
      <c r="U677" s="3"/>
      <c r="V677" s="3"/>
    </row>
    <row r="678" spans="1:23" ht="45" customHeight="1">
      <c r="B678" s="3" t="str">
        <f>IFERROR(ROUND(INDEX('PROJETO PERFURAÇÃO'!$AB:$AB,MATCH(MEDIÇÃO!D678,'PROJETO PERFURAÇÃO'!$B:$B,0)),1)&amp;"''","")</f>
        <v/>
      </c>
      <c r="C678" s="3" t="str">
        <f>IFERROR(IF(INDEX('PROJETO PERFURAÇÃO'!$P:$P,MATCH(MEDIÇÃO!D678,'PROJETO PERFURAÇÃO'!$B:$B,0))="Production","P",IF(INDEX('PROJETO PERFURAÇÃO'!$P:$P,MATCH(MEDIÇÃO!D678,'PROJETO PERFURAÇÃO'!$B:$B,0))="Buffer","B",IF(INDEX('PROJETO PERFURAÇÃO'!$P:$P,MATCH(MEDIÇÃO!D678,'PROJETO PERFURAÇÃO'!$B:$B,0))="Pre-Splitting","S"))),"")</f>
        <v/>
      </c>
      <c r="D678" s="14">
        <f t="shared" si="63"/>
        <v>1472</v>
      </c>
      <c r="E678" s="4" t="str">
        <f>IFERROR(INDEX('LEV R&amp;D'!$D:$D,MATCH(MEDIÇÃO!D678,'LEV R&amp;D'!$A:$A,0))-INDEX('PROJETO PERFURAÇÃO'!$AH:$AH,MATCH(MEDIÇÃO!D678,'PROJETO PERFURAÇÃO'!$B:$B,0)),"")</f>
        <v/>
      </c>
      <c r="F678" s="8" t="str">
        <f>IFERROR(INDEX('PROJETO PERFURAÇÃO'!$AN:$AN,MATCH(MEDIÇÃO!D678,'PROJETO PERFURAÇÃO'!$B:$B,0)),"")</f>
        <v/>
      </c>
      <c r="G678" s="3"/>
      <c r="H678" s="3"/>
      <c r="I678" s="3" t="str">
        <f>IFERROR(ROUND(INDEX('PROJETO PERFURAÇÃO'!$AB:$AB,MATCH(MEDIÇÃO!K678,'PROJETO PERFURAÇÃO'!$B:$B,0)),1)&amp;"''","")</f>
        <v/>
      </c>
      <c r="J678" s="3" t="str">
        <f>IFERROR(IF(INDEX('PROJETO PERFURAÇÃO'!$P:$P,MATCH(MEDIÇÃO!K678,'PROJETO PERFURAÇÃO'!$B:$B,0))="Production","P",IF(INDEX('PROJETO PERFURAÇÃO'!$P:$P,MATCH(MEDIÇÃO!K678,'PROJETO PERFURAÇÃO'!$B:$B,0))="Buffer","B",IF(INDEX('PROJETO PERFURAÇÃO'!$P:$P,MATCH(MEDIÇÃO!K678,'PROJETO PERFURAÇÃO'!$B:$B,0))="Pre-Splitting","S"))),"")</f>
        <v/>
      </c>
      <c r="K678" s="14">
        <f>K677+1</f>
        <v>1495</v>
      </c>
      <c r="L678" s="4" t="str">
        <f>IFERROR(INDEX('LEV R&amp;D'!$D:$D,MATCH(MEDIÇÃO!K678,'LEV R&amp;D'!$A:$A,0))-INDEX('PROJETO PERFURAÇÃO'!$AH:$AH,MATCH(MEDIÇÃO!K678,'PROJETO PERFURAÇÃO'!$B:$B,0)),"")</f>
        <v/>
      </c>
      <c r="M678" s="8" t="str">
        <f>IFERROR(INDEX('PROJETO PERFURAÇÃO'!$AN:$AN,MATCH(MEDIÇÃO!K678,'PROJETO PERFURAÇÃO'!$B:$B,0)),"")</f>
        <v/>
      </c>
      <c r="N678" s="3"/>
      <c r="O678" s="3"/>
      <c r="P678" s="3" t="str">
        <f>IFERROR(ROUND(INDEX('PROJETO PERFURAÇÃO'!$AB:$AB,MATCH(MEDIÇÃO!R678,'PROJETO PERFURAÇÃO'!$B:$B,0)),1)&amp;"''","")</f>
        <v/>
      </c>
      <c r="Q678" s="3" t="str">
        <f>IFERROR(IF(INDEX('PROJETO PERFURAÇÃO'!$P:$P,MATCH(MEDIÇÃO!R678,'PROJETO PERFURAÇÃO'!$B:$B,0))="Production","P",IF(INDEX('PROJETO PERFURAÇÃO'!$P:$P,MATCH(MEDIÇÃO!R678,'PROJETO PERFURAÇÃO'!$B:$B,0))="Buffer","B",IF(INDEX('PROJETO PERFURAÇÃO'!$P:$P,MATCH(MEDIÇÃO!R678,'PROJETO PERFURAÇÃO'!$B:$B,0))="Pre-Splitting","S"))),"")</f>
        <v/>
      </c>
      <c r="R678" s="14">
        <f>R677+1</f>
        <v>1518</v>
      </c>
      <c r="S678" s="4" t="str">
        <f>IFERROR(INDEX('LEV R&amp;D'!$D:$D,MATCH(MEDIÇÃO!R678,'LEV R&amp;D'!$A:$A,0))-INDEX('PROJETO PERFURAÇÃO'!$AH:$AH,MATCH(MEDIÇÃO!R678,'PROJETO PERFURAÇÃO'!$B:$B,0)),"")</f>
        <v/>
      </c>
      <c r="T678" s="8" t="str">
        <f>IFERROR(INDEX('PROJETO PERFURAÇÃO'!$AN:$AN,MATCH(MEDIÇÃO!R678,'PROJETO PERFURAÇÃO'!$B:$B,0)),"")</f>
        <v/>
      </c>
      <c r="U678" s="3"/>
      <c r="V678" s="3"/>
    </row>
    <row r="679" spans="1:23" ht="30" customHeight="1">
      <c r="B679" s="1"/>
      <c r="C679" s="1"/>
      <c r="D679" s="15"/>
      <c r="E679" s="2"/>
      <c r="F679" s="16"/>
      <c r="G679" s="1"/>
      <c r="H679" s="1"/>
      <c r="I679" s="1"/>
      <c r="J679" s="1"/>
      <c r="K679" s="15"/>
      <c r="L679" s="2"/>
      <c r="M679" s="16"/>
      <c r="N679" s="1"/>
      <c r="O679" s="1"/>
      <c r="P679" s="1"/>
      <c r="Q679" s="1"/>
      <c r="R679" s="15"/>
      <c r="S679" s="2"/>
      <c r="T679" s="16"/>
      <c r="U679" s="1"/>
      <c r="V679" s="1"/>
    </row>
    <row r="680" spans="1:23" ht="30" customHeight="1">
      <c r="C680" s="20"/>
      <c r="D680" s="20"/>
      <c r="E680" s="20"/>
      <c r="F680" s="20"/>
      <c r="G680" s="20"/>
      <c r="H680" s="20"/>
      <c r="I680" s="20"/>
      <c r="J680" s="20"/>
      <c r="K680" s="20"/>
      <c r="M680" s="20"/>
      <c r="N680" s="20"/>
      <c r="O680" s="20"/>
      <c r="P680" s="20"/>
      <c r="Q680" s="20"/>
      <c r="R680" s="20"/>
      <c r="S680" s="20"/>
      <c r="T680" s="20"/>
      <c r="U680" s="20"/>
    </row>
    <row r="681" spans="1:23" ht="30" customHeight="1">
      <c r="C681" s="21" t="s">
        <v>40</v>
      </c>
      <c r="D681" s="21"/>
      <c r="E681" s="21"/>
      <c r="F681" s="21"/>
      <c r="G681" s="21"/>
      <c r="H681" s="21"/>
      <c r="I681" s="21"/>
      <c r="J681" s="21"/>
      <c r="K681" s="21"/>
      <c r="L681" s="9"/>
      <c r="M681" s="21" t="s">
        <v>40</v>
      </c>
      <c r="N681" s="21"/>
      <c r="O681" s="21"/>
      <c r="P681" s="21"/>
      <c r="Q681" s="21"/>
      <c r="R681" s="21"/>
      <c r="S681" s="21"/>
      <c r="T681" s="21"/>
      <c r="U681" s="21"/>
      <c r="V681" s="9"/>
    </row>
    <row r="682" spans="1:23" ht="30" customHeight="1">
      <c r="D682" s="9"/>
      <c r="E682" s="9"/>
      <c r="F682" s="9"/>
      <c r="G682" s="9"/>
      <c r="H682" s="9"/>
      <c r="I682" s="9"/>
      <c r="J682" s="9"/>
      <c r="K682" s="9"/>
      <c r="L682" s="9"/>
      <c r="M682" s="9"/>
      <c r="N682" s="9"/>
      <c r="Q682" s="9"/>
      <c r="R682" s="9"/>
      <c r="S682" s="9"/>
      <c r="T682" s="9"/>
      <c r="U682" s="9"/>
      <c r="V682" s="9"/>
    </row>
    <row r="683" spans="1:23" ht="30" customHeight="1">
      <c r="B683" s="19" t="str">
        <f>'PROJETO PERFURAÇÃO'!$C$2&amp;" - "&amp;'PROJETO PERFURAÇÃO'!$H$2</f>
        <v>LIB037 - PP0370626</v>
      </c>
      <c r="C683" s="19"/>
      <c r="D683" s="19"/>
      <c r="E683" s="19"/>
      <c r="F683" s="19"/>
      <c r="G683" s="19"/>
      <c r="H683" s="19"/>
      <c r="I683" s="11" t="s">
        <v>34</v>
      </c>
      <c r="J683" s="10" t="s">
        <v>37</v>
      </c>
    </row>
    <row r="684" spans="1:23" ht="30" customHeight="1">
      <c r="B684" s="19"/>
      <c r="C684" s="19"/>
      <c r="D684" s="19"/>
      <c r="E684" s="19"/>
      <c r="F684" s="19"/>
      <c r="G684" s="19"/>
      <c r="H684" s="19"/>
      <c r="I684" s="12" t="s">
        <v>35</v>
      </c>
      <c r="J684" s="10" t="s">
        <v>38</v>
      </c>
      <c r="K684" s="9"/>
      <c r="L684" s="9"/>
      <c r="M684" s="9"/>
      <c r="N684" s="9"/>
      <c r="O684" s="9"/>
      <c r="P684" s="9"/>
      <c r="Q684" s="9"/>
      <c r="R684" s="9"/>
      <c r="S684" s="9"/>
      <c r="T684" s="9"/>
      <c r="U684" s="9"/>
      <c r="V684" s="9"/>
    </row>
    <row r="685" spans="1:23" ht="30" customHeight="1">
      <c r="B685" s="19"/>
      <c r="C685" s="19"/>
      <c r="D685" s="19"/>
      <c r="E685" s="19"/>
      <c r="F685" s="19"/>
      <c r="G685" s="19"/>
      <c r="H685" s="19"/>
      <c r="I685" s="13" t="s">
        <v>36</v>
      </c>
      <c r="J685" s="10" t="s">
        <v>39</v>
      </c>
    </row>
    <row r="686" spans="1:23" ht="30" customHeight="1">
      <c r="A686" s="1"/>
      <c r="B686" s="6" t="s">
        <v>33</v>
      </c>
      <c r="C686" s="6" t="s">
        <v>13</v>
      </c>
      <c r="D686" s="7" t="s">
        <v>1</v>
      </c>
      <c r="E686" s="7" t="s">
        <v>29</v>
      </c>
      <c r="F686" s="7" t="s">
        <v>30</v>
      </c>
      <c r="G686" s="7" t="s">
        <v>31</v>
      </c>
      <c r="H686" s="7" t="s">
        <v>32</v>
      </c>
      <c r="I686" s="6" t="s">
        <v>33</v>
      </c>
      <c r="J686" s="6" t="s">
        <v>13</v>
      </c>
      <c r="K686" s="7" t="s">
        <v>1</v>
      </c>
      <c r="L686" s="7" t="s">
        <v>29</v>
      </c>
      <c r="M686" s="7" t="s">
        <v>30</v>
      </c>
      <c r="N686" s="7" t="s">
        <v>31</v>
      </c>
      <c r="O686" s="7" t="s">
        <v>32</v>
      </c>
      <c r="P686" s="6" t="s">
        <v>33</v>
      </c>
      <c r="Q686" s="6" t="s">
        <v>13</v>
      </c>
      <c r="R686" s="7" t="s">
        <v>1</v>
      </c>
      <c r="S686" s="7" t="s">
        <v>29</v>
      </c>
      <c r="T686" s="7" t="s">
        <v>30</v>
      </c>
      <c r="U686" s="7" t="s">
        <v>31</v>
      </c>
      <c r="V686" s="7" t="s">
        <v>32</v>
      </c>
      <c r="W686" s="1"/>
    </row>
    <row r="687" spans="1:23" ht="45" customHeight="1">
      <c r="B687" s="3" t="str">
        <f>IFERROR(ROUND(INDEX('PROJETO PERFURAÇÃO'!$AB:$AB,MATCH(MEDIÇÃO!D687,'PROJETO PERFURAÇÃO'!$B:$B,0)),1)&amp;"''","")</f>
        <v/>
      </c>
      <c r="C687" s="3" t="str">
        <f>IFERROR(IF(INDEX('PROJETO PERFURAÇÃO'!$P:$P,MATCH(MEDIÇÃO!D687,'PROJETO PERFURAÇÃO'!$B:$B,0))="Production","P",IF(INDEX('PROJETO PERFURAÇÃO'!$P:$P,MATCH(MEDIÇÃO!D687,'PROJETO PERFURAÇÃO'!$B:$B,0))="Buffer","B",IF(INDEX('PROJETO PERFURAÇÃO'!$P:$P,MATCH(MEDIÇÃO!D687,'PROJETO PERFURAÇÃO'!$B:$B,0))="Pre-Splitting","S"))),"")</f>
        <v/>
      </c>
      <c r="D687" s="14">
        <f>R678+1</f>
        <v>1519</v>
      </c>
      <c r="E687" s="4" t="str">
        <f>IFERROR(INDEX('LEV R&amp;D'!$D:$D,MATCH(MEDIÇÃO!D687,'LEV R&amp;D'!$A:$A,0))-INDEX('PROJETO PERFURAÇÃO'!$AH:$AH,MATCH(MEDIÇÃO!D687,'PROJETO PERFURAÇÃO'!$B:$B,0)),"")</f>
        <v/>
      </c>
      <c r="F687" s="8" t="str">
        <f>IFERROR(INDEX('PROJETO PERFURAÇÃO'!$AN:$AN,MATCH(MEDIÇÃO!D687,'PROJETO PERFURAÇÃO'!$B:$B,0)),"")</f>
        <v/>
      </c>
      <c r="G687" s="3"/>
      <c r="H687" s="3"/>
      <c r="I687" s="3" t="str">
        <f>IFERROR(ROUND(INDEX('PROJETO PERFURAÇÃO'!$AB:$AB,MATCH(MEDIÇÃO!K687,'PROJETO PERFURAÇÃO'!$B:$B,0)),1)&amp;"''","")</f>
        <v/>
      </c>
      <c r="J687" s="3" t="str">
        <f>IFERROR(IF(INDEX('PROJETO PERFURAÇÃO'!$P:$P,MATCH(MEDIÇÃO!K687,'PROJETO PERFURAÇÃO'!$B:$B,0))="Production","P",IF(INDEX('PROJETO PERFURAÇÃO'!$P:$P,MATCH(MEDIÇÃO!K687,'PROJETO PERFURAÇÃO'!$B:$B,0))="Buffer","B",IF(INDEX('PROJETO PERFURAÇÃO'!$P:$P,MATCH(MEDIÇÃO!K687,'PROJETO PERFURAÇÃO'!$B:$B,0))="Pre-Splitting","S"))),"")</f>
        <v/>
      </c>
      <c r="K687" s="14">
        <f>D709+1</f>
        <v>1542</v>
      </c>
      <c r="L687" s="4" t="str">
        <f>IFERROR(INDEX('LEV R&amp;D'!$D:$D,MATCH(MEDIÇÃO!K687,'LEV R&amp;D'!$A:$A,0))-INDEX('PROJETO PERFURAÇÃO'!$AH:$AH,MATCH(MEDIÇÃO!K687,'PROJETO PERFURAÇÃO'!$B:$B,0)),"")</f>
        <v/>
      </c>
      <c r="M687" s="8" t="str">
        <f>IFERROR(INDEX('PROJETO PERFURAÇÃO'!$AN:$AN,MATCH(MEDIÇÃO!K687,'PROJETO PERFURAÇÃO'!$B:$B,0)),"")</f>
        <v/>
      </c>
      <c r="N687" s="3"/>
      <c r="O687" s="3"/>
      <c r="P687" s="3" t="str">
        <f>IFERROR(ROUND(INDEX('PROJETO PERFURAÇÃO'!$AB:$AB,MATCH(MEDIÇÃO!R687,'PROJETO PERFURAÇÃO'!$B:$B,0)),1)&amp;"''","")</f>
        <v/>
      </c>
      <c r="Q687" s="3" t="str">
        <f>IFERROR(IF(INDEX('PROJETO PERFURAÇÃO'!$P:$P,MATCH(MEDIÇÃO!R687,'PROJETO PERFURAÇÃO'!$B:$B,0))="Production","P",IF(INDEX('PROJETO PERFURAÇÃO'!$P:$P,MATCH(MEDIÇÃO!R687,'PROJETO PERFURAÇÃO'!$B:$B,0))="Buffer","B",IF(INDEX('PROJETO PERFURAÇÃO'!$P:$P,MATCH(MEDIÇÃO!R687,'PROJETO PERFURAÇÃO'!$B:$B,0))="Pre-Splitting","S"))),"")</f>
        <v/>
      </c>
      <c r="R687" s="14">
        <f>K709+1</f>
        <v>1565</v>
      </c>
      <c r="S687" s="4" t="str">
        <f>IFERROR(INDEX('LEV R&amp;D'!$D:$D,MATCH(MEDIÇÃO!R687,'LEV R&amp;D'!$A:$A,0))-INDEX('PROJETO PERFURAÇÃO'!$AH:$AH,MATCH(MEDIÇÃO!R687,'PROJETO PERFURAÇÃO'!$B:$B,0)),"")</f>
        <v/>
      </c>
      <c r="T687" s="8" t="str">
        <f>IFERROR(INDEX('PROJETO PERFURAÇÃO'!$AN:$AN,MATCH(MEDIÇÃO!R687,'PROJETO PERFURAÇÃO'!$B:$B,0)),"")</f>
        <v/>
      </c>
      <c r="U687" s="3"/>
      <c r="V687" s="3"/>
    </row>
    <row r="688" spans="1:23" ht="45" customHeight="1">
      <c r="B688" s="3" t="str">
        <f>IFERROR(ROUND(INDEX('PROJETO PERFURAÇÃO'!$AB:$AB,MATCH(MEDIÇÃO!D688,'PROJETO PERFURAÇÃO'!$B:$B,0)),1)&amp;"''","")</f>
        <v/>
      </c>
      <c r="C688" s="3" t="str">
        <f>IFERROR(IF(INDEX('PROJETO PERFURAÇÃO'!$P:$P,MATCH(MEDIÇÃO!D688,'PROJETO PERFURAÇÃO'!$B:$B,0))="Production","P",IF(INDEX('PROJETO PERFURAÇÃO'!$P:$P,MATCH(MEDIÇÃO!D688,'PROJETO PERFURAÇÃO'!$B:$B,0))="Buffer","B",IF(INDEX('PROJETO PERFURAÇÃO'!$P:$P,MATCH(MEDIÇÃO!D688,'PROJETO PERFURAÇÃO'!$B:$B,0))="Pre-Splitting","S"))),"")</f>
        <v/>
      </c>
      <c r="D688" s="14">
        <f>D687+1</f>
        <v>1520</v>
      </c>
      <c r="E688" s="4" t="str">
        <f>IFERROR(INDEX('LEV R&amp;D'!$D:$D,MATCH(MEDIÇÃO!D688,'LEV R&amp;D'!$A:$A,0))-INDEX('PROJETO PERFURAÇÃO'!$AH:$AH,MATCH(MEDIÇÃO!D688,'PROJETO PERFURAÇÃO'!$B:$B,0)),"")</f>
        <v/>
      </c>
      <c r="F688" s="8" t="str">
        <f>IFERROR(INDEX('PROJETO PERFURAÇÃO'!$AN:$AN,MATCH(MEDIÇÃO!D688,'PROJETO PERFURAÇÃO'!$B:$B,0)),"")</f>
        <v/>
      </c>
      <c r="G688" s="3"/>
      <c r="H688" s="3"/>
      <c r="I688" s="3" t="str">
        <f>IFERROR(ROUND(INDEX('PROJETO PERFURAÇÃO'!$AB:$AB,MATCH(MEDIÇÃO!K688,'PROJETO PERFURAÇÃO'!$B:$B,0)),1)&amp;"''","")</f>
        <v/>
      </c>
      <c r="J688" s="3" t="str">
        <f>IFERROR(IF(INDEX('PROJETO PERFURAÇÃO'!$P:$P,MATCH(MEDIÇÃO!K688,'PROJETO PERFURAÇÃO'!$B:$B,0))="Production","P",IF(INDEX('PROJETO PERFURAÇÃO'!$P:$P,MATCH(MEDIÇÃO!K688,'PROJETO PERFURAÇÃO'!$B:$B,0))="Buffer","B",IF(INDEX('PROJETO PERFURAÇÃO'!$P:$P,MATCH(MEDIÇÃO!K688,'PROJETO PERFURAÇÃO'!$B:$B,0))="Pre-Splitting","S"))),"")</f>
        <v/>
      </c>
      <c r="K688" s="14">
        <f>K687+1</f>
        <v>1543</v>
      </c>
      <c r="L688" s="4" t="str">
        <f>IFERROR(INDEX('LEV R&amp;D'!$D:$D,MATCH(MEDIÇÃO!K688,'LEV R&amp;D'!$A:$A,0))-INDEX('PROJETO PERFURAÇÃO'!$AH:$AH,MATCH(MEDIÇÃO!K688,'PROJETO PERFURAÇÃO'!$B:$B,0)),"")</f>
        <v/>
      </c>
      <c r="M688" s="8" t="str">
        <f>IFERROR(INDEX('PROJETO PERFURAÇÃO'!$AN:$AN,MATCH(MEDIÇÃO!K688,'PROJETO PERFURAÇÃO'!$B:$B,0)),"")</f>
        <v/>
      </c>
      <c r="N688" s="3"/>
      <c r="O688" s="3"/>
      <c r="P688" s="3" t="str">
        <f>IFERROR(ROUND(INDEX('PROJETO PERFURAÇÃO'!$AB:$AB,MATCH(MEDIÇÃO!R688,'PROJETO PERFURAÇÃO'!$B:$B,0)),1)&amp;"''","")</f>
        <v/>
      </c>
      <c r="Q688" s="3" t="str">
        <f>IFERROR(IF(INDEX('PROJETO PERFURAÇÃO'!$P:$P,MATCH(MEDIÇÃO!R688,'PROJETO PERFURAÇÃO'!$B:$B,0))="Production","P",IF(INDEX('PROJETO PERFURAÇÃO'!$P:$P,MATCH(MEDIÇÃO!R688,'PROJETO PERFURAÇÃO'!$B:$B,0))="Buffer","B",IF(INDEX('PROJETO PERFURAÇÃO'!$P:$P,MATCH(MEDIÇÃO!R688,'PROJETO PERFURAÇÃO'!$B:$B,0))="Pre-Splitting","S"))),"")</f>
        <v/>
      </c>
      <c r="R688" s="14">
        <f>R687+1</f>
        <v>1566</v>
      </c>
      <c r="S688" s="4" t="str">
        <f>IFERROR(INDEX('LEV R&amp;D'!$D:$D,MATCH(MEDIÇÃO!R688,'LEV R&amp;D'!$A:$A,0))-INDEX('PROJETO PERFURAÇÃO'!$AH:$AH,MATCH(MEDIÇÃO!R688,'PROJETO PERFURAÇÃO'!$B:$B,0)),"")</f>
        <v/>
      </c>
      <c r="T688" s="8" t="str">
        <f>IFERROR(INDEX('PROJETO PERFURAÇÃO'!$AN:$AN,MATCH(MEDIÇÃO!R688,'PROJETO PERFURAÇÃO'!$B:$B,0)),"")</f>
        <v/>
      </c>
      <c r="U688" s="3"/>
      <c r="V688" s="3"/>
    </row>
    <row r="689" spans="2:22" ht="45" customHeight="1">
      <c r="B689" s="3" t="str">
        <f>IFERROR(ROUND(INDEX('PROJETO PERFURAÇÃO'!$AB:$AB,MATCH(MEDIÇÃO!D689,'PROJETO PERFURAÇÃO'!$B:$B,0)),1)&amp;"''","")</f>
        <v/>
      </c>
      <c r="C689" s="3" t="str">
        <f>IFERROR(IF(INDEX('PROJETO PERFURAÇÃO'!$P:$P,MATCH(MEDIÇÃO!D689,'PROJETO PERFURAÇÃO'!$B:$B,0))="Production","P",IF(INDEX('PROJETO PERFURAÇÃO'!$P:$P,MATCH(MEDIÇÃO!D689,'PROJETO PERFURAÇÃO'!$B:$B,0))="Buffer","B",IF(INDEX('PROJETO PERFURAÇÃO'!$P:$P,MATCH(MEDIÇÃO!D689,'PROJETO PERFURAÇÃO'!$B:$B,0))="Pre-Splitting","S"))),"")</f>
        <v/>
      </c>
      <c r="D689" s="14">
        <f t="shared" ref="D689:D709" si="66">D688+1</f>
        <v>1521</v>
      </c>
      <c r="E689" s="4" t="str">
        <f>IFERROR(INDEX('LEV R&amp;D'!$D:$D,MATCH(MEDIÇÃO!D689,'LEV R&amp;D'!$A:$A,0))-INDEX('PROJETO PERFURAÇÃO'!$AH:$AH,MATCH(MEDIÇÃO!D689,'PROJETO PERFURAÇÃO'!$B:$B,0)),"")</f>
        <v/>
      </c>
      <c r="F689" s="8" t="str">
        <f>IFERROR(INDEX('PROJETO PERFURAÇÃO'!$AN:$AN,MATCH(MEDIÇÃO!D689,'PROJETO PERFURAÇÃO'!$B:$B,0)),"")</f>
        <v/>
      </c>
      <c r="G689" s="3"/>
      <c r="H689" s="3"/>
      <c r="I689" s="3" t="str">
        <f>IFERROR(ROUND(INDEX('PROJETO PERFURAÇÃO'!$AB:$AB,MATCH(MEDIÇÃO!K689,'PROJETO PERFURAÇÃO'!$B:$B,0)),1)&amp;"''","")</f>
        <v/>
      </c>
      <c r="J689" s="3" t="str">
        <f>IFERROR(IF(INDEX('PROJETO PERFURAÇÃO'!$P:$P,MATCH(MEDIÇÃO!K689,'PROJETO PERFURAÇÃO'!$B:$B,0))="Production","P",IF(INDEX('PROJETO PERFURAÇÃO'!$P:$P,MATCH(MEDIÇÃO!K689,'PROJETO PERFURAÇÃO'!$B:$B,0))="Buffer","B",IF(INDEX('PROJETO PERFURAÇÃO'!$P:$P,MATCH(MEDIÇÃO!K689,'PROJETO PERFURAÇÃO'!$B:$B,0))="Pre-Splitting","S"))),"")</f>
        <v/>
      </c>
      <c r="K689" s="14">
        <f t="shared" ref="K689:K708" si="67">K688+1</f>
        <v>1544</v>
      </c>
      <c r="L689" s="4" t="str">
        <f>IFERROR(INDEX('LEV R&amp;D'!$D:$D,MATCH(MEDIÇÃO!K689,'LEV R&amp;D'!$A:$A,0))-INDEX('PROJETO PERFURAÇÃO'!$AH:$AH,MATCH(MEDIÇÃO!K689,'PROJETO PERFURAÇÃO'!$B:$B,0)),"")</f>
        <v/>
      </c>
      <c r="M689" s="8" t="str">
        <f>IFERROR(INDEX('PROJETO PERFURAÇÃO'!$AN:$AN,MATCH(MEDIÇÃO!K689,'PROJETO PERFURAÇÃO'!$B:$B,0)),"")</f>
        <v/>
      </c>
      <c r="N689" s="3"/>
      <c r="O689" s="3"/>
      <c r="P689" s="3" t="str">
        <f>IFERROR(ROUND(INDEX('PROJETO PERFURAÇÃO'!$AB:$AB,MATCH(MEDIÇÃO!R689,'PROJETO PERFURAÇÃO'!$B:$B,0)),1)&amp;"''","")</f>
        <v/>
      </c>
      <c r="Q689" s="3" t="str">
        <f>IFERROR(IF(INDEX('PROJETO PERFURAÇÃO'!$P:$P,MATCH(MEDIÇÃO!R689,'PROJETO PERFURAÇÃO'!$B:$B,0))="Production","P",IF(INDEX('PROJETO PERFURAÇÃO'!$P:$P,MATCH(MEDIÇÃO!R689,'PROJETO PERFURAÇÃO'!$B:$B,0))="Buffer","B",IF(INDEX('PROJETO PERFURAÇÃO'!$P:$P,MATCH(MEDIÇÃO!R689,'PROJETO PERFURAÇÃO'!$B:$B,0))="Pre-Splitting","S"))),"")</f>
        <v/>
      </c>
      <c r="R689" s="14">
        <f t="shared" ref="R689:R708" si="68">R688+1</f>
        <v>1567</v>
      </c>
      <c r="S689" s="4" t="str">
        <f>IFERROR(INDEX('LEV R&amp;D'!$D:$D,MATCH(MEDIÇÃO!R689,'LEV R&amp;D'!$A:$A,0))-INDEX('PROJETO PERFURAÇÃO'!$AH:$AH,MATCH(MEDIÇÃO!R689,'PROJETO PERFURAÇÃO'!$B:$B,0)),"")</f>
        <v/>
      </c>
      <c r="T689" s="8" t="str">
        <f>IFERROR(INDEX('PROJETO PERFURAÇÃO'!$AN:$AN,MATCH(MEDIÇÃO!R689,'PROJETO PERFURAÇÃO'!$B:$B,0)),"")</f>
        <v/>
      </c>
      <c r="U689" s="3"/>
      <c r="V689" s="3"/>
    </row>
    <row r="690" spans="2:22" ht="45" customHeight="1">
      <c r="B690" s="3" t="str">
        <f>IFERROR(ROUND(INDEX('PROJETO PERFURAÇÃO'!$AB:$AB,MATCH(MEDIÇÃO!D690,'PROJETO PERFURAÇÃO'!$B:$B,0)),1)&amp;"''","")</f>
        <v/>
      </c>
      <c r="C690" s="3" t="str">
        <f>IFERROR(IF(INDEX('PROJETO PERFURAÇÃO'!$P:$P,MATCH(MEDIÇÃO!D690,'PROJETO PERFURAÇÃO'!$B:$B,0))="Production","P",IF(INDEX('PROJETO PERFURAÇÃO'!$P:$P,MATCH(MEDIÇÃO!D690,'PROJETO PERFURAÇÃO'!$B:$B,0))="Buffer","B",IF(INDEX('PROJETO PERFURAÇÃO'!$P:$P,MATCH(MEDIÇÃO!D690,'PROJETO PERFURAÇÃO'!$B:$B,0))="Pre-Splitting","S"))),"")</f>
        <v/>
      </c>
      <c r="D690" s="14">
        <f t="shared" si="66"/>
        <v>1522</v>
      </c>
      <c r="E690" s="4" t="str">
        <f>IFERROR(INDEX('LEV R&amp;D'!$D:$D,MATCH(MEDIÇÃO!D690,'LEV R&amp;D'!$A:$A,0))-INDEX('PROJETO PERFURAÇÃO'!$AH:$AH,MATCH(MEDIÇÃO!D690,'PROJETO PERFURAÇÃO'!$B:$B,0)),"")</f>
        <v/>
      </c>
      <c r="F690" s="8" t="str">
        <f>IFERROR(INDEX('PROJETO PERFURAÇÃO'!$AN:$AN,MATCH(MEDIÇÃO!D690,'PROJETO PERFURAÇÃO'!$B:$B,0)),"")</f>
        <v/>
      </c>
      <c r="G690" s="3"/>
      <c r="H690" s="3"/>
      <c r="I690" s="3" t="str">
        <f>IFERROR(ROUND(INDEX('PROJETO PERFURAÇÃO'!$AB:$AB,MATCH(MEDIÇÃO!K690,'PROJETO PERFURAÇÃO'!$B:$B,0)),1)&amp;"''","")</f>
        <v/>
      </c>
      <c r="J690" s="3" t="str">
        <f>IFERROR(IF(INDEX('PROJETO PERFURAÇÃO'!$P:$P,MATCH(MEDIÇÃO!K690,'PROJETO PERFURAÇÃO'!$B:$B,0))="Production","P",IF(INDEX('PROJETO PERFURAÇÃO'!$P:$P,MATCH(MEDIÇÃO!K690,'PROJETO PERFURAÇÃO'!$B:$B,0))="Buffer","B",IF(INDEX('PROJETO PERFURAÇÃO'!$P:$P,MATCH(MEDIÇÃO!K690,'PROJETO PERFURAÇÃO'!$B:$B,0))="Pre-Splitting","S"))),"")</f>
        <v/>
      </c>
      <c r="K690" s="14">
        <f t="shared" si="67"/>
        <v>1545</v>
      </c>
      <c r="L690" s="4" t="str">
        <f>IFERROR(INDEX('LEV R&amp;D'!$D:$D,MATCH(MEDIÇÃO!K690,'LEV R&amp;D'!$A:$A,0))-INDEX('PROJETO PERFURAÇÃO'!$AH:$AH,MATCH(MEDIÇÃO!K690,'PROJETO PERFURAÇÃO'!$B:$B,0)),"")</f>
        <v/>
      </c>
      <c r="M690" s="8" t="str">
        <f>IFERROR(INDEX('PROJETO PERFURAÇÃO'!$AN:$AN,MATCH(MEDIÇÃO!K690,'PROJETO PERFURAÇÃO'!$B:$B,0)),"")</f>
        <v/>
      </c>
      <c r="N690" s="3"/>
      <c r="O690" s="3"/>
      <c r="P690" s="3" t="str">
        <f>IFERROR(ROUND(INDEX('PROJETO PERFURAÇÃO'!$AB:$AB,MATCH(MEDIÇÃO!R690,'PROJETO PERFURAÇÃO'!$B:$B,0)),1)&amp;"''","")</f>
        <v/>
      </c>
      <c r="Q690" s="3" t="str">
        <f>IFERROR(IF(INDEX('PROJETO PERFURAÇÃO'!$P:$P,MATCH(MEDIÇÃO!R690,'PROJETO PERFURAÇÃO'!$B:$B,0))="Production","P",IF(INDEX('PROJETO PERFURAÇÃO'!$P:$P,MATCH(MEDIÇÃO!R690,'PROJETO PERFURAÇÃO'!$B:$B,0))="Buffer","B",IF(INDEX('PROJETO PERFURAÇÃO'!$P:$P,MATCH(MEDIÇÃO!R690,'PROJETO PERFURAÇÃO'!$B:$B,0))="Pre-Splitting","S"))),"")</f>
        <v/>
      </c>
      <c r="R690" s="14">
        <f t="shared" si="68"/>
        <v>1568</v>
      </c>
      <c r="S690" s="4" t="str">
        <f>IFERROR(INDEX('LEV R&amp;D'!$D:$D,MATCH(MEDIÇÃO!R690,'LEV R&amp;D'!$A:$A,0))-INDEX('PROJETO PERFURAÇÃO'!$AH:$AH,MATCH(MEDIÇÃO!R690,'PROJETO PERFURAÇÃO'!$B:$B,0)),"")</f>
        <v/>
      </c>
      <c r="T690" s="8" t="str">
        <f>IFERROR(INDEX('PROJETO PERFURAÇÃO'!$AN:$AN,MATCH(MEDIÇÃO!R690,'PROJETO PERFURAÇÃO'!$B:$B,0)),"")</f>
        <v/>
      </c>
      <c r="U690" s="3"/>
      <c r="V690" s="3"/>
    </row>
    <row r="691" spans="2:22" ht="45" customHeight="1">
      <c r="B691" s="3" t="str">
        <f>IFERROR(ROUND(INDEX('PROJETO PERFURAÇÃO'!$AB:$AB,MATCH(MEDIÇÃO!D691,'PROJETO PERFURAÇÃO'!$B:$B,0)),1)&amp;"''","")</f>
        <v/>
      </c>
      <c r="C691" s="3" t="str">
        <f>IFERROR(IF(INDEX('PROJETO PERFURAÇÃO'!$P:$P,MATCH(MEDIÇÃO!D691,'PROJETO PERFURAÇÃO'!$B:$B,0))="Production","P",IF(INDEX('PROJETO PERFURAÇÃO'!$P:$P,MATCH(MEDIÇÃO!D691,'PROJETO PERFURAÇÃO'!$B:$B,0))="Buffer","B",IF(INDEX('PROJETO PERFURAÇÃO'!$P:$P,MATCH(MEDIÇÃO!D691,'PROJETO PERFURAÇÃO'!$B:$B,0))="Pre-Splitting","S"))),"")</f>
        <v/>
      </c>
      <c r="D691" s="14">
        <f t="shared" si="66"/>
        <v>1523</v>
      </c>
      <c r="E691" s="4" t="str">
        <f>IFERROR(INDEX('LEV R&amp;D'!$D:$D,MATCH(MEDIÇÃO!D691,'LEV R&amp;D'!$A:$A,0))-INDEX('PROJETO PERFURAÇÃO'!$AH:$AH,MATCH(MEDIÇÃO!D691,'PROJETO PERFURAÇÃO'!$B:$B,0)),"")</f>
        <v/>
      </c>
      <c r="F691" s="8" t="str">
        <f>IFERROR(INDEX('PROJETO PERFURAÇÃO'!$AN:$AN,MATCH(MEDIÇÃO!D691,'PROJETO PERFURAÇÃO'!$B:$B,0)),"")</f>
        <v/>
      </c>
      <c r="G691" s="3"/>
      <c r="H691" s="3"/>
      <c r="I691" s="3" t="str">
        <f>IFERROR(ROUND(INDEX('PROJETO PERFURAÇÃO'!$AB:$AB,MATCH(MEDIÇÃO!K691,'PROJETO PERFURAÇÃO'!$B:$B,0)),1)&amp;"''","")</f>
        <v/>
      </c>
      <c r="J691" s="3" t="str">
        <f>IFERROR(IF(INDEX('PROJETO PERFURAÇÃO'!$P:$P,MATCH(MEDIÇÃO!K691,'PROJETO PERFURAÇÃO'!$B:$B,0))="Production","P",IF(INDEX('PROJETO PERFURAÇÃO'!$P:$P,MATCH(MEDIÇÃO!K691,'PROJETO PERFURAÇÃO'!$B:$B,0))="Buffer","B",IF(INDEX('PROJETO PERFURAÇÃO'!$P:$P,MATCH(MEDIÇÃO!K691,'PROJETO PERFURAÇÃO'!$B:$B,0))="Pre-Splitting","S"))),"")</f>
        <v/>
      </c>
      <c r="K691" s="14">
        <f t="shared" si="67"/>
        <v>1546</v>
      </c>
      <c r="L691" s="4" t="str">
        <f>IFERROR(INDEX('LEV R&amp;D'!$D:$D,MATCH(MEDIÇÃO!K691,'LEV R&amp;D'!$A:$A,0))-INDEX('PROJETO PERFURAÇÃO'!$AH:$AH,MATCH(MEDIÇÃO!K691,'PROJETO PERFURAÇÃO'!$B:$B,0)),"")</f>
        <v/>
      </c>
      <c r="M691" s="8" t="str">
        <f>IFERROR(INDEX('PROJETO PERFURAÇÃO'!$AN:$AN,MATCH(MEDIÇÃO!K691,'PROJETO PERFURAÇÃO'!$B:$B,0)),"")</f>
        <v/>
      </c>
      <c r="N691" s="3"/>
      <c r="O691" s="3"/>
      <c r="P691" s="3" t="str">
        <f>IFERROR(ROUND(INDEX('PROJETO PERFURAÇÃO'!$AB:$AB,MATCH(MEDIÇÃO!R691,'PROJETO PERFURAÇÃO'!$B:$B,0)),1)&amp;"''","")</f>
        <v/>
      </c>
      <c r="Q691" s="3" t="str">
        <f>IFERROR(IF(INDEX('PROJETO PERFURAÇÃO'!$P:$P,MATCH(MEDIÇÃO!R691,'PROJETO PERFURAÇÃO'!$B:$B,0))="Production","P",IF(INDEX('PROJETO PERFURAÇÃO'!$P:$P,MATCH(MEDIÇÃO!R691,'PROJETO PERFURAÇÃO'!$B:$B,0))="Buffer","B",IF(INDEX('PROJETO PERFURAÇÃO'!$P:$P,MATCH(MEDIÇÃO!R691,'PROJETO PERFURAÇÃO'!$B:$B,0))="Pre-Splitting","S"))),"")</f>
        <v/>
      </c>
      <c r="R691" s="14">
        <f t="shared" si="68"/>
        <v>1569</v>
      </c>
      <c r="S691" s="4" t="str">
        <f>IFERROR(INDEX('LEV R&amp;D'!$D:$D,MATCH(MEDIÇÃO!R691,'LEV R&amp;D'!$A:$A,0))-INDEX('PROJETO PERFURAÇÃO'!$AH:$AH,MATCH(MEDIÇÃO!R691,'PROJETO PERFURAÇÃO'!$B:$B,0)),"")</f>
        <v/>
      </c>
      <c r="T691" s="8" t="str">
        <f>IFERROR(INDEX('PROJETO PERFURAÇÃO'!$AN:$AN,MATCH(MEDIÇÃO!R691,'PROJETO PERFURAÇÃO'!$B:$B,0)),"")</f>
        <v/>
      </c>
      <c r="U691" s="3"/>
      <c r="V691" s="3"/>
    </row>
    <row r="692" spans="2:22" ht="45" customHeight="1">
      <c r="B692" s="3" t="str">
        <f>IFERROR(ROUND(INDEX('PROJETO PERFURAÇÃO'!$AB:$AB,MATCH(MEDIÇÃO!D692,'PROJETO PERFURAÇÃO'!$B:$B,0)),1)&amp;"''","")</f>
        <v/>
      </c>
      <c r="C692" s="3" t="str">
        <f>IFERROR(IF(INDEX('PROJETO PERFURAÇÃO'!$P:$P,MATCH(MEDIÇÃO!D692,'PROJETO PERFURAÇÃO'!$B:$B,0))="Production","P",IF(INDEX('PROJETO PERFURAÇÃO'!$P:$P,MATCH(MEDIÇÃO!D692,'PROJETO PERFURAÇÃO'!$B:$B,0))="Buffer","B",IF(INDEX('PROJETO PERFURAÇÃO'!$P:$P,MATCH(MEDIÇÃO!D692,'PROJETO PERFURAÇÃO'!$B:$B,0))="Pre-Splitting","S"))),"")</f>
        <v/>
      </c>
      <c r="D692" s="14">
        <f t="shared" si="66"/>
        <v>1524</v>
      </c>
      <c r="E692" s="4" t="str">
        <f>IFERROR(INDEX('LEV R&amp;D'!$D:$D,MATCH(MEDIÇÃO!D692,'LEV R&amp;D'!$A:$A,0))-INDEX('PROJETO PERFURAÇÃO'!$AH:$AH,MATCH(MEDIÇÃO!D692,'PROJETO PERFURAÇÃO'!$B:$B,0)),"")</f>
        <v/>
      </c>
      <c r="F692" s="8" t="str">
        <f>IFERROR(INDEX('PROJETO PERFURAÇÃO'!$AN:$AN,MATCH(MEDIÇÃO!D692,'PROJETO PERFURAÇÃO'!$B:$B,0)),"")</f>
        <v/>
      </c>
      <c r="G692" s="3"/>
      <c r="H692" s="3"/>
      <c r="I692" s="3" t="str">
        <f>IFERROR(ROUND(INDEX('PROJETO PERFURAÇÃO'!$AB:$AB,MATCH(MEDIÇÃO!K692,'PROJETO PERFURAÇÃO'!$B:$B,0)),1)&amp;"''","")</f>
        <v/>
      </c>
      <c r="J692" s="3" t="str">
        <f>IFERROR(IF(INDEX('PROJETO PERFURAÇÃO'!$P:$P,MATCH(MEDIÇÃO!K692,'PROJETO PERFURAÇÃO'!$B:$B,0))="Production","P",IF(INDEX('PROJETO PERFURAÇÃO'!$P:$P,MATCH(MEDIÇÃO!K692,'PROJETO PERFURAÇÃO'!$B:$B,0))="Buffer","B",IF(INDEX('PROJETO PERFURAÇÃO'!$P:$P,MATCH(MEDIÇÃO!K692,'PROJETO PERFURAÇÃO'!$B:$B,0))="Pre-Splitting","S"))),"")</f>
        <v/>
      </c>
      <c r="K692" s="14">
        <f t="shared" si="67"/>
        <v>1547</v>
      </c>
      <c r="L692" s="4" t="str">
        <f>IFERROR(INDEX('LEV R&amp;D'!$D:$D,MATCH(MEDIÇÃO!K692,'LEV R&amp;D'!$A:$A,0))-INDEX('PROJETO PERFURAÇÃO'!$AH:$AH,MATCH(MEDIÇÃO!K692,'PROJETO PERFURAÇÃO'!$B:$B,0)),"")</f>
        <v/>
      </c>
      <c r="M692" s="8" t="str">
        <f>IFERROR(INDEX('PROJETO PERFURAÇÃO'!$AN:$AN,MATCH(MEDIÇÃO!K692,'PROJETO PERFURAÇÃO'!$B:$B,0)),"")</f>
        <v/>
      </c>
      <c r="N692" s="3"/>
      <c r="O692" s="3"/>
      <c r="P692" s="3" t="str">
        <f>IFERROR(ROUND(INDEX('PROJETO PERFURAÇÃO'!$AB:$AB,MATCH(MEDIÇÃO!R692,'PROJETO PERFURAÇÃO'!$B:$B,0)),1)&amp;"''","")</f>
        <v/>
      </c>
      <c r="Q692" s="3" t="str">
        <f>IFERROR(IF(INDEX('PROJETO PERFURAÇÃO'!$P:$P,MATCH(MEDIÇÃO!R692,'PROJETO PERFURAÇÃO'!$B:$B,0))="Production","P",IF(INDEX('PROJETO PERFURAÇÃO'!$P:$P,MATCH(MEDIÇÃO!R692,'PROJETO PERFURAÇÃO'!$B:$B,0))="Buffer","B",IF(INDEX('PROJETO PERFURAÇÃO'!$P:$P,MATCH(MEDIÇÃO!R692,'PROJETO PERFURAÇÃO'!$B:$B,0))="Pre-Splitting","S"))),"")</f>
        <v/>
      </c>
      <c r="R692" s="14">
        <f t="shared" si="68"/>
        <v>1570</v>
      </c>
      <c r="S692" s="4" t="str">
        <f>IFERROR(INDEX('LEV R&amp;D'!$D:$D,MATCH(MEDIÇÃO!R692,'LEV R&amp;D'!$A:$A,0))-INDEX('PROJETO PERFURAÇÃO'!$AH:$AH,MATCH(MEDIÇÃO!R692,'PROJETO PERFURAÇÃO'!$B:$B,0)),"")</f>
        <v/>
      </c>
      <c r="T692" s="8" t="str">
        <f>IFERROR(INDEX('PROJETO PERFURAÇÃO'!$AN:$AN,MATCH(MEDIÇÃO!R692,'PROJETO PERFURAÇÃO'!$B:$B,0)),"")</f>
        <v/>
      </c>
      <c r="U692" s="3"/>
      <c r="V692" s="3"/>
    </row>
    <row r="693" spans="2:22" ht="45" customHeight="1">
      <c r="B693" s="3" t="str">
        <f>IFERROR(ROUND(INDEX('PROJETO PERFURAÇÃO'!$AB:$AB,MATCH(MEDIÇÃO!D693,'PROJETO PERFURAÇÃO'!$B:$B,0)),1)&amp;"''","")</f>
        <v/>
      </c>
      <c r="C693" s="3" t="str">
        <f>IFERROR(IF(INDEX('PROJETO PERFURAÇÃO'!$P:$P,MATCH(MEDIÇÃO!D693,'PROJETO PERFURAÇÃO'!$B:$B,0))="Production","P",IF(INDEX('PROJETO PERFURAÇÃO'!$P:$P,MATCH(MEDIÇÃO!D693,'PROJETO PERFURAÇÃO'!$B:$B,0))="Buffer","B",IF(INDEX('PROJETO PERFURAÇÃO'!$P:$P,MATCH(MEDIÇÃO!D693,'PROJETO PERFURAÇÃO'!$B:$B,0))="Pre-Splitting","S"))),"")</f>
        <v/>
      </c>
      <c r="D693" s="14">
        <f t="shared" si="66"/>
        <v>1525</v>
      </c>
      <c r="E693" s="4" t="str">
        <f>IFERROR(INDEX('LEV R&amp;D'!$D:$D,MATCH(MEDIÇÃO!D693,'LEV R&amp;D'!$A:$A,0))-INDEX('PROJETO PERFURAÇÃO'!$AH:$AH,MATCH(MEDIÇÃO!D693,'PROJETO PERFURAÇÃO'!$B:$B,0)),"")</f>
        <v/>
      </c>
      <c r="F693" s="8" t="str">
        <f>IFERROR(INDEX('PROJETO PERFURAÇÃO'!$AN:$AN,MATCH(MEDIÇÃO!D693,'PROJETO PERFURAÇÃO'!$B:$B,0)),"")</f>
        <v/>
      </c>
      <c r="G693" s="3"/>
      <c r="H693" s="3"/>
      <c r="I693" s="3" t="str">
        <f>IFERROR(ROUND(INDEX('PROJETO PERFURAÇÃO'!$AB:$AB,MATCH(MEDIÇÃO!K693,'PROJETO PERFURAÇÃO'!$B:$B,0)),1)&amp;"''","")</f>
        <v/>
      </c>
      <c r="J693" s="3" t="str">
        <f>IFERROR(IF(INDEX('PROJETO PERFURAÇÃO'!$P:$P,MATCH(MEDIÇÃO!K693,'PROJETO PERFURAÇÃO'!$B:$B,0))="Production","P",IF(INDEX('PROJETO PERFURAÇÃO'!$P:$P,MATCH(MEDIÇÃO!K693,'PROJETO PERFURAÇÃO'!$B:$B,0))="Buffer","B",IF(INDEX('PROJETO PERFURAÇÃO'!$P:$P,MATCH(MEDIÇÃO!K693,'PROJETO PERFURAÇÃO'!$B:$B,0))="Pre-Splitting","S"))),"")</f>
        <v/>
      </c>
      <c r="K693" s="14">
        <f t="shared" si="67"/>
        <v>1548</v>
      </c>
      <c r="L693" s="4" t="str">
        <f>IFERROR(INDEX('LEV R&amp;D'!$D:$D,MATCH(MEDIÇÃO!K693,'LEV R&amp;D'!$A:$A,0))-INDEX('PROJETO PERFURAÇÃO'!$AH:$AH,MATCH(MEDIÇÃO!K693,'PROJETO PERFURAÇÃO'!$B:$B,0)),"")</f>
        <v/>
      </c>
      <c r="M693" s="8" t="str">
        <f>IFERROR(INDEX('PROJETO PERFURAÇÃO'!$AN:$AN,MATCH(MEDIÇÃO!K693,'PROJETO PERFURAÇÃO'!$B:$B,0)),"")</f>
        <v/>
      </c>
      <c r="N693" s="3"/>
      <c r="O693" s="3"/>
      <c r="P693" s="3" t="str">
        <f>IFERROR(ROUND(INDEX('PROJETO PERFURAÇÃO'!$AB:$AB,MATCH(MEDIÇÃO!R693,'PROJETO PERFURAÇÃO'!$B:$B,0)),1)&amp;"''","")</f>
        <v/>
      </c>
      <c r="Q693" s="3" t="str">
        <f>IFERROR(IF(INDEX('PROJETO PERFURAÇÃO'!$P:$P,MATCH(MEDIÇÃO!R693,'PROJETO PERFURAÇÃO'!$B:$B,0))="Production","P",IF(INDEX('PROJETO PERFURAÇÃO'!$P:$P,MATCH(MEDIÇÃO!R693,'PROJETO PERFURAÇÃO'!$B:$B,0))="Buffer","B",IF(INDEX('PROJETO PERFURAÇÃO'!$P:$P,MATCH(MEDIÇÃO!R693,'PROJETO PERFURAÇÃO'!$B:$B,0))="Pre-Splitting","S"))),"")</f>
        <v/>
      </c>
      <c r="R693" s="14">
        <f t="shared" si="68"/>
        <v>1571</v>
      </c>
      <c r="S693" s="4" t="str">
        <f>IFERROR(INDEX('LEV R&amp;D'!$D:$D,MATCH(MEDIÇÃO!R693,'LEV R&amp;D'!$A:$A,0))-INDEX('PROJETO PERFURAÇÃO'!$AH:$AH,MATCH(MEDIÇÃO!R693,'PROJETO PERFURAÇÃO'!$B:$B,0)),"")</f>
        <v/>
      </c>
      <c r="T693" s="8" t="str">
        <f>IFERROR(INDEX('PROJETO PERFURAÇÃO'!$AN:$AN,MATCH(MEDIÇÃO!R693,'PROJETO PERFURAÇÃO'!$B:$B,0)),"")</f>
        <v/>
      </c>
      <c r="U693" s="3"/>
      <c r="V693" s="3"/>
    </row>
    <row r="694" spans="2:22" ht="45" customHeight="1">
      <c r="B694" s="3" t="str">
        <f>IFERROR(ROUND(INDEX('PROJETO PERFURAÇÃO'!$AB:$AB,MATCH(MEDIÇÃO!D694,'PROJETO PERFURAÇÃO'!$B:$B,0)),1)&amp;"''","")</f>
        <v/>
      </c>
      <c r="C694" s="3" t="str">
        <f>IFERROR(IF(INDEX('PROJETO PERFURAÇÃO'!$P:$P,MATCH(MEDIÇÃO!D694,'PROJETO PERFURAÇÃO'!$B:$B,0))="Production","P",IF(INDEX('PROJETO PERFURAÇÃO'!$P:$P,MATCH(MEDIÇÃO!D694,'PROJETO PERFURAÇÃO'!$B:$B,0))="Buffer","B",IF(INDEX('PROJETO PERFURAÇÃO'!$P:$P,MATCH(MEDIÇÃO!D694,'PROJETO PERFURAÇÃO'!$B:$B,0))="Pre-Splitting","S"))),"")</f>
        <v/>
      </c>
      <c r="D694" s="14">
        <f t="shared" si="66"/>
        <v>1526</v>
      </c>
      <c r="E694" s="4" t="str">
        <f>IFERROR(INDEX('LEV R&amp;D'!$D:$D,MATCH(MEDIÇÃO!D694,'LEV R&amp;D'!$A:$A,0))-INDEX('PROJETO PERFURAÇÃO'!$AH:$AH,MATCH(MEDIÇÃO!D694,'PROJETO PERFURAÇÃO'!$B:$B,0)),"")</f>
        <v/>
      </c>
      <c r="F694" s="8" t="str">
        <f>IFERROR(INDEX('PROJETO PERFURAÇÃO'!$AN:$AN,MATCH(MEDIÇÃO!D694,'PROJETO PERFURAÇÃO'!$B:$B,0)),"")</f>
        <v/>
      </c>
      <c r="G694" s="3"/>
      <c r="H694" s="3"/>
      <c r="I694" s="3" t="str">
        <f>IFERROR(ROUND(INDEX('PROJETO PERFURAÇÃO'!$AB:$AB,MATCH(MEDIÇÃO!K694,'PROJETO PERFURAÇÃO'!$B:$B,0)),1)&amp;"''","")</f>
        <v/>
      </c>
      <c r="J694" s="3" t="str">
        <f>IFERROR(IF(INDEX('PROJETO PERFURAÇÃO'!$P:$P,MATCH(MEDIÇÃO!K694,'PROJETO PERFURAÇÃO'!$B:$B,0))="Production","P",IF(INDEX('PROJETO PERFURAÇÃO'!$P:$P,MATCH(MEDIÇÃO!K694,'PROJETO PERFURAÇÃO'!$B:$B,0))="Buffer","B",IF(INDEX('PROJETO PERFURAÇÃO'!$P:$P,MATCH(MEDIÇÃO!K694,'PROJETO PERFURAÇÃO'!$B:$B,0))="Pre-Splitting","S"))),"")</f>
        <v/>
      </c>
      <c r="K694" s="14">
        <f t="shared" si="67"/>
        <v>1549</v>
      </c>
      <c r="L694" s="4" t="str">
        <f>IFERROR(INDEX('LEV R&amp;D'!$D:$D,MATCH(MEDIÇÃO!K694,'LEV R&amp;D'!$A:$A,0))-INDEX('PROJETO PERFURAÇÃO'!$AH:$AH,MATCH(MEDIÇÃO!K694,'PROJETO PERFURAÇÃO'!$B:$B,0)),"")</f>
        <v/>
      </c>
      <c r="M694" s="8" t="str">
        <f>IFERROR(INDEX('PROJETO PERFURAÇÃO'!$AN:$AN,MATCH(MEDIÇÃO!K694,'PROJETO PERFURAÇÃO'!$B:$B,0)),"")</f>
        <v/>
      </c>
      <c r="N694" s="3"/>
      <c r="O694" s="3"/>
      <c r="P694" s="3" t="str">
        <f>IFERROR(ROUND(INDEX('PROJETO PERFURAÇÃO'!$AB:$AB,MATCH(MEDIÇÃO!R694,'PROJETO PERFURAÇÃO'!$B:$B,0)),1)&amp;"''","")</f>
        <v/>
      </c>
      <c r="Q694" s="3" t="str">
        <f>IFERROR(IF(INDEX('PROJETO PERFURAÇÃO'!$P:$P,MATCH(MEDIÇÃO!R694,'PROJETO PERFURAÇÃO'!$B:$B,0))="Production","P",IF(INDEX('PROJETO PERFURAÇÃO'!$P:$P,MATCH(MEDIÇÃO!R694,'PROJETO PERFURAÇÃO'!$B:$B,0))="Buffer","B",IF(INDEX('PROJETO PERFURAÇÃO'!$P:$P,MATCH(MEDIÇÃO!R694,'PROJETO PERFURAÇÃO'!$B:$B,0))="Pre-Splitting","S"))),"")</f>
        <v/>
      </c>
      <c r="R694" s="14">
        <f t="shared" si="68"/>
        <v>1572</v>
      </c>
      <c r="S694" s="4" t="str">
        <f>IFERROR(INDEX('LEV R&amp;D'!$D:$D,MATCH(MEDIÇÃO!R694,'LEV R&amp;D'!$A:$A,0))-INDEX('PROJETO PERFURAÇÃO'!$AH:$AH,MATCH(MEDIÇÃO!R694,'PROJETO PERFURAÇÃO'!$B:$B,0)),"")</f>
        <v/>
      </c>
      <c r="T694" s="8" t="str">
        <f>IFERROR(INDEX('PROJETO PERFURAÇÃO'!$AN:$AN,MATCH(MEDIÇÃO!R694,'PROJETO PERFURAÇÃO'!$B:$B,0)),"")</f>
        <v/>
      </c>
      <c r="U694" s="3"/>
      <c r="V694" s="3"/>
    </row>
    <row r="695" spans="2:22" ht="45" customHeight="1">
      <c r="B695" s="3" t="str">
        <f>IFERROR(ROUND(INDEX('PROJETO PERFURAÇÃO'!$AB:$AB,MATCH(MEDIÇÃO!D695,'PROJETO PERFURAÇÃO'!$B:$B,0)),1)&amp;"''","")</f>
        <v/>
      </c>
      <c r="C695" s="3" t="str">
        <f>IFERROR(IF(INDEX('PROJETO PERFURAÇÃO'!$P:$P,MATCH(MEDIÇÃO!D695,'PROJETO PERFURAÇÃO'!$B:$B,0))="Production","P",IF(INDEX('PROJETO PERFURAÇÃO'!$P:$P,MATCH(MEDIÇÃO!D695,'PROJETO PERFURAÇÃO'!$B:$B,0))="Buffer","B",IF(INDEX('PROJETO PERFURAÇÃO'!$P:$P,MATCH(MEDIÇÃO!D695,'PROJETO PERFURAÇÃO'!$B:$B,0))="Pre-Splitting","S"))),"")</f>
        <v/>
      </c>
      <c r="D695" s="14">
        <f t="shared" si="66"/>
        <v>1527</v>
      </c>
      <c r="E695" s="4" t="str">
        <f>IFERROR(INDEX('LEV R&amp;D'!$D:$D,MATCH(MEDIÇÃO!D695,'LEV R&amp;D'!$A:$A,0))-INDEX('PROJETO PERFURAÇÃO'!$AH:$AH,MATCH(MEDIÇÃO!D695,'PROJETO PERFURAÇÃO'!$B:$B,0)),"")</f>
        <v/>
      </c>
      <c r="F695" s="8" t="str">
        <f>IFERROR(INDEX('PROJETO PERFURAÇÃO'!$AN:$AN,MATCH(MEDIÇÃO!D695,'PROJETO PERFURAÇÃO'!$B:$B,0)),"")</f>
        <v/>
      </c>
      <c r="G695" s="3"/>
      <c r="H695" s="3"/>
      <c r="I695" s="3" t="str">
        <f>IFERROR(ROUND(INDEX('PROJETO PERFURAÇÃO'!$AB:$AB,MATCH(MEDIÇÃO!K695,'PROJETO PERFURAÇÃO'!$B:$B,0)),1)&amp;"''","")</f>
        <v/>
      </c>
      <c r="J695" s="3" t="str">
        <f>IFERROR(IF(INDEX('PROJETO PERFURAÇÃO'!$P:$P,MATCH(MEDIÇÃO!K695,'PROJETO PERFURAÇÃO'!$B:$B,0))="Production","P",IF(INDEX('PROJETO PERFURAÇÃO'!$P:$P,MATCH(MEDIÇÃO!K695,'PROJETO PERFURAÇÃO'!$B:$B,0))="Buffer","B",IF(INDEX('PROJETO PERFURAÇÃO'!$P:$P,MATCH(MEDIÇÃO!K695,'PROJETO PERFURAÇÃO'!$B:$B,0))="Pre-Splitting","S"))),"")</f>
        <v/>
      </c>
      <c r="K695" s="14">
        <f t="shared" si="67"/>
        <v>1550</v>
      </c>
      <c r="L695" s="4" t="str">
        <f>IFERROR(INDEX('LEV R&amp;D'!$D:$D,MATCH(MEDIÇÃO!K695,'LEV R&amp;D'!$A:$A,0))-INDEX('PROJETO PERFURAÇÃO'!$AH:$AH,MATCH(MEDIÇÃO!K695,'PROJETO PERFURAÇÃO'!$B:$B,0)),"")</f>
        <v/>
      </c>
      <c r="M695" s="8" t="str">
        <f>IFERROR(INDEX('PROJETO PERFURAÇÃO'!$AN:$AN,MATCH(MEDIÇÃO!K695,'PROJETO PERFURAÇÃO'!$B:$B,0)),"")</f>
        <v/>
      </c>
      <c r="N695" s="3"/>
      <c r="O695" s="3"/>
      <c r="P695" s="3" t="str">
        <f>IFERROR(ROUND(INDEX('PROJETO PERFURAÇÃO'!$AB:$AB,MATCH(MEDIÇÃO!R695,'PROJETO PERFURAÇÃO'!$B:$B,0)),1)&amp;"''","")</f>
        <v/>
      </c>
      <c r="Q695" s="3" t="str">
        <f>IFERROR(IF(INDEX('PROJETO PERFURAÇÃO'!$P:$P,MATCH(MEDIÇÃO!R695,'PROJETO PERFURAÇÃO'!$B:$B,0))="Production","P",IF(INDEX('PROJETO PERFURAÇÃO'!$P:$P,MATCH(MEDIÇÃO!R695,'PROJETO PERFURAÇÃO'!$B:$B,0))="Buffer","B",IF(INDEX('PROJETO PERFURAÇÃO'!$P:$P,MATCH(MEDIÇÃO!R695,'PROJETO PERFURAÇÃO'!$B:$B,0))="Pre-Splitting","S"))),"")</f>
        <v/>
      </c>
      <c r="R695" s="14">
        <f t="shared" si="68"/>
        <v>1573</v>
      </c>
      <c r="S695" s="4" t="str">
        <f>IFERROR(INDEX('LEV R&amp;D'!$D:$D,MATCH(MEDIÇÃO!R695,'LEV R&amp;D'!$A:$A,0))-INDEX('PROJETO PERFURAÇÃO'!$AH:$AH,MATCH(MEDIÇÃO!R695,'PROJETO PERFURAÇÃO'!$B:$B,0)),"")</f>
        <v/>
      </c>
      <c r="T695" s="8" t="str">
        <f>IFERROR(INDEX('PROJETO PERFURAÇÃO'!$AN:$AN,MATCH(MEDIÇÃO!R695,'PROJETO PERFURAÇÃO'!$B:$B,0)),"")</f>
        <v/>
      </c>
      <c r="U695" s="3"/>
      <c r="V695" s="3"/>
    </row>
    <row r="696" spans="2:22" ht="45" customHeight="1">
      <c r="B696" s="3" t="str">
        <f>IFERROR(ROUND(INDEX('PROJETO PERFURAÇÃO'!$AB:$AB,MATCH(MEDIÇÃO!D696,'PROJETO PERFURAÇÃO'!$B:$B,0)),1)&amp;"''","")</f>
        <v/>
      </c>
      <c r="C696" s="3" t="str">
        <f>IFERROR(IF(INDEX('PROJETO PERFURAÇÃO'!$P:$P,MATCH(MEDIÇÃO!D696,'PROJETO PERFURAÇÃO'!$B:$B,0))="Production","P",IF(INDEX('PROJETO PERFURAÇÃO'!$P:$P,MATCH(MEDIÇÃO!D696,'PROJETO PERFURAÇÃO'!$B:$B,0))="Buffer","B",IF(INDEX('PROJETO PERFURAÇÃO'!$P:$P,MATCH(MEDIÇÃO!D696,'PROJETO PERFURAÇÃO'!$B:$B,0))="Pre-Splitting","S"))),"")</f>
        <v/>
      </c>
      <c r="D696" s="14">
        <f t="shared" si="66"/>
        <v>1528</v>
      </c>
      <c r="E696" s="4" t="str">
        <f>IFERROR(INDEX('LEV R&amp;D'!$D:$D,MATCH(MEDIÇÃO!D696,'LEV R&amp;D'!$A:$A,0))-INDEX('PROJETO PERFURAÇÃO'!$AH:$AH,MATCH(MEDIÇÃO!D696,'PROJETO PERFURAÇÃO'!$B:$B,0)),"")</f>
        <v/>
      </c>
      <c r="F696" s="8" t="str">
        <f>IFERROR(INDEX('PROJETO PERFURAÇÃO'!$AN:$AN,MATCH(MEDIÇÃO!D696,'PROJETO PERFURAÇÃO'!$B:$B,0)),"")</f>
        <v/>
      </c>
      <c r="G696" s="3"/>
      <c r="H696" s="3"/>
      <c r="I696" s="3" t="str">
        <f>IFERROR(ROUND(INDEX('PROJETO PERFURAÇÃO'!$AB:$AB,MATCH(MEDIÇÃO!K696,'PROJETO PERFURAÇÃO'!$B:$B,0)),1)&amp;"''","")</f>
        <v/>
      </c>
      <c r="J696" s="3" t="str">
        <f>IFERROR(IF(INDEX('PROJETO PERFURAÇÃO'!$P:$P,MATCH(MEDIÇÃO!K696,'PROJETO PERFURAÇÃO'!$B:$B,0))="Production","P",IF(INDEX('PROJETO PERFURAÇÃO'!$P:$P,MATCH(MEDIÇÃO!K696,'PROJETO PERFURAÇÃO'!$B:$B,0))="Buffer","B",IF(INDEX('PROJETO PERFURAÇÃO'!$P:$P,MATCH(MEDIÇÃO!K696,'PROJETO PERFURAÇÃO'!$B:$B,0))="Pre-Splitting","S"))),"")</f>
        <v/>
      </c>
      <c r="K696" s="14">
        <f t="shared" si="67"/>
        <v>1551</v>
      </c>
      <c r="L696" s="4" t="str">
        <f>IFERROR(INDEX('LEV R&amp;D'!$D:$D,MATCH(MEDIÇÃO!K696,'LEV R&amp;D'!$A:$A,0))-INDEX('PROJETO PERFURAÇÃO'!$AH:$AH,MATCH(MEDIÇÃO!K696,'PROJETO PERFURAÇÃO'!$B:$B,0)),"")</f>
        <v/>
      </c>
      <c r="M696" s="8" t="str">
        <f>IFERROR(INDEX('PROJETO PERFURAÇÃO'!$AN:$AN,MATCH(MEDIÇÃO!K696,'PROJETO PERFURAÇÃO'!$B:$B,0)),"")</f>
        <v/>
      </c>
      <c r="N696" s="3"/>
      <c r="O696" s="3"/>
      <c r="P696" s="3" t="str">
        <f>IFERROR(ROUND(INDEX('PROJETO PERFURAÇÃO'!$AB:$AB,MATCH(MEDIÇÃO!R696,'PROJETO PERFURAÇÃO'!$B:$B,0)),1)&amp;"''","")</f>
        <v/>
      </c>
      <c r="Q696" s="3" t="str">
        <f>IFERROR(IF(INDEX('PROJETO PERFURAÇÃO'!$P:$P,MATCH(MEDIÇÃO!R696,'PROJETO PERFURAÇÃO'!$B:$B,0))="Production","P",IF(INDEX('PROJETO PERFURAÇÃO'!$P:$P,MATCH(MEDIÇÃO!R696,'PROJETO PERFURAÇÃO'!$B:$B,0))="Buffer","B",IF(INDEX('PROJETO PERFURAÇÃO'!$P:$P,MATCH(MEDIÇÃO!R696,'PROJETO PERFURAÇÃO'!$B:$B,0))="Pre-Splitting","S"))),"")</f>
        <v/>
      </c>
      <c r="R696" s="14">
        <f t="shared" si="68"/>
        <v>1574</v>
      </c>
      <c r="S696" s="4" t="str">
        <f>IFERROR(INDEX('LEV R&amp;D'!$D:$D,MATCH(MEDIÇÃO!R696,'LEV R&amp;D'!$A:$A,0))-INDEX('PROJETO PERFURAÇÃO'!$AH:$AH,MATCH(MEDIÇÃO!R696,'PROJETO PERFURAÇÃO'!$B:$B,0)),"")</f>
        <v/>
      </c>
      <c r="T696" s="8" t="str">
        <f>IFERROR(INDEX('PROJETO PERFURAÇÃO'!$AN:$AN,MATCH(MEDIÇÃO!R696,'PROJETO PERFURAÇÃO'!$B:$B,0)),"")</f>
        <v/>
      </c>
      <c r="U696" s="3"/>
      <c r="V696" s="3"/>
    </row>
    <row r="697" spans="2:22" ht="45" customHeight="1">
      <c r="B697" s="3" t="str">
        <f>IFERROR(ROUND(INDEX('PROJETO PERFURAÇÃO'!$AB:$AB,MATCH(MEDIÇÃO!D697,'PROJETO PERFURAÇÃO'!$B:$B,0)),1)&amp;"''","")</f>
        <v/>
      </c>
      <c r="C697" s="3" t="str">
        <f>IFERROR(IF(INDEX('PROJETO PERFURAÇÃO'!$P:$P,MATCH(MEDIÇÃO!D697,'PROJETO PERFURAÇÃO'!$B:$B,0))="Production","P",IF(INDEX('PROJETO PERFURAÇÃO'!$P:$P,MATCH(MEDIÇÃO!D697,'PROJETO PERFURAÇÃO'!$B:$B,0))="Buffer","B",IF(INDEX('PROJETO PERFURAÇÃO'!$P:$P,MATCH(MEDIÇÃO!D697,'PROJETO PERFURAÇÃO'!$B:$B,0))="Pre-Splitting","S"))),"")</f>
        <v/>
      </c>
      <c r="D697" s="14">
        <f t="shared" si="66"/>
        <v>1529</v>
      </c>
      <c r="E697" s="4" t="str">
        <f>IFERROR(INDEX('LEV R&amp;D'!$D:$D,MATCH(MEDIÇÃO!D697,'LEV R&amp;D'!$A:$A,0))-INDEX('PROJETO PERFURAÇÃO'!$AH:$AH,MATCH(MEDIÇÃO!D697,'PROJETO PERFURAÇÃO'!$B:$B,0)),"")</f>
        <v/>
      </c>
      <c r="F697" s="8" t="str">
        <f>IFERROR(INDEX('PROJETO PERFURAÇÃO'!$AN:$AN,MATCH(MEDIÇÃO!D697,'PROJETO PERFURAÇÃO'!$B:$B,0)),"")</f>
        <v/>
      </c>
      <c r="G697" s="3"/>
      <c r="H697" s="3"/>
      <c r="I697" s="3" t="str">
        <f>IFERROR(ROUND(INDEX('PROJETO PERFURAÇÃO'!$AB:$AB,MATCH(MEDIÇÃO!K697,'PROJETO PERFURAÇÃO'!$B:$B,0)),1)&amp;"''","")</f>
        <v/>
      </c>
      <c r="J697" s="3" t="str">
        <f>IFERROR(IF(INDEX('PROJETO PERFURAÇÃO'!$P:$P,MATCH(MEDIÇÃO!K697,'PROJETO PERFURAÇÃO'!$B:$B,0))="Production","P",IF(INDEX('PROJETO PERFURAÇÃO'!$P:$P,MATCH(MEDIÇÃO!K697,'PROJETO PERFURAÇÃO'!$B:$B,0))="Buffer","B",IF(INDEX('PROJETO PERFURAÇÃO'!$P:$P,MATCH(MEDIÇÃO!K697,'PROJETO PERFURAÇÃO'!$B:$B,0))="Pre-Splitting","S"))),"")</f>
        <v/>
      </c>
      <c r="K697" s="14">
        <f t="shared" si="67"/>
        <v>1552</v>
      </c>
      <c r="L697" s="4" t="str">
        <f>IFERROR(INDEX('LEV R&amp;D'!$D:$D,MATCH(MEDIÇÃO!K697,'LEV R&amp;D'!$A:$A,0))-INDEX('PROJETO PERFURAÇÃO'!$AH:$AH,MATCH(MEDIÇÃO!K697,'PROJETO PERFURAÇÃO'!$B:$B,0)),"")</f>
        <v/>
      </c>
      <c r="M697" s="8" t="str">
        <f>IFERROR(INDEX('PROJETO PERFURAÇÃO'!$AN:$AN,MATCH(MEDIÇÃO!K697,'PROJETO PERFURAÇÃO'!$B:$B,0)),"")</f>
        <v/>
      </c>
      <c r="N697" s="3"/>
      <c r="O697" s="3"/>
      <c r="P697" s="3" t="str">
        <f>IFERROR(ROUND(INDEX('PROJETO PERFURAÇÃO'!$AB:$AB,MATCH(MEDIÇÃO!R697,'PROJETO PERFURAÇÃO'!$B:$B,0)),1)&amp;"''","")</f>
        <v/>
      </c>
      <c r="Q697" s="3" t="str">
        <f>IFERROR(IF(INDEX('PROJETO PERFURAÇÃO'!$P:$P,MATCH(MEDIÇÃO!R697,'PROJETO PERFURAÇÃO'!$B:$B,0))="Production","P",IF(INDEX('PROJETO PERFURAÇÃO'!$P:$P,MATCH(MEDIÇÃO!R697,'PROJETO PERFURAÇÃO'!$B:$B,0))="Buffer","B",IF(INDEX('PROJETO PERFURAÇÃO'!$P:$P,MATCH(MEDIÇÃO!R697,'PROJETO PERFURAÇÃO'!$B:$B,0))="Pre-Splitting","S"))),"")</f>
        <v/>
      </c>
      <c r="R697" s="14">
        <f t="shared" si="68"/>
        <v>1575</v>
      </c>
      <c r="S697" s="4" t="str">
        <f>IFERROR(INDEX('LEV R&amp;D'!$D:$D,MATCH(MEDIÇÃO!R697,'LEV R&amp;D'!$A:$A,0))-INDEX('PROJETO PERFURAÇÃO'!$AH:$AH,MATCH(MEDIÇÃO!R697,'PROJETO PERFURAÇÃO'!$B:$B,0)),"")</f>
        <v/>
      </c>
      <c r="T697" s="8" t="str">
        <f>IFERROR(INDEX('PROJETO PERFURAÇÃO'!$AN:$AN,MATCH(MEDIÇÃO!R697,'PROJETO PERFURAÇÃO'!$B:$B,0)),"")</f>
        <v/>
      </c>
      <c r="U697" s="3"/>
      <c r="V697" s="3"/>
    </row>
    <row r="698" spans="2:22" ht="45" customHeight="1">
      <c r="B698" s="3" t="str">
        <f>IFERROR(ROUND(INDEX('PROJETO PERFURAÇÃO'!$AB:$AB,MATCH(MEDIÇÃO!D698,'PROJETO PERFURAÇÃO'!$B:$B,0)),1)&amp;"''","")</f>
        <v/>
      </c>
      <c r="C698" s="3" t="str">
        <f>IFERROR(IF(INDEX('PROJETO PERFURAÇÃO'!$P:$P,MATCH(MEDIÇÃO!D698,'PROJETO PERFURAÇÃO'!$B:$B,0))="Production","P",IF(INDEX('PROJETO PERFURAÇÃO'!$P:$P,MATCH(MEDIÇÃO!D698,'PROJETO PERFURAÇÃO'!$B:$B,0))="Buffer","B",IF(INDEX('PROJETO PERFURAÇÃO'!$P:$P,MATCH(MEDIÇÃO!D698,'PROJETO PERFURAÇÃO'!$B:$B,0))="Pre-Splitting","S"))),"")</f>
        <v/>
      </c>
      <c r="D698" s="14">
        <f t="shared" si="66"/>
        <v>1530</v>
      </c>
      <c r="E698" s="4" t="str">
        <f>IFERROR(INDEX('LEV R&amp;D'!$D:$D,MATCH(MEDIÇÃO!D698,'LEV R&amp;D'!$A:$A,0))-INDEX('PROJETO PERFURAÇÃO'!$AH:$AH,MATCH(MEDIÇÃO!D698,'PROJETO PERFURAÇÃO'!$B:$B,0)),"")</f>
        <v/>
      </c>
      <c r="F698" s="8" t="str">
        <f>IFERROR(INDEX('PROJETO PERFURAÇÃO'!$AN:$AN,MATCH(MEDIÇÃO!D698,'PROJETO PERFURAÇÃO'!$B:$B,0)),"")</f>
        <v/>
      </c>
      <c r="G698" s="3"/>
      <c r="H698" s="3"/>
      <c r="I698" s="3" t="str">
        <f>IFERROR(ROUND(INDEX('PROJETO PERFURAÇÃO'!$AB:$AB,MATCH(MEDIÇÃO!K698,'PROJETO PERFURAÇÃO'!$B:$B,0)),1)&amp;"''","")</f>
        <v/>
      </c>
      <c r="J698" s="3" t="str">
        <f>IFERROR(IF(INDEX('PROJETO PERFURAÇÃO'!$P:$P,MATCH(MEDIÇÃO!K698,'PROJETO PERFURAÇÃO'!$B:$B,0))="Production","P",IF(INDEX('PROJETO PERFURAÇÃO'!$P:$P,MATCH(MEDIÇÃO!K698,'PROJETO PERFURAÇÃO'!$B:$B,0))="Buffer","B",IF(INDEX('PROJETO PERFURAÇÃO'!$P:$P,MATCH(MEDIÇÃO!K698,'PROJETO PERFURAÇÃO'!$B:$B,0))="Pre-Splitting","S"))),"")</f>
        <v/>
      </c>
      <c r="K698" s="14">
        <f t="shared" si="67"/>
        <v>1553</v>
      </c>
      <c r="L698" s="4" t="str">
        <f>IFERROR(INDEX('LEV R&amp;D'!$D:$D,MATCH(MEDIÇÃO!K698,'LEV R&amp;D'!$A:$A,0))-INDEX('PROJETO PERFURAÇÃO'!$AH:$AH,MATCH(MEDIÇÃO!K698,'PROJETO PERFURAÇÃO'!$B:$B,0)),"")</f>
        <v/>
      </c>
      <c r="M698" s="8" t="str">
        <f>IFERROR(INDEX('PROJETO PERFURAÇÃO'!$AN:$AN,MATCH(MEDIÇÃO!K698,'PROJETO PERFURAÇÃO'!$B:$B,0)),"")</f>
        <v/>
      </c>
      <c r="N698" s="3"/>
      <c r="O698" s="3"/>
      <c r="P698" s="3" t="str">
        <f>IFERROR(ROUND(INDEX('PROJETO PERFURAÇÃO'!$AB:$AB,MATCH(MEDIÇÃO!R698,'PROJETO PERFURAÇÃO'!$B:$B,0)),1)&amp;"''","")</f>
        <v/>
      </c>
      <c r="Q698" s="3" t="str">
        <f>IFERROR(IF(INDEX('PROJETO PERFURAÇÃO'!$P:$P,MATCH(MEDIÇÃO!R698,'PROJETO PERFURAÇÃO'!$B:$B,0))="Production","P",IF(INDEX('PROJETO PERFURAÇÃO'!$P:$P,MATCH(MEDIÇÃO!R698,'PROJETO PERFURAÇÃO'!$B:$B,0))="Buffer","B",IF(INDEX('PROJETO PERFURAÇÃO'!$P:$P,MATCH(MEDIÇÃO!R698,'PROJETO PERFURAÇÃO'!$B:$B,0))="Pre-Splitting","S"))),"")</f>
        <v/>
      </c>
      <c r="R698" s="14">
        <f t="shared" si="68"/>
        <v>1576</v>
      </c>
      <c r="S698" s="4" t="str">
        <f>IFERROR(INDEX('LEV R&amp;D'!$D:$D,MATCH(MEDIÇÃO!R698,'LEV R&amp;D'!$A:$A,0))-INDEX('PROJETO PERFURAÇÃO'!$AH:$AH,MATCH(MEDIÇÃO!R698,'PROJETO PERFURAÇÃO'!$B:$B,0)),"")</f>
        <v/>
      </c>
      <c r="T698" s="8" t="str">
        <f>IFERROR(INDEX('PROJETO PERFURAÇÃO'!$AN:$AN,MATCH(MEDIÇÃO!R698,'PROJETO PERFURAÇÃO'!$B:$B,0)),"")</f>
        <v/>
      </c>
      <c r="U698" s="3"/>
      <c r="V698" s="3"/>
    </row>
    <row r="699" spans="2:22" ht="45" customHeight="1">
      <c r="B699" s="3" t="str">
        <f>IFERROR(ROUND(INDEX('PROJETO PERFURAÇÃO'!$AB:$AB,MATCH(MEDIÇÃO!D699,'PROJETO PERFURAÇÃO'!$B:$B,0)),1)&amp;"''","")</f>
        <v/>
      </c>
      <c r="C699" s="3" t="str">
        <f>IFERROR(IF(INDEX('PROJETO PERFURAÇÃO'!$P:$P,MATCH(MEDIÇÃO!D699,'PROJETO PERFURAÇÃO'!$B:$B,0))="Production","P",IF(INDEX('PROJETO PERFURAÇÃO'!$P:$P,MATCH(MEDIÇÃO!D699,'PROJETO PERFURAÇÃO'!$B:$B,0))="Buffer","B",IF(INDEX('PROJETO PERFURAÇÃO'!$P:$P,MATCH(MEDIÇÃO!D699,'PROJETO PERFURAÇÃO'!$B:$B,0))="Pre-Splitting","S"))),"")</f>
        <v/>
      </c>
      <c r="D699" s="14">
        <f t="shared" si="66"/>
        <v>1531</v>
      </c>
      <c r="E699" s="4" t="str">
        <f>IFERROR(INDEX('LEV R&amp;D'!$D:$D,MATCH(MEDIÇÃO!D699,'LEV R&amp;D'!$A:$A,0))-INDEX('PROJETO PERFURAÇÃO'!$AH:$AH,MATCH(MEDIÇÃO!D699,'PROJETO PERFURAÇÃO'!$B:$B,0)),"")</f>
        <v/>
      </c>
      <c r="F699" s="8" t="str">
        <f>IFERROR(INDEX('PROJETO PERFURAÇÃO'!$AN:$AN,MATCH(MEDIÇÃO!D699,'PROJETO PERFURAÇÃO'!$B:$B,0)),"")</f>
        <v/>
      </c>
      <c r="G699" s="3"/>
      <c r="H699" s="3"/>
      <c r="I699" s="3" t="str">
        <f>IFERROR(ROUND(INDEX('PROJETO PERFURAÇÃO'!$AB:$AB,MATCH(MEDIÇÃO!K699,'PROJETO PERFURAÇÃO'!$B:$B,0)),1)&amp;"''","")</f>
        <v/>
      </c>
      <c r="J699" s="3" t="str">
        <f>IFERROR(IF(INDEX('PROJETO PERFURAÇÃO'!$P:$P,MATCH(MEDIÇÃO!K699,'PROJETO PERFURAÇÃO'!$B:$B,0))="Production","P",IF(INDEX('PROJETO PERFURAÇÃO'!$P:$P,MATCH(MEDIÇÃO!K699,'PROJETO PERFURAÇÃO'!$B:$B,0))="Buffer","B",IF(INDEX('PROJETO PERFURAÇÃO'!$P:$P,MATCH(MEDIÇÃO!K699,'PROJETO PERFURAÇÃO'!$B:$B,0))="Pre-Splitting","S"))),"")</f>
        <v/>
      </c>
      <c r="K699" s="14">
        <f t="shared" si="67"/>
        <v>1554</v>
      </c>
      <c r="L699" s="4" t="str">
        <f>IFERROR(INDEX('LEV R&amp;D'!$D:$D,MATCH(MEDIÇÃO!K699,'LEV R&amp;D'!$A:$A,0))-INDEX('PROJETO PERFURAÇÃO'!$AH:$AH,MATCH(MEDIÇÃO!K699,'PROJETO PERFURAÇÃO'!$B:$B,0)),"")</f>
        <v/>
      </c>
      <c r="M699" s="8" t="str">
        <f>IFERROR(INDEX('PROJETO PERFURAÇÃO'!$AN:$AN,MATCH(MEDIÇÃO!K699,'PROJETO PERFURAÇÃO'!$B:$B,0)),"")</f>
        <v/>
      </c>
      <c r="N699" s="3"/>
      <c r="O699" s="3"/>
      <c r="P699" s="3" t="str">
        <f>IFERROR(ROUND(INDEX('PROJETO PERFURAÇÃO'!$AB:$AB,MATCH(MEDIÇÃO!R699,'PROJETO PERFURAÇÃO'!$B:$B,0)),1)&amp;"''","")</f>
        <v/>
      </c>
      <c r="Q699" s="3" t="str">
        <f>IFERROR(IF(INDEX('PROJETO PERFURAÇÃO'!$P:$P,MATCH(MEDIÇÃO!R699,'PROJETO PERFURAÇÃO'!$B:$B,0))="Production","P",IF(INDEX('PROJETO PERFURAÇÃO'!$P:$P,MATCH(MEDIÇÃO!R699,'PROJETO PERFURAÇÃO'!$B:$B,0))="Buffer","B",IF(INDEX('PROJETO PERFURAÇÃO'!$P:$P,MATCH(MEDIÇÃO!R699,'PROJETO PERFURAÇÃO'!$B:$B,0))="Pre-Splitting","S"))),"")</f>
        <v/>
      </c>
      <c r="R699" s="14">
        <f t="shared" si="68"/>
        <v>1577</v>
      </c>
      <c r="S699" s="4" t="str">
        <f>IFERROR(INDEX('LEV R&amp;D'!$D:$D,MATCH(MEDIÇÃO!R699,'LEV R&amp;D'!$A:$A,0))-INDEX('PROJETO PERFURAÇÃO'!$AH:$AH,MATCH(MEDIÇÃO!R699,'PROJETO PERFURAÇÃO'!$B:$B,0)),"")</f>
        <v/>
      </c>
      <c r="T699" s="8" t="str">
        <f>IFERROR(INDEX('PROJETO PERFURAÇÃO'!$AN:$AN,MATCH(MEDIÇÃO!R699,'PROJETO PERFURAÇÃO'!$B:$B,0)),"")</f>
        <v/>
      </c>
      <c r="U699" s="3"/>
      <c r="V699" s="3"/>
    </row>
    <row r="700" spans="2:22" ht="45" customHeight="1">
      <c r="B700" s="3" t="str">
        <f>IFERROR(ROUND(INDEX('PROJETO PERFURAÇÃO'!$AB:$AB,MATCH(MEDIÇÃO!D700,'PROJETO PERFURAÇÃO'!$B:$B,0)),1)&amp;"''","")</f>
        <v/>
      </c>
      <c r="C700" s="3" t="str">
        <f>IFERROR(IF(INDEX('PROJETO PERFURAÇÃO'!$P:$P,MATCH(MEDIÇÃO!D700,'PROJETO PERFURAÇÃO'!$B:$B,0))="Production","P",IF(INDEX('PROJETO PERFURAÇÃO'!$P:$P,MATCH(MEDIÇÃO!D700,'PROJETO PERFURAÇÃO'!$B:$B,0))="Buffer","B",IF(INDEX('PROJETO PERFURAÇÃO'!$P:$P,MATCH(MEDIÇÃO!D700,'PROJETO PERFURAÇÃO'!$B:$B,0))="Pre-Splitting","S"))),"")</f>
        <v/>
      </c>
      <c r="D700" s="14">
        <f t="shared" si="66"/>
        <v>1532</v>
      </c>
      <c r="E700" s="4" t="str">
        <f>IFERROR(INDEX('LEV R&amp;D'!$D:$D,MATCH(MEDIÇÃO!D700,'LEV R&amp;D'!$A:$A,0))-INDEX('PROJETO PERFURAÇÃO'!$AH:$AH,MATCH(MEDIÇÃO!D700,'PROJETO PERFURAÇÃO'!$B:$B,0)),"")</f>
        <v/>
      </c>
      <c r="F700" s="8" t="str">
        <f>IFERROR(INDEX('PROJETO PERFURAÇÃO'!$AN:$AN,MATCH(MEDIÇÃO!D700,'PROJETO PERFURAÇÃO'!$B:$B,0)),"")</f>
        <v/>
      </c>
      <c r="G700" s="3"/>
      <c r="H700" s="3"/>
      <c r="I700" s="3" t="str">
        <f>IFERROR(ROUND(INDEX('PROJETO PERFURAÇÃO'!$AB:$AB,MATCH(MEDIÇÃO!K700,'PROJETO PERFURAÇÃO'!$B:$B,0)),1)&amp;"''","")</f>
        <v/>
      </c>
      <c r="J700" s="3" t="str">
        <f>IFERROR(IF(INDEX('PROJETO PERFURAÇÃO'!$P:$P,MATCH(MEDIÇÃO!K700,'PROJETO PERFURAÇÃO'!$B:$B,0))="Production","P",IF(INDEX('PROJETO PERFURAÇÃO'!$P:$P,MATCH(MEDIÇÃO!K700,'PROJETO PERFURAÇÃO'!$B:$B,0))="Buffer","B",IF(INDEX('PROJETO PERFURAÇÃO'!$P:$P,MATCH(MEDIÇÃO!K700,'PROJETO PERFURAÇÃO'!$B:$B,0))="Pre-Splitting","S"))),"")</f>
        <v/>
      </c>
      <c r="K700" s="14">
        <f t="shared" si="67"/>
        <v>1555</v>
      </c>
      <c r="L700" s="4" t="str">
        <f>IFERROR(INDEX('LEV R&amp;D'!$D:$D,MATCH(MEDIÇÃO!K700,'LEV R&amp;D'!$A:$A,0))-INDEX('PROJETO PERFURAÇÃO'!$AH:$AH,MATCH(MEDIÇÃO!K700,'PROJETO PERFURAÇÃO'!$B:$B,0)),"")</f>
        <v/>
      </c>
      <c r="M700" s="8" t="str">
        <f>IFERROR(INDEX('PROJETO PERFURAÇÃO'!$AN:$AN,MATCH(MEDIÇÃO!K700,'PROJETO PERFURAÇÃO'!$B:$B,0)),"")</f>
        <v/>
      </c>
      <c r="N700" s="3"/>
      <c r="O700" s="3"/>
      <c r="P700" s="3" t="str">
        <f>IFERROR(ROUND(INDEX('PROJETO PERFURAÇÃO'!$AB:$AB,MATCH(MEDIÇÃO!R700,'PROJETO PERFURAÇÃO'!$B:$B,0)),1)&amp;"''","")</f>
        <v/>
      </c>
      <c r="Q700" s="3" t="str">
        <f>IFERROR(IF(INDEX('PROJETO PERFURAÇÃO'!$P:$P,MATCH(MEDIÇÃO!R700,'PROJETO PERFURAÇÃO'!$B:$B,0))="Production","P",IF(INDEX('PROJETO PERFURAÇÃO'!$P:$P,MATCH(MEDIÇÃO!R700,'PROJETO PERFURAÇÃO'!$B:$B,0))="Buffer","B",IF(INDEX('PROJETO PERFURAÇÃO'!$P:$P,MATCH(MEDIÇÃO!R700,'PROJETO PERFURAÇÃO'!$B:$B,0))="Pre-Splitting","S"))),"")</f>
        <v/>
      </c>
      <c r="R700" s="14">
        <f t="shared" si="68"/>
        <v>1578</v>
      </c>
      <c r="S700" s="4" t="str">
        <f>IFERROR(INDEX('LEV R&amp;D'!$D:$D,MATCH(MEDIÇÃO!R700,'LEV R&amp;D'!$A:$A,0))-INDEX('PROJETO PERFURAÇÃO'!$AH:$AH,MATCH(MEDIÇÃO!R700,'PROJETO PERFURAÇÃO'!$B:$B,0)),"")</f>
        <v/>
      </c>
      <c r="T700" s="8" t="str">
        <f>IFERROR(INDEX('PROJETO PERFURAÇÃO'!$AN:$AN,MATCH(MEDIÇÃO!R700,'PROJETO PERFURAÇÃO'!$B:$B,0)),"")</f>
        <v/>
      </c>
      <c r="U700" s="3"/>
      <c r="V700" s="3"/>
    </row>
    <row r="701" spans="2:22" ht="45" customHeight="1">
      <c r="B701" s="3" t="str">
        <f>IFERROR(ROUND(INDEX('PROJETO PERFURAÇÃO'!$AB:$AB,MATCH(MEDIÇÃO!D701,'PROJETO PERFURAÇÃO'!$B:$B,0)),1)&amp;"''","")</f>
        <v/>
      </c>
      <c r="C701" s="3" t="str">
        <f>IFERROR(IF(INDEX('PROJETO PERFURAÇÃO'!$P:$P,MATCH(MEDIÇÃO!D701,'PROJETO PERFURAÇÃO'!$B:$B,0))="Production","P",IF(INDEX('PROJETO PERFURAÇÃO'!$P:$P,MATCH(MEDIÇÃO!D701,'PROJETO PERFURAÇÃO'!$B:$B,0))="Buffer","B",IF(INDEX('PROJETO PERFURAÇÃO'!$P:$P,MATCH(MEDIÇÃO!D701,'PROJETO PERFURAÇÃO'!$B:$B,0))="Pre-Splitting","S"))),"")</f>
        <v/>
      </c>
      <c r="D701" s="14">
        <f t="shared" si="66"/>
        <v>1533</v>
      </c>
      <c r="E701" s="4" t="str">
        <f>IFERROR(INDEX('LEV R&amp;D'!$D:$D,MATCH(MEDIÇÃO!D701,'LEV R&amp;D'!$A:$A,0))-INDEX('PROJETO PERFURAÇÃO'!$AH:$AH,MATCH(MEDIÇÃO!D701,'PROJETO PERFURAÇÃO'!$B:$B,0)),"")</f>
        <v/>
      </c>
      <c r="F701" s="8" t="str">
        <f>IFERROR(INDEX('PROJETO PERFURAÇÃO'!$AN:$AN,MATCH(MEDIÇÃO!D701,'PROJETO PERFURAÇÃO'!$B:$B,0)),"")</f>
        <v/>
      </c>
      <c r="G701" s="3"/>
      <c r="H701" s="3"/>
      <c r="I701" s="3" t="str">
        <f>IFERROR(ROUND(INDEX('PROJETO PERFURAÇÃO'!$AB:$AB,MATCH(MEDIÇÃO!K701,'PROJETO PERFURAÇÃO'!$B:$B,0)),1)&amp;"''","")</f>
        <v/>
      </c>
      <c r="J701" s="3" t="str">
        <f>IFERROR(IF(INDEX('PROJETO PERFURAÇÃO'!$P:$P,MATCH(MEDIÇÃO!K701,'PROJETO PERFURAÇÃO'!$B:$B,0))="Production","P",IF(INDEX('PROJETO PERFURAÇÃO'!$P:$P,MATCH(MEDIÇÃO!K701,'PROJETO PERFURAÇÃO'!$B:$B,0))="Buffer","B",IF(INDEX('PROJETO PERFURAÇÃO'!$P:$P,MATCH(MEDIÇÃO!K701,'PROJETO PERFURAÇÃO'!$B:$B,0))="Pre-Splitting","S"))),"")</f>
        <v/>
      </c>
      <c r="K701" s="14">
        <f t="shared" si="67"/>
        <v>1556</v>
      </c>
      <c r="L701" s="4" t="str">
        <f>IFERROR(INDEX('LEV R&amp;D'!$D:$D,MATCH(MEDIÇÃO!K701,'LEV R&amp;D'!$A:$A,0))-INDEX('PROJETO PERFURAÇÃO'!$AH:$AH,MATCH(MEDIÇÃO!K701,'PROJETO PERFURAÇÃO'!$B:$B,0)),"")</f>
        <v/>
      </c>
      <c r="M701" s="8" t="str">
        <f>IFERROR(INDEX('PROJETO PERFURAÇÃO'!$AN:$AN,MATCH(MEDIÇÃO!K701,'PROJETO PERFURAÇÃO'!$B:$B,0)),"")</f>
        <v/>
      </c>
      <c r="N701" s="3"/>
      <c r="O701" s="3"/>
      <c r="P701" s="3" t="str">
        <f>IFERROR(ROUND(INDEX('PROJETO PERFURAÇÃO'!$AB:$AB,MATCH(MEDIÇÃO!R701,'PROJETO PERFURAÇÃO'!$B:$B,0)),1)&amp;"''","")</f>
        <v/>
      </c>
      <c r="Q701" s="3" t="str">
        <f>IFERROR(IF(INDEX('PROJETO PERFURAÇÃO'!$P:$P,MATCH(MEDIÇÃO!R701,'PROJETO PERFURAÇÃO'!$B:$B,0))="Production","P",IF(INDEX('PROJETO PERFURAÇÃO'!$P:$P,MATCH(MEDIÇÃO!R701,'PROJETO PERFURAÇÃO'!$B:$B,0))="Buffer","B",IF(INDEX('PROJETO PERFURAÇÃO'!$P:$P,MATCH(MEDIÇÃO!R701,'PROJETO PERFURAÇÃO'!$B:$B,0))="Pre-Splitting","S"))),"")</f>
        <v/>
      </c>
      <c r="R701" s="14">
        <f t="shared" si="68"/>
        <v>1579</v>
      </c>
      <c r="S701" s="4" t="str">
        <f>IFERROR(INDEX('LEV R&amp;D'!$D:$D,MATCH(MEDIÇÃO!R701,'LEV R&amp;D'!$A:$A,0))-INDEX('PROJETO PERFURAÇÃO'!$AH:$AH,MATCH(MEDIÇÃO!R701,'PROJETO PERFURAÇÃO'!$B:$B,0)),"")</f>
        <v/>
      </c>
      <c r="T701" s="8" t="str">
        <f>IFERROR(INDEX('PROJETO PERFURAÇÃO'!$AN:$AN,MATCH(MEDIÇÃO!R701,'PROJETO PERFURAÇÃO'!$B:$B,0)),"")</f>
        <v/>
      </c>
      <c r="U701" s="3"/>
      <c r="V701" s="3"/>
    </row>
    <row r="702" spans="2:22" ht="45" customHeight="1">
      <c r="B702" s="3" t="str">
        <f>IFERROR(ROUND(INDEX('PROJETO PERFURAÇÃO'!$AB:$AB,MATCH(MEDIÇÃO!D702,'PROJETO PERFURAÇÃO'!$B:$B,0)),1)&amp;"''","")</f>
        <v/>
      </c>
      <c r="C702" s="3" t="str">
        <f>IFERROR(IF(INDEX('PROJETO PERFURAÇÃO'!$P:$P,MATCH(MEDIÇÃO!D702,'PROJETO PERFURAÇÃO'!$B:$B,0))="Production","P",IF(INDEX('PROJETO PERFURAÇÃO'!$P:$P,MATCH(MEDIÇÃO!D702,'PROJETO PERFURAÇÃO'!$B:$B,0))="Buffer","B",IF(INDEX('PROJETO PERFURAÇÃO'!$P:$P,MATCH(MEDIÇÃO!D702,'PROJETO PERFURAÇÃO'!$B:$B,0))="Pre-Splitting","S"))),"")</f>
        <v/>
      </c>
      <c r="D702" s="14">
        <f t="shared" si="66"/>
        <v>1534</v>
      </c>
      <c r="E702" s="4" t="str">
        <f>IFERROR(INDEX('LEV R&amp;D'!$D:$D,MATCH(MEDIÇÃO!D702,'LEV R&amp;D'!$A:$A,0))-INDEX('PROJETO PERFURAÇÃO'!$AH:$AH,MATCH(MEDIÇÃO!D702,'PROJETO PERFURAÇÃO'!$B:$B,0)),"")</f>
        <v/>
      </c>
      <c r="F702" s="8" t="str">
        <f>IFERROR(INDEX('PROJETO PERFURAÇÃO'!$AN:$AN,MATCH(MEDIÇÃO!D702,'PROJETO PERFURAÇÃO'!$B:$B,0)),"")</f>
        <v/>
      </c>
      <c r="G702" s="3"/>
      <c r="H702" s="3"/>
      <c r="I702" s="3" t="str">
        <f>IFERROR(ROUND(INDEX('PROJETO PERFURAÇÃO'!$AB:$AB,MATCH(MEDIÇÃO!K702,'PROJETO PERFURAÇÃO'!$B:$B,0)),1)&amp;"''","")</f>
        <v/>
      </c>
      <c r="J702" s="3" t="str">
        <f>IFERROR(IF(INDEX('PROJETO PERFURAÇÃO'!$P:$P,MATCH(MEDIÇÃO!K702,'PROJETO PERFURAÇÃO'!$B:$B,0))="Production","P",IF(INDEX('PROJETO PERFURAÇÃO'!$P:$P,MATCH(MEDIÇÃO!K702,'PROJETO PERFURAÇÃO'!$B:$B,0))="Buffer","B",IF(INDEX('PROJETO PERFURAÇÃO'!$P:$P,MATCH(MEDIÇÃO!K702,'PROJETO PERFURAÇÃO'!$B:$B,0))="Pre-Splitting","S"))),"")</f>
        <v/>
      </c>
      <c r="K702" s="14">
        <f t="shared" si="67"/>
        <v>1557</v>
      </c>
      <c r="L702" s="4" t="str">
        <f>IFERROR(INDEX('LEV R&amp;D'!$D:$D,MATCH(MEDIÇÃO!K702,'LEV R&amp;D'!$A:$A,0))-INDEX('PROJETO PERFURAÇÃO'!$AH:$AH,MATCH(MEDIÇÃO!K702,'PROJETO PERFURAÇÃO'!$B:$B,0)),"")</f>
        <v/>
      </c>
      <c r="M702" s="8" t="str">
        <f>IFERROR(INDEX('PROJETO PERFURAÇÃO'!$AN:$AN,MATCH(MEDIÇÃO!K702,'PROJETO PERFURAÇÃO'!$B:$B,0)),"")</f>
        <v/>
      </c>
      <c r="N702" s="3"/>
      <c r="O702" s="3"/>
      <c r="P702" s="3" t="str">
        <f>IFERROR(ROUND(INDEX('PROJETO PERFURAÇÃO'!$AB:$AB,MATCH(MEDIÇÃO!R702,'PROJETO PERFURAÇÃO'!$B:$B,0)),1)&amp;"''","")</f>
        <v/>
      </c>
      <c r="Q702" s="3" t="str">
        <f>IFERROR(IF(INDEX('PROJETO PERFURAÇÃO'!$P:$P,MATCH(MEDIÇÃO!R702,'PROJETO PERFURAÇÃO'!$B:$B,0))="Production","P",IF(INDEX('PROJETO PERFURAÇÃO'!$P:$P,MATCH(MEDIÇÃO!R702,'PROJETO PERFURAÇÃO'!$B:$B,0))="Buffer","B",IF(INDEX('PROJETO PERFURAÇÃO'!$P:$P,MATCH(MEDIÇÃO!R702,'PROJETO PERFURAÇÃO'!$B:$B,0))="Pre-Splitting","S"))),"")</f>
        <v/>
      </c>
      <c r="R702" s="14">
        <f t="shared" si="68"/>
        <v>1580</v>
      </c>
      <c r="S702" s="4" t="str">
        <f>IFERROR(INDEX('LEV R&amp;D'!$D:$D,MATCH(MEDIÇÃO!R702,'LEV R&amp;D'!$A:$A,0))-INDEX('PROJETO PERFURAÇÃO'!$AH:$AH,MATCH(MEDIÇÃO!R702,'PROJETO PERFURAÇÃO'!$B:$B,0)),"")</f>
        <v/>
      </c>
      <c r="T702" s="8" t="str">
        <f>IFERROR(INDEX('PROJETO PERFURAÇÃO'!$AN:$AN,MATCH(MEDIÇÃO!R702,'PROJETO PERFURAÇÃO'!$B:$B,0)),"")</f>
        <v/>
      </c>
      <c r="U702" s="3"/>
      <c r="V702" s="3"/>
    </row>
    <row r="703" spans="2:22" ht="45" customHeight="1">
      <c r="B703" s="3" t="str">
        <f>IFERROR(ROUND(INDEX('PROJETO PERFURAÇÃO'!$AB:$AB,MATCH(MEDIÇÃO!D703,'PROJETO PERFURAÇÃO'!$B:$B,0)),1)&amp;"''","")</f>
        <v/>
      </c>
      <c r="C703" s="3" t="str">
        <f>IFERROR(IF(INDEX('PROJETO PERFURAÇÃO'!$P:$P,MATCH(MEDIÇÃO!D703,'PROJETO PERFURAÇÃO'!$B:$B,0))="Production","P",IF(INDEX('PROJETO PERFURAÇÃO'!$P:$P,MATCH(MEDIÇÃO!D703,'PROJETO PERFURAÇÃO'!$B:$B,0))="Buffer","B",IF(INDEX('PROJETO PERFURAÇÃO'!$P:$P,MATCH(MEDIÇÃO!D703,'PROJETO PERFURAÇÃO'!$B:$B,0))="Pre-Splitting","S"))),"")</f>
        <v/>
      </c>
      <c r="D703" s="14">
        <f t="shared" si="66"/>
        <v>1535</v>
      </c>
      <c r="E703" s="4" t="str">
        <f>IFERROR(INDEX('LEV R&amp;D'!$D:$D,MATCH(MEDIÇÃO!D703,'LEV R&amp;D'!$A:$A,0))-INDEX('PROJETO PERFURAÇÃO'!$AH:$AH,MATCH(MEDIÇÃO!D703,'PROJETO PERFURAÇÃO'!$B:$B,0)),"")</f>
        <v/>
      </c>
      <c r="F703" s="8" t="str">
        <f>IFERROR(INDEX('PROJETO PERFURAÇÃO'!$AN:$AN,MATCH(MEDIÇÃO!D703,'PROJETO PERFURAÇÃO'!$B:$B,0)),"")</f>
        <v/>
      </c>
      <c r="G703" s="3"/>
      <c r="H703" s="3"/>
      <c r="I703" s="3" t="str">
        <f>IFERROR(ROUND(INDEX('PROJETO PERFURAÇÃO'!$AB:$AB,MATCH(MEDIÇÃO!K703,'PROJETO PERFURAÇÃO'!$B:$B,0)),1)&amp;"''","")</f>
        <v/>
      </c>
      <c r="J703" s="3" t="str">
        <f>IFERROR(IF(INDEX('PROJETO PERFURAÇÃO'!$P:$P,MATCH(MEDIÇÃO!K703,'PROJETO PERFURAÇÃO'!$B:$B,0))="Production","P",IF(INDEX('PROJETO PERFURAÇÃO'!$P:$P,MATCH(MEDIÇÃO!K703,'PROJETO PERFURAÇÃO'!$B:$B,0))="Buffer","B",IF(INDEX('PROJETO PERFURAÇÃO'!$P:$P,MATCH(MEDIÇÃO!K703,'PROJETO PERFURAÇÃO'!$B:$B,0))="Pre-Splitting","S"))),"")</f>
        <v/>
      </c>
      <c r="K703" s="14">
        <f t="shared" si="67"/>
        <v>1558</v>
      </c>
      <c r="L703" s="4" t="str">
        <f>IFERROR(INDEX('LEV R&amp;D'!$D:$D,MATCH(MEDIÇÃO!K703,'LEV R&amp;D'!$A:$A,0))-INDEX('PROJETO PERFURAÇÃO'!$AH:$AH,MATCH(MEDIÇÃO!K703,'PROJETO PERFURAÇÃO'!$B:$B,0)),"")</f>
        <v/>
      </c>
      <c r="M703" s="8" t="str">
        <f>IFERROR(INDEX('PROJETO PERFURAÇÃO'!$AN:$AN,MATCH(MEDIÇÃO!K703,'PROJETO PERFURAÇÃO'!$B:$B,0)),"")</f>
        <v/>
      </c>
      <c r="N703" s="3"/>
      <c r="O703" s="3"/>
      <c r="P703" s="3" t="str">
        <f>IFERROR(ROUND(INDEX('PROJETO PERFURAÇÃO'!$AB:$AB,MATCH(MEDIÇÃO!R703,'PROJETO PERFURAÇÃO'!$B:$B,0)),1)&amp;"''","")</f>
        <v/>
      </c>
      <c r="Q703" s="3" t="str">
        <f>IFERROR(IF(INDEX('PROJETO PERFURAÇÃO'!$P:$P,MATCH(MEDIÇÃO!R703,'PROJETO PERFURAÇÃO'!$B:$B,0))="Production","P",IF(INDEX('PROJETO PERFURAÇÃO'!$P:$P,MATCH(MEDIÇÃO!R703,'PROJETO PERFURAÇÃO'!$B:$B,0))="Buffer","B",IF(INDEX('PROJETO PERFURAÇÃO'!$P:$P,MATCH(MEDIÇÃO!R703,'PROJETO PERFURAÇÃO'!$B:$B,0))="Pre-Splitting","S"))),"")</f>
        <v/>
      </c>
      <c r="R703" s="14">
        <f t="shared" si="68"/>
        <v>1581</v>
      </c>
      <c r="S703" s="4" t="str">
        <f>IFERROR(INDEX('LEV R&amp;D'!$D:$D,MATCH(MEDIÇÃO!R703,'LEV R&amp;D'!$A:$A,0))-INDEX('PROJETO PERFURAÇÃO'!$AH:$AH,MATCH(MEDIÇÃO!R703,'PROJETO PERFURAÇÃO'!$B:$B,0)),"")</f>
        <v/>
      </c>
      <c r="T703" s="8" t="str">
        <f>IFERROR(INDEX('PROJETO PERFURAÇÃO'!$AN:$AN,MATCH(MEDIÇÃO!R703,'PROJETO PERFURAÇÃO'!$B:$B,0)),"")</f>
        <v/>
      </c>
      <c r="U703" s="3"/>
      <c r="V703" s="3"/>
    </row>
    <row r="704" spans="2:22" ht="45" customHeight="1">
      <c r="B704" s="3" t="str">
        <f>IFERROR(ROUND(INDEX('PROJETO PERFURAÇÃO'!$AB:$AB,MATCH(MEDIÇÃO!D704,'PROJETO PERFURAÇÃO'!$B:$B,0)),1)&amp;"''","")</f>
        <v/>
      </c>
      <c r="C704" s="3" t="str">
        <f>IFERROR(IF(INDEX('PROJETO PERFURAÇÃO'!$P:$P,MATCH(MEDIÇÃO!D704,'PROJETO PERFURAÇÃO'!$B:$B,0))="Production","P",IF(INDEX('PROJETO PERFURAÇÃO'!$P:$P,MATCH(MEDIÇÃO!D704,'PROJETO PERFURAÇÃO'!$B:$B,0))="Buffer","B",IF(INDEX('PROJETO PERFURAÇÃO'!$P:$P,MATCH(MEDIÇÃO!D704,'PROJETO PERFURAÇÃO'!$B:$B,0))="Pre-Splitting","S"))),"")</f>
        <v/>
      </c>
      <c r="D704" s="14">
        <f t="shared" si="66"/>
        <v>1536</v>
      </c>
      <c r="E704" s="4" t="str">
        <f>IFERROR(INDEX('LEV R&amp;D'!$D:$D,MATCH(MEDIÇÃO!D704,'LEV R&amp;D'!$A:$A,0))-INDEX('PROJETO PERFURAÇÃO'!$AH:$AH,MATCH(MEDIÇÃO!D704,'PROJETO PERFURAÇÃO'!$B:$B,0)),"")</f>
        <v/>
      </c>
      <c r="F704" s="8" t="str">
        <f>IFERROR(INDEX('PROJETO PERFURAÇÃO'!$AN:$AN,MATCH(MEDIÇÃO!D704,'PROJETO PERFURAÇÃO'!$B:$B,0)),"")</f>
        <v/>
      </c>
      <c r="G704" s="3"/>
      <c r="H704" s="3"/>
      <c r="I704" s="3" t="str">
        <f>IFERROR(ROUND(INDEX('PROJETO PERFURAÇÃO'!$AB:$AB,MATCH(MEDIÇÃO!K704,'PROJETO PERFURAÇÃO'!$B:$B,0)),1)&amp;"''","")</f>
        <v/>
      </c>
      <c r="J704" s="3" t="str">
        <f>IFERROR(IF(INDEX('PROJETO PERFURAÇÃO'!$P:$P,MATCH(MEDIÇÃO!K704,'PROJETO PERFURAÇÃO'!$B:$B,0))="Production","P",IF(INDEX('PROJETO PERFURAÇÃO'!$P:$P,MATCH(MEDIÇÃO!K704,'PROJETO PERFURAÇÃO'!$B:$B,0))="Buffer","B",IF(INDEX('PROJETO PERFURAÇÃO'!$P:$P,MATCH(MEDIÇÃO!K704,'PROJETO PERFURAÇÃO'!$B:$B,0))="Pre-Splitting","S"))),"")</f>
        <v/>
      </c>
      <c r="K704" s="14">
        <f t="shared" si="67"/>
        <v>1559</v>
      </c>
      <c r="L704" s="4" t="str">
        <f>IFERROR(INDEX('LEV R&amp;D'!$D:$D,MATCH(MEDIÇÃO!K704,'LEV R&amp;D'!$A:$A,0))-INDEX('PROJETO PERFURAÇÃO'!$AH:$AH,MATCH(MEDIÇÃO!K704,'PROJETO PERFURAÇÃO'!$B:$B,0)),"")</f>
        <v/>
      </c>
      <c r="M704" s="8" t="str">
        <f>IFERROR(INDEX('PROJETO PERFURAÇÃO'!$AN:$AN,MATCH(MEDIÇÃO!K704,'PROJETO PERFURAÇÃO'!$B:$B,0)),"")</f>
        <v/>
      </c>
      <c r="N704" s="3"/>
      <c r="O704" s="3"/>
      <c r="P704" s="3" t="str">
        <f>IFERROR(ROUND(INDEX('PROJETO PERFURAÇÃO'!$AB:$AB,MATCH(MEDIÇÃO!R704,'PROJETO PERFURAÇÃO'!$B:$B,0)),1)&amp;"''","")</f>
        <v/>
      </c>
      <c r="Q704" s="3" t="str">
        <f>IFERROR(IF(INDEX('PROJETO PERFURAÇÃO'!$P:$P,MATCH(MEDIÇÃO!R704,'PROJETO PERFURAÇÃO'!$B:$B,0))="Production","P",IF(INDEX('PROJETO PERFURAÇÃO'!$P:$P,MATCH(MEDIÇÃO!R704,'PROJETO PERFURAÇÃO'!$B:$B,0))="Buffer","B",IF(INDEX('PROJETO PERFURAÇÃO'!$P:$P,MATCH(MEDIÇÃO!R704,'PROJETO PERFURAÇÃO'!$B:$B,0))="Pre-Splitting","S"))),"")</f>
        <v/>
      </c>
      <c r="R704" s="14">
        <f t="shared" si="68"/>
        <v>1582</v>
      </c>
      <c r="S704" s="4" t="str">
        <f>IFERROR(INDEX('LEV R&amp;D'!$D:$D,MATCH(MEDIÇÃO!R704,'LEV R&amp;D'!$A:$A,0))-INDEX('PROJETO PERFURAÇÃO'!$AH:$AH,MATCH(MEDIÇÃO!R704,'PROJETO PERFURAÇÃO'!$B:$B,0)),"")</f>
        <v/>
      </c>
      <c r="T704" s="8" t="str">
        <f>IFERROR(INDEX('PROJETO PERFURAÇÃO'!$AN:$AN,MATCH(MEDIÇÃO!R704,'PROJETO PERFURAÇÃO'!$B:$B,0)),"")</f>
        <v/>
      </c>
      <c r="U704" s="3"/>
      <c r="V704" s="3"/>
    </row>
    <row r="705" spans="1:23" ht="45" customHeight="1">
      <c r="B705" s="3" t="str">
        <f>IFERROR(ROUND(INDEX('PROJETO PERFURAÇÃO'!$AB:$AB,MATCH(MEDIÇÃO!D705,'PROJETO PERFURAÇÃO'!$B:$B,0)),1)&amp;"''","")</f>
        <v/>
      </c>
      <c r="C705" s="3" t="str">
        <f>IFERROR(IF(INDEX('PROJETO PERFURAÇÃO'!$P:$P,MATCH(MEDIÇÃO!D705,'PROJETO PERFURAÇÃO'!$B:$B,0))="Production","P",IF(INDEX('PROJETO PERFURAÇÃO'!$P:$P,MATCH(MEDIÇÃO!D705,'PROJETO PERFURAÇÃO'!$B:$B,0))="Buffer","B",IF(INDEX('PROJETO PERFURAÇÃO'!$P:$P,MATCH(MEDIÇÃO!D705,'PROJETO PERFURAÇÃO'!$B:$B,0))="Pre-Splitting","S"))),"")</f>
        <v/>
      </c>
      <c r="D705" s="14">
        <f t="shared" si="66"/>
        <v>1537</v>
      </c>
      <c r="E705" s="4" t="str">
        <f>IFERROR(INDEX('LEV R&amp;D'!$D:$D,MATCH(MEDIÇÃO!D705,'LEV R&amp;D'!$A:$A,0))-INDEX('PROJETO PERFURAÇÃO'!$AH:$AH,MATCH(MEDIÇÃO!D705,'PROJETO PERFURAÇÃO'!$B:$B,0)),"")</f>
        <v/>
      </c>
      <c r="F705" s="8" t="str">
        <f>IFERROR(INDEX('PROJETO PERFURAÇÃO'!$AN:$AN,MATCH(MEDIÇÃO!D705,'PROJETO PERFURAÇÃO'!$B:$B,0)),"")</f>
        <v/>
      </c>
      <c r="G705" s="3"/>
      <c r="H705" s="3"/>
      <c r="I705" s="3" t="str">
        <f>IFERROR(ROUND(INDEX('PROJETO PERFURAÇÃO'!$AB:$AB,MATCH(MEDIÇÃO!K705,'PROJETO PERFURAÇÃO'!$B:$B,0)),1)&amp;"''","")</f>
        <v/>
      </c>
      <c r="J705" s="3" t="str">
        <f>IFERROR(IF(INDEX('PROJETO PERFURAÇÃO'!$P:$P,MATCH(MEDIÇÃO!K705,'PROJETO PERFURAÇÃO'!$B:$B,0))="Production","P",IF(INDEX('PROJETO PERFURAÇÃO'!$P:$P,MATCH(MEDIÇÃO!K705,'PROJETO PERFURAÇÃO'!$B:$B,0))="Buffer","B",IF(INDEX('PROJETO PERFURAÇÃO'!$P:$P,MATCH(MEDIÇÃO!K705,'PROJETO PERFURAÇÃO'!$B:$B,0))="Pre-Splitting","S"))),"")</f>
        <v/>
      </c>
      <c r="K705" s="14">
        <f t="shared" si="67"/>
        <v>1560</v>
      </c>
      <c r="L705" s="4" t="str">
        <f>IFERROR(INDEX('LEV R&amp;D'!$D:$D,MATCH(MEDIÇÃO!K705,'LEV R&amp;D'!$A:$A,0))-INDEX('PROJETO PERFURAÇÃO'!$AH:$AH,MATCH(MEDIÇÃO!K705,'PROJETO PERFURAÇÃO'!$B:$B,0)),"")</f>
        <v/>
      </c>
      <c r="M705" s="8" t="str">
        <f>IFERROR(INDEX('PROJETO PERFURAÇÃO'!$AN:$AN,MATCH(MEDIÇÃO!K705,'PROJETO PERFURAÇÃO'!$B:$B,0)),"")</f>
        <v/>
      </c>
      <c r="N705" s="3"/>
      <c r="O705" s="3"/>
      <c r="P705" s="3" t="str">
        <f>IFERROR(ROUND(INDEX('PROJETO PERFURAÇÃO'!$AB:$AB,MATCH(MEDIÇÃO!R705,'PROJETO PERFURAÇÃO'!$B:$B,0)),1)&amp;"''","")</f>
        <v/>
      </c>
      <c r="Q705" s="3" t="str">
        <f>IFERROR(IF(INDEX('PROJETO PERFURAÇÃO'!$P:$P,MATCH(MEDIÇÃO!R705,'PROJETO PERFURAÇÃO'!$B:$B,0))="Production","P",IF(INDEX('PROJETO PERFURAÇÃO'!$P:$P,MATCH(MEDIÇÃO!R705,'PROJETO PERFURAÇÃO'!$B:$B,0))="Buffer","B",IF(INDEX('PROJETO PERFURAÇÃO'!$P:$P,MATCH(MEDIÇÃO!R705,'PROJETO PERFURAÇÃO'!$B:$B,0))="Pre-Splitting","S"))),"")</f>
        <v/>
      </c>
      <c r="R705" s="14">
        <f t="shared" si="68"/>
        <v>1583</v>
      </c>
      <c r="S705" s="4" t="str">
        <f>IFERROR(INDEX('LEV R&amp;D'!$D:$D,MATCH(MEDIÇÃO!R705,'LEV R&amp;D'!$A:$A,0))-INDEX('PROJETO PERFURAÇÃO'!$AH:$AH,MATCH(MEDIÇÃO!R705,'PROJETO PERFURAÇÃO'!$B:$B,0)),"")</f>
        <v/>
      </c>
      <c r="T705" s="8" t="str">
        <f>IFERROR(INDEX('PROJETO PERFURAÇÃO'!$AN:$AN,MATCH(MEDIÇÃO!R705,'PROJETO PERFURAÇÃO'!$B:$B,0)),"")</f>
        <v/>
      </c>
      <c r="U705" s="3"/>
      <c r="V705" s="3"/>
    </row>
    <row r="706" spans="1:23" ht="45" customHeight="1">
      <c r="B706" s="3" t="str">
        <f>IFERROR(ROUND(INDEX('PROJETO PERFURAÇÃO'!$AB:$AB,MATCH(MEDIÇÃO!D706,'PROJETO PERFURAÇÃO'!$B:$B,0)),1)&amp;"''","")</f>
        <v/>
      </c>
      <c r="C706" s="3" t="str">
        <f>IFERROR(IF(INDEX('PROJETO PERFURAÇÃO'!$P:$P,MATCH(MEDIÇÃO!D706,'PROJETO PERFURAÇÃO'!$B:$B,0))="Production","P",IF(INDEX('PROJETO PERFURAÇÃO'!$P:$P,MATCH(MEDIÇÃO!D706,'PROJETO PERFURAÇÃO'!$B:$B,0))="Buffer","B",IF(INDEX('PROJETO PERFURAÇÃO'!$P:$P,MATCH(MEDIÇÃO!D706,'PROJETO PERFURAÇÃO'!$B:$B,0))="Pre-Splitting","S"))),"")</f>
        <v/>
      </c>
      <c r="D706" s="14">
        <f t="shared" si="66"/>
        <v>1538</v>
      </c>
      <c r="E706" s="4" t="str">
        <f>IFERROR(INDEX('LEV R&amp;D'!$D:$D,MATCH(MEDIÇÃO!D706,'LEV R&amp;D'!$A:$A,0))-INDEX('PROJETO PERFURAÇÃO'!$AH:$AH,MATCH(MEDIÇÃO!D706,'PROJETO PERFURAÇÃO'!$B:$B,0)),"")</f>
        <v/>
      </c>
      <c r="F706" s="8" t="str">
        <f>IFERROR(INDEX('PROJETO PERFURAÇÃO'!$AN:$AN,MATCH(MEDIÇÃO!D706,'PROJETO PERFURAÇÃO'!$B:$B,0)),"")</f>
        <v/>
      </c>
      <c r="G706" s="3"/>
      <c r="H706" s="3"/>
      <c r="I706" s="3" t="str">
        <f>IFERROR(ROUND(INDEX('PROJETO PERFURAÇÃO'!$AB:$AB,MATCH(MEDIÇÃO!K706,'PROJETO PERFURAÇÃO'!$B:$B,0)),1)&amp;"''","")</f>
        <v/>
      </c>
      <c r="J706" s="3" t="str">
        <f>IFERROR(IF(INDEX('PROJETO PERFURAÇÃO'!$P:$P,MATCH(MEDIÇÃO!K706,'PROJETO PERFURAÇÃO'!$B:$B,0))="Production","P",IF(INDEX('PROJETO PERFURAÇÃO'!$P:$P,MATCH(MEDIÇÃO!K706,'PROJETO PERFURAÇÃO'!$B:$B,0))="Buffer","B",IF(INDEX('PROJETO PERFURAÇÃO'!$P:$P,MATCH(MEDIÇÃO!K706,'PROJETO PERFURAÇÃO'!$B:$B,0))="Pre-Splitting","S"))),"")</f>
        <v/>
      </c>
      <c r="K706" s="14">
        <f t="shared" si="67"/>
        <v>1561</v>
      </c>
      <c r="L706" s="4" t="str">
        <f>IFERROR(INDEX('LEV R&amp;D'!$D:$D,MATCH(MEDIÇÃO!K706,'LEV R&amp;D'!$A:$A,0))-INDEX('PROJETO PERFURAÇÃO'!$AH:$AH,MATCH(MEDIÇÃO!K706,'PROJETO PERFURAÇÃO'!$B:$B,0)),"")</f>
        <v/>
      </c>
      <c r="M706" s="8" t="str">
        <f>IFERROR(INDEX('PROJETO PERFURAÇÃO'!$AN:$AN,MATCH(MEDIÇÃO!K706,'PROJETO PERFURAÇÃO'!$B:$B,0)),"")</f>
        <v/>
      </c>
      <c r="N706" s="3"/>
      <c r="O706" s="3"/>
      <c r="P706" s="3" t="str">
        <f>IFERROR(ROUND(INDEX('PROJETO PERFURAÇÃO'!$AB:$AB,MATCH(MEDIÇÃO!R706,'PROJETO PERFURAÇÃO'!$B:$B,0)),1)&amp;"''","")</f>
        <v/>
      </c>
      <c r="Q706" s="3" t="str">
        <f>IFERROR(IF(INDEX('PROJETO PERFURAÇÃO'!$P:$P,MATCH(MEDIÇÃO!R706,'PROJETO PERFURAÇÃO'!$B:$B,0))="Production","P",IF(INDEX('PROJETO PERFURAÇÃO'!$P:$P,MATCH(MEDIÇÃO!R706,'PROJETO PERFURAÇÃO'!$B:$B,0))="Buffer","B",IF(INDEX('PROJETO PERFURAÇÃO'!$P:$P,MATCH(MEDIÇÃO!R706,'PROJETO PERFURAÇÃO'!$B:$B,0))="Pre-Splitting","S"))),"")</f>
        <v/>
      </c>
      <c r="R706" s="14">
        <f t="shared" si="68"/>
        <v>1584</v>
      </c>
      <c r="S706" s="4" t="str">
        <f>IFERROR(INDEX('LEV R&amp;D'!$D:$D,MATCH(MEDIÇÃO!R706,'LEV R&amp;D'!$A:$A,0))-INDEX('PROJETO PERFURAÇÃO'!$AH:$AH,MATCH(MEDIÇÃO!R706,'PROJETO PERFURAÇÃO'!$B:$B,0)),"")</f>
        <v/>
      </c>
      <c r="T706" s="8" t="str">
        <f>IFERROR(INDEX('PROJETO PERFURAÇÃO'!$AN:$AN,MATCH(MEDIÇÃO!R706,'PROJETO PERFURAÇÃO'!$B:$B,0)),"")</f>
        <v/>
      </c>
      <c r="U706" s="3"/>
      <c r="V706" s="3"/>
    </row>
    <row r="707" spans="1:23" ht="45" customHeight="1">
      <c r="B707" s="3" t="str">
        <f>IFERROR(ROUND(INDEX('PROJETO PERFURAÇÃO'!$AB:$AB,MATCH(MEDIÇÃO!D707,'PROJETO PERFURAÇÃO'!$B:$B,0)),1)&amp;"''","")</f>
        <v/>
      </c>
      <c r="C707" s="3" t="str">
        <f>IFERROR(IF(INDEX('PROJETO PERFURAÇÃO'!$P:$P,MATCH(MEDIÇÃO!D707,'PROJETO PERFURAÇÃO'!$B:$B,0))="Production","P",IF(INDEX('PROJETO PERFURAÇÃO'!$P:$P,MATCH(MEDIÇÃO!D707,'PROJETO PERFURAÇÃO'!$B:$B,0))="Buffer","B",IF(INDEX('PROJETO PERFURAÇÃO'!$P:$P,MATCH(MEDIÇÃO!D707,'PROJETO PERFURAÇÃO'!$B:$B,0))="Pre-Splitting","S"))),"")</f>
        <v/>
      </c>
      <c r="D707" s="14">
        <f t="shared" si="66"/>
        <v>1539</v>
      </c>
      <c r="E707" s="4" t="str">
        <f>IFERROR(INDEX('LEV R&amp;D'!$D:$D,MATCH(MEDIÇÃO!D707,'LEV R&amp;D'!$A:$A,0))-INDEX('PROJETO PERFURAÇÃO'!$AH:$AH,MATCH(MEDIÇÃO!D707,'PROJETO PERFURAÇÃO'!$B:$B,0)),"")</f>
        <v/>
      </c>
      <c r="F707" s="8" t="str">
        <f>IFERROR(INDEX('PROJETO PERFURAÇÃO'!$AN:$AN,MATCH(MEDIÇÃO!D707,'PROJETO PERFURAÇÃO'!$B:$B,0)),"")</f>
        <v/>
      </c>
      <c r="G707" s="3"/>
      <c r="H707" s="3"/>
      <c r="I707" s="3" t="str">
        <f>IFERROR(ROUND(INDEX('PROJETO PERFURAÇÃO'!$AB:$AB,MATCH(MEDIÇÃO!K707,'PROJETO PERFURAÇÃO'!$B:$B,0)),1)&amp;"''","")</f>
        <v/>
      </c>
      <c r="J707" s="3" t="str">
        <f>IFERROR(IF(INDEX('PROJETO PERFURAÇÃO'!$P:$P,MATCH(MEDIÇÃO!K707,'PROJETO PERFURAÇÃO'!$B:$B,0))="Production","P",IF(INDEX('PROJETO PERFURAÇÃO'!$P:$P,MATCH(MEDIÇÃO!K707,'PROJETO PERFURAÇÃO'!$B:$B,0))="Buffer","B",IF(INDEX('PROJETO PERFURAÇÃO'!$P:$P,MATCH(MEDIÇÃO!K707,'PROJETO PERFURAÇÃO'!$B:$B,0))="Pre-Splitting","S"))),"")</f>
        <v/>
      </c>
      <c r="K707" s="14">
        <f t="shared" si="67"/>
        <v>1562</v>
      </c>
      <c r="L707" s="4" t="str">
        <f>IFERROR(INDEX('LEV R&amp;D'!$D:$D,MATCH(MEDIÇÃO!K707,'LEV R&amp;D'!$A:$A,0))-INDEX('PROJETO PERFURAÇÃO'!$AH:$AH,MATCH(MEDIÇÃO!K707,'PROJETO PERFURAÇÃO'!$B:$B,0)),"")</f>
        <v/>
      </c>
      <c r="M707" s="8" t="str">
        <f>IFERROR(INDEX('PROJETO PERFURAÇÃO'!$AN:$AN,MATCH(MEDIÇÃO!K707,'PROJETO PERFURAÇÃO'!$B:$B,0)),"")</f>
        <v/>
      </c>
      <c r="N707" s="3"/>
      <c r="O707" s="3"/>
      <c r="P707" s="3" t="str">
        <f>IFERROR(ROUND(INDEX('PROJETO PERFURAÇÃO'!$AB:$AB,MATCH(MEDIÇÃO!R707,'PROJETO PERFURAÇÃO'!$B:$B,0)),1)&amp;"''","")</f>
        <v/>
      </c>
      <c r="Q707" s="3" t="str">
        <f>IFERROR(IF(INDEX('PROJETO PERFURAÇÃO'!$P:$P,MATCH(MEDIÇÃO!R707,'PROJETO PERFURAÇÃO'!$B:$B,0))="Production","P",IF(INDEX('PROJETO PERFURAÇÃO'!$P:$P,MATCH(MEDIÇÃO!R707,'PROJETO PERFURAÇÃO'!$B:$B,0))="Buffer","B",IF(INDEX('PROJETO PERFURAÇÃO'!$P:$P,MATCH(MEDIÇÃO!R707,'PROJETO PERFURAÇÃO'!$B:$B,0))="Pre-Splitting","S"))),"")</f>
        <v/>
      </c>
      <c r="R707" s="14">
        <f t="shared" si="68"/>
        <v>1585</v>
      </c>
      <c r="S707" s="4" t="str">
        <f>IFERROR(INDEX('LEV R&amp;D'!$D:$D,MATCH(MEDIÇÃO!R707,'LEV R&amp;D'!$A:$A,0))-INDEX('PROJETO PERFURAÇÃO'!$AH:$AH,MATCH(MEDIÇÃO!R707,'PROJETO PERFURAÇÃO'!$B:$B,0)),"")</f>
        <v/>
      </c>
      <c r="T707" s="8" t="str">
        <f>IFERROR(INDEX('PROJETO PERFURAÇÃO'!$AN:$AN,MATCH(MEDIÇÃO!R707,'PROJETO PERFURAÇÃO'!$B:$B,0)),"")</f>
        <v/>
      </c>
      <c r="U707" s="3"/>
      <c r="V707" s="3"/>
    </row>
    <row r="708" spans="1:23" ht="45" customHeight="1">
      <c r="B708" s="3" t="str">
        <f>IFERROR(ROUND(INDEX('PROJETO PERFURAÇÃO'!$AB:$AB,MATCH(MEDIÇÃO!D708,'PROJETO PERFURAÇÃO'!$B:$B,0)),1)&amp;"''","")</f>
        <v/>
      </c>
      <c r="C708" s="3" t="str">
        <f>IFERROR(IF(INDEX('PROJETO PERFURAÇÃO'!$P:$P,MATCH(MEDIÇÃO!D708,'PROJETO PERFURAÇÃO'!$B:$B,0))="Production","P",IF(INDEX('PROJETO PERFURAÇÃO'!$P:$P,MATCH(MEDIÇÃO!D708,'PROJETO PERFURAÇÃO'!$B:$B,0))="Buffer","B",IF(INDEX('PROJETO PERFURAÇÃO'!$P:$P,MATCH(MEDIÇÃO!D708,'PROJETO PERFURAÇÃO'!$B:$B,0))="Pre-Splitting","S"))),"")</f>
        <v/>
      </c>
      <c r="D708" s="14">
        <f t="shared" si="66"/>
        <v>1540</v>
      </c>
      <c r="E708" s="4" t="str">
        <f>IFERROR(INDEX('LEV R&amp;D'!$D:$D,MATCH(MEDIÇÃO!D708,'LEV R&amp;D'!$A:$A,0))-INDEX('PROJETO PERFURAÇÃO'!$AH:$AH,MATCH(MEDIÇÃO!D708,'PROJETO PERFURAÇÃO'!$B:$B,0)),"")</f>
        <v/>
      </c>
      <c r="F708" s="8" t="str">
        <f>IFERROR(INDEX('PROJETO PERFURAÇÃO'!$AN:$AN,MATCH(MEDIÇÃO!D708,'PROJETO PERFURAÇÃO'!$B:$B,0)),"")</f>
        <v/>
      </c>
      <c r="G708" s="3"/>
      <c r="H708" s="3"/>
      <c r="I708" s="3" t="str">
        <f>IFERROR(ROUND(INDEX('PROJETO PERFURAÇÃO'!$AB:$AB,MATCH(MEDIÇÃO!K708,'PROJETO PERFURAÇÃO'!$B:$B,0)),1)&amp;"''","")</f>
        <v/>
      </c>
      <c r="J708" s="3" t="str">
        <f>IFERROR(IF(INDEX('PROJETO PERFURAÇÃO'!$P:$P,MATCH(MEDIÇÃO!K708,'PROJETO PERFURAÇÃO'!$B:$B,0))="Production","P",IF(INDEX('PROJETO PERFURAÇÃO'!$P:$P,MATCH(MEDIÇÃO!K708,'PROJETO PERFURAÇÃO'!$B:$B,0))="Buffer","B",IF(INDEX('PROJETO PERFURAÇÃO'!$P:$P,MATCH(MEDIÇÃO!K708,'PROJETO PERFURAÇÃO'!$B:$B,0))="Pre-Splitting","S"))),"")</f>
        <v/>
      </c>
      <c r="K708" s="14">
        <f t="shared" si="67"/>
        <v>1563</v>
      </c>
      <c r="L708" s="4" t="str">
        <f>IFERROR(INDEX('LEV R&amp;D'!$D:$D,MATCH(MEDIÇÃO!K708,'LEV R&amp;D'!$A:$A,0))-INDEX('PROJETO PERFURAÇÃO'!$AH:$AH,MATCH(MEDIÇÃO!K708,'PROJETO PERFURAÇÃO'!$B:$B,0)),"")</f>
        <v/>
      </c>
      <c r="M708" s="8" t="str">
        <f>IFERROR(INDEX('PROJETO PERFURAÇÃO'!$AN:$AN,MATCH(MEDIÇÃO!K708,'PROJETO PERFURAÇÃO'!$B:$B,0)),"")</f>
        <v/>
      </c>
      <c r="N708" s="3"/>
      <c r="O708" s="3"/>
      <c r="P708" s="3" t="str">
        <f>IFERROR(ROUND(INDEX('PROJETO PERFURAÇÃO'!$AB:$AB,MATCH(MEDIÇÃO!R708,'PROJETO PERFURAÇÃO'!$B:$B,0)),1)&amp;"''","")</f>
        <v/>
      </c>
      <c r="Q708" s="3" t="str">
        <f>IFERROR(IF(INDEX('PROJETO PERFURAÇÃO'!$P:$P,MATCH(MEDIÇÃO!R708,'PROJETO PERFURAÇÃO'!$B:$B,0))="Production","P",IF(INDEX('PROJETO PERFURAÇÃO'!$P:$P,MATCH(MEDIÇÃO!R708,'PROJETO PERFURAÇÃO'!$B:$B,0))="Buffer","B",IF(INDEX('PROJETO PERFURAÇÃO'!$P:$P,MATCH(MEDIÇÃO!R708,'PROJETO PERFURAÇÃO'!$B:$B,0))="Pre-Splitting","S"))),"")</f>
        <v/>
      </c>
      <c r="R708" s="14">
        <f t="shared" si="68"/>
        <v>1586</v>
      </c>
      <c r="S708" s="4" t="str">
        <f>IFERROR(INDEX('LEV R&amp;D'!$D:$D,MATCH(MEDIÇÃO!R708,'LEV R&amp;D'!$A:$A,0))-INDEX('PROJETO PERFURAÇÃO'!$AH:$AH,MATCH(MEDIÇÃO!R708,'PROJETO PERFURAÇÃO'!$B:$B,0)),"")</f>
        <v/>
      </c>
      <c r="T708" s="8" t="str">
        <f>IFERROR(INDEX('PROJETO PERFURAÇÃO'!$AN:$AN,MATCH(MEDIÇÃO!R708,'PROJETO PERFURAÇÃO'!$B:$B,0)),"")</f>
        <v/>
      </c>
      <c r="U708" s="3"/>
      <c r="V708" s="3"/>
    </row>
    <row r="709" spans="1:23" ht="45" customHeight="1">
      <c r="B709" s="3" t="str">
        <f>IFERROR(ROUND(INDEX('PROJETO PERFURAÇÃO'!$AB:$AB,MATCH(MEDIÇÃO!D709,'PROJETO PERFURAÇÃO'!$B:$B,0)),1)&amp;"''","")</f>
        <v/>
      </c>
      <c r="C709" s="3" t="str">
        <f>IFERROR(IF(INDEX('PROJETO PERFURAÇÃO'!$P:$P,MATCH(MEDIÇÃO!D709,'PROJETO PERFURAÇÃO'!$B:$B,0))="Production","P",IF(INDEX('PROJETO PERFURAÇÃO'!$P:$P,MATCH(MEDIÇÃO!D709,'PROJETO PERFURAÇÃO'!$B:$B,0))="Buffer","B",IF(INDEX('PROJETO PERFURAÇÃO'!$P:$P,MATCH(MEDIÇÃO!D709,'PROJETO PERFURAÇÃO'!$B:$B,0))="Pre-Splitting","S"))),"")</f>
        <v/>
      </c>
      <c r="D709" s="14">
        <f t="shared" si="66"/>
        <v>1541</v>
      </c>
      <c r="E709" s="4" t="str">
        <f>IFERROR(INDEX('LEV R&amp;D'!$D:$D,MATCH(MEDIÇÃO!D709,'LEV R&amp;D'!$A:$A,0))-INDEX('PROJETO PERFURAÇÃO'!$AH:$AH,MATCH(MEDIÇÃO!D709,'PROJETO PERFURAÇÃO'!$B:$B,0)),"")</f>
        <v/>
      </c>
      <c r="F709" s="8" t="str">
        <f>IFERROR(INDEX('PROJETO PERFURAÇÃO'!$AN:$AN,MATCH(MEDIÇÃO!D709,'PROJETO PERFURAÇÃO'!$B:$B,0)),"")</f>
        <v/>
      </c>
      <c r="G709" s="3"/>
      <c r="H709" s="3"/>
      <c r="I709" s="3" t="str">
        <f>IFERROR(ROUND(INDEX('PROJETO PERFURAÇÃO'!$AB:$AB,MATCH(MEDIÇÃO!K709,'PROJETO PERFURAÇÃO'!$B:$B,0)),1)&amp;"''","")</f>
        <v/>
      </c>
      <c r="J709" s="3" t="str">
        <f>IFERROR(IF(INDEX('PROJETO PERFURAÇÃO'!$P:$P,MATCH(MEDIÇÃO!K709,'PROJETO PERFURAÇÃO'!$B:$B,0))="Production","P",IF(INDEX('PROJETO PERFURAÇÃO'!$P:$P,MATCH(MEDIÇÃO!K709,'PROJETO PERFURAÇÃO'!$B:$B,0))="Buffer","B",IF(INDEX('PROJETO PERFURAÇÃO'!$P:$P,MATCH(MEDIÇÃO!K709,'PROJETO PERFURAÇÃO'!$B:$B,0))="Pre-Splitting","S"))),"")</f>
        <v/>
      </c>
      <c r="K709" s="14">
        <f>K708+1</f>
        <v>1564</v>
      </c>
      <c r="L709" s="4" t="str">
        <f>IFERROR(INDEX('LEV R&amp;D'!$D:$D,MATCH(MEDIÇÃO!K709,'LEV R&amp;D'!$A:$A,0))-INDEX('PROJETO PERFURAÇÃO'!$AH:$AH,MATCH(MEDIÇÃO!K709,'PROJETO PERFURAÇÃO'!$B:$B,0)),"")</f>
        <v/>
      </c>
      <c r="M709" s="8" t="str">
        <f>IFERROR(INDEX('PROJETO PERFURAÇÃO'!$AN:$AN,MATCH(MEDIÇÃO!K709,'PROJETO PERFURAÇÃO'!$B:$B,0)),"")</f>
        <v/>
      </c>
      <c r="N709" s="3"/>
      <c r="O709" s="3"/>
      <c r="P709" s="3" t="str">
        <f>IFERROR(ROUND(INDEX('PROJETO PERFURAÇÃO'!$AB:$AB,MATCH(MEDIÇÃO!R709,'PROJETO PERFURAÇÃO'!$B:$B,0)),1)&amp;"''","")</f>
        <v/>
      </c>
      <c r="Q709" s="3" t="str">
        <f>IFERROR(IF(INDEX('PROJETO PERFURAÇÃO'!$P:$P,MATCH(MEDIÇÃO!R709,'PROJETO PERFURAÇÃO'!$B:$B,0))="Production","P",IF(INDEX('PROJETO PERFURAÇÃO'!$P:$P,MATCH(MEDIÇÃO!R709,'PROJETO PERFURAÇÃO'!$B:$B,0))="Buffer","B",IF(INDEX('PROJETO PERFURAÇÃO'!$P:$P,MATCH(MEDIÇÃO!R709,'PROJETO PERFURAÇÃO'!$B:$B,0))="Pre-Splitting","S"))),"")</f>
        <v/>
      </c>
      <c r="R709" s="14">
        <f>R708+1</f>
        <v>1587</v>
      </c>
      <c r="S709" s="4" t="str">
        <f>IFERROR(INDEX('LEV R&amp;D'!$D:$D,MATCH(MEDIÇÃO!R709,'LEV R&amp;D'!$A:$A,0))-INDEX('PROJETO PERFURAÇÃO'!$AH:$AH,MATCH(MEDIÇÃO!R709,'PROJETO PERFURAÇÃO'!$B:$B,0)),"")</f>
        <v/>
      </c>
      <c r="T709" s="8" t="str">
        <f>IFERROR(INDEX('PROJETO PERFURAÇÃO'!$AN:$AN,MATCH(MEDIÇÃO!R709,'PROJETO PERFURAÇÃO'!$B:$B,0)),"")</f>
        <v/>
      </c>
      <c r="U709" s="3"/>
      <c r="V709" s="3"/>
    </row>
    <row r="710" spans="1:23" ht="30" customHeight="1">
      <c r="B710" s="1"/>
      <c r="C710" s="1"/>
      <c r="D710" s="15"/>
      <c r="E710" s="2"/>
      <c r="F710" s="16"/>
      <c r="G710" s="1"/>
      <c r="H710" s="1"/>
      <c r="I710" s="1"/>
      <c r="J710" s="1"/>
      <c r="K710" s="15"/>
      <c r="L710" s="2"/>
      <c r="M710" s="16"/>
      <c r="N710" s="1"/>
      <c r="O710" s="1"/>
      <c r="P710" s="1"/>
      <c r="Q710" s="1"/>
      <c r="R710" s="15"/>
      <c r="S710" s="2"/>
      <c r="T710" s="16"/>
      <c r="U710" s="1"/>
      <c r="V710" s="1"/>
    </row>
    <row r="711" spans="1:23" ht="30" customHeight="1">
      <c r="C711" s="20"/>
      <c r="D711" s="20"/>
      <c r="E711" s="20"/>
      <c r="F711" s="20"/>
      <c r="G711" s="20"/>
      <c r="H711" s="20"/>
      <c r="I711" s="20"/>
      <c r="J711" s="20"/>
      <c r="K711" s="20"/>
      <c r="M711" s="20"/>
      <c r="N711" s="20"/>
      <c r="O711" s="20"/>
      <c r="P711" s="20"/>
      <c r="Q711" s="20"/>
      <c r="R711" s="20"/>
      <c r="S711" s="20"/>
      <c r="T711" s="20"/>
      <c r="U711" s="20"/>
    </row>
    <row r="712" spans="1:23" ht="30" customHeight="1">
      <c r="C712" s="21" t="s">
        <v>40</v>
      </c>
      <c r="D712" s="21"/>
      <c r="E712" s="21"/>
      <c r="F712" s="21"/>
      <c r="G712" s="21"/>
      <c r="H712" s="21"/>
      <c r="I712" s="21"/>
      <c r="J712" s="21"/>
      <c r="K712" s="21"/>
      <c r="L712" s="9"/>
      <c r="M712" s="21" t="s">
        <v>40</v>
      </c>
      <c r="N712" s="21"/>
      <c r="O712" s="21"/>
      <c r="P712" s="21"/>
      <c r="Q712" s="21"/>
      <c r="R712" s="21"/>
      <c r="S712" s="21"/>
      <c r="T712" s="21"/>
      <c r="U712" s="21"/>
      <c r="V712" s="9"/>
    </row>
    <row r="713" spans="1:23" ht="30" customHeight="1">
      <c r="D713" s="9"/>
      <c r="E713" s="9"/>
      <c r="F713" s="9"/>
      <c r="G713" s="9"/>
      <c r="H713" s="9"/>
      <c r="I713" s="9"/>
      <c r="J713" s="9"/>
      <c r="K713" s="9"/>
      <c r="L713" s="9"/>
      <c r="M713" s="9"/>
      <c r="N713" s="9"/>
      <c r="Q713" s="9"/>
      <c r="R713" s="9"/>
      <c r="S713" s="9"/>
      <c r="T713" s="9"/>
      <c r="U713" s="9"/>
      <c r="V713" s="9"/>
    </row>
    <row r="714" spans="1:23" ht="30" customHeight="1">
      <c r="B714" s="19" t="str">
        <f>'PROJETO PERFURAÇÃO'!$C$2&amp;" - "&amp;'PROJETO PERFURAÇÃO'!$H$2</f>
        <v>LIB037 - PP0370626</v>
      </c>
      <c r="C714" s="19"/>
      <c r="D714" s="19"/>
      <c r="E714" s="19"/>
      <c r="F714" s="19"/>
      <c r="G714" s="19"/>
      <c r="H714" s="19"/>
      <c r="I714" s="11" t="s">
        <v>34</v>
      </c>
      <c r="J714" s="10" t="s">
        <v>37</v>
      </c>
    </row>
    <row r="715" spans="1:23" ht="30" customHeight="1">
      <c r="B715" s="19"/>
      <c r="C715" s="19"/>
      <c r="D715" s="19"/>
      <c r="E715" s="19"/>
      <c r="F715" s="19"/>
      <c r="G715" s="19"/>
      <c r="H715" s="19"/>
      <c r="I715" s="12" t="s">
        <v>35</v>
      </c>
      <c r="J715" s="10" t="s">
        <v>38</v>
      </c>
      <c r="K715" s="9"/>
      <c r="L715" s="9"/>
      <c r="M715" s="9"/>
      <c r="N715" s="9"/>
      <c r="O715" s="9"/>
      <c r="P715" s="9"/>
      <c r="Q715" s="9"/>
      <c r="R715" s="9"/>
      <c r="S715" s="9"/>
      <c r="T715" s="9"/>
      <c r="U715" s="9"/>
      <c r="V715" s="9"/>
    </row>
    <row r="716" spans="1:23" ht="30" customHeight="1">
      <c r="B716" s="19"/>
      <c r="C716" s="19"/>
      <c r="D716" s="19"/>
      <c r="E716" s="19"/>
      <c r="F716" s="19"/>
      <c r="G716" s="19"/>
      <c r="H716" s="19"/>
      <c r="I716" s="13" t="s">
        <v>36</v>
      </c>
      <c r="J716" s="10" t="s">
        <v>39</v>
      </c>
    </row>
    <row r="717" spans="1:23" ht="30" customHeight="1">
      <c r="A717" s="1"/>
      <c r="B717" s="6" t="s">
        <v>33</v>
      </c>
      <c r="C717" s="6" t="s">
        <v>13</v>
      </c>
      <c r="D717" s="7" t="s">
        <v>1</v>
      </c>
      <c r="E717" s="7" t="s">
        <v>29</v>
      </c>
      <c r="F717" s="7" t="s">
        <v>30</v>
      </c>
      <c r="G717" s="7" t="s">
        <v>31</v>
      </c>
      <c r="H717" s="7" t="s">
        <v>32</v>
      </c>
      <c r="I717" s="6" t="s">
        <v>33</v>
      </c>
      <c r="J717" s="6" t="s">
        <v>13</v>
      </c>
      <c r="K717" s="7" t="s">
        <v>1</v>
      </c>
      <c r="L717" s="7" t="s">
        <v>29</v>
      </c>
      <c r="M717" s="7" t="s">
        <v>30</v>
      </c>
      <c r="N717" s="7" t="s">
        <v>31</v>
      </c>
      <c r="O717" s="7" t="s">
        <v>32</v>
      </c>
      <c r="P717" s="6" t="s">
        <v>33</v>
      </c>
      <c r="Q717" s="6" t="s">
        <v>13</v>
      </c>
      <c r="R717" s="7" t="s">
        <v>1</v>
      </c>
      <c r="S717" s="7" t="s">
        <v>29</v>
      </c>
      <c r="T717" s="7" t="s">
        <v>30</v>
      </c>
      <c r="U717" s="7" t="s">
        <v>31</v>
      </c>
      <c r="V717" s="7" t="s">
        <v>32</v>
      </c>
      <c r="W717" s="1"/>
    </row>
    <row r="718" spans="1:23" ht="45" customHeight="1">
      <c r="B718" s="3" t="str">
        <f>IFERROR(ROUND(INDEX('PROJETO PERFURAÇÃO'!$AB:$AB,MATCH(MEDIÇÃO!D718,'PROJETO PERFURAÇÃO'!$B:$B,0)),1)&amp;"''","")</f>
        <v/>
      </c>
      <c r="C718" s="3" t="str">
        <f>IFERROR(IF(INDEX('PROJETO PERFURAÇÃO'!$P:$P,MATCH(MEDIÇÃO!D718,'PROJETO PERFURAÇÃO'!$B:$B,0))="Production","P",IF(INDEX('PROJETO PERFURAÇÃO'!$P:$P,MATCH(MEDIÇÃO!D718,'PROJETO PERFURAÇÃO'!$B:$B,0))="Buffer","B",IF(INDEX('PROJETO PERFURAÇÃO'!$P:$P,MATCH(MEDIÇÃO!D718,'PROJETO PERFURAÇÃO'!$B:$B,0))="Pre-Splitting","S"))),"")</f>
        <v/>
      </c>
      <c r="D718" s="14">
        <f>R709+1</f>
        <v>1588</v>
      </c>
      <c r="E718" s="4" t="str">
        <f>IFERROR(INDEX('LEV R&amp;D'!$D:$D,MATCH(MEDIÇÃO!D718,'LEV R&amp;D'!$A:$A,0))-INDEX('PROJETO PERFURAÇÃO'!$AH:$AH,MATCH(MEDIÇÃO!D718,'PROJETO PERFURAÇÃO'!$B:$B,0)),"")</f>
        <v/>
      </c>
      <c r="F718" s="8" t="str">
        <f>IFERROR(INDEX('PROJETO PERFURAÇÃO'!$AN:$AN,MATCH(MEDIÇÃO!D718,'PROJETO PERFURAÇÃO'!$B:$B,0)),"")</f>
        <v/>
      </c>
      <c r="G718" s="3"/>
      <c r="H718" s="3"/>
      <c r="I718" s="3" t="str">
        <f>IFERROR(ROUND(INDEX('PROJETO PERFURAÇÃO'!$AB:$AB,MATCH(MEDIÇÃO!K718,'PROJETO PERFURAÇÃO'!$B:$B,0)),1)&amp;"''","")</f>
        <v/>
      </c>
      <c r="J718" s="3" t="str">
        <f>IFERROR(IF(INDEX('PROJETO PERFURAÇÃO'!$P:$P,MATCH(MEDIÇÃO!K718,'PROJETO PERFURAÇÃO'!$B:$B,0))="Production","P",IF(INDEX('PROJETO PERFURAÇÃO'!$P:$P,MATCH(MEDIÇÃO!K718,'PROJETO PERFURAÇÃO'!$B:$B,0))="Buffer","B",IF(INDEX('PROJETO PERFURAÇÃO'!$P:$P,MATCH(MEDIÇÃO!K718,'PROJETO PERFURAÇÃO'!$B:$B,0))="Pre-Splitting","S"))),"")</f>
        <v/>
      </c>
      <c r="K718" s="14">
        <f>D740+1</f>
        <v>1611</v>
      </c>
      <c r="L718" s="4" t="str">
        <f>IFERROR(INDEX('LEV R&amp;D'!$D:$D,MATCH(MEDIÇÃO!K718,'LEV R&amp;D'!$A:$A,0))-INDEX('PROJETO PERFURAÇÃO'!$AH:$AH,MATCH(MEDIÇÃO!K718,'PROJETO PERFURAÇÃO'!$B:$B,0)),"")</f>
        <v/>
      </c>
      <c r="M718" s="8" t="str">
        <f>IFERROR(INDEX('PROJETO PERFURAÇÃO'!$AN:$AN,MATCH(MEDIÇÃO!K718,'PROJETO PERFURAÇÃO'!$B:$B,0)),"")</f>
        <v/>
      </c>
      <c r="N718" s="3"/>
      <c r="O718" s="3"/>
      <c r="P718" s="3" t="str">
        <f>IFERROR(ROUND(INDEX('PROJETO PERFURAÇÃO'!$AB:$AB,MATCH(MEDIÇÃO!R718,'PROJETO PERFURAÇÃO'!$B:$B,0)),1)&amp;"''","")</f>
        <v/>
      </c>
      <c r="Q718" s="3" t="str">
        <f>IFERROR(IF(INDEX('PROJETO PERFURAÇÃO'!$P:$P,MATCH(MEDIÇÃO!R718,'PROJETO PERFURAÇÃO'!$B:$B,0))="Production","P",IF(INDEX('PROJETO PERFURAÇÃO'!$P:$P,MATCH(MEDIÇÃO!R718,'PROJETO PERFURAÇÃO'!$B:$B,0))="Buffer","B",IF(INDEX('PROJETO PERFURAÇÃO'!$P:$P,MATCH(MEDIÇÃO!R718,'PROJETO PERFURAÇÃO'!$B:$B,0))="Pre-Splitting","S"))),"")</f>
        <v/>
      </c>
      <c r="R718" s="14">
        <f>K740+1</f>
        <v>1634</v>
      </c>
      <c r="S718" s="4" t="str">
        <f>IFERROR(INDEX('LEV R&amp;D'!$D:$D,MATCH(MEDIÇÃO!R718,'LEV R&amp;D'!$A:$A,0))-INDEX('PROJETO PERFURAÇÃO'!$AH:$AH,MATCH(MEDIÇÃO!R718,'PROJETO PERFURAÇÃO'!$B:$B,0)),"")</f>
        <v/>
      </c>
      <c r="T718" s="8" t="str">
        <f>IFERROR(INDEX('PROJETO PERFURAÇÃO'!$AN:$AN,MATCH(MEDIÇÃO!R718,'PROJETO PERFURAÇÃO'!$B:$B,0)),"")</f>
        <v/>
      </c>
      <c r="U718" s="3"/>
      <c r="V718" s="3"/>
    </row>
    <row r="719" spans="1:23" ht="45" customHeight="1">
      <c r="B719" s="3" t="str">
        <f>IFERROR(ROUND(INDEX('PROJETO PERFURAÇÃO'!$AB:$AB,MATCH(MEDIÇÃO!D719,'PROJETO PERFURAÇÃO'!$B:$B,0)),1)&amp;"''","")</f>
        <v/>
      </c>
      <c r="C719" s="3" t="str">
        <f>IFERROR(IF(INDEX('PROJETO PERFURAÇÃO'!$P:$P,MATCH(MEDIÇÃO!D719,'PROJETO PERFURAÇÃO'!$B:$B,0))="Production","P",IF(INDEX('PROJETO PERFURAÇÃO'!$P:$P,MATCH(MEDIÇÃO!D719,'PROJETO PERFURAÇÃO'!$B:$B,0))="Buffer","B",IF(INDEX('PROJETO PERFURAÇÃO'!$P:$P,MATCH(MEDIÇÃO!D719,'PROJETO PERFURAÇÃO'!$B:$B,0))="Pre-Splitting","S"))),"")</f>
        <v/>
      </c>
      <c r="D719" s="14">
        <f>D718+1</f>
        <v>1589</v>
      </c>
      <c r="E719" s="4" t="str">
        <f>IFERROR(INDEX('LEV R&amp;D'!$D:$D,MATCH(MEDIÇÃO!D719,'LEV R&amp;D'!$A:$A,0))-INDEX('PROJETO PERFURAÇÃO'!$AH:$AH,MATCH(MEDIÇÃO!D719,'PROJETO PERFURAÇÃO'!$B:$B,0)),"")</f>
        <v/>
      </c>
      <c r="F719" s="8" t="str">
        <f>IFERROR(INDEX('PROJETO PERFURAÇÃO'!$AN:$AN,MATCH(MEDIÇÃO!D719,'PROJETO PERFURAÇÃO'!$B:$B,0)),"")</f>
        <v/>
      </c>
      <c r="G719" s="3"/>
      <c r="H719" s="3"/>
      <c r="I719" s="3" t="str">
        <f>IFERROR(ROUND(INDEX('PROJETO PERFURAÇÃO'!$AB:$AB,MATCH(MEDIÇÃO!K719,'PROJETO PERFURAÇÃO'!$B:$B,0)),1)&amp;"''","")</f>
        <v/>
      </c>
      <c r="J719" s="3" t="str">
        <f>IFERROR(IF(INDEX('PROJETO PERFURAÇÃO'!$P:$P,MATCH(MEDIÇÃO!K719,'PROJETO PERFURAÇÃO'!$B:$B,0))="Production","P",IF(INDEX('PROJETO PERFURAÇÃO'!$P:$P,MATCH(MEDIÇÃO!K719,'PROJETO PERFURAÇÃO'!$B:$B,0))="Buffer","B",IF(INDEX('PROJETO PERFURAÇÃO'!$P:$P,MATCH(MEDIÇÃO!K719,'PROJETO PERFURAÇÃO'!$B:$B,0))="Pre-Splitting","S"))),"")</f>
        <v/>
      </c>
      <c r="K719" s="14">
        <f>K718+1</f>
        <v>1612</v>
      </c>
      <c r="L719" s="4" t="str">
        <f>IFERROR(INDEX('LEV R&amp;D'!$D:$D,MATCH(MEDIÇÃO!K719,'LEV R&amp;D'!$A:$A,0))-INDEX('PROJETO PERFURAÇÃO'!$AH:$AH,MATCH(MEDIÇÃO!K719,'PROJETO PERFURAÇÃO'!$B:$B,0)),"")</f>
        <v/>
      </c>
      <c r="M719" s="8" t="str">
        <f>IFERROR(INDEX('PROJETO PERFURAÇÃO'!$AN:$AN,MATCH(MEDIÇÃO!K719,'PROJETO PERFURAÇÃO'!$B:$B,0)),"")</f>
        <v/>
      </c>
      <c r="N719" s="3"/>
      <c r="O719" s="3"/>
      <c r="P719" s="3" t="str">
        <f>IFERROR(ROUND(INDEX('PROJETO PERFURAÇÃO'!$AB:$AB,MATCH(MEDIÇÃO!R719,'PROJETO PERFURAÇÃO'!$B:$B,0)),1)&amp;"''","")</f>
        <v/>
      </c>
      <c r="Q719" s="3" t="str">
        <f>IFERROR(IF(INDEX('PROJETO PERFURAÇÃO'!$P:$P,MATCH(MEDIÇÃO!R719,'PROJETO PERFURAÇÃO'!$B:$B,0))="Production","P",IF(INDEX('PROJETO PERFURAÇÃO'!$P:$P,MATCH(MEDIÇÃO!R719,'PROJETO PERFURAÇÃO'!$B:$B,0))="Buffer","B",IF(INDEX('PROJETO PERFURAÇÃO'!$P:$P,MATCH(MEDIÇÃO!R719,'PROJETO PERFURAÇÃO'!$B:$B,0))="Pre-Splitting","S"))),"")</f>
        <v/>
      </c>
      <c r="R719" s="14">
        <f>R718+1</f>
        <v>1635</v>
      </c>
      <c r="S719" s="4" t="str">
        <f>IFERROR(INDEX('LEV R&amp;D'!$D:$D,MATCH(MEDIÇÃO!R719,'LEV R&amp;D'!$A:$A,0))-INDEX('PROJETO PERFURAÇÃO'!$AH:$AH,MATCH(MEDIÇÃO!R719,'PROJETO PERFURAÇÃO'!$B:$B,0)),"")</f>
        <v/>
      </c>
      <c r="T719" s="8" t="str">
        <f>IFERROR(INDEX('PROJETO PERFURAÇÃO'!$AN:$AN,MATCH(MEDIÇÃO!R719,'PROJETO PERFURAÇÃO'!$B:$B,0)),"")</f>
        <v/>
      </c>
      <c r="U719" s="3"/>
      <c r="V719" s="3"/>
    </row>
    <row r="720" spans="1:23" ht="45" customHeight="1">
      <c r="B720" s="3" t="str">
        <f>IFERROR(ROUND(INDEX('PROJETO PERFURAÇÃO'!$AB:$AB,MATCH(MEDIÇÃO!D720,'PROJETO PERFURAÇÃO'!$B:$B,0)),1)&amp;"''","")</f>
        <v/>
      </c>
      <c r="C720" s="3" t="str">
        <f>IFERROR(IF(INDEX('PROJETO PERFURAÇÃO'!$P:$P,MATCH(MEDIÇÃO!D720,'PROJETO PERFURAÇÃO'!$B:$B,0))="Production","P",IF(INDEX('PROJETO PERFURAÇÃO'!$P:$P,MATCH(MEDIÇÃO!D720,'PROJETO PERFURAÇÃO'!$B:$B,0))="Buffer","B",IF(INDEX('PROJETO PERFURAÇÃO'!$P:$P,MATCH(MEDIÇÃO!D720,'PROJETO PERFURAÇÃO'!$B:$B,0))="Pre-Splitting","S"))),"")</f>
        <v/>
      </c>
      <c r="D720" s="14">
        <f t="shared" ref="D720:D740" si="69">D719+1</f>
        <v>1590</v>
      </c>
      <c r="E720" s="4" t="str">
        <f>IFERROR(INDEX('LEV R&amp;D'!$D:$D,MATCH(MEDIÇÃO!D720,'LEV R&amp;D'!$A:$A,0))-INDEX('PROJETO PERFURAÇÃO'!$AH:$AH,MATCH(MEDIÇÃO!D720,'PROJETO PERFURAÇÃO'!$B:$B,0)),"")</f>
        <v/>
      </c>
      <c r="F720" s="8" t="str">
        <f>IFERROR(INDEX('PROJETO PERFURAÇÃO'!$AN:$AN,MATCH(MEDIÇÃO!D720,'PROJETO PERFURAÇÃO'!$B:$B,0)),"")</f>
        <v/>
      </c>
      <c r="G720" s="3"/>
      <c r="H720" s="3"/>
      <c r="I720" s="3" t="str">
        <f>IFERROR(ROUND(INDEX('PROJETO PERFURAÇÃO'!$AB:$AB,MATCH(MEDIÇÃO!K720,'PROJETO PERFURAÇÃO'!$B:$B,0)),1)&amp;"''","")</f>
        <v/>
      </c>
      <c r="J720" s="3" t="str">
        <f>IFERROR(IF(INDEX('PROJETO PERFURAÇÃO'!$P:$P,MATCH(MEDIÇÃO!K720,'PROJETO PERFURAÇÃO'!$B:$B,0))="Production","P",IF(INDEX('PROJETO PERFURAÇÃO'!$P:$P,MATCH(MEDIÇÃO!K720,'PROJETO PERFURAÇÃO'!$B:$B,0))="Buffer","B",IF(INDEX('PROJETO PERFURAÇÃO'!$P:$P,MATCH(MEDIÇÃO!K720,'PROJETO PERFURAÇÃO'!$B:$B,0))="Pre-Splitting","S"))),"")</f>
        <v/>
      </c>
      <c r="K720" s="14">
        <f t="shared" ref="K720:K739" si="70">K719+1</f>
        <v>1613</v>
      </c>
      <c r="L720" s="4" t="str">
        <f>IFERROR(INDEX('LEV R&amp;D'!$D:$D,MATCH(MEDIÇÃO!K720,'LEV R&amp;D'!$A:$A,0))-INDEX('PROJETO PERFURAÇÃO'!$AH:$AH,MATCH(MEDIÇÃO!K720,'PROJETO PERFURAÇÃO'!$B:$B,0)),"")</f>
        <v/>
      </c>
      <c r="M720" s="8" t="str">
        <f>IFERROR(INDEX('PROJETO PERFURAÇÃO'!$AN:$AN,MATCH(MEDIÇÃO!K720,'PROJETO PERFURAÇÃO'!$B:$B,0)),"")</f>
        <v/>
      </c>
      <c r="N720" s="3"/>
      <c r="O720" s="3"/>
      <c r="P720" s="3" t="str">
        <f>IFERROR(ROUND(INDEX('PROJETO PERFURAÇÃO'!$AB:$AB,MATCH(MEDIÇÃO!R720,'PROJETO PERFURAÇÃO'!$B:$B,0)),1)&amp;"''","")</f>
        <v/>
      </c>
      <c r="Q720" s="3" t="str">
        <f>IFERROR(IF(INDEX('PROJETO PERFURAÇÃO'!$P:$P,MATCH(MEDIÇÃO!R720,'PROJETO PERFURAÇÃO'!$B:$B,0))="Production","P",IF(INDEX('PROJETO PERFURAÇÃO'!$P:$P,MATCH(MEDIÇÃO!R720,'PROJETO PERFURAÇÃO'!$B:$B,0))="Buffer","B",IF(INDEX('PROJETO PERFURAÇÃO'!$P:$P,MATCH(MEDIÇÃO!R720,'PROJETO PERFURAÇÃO'!$B:$B,0))="Pre-Splitting","S"))),"")</f>
        <v/>
      </c>
      <c r="R720" s="14">
        <f t="shared" ref="R720:R739" si="71">R719+1</f>
        <v>1636</v>
      </c>
      <c r="S720" s="4" t="str">
        <f>IFERROR(INDEX('LEV R&amp;D'!$D:$D,MATCH(MEDIÇÃO!R720,'LEV R&amp;D'!$A:$A,0))-INDEX('PROJETO PERFURAÇÃO'!$AH:$AH,MATCH(MEDIÇÃO!R720,'PROJETO PERFURAÇÃO'!$B:$B,0)),"")</f>
        <v/>
      </c>
      <c r="T720" s="8" t="str">
        <f>IFERROR(INDEX('PROJETO PERFURAÇÃO'!$AN:$AN,MATCH(MEDIÇÃO!R720,'PROJETO PERFURAÇÃO'!$B:$B,0)),"")</f>
        <v/>
      </c>
      <c r="U720" s="3"/>
      <c r="V720" s="3"/>
    </row>
    <row r="721" spans="2:22" ht="45" customHeight="1">
      <c r="B721" s="3" t="str">
        <f>IFERROR(ROUND(INDEX('PROJETO PERFURAÇÃO'!$AB:$AB,MATCH(MEDIÇÃO!D721,'PROJETO PERFURAÇÃO'!$B:$B,0)),1)&amp;"''","")</f>
        <v/>
      </c>
      <c r="C721" s="3" t="str">
        <f>IFERROR(IF(INDEX('PROJETO PERFURAÇÃO'!$P:$P,MATCH(MEDIÇÃO!D721,'PROJETO PERFURAÇÃO'!$B:$B,0))="Production","P",IF(INDEX('PROJETO PERFURAÇÃO'!$P:$P,MATCH(MEDIÇÃO!D721,'PROJETO PERFURAÇÃO'!$B:$B,0))="Buffer","B",IF(INDEX('PROJETO PERFURAÇÃO'!$P:$P,MATCH(MEDIÇÃO!D721,'PROJETO PERFURAÇÃO'!$B:$B,0))="Pre-Splitting","S"))),"")</f>
        <v/>
      </c>
      <c r="D721" s="14">
        <f t="shared" si="69"/>
        <v>1591</v>
      </c>
      <c r="E721" s="4" t="str">
        <f>IFERROR(INDEX('LEV R&amp;D'!$D:$D,MATCH(MEDIÇÃO!D721,'LEV R&amp;D'!$A:$A,0))-INDEX('PROJETO PERFURAÇÃO'!$AH:$AH,MATCH(MEDIÇÃO!D721,'PROJETO PERFURAÇÃO'!$B:$B,0)),"")</f>
        <v/>
      </c>
      <c r="F721" s="8" t="str">
        <f>IFERROR(INDEX('PROJETO PERFURAÇÃO'!$AN:$AN,MATCH(MEDIÇÃO!D721,'PROJETO PERFURAÇÃO'!$B:$B,0)),"")</f>
        <v/>
      </c>
      <c r="G721" s="3"/>
      <c r="H721" s="3"/>
      <c r="I721" s="3" t="str">
        <f>IFERROR(ROUND(INDEX('PROJETO PERFURAÇÃO'!$AB:$AB,MATCH(MEDIÇÃO!K721,'PROJETO PERFURAÇÃO'!$B:$B,0)),1)&amp;"''","")</f>
        <v/>
      </c>
      <c r="J721" s="3" t="str">
        <f>IFERROR(IF(INDEX('PROJETO PERFURAÇÃO'!$P:$P,MATCH(MEDIÇÃO!K721,'PROJETO PERFURAÇÃO'!$B:$B,0))="Production","P",IF(INDEX('PROJETO PERFURAÇÃO'!$P:$P,MATCH(MEDIÇÃO!K721,'PROJETO PERFURAÇÃO'!$B:$B,0))="Buffer","B",IF(INDEX('PROJETO PERFURAÇÃO'!$P:$P,MATCH(MEDIÇÃO!K721,'PROJETO PERFURAÇÃO'!$B:$B,0))="Pre-Splitting","S"))),"")</f>
        <v/>
      </c>
      <c r="K721" s="14">
        <f t="shared" si="70"/>
        <v>1614</v>
      </c>
      <c r="L721" s="4" t="str">
        <f>IFERROR(INDEX('LEV R&amp;D'!$D:$D,MATCH(MEDIÇÃO!K721,'LEV R&amp;D'!$A:$A,0))-INDEX('PROJETO PERFURAÇÃO'!$AH:$AH,MATCH(MEDIÇÃO!K721,'PROJETO PERFURAÇÃO'!$B:$B,0)),"")</f>
        <v/>
      </c>
      <c r="M721" s="8" t="str">
        <f>IFERROR(INDEX('PROJETO PERFURAÇÃO'!$AN:$AN,MATCH(MEDIÇÃO!K721,'PROJETO PERFURAÇÃO'!$B:$B,0)),"")</f>
        <v/>
      </c>
      <c r="N721" s="3"/>
      <c r="O721" s="3"/>
      <c r="P721" s="3" t="str">
        <f>IFERROR(ROUND(INDEX('PROJETO PERFURAÇÃO'!$AB:$AB,MATCH(MEDIÇÃO!R721,'PROJETO PERFURAÇÃO'!$B:$B,0)),1)&amp;"''","")</f>
        <v/>
      </c>
      <c r="Q721" s="3" t="str">
        <f>IFERROR(IF(INDEX('PROJETO PERFURAÇÃO'!$P:$P,MATCH(MEDIÇÃO!R721,'PROJETO PERFURAÇÃO'!$B:$B,0))="Production","P",IF(INDEX('PROJETO PERFURAÇÃO'!$P:$P,MATCH(MEDIÇÃO!R721,'PROJETO PERFURAÇÃO'!$B:$B,0))="Buffer","B",IF(INDEX('PROJETO PERFURAÇÃO'!$P:$P,MATCH(MEDIÇÃO!R721,'PROJETO PERFURAÇÃO'!$B:$B,0))="Pre-Splitting","S"))),"")</f>
        <v/>
      </c>
      <c r="R721" s="14">
        <f t="shared" si="71"/>
        <v>1637</v>
      </c>
      <c r="S721" s="4" t="str">
        <f>IFERROR(INDEX('LEV R&amp;D'!$D:$D,MATCH(MEDIÇÃO!R721,'LEV R&amp;D'!$A:$A,0))-INDEX('PROJETO PERFURAÇÃO'!$AH:$AH,MATCH(MEDIÇÃO!R721,'PROJETO PERFURAÇÃO'!$B:$B,0)),"")</f>
        <v/>
      </c>
      <c r="T721" s="8" t="str">
        <f>IFERROR(INDEX('PROJETO PERFURAÇÃO'!$AN:$AN,MATCH(MEDIÇÃO!R721,'PROJETO PERFURAÇÃO'!$B:$B,0)),"")</f>
        <v/>
      </c>
      <c r="U721" s="3"/>
      <c r="V721" s="3"/>
    </row>
    <row r="722" spans="2:22" ht="45" customHeight="1">
      <c r="B722" s="3" t="str">
        <f>IFERROR(ROUND(INDEX('PROJETO PERFURAÇÃO'!$AB:$AB,MATCH(MEDIÇÃO!D722,'PROJETO PERFURAÇÃO'!$B:$B,0)),1)&amp;"''","")</f>
        <v/>
      </c>
      <c r="C722" s="3" t="str">
        <f>IFERROR(IF(INDEX('PROJETO PERFURAÇÃO'!$P:$P,MATCH(MEDIÇÃO!D722,'PROJETO PERFURAÇÃO'!$B:$B,0))="Production","P",IF(INDEX('PROJETO PERFURAÇÃO'!$P:$P,MATCH(MEDIÇÃO!D722,'PROJETO PERFURAÇÃO'!$B:$B,0))="Buffer","B",IF(INDEX('PROJETO PERFURAÇÃO'!$P:$P,MATCH(MEDIÇÃO!D722,'PROJETO PERFURAÇÃO'!$B:$B,0))="Pre-Splitting","S"))),"")</f>
        <v/>
      </c>
      <c r="D722" s="14">
        <f t="shared" si="69"/>
        <v>1592</v>
      </c>
      <c r="E722" s="4" t="str">
        <f>IFERROR(INDEX('LEV R&amp;D'!$D:$D,MATCH(MEDIÇÃO!D722,'LEV R&amp;D'!$A:$A,0))-INDEX('PROJETO PERFURAÇÃO'!$AH:$AH,MATCH(MEDIÇÃO!D722,'PROJETO PERFURAÇÃO'!$B:$B,0)),"")</f>
        <v/>
      </c>
      <c r="F722" s="8" t="str">
        <f>IFERROR(INDEX('PROJETO PERFURAÇÃO'!$AN:$AN,MATCH(MEDIÇÃO!D722,'PROJETO PERFURAÇÃO'!$B:$B,0)),"")</f>
        <v/>
      </c>
      <c r="G722" s="3"/>
      <c r="H722" s="3"/>
      <c r="I722" s="3" t="str">
        <f>IFERROR(ROUND(INDEX('PROJETO PERFURAÇÃO'!$AB:$AB,MATCH(MEDIÇÃO!K722,'PROJETO PERFURAÇÃO'!$B:$B,0)),1)&amp;"''","")</f>
        <v/>
      </c>
      <c r="J722" s="3" t="str">
        <f>IFERROR(IF(INDEX('PROJETO PERFURAÇÃO'!$P:$P,MATCH(MEDIÇÃO!K722,'PROJETO PERFURAÇÃO'!$B:$B,0))="Production","P",IF(INDEX('PROJETO PERFURAÇÃO'!$P:$P,MATCH(MEDIÇÃO!K722,'PROJETO PERFURAÇÃO'!$B:$B,0))="Buffer","B",IF(INDEX('PROJETO PERFURAÇÃO'!$P:$P,MATCH(MEDIÇÃO!K722,'PROJETO PERFURAÇÃO'!$B:$B,0))="Pre-Splitting","S"))),"")</f>
        <v/>
      </c>
      <c r="K722" s="14">
        <f t="shared" si="70"/>
        <v>1615</v>
      </c>
      <c r="L722" s="4" t="str">
        <f>IFERROR(INDEX('LEV R&amp;D'!$D:$D,MATCH(MEDIÇÃO!K722,'LEV R&amp;D'!$A:$A,0))-INDEX('PROJETO PERFURAÇÃO'!$AH:$AH,MATCH(MEDIÇÃO!K722,'PROJETO PERFURAÇÃO'!$B:$B,0)),"")</f>
        <v/>
      </c>
      <c r="M722" s="8" t="str">
        <f>IFERROR(INDEX('PROJETO PERFURAÇÃO'!$AN:$AN,MATCH(MEDIÇÃO!K722,'PROJETO PERFURAÇÃO'!$B:$B,0)),"")</f>
        <v/>
      </c>
      <c r="N722" s="3"/>
      <c r="O722" s="3"/>
      <c r="P722" s="3" t="str">
        <f>IFERROR(ROUND(INDEX('PROJETO PERFURAÇÃO'!$AB:$AB,MATCH(MEDIÇÃO!R722,'PROJETO PERFURAÇÃO'!$B:$B,0)),1)&amp;"''","")</f>
        <v/>
      </c>
      <c r="Q722" s="3" t="str">
        <f>IFERROR(IF(INDEX('PROJETO PERFURAÇÃO'!$P:$P,MATCH(MEDIÇÃO!R722,'PROJETO PERFURAÇÃO'!$B:$B,0))="Production","P",IF(INDEX('PROJETO PERFURAÇÃO'!$P:$P,MATCH(MEDIÇÃO!R722,'PROJETO PERFURAÇÃO'!$B:$B,0))="Buffer","B",IF(INDEX('PROJETO PERFURAÇÃO'!$P:$P,MATCH(MEDIÇÃO!R722,'PROJETO PERFURAÇÃO'!$B:$B,0))="Pre-Splitting","S"))),"")</f>
        <v/>
      </c>
      <c r="R722" s="14">
        <f t="shared" si="71"/>
        <v>1638</v>
      </c>
      <c r="S722" s="4" t="str">
        <f>IFERROR(INDEX('LEV R&amp;D'!$D:$D,MATCH(MEDIÇÃO!R722,'LEV R&amp;D'!$A:$A,0))-INDEX('PROJETO PERFURAÇÃO'!$AH:$AH,MATCH(MEDIÇÃO!R722,'PROJETO PERFURAÇÃO'!$B:$B,0)),"")</f>
        <v/>
      </c>
      <c r="T722" s="8" t="str">
        <f>IFERROR(INDEX('PROJETO PERFURAÇÃO'!$AN:$AN,MATCH(MEDIÇÃO!R722,'PROJETO PERFURAÇÃO'!$B:$B,0)),"")</f>
        <v/>
      </c>
      <c r="U722" s="3"/>
      <c r="V722" s="3"/>
    </row>
    <row r="723" spans="2:22" ht="45" customHeight="1">
      <c r="B723" s="3" t="str">
        <f>IFERROR(ROUND(INDEX('PROJETO PERFURAÇÃO'!$AB:$AB,MATCH(MEDIÇÃO!D723,'PROJETO PERFURAÇÃO'!$B:$B,0)),1)&amp;"''","")</f>
        <v/>
      </c>
      <c r="C723" s="3" t="str">
        <f>IFERROR(IF(INDEX('PROJETO PERFURAÇÃO'!$P:$P,MATCH(MEDIÇÃO!D723,'PROJETO PERFURAÇÃO'!$B:$B,0))="Production","P",IF(INDEX('PROJETO PERFURAÇÃO'!$P:$P,MATCH(MEDIÇÃO!D723,'PROJETO PERFURAÇÃO'!$B:$B,0))="Buffer","B",IF(INDEX('PROJETO PERFURAÇÃO'!$P:$P,MATCH(MEDIÇÃO!D723,'PROJETO PERFURAÇÃO'!$B:$B,0))="Pre-Splitting","S"))),"")</f>
        <v/>
      </c>
      <c r="D723" s="14">
        <f t="shared" si="69"/>
        <v>1593</v>
      </c>
      <c r="E723" s="4" t="str">
        <f>IFERROR(INDEX('LEV R&amp;D'!$D:$D,MATCH(MEDIÇÃO!D723,'LEV R&amp;D'!$A:$A,0))-INDEX('PROJETO PERFURAÇÃO'!$AH:$AH,MATCH(MEDIÇÃO!D723,'PROJETO PERFURAÇÃO'!$B:$B,0)),"")</f>
        <v/>
      </c>
      <c r="F723" s="8" t="str">
        <f>IFERROR(INDEX('PROJETO PERFURAÇÃO'!$AN:$AN,MATCH(MEDIÇÃO!D723,'PROJETO PERFURAÇÃO'!$B:$B,0)),"")</f>
        <v/>
      </c>
      <c r="G723" s="3"/>
      <c r="H723" s="3"/>
      <c r="I723" s="3" t="str">
        <f>IFERROR(ROUND(INDEX('PROJETO PERFURAÇÃO'!$AB:$AB,MATCH(MEDIÇÃO!K723,'PROJETO PERFURAÇÃO'!$B:$B,0)),1)&amp;"''","")</f>
        <v/>
      </c>
      <c r="J723" s="3" t="str">
        <f>IFERROR(IF(INDEX('PROJETO PERFURAÇÃO'!$P:$P,MATCH(MEDIÇÃO!K723,'PROJETO PERFURAÇÃO'!$B:$B,0))="Production","P",IF(INDEX('PROJETO PERFURAÇÃO'!$P:$P,MATCH(MEDIÇÃO!K723,'PROJETO PERFURAÇÃO'!$B:$B,0))="Buffer","B",IF(INDEX('PROJETO PERFURAÇÃO'!$P:$P,MATCH(MEDIÇÃO!K723,'PROJETO PERFURAÇÃO'!$B:$B,0))="Pre-Splitting","S"))),"")</f>
        <v/>
      </c>
      <c r="K723" s="14">
        <f t="shared" si="70"/>
        <v>1616</v>
      </c>
      <c r="L723" s="4" t="str">
        <f>IFERROR(INDEX('LEV R&amp;D'!$D:$D,MATCH(MEDIÇÃO!K723,'LEV R&amp;D'!$A:$A,0))-INDEX('PROJETO PERFURAÇÃO'!$AH:$AH,MATCH(MEDIÇÃO!K723,'PROJETO PERFURAÇÃO'!$B:$B,0)),"")</f>
        <v/>
      </c>
      <c r="M723" s="8" t="str">
        <f>IFERROR(INDEX('PROJETO PERFURAÇÃO'!$AN:$AN,MATCH(MEDIÇÃO!K723,'PROJETO PERFURAÇÃO'!$B:$B,0)),"")</f>
        <v/>
      </c>
      <c r="N723" s="3"/>
      <c r="O723" s="3"/>
      <c r="P723" s="3" t="str">
        <f>IFERROR(ROUND(INDEX('PROJETO PERFURAÇÃO'!$AB:$AB,MATCH(MEDIÇÃO!R723,'PROJETO PERFURAÇÃO'!$B:$B,0)),1)&amp;"''","")</f>
        <v/>
      </c>
      <c r="Q723" s="3" t="str">
        <f>IFERROR(IF(INDEX('PROJETO PERFURAÇÃO'!$P:$P,MATCH(MEDIÇÃO!R723,'PROJETO PERFURAÇÃO'!$B:$B,0))="Production","P",IF(INDEX('PROJETO PERFURAÇÃO'!$P:$P,MATCH(MEDIÇÃO!R723,'PROJETO PERFURAÇÃO'!$B:$B,0))="Buffer","B",IF(INDEX('PROJETO PERFURAÇÃO'!$P:$P,MATCH(MEDIÇÃO!R723,'PROJETO PERFURAÇÃO'!$B:$B,0))="Pre-Splitting","S"))),"")</f>
        <v/>
      </c>
      <c r="R723" s="14">
        <f t="shared" si="71"/>
        <v>1639</v>
      </c>
      <c r="S723" s="4" t="str">
        <f>IFERROR(INDEX('LEV R&amp;D'!$D:$D,MATCH(MEDIÇÃO!R723,'LEV R&amp;D'!$A:$A,0))-INDEX('PROJETO PERFURAÇÃO'!$AH:$AH,MATCH(MEDIÇÃO!R723,'PROJETO PERFURAÇÃO'!$B:$B,0)),"")</f>
        <v/>
      </c>
      <c r="T723" s="8" t="str">
        <f>IFERROR(INDEX('PROJETO PERFURAÇÃO'!$AN:$AN,MATCH(MEDIÇÃO!R723,'PROJETO PERFURAÇÃO'!$B:$B,0)),"")</f>
        <v/>
      </c>
      <c r="U723" s="3"/>
      <c r="V723" s="3"/>
    </row>
    <row r="724" spans="2:22" ht="45" customHeight="1">
      <c r="B724" s="3" t="str">
        <f>IFERROR(ROUND(INDEX('PROJETO PERFURAÇÃO'!$AB:$AB,MATCH(MEDIÇÃO!D724,'PROJETO PERFURAÇÃO'!$B:$B,0)),1)&amp;"''","")</f>
        <v/>
      </c>
      <c r="C724" s="3" t="str">
        <f>IFERROR(IF(INDEX('PROJETO PERFURAÇÃO'!$P:$P,MATCH(MEDIÇÃO!D724,'PROJETO PERFURAÇÃO'!$B:$B,0))="Production","P",IF(INDEX('PROJETO PERFURAÇÃO'!$P:$P,MATCH(MEDIÇÃO!D724,'PROJETO PERFURAÇÃO'!$B:$B,0))="Buffer","B",IF(INDEX('PROJETO PERFURAÇÃO'!$P:$P,MATCH(MEDIÇÃO!D724,'PROJETO PERFURAÇÃO'!$B:$B,0))="Pre-Splitting","S"))),"")</f>
        <v/>
      </c>
      <c r="D724" s="14">
        <f t="shared" si="69"/>
        <v>1594</v>
      </c>
      <c r="E724" s="4" t="str">
        <f>IFERROR(INDEX('LEV R&amp;D'!$D:$D,MATCH(MEDIÇÃO!D724,'LEV R&amp;D'!$A:$A,0))-INDEX('PROJETO PERFURAÇÃO'!$AH:$AH,MATCH(MEDIÇÃO!D724,'PROJETO PERFURAÇÃO'!$B:$B,0)),"")</f>
        <v/>
      </c>
      <c r="F724" s="8" t="str">
        <f>IFERROR(INDEX('PROJETO PERFURAÇÃO'!$AN:$AN,MATCH(MEDIÇÃO!D724,'PROJETO PERFURAÇÃO'!$B:$B,0)),"")</f>
        <v/>
      </c>
      <c r="G724" s="3"/>
      <c r="H724" s="3"/>
      <c r="I724" s="3" t="str">
        <f>IFERROR(ROUND(INDEX('PROJETO PERFURAÇÃO'!$AB:$AB,MATCH(MEDIÇÃO!K724,'PROJETO PERFURAÇÃO'!$B:$B,0)),1)&amp;"''","")</f>
        <v/>
      </c>
      <c r="J724" s="3" t="str">
        <f>IFERROR(IF(INDEX('PROJETO PERFURAÇÃO'!$P:$P,MATCH(MEDIÇÃO!K724,'PROJETO PERFURAÇÃO'!$B:$B,0))="Production","P",IF(INDEX('PROJETO PERFURAÇÃO'!$P:$P,MATCH(MEDIÇÃO!K724,'PROJETO PERFURAÇÃO'!$B:$B,0))="Buffer","B",IF(INDEX('PROJETO PERFURAÇÃO'!$P:$P,MATCH(MEDIÇÃO!K724,'PROJETO PERFURAÇÃO'!$B:$B,0))="Pre-Splitting","S"))),"")</f>
        <v/>
      </c>
      <c r="K724" s="14">
        <f t="shared" si="70"/>
        <v>1617</v>
      </c>
      <c r="L724" s="4" t="str">
        <f>IFERROR(INDEX('LEV R&amp;D'!$D:$D,MATCH(MEDIÇÃO!K724,'LEV R&amp;D'!$A:$A,0))-INDEX('PROJETO PERFURAÇÃO'!$AH:$AH,MATCH(MEDIÇÃO!K724,'PROJETO PERFURAÇÃO'!$B:$B,0)),"")</f>
        <v/>
      </c>
      <c r="M724" s="8" t="str">
        <f>IFERROR(INDEX('PROJETO PERFURAÇÃO'!$AN:$AN,MATCH(MEDIÇÃO!K724,'PROJETO PERFURAÇÃO'!$B:$B,0)),"")</f>
        <v/>
      </c>
      <c r="N724" s="3"/>
      <c r="O724" s="3"/>
      <c r="P724" s="3" t="str">
        <f>IFERROR(ROUND(INDEX('PROJETO PERFURAÇÃO'!$AB:$AB,MATCH(MEDIÇÃO!R724,'PROJETO PERFURAÇÃO'!$B:$B,0)),1)&amp;"''","")</f>
        <v/>
      </c>
      <c r="Q724" s="3" t="str">
        <f>IFERROR(IF(INDEX('PROJETO PERFURAÇÃO'!$P:$P,MATCH(MEDIÇÃO!R724,'PROJETO PERFURAÇÃO'!$B:$B,0))="Production","P",IF(INDEX('PROJETO PERFURAÇÃO'!$P:$P,MATCH(MEDIÇÃO!R724,'PROJETO PERFURAÇÃO'!$B:$B,0))="Buffer","B",IF(INDEX('PROJETO PERFURAÇÃO'!$P:$P,MATCH(MEDIÇÃO!R724,'PROJETO PERFURAÇÃO'!$B:$B,0))="Pre-Splitting","S"))),"")</f>
        <v/>
      </c>
      <c r="R724" s="14">
        <f t="shared" si="71"/>
        <v>1640</v>
      </c>
      <c r="S724" s="4" t="str">
        <f>IFERROR(INDEX('LEV R&amp;D'!$D:$D,MATCH(MEDIÇÃO!R724,'LEV R&amp;D'!$A:$A,0))-INDEX('PROJETO PERFURAÇÃO'!$AH:$AH,MATCH(MEDIÇÃO!R724,'PROJETO PERFURAÇÃO'!$B:$B,0)),"")</f>
        <v/>
      </c>
      <c r="T724" s="8" t="str">
        <f>IFERROR(INDEX('PROJETO PERFURAÇÃO'!$AN:$AN,MATCH(MEDIÇÃO!R724,'PROJETO PERFURAÇÃO'!$B:$B,0)),"")</f>
        <v/>
      </c>
      <c r="U724" s="3"/>
      <c r="V724" s="3"/>
    </row>
    <row r="725" spans="2:22" ht="45" customHeight="1">
      <c r="B725" s="3" t="str">
        <f>IFERROR(ROUND(INDEX('PROJETO PERFURAÇÃO'!$AB:$AB,MATCH(MEDIÇÃO!D725,'PROJETO PERFURAÇÃO'!$B:$B,0)),1)&amp;"''","")</f>
        <v/>
      </c>
      <c r="C725" s="3" t="str">
        <f>IFERROR(IF(INDEX('PROJETO PERFURAÇÃO'!$P:$P,MATCH(MEDIÇÃO!D725,'PROJETO PERFURAÇÃO'!$B:$B,0))="Production","P",IF(INDEX('PROJETO PERFURAÇÃO'!$P:$P,MATCH(MEDIÇÃO!D725,'PROJETO PERFURAÇÃO'!$B:$B,0))="Buffer","B",IF(INDEX('PROJETO PERFURAÇÃO'!$P:$P,MATCH(MEDIÇÃO!D725,'PROJETO PERFURAÇÃO'!$B:$B,0))="Pre-Splitting","S"))),"")</f>
        <v/>
      </c>
      <c r="D725" s="14">
        <f t="shared" si="69"/>
        <v>1595</v>
      </c>
      <c r="E725" s="4" t="str">
        <f>IFERROR(INDEX('LEV R&amp;D'!$D:$D,MATCH(MEDIÇÃO!D725,'LEV R&amp;D'!$A:$A,0))-INDEX('PROJETO PERFURAÇÃO'!$AH:$AH,MATCH(MEDIÇÃO!D725,'PROJETO PERFURAÇÃO'!$B:$B,0)),"")</f>
        <v/>
      </c>
      <c r="F725" s="8" t="str">
        <f>IFERROR(INDEX('PROJETO PERFURAÇÃO'!$AN:$AN,MATCH(MEDIÇÃO!D725,'PROJETO PERFURAÇÃO'!$B:$B,0)),"")</f>
        <v/>
      </c>
      <c r="G725" s="3"/>
      <c r="H725" s="3"/>
      <c r="I725" s="3" t="str">
        <f>IFERROR(ROUND(INDEX('PROJETO PERFURAÇÃO'!$AB:$AB,MATCH(MEDIÇÃO!K725,'PROJETO PERFURAÇÃO'!$B:$B,0)),1)&amp;"''","")</f>
        <v/>
      </c>
      <c r="J725" s="3" t="str">
        <f>IFERROR(IF(INDEX('PROJETO PERFURAÇÃO'!$P:$P,MATCH(MEDIÇÃO!K725,'PROJETO PERFURAÇÃO'!$B:$B,0))="Production","P",IF(INDEX('PROJETO PERFURAÇÃO'!$P:$P,MATCH(MEDIÇÃO!K725,'PROJETO PERFURAÇÃO'!$B:$B,0))="Buffer","B",IF(INDEX('PROJETO PERFURAÇÃO'!$P:$P,MATCH(MEDIÇÃO!K725,'PROJETO PERFURAÇÃO'!$B:$B,0))="Pre-Splitting","S"))),"")</f>
        <v/>
      </c>
      <c r="K725" s="14">
        <f t="shared" si="70"/>
        <v>1618</v>
      </c>
      <c r="L725" s="4" t="str">
        <f>IFERROR(INDEX('LEV R&amp;D'!$D:$D,MATCH(MEDIÇÃO!K725,'LEV R&amp;D'!$A:$A,0))-INDEX('PROJETO PERFURAÇÃO'!$AH:$AH,MATCH(MEDIÇÃO!K725,'PROJETO PERFURAÇÃO'!$B:$B,0)),"")</f>
        <v/>
      </c>
      <c r="M725" s="8" t="str">
        <f>IFERROR(INDEX('PROJETO PERFURAÇÃO'!$AN:$AN,MATCH(MEDIÇÃO!K725,'PROJETO PERFURAÇÃO'!$B:$B,0)),"")</f>
        <v/>
      </c>
      <c r="N725" s="3"/>
      <c r="O725" s="3"/>
      <c r="P725" s="3" t="str">
        <f>IFERROR(ROUND(INDEX('PROJETO PERFURAÇÃO'!$AB:$AB,MATCH(MEDIÇÃO!R725,'PROJETO PERFURAÇÃO'!$B:$B,0)),1)&amp;"''","")</f>
        <v/>
      </c>
      <c r="Q725" s="3" t="str">
        <f>IFERROR(IF(INDEX('PROJETO PERFURAÇÃO'!$P:$P,MATCH(MEDIÇÃO!R725,'PROJETO PERFURAÇÃO'!$B:$B,0))="Production","P",IF(INDEX('PROJETO PERFURAÇÃO'!$P:$P,MATCH(MEDIÇÃO!R725,'PROJETO PERFURAÇÃO'!$B:$B,0))="Buffer","B",IF(INDEX('PROJETO PERFURAÇÃO'!$P:$P,MATCH(MEDIÇÃO!R725,'PROJETO PERFURAÇÃO'!$B:$B,0))="Pre-Splitting","S"))),"")</f>
        <v/>
      </c>
      <c r="R725" s="14">
        <f t="shared" si="71"/>
        <v>1641</v>
      </c>
      <c r="S725" s="4" t="str">
        <f>IFERROR(INDEX('LEV R&amp;D'!$D:$D,MATCH(MEDIÇÃO!R725,'LEV R&amp;D'!$A:$A,0))-INDEX('PROJETO PERFURAÇÃO'!$AH:$AH,MATCH(MEDIÇÃO!R725,'PROJETO PERFURAÇÃO'!$B:$B,0)),"")</f>
        <v/>
      </c>
      <c r="T725" s="8" t="str">
        <f>IFERROR(INDEX('PROJETO PERFURAÇÃO'!$AN:$AN,MATCH(MEDIÇÃO!R725,'PROJETO PERFURAÇÃO'!$B:$B,0)),"")</f>
        <v/>
      </c>
      <c r="U725" s="3"/>
      <c r="V725" s="3"/>
    </row>
    <row r="726" spans="2:22" ht="45" customHeight="1">
      <c r="B726" s="3" t="str">
        <f>IFERROR(ROUND(INDEX('PROJETO PERFURAÇÃO'!$AB:$AB,MATCH(MEDIÇÃO!D726,'PROJETO PERFURAÇÃO'!$B:$B,0)),1)&amp;"''","")</f>
        <v/>
      </c>
      <c r="C726" s="3" t="str">
        <f>IFERROR(IF(INDEX('PROJETO PERFURAÇÃO'!$P:$P,MATCH(MEDIÇÃO!D726,'PROJETO PERFURAÇÃO'!$B:$B,0))="Production","P",IF(INDEX('PROJETO PERFURAÇÃO'!$P:$P,MATCH(MEDIÇÃO!D726,'PROJETO PERFURAÇÃO'!$B:$B,0))="Buffer","B",IF(INDEX('PROJETO PERFURAÇÃO'!$P:$P,MATCH(MEDIÇÃO!D726,'PROJETO PERFURAÇÃO'!$B:$B,0))="Pre-Splitting","S"))),"")</f>
        <v/>
      </c>
      <c r="D726" s="14">
        <f t="shared" si="69"/>
        <v>1596</v>
      </c>
      <c r="E726" s="4" t="str">
        <f>IFERROR(INDEX('LEV R&amp;D'!$D:$D,MATCH(MEDIÇÃO!D726,'LEV R&amp;D'!$A:$A,0))-INDEX('PROJETO PERFURAÇÃO'!$AH:$AH,MATCH(MEDIÇÃO!D726,'PROJETO PERFURAÇÃO'!$B:$B,0)),"")</f>
        <v/>
      </c>
      <c r="F726" s="8" t="str">
        <f>IFERROR(INDEX('PROJETO PERFURAÇÃO'!$AN:$AN,MATCH(MEDIÇÃO!D726,'PROJETO PERFURAÇÃO'!$B:$B,0)),"")</f>
        <v/>
      </c>
      <c r="G726" s="3"/>
      <c r="H726" s="3"/>
      <c r="I726" s="3" t="str">
        <f>IFERROR(ROUND(INDEX('PROJETO PERFURAÇÃO'!$AB:$AB,MATCH(MEDIÇÃO!K726,'PROJETO PERFURAÇÃO'!$B:$B,0)),1)&amp;"''","")</f>
        <v/>
      </c>
      <c r="J726" s="3" t="str">
        <f>IFERROR(IF(INDEX('PROJETO PERFURAÇÃO'!$P:$P,MATCH(MEDIÇÃO!K726,'PROJETO PERFURAÇÃO'!$B:$B,0))="Production","P",IF(INDEX('PROJETO PERFURAÇÃO'!$P:$P,MATCH(MEDIÇÃO!K726,'PROJETO PERFURAÇÃO'!$B:$B,0))="Buffer","B",IF(INDEX('PROJETO PERFURAÇÃO'!$P:$P,MATCH(MEDIÇÃO!K726,'PROJETO PERFURAÇÃO'!$B:$B,0))="Pre-Splitting","S"))),"")</f>
        <v/>
      </c>
      <c r="K726" s="14">
        <f t="shared" si="70"/>
        <v>1619</v>
      </c>
      <c r="L726" s="4" t="str">
        <f>IFERROR(INDEX('LEV R&amp;D'!$D:$D,MATCH(MEDIÇÃO!K726,'LEV R&amp;D'!$A:$A,0))-INDEX('PROJETO PERFURAÇÃO'!$AH:$AH,MATCH(MEDIÇÃO!K726,'PROJETO PERFURAÇÃO'!$B:$B,0)),"")</f>
        <v/>
      </c>
      <c r="M726" s="8" t="str">
        <f>IFERROR(INDEX('PROJETO PERFURAÇÃO'!$AN:$AN,MATCH(MEDIÇÃO!K726,'PROJETO PERFURAÇÃO'!$B:$B,0)),"")</f>
        <v/>
      </c>
      <c r="N726" s="3"/>
      <c r="O726" s="3"/>
      <c r="P726" s="3" t="str">
        <f>IFERROR(ROUND(INDEX('PROJETO PERFURAÇÃO'!$AB:$AB,MATCH(MEDIÇÃO!R726,'PROJETO PERFURAÇÃO'!$B:$B,0)),1)&amp;"''","")</f>
        <v/>
      </c>
      <c r="Q726" s="3" t="str">
        <f>IFERROR(IF(INDEX('PROJETO PERFURAÇÃO'!$P:$P,MATCH(MEDIÇÃO!R726,'PROJETO PERFURAÇÃO'!$B:$B,0))="Production","P",IF(INDEX('PROJETO PERFURAÇÃO'!$P:$P,MATCH(MEDIÇÃO!R726,'PROJETO PERFURAÇÃO'!$B:$B,0))="Buffer","B",IF(INDEX('PROJETO PERFURAÇÃO'!$P:$P,MATCH(MEDIÇÃO!R726,'PROJETO PERFURAÇÃO'!$B:$B,0))="Pre-Splitting","S"))),"")</f>
        <v/>
      </c>
      <c r="R726" s="14">
        <f t="shared" si="71"/>
        <v>1642</v>
      </c>
      <c r="S726" s="4" t="str">
        <f>IFERROR(INDEX('LEV R&amp;D'!$D:$D,MATCH(MEDIÇÃO!R726,'LEV R&amp;D'!$A:$A,0))-INDEX('PROJETO PERFURAÇÃO'!$AH:$AH,MATCH(MEDIÇÃO!R726,'PROJETO PERFURAÇÃO'!$B:$B,0)),"")</f>
        <v/>
      </c>
      <c r="T726" s="8" t="str">
        <f>IFERROR(INDEX('PROJETO PERFURAÇÃO'!$AN:$AN,MATCH(MEDIÇÃO!R726,'PROJETO PERFURAÇÃO'!$B:$B,0)),"")</f>
        <v/>
      </c>
      <c r="U726" s="3"/>
      <c r="V726" s="3"/>
    </row>
    <row r="727" spans="2:22" ht="45" customHeight="1">
      <c r="B727" s="3" t="str">
        <f>IFERROR(ROUND(INDEX('PROJETO PERFURAÇÃO'!$AB:$AB,MATCH(MEDIÇÃO!D727,'PROJETO PERFURAÇÃO'!$B:$B,0)),1)&amp;"''","")</f>
        <v/>
      </c>
      <c r="C727" s="3" t="str">
        <f>IFERROR(IF(INDEX('PROJETO PERFURAÇÃO'!$P:$P,MATCH(MEDIÇÃO!D727,'PROJETO PERFURAÇÃO'!$B:$B,0))="Production","P",IF(INDEX('PROJETO PERFURAÇÃO'!$P:$P,MATCH(MEDIÇÃO!D727,'PROJETO PERFURAÇÃO'!$B:$B,0))="Buffer","B",IF(INDEX('PROJETO PERFURAÇÃO'!$P:$P,MATCH(MEDIÇÃO!D727,'PROJETO PERFURAÇÃO'!$B:$B,0))="Pre-Splitting","S"))),"")</f>
        <v/>
      </c>
      <c r="D727" s="14">
        <f t="shared" si="69"/>
        <v>1597</v>
      </c>
      <c r="E727" s="4" t="str">
        <f>IFERROR(INDEX('LEV R&amp;D'!$D:$D,MATCH(MEDIÇÃO!D727,'LEV R&amp;D'!$A:$A,0))-INDEX('PROJETO PERFURAÇÃO'!$AH:$AH,MATCH(MEDIÇÃO!D727,'PROJETO PERFURAÇÃO'!$B:$B,0)),"")</f>
        <v/>
      </c>
      <c r="F727" s="8" t="str">
        <f>IFERROR(INDEX('PROJETO PERFURAÇÃO'!$AN:$AN,MATCH(MEDIÇÃO!D727,'PROJETO PERFURAÇÃO'!$B:$B,0)),"")</f>
        <v/>
      </c>
      <c r="G727" s="3"/>
      <c r="H727" s="3"/>
      <c r="I727" s="3" t="str">
        <f>IFERROR(ROUND(INDEX('PROJETO PERFURAÇÃO'!$AB:$AB,MATCH(MEDIÇÃO!K727,'PROJETO PERFURAÇÃO'!$B:$B,0)),1)&amp;"''","")</f>
        <v/>
      </c>
      <c r="J727" s="3" t="str">
        <f>IFERROR(IF(INDEX('PROJETO PERFURAÇÃO'!$P:$P,MATCH(MEDIÇÃO!K727,'PROJETO PERFURAÇÃO'!$B:$B,0))="Production","P",IF(INDEX('PROJETO PERFURAÇÃO'!$P:$P,MATCH(MEDIÇÃO!K727,'PROJETO PERFURAÇÃO'!$B:$B,0))="Buffer","B",IF(INDEX('PROJETO PERFURAÇÃO'!$P:$P,MATCH(MEDIÇÃO!K727,'PROJETO PERFURAÇÃO'!$B:$B,0))="Pre-Splitting","S"))),"")</f>
        <v/>
      </c>
      <c r="K727" s="14">
        <f t="shared" si="70"/>
        <v>1620</v>
      </c>
      <c r="L727" s="4" t="str">
        <f>IFERROR(INDEX('LEV R&amp;D'!$D:$D,MATCH(MEDIÇÃO!K727,'LEV R&amp;D'!$A:$A,0))-INDEX('PROJETO PERFURAÇÃO'!$AH:$AH,MATCH(MEDIÇÃO!K727,'PROJETO PERFURAÇÃO'!$B:$B,0)),"")</f>
        <v/>
      </c>
      <c r="M727" s="8" t="str">
        <f>IFERROR(INDEX('PROJETO PERFURAÇÃO'!$AN:$AN,MATCH(MEDIÇÃO!K727,'PROJETO PERFURAÇÃO'!$B:$B,0)),"")</f>
        <v/>
      </c>
      <c r="N727" s="3"/>
      <c r="O727" s="3"/>
      <c r="P727" s="3" t="str">
        <f>IFERROR(ROUND(INDEX('PROJETO PERFURAÇÃO'!$AB:$AB,MATCH(MEDIÇÃO!R727,'PROJETO PERFURAÇÃO'!$B:$B,0)),1)&amp;"''","")</f>
        <v/>
      </c>
      <c r="Q727" s="3" t="str">
        <f>IFERROR(IF(INDEX('PROJETO PERFURAÇÃO'!$P:$P,MATCH(MEDIÇÃO!R727,'PROJETO PERFURAÇÃO'!$B:$B,0))="Production","P",IF(INDEX('PROJETO PERFURAÇÃO'!$P:$P,MATCH(MEDIÇÃO!R727,'PROJETO PERFURAÇÃO'!$B:$B,0))="Buffer","B",IF(INDEX('PROJETO PERFURAÇÃO'!$P:$P,MATCH(MEDIÇÃO!R727,'PROJETO PERFURAÇÃO'!$B:$B,0))="Pre-Splitting","S"))),"")</f>
        <v/>
      </c>
      <c r="R727" s="14">
        <f t="shared" si="71"/>
        <v>1643</v>
      </c>
      <c r="S727" s="4" t="str">
        <f>IFERROR(INDEX('LEV R&amp;D'!$D:$D,MATCH(MEDIÇÃO!R727,'LEV R&amp;D'!$A:$A,0))-INDEX('PROJETO PERFURAÇÃO'!$AH:$AH,MATCH(MEDIÇÃO!R727,'PROJETO PERFURAÇÃO'!$B:$B,0)),"")</f>
        <v/>
      </c>
      <c r="T727" s="8" t="str">
        <f>IFERROR(INDEX('PROJETO PERFURAÇÃO'!$AN:$AN,MATCH(MEDIÇÃO!R727,'PROJETO PERFURAÇÃO'!$B:$B,0)),"")</f>
        <v/>
      </c>
      <c r="U727" s="3"/>
      <c r="V727" s="3"/>
    </row>
    <row r="728" spans="2:22" ht="45" customHeight="1">
      <c r="B728" s="3" t="str">
        <f>IFERROR(ROUND(INDEX('PROJETO PERFURAÇÃO'!$AB:$AB,MATCH(MEDIÇÃO!D728,'PROJETO PERFURAÇÃO'!$B:$B,0)),1)&amp;"''","")</f>
        <v/>
      </c>
      <c r="C728" s="3" t="str">
        <f>IFERROR(IF(INDEX('PROJETO PERFURAÇÃO'!$P:$P,MATCH(MEDIÇÃO!D728,'PROJETO PERFURAÇÃO'!$B:$B,0))="Production","P",IF(INDEX('PROJETO PERFURAÇÃO'!$P:$P,MATCH(MEDIÇÃO!D728,'PROJETO PERFURAÇÃO'!$B:$B,0))="Buffer","B",IF(INDEX('PROJETO PERFURAÇÃO'!$P:$P,MATCH(MEDIÇÃO!D728,'PROJETO PERFURAÇÃO'!$B:$B,0))="Pre-Splitting","S"))),"")</f>
        <v/>
      </c>
      <c r="D728" s="14">
        <f t="shared" si="69"/>
        <v>1598</v>
      </c>
      <c r="E728" s="4" t="str">
        <f>IFERROR(INDEX('LEV R&amp;D'!$D:$D,MATCH(MEDIÇÃO!D728,'LEV R&amp;D'!$A:$A,0))-INDEX('PROJETO PERFURAÇÃO'!$AH:$AH,MATCH(MEDIÇÃO!D728,'PROJETO PERFURAÇÃO'!$B:$B,0)),"")</f>
        <v/>
      </c>
      <c r="F728" s="8" t="str">
        <f>IFERROR(INDEX('PROJETO PERFURAÇÃO'!$AN:$AN,MATCH(MEDIÇÃO!D728,'PROJETO PERFURAÇÃO'!$B:$B,0)),"")</f>
        <v/>
      </c>
      <c r="G728" s="3"/>
      <c r="H728" s="3"/>
      <c r="I728" s="3" t="str">
        <f>IFERROR(ROUND(INDEX('PROJETO PERFURAÇÃO'!$AB:$AB,MATCH(MEDIÇÃO!K728,'PROJETO PERFURAÇÃO'!$B:$B,0)),1)&amp;"''","")</f>
        <v/>
      </c>
      <c r="J728" s="3" t="str">
        <f>IFERROR(IF(INDEX('PROJETO PERFURAÇÃO'!$P:$P,MATCH(MEDIÇÃO!K728,'PROJETO PERFURAÇÃO'!$B:$B,0))="Production","P",IF(INDEX('PROJETO PERFURAÇÃO'!$P:$P,MATCH(MEDIÇÃO!K728,'PROJETO PERFURAÇÃO'!$B:$B,0))="Buffer","B",IF(INDEX('PROJETO PERFURAÇÃO'!$P:$P,MATCH(MEDIÇÃO!K728,'PROJETO PERFURAÇÃO'!$B:$B,0))="Pre-Splitting","S"))),"")</f>
        <v/>
      </c>
      <c r="K728" s="14">
        <f t="shared" si="70"/>
        <v>1621</v>
      </c>
      <c r="L728" s="4" t="str">
        <f>IFERROR(INDEX('LEV R&amp;D'!$D:$D,MATCH(MEDIÇÃO!K728,'LEV R&amp;D'!$A:$A,0))-INDEX('PROJETO PERFURAÇÃO'!$AH:$AH,MATCH(MEDIÇÃO!K728,'PROJETO PERFURAÇÃO'!$B:$B,0)),"")</f>
        <v/>
      </c>
      <c r="M728" s="8" t="str">
        <f>IFERROR(INDEX('PROJETO PERFURAÇÃO'!$AN:$AN,MATCH(MEDIÇÃO!K728,'PROJETO PERFURAÇÃO'!$B:$B,0)),"")</f>
        <v/>
      </c>
      <c r="N728" s="3"/>
      <c r="O728" s="3"/>
      <c r="P728" s="3" t="str">
        <f>IFERROR(ROUND(INDEX('PROJETO PERFURAÇÃO'!$AB:$AB,MATCH(MEDIÇÃO!R728,'PROJETO PERFURAÇÃO'!$B:$B,0)),1)&amp;"''","")</f>
        <v/>
      </c>
      <c r="Q728" s="3" t="str">
        <f>IFERROR(IF(INDEX('PROJETO PERFURAÇÃO'!$P:$P,MATCH(MEDIÇÃO!R728,'PROJETO PERFURAÇÃO'!$B:$B,0))="Production","P",IF(INDEX('PROJETO PERFURAÇÃO'!$P:$P,MATCH(MEDIÇÃO!R728,'PROJETO PERFURAÇÃO'!$B:$B,0))="Buffer","B",IF(INDEX('PROJETO PERFURAÇÃO'!$P:$P,MATCH(MEDIÇÃO!R728,'PROJETO PERFURAÇÃO'!$B:$B,0))="Pre-Splitting","S"))),"")</f>
        <v/>
      </c>
      <c r="R728" s="14">
        <f t="shared" si="71"/>
        <v>1644</v>
      </c>
      <c r="S728" s="4" t="str">
        <f>IFERROR(INDEX('LEV R&amp;D'!$D:$D,MATCH(MEDIÇÃO!R728,'LEV R&amp;D'!$A:$A,0))-INDEX('PROJETO PERFURAÇÃO'!$AH:$AH,MATCH(MEDIÇÃO!R728,'PROJETO PERFURAÇÃO'!$B:$B,0)),"")</f>
        <v/>
      </c>
      <c r="T728" s="8" t="str">
        <f>IFERROR(INDEX('PROJETO PERFURAÇÃO'!$AN:$AN,MATCH(MEDIÇÃO!R728,'PROJETO PERFURAÇÃO'!$B:$B,0)),"")</f>
        <v/>
      </c>
      <c r="U728" s="3"/>
      <c r="V728" s="3"/>
    </row>
    <row r="729" spans="2:22" ht="45" customHeight="1">
      <c r="B729" s="3" t="str">
        <f>IFERROR(ROUND(INDEX('PROJETO PERFURAÇÃO'!$AB:$AB,MATCH(MEDIÇÃO!D729,'PROJETO PERFURAÇÃO'!$B:$B,0)),1)&amp;"''","")</f>
        <v/>
      </c>
      <c r="C729" s="3" t="str">
        <f>IFERROR(IF(INDEX('PROJETO PERFURAÇÃO'!$P:$P,MATCH(MEDIÇÃO!D729,'PROJETO PERFURAÇÃO'!$B:$B,0))="Production","P",IF(INDEX('PROJETO PERFURAÇÃO'!$P:$P,MATCH(MEDIÇÃO!D729,'PROJETO PERFURAÇÃO'!$B:$B,0))="Buffer","B",IF(INDEX('PROJETO PERFURAÇÃO'!$P:$P,MATCH(MEDIÇÃO!D729,'PROJETO PERFURAÇÃO'!$B:$B,0))="Pre-Splitting","S"))),"")</f>
        <v/>
      </c>
      <c r="D729" s="14">
        <f t="shared" si="69"/>
        <v>1599</v>
      </c>
      <c r="E729" s="4" t="str">
        <f>IFERROR(INDEX('LEV R&amp;D'!$D:$D,MATCH(MEDIÇÃO!D729,'LEV R&amp;D'!$A:$A,0))-INDEX('PROJETO PERFURAÇÃO'!$AH:$AH,MATCH(MEDIÇÃO!D729,'PROJETO PERFURAÇÃO'!$B:$B,0)),"")</f>
        <v/>
      </c>
      <c r="F729" s="8" t="str">
        <f>IFERROR(INDEX('PROJETO PERFURAÇÃO'!$AN:$AN,MATCH(MEDIÇÃO!D729,'PROJETO PERFURAÇÃO'!$B:$B,0)),"")</f>
        <v/>
      </c>
      <c r="G729" s="3"/>
      <c r="H729" s="3"/>
      <c r="I729" s="3" t="str">
        <f>IFERROR(ROUND(INDEX('PROJETO PERFURAÇÃO'!$AB:$AB,MATCH(MEDIÇÃO!K729,'PROJETO PERFURAÇÃO'!$B:$B,0)),1)&amp;"''","")</f>
        <v/>
      </c>
      <c r="J729" s="3" t="str">
        <f>IFERROR(IF(INDEX('PROJETO PERFURAÇÃO'!$P:$P,MATCH(MEDIÇÃO!K729,'PROJETO PERFURAÇÃO'!$B:$B,0))="Production","P",IF(INDEX('PROJETO PERFURAÇÃO'!$P:$P,MATCH(MEDIÇÃO!K729,'PROJETO PERFURAÇÃO'!$B:$B,0))="Buffer","B",IF(INDEX('PROJETO PERFURAÇÃO'!$P:$P,MATCH(MEDIÇÃO!K729,'PROJETO PERFURAÇÃO'!$B:$B,0))="Pre-Splitting","S"))),"")</f>
        <v/>
      </c>
      <c r="K729" s="14">
        <f t="shared" si="70"/>
        <v>1622</v>
      </c>
      <c r="L729" s="4" t="str">
        <f>IFERROR(INDEX('LEV R&amp;D'!$D:$D,MATCH(MEDIÇÃO!K729,'LEV R&amp;D'!$A:$A,0))-INDEX('PROJETO PERFURAÇÃO'!$AH:$AH,MATCH(MEDIÇÃO!K729,'PROJETO PERFURAÇÃO'!$B:$B,0)),"")</f>
        <v/>
      </c>
      <c r="M729" s="8" t="str">
        <f>IFERROR(INDEX('PROJETO PERFURAÇÃO'!$AN:$AN,MATCH(MEDIÇÃO!K729,'PROJETO PERFURAÇÃO'!$B:$B,0)),"")</f>
        <v/>
      </c>
      <c r="N729" s="3"/>
      <c r="O729" s="3"/>
      <c r="P729" s="3" t="str">
        <f>IFERROR(ROUND(INDEX('PROJETO PERFURAÇÃO'!$AB:$AB,MATCH(MEDIÇÃO!R729,'PROJETO PERFURAÇÃO'!$B:$B,0)),1)&amp;"''","")</f>
        <v/>
      </c>
      <c r="Q729" s="3" t="str">
        <f>IFERROR(IF(INDEX('PROJETO PERFURAÇÃO'!$P:$P,MATCH(MEDIÇÃO!R729,'PROJETO PERFURAÇÃO'!$B:$B,0))="Production","P",IF(INDEX('PROJETO PERFURAÇÃO'!$P:$P,MATCH(MEDIÇÃO!R729,'PROJETO PERFURAÇÃO'!$B:$B,0))="Buffer","B",IF(INDEX('PROJETO PERFURAÇÃO'!$P:$P,MATCH(MEDIÇÃO!R729,'PROJETO PERFURAÇÃO'!$B:$B,0))="Pre-Splitting","S"))),"")</f>
        <v/>
      </c>
      <c r="R729" s="14">
        <f t="shared" si="71"/>
        <v>1645</v>
      </c>
      <c r="S729" s="4" t="str">
        <f>IFERROR(INDEX('LEV R&amp;D'!$D:$D,MATCH(MEDIÇÃO!R729,'LEV R&amp;D'!$A:$A,0))-INDEX('PROJETO PERFURAÇÃO'!$AH:$AH,MATCH(MEDIÇÃO!R729,'PROJETO PERFURAÇÃO'!$B:$B,0)),"")</f>
        <v/>
      </c>
      <c r="T729" s="8" t="str">
        <f>IFERROR(INDEX('PROJETO PERFURAÇÃO'!$AN:$AN,MATCH(MEDIÇÃO!R729,'PROJETO PERFURAÇÃO'!$B:$B,0)),"")</f>
        <v/>
      </c>
      <c r="U729" s="3"/>
      <c r="V729" s="3"/>
    </row>
    <row r="730" spans="2:22" ht="45" customHeight="1">
      <c r="B730" s="3" t="str">
        <f>IFERROR(ROUND(INDEX('PROJETO PERFURAÇÃO'!$AB:$AB,MATCH(MEDIÇÃO!D730,'PROJETO PERFURAÇÃO'!$B:$B,0)),1)&amp;"''","")</f>
        <v/>
      </c>
      <c r="C730" s="3" t="str">
        <f>IFERROR(IF(INDEX('PROJETO PERFURAÇÃO'!$P:$P,MATCH(MEDIÇÃO!D730,'PROJETO PERFURAÇÃO'!$B:$B,0))="Production","P",IF(INDEX('PROJETO PERFURAÇÃO'!$P:$P,MATCH(MEDIÇÃO!D730,'PROJETO PERFURAÇÃO'!$B:$B,0))="Buffer","B",IF(INDEX('PROJETO PERFURAÇÃO'!$P:$P,MATCH(MEDIÇÃO!D730,'PROJETO PERFURAÇÃO'!$B:$B,0))="Pre-Splitting","S"))),"")</f>
        <v/>
      </c>
      <c r="D730" s="14">
        <f t="shared" si="69"/>
        <v>1600</v>
      </c>
      <c r="E730" s="4" t="str">
        <f>IFERROR(INDEX('LEV R&amp;D'!$D:$D,MATCH(MEDIÇÃO!D730,'LEV R&amp;D'!$A:$A,0))-INDEX('PROJETO PERFURAÇÃO'!$AH:$AH,MATCH(MEDIÇÃO!D730,'PROJETO PERFURAÇÃO'!$B:$B,0)),"")</f>
        <v/>
      </c>
      <c r="F730" s="8" t="str">
        <f>IFERROR(INDEX('PROJETO PERFURAÇÃO'!$AN:$AN,MATCH(MEDIÇÃO!D730,'PROJETO PERFURAÇÃO'!$B:$B,0)),"")</f>
        <v/>
      </c>
      <c r="G730" s="3"/>
      <c r="H730" s="3"/>
      <c r="I730" s="3" t="str">
        <f>IFERROR(ROUND(INDEX('PROJETO PERFURAÇÃO'!$AB:$AB,MATCH(MEDIÇÃO!K730,'PROJETO PERFURAÇÃO'!$B:$B,0)),1)&amp;"''","")</f>
        <v/>
      </c>
      <c r="J730" s="3" t="str">
        <f>IFERROR(IF(INDEX('PROJETO PERFURAÇÃO'!$P:$P,MATCH(MEDIÇÃO!K730,'PROJETO PERFURAÇÃO'!$B:$B,0))="Production","P",IF(INDEX('PROJETO PERFURAÇÃO'!$P:$P,MATCH(MEDIÇÃO!K730,'PROJETO PERFURAÇÃO'!$B:$B,0))="Buffer","B",IF(INDEX('PROJETO PERFURAÇÃO'!$P:$P,MATCH(MEDIÇÃO!K730,'PROJETO PERFURAÇÃO'!$B:$B,0))="Pre-Splitting","S"))),"")</f>
        <v/>
      </c>
      <c r="K730" s="14">
        <f t="shared" si="70"/>
        <v>1623</v>
      </c>
      <c r="L730" s="4" t="str">
        <f>IFERROR(INDEX('LEV R&amp;D'!$D:$D,MATCH(MEDIÇÃO!K730,'LEV R&amp;D'!$A:$A,0))-INDEX('PROJETO PERFURAÇÃO'!$AH:$AH,MATCH(MEDIÇÃO!K730,'PROJETO PERFURAÇÃO'!$B:$B,0)),"")</f>
        <v/>
      </c>
      <c r="M730" s="8" t="str">
        <f>IFERROR(INDEX('PROJETO PERFURAÇÃO'!$AN:$AN,MATCH(MEDIÇÃO!K730,'PROJETO PERFURAÇÃO'!$B:$B,0)),"")</f>
        <v/>
      </c>
      <c r="N730" s="3"/>
      <c r="O730" s="3"/>
      <c r="P730" s="3" t="str">
        <f>IFERROR(ROUND(INDEX('PROJETO PERFURAÇÃO'!$AB:$AB,MATCH(MEDIÇÃO!R730,'PROJETO PERFURAÇÃO'!$B:$B,0)),1)&amp;"''","")</f>
        <v/>
      </c>
      <c r="Q730" s="3" t="str">
        <f>IFERROR(IF(INDEX('PROJETO PERFURAÇÃO'!$P:$P,MATCH(MEDIÇÃO!R730,'PROJETO PERFURAÇÃO'!$B:$B,0))="Production","P",IF(INDEX('PROJETO PERFURAÇÃO'!$P:$P,MATCH(MEDIÇÃO!R730,'PROJETO PERFURAÇÃO'!$B:$B,0))="Buffer","B",IF(INDEX('PROJETO PERFURAÇÃO'!$P:$P,MATCH(MEDIÇÃO!R730,'PROJETO PERFURAÇÃO'!$B:$B,0))="Pre-Splitting","S"))),"")</f>
        <v/>
      </c>
      <c r="R730" s="14">
        <f t="shared" si="71"/>
        <v>1646</v>
      </c>
      <c r="S730" s="4" t="str">
        <f>IFERROR(INDEX('LEV R&amp;D'!$D:$D,MATCH(MEDIÇÃO!R730,'LEV R&amp;D'!$A:$A,0))-INDEX('PROJETO PERFURAÇÃO'!$AH:$AH,MATCH(MEDIÇÃO!R730,'PROJETO PERFURAÇÃO'!$B:$B,0)),"")</f>
        <v/>
      </c>
      <c r="T730" s="8" t="str">
        <f>IFERROR(INDEX('PROJETO PERFURAÇÃO'!$AN:$AN,MATCH(MEDIÇÃO!R730,'PROJETO PERFURAÇÃO'!$B:$B,0)),"")</f>
        <v/>
      </c>
      <c r="U730" s="3"/>
      <c r="V730" s="3"/>
    </row>
    <row r="731" spans="2:22" ht="45" customHeight="1">
      <c r="B731" s="3" t="str">
        <f>IFERROR(ROUND(INDEX('PROJETO PERFURAÇÃO'!$AB:$AB,MATCH(MEDIÇÃO!D731,'PROJETO PERFURAÇÃO'!$B:$B,0)),1)&amp;"''","")</f>
        <v/>
      </c>
      <c r="C731" s="3" t="str">
        <f>IFERROR(IF(INDEX('PROJETO PERFURAÇÃO'!$P:$P,MATCH(MEDIÇÃO!D731,'PROJETO PERFURAÇÃO'!$B:$B,0))="Production","P",IF(INDEX('PROJETO PERFURAÇÃO'!$P:$P,MATCH(MEDIÇÃO!D731,'PROJETO PERFURAÇÃO'!$B:$B,0))="Buffer","B",IF(INDEX('PROJETO PERFURAÇÃO'!$P:$P,MATCH(MEDIÇÃO!D731,'PROJETO PERFURAÇÃO'!$B:$B,0))="Pre-Splitting","S"))),"")</f>
        <v/>
      </c>
      <c r="D731" s="14">
        <f t="shared" si="69"/>
        <v>1601</v>
      </c>
      <c r="E731" s="4" t="str">
        <f>IFERROR(INDEX('LEV R&amp;D'!$D:$D,MATCH(MEDIÇÃO!D731,'LEV R&amp;D'!$A:$A,0))-INDEX('PROJETO PERFURAÇÃO'!$AH:$AH,MATCH(MEDIÇÃO!D731,'PROJETO PERFURAÇÃO'!$B:$B,0)),"")</f>
        <v/>
      </c>
      <c r="F731" s="8" t="str">
        <f>IFERROR(INDEX('PROJETO PERFURAÇÃO'!$AN:$AN,MATCH(MEDIÇÃO!D731,'PROJETO PERFURAÇÃO'!$B:$B,0)),"")</f>
        <v/>
      </c>
      <c r="G731" s="3"/>
      <c r="H731" s="3"/>
      <c r="I731" s="3" t="str">
        <f>IFERROR(ROUND(INDEX('PROJETO PERFURAÇÃO'!$AB:$AB,MATCH(MEDIÇÃO!K731,'PROJETO PERFURAÇÃO'!$B:$B,0)),1)&amp;"''","")</f>
        <v/>
      </c>
      <c r="J731" s="3" t="str">
        <f>IFERROR(IF(INDEX('PROJETO PERFURAÇÃO'!$P:$P,MATCH(MEDIÇÃO!K731,'PROJETO PERFURAÇÃO'!$B:$B,0))="Production","P",IF(INDEX('PROJETO PERFURAÇÃO'!$P:$P,MATCH(MEDIÇÃO!K731,'PROJETO PERFURAÇÃO'!$B:$B,0))="Buffer","B",IF(INDEX('PROJETO PERFURAÇÃO'!$P:$P,MATCH(MEDIÇÃO!K731,'PROJETO PERFURAÇÃO'!$B:$B,0))="Pre-Splitting","S"))),"")</f>
        <v/>
      </c>
      <c r="K731" s="14">
        <f t="shared" si="70"/>
        <v>1624</v>
      </c>
      <c r="L731" s="4" t="str">
        <f>IFERROR(INDEX('LEV R&amp;D'!$D:$D,MATCH(MEDIÇÃO!K731,'LEV R&amp;D'!$A:$A,0))-INDEX('PROJETO PERFURAÇÃO'!$AH:$AH,MATCH(MEDIÇÃO!K731,'PROJETO PERFURAÇÃO'!$B:$B,0)),"")</f>
        <v/>
      </c>
      <c r="M731" s="8" t="str">
        <f>IFERROR(INDEX('PROJETO PERFURAÇÃO'!$AN:$AN,MATCH(MEDIÇÃO!K731,'PROJETO PERFURAÇÃO'!$B:$B,0)),"")</f>
        <v/>
      </c>
      <c r="N731" s="3"/>
      <c r="O731" s="3"/>
      <c r="P731" s="3" t="str">
        <f>IFERROR(ROUND(INDEX('PROJETO PERFURAÇÃO'!$AB:$AB,MATCH(MEDIÇÃO!R731,'PROJETO PERFURAÇÃO'!$B:$B,0)),1)&amp;"''","")</f>
        <v/>
      </c>
      <c r="Q731" s="3" t="str">
        <f>IFERROR(IF(INDEX('PROJETO PERFURAÇÃO'!$P:$P,MATCH(MEDIÇÃO!R731,'PROJETO PERFURAÇÃO'!$B:$B,0))="Production","P",IF(INDEX('PROJETO PERFURAÇÃO'!$P:$P,MATCH(MEDIÇÃO!R731,'PROJETO PERFURAÇÃO'!$B:$B,0))="Buffer","B",IF(INDEX('PROJETO PERFURAÇÃO'!$P:$P,MATCH(MEDIÇÃO!R731,'PROJETO PERFURAÇÃO'!$B:$B,0))="Pre-Splitting","S"))),"")</f>
        <v/>
      </c>
      <c r="R731" s="14">
        <f t="shared" si="71"/>
        <v>1647</v>
      </c>
      <c r="S731" s="4" t="str">
        <f>IFERROR(INDEX('LEV R&amp;D'!$D:$D,MATCH(MEDIÇÃO!R731,'LEV R&amp;D'!$A:$A,0))-INDEX('PROJETO PERFURAÇÃO'!$AH:$AH,MATCH(MEDIÇÃO!R731,'PROJETO PERFURAÇÃO'!$B:$B,0)),"")</f>
        <v/>
      </c>
      <c r="T731" s="8" t="str">
        <f>IFERROR(INDEX('PROJETO PERFURAÇÃO'!$AN:$AN,MATCH(MEDIÇÃO!R731,'PROJETO PERFURAÇÃO'!$B:$B,0)),"")</f>
        <v/>
      </c>
      <c r="U731" s="3"/>
      <c r="V731" s="3"/>
    </row>
    <row r="732" spans="2:22" ht="45" customHeight="1">
      <c r="B732" s="3" t="str">
        <f>IFERROR(ROUND(INDEX('PROJETO PERFURAÇÃO'!$AB:$AB,MATCH(MEDIÇÃO!D732,'PROJETO PERFURAÇÃO'!$B:$B,0)),1)&amp;"''","")</f>
        <v/>
      </c>
      <c r="C732" s="3" t="str">
        <f>IFERROR(IF(INDEX('PROJETO PERFURAÇÃO'!$P:$P,MATCH(MEDIÇÃO!D732,'PROJETO PERFURAÇÃO'!$B:$B,0))="Production","P",IF(INDEX('PROJETO PERFURAÇÃO'!$P:$P,MATCH(MEDIÇÃO!D732,'PROJETO PERFURAÇÃO'!$B:$B,0))="Buffer","B",IF(INDEX('PROJETO PERFURAÇÃO'!$P:$P,MATCH(MEDIÇÃO!D732,'PROJETO PERFURAÇÃO'!$B:$B,0))="Pre-Splitting","S"))),"")</f>
        <v/>
      </c>
      <c r="D732" s="14">
        <f t="shared" si="69"/>
        <v>1602</v>
      </c>
      <c r="E732" s="4" t="str">
        <f>IFERROR(INDEX('LEV R&amp;D'!$D:$D,MATCH(MEDIÇÃO!D732,'LEV R&amp;D'!$A:$A,0))-INDEX('PROJETO PERFURAÇÃO'!$AH:$AH,MATCH(MEDIÇÃO!D732,'PROJETO PERFURAÇÃO'!$B:$B,0)),"")</f>
        <v/>
      </c>
      <c r="F732" s="8" t="str">
        <f>IFERROR(INDEX('PROJETO PERFURAÇÃO'!$AN:$AN,MATCH(MEDIÇÃO!D732,'PROJETO PERFURAÇÃO'!$B:$B,0)),"")</f>
        <v/>
      </c>
      <c r="G732" s="3"/>
      <c r="H732" s="3"/>
      <c r="I732" s="3" t="str">
        <f>IFERROR(ROUND(INDEX('PROJETO PERFURAÇÃO'!$AB:$AB,MATCH(MEDIÇÃO!K732,'PROJETO PERFURAÇÃO'!$B:$B,0)),1)&amp;"''","")</f>
        <v/>
      </c>
      <c r="J732" s="3" t="str">
        <f>IFERROR(IF(INDEX('PROJETO PERFURAÇÃO'!$P:$P,MATCH(MEDIÇÃO!K732,'PROJETO PERFURAÇÃO'!$B:$B,0))="Production","P",IF(INDEX('PROJETO PERFURAÇÃO'!$P:$P,MATCH(MEDIÇÃO!K732,'PROJETO PERFURAÇÃO'!$B:$B,0))="Buffer","B",IF(INDEX('PROJETO PERFURAÇÃO'!$P:$P,MATCH(MEDIÇÃO!K732,'PROJETO PERFURAÇÃO'!$B:$B,0))="Pre-Splitting","S"))),"")</f>
        <v/>
      </c>
      <c r="K732" s="14">
        <f t="shared" si="70"/>
        <v>1625</v>
      </c>
      <c r="L732" s="4" t="str">
        <f>IFERROR(INDEX('LEV R&amp;D'!$D:$D,MATCH(MEDIÇÃO!K732,'LEV R&amp;D'!$A:$A,0))-INDEX('PROJETO PERFURAÇÃO'!$AH:$AH,MATCH(MEDIÇÃO!K732,'PROJETO PERFURAÇÃO'!$B:$B,0)),"")</f>
        <v/>
      </c>
      <c r="M732" s="8" t="str">
        <f>IFERROR(INDEX('PROJETO PERFURAÇÃO'!$AN:$AN,MATCH(MEDIÇÃO!K732,'PROJETO PERFURAÇÃO'!$B:$B,0)),"")</f>
        <v/>
      </c>
      <c r="N732" s="3"/>
      <c r="O732" s="3"/>
      <c r="P732" s="3" t="str">
        <f>IFERROR(ROUND(INDEX('PROJETO PERFURAÇÃO'!$AB:$AB,MATCH(MEDIÇÃO!R732,'PROJETO PERFURAÇÃO'!$B:$B,0)),1)&amp;"''","")</f>
        <v/>
      </c>
      <c r="Q732" s="3" t="str">
        <f>IFERROR(IF(INDEX('PROJETO PERFURAÇÃO'!$P:$P,MATCH(MEDIÇÃO!R732,'PROJETO PERFURAÇÃO'!$B:$B,0))="Production","P",IF(INDEX('PROJETO PERFURAÇÃO'!$P:$P,MATCH(MEDIÇÃO!R732,'PROJETO PERFURAÇÃO'!$B:$B,0))="Buffer","B",IF(INDEX('PROJETO PERFURAÇÃO'!$P:$P,MATCH(MEDIÇÃO!R732,'PROJETO PERFURAÇÃO'!$B:$B,0))="Pre-Splitting","S"))),"")</f>
        <v/>
      </c>
      <c r="R732" s="14">
        <f t="shared" si="71"/>
        <v>1648</v>
      </c>
      <c r="S732" s="4" t="str">
        <f>IFERROR(INDEX('LEV R&amp;D'!$D:$D,MATCH(MEDIÇÃO!R732,'LEV R&amp;D'!$A:$A,0))-INDEX('PROJETO PERFURAÇÃO'!$AH:$AH,MATCH(MEDIÇÃO!R732,'PROJETO PERFURAÇÃO'!$B:$B,0)),"")</f>
        <v/>
      </c>
      <c r="T732" s="8" t="str">
        <f>IFERROR(INDEX('PROJETO PERFURAÇÃO'!$AN:$AN,MATCH(MEDIÇÃO!R732,'PROJETO PERFURAÇÃO'!$B:$B,0)),"")</f>
        <v/>
      </c>
      <c r="U732" s="3"/>
      <c r="V732" s="3"/>
    </row>
    <row r="733" spans="2:22" ht="45" customHeight="1">
      <c r="B733" s="3" t="str">
        <f>IFERROR(ROUND(INDEX('PROJETO PERFURAÇÃO'!$AB:$AB,MATCH(MEDIÇÃO!D733,'PROJETO PERFURAÇÃO'!$B:$B,0)),1)&amp;"''","")</f>
        <v/>
      </c>
      <c r="C733" s="3" t="str">
        <f>IFERROR(IF(INDEX('PROJETO PERFURAÇÃO'!$P:$P,MATCH(MEDIÇÃO!D733,'PROJETO PERFURAÇÃO'!$B:$B,0))="Production","P",IF(INDEX('PROJETO PERFURAÇÃO'!$P:$P,MATCH(MEDIÇÃO!D733,'PROJETO PERFURAÇÃO'!$B:$B,0))="Buffer","B",IF(INDEX('PROJETO PERFURAÇÃO'!$P:$P,MATCH(MEDIÇÃO!D733,'PROJETO PERFURAÇÃO'!$B:$B,0))="Pre-Splitting","S"))),"")</f>
        <v/>
      </c>
      <c r="D733" s="14">
        <f t="shared" si="69"/>
        <v>1603</v>
      </c>
      <c r="E733" s="4" t="str">
        <f>IFERROR(INDEX('LEV R&amp;D'!$D:$D,MATCH(MEDIÇÃO!D733,'LEV R&amp;D'!$A:$A,0))-INDEX('PROJETO PERFURAÇÃO'!$AH:$AH,MATCH(MEDIÇÃO!D733,'PROJETO PERFURAÇÃO'!$B:$B,0)),"")</f>
        <v/>
      </c>
      <c r="F733" s="8" t="str">
        <f>IFERROR(INDEX('PROJETO PERFURAÇÃO'!$AN:$AN,MATCH(MEDIÇÃO!D733,'PROJETO PERFURAÇÃO'!$B:$B,0)),"")</f>
        <v/>
      </c>
      <c r="G733" s="3"/>
      <c r="H733" s="3"/>
      <c r="I733" s="3" t="str">
        <f>IFERROR(ROUND(INDEX('PROJETO PERFURAÇÃO'!$AB:$AB,MATCH(MEDIÇÃO!K733,'PROJETO PERFURAÇÃO'!$B:$B,0)),1)&amp;"''","")</f>
        <v/>
      </c>
      <c r="J733" s="3" t="str">
        <f>IFERROR(IF(INDEX('PROJETO PERFURAÇÃO'!$P:$P,MATCH(MEDIÇÃO!K733,'PROJETO PERFURAÇÃO'!$B:$B,0))="Production","P",IF(INDEX('PROJETO PERFURAÇÃO'!$P:$P,MATCH(MEDIÇÃO!K733,'PROJETO PERFURAÇÃO'!$B:$B,0))="Buffer","B",IF(INDEX('PROJETO PERFURAÇÃO'!$P:$P,MATCH(MEDIÇÃO!K733,'PROJETO PERFURAÇÃO'!$B:$B,0))="Pre-Splitting","S"))),"")</f>
        <v/>
      </c>
      <c r="K733" s="14">
        <f t="shared" si="70"/>
        <v>1626</v>
      </c>
      <c r="L733" s="4" t="str">
        <f>IFERROR(INDEX('LEV R&amp;D'!$D:$D,MATCH(MEDIÇÃO!K733,'LEV R&amp;D'!$A:$A,0))-INDEX('PROJETO PERFURAÇÃO'!$AH:$AH,MATCH(MEDIÇÃO!K733,'PROJETO PERFURAÇÃO'!$B:$B,0)),"")</f>
        <v/>
      </c>
      <c r="M733" s="8" t="str">
        <f>IFERROR(INDEX('PROJETO PERFURAÇÃO'!$AN:$AN,MATCH(MEDIÇÃO!K733,'PROJETO PERFURAÇÃO'!$B:$B,0)),"")</f>
        <v/>
      </c>
      <c r="N733" s="3"/>
      <c r="O733" s="3"/>
      <c r="P733" s="3" t="str">
        <f>IFERROR(ROUND(INDEX('PROJETO PERFURAÇÃO'!$AB:$AB,MATCH(MEDIÇÃO!R733,'PROJETO PERFURAÇÃO'!$B:$B,0)),1)&amp;"''","")</f>
        <v/>
      </c>
      <c r="Q733" s="3" t="str">
        <f>IFERROR(IF(INDEX('PROJETO PERFURAÇÃO'!$P:$P,MATCH(MEDIÇÃO!R733,'PROJETO PERFURAÇÃO'!$B:$B,0))="Production","P",IF(INDEX('PROJETO PERFURAÇÃO'!$P:$P,MATCH(MEDIÇÃO!R733,'PROJETO PERFURAÇÃO'!$B:$B,0))="Buffer","B",IF(INDEX('PROJETO PERFURAÇÃO'!$P:$P,MATCH(MEDIÇÃO!R733,'PROJETO PERFURAÇÃO'!$B:$B,0))="Pre-Splitting","S"))),"")</f>
        <v/>
      </c>
      <c r="R733" s="14">
        <f t="shared" si="71"/>
        <v>1649</v>
      </c>
      <c r="S733" s="4" t="str">
        <f>IFERROR(INDEX('LEV R&amp;D'!$D:$D,MATCH(MEDIÇÃO!R733,'LEV R&amp;D'!$A:$A,0))-INDEX('PROJETO PERFURAÇÃO'!$AH:$AH,MATCH(MEDIÇÃO!R733,'PROJETO PERFURAÇÃO'!$B:$B,0)),"")</f>
        <v/>
      </c>
      <c r="T733" s="8" t="str">
        <f>IFERROR(INDEX('PROJETO PERFURAÇÃO'!$AN:$AN,MATCH(MEDIÇÃO!R733,'PROJETO PERFURAÇÃO'!$B:$B,0)),"")</f>
        <v/>
      </c>
      <c r="U733" s="3"/>
      <c r="V733" s="3"/>
    </row>
    <row r="734" spans="2:22" ht="45" customHeight="1">
      <c r="B734" s="3" t="str">
        <f>IFERROR(ROUND(INDEX('PROJETO PERFURAÇÃO'!$AB:$AB,MATCH(MEDIÇÃO!D734,'PROJETO PERFURAÇÃO'!$B:$B,0)),1)&amp;"''","")</f>
        <v/>
      </c>
      <c r="C734" s="3" t="str">
        <f>IFERROR(IF(INDEX('PROJETO PERFURAÇÃO'!$P:$P,MATCH(MEDIÇÃO!D734,'PROJETO PERFURAÇÃO'!$B:$B,0))="Production","P",IF(INDEX('PROJETO PERFURAÇÃO'!$P:$P,MATCH(MEDIÇÃO!D734,'PROJETO PERFURAÇÃO'!$B:$B,0))="Buffer","B",IF(INDEX('PROJETO PERFURAÇÃO'!$P:$P,MATCH(MEDIÇÃO!D734,'PROJETO PERFURAÇÃO'!$B:$B,0))="Pre-Splitting","S"))),"")</f>
        <v/>
      </c>
      <c r="D734" s="14">
        <f t="shared" si="69"/>
        <v>1604</v>
      </c>
      <c r="E734" s="4" t="str">
        <f>IFERROR(INDEX('LEV R&amp;D'!$D:$D,MATCH(MEDIÇÃO!D734,'LEV R&amp;D'!$A:$A,0))-INDEX('PROJETO PERFURAÇÃO'!$AH:$AH,MATCH(MEDIÇÃO!D734,'PROJETO PERFURAÇÃO'!$B:$B,0)),"")</f>
        <v/>
      </c>
      <c r="F734" s="8" t="str">
        <f>IFERROR(INDEX('PROJETO PERFURAÇÃO'!$AN:$AN,MATCH(MEDIÇÃO!D734,'PROJETO PERFURAÇÃO'!$B:$B,0)),"")</f>
        <v/>
      </c>
      <c r="G734" s="3"/>
      <c r="H734" s="3"/>
      <c r="I734" s="3" t="str">
        <f>IFERROR(ROUND(INDEX('PROJETO PERFURAÇÃO'!$AB:$AB,MATCH(MEDIÇÃO!K734,'PROJETO PERFURAÇÃO'!$B:$B,0)),1)&amp;"''","")</f>
        <v/>
      </c>
      <c r="J734" s="3" t="str">
        <f>IFERROR(IF(INDEX('PROJETO PERFURAÇÃO'!$P:$P,MATCH(MEDIÇÃO!K734,'PROJETO PERFURAÇÃO'!$B:$B,0))="Production","P",IF(INDEX('PROJETO PERFURAÇÃO'!$P:$P,MATCH(MEDIÇÃO!K734,'PROJETO PERFURAÇÃO'!$B:$B,0))="Buffer","B",IF(INDEX('PROJETO PERFURAÇÃO'!$P:$P,MATCH(MEDIÇÃO!K734,'PROJETO PERFURAÇÃO'!$B:$B,0))="Pre-Splitting","S"))),"")</f>
        <v/>
      </c>
      <c r="K734" s="14">
        <f t="shared" si="70"/>
        <v>1627</v>
      </c>
      <c r="L734" s="4" t="str">
        <f>IFERROR(INDEX('LEV R&amp;D'!$D:$D,MATCH(MEDIÇÃO!K734,'LEV R&amp;D'!$A:$A,0))-INDEX('PROJETO PERFURAÇÃO'!$AH:$AH,MATCH(MEDIÇÃO!K734,'PROJETO PERFURAÇÃO'!$B:$B,0)),"")</f>
        <v/>
      </c>
      <c r="M734" s="8" t="str">
        <f>IFERROR(INDEX('PROJETO PERFURAÇÃO'!$AN:$AN,MATCH(MEDIÇÃO!K734,'PROJETO PERFURAÇÃO'!$B:$B,0)),"")</f>
        <v/>
      </c>
      <c r="N734" s="3"/>
      <c r="O734" s="3"/>
      <c r="P734" s="3" t="str">
        <f>IFERROR(ROUND(INDEX('PROJETO PERFURAÇÃO'!$AB:$AB,MATCH(MEDIÇÃO!R734,'PROJETO PERFURAÇÃO'!$B:$B,0)),1)&amp;"''","")</f>
        <v/>
      </c>
      <c r="Q734" s="3" t="str">
        <f>IFERROR(IF(INDEX('PROJETO PERFURAÇÃO'!$P:$P,MATCH(MEDIÇÃO!R734,'PROJETO PERFURAÇÃO'!$B:$B,0))="Production","P",IF(INDEX('PROJETO PERFURAÇÃO'!$P:$P,MATCH(MEDIÇÃO!R734,'PROJETO PERFURAÇÃO'!$B:$B,0))="Buffer","B",IF(INDEX('PROJETO PERFURAÇÃO'!$P:$P,MATCH(MEDIÇÃO!R734,'PROJETO PERFURAÇÃO'!$B:$B,0))="Pre-Splitting","S"))),"")</f>
        <v/>
      </c>
      <c r="R734" s="14">
        <f t="shared" si="71"/>
        <v>1650</v>
      </c>
      <c r="S734" s="4" t="str">
        <f>IFERROR(INDEX('LEV R&amp;D'!$D:$D,MATCH(MEDIÇÃO!R734,'LEV R&amp;D'!$A:$A,0))-INDEX('PROJETO PERFURAÇÃO'!$AH:$AH,MATCH(MEDIÇÃO!R734,'PROJETO PERFURAÇÃO'!$B:$B,0)),"")</f>
        <v/>
      </c>
      <c r="T734" s="8" t="str">
        <f>IFERROR(INDEX('PROJETO PERFURAÇÃO'!$AN:$AN,MATCH(MEDIÇÃO!R734,'PROJETO PERFURAÇÃO'!$B:$B,0)),"")</f>
        <v/>
      </c>
      <c r="U734" s="3"/>
      <c r="V734" s="3"/>
    </row>
    <row r="735" spans="2:22" ht="45" customHeight="1">
      <c r="B735" s="3" t="str">
        <f>IFERROR(ROUND(INDEX('PROJETO PERFURAÇÃO'!$AB:$AB,MATCH(MEDIÇÃO!D735,'PROJETO PERFURAÇÃO'!$B:$B,0)),1)&amp;"''","")</f>
        <v/>
      </c>
      <c r="C735" s="3" t="str">
        <f>IFERROR(IF(INDEX('PROJETO PERFURAÇÃO'!$P:$P,MATCH(MEDIÇÃO!D735,'PROJETO PERFURAÇÃO'!$B:$B,0))="Production","P",IF(INDEX('PROJETO PERFURAÇÃO'!$P:$P,MATCH(MEDIÇÃO!D735,'PROJETO PERFURAÇÃO'!$B:$B,0))="Buffer","B",IF(INDEX('PROJETO PERFURAÇÃO'!$P:$P,MATCH(MEDIÇÃO!D735,'PROJETO PERFURAÇÃO'!$B:$B,0))="Pre-Splitting","S"))),"")</f>
        <v/>
      </c>
      <c r="D735" s="14">
        <f t="shared" si="69"/>
        <v>1605</v>
      </c>
      <c r="E735" s="4" t="str">
        <f>IFERROR(INDEX('LEV R&amp;D'!$D:$D,MATCH(MEDIÇÃO!D735,'LEV R&amp;D'!$A:$A,0))-INDEX('PROJETO PERFURAÇÃO'!$AH:$AH,MATCH(MEDIÇÃO!D735,'PROJETO PERFURAÇÃO'!$B:$B,0)),"")</f>
        <v/>
      </c>
      <c r="F735" s="8" t="str">
        <f>IFERROR(INDEX('PROJETO PERFURAÇÃO'!$AN:$AN,MATCH(MEDIÇÃO!D735,'PROJETO PERFURAÇÃO'!$B:$B,0)),"")</f>
        <v/>
      </c>
      <c r="G735" s="3"/>
      <c r="H735" s="3"/>
      <c r="I735" s="3" t="str">
        <f>IFERROR(ROUND(INDEX('PROJETO PERFURAÇÃO'!$AB:$AB,MATCH(MEDIÇÃO!K735,'PROJETO PERFURAÇÃO'!$B:$B,0)),1)&amp;"''","")</f>
        <v/>
      </c>
      <c r="J735" s="3" t="str">
        <f>IFERROR(IF(INDEX('PROJETO PERFURAÇÃO'!$P:$P,MATCH(MEDIÇÃO!K735,'PROJETO PERFURAÇÃO'!$B:$B,0))="Production","P",IF(INDEX('PROJETO PERFURAÇÃO'!$P:$P,MATCH(MEDIÇÃO!K735,'PROJETO PERFURAÇÃO'!$B:$B,0))="Buffer","B",IF(INDEX('PROJETO PERFURAÇÃO'!$P:$P,MATCH(MEDIÇÃO!K735,'PROJETO PERFURAÇÃO'!$B:$B,0))="Pre-Splitting","S"))),"")</f>
        <v/>
      </c>
      <c r="K735" s="14">
        <f t="shared" si="70"/>
        <v>1628</v>
      </c>
      <c r="L735" s="4" t="str">
        <f>IFERROR(INDEX('LEV R&amp;D'!$D:$D,MATCH(MEDIÇÃO!K735,'LEV R&amp;D'!$A:$A,0))-INDEX('PROJETO PERFURAÇÃO'!$AH:$AH,MATCH(MEDIÇÃO!K735,'PROJETO PERFURAÇÃO'!$B:$B,0)),"")</f>
        <v/>
      </c>
      <c r="M735" s="8" t="str">
        <f>IFERROR(INDEX('PROJETO PERFURAÇÃO'!$AN:$AN,MATCH(MEDIÇÃO!K735,'PROJETO PERFURAÇÃO'!$B:$B,0)),"")</f>
        <v/>
      </c>
      <c r="N735" s="3"/>
      <c r="O735" s="3"/>
      <c r="P735" s="3" t="str">
        <f>IFERROR(ROUND(INDEX('PROJETO PERFURAÇÃO'!$AB:$AB,MATCH(MEDIÇÃO!R735,'PROJETO PERFURAÇÃO'!$B:$B,0)),1)&amp;"''","")</f>
        <v/>
      </c>
      <c r="Q735" s="3" t="str">
        <f>IFERROR(IF(INDEX('PROJETO PERFURAÇÃO'!$P:$P,MATCH(MEDIÇÃO!R735,'PROJETO PERFURAÇÃO'!$B:$B,0))="Production","P",IF(INDEX('PROJETO PERFURAÇÃO'!$P:$P,MATCH(MEDIÇÃO!R735,'PROJETO PERFURAÇÃO'!$B:$B,0))="Buffer","B",IF(INDEX('PROJETO PERFURAÇÃO'!$P:$P,MATCH(MEDIÇÃO!R735,'PROJETO PERFURAÇÃO'!$B:$B,0))="Pre-Splitting","S"))),"")</f>
        <v/>
      </c>
      <c r="R735" s="14">
        <f t="shared" si="71"/>
        <v>1651</v>
      </c>
      <c r="S735" s="4" t="str">
        <f>IFERROR(INDEX('LEV R&amp;D'!$D:$D,MATCH(MEDIÇÃO!R735,'LEV R&amp;D'!$A:$A,0))-INDEX('PROJETO PERFURAÇÃO'!$AH:$AH,MATCH(MEDIÇÃO!R735,'PROJETO PERFURAÇÃO'!$B:$B,0)),"")</f>
        <v/>
      </c>
      <c r="T735" s="8" t="str">
        <f>IFERROR(INDEX('PROJETO PERFURAÇÃO'!$AN:$AN,MATCH(MEDIÇÃO!R735,'PROJETO PERFURAÇÃO'!$B:$B,0)),"")</f>
        <v/>
      </c>
      <c r="U735" s="3"/>
      <c r="V735" s="3"/>
    </row>
    <row r="736" spans="2:22" ht="45" customHeight="1">
      <c r="B736" s="3" t="str">
        <f>IFERROR(ROUND(INDEX('PROJETO PERFURAÇÃO'!$AB:$AB,MATCH(MEDIÇÃO!D736,'PROJETO PERFURAÇÃO'!$B:$B,0)),1)&amp;"''","")</f>
        <v/>
      </c>
      <c r="C736" s="3" t="str">
        <f>IFERROR(IF(INDEX('PROJETO PERFURAÇÃO'!$P:$P,MATCH(MEDIÇÃO!D736,'PROJETO PERFURAÇÃO'!$B:$B,0))="Production","P",IF(INDEX('PROJETO PERFURAÇÃO'!$P:$P,MATCH(MEDIÇÃO!D736,'PROJETO PERFURAÇÃO'!$B:$B,0))="Buffer","B",IF(INDEX('PROJETO PERFURAÇÃO'!$P:$P,MATCH(MEDIÇÃO!D736,'PROJETO PERFURAÇÃO'!$B:$B,0))="Pre-Splitting","S"))),"")</f>
        <v/>
      </c>
      <c r="D736" s="14">
        <f t="shared" si="69"/>
        <v>1606</v>
      </c>
      <c r="E736" s="4" t="str">
        <f>IFERROR(INDEX('LEV R&amp;D'!$D:$D,MATCH(MEDIÇÃO!D736,'LEV R&amp;D'!$A:$A,0))-INDEX('PROJETO PERFURAÇÃO'!$AH:$AH,MATCH(MEDIÇÃO!D736,'PROJETO PERFURAÇÃO'!$B:$B,0)),"")</f>
        <v/>
      </c>
      <c r="F736" s="8" t="str">
        <f>IFERROR(INDEX('PROJETO PERFURAÇÃO'!$AN:$AN,MATCH(MEDIÇÃO!D736,'PROJETO PERFURAÇÃO'!$B:$B,0)),"")</f>
        <v/>
      </c>
      <c r="G736" s="3"/>
      <c r="H736" s="3"/>
      <c r="I736" s="3" t="str">
        <f>IFERROR(ROUND(INDEX('PROJETO PERFURAÇÃO'!$AB:$AB,MATCH(MEDIÇÃO!K736,'PROJETO PERFURAÇÃO'!$B:$B,0)),1)&amp;"''","")</f>
        <v/>
      </c>
      <c r="J736" s="3" t="str">
        <f>IFERROR(IF(INDEX('PROJETO PERFURAÇÃO'!$P:$P,MATCH(MEDIÇÃO!K736,'PROJETO PERFURAÇÃO'!$B:$B,0))="Production","P",IF(INDEX('PROJETO PERFURAÇÃO'!$P:$P,MATCH(MEDIÇÃO!K736,'PROJETO PERFURAÇÃO'!$B:$B,0))="Buffer","B",IF(INDEX('PROJETO PERFURAÇÃO'!$P:$P,MATCH(MEDIÇÃO!K736,'PROJETO PERFURAÇÃO'!$B:$B,0))="Pre-Splitting","S"))),"")</f>
        <v/>
      </c>
      <c r="K736" s="14">
        <f t="shared" si="70"/>
        <v>1629</v>
      </c>
      <c r="L736" s="4" t="str">
        <f>IFERROR(INDEX('LEV R&amp;D'!$D:$D,MATCH(MEDIÇÃO!K736,'LEV R&amp;D'!$A:$A,0))-INDEX('PROJETO PERFURAÇÃO'!$AH:$AH,MATCH(MEDIÇÃO!K736,'PROJETO PERFURAÇÃO'!$B:$B,0)),"")</f>
        <v/>
      </c>
      <c r="M736" s="8" t="str">
        <f>IFERROR(INDEX('PROJETO PERFURAÇÃO'!$AN:$AN,MATCH(MEDIÇÃO!K736,'PROJETO PERFURAÇÃO'!$B:$B,0)),"")</f>
        <v/>
      </c>
      <c r="N736" s="3"/>
      <c r="O736" s="3"/>
      <c r="P736" s="3" t="str">
        <f>IFERROR(ROUND(INDEX('PROJETO PERFURAÇÃO'!$AB:$AB,MATCH(MEDIÇÃO!R736,'PROJETO PERFURAÇÃO'!$B:$B,0)),1)&amp;"''","")</f>
        <v/>
      </c>
      <c r="Q736" s="3" t="str">
        <f>IFERROR(IF(INDEX('PROJETO PERFURAÇÃO'!$P:$P,MATCH(MEDIÇÃO!R736,'PROJETO PERFURAÇÃO'!$B:$B,0))="Production","P",IF(INDEX('PROJETO PERFURAÇÃO'!$P:$P,MATCH(MEDIÇÃO!R736,'PROJETO PERFURAÇÃO'!$B:$B,0))="Buffer","B",IF(INDEX('PROJETO PERFURAÇÃO'!$P:$P,MATCH(MEDIÇÃO!R736,'PROJETO PERFURAÇÃO'!$B:$B,0))="Pre-Splitting","S"))),"")</f>
        <v/>
      </c>
      <c r="R736" s="14">
        <f t="shared" si="71"/>
        <v>1652</v>
      </c>
      <c r="S736" s="4" t="str">
        <f>IFERROR(INDEX('LEV R&amp;D'!$D:$D,MATCH(MEDIÇÃO!R736,'LEV R&amp;D'!$A:$A,0))-INDEX('PROJETO PERFURAÇÃO'!$AH:$AH,MATCH(MEDIÇÃO!R736,'PROJETO PERFURAÇÃO'!$B:$B,0)),"")</f>
        <v/>
      </c>
      <c r="T736" s="8" t="str">
        <f>IFERROR(INDEX('PROJETO PERFURAÇÃO'!$AN:$AN,MATCH(MEDIÇÃO!R736,'PROJETO PERFURAÇÃO'!$B:$B,0)),"")</f>
        <v/>
      </c>
      <c r="U736" s="3"/>
      <c r="V736" s="3"/>
    </row>
    <row r="737" spans="1:23" ht="45" customHeight="1">
      <c r="B737" s="3" t="str">
        <f>IFERROR(ROUND(INDEX('PROJETO PERFURAÇÃO'!$AB:$AB,MATCH(MEDIÇÃO!D737,'PROJETO PERFURAÇÃO'!$B:$B,0)),1)&amp;"''","")</f>
        <v/>
      </c>
      <c r="C737" s="3" t="str">
        <f>IFERROR(IF(INDEX('PROJETO PERFURAÇÃO'!$P:$P,MATCH(MEDIÇÃO!D737,'PROJETO PERFURAÇÃO'!$B:$B,0))="Production","P",IF(INDEX('PROJETO PERFURAÇÃO'!$P:$P,MATCH(MEDIÇÃO!D737,'PROJETO PERFURAÇÃO'!$B:$B,0))="Buffer","B",IF(INDEX('PROJETO PERFURAÇÃO'!$P:$P,MATCH(MEDIÇÃO!D737,'PROJETO PERFURAÇÃO'!$B:$B,0))="Pre-Splitting","S"))),"")</f>
        <v/>
      </c>
      <c r="D737" s="14">
        <f t="shared" si="69"/>
        <v>1607</v>
      </c>
      <c r="E737" s="4" t="str">
        <f>IFERROR(INDEX('LEV R&amp;D'!$D:$D,MATCH(MEDIÇÃO!D737,'LEV R&amp;D'!$A:$A,0))-INDEX('PROJETO PERFURAÇÃO'!$AH:$AH,MATCH(MEDIÇÃO!D737,'PROJETO PERFURAÇÃO'!$B:$B,0)),"")</f>
        <v/>
      </c>
      <c r="F737" s="8" t="str">
        <f>IFERROR(INDEX('PROJETO PERFURAÇÃO'!$AN:$AN,MATCH(MEDIÇÃO!D737,'PROJETO PERFURAÇÃO'!$B:$B,0)),"")</f>
        <v/>
      </c>
      <c r="G737" s="3"/>
      <c r="H737" s="3"/>
      <c r="I737" s="3" t="str">
        <f>IFERROR(ROUND(INDEX('PROJETO PERFURAÇÃO'!$AB:$AB,MATCH(MEDIÇÃO!K737,'PROJETO PERFURAÇÃO'!$B:$B,0)),1)&amp;"''","")</f>
        <v/>
      </c>
      <c r="J737" s="3" t="str">
        <f>IFERROR(IF(INDEX('PROJETO PERFURAÇÃO'!$P:$P,MATCH(MEDIÇÃO!K737,'PROJETO PERFURAÇÃO'!$B:$B,0))="Production","P",IF(INDEX('PROJETO PERFURAÇÃO'!$P:$P,MATCH(MEDIÇÃO!K737,'PROJETO PERFURAÇÃO'!$B:$B,0))="Buffer","B",IF(INDEX('PROJETO PERFURAÇÃO'!$P:$P,MATCH(MEDIÇÃO!K737,'PROJETO PERFURAÇÃO'!$B:$B,0))="Pre-Splitting","S"))),"")</f>
        <v/>
      </c>
      <c r="K737" s="14">
        <f t="shared" si="70"/>
        <v>1630</v>
      </c>
      <c r="L737" s="4" t="str">
        <f>IFERROR(INDEX('LEV R&amp;D'!$D:$D,MATCH(MEDIÇÃO!K737,'LEV R&amp;D'!$A:$A,0))-INDEX('PROJETO PERFURAÇÃO'!$AH:$AH,MATCH(MEDIÇÃO!K737,'PROJETO PERFURAÇÃO'!$B:$B,0)),"")</f>
        <v/>
      </c>
      <c r="M737" s="8" t="str">
        <f>IFERROR(INDEX('PROJETO PERFURAÇÃO'!$AN:$AN,MATCH(MEDIÇÃO!K737,'PROJETO PERFURAÇÃO'!$B:$B,0)),"")</f>
        <v/>
      </c>
      <c r="N737" s="3"/>
      <c r="O737" s="3"/>
      <c r="P737" s="3" t="str">
        <f>IFERROR(ROUND(INDEX('PROJETO PERFURAÇÃO'!$AB:$AB,MATCH(MEDIÇÃO!R737,'PROJETO PERFURAÇÃO'!$B:$B,0)),1)&amp;"''","")</f>
        <v/>
      </c>
      <c r="Q737" s="3" t="str">
        <f>IFERROR(IF(INDEX('PROJETO PERFURAÇÃO'!$P:$P,MATCH(MEDIÇÃO!R737,'PROJETO PERFURAÇÃO'!$B:$B,0))="Production","P",IF(INDEX('PROJETO PERFURAÇÃO'!$P:$P,MATCH(MEDIÇÃO!R737,'PROJETO PERFURAÇÃO'!$B:$B,0))="Buffer","B",IF(INDEX('PROJETO PERFURAÇÃO'!$P:$P,MATCH(MEDIÇÃO!R737,'PROJETO PERFURAÇÃO'!$B:$B,0))="Pre-Splitting","S"))),"")</f>
        <v/>
      </c>
      <c r="R737" s="14">
        <f t="shared" si="71"/>
        <v>1653</v>
      </c>
      <c r="S737" s="4" t="str">
        <f>IFERROR(INDEX('LEV R&amp;D'!$D:$D,MATCH(MEDIÇÃO!R737,'LEV R&amp;D'!$A:$A,0))-INDEX('PROJETO PERFURAÇÃO'!$AH:$AH,MATCH(MEDIÇÃO!R737,'PROJETO PERFURAÇÃO'!$B:$B,0)),"")</f>
        <v/>
      </c>
      <c r="T737" s="8" t="str">
        <f>IFERROR(INDEX('PROJETO PERFURAÇÃO'!$AN:$AN,MATCH(MEDIÇÃO!R737,'PROJETO PERFURAÇÃO'!$B:$B,0)),"")</f>
        <v/>
      </c>
      <c r="U737" s="3"/>
      <c r="V737" s="3"/>
    </row>
    <row r="738" spans="1:23" ht="45" customHeight="1">
      <c r="B738" s="3" t="str">
        <f>IFERROR(ROUND(INDEX('PROJETO PERFURAÇÃO'!$AB:$AB,MATCH(MEDIÇÃO!D738,'PROJETO PERFURAÇÃO'!$B:$B,0)),1)&amp;"''","")</f>
        <v/>
      </c>
      <c r="C738" s="3" t="str">
        <f>IFERROR(IF(INDEX('PROJETO PERFURAÇÃO'!$P:$P,MATCH(MEDIÇÃO!D738,'PROJETO PERFURAÇÃO'!$B:$B,0))="Production","P",IF(INDEX('PROJETO PERFURAÇÃO'!$P:$P,MATCH(MEDIÇÃO!D738,'PROJETO PERFURAÇÃO'!$B:$B,0))="Buffer","B",IF(INDEX('PROJETO PERFURAÇÃO'!$P:$P,MATCH(MEDIÇÃO!D738,'PROJETO PERFURAÇÃO'!$B:$B,0))="Pre-Splitting","S"))),"")</f>
        <v/>
      </c>
      <c r="D738" s="14">
        <f t="shared" si="69"/>
        <v>1608</v>
      </c>
      <c r="E738" s="4" t="str">
        <f>IFERROR(INDEX('LEV R&amp;D'!$D:$D,MATCH(MEDIÇÃO!D738,'LEV R&amp;D'!$A:$A,0))-INDEX('PROJETO PERFURAÇÃO'!$AH:$AH,MATCH(MEDIÇÃO!D738,'PROJETO PERFURAÇÃO'!$B:$B,0)),"")</f>
        <v/>
      </c>
      <c r="F738" s="8" t="str">
        <f>IFERROR(INDEX('PROJETO PERFURAÇÃO'!$AN:$AN,MATCH(MEDIÇÃO!D738,'PROJETO PERFURAÇÃO'!$B:$B,0)),"")</f>
        <v/>
      </c>
      <c r="G738" s="3"/>
      <c r="H738" s="3"/>
      <c r="I738" s="3" t="str">
        <f>IFERROR(ROUND(INDEX('PROJETO PERFURAÇÃO'!$AB:$AB,MATCH(MEDIÇÃO!K738,'PROJETO PERFURAÇÃO'!$B:$B,0)),1)&amp;"''","")</f>
        <v/>
      </c>
      <c r="J738" s="3" t="str">
        <f>IFERROR(IF(INDEX('PROJETO PERFURAÇÃO'!$P:$P,MATCH(MEDIÇÃO!K738,'PROJETO PERFURAÇÃO'!$B:$B,0))="Production","P",IF(INDEX('PROJETO PERFURAÇÃO'!$P:$P,MATCH(MEDIÇÃO!K738,'PROJETO PERFURAÇÃO'!$B:$B,0))="Buffer","B",IF(INDEX('PROJETO PERFURAÇÃO'!$P:$P,MATCH(MEDIÇÃO!K738,'PROJETO PERFURAÇÃO'!$B:$B,0))="Pre-Splitting","S"))),"")</f>
        <v/>
      </c>
      <c r="K738" s="14">
        <f t="shared" si="70"/>
        <v>1631</v>
      </c>
      <c r="L738" s="4" t="str">
        <f>IFERROR(INDEX('LEV R&amp;D'!$D:$D,MATCH(MEDIÇÃO!K738,'LEV R&amp;D'!$A:$A,0))-INDEX('PROJETO PERFURAÇÃO'!$AH:$AH,MATCH(MEDIÇÃO!K738,'PROJETO PERFURAÇÃO'!$B:$B,0)),"")</f>
        <v/>
      </c>
      <c r="M738" s="8" t="str">
        <f>IFERROR(INDEX('PROJETO PERFURAÇÃO'!$AN:$AN,MATCH(MEDIÇÃO!K738,'PROJETO PERFURAÇÃO'!$B:$B,0)),"")</f>
        <v/>
      </c>
      <c r="N738" s="3"/>
      <c r="O738" s="3"/>
      <c r="P738" s="3" t="str">
        <f>IFERROR(ROUND(INDEX('PROJETO PERFURAÇÃO'!$AB:$AB,MATCH(MEDIÇÃO!R738,'PROJETO PERFURAÇÃO'!$B:$B,0)),1)&amp;"''","")</f>
        <v/>
      </c>
      <c r="Q738" s="3" t="str">
        <f>IFERROR(IF(INDEX('PROJETO PERFURAÇÃO'!$P:$P,MATCH(MEDIÇÃO!R738,'PROJETO PERFURAÇÃO'!$B:$B,0))="Production","P",IF(INDEX('PROJETO PERFURAÇÃO'!$P:$P,MATCH(MEDIÇÃO!R738,'PROJETO PERFURAÇÃO'!$B:$B,0))="Buffer","B",IF(INDEX('PROJETO PERFURAÇÃO'!$P:$P,MATCH(MEDIÇÃO!R738,'PROJETO PERFURAÇÃO'!$B:$B,0))="Pre-Splitting","S"))),"")</f>
        <v/>
      </c>
      <c r="R738" s="14">
        <f t="shared" si="71"/>
        <v>1654</v>
      </c>
      <c r="S738" s="4" t="str">
        <f>IFERROR(INDEX('LEV R&amp;D'!$D:$D,MATCH(MEDIÇÃO!R738,'LEV R&amp;D'!$A:$A,0))-INDEX('PROJETO PERFURAÇÃO'!$AH:$AH,MATCH(MEDIÇÃO!R738,'PROJETO PERFURAÇÃO'!$B:$B,0)),"")</f>
        <v/>
      </c>
      <c r="T738" s="8" t="str">
        <f>IFERROR(INDEX('PROJETO PERFURAÇÃO'!$AN:$AN,MATCH(MEDIÇÃO!R738,'PROJETO PERFURAÇÃO'!$B:$B,0)),"")</f>
        <v/>
      </c>
      <c r="U738" s="3"/>
      <c r="V738" s="3"/>
    </row>
    <row r="739" spans="1:23" ht="45" customHeight="1">
      <c r="B739" s="3" t="str">
        <f>IFERROR(ROUND(INDEX('PROJETO PERFURAÇÃO'!$AB:$AB,MATCH(MEDIÇÃO!D739,'PROJETO PERFURAÇÃO'!$B:$B,0)),1)&amp;"''","")</f>
        <v/>
      </c>
      <c r="C739" s="3" t="str">
        <f>IFERROR(IF(INDEX('PROJETO PERFURAÇÃO'!$P:$P,MATCH(MEDIÇÃO!D739,'PROJETO PERFURAÇÃO'!$B:$B,0))="Production","P",IF(INDEX('PROJETO PERFURAÇÃO'!$P:$P,MATCH(MEDIÇÃO!D739,'PROJETO PERFURAÇÃO'!$B:$B,0))="Buffer","B",IF(INDEX('PROJETO PERFURAÇÃO'!$P:$P,MATCH(MEDIÇÃO!D739,'PROJETO PERFURAÇÃO'!$B:$B,0))="Pre-Splitting","S"))),"")</f>
        <v/>
      </c>
      <c r="D739" s="14">
        <f t="shared" si="69"/>
        <v>1609</v>
      </c>
      <c r="E739" s="4" t="str">
        <f>IFERROR(INDEX('LEV R&amp;D'!$D:$D,MATCH(MEDIÇÃO!D739,'LEV R&amp;D'!$A:$A,0))-INDEX('PROJETO PERFURAÇÃO'!$AH:$AH,MATCH(MEDIÇÃO!D739,'PROJETO PERFURAÇÃO'!$B:$B,0)),"")</f>
        <v/>
      </c>
      <c r="F739" s="8" t="str">
        <f>IFERROR(INDEX('PROJETO PERFURAÇÃO'!$AN:$AN,MATCH(MEDIÇÃO!D739,'PROJETO PERFURAÇÃO'!$B:$B,0)),"")</f>
        <v/>
      </c>
      <c r="G739" s="3"/>
      <c r="H739" s="3"/>
      <c r="I739" s="3" t="str">
        <f>IFERROR(ROUND(INDEX('PROJETO PERFURAÇÃO'!$AB:$AB,MATCH(MEDIÇÃO!K739,'PROJETO PERFURAÇÃO'!$B:$B,0)),1)&amp;"''","")</f>
        <v/>
      </c>
      <c r="J739" s="3" t="str">
        <f>IFERROR(IF(INDEX('PROJETO PERFURAÇÃO'!$P:$P,MATCH(MEDIÇÃO!K739,'PROJETO PERFURAÇÃO'!$B:$B,0))="Production","P",IF(INDEX('PROJETO PERFURAÇÃO'!$P:$P,MATCH(MEDIÇÃO!K739,'PROJETO PERFURAÇÃO'!$B:$B,0))="Buffer","B",IF(INDEX('PROJETO PERFURAÇÃO'!$P:$P,MATCH(MEDIÇÃO!K739,'PROJETO PERFURAÇÃO'!$B:$B,0))="Pre-Splitting","S"))),"")</f>
        <v/>
      </c>
      <c r="K739" s="14">
        <f t="shared" si="70"/>
        <v>1632</v>
      </c>
      <c r="L739" s="4" t="str">
        <f>IFERROR(INDEX('LEV R&amp;D'!$D:$D,MATCH(MEDIÇÃO!K739,'LEV R&amp;D'!$A:$A,0))-INDEX('PROJETO PERFURAÇÃO'!$AH:$AH,MATCH(MEDIÇÃO!K739,'PROJETO PERFURAÇÃO'!$B:$B,0)),"")</f>
        <v/>
      </c>
      <c r="M739" s="8" t="str">
        <f>IFERROR(INDEX('PROJETO PERFURAÇÃO'!$AN:$AN,MATCH(MEDIÇÃO!K739,'PROJETO PERFURAÇÃO'!$B:$B,0)),"")</f>
        <v/>
      </c>
      <c r="N739" s="3"/>
      <c r="O739" s="3"/>
      <c r="P739" s="3" t="str">
        <f>IFERROR(ROUND(INDEX('PROJETO PERFURAÇÃO'!$AB:$AB,MATCH(MEDIÇÃO!R739,'PROJETO PERFURAÇÃO'!$B:$B,0)),1)&amp;"''","")</f>
        <v/>
      </c>
      <c r="Q739" s="3" t="str">
        <f>IFERROR(IF(INDEX('PROJETO PERFURAÇÃO'!$P:$P,MATCH(MEDIÇÃO!R739,'PROJETO PERFURAÇÃO'!$B:$B,0))="Production","P",IF(INDEX('PROJETO PERFURAÇÃO'!$P:$P,MATCH(MEDIÇÃO!R739,'PROJETO PERFURAÇÃO'!$B:$B,0))="Buffer","B",IF(INDEX('PROJETO PERFURAÇÃO'!$P:$P,MATCH(MEDIÇÃO!R739,'PROJETO PERFURAÇÃO'!$B:$B,0))="Pre-Splitting","S"))),"")</f>
        <v/>
      </c>
      <c r="R739" s="14">
        <f t="shared" si="71"/>
        <v>1655</v>
      </c>
      <c r="S739" s="4" t="str">
        <f>IFERROR(INDEX('LEV R&amp;D'!$D:$D,MATCH(MEDIÇÃO!R739,'LEV R&amp;D'!$A:$A,0))-INDEX('PROJETO PERFURAÇÃO'!$AH:$AH,MATCH(MEDIÇÃO!R739,'PROJETO PERFURAÇÃO'!$B:$B,0)),"")</f>
        <v/>
      </c>
      <c r="T739" s="8" t="str">
        <f>IFERROR(INDEX('PROJETO PERFURAÇÃO'!$AN:$AN,MATCH(MEDIÇÃO!R739,'PROJETO PERFURAÇÃO'!$B:$B,0)),"")</f>
        <v/>
      </c>
      <c r="U739" s="3"/>
      <c r="V739" s="3"/>
    </row>
    <row r="740" spans="1:23" ht="45" customHeight="1">
      <c r="B740" s="3" t="str">
        <f>IFERROR(ROUND(INDEX('PROJETO PERFURAÇÃO'!$AB:$AB,MATCH(MEDIÇÃO!D740,'PROJETO PERFURAÇÃO'!$B:$B,0)),1)&amp;"''","")</f>
        <v/>
      </c>
      <c r="C740" s="3" t="str">
        <f>IFERROR(IF(INDEX('PROJETO PERFURAÇÃO'!$P:$P,MATCH(MEDIÇÃO!D740,'PROJETO PERFURAÇÃO'!$B:$B,0))="Production","P",IF(INDEX('PROJETO PERFURAÇÃO'!$P:$P,MATCH(MEDIÇÃO!D740,'PROJETO PERFURAÇÃO'!$B:$B,0))="Buffer","B",IF(INDEX('PROJETO PERFURAÇÃO'!$P:$P,MATCH(MEDIÇÃO!D740,'PROJETO PERFURAÇÃO'!$B:$B,0))="Pre-Splitting","S"))),"")</f>
        <v/>
      </c>
      <c r="D740" s="14">
        <f t="shared" si="69"/>
        <v>1610</v>
      </c>
      <c r="E740" s="4" t="str">
        <f>IFERROR(INDEX('LEV R&amp;D'!$D:$D,MATCH(MEDIÇÃO!D740,'LEV R&amp;D'!$A:$A,0))-INDEX('PROJETO PERFURAÇÃO'!$AH:$AH,MATCH(MEDIÇÃO!D740,'PROJETO PERFURAÇÃO'!$B:$B,0)),"")</f>
        <v/>
      </c>
      <c r="F740" s="8" t="str">
        <f>IFERROR(INDEX('PROJETO PERFURAÇÃO'!$AN:$AN,MATCH(MEDIÇÃO!D740,'PROJETO PERFURAÇÃO'!$B:$B,0)),"")</f>
        <v/>
      </c>
      <c r="G740" s="3"/>
      <c r="H740" s="3"/>
      <c r="I740" s="3" t="str">
        <f>IFERROR(ROUND(INDEX('PROJETO PERFURAÇÃO'!$AB:$AB,MATCH(MEDIÇÃO!K740,'PROJETO PERFURAÇÃO'!$B:$B,0)),1)&amp;"''","")</f>
        <v/>
      </c>
      <c r="J740" s="3" t="str">
        <f>IFERROR(IF(INDEX('PROJETO PERFURAÇÃO'!$P:$P,MATCH(MEDIÇÃO!K740,'PROJETO PERFURAÇÃO'!$B:$B,0))="Production","P",IF(INDEX('PROJETO PERFURAÇÃO'!$P:$P,MATCH(MEDIÇÃO!K740,'PROJETO PERFURAÇÃO'!$B:$B,0))="Buffer","B",IF(INDEX('PROJETO PERFURAÇÃO'!$P:$P,MATCH(MEDIÇÃO!K740,'PROJETO PERFURAÇÃO'!$B:$B,0))="Pre-Splitting","S"))),"")</f>
        <v/>
      </c>
      <c r="K740" s="14">
        <f>K739+1</f>
        <v>1633</v>
      </c>
      <c r="L740" s="4" t="str">
        <f>IFERROR(INDEX('LEV R&amp;D'!$D:$D,MATCH(MEDIÇÃO!K740,'LEV R&amp;D'!$A:$A,0))-INDEX('PROJETO PERFURAÇÃO'!$AH:$AH,MATCH(MEDIÇÃO!K740,'PROJETO PERFURAÇÃO'!$B:$B,0)),"")</f>
        <v/>
      </c>
      <c r="M740" s="8" t="str">
        <f>IFERROR(INDEX('PROJETO PERFURAÇÃO'!$AN:$AN,MATCH(MEDIÇÃO!K740,'PROJETO PERFURAÇÃO'!$B:$B,0)),"")</f>
        <v/>
      </c>
      <c r="N740" s="3"/>
      <c r="O740" s="3"/>
      <c r="P740" s="3" t="str">
        <f>IFERROR(ROUND(INDEX('PROJETO PERFURAÇÃO'!$AB:$AB,MATCH(MEDIÇÃO!R740,'PROJETO PERFURAÇÃO'!$B:$B,0)),1)&amp;"''","")</f>
        <v/>
      </c>
      <c r="Q740" s="3" t="str">
        <f>IFERROR(IF(INDEX('PROJETO PERFURAÇÃO'!$P:$P,MATCH(MEDIÇÃO!R740,'PROJETO PERFURAÇÃO'!$B:$B,0))="Production","P",IF(INDEX('PROJETO PERFURAÇÃO'!$P:$P,MATCH(MEDIÇÃO!R740,'PROJETO PERFURAÇÃO'!$B:$B,0))="Buffer","B",IF(INDEX('PROJETO PERFURAÇÃO'!$P:$P,MATCH(MEDIÇÃO!R740,'PROJETO PERFURAÇÃO'!$B:$B,0))="Pre-Splitting","S"))),"")</f>
        <v/>
      </c>
      <c r="R740" s="14">
        <f>R739+1</f>
        <v>1656</v>
      </c>
      <c r="S740" s="4" t="str">
        <f>IFERROR(INDEX('LEV R&amp;D'!$D:$D,MATCH(MEDIÇÃO!R740,'LEV R&amp;D'!$A:$A,0))-INDEX('PROJETO PERFURAÇÃO'!$AH:$AH,MATCH(MEDIÇÃO!R740,'PROJETO PERFURAÇÃO'!$B:$B,0)),"")</f>
        <v/>
      </c>
      <c r="T740" s="8" t="str">
        <f>IFERROR(INDEX('PROJETO PERFURAÇÃO'!$AN:$AN,MATCH(MEDIÇÃO!R740,'PROJETO PERFURAÇÃO'!$B:$B,0)),"")</f>
        <v/>
      </c>
      <c r="U740" s="3"/>
      <c r="V740" s="3"/>
    </row>
    <row r="741" spans="1:23" ht="30" customHeight="1">
      <c r="B741" s="1"/>
      <c r="C741" s="1"/>
      <c r="D741" s="15"/>
      <c r="E741" s="2"/>
      <c r="F741" s="16"/>
      <c r="G741" s="1"/>
      <c r="H741" s="1"/>
      <c r="I741" s="1"/>
      <c r="J741" s="1"/>
      <c r="K741" s="15"/>
      <c r="L741" s="2"/>
      <c r="M741" s="16"/>
      <c r="N741" s="1"/>
      <c r="O741" s="1"/>
      <c r="P741" s="1"/>
      <c r="Q741" s="1"/>
      <c r="R741" s="15"/>
      <c r="S741" s="2"/>
      <c r="T741" s="16"/>
      <c r="U741" s="1"/>
      <c r="V741" s="1"/>
    </row>
    <row r="742" spans="1:23" ht="30" customHeight="1">
      <c r="C742" s="20"/>
      <c r="D742" s="20"/>
      <c r="E742" s="20"/>
      <c r="F742" s="20"/>
      <c r="G742" s="20"/>
      <c r="H742" s="20"/>
      <c r="I742" s="20"/>
      <c r="J742" s="20"/>
      <c r="K742" s="20"/>
      <c r="M742" s="20"/>
      <c r="N742" s="20"/>
      <c r="O742" s="20"/>
      <c r="P742" s="20"/>
      <c r="Q742" s="20"/>
      <c r="R742" s="20"/>
      <c r="S742" s="20"/>
      <c r="T742" s="20"/>
      <c r="U742" s="20"/>
    </row>
    <row r="743" spans="1:23" ht="30" customHeight="1">
      <c r="C743" s="21" t="s">
        <v>40</v>
      </c>
      <c r="D743" s="21"/>
      <c r="E743" s="21"/>
      <c r="F743" s="21"/>
      <c r="G743" s="21"/>
      <c r="H743" s="21"/>
      <c r="I743" s="21"/>
      <c r="J743" s="21"/>
      <c r="K743" s="21"/>
      <c r="L743" s="9"/>
      <c r="M743" s="21" t="s">
        <v>40</v>
      </c>
      <c r="N743" s="21"/>
      <c r="O743" s="21"/>
      <c r="P743" s="21"/>
      <c r="Q743" s="21"/>
      <c r="R743" s="21"/>
      <c r="S743" s="21"/>
      <c r="T743" s="21"/>
      <c r="U743" s="21"/>
      <c r="V743" s="9"/>
    </row>
    <row r="744" spans="1:23" ht="30" customHeight="1">
      <c r="D744" s="9"/>
      <c r="E744" s="9"/>
      <c r="F744" s="9"/>
      <c r="G744" s="9"/>
      <c r="H744" s="9"/>
      <c r="I744" s="9"/>
      <c r="J744" s="9"/>
      <c r="K744" s="9"/>
      <c r="L744" s="9"/>
      <c r="M744" s="9"/>
      <c r="N744" s="9"/>
      <c r="Q744" s="9"/>
      <c r="R744" s="9"/>
      <c r="S744" s="9"/>
      <c r="T744" s="9"/>
      <c r="U744" s="9"/>
      <c r="V744" s="9"/>
    </row>
    <row r="745" spans="1:23" ht="30" customHeight="1">
      <c r="B745" s="19" t="str">
        <f>'PROJETO PERFURAÇÃO'!$C$2&amp;" - "&amp;'PROJETO PERFURAÇÃO'!$H$2</f>
        <v>LIB037 - PP0370626</v>
      </c>
      <c r="C745" s="19"/>
      <c r="D745" s="19"/>
      <c r="E745" s="19"/>
      <c r="F745" s="19"/>
      <c r="G745" s="19"/>
      <c r="H745" s="19"/>
      <c r="I745" s="11" t="s">
        <v>34</v>
      </c>
      <c r="J745" s="10" t="s">
        <v>37</v>
      </c>
    </row>
    <row r="746" spans="1:23" ht="30" customHeight="1">
      <c r="B746" s="19"/>
      <c r="C746" s="19"/>
      <c r="D746" s="19"/>
      <c r="E746" s="19"/>
      <c r="F746" s="19"/>
      <c r="G746" s="19"/>
      <c r="H746" s="19"/>
      <c r="I746" s="12" t="s">
        <v>35</v>
      </c>
      <c r="J746" s="10" t="s">
        <v>38</v>
      </c>
      <c r="K746" s="9"/>
      <c r="L746" s="9"/>
      <c r="M746" s="9"/>
      <c r="N746" s="9"/>
      <c r="O746" s="9"/>
      <c r="P746" s="9"/>
      <c r="Q746" s="9"/>
      <c r="R746" s="9"/>
      <c r="S746" s="9"/>
      <c r="T746" s="9"/>
      <c r="U746" s="9"/>
      <c r="V746" s="9"/>
    </row>
    <row r="747" spans="1:23" ht="30" customHeight="1">
      <c r="B747" s="19"/>
      <c r="C747" s="19"/>
      <c r="D747" s="19"/>
      <c r="E747" s="19"/>
      <c r="F747" s="19"/>
      <c r="G747" s="19"/>
      <c r="H747" s="19"/>
      <c r="I747" s="13" t="s">
        <v>36</v>
      </c>
      <c r="J747" s="10" t="s">
        <v>39</v>
      </c>
    </row>
    <row r="748" spans="1:23" ht="30" customHeight="1">
      <c r="A748" s="1"/>
      <c r="B748" s="6" t="s">
        <v>33</v>
      </c>
      <c r="C748" s="6" t="s">
        <v>13</v>
      </c>
      <c r="D748" s="7" t="s">
        <v>1</v>
      </c>
      <c r="E748" s="7" t="s">
        <v>29</v>
      </c>
      <c r="F748" s="7" t="s">
        <v>30</v>
      </c>
      <c r="G748" s="7" t="s">
        <v>31</v>
      </c>
      <c r="H748" s="7" t="s">
        <v>32</v>
      </c>
      <c r="I748" s="6" t="s">
        <v>33</v>
      </c>
      <c r="J748" s="6" t="s">
        <v>13</v>
      </c>
      <c r="K748" s="7" t="s">
        <v>1</v>
      </c>
      <c r="L748" s="7" t="s">
        <v>29</v>
      </c>
      <c r="M748" s="7" t="s">
        <v>30</v>
      </c>
      <c r="N748" s="7" t="s">
        <v>31</v>
      </c>
      <c r="O748" s="7" t="s">
        <v>32</v>
      </c>
      <c r="P748" s="6" t="s">
        <v>33</v>
      </c>
      <c r="Q748" s="6" t="s">
        <v>13</v>
      </c>
      <c r="R748" s="7" t="s">
        <v>1</v>
      </c>
      <c r="S748" s="7" t="s">
        <v>29</v>
      </c>
      <c r="T748" s="7" t="s">
        <v>30</v>
      </c>
      <c r="U748" s="7" t="s">
        <v>31</v>
      </c>
      <c r="V748" s="7" t="s">
        <v>32</v>
      </c>
      <c r="W748" s="1"/>
    </row>
    <row r="749" spans="1:23" ht="45" customHeight="1">
      <c r="B749" s="3" t="str">
        <f>IFERROR(ROUND(INDEX('PROJETO PERFURAÇÃO'!$AB:$AB,MATCH(MEDIÇÃO!D749,'PROJETO PERFURAÇÃO'!$B:$B,0)),1)&amp;"''","")</f>
        <v/>
      </c>
      <c r="C749" s="3" t="str">
        <f>IFERROR(IF(INDEX('PROJETO PERFURAÇÃO'!$P:$P,MATCH(MEDIÇÃO!D749,'PROJETO PERFURAÇÃO'!$B:$B,0))="Production","P",IF(INDEX('PROJETO PERFURAÇÃO'!$P:$P,MATCH(MEDIÇÃO!D749,'PROJETO PERFURAÇÃO'!$B:$B,0))="Buffer","B",IF(INDEX('PROJETO PERFURAÇÃO'!$P:$P,MATCH(MEDIÇÃO!D749,'PROJETO PERFURAÇÃO'!$B:$B,0))="Pre-Splitting","S"))),"")</f>
        <v/>
      </c>
      <c r="D749" s="14">
        <f>R740+1</f>
        <v>1657</v>
      </c>
      <c r="E749" s="4" t="str">
        <f>IFERROR(INDEX('LEV R&amp;D'!$D:$D,MATCH(MEDIÇÃO!D749,'LEV R&amp;D'!$A:$A,0))-INDEX('PROJETO PERFURAÇÃO'!$AH:$AH,MATCH(MEDIÇÃO!D749,'PROJETO PERFURAÇÃO'!$B:$B,0)),"")</f>
        <v/>
      </c>
      <c r="F749" s="8" t="str">
        <f>IFERROR(INDEX('PROJETO PERFURAÇÃO'!$AN:$AN,MATCH(MEDIÇÃO!D749,'PROJETO PERFURAÇÃO'!$B:$B,0)),"")</f>
        <v/>
      </c>
      <c r="G749" s="3"/>
      <c r="H749" s="3"/>
      <c r="I749" s="3" t="str">
        <f>IFERROR(ROUND(INDEX('PROJETO PERFURAÇÃO'!$AB:$AB,MATCH(MEDIÇÃO!K749,'PROJETO PERFURAÇÃO'!$B:$B,0)),1)&amp;"''","")</f>
        <v/>
      </c>
      <c r="J749" s="3" t="str">
        <f>IFERROR(IF(INDEX('PROJETO PERFURAÇÃO'!$P:$P,MATCH(MEDIÇÃO!K749,'PROJETO PERFURAÇÃO'!$B:$B,0))="Production","P",IF(INDEX('PROJETO PERFURAÇÃO'!$P:$P,MATCH(MEDIÇÃO!K749,'PROJETO PERFURAÇÃO'!$B:$B,0))="Buffer","B",IF(INDEX('PROJETO PERFURAÇÃO'!$P:$P,MATCH(MEDIÇÃO!K749,'PROJETO PERFURAÇÃO'!$B:$B,0))="Pre-Splitting","S"))),"")</f>
        <v/>
      </c>
      <c r="K749" s="14">
        <f>D771+1</f>
        <v>1680</v>
      </c>
      <c r="L749" s="4" t="str">
        <f>IFERROR(INDEX('LEV R&amp;D'!$D:$D,MATCH(MEDIÇÃO!K749,'LEV R&amp;D'!$A:$A,0))-INDEX('PROJETO PERFURAÇÃO'!$AH:$AH,MATCH(MEDIÇÃO!K749,'PROJETO PERFURAÇÃO'!$B:$B,0)),"")</f>
        <v/>
      </c>
      <c r="M749" s="8" t="str">
        <f>IFERROR(INDEX('PROJETO PERFURAÇÃO'!$AN:$AN,MATCH(MEDIÇÃO!K749,'PROJETO PERFURAÇÃO'!$B:$B,0)),"")</f>
        <v/>
      </c>
      <c r="N749" s="3"/>
      <c r="O749" s="3"/>
      <c r="P749" s="3" t="str">
        <f>IFERROR(ROUND(INDEX('PROJETO PERFURAÇÃO'!$AB:$AB,MATCH(MEDIÇÃO!R749,'PROJETO PERFURAÇÃO'!$B:$B,0)),1)&amp;"''","")</f>
        <v/>
      </c>
      <c r="Q749" s="3" t="str">
        <f>IFERROR(IF(INDEX('PROJETO PERFURAÇÃO'!$P:$P,MATCH(MEDIÇÃO!R749,'PROJETO PERFURAÇÃO'!$B:$B,0))="Production","P",IF(INDEX('PROJETO PERFURAÇÃO'!$P:$P,MATCH(MEDIÇÃO!R749,'PROJETO PERFURAÇÃO'!$B:$B,0))="Buffer","B",IF(INDEX('PROJETO PERFURAÇÃO'!$P:$P,MATCH(MEDIÇÃO!R749,'PROJETO PERFURAÇÃO'!$B:$B,0))="Pre-Splitting","S"))),"")</f>
        <v/>
      </c>
      <c r="R749" s="14">
        <f>K771+1</f>
        <v>1703</v>
      </c>
      <c r="S749" s="4" t="str">
        <f>IFERROR(INDEX('LEV R&amp;D'!$D:$D,MATCH(MEDIÇÃO!R749,'LEV R&amp;D'!$A:$A,0))-INDEX('PROJETO PERFURAÇÃO'!$AH:$AH,MATCH(MEDIÇÃO!R749,'PROJETO PERFURAÇÃO'!$B:$B,0)),"")</f>
        <v/>
      </c>
      <c r="T749" s="8" t="str">
        <f>IFERROR(INDEX('PROJETO PERFURAÇÃO'!$AN:$AN,MATCH(MEDIÇÃO!R749,'PROJETO PERFURAÇÃO'!$B:$B,0)),"")</f>
        <v/>
      </c>
      <c r="U749" s="3"/>
      <c r="V749" s="3"/>
    </row>
    <row r="750" spans="1:23" ht="45" customHeight="1">
      <c r="B750" s="3" t="str">
        <f>IFERROR(ROUND(INDEX('PROJETO PERFURAÇÃO'!$AB:$AB,MATCH(MEDIÇÃO!D750,'PROJETO PERFURAÇÃO'!$B:$B,0)),1)&amp;"''","")</f>
        <v/>
      </c>
      <c r="C750" s="3" t="str">
        <f>IFERROR(IF(INDEX('PROJETO PERFURAÇÃO'!$P:$P,MATCH(MEDIÇÃO!D750,'PROJETO PERFURAÇÃO'!$B:$B,0))="Production","P",IF(INDEX('PROJETO PERFURAÇÃO'!$P:$P,MATCH(MEDIÇÃO!D750,'PROJETO PERFURAÇÃO'!$B:$B,0))="Buffer","B",IF(INDEX('PROJETO PERFURAÇÃO'!$P:$P,MATCH(MEDIÇÃO!D750,'PROJETO PERFURAÇÃO'!$B:$B,0))="Pre-Splitting","S"))),"")</f>
        <v/>
      </c>
      <c r="D750" s="14">
        <f>D749+1</f>
        <v>1658</v>
      </c>
      <c r="E750" s="4" t="str">
        <f>IFERROR(INDEX('LEV R&amp;D'!$D:$D,MATCH(MEDIÇÃO!D750,'LEV R&amp;D'!$A:$A,0))-INDEX('PROJETO PERFURAÇÃO'!$AH:$AH,MATCH(MEDIÇÃO!D750,'PROJETO PERFURAÇÃO'!$B:$B,0)),"")</f>
        <v/>
      </c>
      <c r="F750" s="8" t="str">
        <f>IFERROR(INDEX('PROJETO PERFURAÇÃO'!$AN:$AN,MATCH(MEDIÇÃO!D750,'PROJETO PERFURAÇÃO'!$B:$B,0)),"")</f>
        <v/>
      </c>
      <c r="G750" s="3"/>
      <c r="H750" s="3"/>
      <c r="I750" s="3" t="str">
        <f>IFERROR(ROUND(INDEX('PROJETO PERFURAÇÃO'!$AB:$AB,MATCH(MEDIÇÃO!K750,'PROJETO PERFURAÇÃO'!$B:$B,0)),1)&amp;"''","")</f>
        <v/>
      </c>
      <c r="J750" s="3" t="str">
        <f>IFERROR(IF(INDEX('PROJETO PERFURAÇÃO'!$P:$P,MATCH(MEDIÇÃO!K750,'PROJETO PERFURAÇÃO'!$B:$B,0))="Production","P",IF(INDEX('PROJETO PERFURAÇÃO'!$P:$P,MATCH(MEDIÇÃO!K750,'PROJETO PERFURAÇÃO'!$B:$B,0))="Buffer","B",IF(INDEX('PROJETO PERFURAÇÃO'!$P:$P,MATCH(MEDIÇÃO!K750,'PROJETO PERFURAÇÃO'!$B:$B,0))="Pre-Splitting","S"))),"")</f>
        <v/>
      </c>
      <c r="K750" s="14">
        <f>K749+1</f>
        <v>1681</v>
      </c>
      <c r="L750" s="4" t="str">
        <f>IFERROR(INDEX('LEV R&amp;D'!$D:$D,MATCH(MEDIÇÃO!K750,'LEV R&amp;D'!$A:$A,0))-INDEX('PROJETO PERFURAÇÃO'!$AH:$AH,MATCH(MEDIÇÃO!K750,'PROJETO PERFURAÇÃO'!$B:$B,0)),"")</f>
        <v/>
      </c>
      <c r="M750" s="8" t="str">
        <f>IFERROR(INDEX('PROJETO PERFURAÇÃO'!$AN:$AN,MATCH(MEDIÇÃO!K750,'PROJETO PERFURAÇÃO'!$B:$B,0)),"")</f>
        <v/>
      </c>
      <c r="N750" s="3"/>
      <c r="O750" s="3"/>
      <c r="P750" s="3" t="str">
        <f>IFERROR(ROUND(INDEX('PROJETO PERFURAÇÃO'!$AB:$AB,MATCH(MEDIÇÃO!R750,'PROJETO PERFURAÇÃO'!$B:$B,0)),1)&amp;"''","")</f>
        <v/>
      </c>
      <c r="Q750" s="3" t="str">
        <f>IFERROR(IF(INDEX('PROJETO PERFURAÇÃO'!$P:$P,MATCH(MEDIÇÃO!R750,'PROJETO PERFURAÇÃO'!$B:$B,0))="Production","P",IF(INDEX('PROJETO PERFURAÇÃO'!$P:$P,MATCH(MEDIÇÃO!R750,'PROJETO PERFURAÇÃO'!$B:$B,0))="Buffer","B",IF(INDEX('PROJETO PERFURAÇÃO'!$P:$P,MATCH(MEDIÇÃO!R750,'PROJETO PERFURAÇÃO'!$B:$B,0))="Pre-Splitting","S"))),"")</f>
        <v/>
      </c>
      <c r="R750" s="14">
        <f>R749+1</f>
        <v>1704</v>
      </c>
      <c r="S750" s="4" t="str">
        <f>IFERROR(INDEX('LEV R&amp;D'!$D:$D,MATCH(MEDIÇÃO!R750,'LEV R&amp;D'!$A:$A,0))-INDEX('PROJETO PERFURAÇÃO'!$AH:$AH,MATCH(MEDIÇÃO!R750,'PROJETO PERFURAÇÃO'!$B:$B,0)),"")</f>
        <v/>
      </c>
      <c r="T750" s="8" t="str">
        <f>IFERROR(INDEX('PROJETO PERFURAÇÃO'!$AN:$AN,MATCH(MEDIÇÃO!R750,'PROJETO PERFURAÇÃO'!$B:$B,0)),"")</f>
        <v/>
      </c>
      <c r="U750" s="3"/>
      <c r="V750" s="3"/>
    </row>
    <row r="751" spans="1:23" ht="45" customHeight="1">
      <c r="B751" s="3" t="str">
        <f>IFERROR(ROUND(INDEX('PROJETO PERFURAÇÃO'!$AB:$AB,MATCH(MEDIÇÃO!D751,'PROJETO PERFURAÇÃO'!$B:$B,0)),1)&amp;"''","")</f>
        <v/>
      </c>
      <c r="C751" s="3" t="str">
        <f>IFERROR(IF(INDEX('PROJETO PERFURAÇÃO'!$P:$P,MATCH(MEDIÇÃO!D751,'PROJETO PERFURAÇÃO'!$B:$B,0))="Production","P",IF(INDEX('PROJETO PERFURAÇÃO'!$P:$P,MATCH(MEDIÇÃO!D751,'PROJETO PERFURAÇÃO'!$B:$B,0))="Buffer","B",IF(INDEX('PROJETO PERFURAÇÃO'!$P:$P,MATCH(MEDIÇÃO!D751,'PROJETO PERFURAÇÃO'!$B:$B,0))="Pre-Splitting","S"))),"")</f>
        <v/>
      </c>
      <c r="D751" s="14">
        <f t="shared" ref="D751:D771" si="72">D750+1</f>
        <v>1659</v>
      </c>
      <c r="E751" s="4" t="str">
        <f>IFERROR(INDEX('LEV R&amp;D'!$D:$D,MATCH(MEDIÇÃO!D751,'LEV R&amp;D'!$A:$A,0))-INDEX('PROJETO PERFURAÇÃO'!$AH:$AH,MATCH(MEDIÇÃO!D751,'PROJETO PERFURAÇÃO'!$B:$B,0)),"")</f>
        <v/>
      </c>
      <c r="F751" s="8" t="str">
        <f>IFERROR(INDEX('PROJETO PERFURAÇÃO'!$AN:$AN,MATCH(MEDIÇÃO!D751,'PROJETO PERFURAÇÃO'!$B:$B,0)),"")</f>
        <v/>
      </c>
      <c r="G751" s="3"/>
      <c r="H751" s="3"/>
      <c r="I751" s="3" t="str">
        <f>IFERROR(ROUND(INDEX('PROJETO PERFURAÇÃO'!$AB:$AB,MATCH(MEDIÇÃO!K751,'PROJETO PERFURAÇÃO'!$B:$B,0)),1)&amp;"''","")</f>
        <v/>
      </c>
      <c r="J751" s="3" t="str">
        <f>IFERROR(IF(INDEX('PROJETO PERFURAÇÃO'!$P:$P,MATCH(MEDIÇÃO!K751,'PROJETO PERFURAÇÃO'!$B:$B,0))="Production","P",IF(INDEX('PROJETO PERFURAÇÃO'!$P:$P,MATCH(MEDIÇÃO!K751,'PROJETO PERFURAÇÃO'!$B:$B,0))="Buffer","B",IF(INDEX('PROJETO PERFURAÇÃO'!$P:$P,MATCH(MEDIÇÃO!K751,'PROJETO PERFURAÇÃO'!$B:$B,0))="Pre-Splitting","S"))),"")</f>
        <v/>
      </c>
      <c r="K751" s="14">
        <f t="shared" ref="K751:K770" si="73">K750+1</f>
        <v>1682</v>
      </c>
      <c r="L751" s="4" t="str">
        <f>IFERROR(INDEX('LEV R&amp;D'!$D:$D,MATCH(MEDIÇÃO!K751,'LEV R&amp;D'!$A:$A,0))-INDEX('PROJETO PERFURAÇÃO'!$AH:$AH,MATCH(MEDIÇÃO!K751,'PROJETO PERFURAÇÃO'!$B:$B,0)),"")</f>
        <v/>
      </c>
      <c r="M751" s="8" t="str">
        <f>IFERROR(INDEX('PROJETO PERFURAÇÃO'!$AN:$AN,MATCH(MEDIÇÃO!K751,'PROJETO PERFURAÇÃO'!$B:$B,0)),"")</f>
        <v/>
      </c>
      <c r="N751" s="3"/>
      <c r="O751" s="3"/>
      <c r="P751" s="3" t="str">
        <f>IFERROR(ROUND(INDEX('PROJETO PERFURAÇÃO'!$AB:$AB,MATCH(MEDIÇÃO!R751,'PROJETO PERFURAÇÃO'!$B:$B,0)),1)&amp;"''","")</f>
        <v/>
      </c>
      <c r="Q751" s="3" t="str">
        <f>IFERROR(IF(INDEX('PROJETO PERFURAÇÃO'!$P:$P,MATCH(MEDIÇÃO!R751,'PROJETO PERFURAÇÃO'!$B:$B,0))="Production","P",IF(INDEX('PROJETO PERFURAÇÃO'!$P:$P,MATCH(MEDIÇÃO!R751,'PROJETO PERFURAÇÃO'!$B:$B,0))="Buffer","B",IF(INDEX('PROJETO PERFURAÇÃO'!$P:$P,MATCH(MEDIÇÃO!R751,'PROJETO PERFURAÇÃO'!$B:$B,0))="Pre-Splitting","S"))),"")</f>
        <v/>
      </c>
      <c r="R751" s="14">
        <f t="shared" ref="R751:R770" si="74">R750+1</f>
        <v>1705</v>
      </c>
      <c r="S751" s="4" t="str">
        <f>IFERROR(INDEX('LEV R&amp;D'!$D:$D,MATCH(MEDIÇÃO!R751,'LEV R&amp;D'!$A:$A,0))-INDEX('PROJETO PERFURAÇÃO'!$AH:$AH,MATCH(MEDIÇÃO!R751,'PROJETO PERFURAÇÃO'!$B:$B,0)),"")</f>
        <v/>
      </c>
      <c r="T751" s="8" t="str">
        <f>IFERROR(INDEX('PROJETO PERFURAÇÃO'!$AN:$AN,MATCH(MEDIÇÃO!R751,'PROJETO PERFURAÇÃO'!$B:$B,0)),"")</f>
        <v/>
      </c>
      <c r="U751" s="3"/>
      <c r="V751" s="3"/>
    </row>
    <row r="752" spans="1:23" ht="45" customHeight="1">
      <c r="B752" s="3" t="str">
        <f>IFERROR(ROUND(INDEX('PROJETO PERFURAÇÃO'!$AB:$AB,MATCH(MEDIÇÃO!D752,'PROJETO PERFURAÇÃO'!$B:$B,0)),1)&amp;"''","")</f>
        <v/>
      </c>
      <c r="C752" s="3" t="str">
        <f>IFERROR(IF(INDEX('PROJETO PERFURAÇÃO'!$P:$P,MATCH(MEDIÇÃO!D752,'PROJETO PERFURAÇÃO'!$B:$B,0))="Production","P",IF(INDEX('PROJETO PERFURAÇÃO'!$P:$P,MATCH(MEDIÇÃO!D752,'PROJETO PERFURAÇÃO'!$B:$B,0))="Buffer","B",IF(INDEX('PROJETO PERFURAÇÃO'!$P:$P,MATCH(MEDIÇÃO!D752,'PROJETO PERFURAÇÃO'!$B:$B,0))="Pre-Splitting","S"))),"")</f>
        <v/>
      </c>
      <c r="D752" s="14">
        <f t="shared" si="72"/>
        <v>1660</v>
      </c>
      <c r="E752" s="4" t="str">
        <f>IFERROR(INDEX('LEV R&amp;D'!$D:$D,MATCH(MEDIÇÃO!D752,'LEV R&amp;D'!$A:$A,0))-INDEX('PROJETO PERFURAÇÃO'!$AH:$AH,MATCH(MEDIÇÃO!D752,'PROJETO PERFURAÇÃO'!$B:$B,0)),"")</f>
        <v/>
      </c>
      <c r="F752" s="8" t="str">
        <f>IFERROR(INDEX('PROJETO PERFURAÇÃO'!$AN:$AN,MATCH(MEDIÇÃO!D752,'PROJETO PERFURAÇÃO'!$B:$B,0)),"")</f>
        <v/>
      </c>
      <c r="G752" s="3"/>
      <c r="H752" s="3"/>
      <c r="I752" s="3" t="str">
        <f>IFERROR(ROUND(INDEX('PROJETO PERFURAÇÃO'!$AB:$AB,MATCH(MEDIÇÃO!K752,'PROJETO PERFURAÇÃO'!$B:$B,0)),1)&amp;"''","")</f>
        <v/>
      </c>
      <c r="J752" s="3" t="str">
        <f>IFERROR(IF(INDEX('PROJETO PERFURAÇÃO'!$P:$P,MATCH(MEDIÇÃO!K752,'PROJETO PERFURAÇÃO'!$B:$B,0))="Production","P",IF(INDEX('PROJETO PERFURAÇÃO'!$P:$P,MATCH(MEDIÇÃO!K752,'PROJETO PERFURAÇÃO'!$B:$B,0))="Buffer","B",IF(INDEX('PROJETO PERFURAÇÃO'!$P:$P,MATCH(MEDIÇÃO!K752,'PROJETO PERFURAÇÃO'!$B:$B,0))="Pre-Splitting","S"))),"")</f>
        <v/>
      </c>
      <c r="K752" s="14">
        <f t="shared" si="73"/>
        <v>1683</v>
      </c>
      <c r="L752" s="4" t="str">
        <f>IFERROR(INDEX('LEV R&amp;D'!$D:$D,MATCH(MEDIÇÃO!K752,'LEV R&amp;D'!$A:$A,0))-INDEX('PROJETO PERFURAÇÃO'!$AH:$AH,MATCH(MEDIÇÃO!K752,'PROJETO PERFURAÇÃO'!$B:$B,0)),"")</f>
        <v/>
      </c>
      <c r="M752" s="8" t="str">
        <f>IFERROR(INDEX('PROJETO PERFURAÇÃO'!$AN:$AN,MATCH(MEDIÇÃO!K752,'PROJETO PERFURAÇÃO'!$B:$B,0)),"")</f>
        <v/>
      </c>
      <c r="N752" s="3"/>
      <c r="O752" s="3"/>
      <c r="P752" s="3" t="str">
        <f>IFERROR(ROUND(INDEX('PROJETO PERFURAÇÃO'!$AB:$AB,MATCH(MEDIÇÃO!R752,'PROJETO PERFURAÇÃO'!$B:$B,0)),1)&amp;"''","")</f>
        <v/>
      </c>
      <c r="Q752" s="3" t="str">
        <f>IFERROR(IF(INDEX('PROJETO PERFURAÇÃO'!$P:$P,MATCH(MEDIÇÃO!R752,'PROJETO PERFURAÇÃO'!$B:$B,0))="Production","P",IF(INDEX('PROJETO PERFURAÇÃO'!$P:$P,MATCH(MEDIÇÃO!R752,'PROJETO PERFURAÇÃO'!$B:$B,0))="Buffer","B",IF(INDEX('PROJETO PERFURAÇÃO'!$P:$P,MATCH(MEDIÇÃO!R752,'PROJETO PERFURAÇÃO'!$B:$B,0))="Pre-Splitting","S"))),"")</f>
        <v/>
      </c>
      <c r="R752" s="14">
        <f t="shared" si="74"/>
        <v>1706</v>
      </c>
      <c r="S752" s="4" t="str">
        <f>IFERROR(INDEX('LEV R&amp;D'!$D:$D,MATCH(MEDIÇÃO!R752,'LEV R&amp;D'!$A:$A,0))-INDEX('PROJETO PERFURAÇÃO'!$AH:$AH,MATCH(MEDIÇÃO!R752,'PROJETO PERFURAÇÃO'!$B:$B,0)),"")</f>
        <v/>
      </c>
      <c r="T752" s="8" t="str">
        <f>IFERROR(INDEX('PROJETO PERFURAÇÃO'!$AN:$AN,MATCH(MEDIÇÃO!R752,'PROJETO PERFURAÇÃO'!$B:$B,0)),"")</f>
        <v/>
      </c>
      <c r="U752" s="3"/>
      <c r="V752" s="3"/>
    </row>
    <row r="753" spans="2:22" ht="45" customHeight="1">
      <c r="B753" s="3" t="str">
        <f>IFERROR(ROUND(INDEX('PROJETO PERFURAÇÃO'!$AB:$AB,MATCH(MEDIÇÃO!D753,'PROJETO PERFURAÇÃO'!$B:$B,0)),1)&amp;"''","")</f>
        <v/>
      </c>
      <c r="C753" s="3" t="str">
        <f>IFERROR(IF(INDEX('PROJETO PERFURAÇÃO'!$P:$P,MATCH(MEDIÇÃO!D753,'PROJETO PERFURAÇÃO'!$B:$B,0))="Production","P",IF(INDEX('PROJETO PERFURAÇÃO'!$P:$P,MATCH(MEDIÇÃO!D753,'PROJETO PERFURAÇÃO'!$B:$B,0))="Buffer","B",IF(INDEX('PROJETO PERFURAÇÃO'!$P:$P,MATCH(MEDIÇÃO!D753,'PROJETO PERFURAÇÃO'!$B:$B,0))="Pre-Splitting","S"))),"")</f>
        <v/>
      </c>
      <c r="D753" s="14">
        <f t="shared" si="72"/>
        <v>1661</v>
      </c>
      <c r="E753" s="4" t="str">
        <f>IFERROR(INDEX('LEV R&amp;D'!$D:$D,MATCH(MEDIÇÃO!D753,'LEV R&amp;D'!$A:$A,0))-INDEX('PROJETO PERFURAÇÃO'!$AH:$AH,MATCH(MEDIÇÃO!D753,'PROJETO PERFURAÇÃO'!$B:$B,0)),"")</f>
        <v/>
      </c>
      <c r="F753" s="8" t="str">
        <f>IFERROR(INDEX('PROJETO PERFURAÇÃO'!$AN:$AN,MATCH(MEDIÇÃO!D753,'PROJETO PERFURAÇÃO'!$B:$B,0)),"")</f>
        <v/>
      </c>
      <c r="G753" s="3"/>
      <c r="H753" s="3"/>
      <c r="I753" s="3" t="str">
        <f>IFERROR(ROUND(INDEX('PROJETO PERFURAÇÃO'!$AB:$AB,MATCH(MEDIÇÃO!K753,'PROJETO PERFURAÇÃO'!$B:$B,0)),1)&amp;"''","")</f>
        <v/>
      </c>
      <c r="J753" s="3" t="str">
        <f>IFERROR(IF(INDEX('PROJETO PERFURAÇÃO'!$P:$P,MATCH(MEDIÇÃO!K753,'PROJETO PERFURAÇÃO'!$B:$B,0))="Production","P",IF(INDEX('PROJETO PERFURAÇÃO'!$P:$P,MATCH(MEDIÇÃO!K753,'PROJETO PERFURAÇÃO'!$B:$B,0))="Buffer","B",IF(INDEX('PROJETO PERFURAÇÃO'!$P:$P,MATCH(MEDIÇÃO!K753,'PROJETO PERFURAÇÃO'!$B:$B,0))="Pre-Splitting","S"))),"")</f>
        <v/>
      </c>
      <c r="K753" s="14">
        <f t="shared" si="73"/>
        <v>1684</v>
      </c>
      <c r="L753" s="4" t="str">
        <f>IFERROR(INDEX('LEV R&amp;D'!$D:$D,MATCH(MEDIÇÃO!K753,'LEV R&amp;D'!$A:$A,0))-INDEX('PROJETO PERFURAÇÃO'!$AH:$AH,MATCH(MEDIÇÃO!K753,'PROJETO PERFURAÇÃO'!$B:$B,0)),"")</f>
        <v/>
      </c>
      <c r="M753" s="8" t="str">
        <f>IFERROR(INDEX('PROJETO PERFURAÇÃO'!$AN:$AN,MATCH(MEDIÇÃO!K753,'PROJETO PERFURAÇÃO'!$B:$B,0)),"")</f>
        <v/>
      </c>
      <c r="N753" s="3"/>
      <c r="O753" s="3"/>
      <c r="P753" s="3" t="str">
        <f>IFERROR(ROUND(INDEX('PROJETO PERFURAÇÃO'!$AB:$AB,MATCH(MEDIÇÃO!R753,'PROJETO PERFURAÇÃO'!$B:$B,0)),1)&amp;"''","")</f>
        <v/>
      </c>
      <c r="Q753" s="3" t="str">
        <f>IFERROR(IF(INDEX('PROJETO PERFURAÇÃO'!$P:$P,MATCH(MEDIÇÃO!R753,'PROJETO PERFURAÇÃO'!$B:$B,0))="Production","P",IF(INDEX('PROJETO PERFURAÇÃO'!$P:$P,MATCH(MEDIÇÃO!R753,'PROJETO PERFURAÇÃO'!$B:$B,0))="Buffer","B",IF(INDEX('PROJETO PERFURAÇÃO'!$P:$P,MATCH(MEDIÇÃO!R753,'PROJETO PERFURAÇÃO'!$B:$B,0))="Pre-Splitting","S"))),"")</f>
        <v/>
      </c>
      <c r="R753" s="14">
        <f t="shared" si="74"/>
        <v>1707</v>
      </c>
      <c r="S753" s="4" t="str">
        <f>IFERROR(INDEX('LEV R&amp;D'!$D:$D,MATCH(MEDIÇÃO!R753,'LEV R&amp;D'!$A:$A,0))-INDEX('PROJETO PERFURAÇÃO'!$AH:$AH,MATCH(MEDIÇÃO!R753,'PROJETO PERFURAÇÃO'!$B:$B,0)),"")</f>
        <v/>
      </c>
      <c r="T753" s="8" t="str">
        <f>IFERROR(INDEX('PROJETO PERFURAÇÃO'!$AN:$AN,MATCH(MEDIÇÃO!R753,'PROJETO PERFURAÇÃO'!$B:$B,0)),"")</f>
        <v/>
      </c>
      <c r="U753" s="3"/>
      <c r="V753" s="3"/>
    </row>
    <row r="754" spans="2:22" ht="45" customHeight="1">
      <c r="B754" s="3" t="str">
        <f>IFERROR(ROUND(INDEX('PROJETO PERFURAÇÃO'!$AB:$AB,MATCH(MEDIÇÃO!D754,'PROJETO PERFURAÇÃO'!$B:$B,0)),1)&amp;"''","")</f>
        <v/>
      </c>
      <c r="C754" s="3" t="str">
        <f>IFERROR(IF(INDEX('PROJETO PERFURAÇÃO'!$P:$P,MATCH(MEDIÇÃO!D754,'PROJETO PERFURAÇÃO'!$B:$B,0))="Production","P",IF(INDEX('PROJETO PERFURAÇÃO'!$P:$P,MATCH(MEDIÇÃO!D754,'PROJETO PERFURAÇÃO'!$B:$B,0))="Buffer","B",IF(INDEX('PROJETO PERFURAÇÃO'!$P:$P,MATCH(MEDIÇÃO!D754,'PROJETO PERFURAÇÃO'!$B:$B,0))="Pre-Splitting","S"))),"")</f>
        <v/>
      </c>
      <c r="D754" s="14">
        <f t="shared" si="72"/>
        <v>1662</v>
      </c>
      <c r="E754" s="4" t="str">
        <f>IFERROR(INDEX('LEV R&amp;D'!$D:$D,MATCH(MEDIÇÃO!D754,'LEV R&amp;D'!$A:$A,0))-INDEX('PROJETO PERFURAÇÃO'!$AH:$AH,MATCH(MEDIÇÃO!D754,'PROJETO PERFURAÇÃO'!$B:$B,0)),"")</f>
        <v/>
      </c>
      <c r="F754" s="8" t="str">
        <f>IFERROR(INDEX('PROJETO PERFURAÇÃO'!$AN:$AN,MATCH(MEDIÇÃO!D754,'PROJETO PERFURAÇÃO'!$B:$B,0)),"")</f>
        <v/>
      </c>
      <c r="G754" s="3"/>
      <c r="H754" s="3"/>
      <c r="I754" s="3" t="str">
        <f>IFERROR(ROUND(INDEX('PROJETO PERFURAÇÃO'!$AB:$AB,MATCH(MEDIÇÃO!K754,'PROJETO PERFURAÇÃO'!$B:$B,0)),1)&amp;"''","")</f>
        <v/>
      </c>
      <c r="J754" s="3" t="str">
        <f>IFERROR(IF(INDEX('PROJETO PERFURAÇÃO'!$P:$P,MATCH(MEDIÇÃO!K754,'PROJETO PERFURAÇÃO'!$B:$B,0))="Production","P",IF(INDEX('PROJETO PERFURAÇÃO'!$P:$P,MATCH(MEDIÇÃO!K754,'PROJETO PERFURAÇÃO'!$B:$B,0))="Buffer","B",IF(INDEX('PROJETO PERFURAÇÃO'!$P:$P,MATCH(MEDIÇÃO!K754,'PROJETO PERFURAÇÃO'!$B:$B,0))="Pre-Splitting","S"))),"")</f>
        <v/>
      </c>
      <c r="K754" s="14">
        <f t="shared" si="73"/>
        <v>1685</v>
      </c>
      <c r="L754" s="4" t="str">
        <f>IFERROR(INDEX('LEV R&amp;D'!$D:$D,MATCH(MEDIÇÃO!K754,'LEV R&amp;D'!$A:$A,0))-INDEX('PROJETO PERFURAÇÃO'!$AH:$AH,MATCH(MEDIÇÃO!K754,'PROJETO PERFURAÇÃO'!$B:$B,0)),"")</f>
        <v/>
      </c>
      <c r="M754" s="8" t="str">
        <f>IFERROR(INDEX('PROJETO PERFURAÇÃO'!$AN:$AN,MATCH(MEDIÇÃO!K754,'PROJETO PERFURAÇÃO'!$B:$B,0)),"")</f>
        <v/>
      </c>
      <c r="N754" s="3"/>
      <c r="O754" s="3"/>
      <c r="P754" s="3" t="str">
        <f>IFERROR(ROUND(INDEX('PROJETO PERFURAÇÃO'!$AB:$AB,MATCH(MEDIÇÃO!R754,'PROJETO PERFURAÇÃO'!$B:$B,0)),1)&amp;"''","")</f>
        <v/>
      </c>
      <c r="Q754" s="3" t="str">
        <f>IFERROR(IF(INDEX('PROJETO PERFURAÇÃO'!$P:$P,MATCH(MEDIÇÃO!R754,'PROJETO PERFURAÇÃO'!$B:$B,0))="Production","P",IF(INDEX('PROJETO PERFURAÇÃO'!$P:$P,MATCH(MEDIÇÃO!R754,'PROJETO PERFURAÇÃO'!$B:$B,0))="Buffer","B",IF(INDEX('PROJETO PERFURAÇÃO'!$P:$P,MATCH(MEDIÇÃO!R754,'PROJETO PERFURAÇÃO'!$B:$B,0))="Pre-Splitting","S"))),"")</f>
        <v/>
      </c>
      <c r="R754" s="14">
        <f t="shared" si="74"/>
        <v>1708</v>
      </c>
      <c r="S754" s="4" t="str">
        <f>IFERROR(INDEX('LEV R&amp;D'!$D:$D,MATCH(MEDIÇÃO!R754,'LEV R&amp;D'!$A:$A,0))-INDEX('PROJETO PERFURAÇÃO'!$AH:$AH,MATCH(MEDIÇÃO!R754,'PROJETO PERFURAÇÃO'!$B:$B,0)),"")</f>
        <v/>
      </c>
      <c r="T754" s="8" t="str">
        <f>IFERROR(INDEX('PROJETO PERFURAÇÃO'!$AN:$AN,MATCH(MEDIÇÃO!R754,'PROJETO PERFURAÇÃO'!$B:$B,0)),"")</f>
        <v/>
      </c>
      <c r="U754" s="3"/>
      <c r="V754" s="3"/>
    </row>
    <row r="755" spans="2:22" ht="45" customHeight="1">
      <c r="B755" s="3" t="str">
        <f>IFERROR(ROUND(INDEX('PROJETO PERFURAÇÃO'!$AB:$AB,MATCH(MEDIÇÃO!D755,'PROJETO PERFURAÇÃO'!$B:$B,0)),1)&amp;"''","")</f>
        <v/>
      </c>
      <c r="C755" s="3" t="str">
        <f>IFERROR(IF(INDEX('PROJETO PERFURAÇÃO'!$P:$P,MATCH(MEDIÇÃO!D755,'PROJETO PERFURAÇÃO'!$B:$B,0))="Production","P",IF(INDEX('PROJETO PERFURAÇÃO'!$P:$P,MATCH(MEDIÇÃO!D755,'PROJETO PERFURAÇÃO'!$B:$B,0))="Buffer","B",IF(INDEX('PROJETO PERFURAÇÃO'!$P:$P,MATCH(MEDIÇÃO!D755,'PROJETO PERFURAÇÃO'!$B:$B,0))="Pre-Splitting","S"))),"")</f>
        <v/>
      </c>
      <c r="D755" s="14">
        <f t="shared" si="72"/>
        <v>1663</v>
      </c>
      <c r="E755" s="4" t="str">
        <f>IFERROR(INDEX('LEV R&amp;D'!$D:$D,MATCH(MEDIÇÃO!D755,'LEV R&amp;D'!$A:$A,0))-INDEX('PROJETO PERFURAÇÃO'!$AH:$AH,MATCH(MEDIÇÃO!D755,'PROJETO PERFURAÇÃO'!$B:$B,0)),"")</f>
        <v/>
      </c>
      <c r="F755" s="8" t="str">
        <f>IFERROR(INDEX('PROJETO PERFURAÇÃO'!$AN:$AN,MATCH(MEDIÇÃO!D755,'PROJETO PERFURAÇÃO'!$B:$B,0)),"")</f>
        <v/>
      </c>
      <c r="G755" s="3"/>
      <c r="H755" s="3"/>
      <c r="I755" s="3" t="str">
        <f>IFERROR(ROUND(INDEX('PROJETO PERFURAÇÃO'!$AB:$AB,MATCH(MEDIÇÃO!K755,'PROJETO PERFURAÇÃO'!$B:$B,0)),1)&amp;"''","")</f>
        <v/>
      </c>
      <c r="J755" s="3" t="str">
        <f>IFERROR(IF(INDEX('PROJETO PERFURAÇÃO'!$P:$P,MATCH(MEDIÇÃO!K755,'PROJETO PERFURAÇÃO'!$B:$B,0))="Production","P",IF(INDEX('PROJETO PERFURAÇÃO'!$P:$P,MATCH(MEDIÇÃO!K755,'PROJETO PERFURAÇÃO'!$B:$B,0))="Buffer","B",IF(INDEX('PROJETO PERFURAÇÃO'!$P:$P,MATCH(MEDIÇÃO!K755,'PROJETO PERFURAÇÃO'!$B:$B,0))="Pre-Splitting","S"))),"")</f>
        <v/>
      </c>
      <c r="K755" s="14">
        <f t="shared" si="73"/>
        <v>1686</v>
      </c>
      <c r="L755" s="4" t="str">
        <f>IFERROR(INDEX('LEV R&amp;D'!$D:$D,MATCH(MEDIÇÃO!K755,'LEV R&amp;D'!$A:$A,0))-INDEX('PROJETO PERFURAÇÃO'!$AH:$AH,MATCH(MEDIÇÃO!K755,'PROJETO PERFURAÇÃO'!$B:$B,0)),"")</f>
        <v/>
      </c>
      <c r="M755" s="8" t="str">
        <f>IFERROR(INDEX('PROJETO PERFURAÇÃO'!$AN:$AN,MATCH(MEDIÇÃO!K755,'PROJETO PERFURAÇÃO'!$B:$B,0)),"")</f>
        <v/>
      </c>
      <c r="N755" s="3"/>
      <c r="O755" s="3"/>
      <c r="P755" s="3" t="str">
        <f>IFERROR(ROUND(INDEX('PROJETO PERFURAÇÃO'!$AB:$AB,MATCH(MEDIÇÃO!R755,'PROJETO PERFURAÇÃO'!$B:$B,0)),1)&amp;"''","")</f>
        <v/>
      </c>
      <c r="Q755" s="3" t="str">
        <f>IFERROR(IF(INDEX('PROJETO PERFURAÇÃO'!$P:$P,MATCH(MEDIÇÃO!R755,'PROJETO PERFURAÇÃO'!$B:$B,0))="Production","P",IF(INDEX('PROJETO PERFURAÇÃO'!$P:$P,MATCH(MEDIÇÃO!R755,'PROJETO PERFURAÇÃO'!$B:$B,0))="Buffer","B",IF(INDEX('PROJETO PERFURAÇÃO'!$P:$P,MATCH(MEDIÇÃO!R755,'PROJETO PERFURAÇÃO'!$B:$B,0))="Pre-Splitting","S"))),"")</f>
        <v/>
      </c>
      <c r="R755" s="14">
        <f t="shared" si="74"/>
        <v>1709</v>
      </c>
      <c r="S755" s="4" t="str">
        <f>IFERROR(INDEX('LEV R&amp;D'!$D:$D,MATCH(MEDIÇÃO!R755,'LEV R&amp;D'!$A:$A,0))-INDEX('PROJETO PERFURAÇÃO'!$AH:$AH,MATCH(MEDIÇÃO!R755,'PROJETO PERFURAÇÃO'!$B:$B,0)),"")</f>
        <v/>
      </c>
      <c r="T755" s="8" t="str">
        <f>IFERROR(INDEX('PROJETO PERFURAÇÃO'!$AN:$AN,MATCH(MEDIÇÃO!R755,'PROJETO PERFURAÇÃO'!$B:$B,0)),"")</f>
        <v/>
      </c>
      <c r="U755" s="3"/>
      <c r="V755" s="3"/>
    </row>
    <row r="756" spans="2:22" ht="45" customHeight="1">
      <c r="B756" s="3" t="str">
        <f>IFERROR(ROUND(INDEX('PROJETO PERFURAÇÃO'!$AB:$AB,MATCH(MEDIÇÃO!D756,'PROJETO PERFURAÇÃO'!$B:$B,0)),1)&amp;"''","")</f>
        <v/>
      </c>
      <c r="C756" s="3" t="str">
        <f>IFERROR(IF(INDEX('PROJETO PERFURAÇÃO'!$P:$P,MATCH(MEDIÇÃO!D756,'PROJETO PERFURAÇÃO'!$B:$B,0))="Production","P",IF(INDEX('PROJETO PERFURAÇÃO'!$P:$P,MATCH(MEDIÇÃO!D756,'PROJETO PERFURAÇÃO'!$B:$B,0))="Buffer","B",IF(INDEX('PROJETO PERFURAÇÃO'!$P:$P,MATCH(MEDIÇÃO!D756,'PROJETO PERFURAÇÃO'!$B:$B,0))="Pre-Splitting","S"))),"")</f>
        <v/>
      </c>
      <c r="D756" s="14">
        <f t="shared" si="72"/>
        <v>1664</v>
      </c>
      <c r="E756" s="4" t="str">
        <f>IFERROR(INDEX('LEV R&amp;D'!$D:$D,MATCH(MEDIÇÃO!D756,'LEV R&amp;D'!$A:$A,0))-INDEX('PROJETO PERFURAÇÃO'!$AH:$AH,MATCH(MEDIÇÃO!D756,'PROJETO PERFURAÇÃO'!$B:$B,0)),"")</f>
        <v/>
      </c>
      <c r="F756" s="8" t="str">
        <f>IFERROR(INDEX('PROJETO PERFURAÇÃO'!$AN:$AN,MATCH(MEDIÇÃO!D756,'PROJETO PERFURAÇÃO'!$B:$B,0)),"")</f>
        <v/>
      </c>
      <c r="G756" s="3"/>
      <c r="H756" s="3"/>
      <c r="I756" s="3" t="str">
        <f>IFERROR(ROUND(INDEX('PROJETO PERFURAÇÃO'!$AB:$AB,MATCH(MEDIÇÃO!K756,'PROJETO PERFURAÇÃO'!$B:$B,0)),1)&amp;"''","")</f>
        <v/>
      </c>
      <c r="J756" s="3" t="str">
        <f>IFERROR(IF(INDEX('PROJETO PERFURAÇÃO'!$P:$P,MATCH(MEDIÇÃO!K756,'PROJETO PERFURAÇÃO'!$B:$B,0))="Production","P",IF(INDEX('PROJETO PERFURAÇÃO'!$P:$P,MATCH(MEDIÇÃO!K756,'PROJETO PERFURAÇÃO'!$B:$B,0))="Buffer","B",IF(INDEX('PROJETO PERFURAÇÃO'!$P:$P,MATCH(MEDIÇÃO!K756,'PROJETO PERFURAÇÃO'!$B:$B,0))="Pre-Splitting","S"))),"")</f>
        <v/>
      </c>
      <c r="K756" s="14">
        <f t="shared" si="73"/>
        <v>1687</v>
      </c>
      <c r="L756" s="4" t="str">
        <f>IFERROR(INDEX('LEV R&amp;D'!$D:$D,MATCH(MEDIÇÃO!K756,'LEV R&amp;D'!$A:$A,0))-INDEX('PROJETO PERFURAÇÃO'!$AH:$AH,MATCH(MEDIÇÃO!K756,'PROJETO PERFURAÇÃO'!$B:$B,0)),"")</f>
        <v/>
      </c>
      <c r="M756" s="8" t="str">
        <f>IFERROR(INDEX('PROJETO PERFURAÇÃO'!$AN:$AN,MATCH(MEDIÇÃO!K756,'PROJETO PERFURAÇÃO'!$B:$B,0)),"")</f>
        <v/>
      </c>
      <c r="N756" s="3"/>
      <c r="O756" s="3"/>
      <c r="P756" s="3" t="str">
        <f>IFERROR(ROUND(INDEX('PROJETO PERFURAÇÃO'!$AB:$AB,MATCH(MEDIÇÃO!R756,'PROJETO PERFURAÇÃO'!$B:$B,0)),1)&amp;"''","")</f>
        <v/>
      </c>
      <c r="Q756" s="3" t="str">
        <f>IFERROR(IF(INDEX('PROJETO PERFURAÇÃO'!$P:$P,MATCH(MEDIÇÃO!R756,'PROJETO PERFURAÇÃO'!$B:$B,0))="Production","P",IF(INDEX('PROJETO PERFURAÇÃO'!$P:$P,MATCH(MEDIÇÃO!R756,'PROJETO PERFURAÇÃO'!$B:$B,0))="Buffer","B",IF(INDEX('PROJETO PERFURAÇÃO'!$P:$P,MATCH(MEDIÇÃO!R756,'PROJETO PERFURAÇÃO'!$B:$B,0))="Pre-Splitting","S"))),"")</f>
        <v/>
      </c>
      <c r="R756" s="14">
        <f t="shared" si="74"/>
        <v>1710</v>
      </c>
      <c r="S756" s="4" t="str">
        <f>IFERROR(INDEX('LEV R&amp;D'!$D:$D,MATCH(MEDIÇÃO!R756,'LEV R&amp;D'!$A:$A,0))-INDEX('PROJETO PERFURAÇÃO'!$AH:$AH,MATCH(MEDIÇÃO!R756,'PROJETO PERFURAÇÃO'!$B:$B,0)),"")</f>
        <v/>
      </c>
      <c r="T756" s="8" t="str">
        <f>IFERROR(INDEX('PROJETO PERFURAÇÃO'!$AN:$AN,MATCH(MEDIÇÃO!R756,'PROJETO PERFURAÇÃO'!$B:$B,0)),"")</f>
        <v/>
      </c>
      <c r="U756" s="3"/>
      <c r="V756" s="3"/>
    </row>
    <row r="757" spans="2:22" ht="45" customHeight="1">
      <c r="B757" s="3" t="str">
        <f>IFERROR(ROUND(INDEX('PROJETO PERFURAÇÃO'!$AB:$AB,MATCH(MEDIÇÃO!D757,'PROJETO PERFURAÇÃO'!$B:$B,0)),1)&amp;"''","")</f>
        <v/>
      </c>
      <c r="C757" s="3" t="str">
        <f>IFERROR(IF(INDEX('PROJETO PERFURAÇÃO'!$P:$P,MATCH(MEDIÇÃO!D757,'PROJETO PERFURAÇÃO'!$B:$B,0))="Production","P",IF(INDEX('PROJETO PERFURAÇÃO'!$P:$P,MATCH(MEDIÇÃO!D757,'PROJETO PERFURAÇÃO'!$B:$B,0))="Buffer","B",IF(INDEX('PROJETO PERFURAÇÃO'!$P:$P,MATCH(MEDIÇÃO!D757,'PROJETO PERFURAÇÃO'!$B:$B,0))="Pre-Splitting","S"))),"")</f>
        <v/>
      </c>
      <c r="D757" s="14">
        <f t="shared" si="72"/>
        <v>1665</v>
      </c>
      <c r="E757" s="4" t="str">
        <f>IFERROR(INDEX('LEV R&amp;D'!$D:$D,MATCH(MEDIÇÃO!D757,'LEV R&amp;D'!$A:$A,0))-INDEX('PROJETO PERFURAÇÃO'!$AH:$AH,MATCH(MEDIÇÃO!D757,'PROJETO PERFURAÇÃO'!$B:$B,0)),"")</f>
        <v/>
      </c>
      <c r="F757" s="8" t="str">
        <f>IFERROR(INDEX('PROJETO PERFURAÇÃO'!$AN:$AN,MATCH(MEDIÇÃO!D757,'PROJETO PERFURAÇÃO'!$B:$B,0)),"")</f>
        <v/>
      </c>
      <c r="G757" s="3"/>
      <c r="H757" s="3"/>
      <c r="I757" s="3" t="str">
        <f>IFERROR(ROUND(INDEX('PROJETO PERFURAÇÃO'!$AB:$AB,MATCH(MEDIÇÃO!K757,'PROJETO PERFURAÇÃO'!$B:$B,0)),1)&amp;"''","")</f>
        <v/>
      </c>
      <c r="J757" s="3" t="str">
        <f>IFERROR(IF(INDEX('PROJETO PERFURAÇÃO'!$P:$P,MATCH(MEDIÇÃO!K757,'PROJETO PERFURAÇÃO'!$B:$B,0))="Production","P",IF(INDEX('PROJETO PERFURAÇÃO'!$P:$P,MATCH(MEDIÇÃO!K757,'PROJETO PERFURAÇÃO'!$B:$B,0))="Buffer","B",IF(INDEX('PROJETO PERFURAÇÃO'!$P:$P,MATCH(MEDIÇÃO!K757,'PROJETO PERFURAÇÃO'!$B:$B,0))="Pre-Splitting","S"))),"")</f>
        <v/>
      </c>
      <c r="K757" s="14">
        <f t="shared" si="73"/>
        <v>1688</v>
      </c>
      <c r="L757" s="4" t="str">
        <f>IFERROR(INDEX('LEV R&amp;D'!$D:$D,MATCH(MEDIÇÃO!K757,'LEV R&amp;D'!$A:$A,0))-INDEX('PROJETO PERFURAÇÃO'!$AH:$AH,MATCH(MEDIÇÃO!K757,'PROJETO PERFURAÇÃO'!$B:$B,0)),"")</f>
        <v/>
      </c>
      <c r="M757" s="8" t="str">
        <f>IFERROR(INDEX('PROJETO PERFURAÇÃO'!$AN:$AN,MATCH(MEDIÇÃO!K757,'PROJETO PERFURAÇÃO'!$B:$B,0)),"")</f>
        <v/>
      </c>
      <c r="N757" s="3"/>
      <c r="O757" s="3"/>
      <c r="P757" s="3" t="str">
        <f>IFERROR(ROUND(INDEX('PROJETO PERFURAÇÃO'!$AB:$AB,MATCH(MEDIÇÃO!R757,'PROJETO PERFURAÇÃO'!$B:$B,0)),1)&amp;"''","")</f>
        <v/>
      </c>
      <c r="Q757" s="3" t="str">
        <f>IFERROR(IF(INDEX('PROJETO PERFURAÇÃO'!$P:$P,MATCH(MEDIÇÃO!R757,'PROJETO PERFURAÇÃO'!$B:$B,0))="Production","P",IF(INDEX('PROJETO PERFURAÇÃO'!$P:$P,MATCH(MEDIÇÃO!R757,'PROJETO PERFURAÇÃO'!$B:$B,0))="Buffer","B",IF(INDEX('PROJETO PERFURAÇÃO'!$P:$P,MATCH(MEDIÇÃO!R757,'PROJETO PERFURAÇÃO'!$B:$B,0))="Pre-Splitting","S"))),"")</f>
        <v/>
      </c>
      <c r="R757" s="14">
        <f t="shared" si="74"/>
        <v>1711</v>
      </c>
      <c r="S757" s="4" t="str">
        <f>IFERROR(INDEX('LEV R&amp;D'!$D:$D,MATCH(MEDIÇÃO!R757,'LEV R&amp;D'!$A:$A,0))-INDEX('PROJETO PERFURAÇÃO'!$AH:$AH,MATCH(MEDIÇÃO!R757,'PROJETO PERFURAÇÃO'!$B:$B,0)),"")</f>
        <v/>
      </c>
      <c r="T757" s="8" t="str">
        <f>IFERROR(INDEX('PROJETO PERFURAÇÃO'!$AN:$AN,MATCH(MEDIÇÃO!R757,'PROJETO PERFURAÇÃO'!$B:$B,0)),"")</f>
        <v/>
      </c>
      <c r="U757" s="3"/>
      <c r="V757" s="3"/>
    </row>
    <row r="758" spans="2:22" ht="45" customHeight="1">
      <c r="B758" s="3" t="str">
        <f>IFERROR(ROUND(INDEX('PROJETO PERFURAÇÃO'!$AB:$AB,MATCH(MEDIÇÃO!D758,'PROJETO PERFURAÇÃO'!$B:$B,0)),1)&amp;"''","")</f>
        <v/>
      </c>
      <c r="C758" s="3" t="str">
        <f>IFERROR(IF(INDEX('PROJETO PERFURAÇÃO'!$P:$P,MATCH(MEDIÇÃO!D758,'PROJETO PERFURAÇÃO'!$B:$B,0))="Production","P",IF(INDEX('PROJETO PERFURAÇÃO'!$P:$P,MATCH(MEDIÇÃO!D758,'PROJETO PERFURAÇÃO'!$B:$B,0))="Buffer","B",IF(INDEX('PROJETO PERFURAÇÃO'!$P:$P,MATCH(MEDIÇÃO!D758,'PROJETO PERFURAÇÃO'!$B:$B,0))="Pre-Splitting","S"))),"")</f>
        <v/>
      </c>
      <c r="D758" s="14">
        <f t="shared" si="72"/>
        <v>1666</v>
      </c>
      <c r="E758" s="4" t="str">
        <f>IFERROR(INDEX('LEV R&amp;D'!$D:$D,MATCH(MEDIÇÃO!D758,'LEV R&amp;D'!$A:$A,0))-INDEX('PROJETO PERFURAÇÃO'!$AH:$AH,MATCH(MEDIÇÃO!D758,'PROJETO PERFURAÇÃO'!$B:$B,0)),"")</f>
        <v/>
      </c>
      <c r="F758" s="8" t="str">
        <f>IFERROR(INDEX('PROJETO PERFURAÇÃO'!$AN:$AN,MATCH(MEDIÇÃO!D758,'PROJETO PERFURAÇÃO'!$B:$B,0)),"")</f>
        <v/>
      </c>
      <c r="G758" s="3"/>
      <c r="H758" s="3"/>
      <c r="I758" s="3" t="str">
        <f>IFERROR(ROUND(INDEX('PROJETO PERFURAÇÃO'!$AB:$AB,MATCH(MEDIÇÃO!K758,'PROJETO PERFURAÇÃO'!$B:$B,0)),1)&amp;"''","")</f>
        <v/>
      </c>
      <c r="J758" s="3" t="str">
        <f>IFERROR(IF(INDEX('PROJETO PERFURAÇÃO'!$P:$P,MATCH(MEDIÇÃO!K758,'PROJETO PERFURAÇÃO'!$B:$B,0))="Production","P",IF(INDEX('PROJETO PERFURAÇÃO'!$P:$P,MATCH(MEDIÇÃO!K758,'PROJETO PERFURAÇÃO'!$B:$B,0))="Buffer","B",IF(INDEX('PROJETO PERFURAÇÃO'!$P:$P,MATCH(MEDIÇÃO!K758,'PROJETO PERFURAÇÃO'!$B:$B,0))="Pre-Splitting","S"))),"")</f>
        <v/>
      </c>
      <c r="K758" s="14">
        <f t="shared" si="73"/>
        <v>1689</v>
      </c>
      <c r="L758" s="4" t="str">
        <f>IFERROR(INDEX('LEV R&amp;D'!$D:$D,MATCH(MEDIÇÃO!K758,'LEV R&amp;D'!$A:$A,0))-INDEX('PROJETO PERFURAÇÃO'!$AH:$AH,MATCH(MEDIÇÃO!K758,'PROJETO PERFURAÇÃO'!$B:$B,0)),"")</f>
        <v/>
      </c>
      <c r="M758" s="8" t="str">
        <f>IFERROR(INDEX('PROJETO PERFURAÇÃO'!$AN:$AN,MATCH(MEDIÇÃO!K758,'PROJETO PERFURAÇÃO'!$B:$B,0)),"")</f>
        <v/>
      </c>
      <c r="N758" s="3"/>
      <c r="O758" s="3"/>
      <c r="P758" s="3" t="str">
        <f>IFERROR(ROUND(INDEX('PROJETO PERFURAÇÃO'!$AB:$AB,MATCH(MEDIÇÃO!R758,'PROJETO PERFURAÇÃO'!$B:$B,0)),1)&amp;"''","")</f>
        <v/>
      </c>
      <c r="Q758" s="3" t="str">
        <f>IFERROR(IF(INDEX('PROJETO PERFURAÇÃO'!$P:$P,MATCH(MEDIÇÃO!R758,'PROJETO PERFURAÇÃO'!$B:$B,0))="Production","P",IF(INDEX('PROJETO PERFURAÇÃO'!$P:$P,MATCH(MEDIÇÃO!R758,'PROJETO PERFURAÇÃO'!$B:$B,0))="Buffer","B",IF(INDEX('PROJETO PERFURAÇÃO'!$P:$P,MATCH(MEDIÇÃO!R758,'PROJETO PERFURAÇÃO'!$B:$B,0))="Pre-Splitting","S"))),"")</f>
        <v/>
      </c>
      <c r="R758" s="14">
        <f t="shared" si="74"/>
        <v>1712</v>
      </c>
      <c r="S758" s="4" t="str">
        <f>IFERROR(INDEX('LEV R&amp;D'!$D:$D,MATCH(MEDIÇÃO!R758,'LEV R&amp;D'!$A:$A,0))-INDEX('PROJETO PERFURAÇÃO'!$AH:$AH,MATCH(MEDIÇÃO!R758,'PROJETO PERFURAÇÃO'!$B:$B,0)),"")</f>
        <v/>
      </c>
      <c r="T758" s="8" t="str">
        <f>IFERROR(INDEX('PROJETO PERFURAÇÃO'!$AN:$AN,MATCH(MEDIÇÃO!R758,'PROJETO PERFURAÇÃO'!$B:$B,0)),"")</f>
        <v/>
      </c>
      <c r="U758" s="3"/>
      <c r="V758" s="3"/>
    </row>
    <row r="759" spans="2:22" ht="45" customHeight="1">
      <c r="B759" s="3" t="str">
        <f>IFERROR(ROUND(INDEX('PROJETO PERFURAÇÃO'!$AB:$AB,MATCH(MEDIÇÃO!D759,'PROJETO PERFURAÇÃO'!$B:$B,0)),1)&amp;"''","")</f>
        <v/>
      </c>
      <c r="C759" s="3" t="str">
        <f>IFERROR(IF(INDEX('PROJETO PERFURAÇÃO'!$P:$P,MATCH(MEDIÇÃO!D759,'PROJETO PERFURAÇÃO'!$B:$B,0))="Production","P",IF(INDEX('PROJETO PERFURAÇÃO'!$P:$P,MATCH(MEDIÇÃO!D759,'PROJETO PERFURAÇÃO'!$B:$B,0))="Buffer","B",IF(INDEX('PROJETO PERFURAÇÃO'!$P:$P,MATCH(MEDIÇÃO!D759,'PROJETO PERFURAÇÃO'!$B:$B,0))="Pre-Splitting","S"))),"")</f>
        <v/>
      </c>
      <c r="D759" s="14">
        <f t="shared" si="72"/>
        <v>1667</v>
      </c>
      <c r="E759" s="4" t="str">
        <f>IFERROR(INDEX('LEV R&amp;D'!$D:$D,MATCH(MEDIÇÃO!D759,'LEV R&amp;D'!$A:$A,0))-INDEX('PROJETO PERFURAÇÃO'!$AH:$AH,MATCH(MEDIÇÃO!D759,'PROJETO PERFURAÇÃO'!$B:$B,0)),"")</f>
        <v/>
      </c>
      <c r="F759" s="8" t="str">
        <f>IFERROR(INDEX('PROJETO PERFURAÇÃO'!$AN:$AN,MATCH(MEDIÇÃO!D759,'PROJETO PERFURAÇÃO'!$B:$B,0)),"")</f>
        <v/>
      </c>
      <c r="G759" s="3"/>
      <c r="H759" s="3"/>
      <c r="I759" s="3" t="str">
        <f>IFERROR(ROUND(INDEX('PROJETO PERFURAÇÃO'!$AB:$AB,MATCH(MEDIÇÃO!K759,'PROJETO PERFURAÇÃO'!$B:$B,0)),1)&amp;"''","")</f>
        <v/>
      </c>
      <c r="J759" s="3" t="str">
        <f>IFERROR(IF(INDEX('PROJETO PERFURAÇÃO'!$P:$P,MATCH(MEDIÇÃO!K759,'PROJETO PERFURAÇÃO'!$B:$B,0))="Production","P",IF(INDEX('PROJETO PERFURAÇÃO'!$P:$P,MATCH(MEDIÇÃO!K759,'PROJETO PERFURAÇÃO'!$B:$B,0))="Buffer","B",IF(INDEX('PROJETO PERFURAÇÃO'!$P:$P,MATCH(MEDIÇÃO!K759,'PROJETO PERFURAÇÃO'!$B:$B,0))="Pre-Splitting","S"))),"")</f>
        <v/>
      </c>
      <c r="K759" s="14">
        <f t="shared" si="73"/>
        <v>1690</v>
      </c>
      <c r="L759" s="4" t="str">
        <f>IFERROR(INDEX('LEV R&amp;D'!$D:$D,MATCH(MEDIÇÃO!K759,'LEV R&amp;D'!$A:$A,0))-INDEX('PROJETO PERFURAÇÃO'!$AH:$AH,MATCH(MEDIÇÃO!K759,'PROJETO PERFURAÇÃO'!$B:$B,0)),"")</f>
        <v/>
      </c>
      <c r="M759" s="8" t="str">
        <f>IFERROR(INDEX('PROJETO PERFURAÇÃO'!$AN:$AN,MATCH(MEDIÇÃO!K759,'PROJETO PERFURAÇÃO'!$B:$B,0)),"")</f>
        <v/>
      </c>
      <c r="N759" s="3"/>
      <c r="O759" s="3"/>
      <c r="P759" s="3" t="str">
        <f>IFERROR(ROUND(INDEX('PROJETO PERFURAÇÃO'!$AB:$AB,MATCH(MEDIÇÃO!R759,'PROJETO PERFURAÇÃO'!$B:$B,0)),1)&amp;"''","")</f>
        <v/>
      </c>
      <c r="Q759" s="3" t="str">
        <f>IFERROR(IF(INDEX('PROJETO PERFURAÇÃO'!$P:$P,MATCH(MEDIÇÃO!R759,'PROJETO PERFURAÇÃO'!$B:$B,0))="Production","P",IF(INDEX('PROJETO PERFURAÇÃO'!$P:$P,MATCH(MEDIÇÃO!R759,'PROJETO PERFURAÇÃO'!$B:$B,0))="Buffer","B",IF(INDEX('PROJETO PERFURAÇÃO'!$P:$P,MATCH(MEDIÇÃO!R759,'PROJETO PERFURAÇÃO'!$B:$B,0))="Pre-Splitting","S"))),"")</f>
        <v/>
      </c>
      <c r="R759" s="14">
        <f t="shared" si="74"/>
        <v>1713</v>
      </c>
      <c r="S759" s="4" t="str">
        <f>IFERROR(INDEX('LEV R&amp;D'!$D:$D,MATCH(MEDIÇÃO!R759,'LEV R&amp;D'!$A:$A,0))-INDEX('PROJETO PERFURAÇÃO'!$AH:$AH,MATCH(MEDIÇÃO!R759,'PROJETO PERFURAÇÃO'!$B:$B,0)),"")</f>
        <v/>
      </c>
      <c r="T759" s="8" t="str">
        <f>IFERROR(INDEX('PROJETO PERFURAÇÃO'!$AN:$AN,MATCH(MEDIÇÃO!R759,'PROJETO PERFURAÇÃO'!$B:$B,0)),"")</f>
        <v/>
      </c>
      <c r="U759" s="3"/>
      <c r="V759" s="3"/>
    </row>
    <row r="760" spans="2:22" ht="45" customHeight="1">
      <c r="B760" s="3" t="str">
        <f>IFERROR(ROUND(INDEX('PROJETO PERFURAÇÃO'!$AB:$AB,MATCH(MEDIÇÃO!D760,'PROJETO PERFURAÇÃO'!$B:$B,0)),1)&amp;"''","")</f>
        <v/>
      </c>
      <c r="C760" s="3" t="str">
        <f>IFERROR(IF(INDEX('PROJETO PERFURAÇÃO'!$P:$P,MATCH(MEDIÇÃO!D760,'PROJETO PERFURAÇÃO'!$B:$B,0))="Production","P",IF(INDEX('PROJETO PERFURAÇÃO'!$P:$P,MATCH(MEDIÇÃO!D760,'PROJETO PERFURAÇÃO'!$B:$B,0))="Buffer","B",IF(INDEX('PROJETO PERFURAÇÃO'!$P:$P,MATCH(MEDIÇÃO!D760,'PROJETO PERFURAÇÃO'!$B:$B,0))="Pre-Splitting","S"))),"")</f>
        <v/>
      </c>
      <c r="D760" s="14">
        <f t="shared" si="72"/>
        <v>1668</v>
      </c>
      <c r="E760" s="4" t="str">
        <f>IFERROR(INDEX('LEV R&amp;D'!$D:$D,MATCH(MEDIÇÃO!D760,'LEV R&amp;D'!$A:$A,0))-INDEX('PROJETO PERFURAÇÃO'!$AH:$AH,MATCH(MEDIÇÃO!D760,'PROJETO PERFURAÇÃO'!$B:$B,0)),"")</f>
        <v/>
      </c>
      <c r="F760" s="8" t="str">
        <f>IFERROR(INDEX('PROJETO PERFURAÇÃO'!$AN:$AN,MATCH(MEDIÇÃO!D760,'PROJETO PERFURAÇÃO'!$B:$B,0)),"")</f>
        <v/>
      </c>
      <c r="G760" s="3"/>
      <c r="H760" s="3"/>
      <c r="I760" s="3" t="str">
        <f>IFERROR(ROUND(INDEX('PROJETO PERFURAÇÃO'!$AB:$AB,MATCH(MEDIÇÃO!K760,'PROJETO PERFURAÇÃO'!$B:$B,0)),1)&amp;"''","")</f>
        <v/>
      </c>
      <c r="J760" s="3" t="str">
        <f>IFERROR(IF(INDEX('PROJETO PERFURAÇÃO'!$P:$P,MATCH(MEDIÇÃO!K760,'PROJETO PERFURAÇÃO'!$B:$B,0))="Production","P",IF(INDEX('PROJETO PERFURAÇÃO'!$P:$P,MATCH(MEDIÇÃO!K760,'PROJETO PERFURAÇÃO'!$B:$B,0))="Buffer","B",IF(INDEX('PROJETO PERFURAÇÃO'!$P:$P,MATCH(MEDIÇÃO!K760,'PROJETO PERFURAÇÃO'!$B:$B,0))="Pre-Splitting","S"))),"")</f>
        <v/>
      </c>
      <c r="K760" s="14">
        <f t="shared" si="73"/>
        <v>1691</v>
      </c>
      <c r="L760" s="4" t="str">
        <f>IFERROR(INDEX('LEV R&amp;D'!$D:$D,MATCH(MEDIÇÃO!K760,'LEV R&amp;D'!$A:$A,0))-INDEX('PROJETO PERFURAÇÃO'!$AH:$AH,MATCH(MEDIÇÃO!K760,'PROJETO PERFURAÇÃO'!$B:$B,0)),"")</f>
        <v/>
      </c>
      <c r="M760" s="8" t="str">
        <f>IFERROR(INDEX('PROJETO PERFURAÇÃO'!$AN:$AN,MATCH(MEDIÇÃO!K760,'PROJETO PERFURAÇÃO'!$B:$B,0)),"")</f>
        <v/>
      </c>
      <c r="N760" s="3"/>
      <c r="O760" s="3"/>
      <c r="P760" s="3" t="str">
        <f>IFERROR(ROUND(INDEX('PROJETO PERFURAÇÃO'!$AB:$AB,MATCH(MEDIÇÃO!R760,'PROJETO PERFURAÇÃO'!$B:$B,0)),1)&amp;"''","")</f>
        <v/>
      </c>
      <c r="Q760" s="3" t="str">
        <f>IFERROR(IF(INDEX('PROJETO PERFURAÇÃO'!$P:$P,MATCH(MEDIÇÃO!R760,'PROJETO PERFURAÇÃO'!$B:$B,0))="Production","P",IF(INDEX('PROJETO PERFURAÇÃO'!$P:$P,MATCH(MEDIÇÃO!R760,'PROJETO PERFURAÇÃO'!$B:$B,0))="Buffer","B",IF(INDEX('PROJETO PERFURAÇÃO'!$P:$P,MATCH(MEDIÇÃO!R760,'PROJETO PERFURAÇÃO'!$B:$B,0))="Pre-Splitting","S"))),"")</f>
        <v/>
      </c>
      <c r="R760" s="14">
        <f t="shared" si="74"/>
        <v>1714</v>
      </c>
      <c r="S760" s="4" t="str">
        <f>IFERROR(INDEX('LEV R&amp;D'!$D:$D,MATCH(MEDIÇÃO!R760,'LEV R&amp;D'!$A:$A,0))-INDEX('PROJETO PERFURAÇÃO'!$AH:$AH,MATCH(MEDIÇÃO!R760,'PROJETO PERFURAÇÃO'!$B:$B,0)),"")</f>
        <v/>
      </c>
      <c r="T760" s="8" t="str">
        <f>IFERROR(INDEX('PROJETO PERFURAÇÃO'!$AN:$AN,MATCH(MEDIÇÃO!R760,'PROJETO PERFURAÇÃO'!$B:$B,0)),"")</f>
        <v/>
      </c>
      <c r="U760" s="3"/>
      <c r="V760" s="3"/>
    </row>
    <row r="761" spans="2:22" ht="45" customHeight="1">
      <c r="B761" s="3" t="str">
        <f>IFERROR(ROUND(INDEX('PROJETO PERFURAÇÃO'!$AB:$AB,MATCH(MEDIÇÃO!D761,'PROJETO PERFURAÇÃO'!$B:$B,0)),1)&amp;"''","")</f>
        <v/>
      </c>
      <c r="C761" s="3" t="str">
        <f>IFERROR(IF(INDEX('PROJETO PERFURAÇÃO'!$P:$P,MATCH(MEDIÇÃO!D761,'PROJETO PERFURAÇÃO'!$B:$B,0))="Production","P",IF(INDEX('PROJETO PERFURAÇÃO'!$P:$P,MATCH(MEDIÇÃO!D761,'PROJETO PERFURAÇÃO'!$B:$B,0))="Buffer","B",IF(INDEX('PROJETO PERFURAÇÃO'!$P:$P,MATCH(MEDIÇÃO!D761,'PROJETO PERFURAÇÃO'!$B:$B,0))="Pre-Splitting","S"))),"")</f>
        <v/>
      </c>
      <c r="D761" s="14">
        <f t="shared" si="72"/>
        <v>1669</v>
      </c>
      <c r="E761" s="4" t="str">
        <f>IFERROR(INDEX('LEV R&amp;D'!$D:$D,MATCH(MEDIÇÃO!D761,'LEV R&amp;D'!$A:$A,0))-INDEX('PROJETO PERFURAÇÃO'!$AH:$AH,MATCH(MEDIÇÃO!D761,'PROJETO PERFURAÇÃO'!$B:$B,0)),"")</f>
        <v/>
      </c>
      <c r="F761" s="8" t="str">
        <f>IFERROR(INDEX('PROJETO PERFURAÇÃO'!$AN:$AN,MATCH(MEDIÇÃO!D761,'PROJETO PERFURAÇÃO'!$B:$B,0)),"")</f>
        <v/>
      </c>
      <c r="G761" s="3"/>
      <c r="H761" s="3"/>
      <c r="I761" s="3" t="str">
        <f>IFERROR(ROUND(INDEX('PROJETO PERFURAÇÃO'!$AB:$AB,MATCH(MEDIÇÃO!K761,'PROJETO PERFURAÇÃO'!$B:$B,0)),1)&amp;"''","")</f>
        <v/>
      </c>
      <c r="J761" s="3" t="str">
        <f>IFERROR(IF(INDEX('PROJETO PERFURAÇÃO'!$P:$P,MATCH(MEDIÇÃO!K761,'PROJETO PERFURAÇÃO'!$B:$B,0))="Production","P",IF(INDEX('PROJETO PERFURAÇÃO'!$P:$P,MATCH(MEDIÇÃO!K761,'PROJETO PERFURAÇÃO'!$B:$B,0))="Buffer","B",IF(INDEX('PROJETO PERFURAÇÃO'!$P:$P,MATCH(MEDIÇÃO!K761,'PROJETO PERFURAÇÃO'!$B:$B,0))="Pre-Splitting","S"))),"")</f>
        <v/>
      </c>
      <c r="K761" s="14">
        <f t="shared" si="73"/>
        <v>1692</v>
      </c>
      <c r="L761" s="4" t="str">
        <f>IFERROR(INDEX('LEV R&amp;D'!$D:$D,MATCH(MEDIÇÃO!K761,'LEV R&amp;D'!$A:$A,0))-INDEX('PROJETO PERFURAÇÃO'!$AH:$AH,MATCH(MEDIÇÃO!K761,'PROJETO PERFURAÇÃO'!$B:$B,0)),"")</f>
        <v/>
      </c>
      <c r="M761" s="8" t="str">
        <f>IFERROR(INDEX('PROJETO PERFURAÇÃO'!$AN:$AN,MATCH(MEDIÇÃO!K761,'PROJETO PERFURAÇÃO'!$B:$B,0)),"")</f>
        <v/>
      </c>
      <c r="N761" s="3"/>
      <c r="O761" s="3"/>
      <c r="P761" s="3" t="str">
        <f>IFERROR(ROUND(INDEX('PROJETO PERFURAÇÃO'!$AB:$AB,MATCH(MEDIÇÃO!R761,'PROJETO PERFURAÇÃO'!$B:$B,0)),1)&amp;"''","")</f>
        <v/>
      </c>
      <c r="Q761" s="3" t="str">
        <f>IFERROR(IF(INDEX('PROJETO PERFURAÇÃO'!$P:$P,MATCH(MEDIÇÃO!R761,'PROJETO PERFURAÇÃO'!$B:$B,0))="Production","P",IF(INDEX('PROJETO PERFURAÇÃO'!$P:$P,MATCH(MEDIÇÃO!R761,'PROJETO PERFURAÇÃO'!$B:$B,0))="Buffer","B",IF(INDEX('PROJETO PERFURAÇÃO'!$P:$P,MATCH(MEDIÇÃO!R761,'PROJETO PERFURAÇÃO'!$B:$B,0))="Pre-Splitting","S"))),"")</f>
        <v/>
      </c>
      <c r="R761" s="14">
        <f t="shared" si="74"/>
        <v>1715</v>
      </c>
      <c r="S761" s="4" t="str">
        <f>IFERROR(INDEX('LEV R&amp;D'!$D:$D,MATCH(MEDIÇÃO!R761,'LEV R&amp;D'!$A:$A,0))-INDEX('PROJETO PERFURAÇÃO'!$AH:$AH,MATCH(MEDIÇÃO!R761,'PROJETO PERFURAÇÃO'!$B:$B,0)),"")</f>
        <v/>
      </c>
      <c r="T761" s="8" t="str">
        <f>IFERROR(INDEX('PROJETO PERFURAÇÃO'!$AN:$AN,MATCH(MEDIÇÃO!R761,'PROJETO PERFURAÇÃO'!$B:$B,0)),"")</f>
        <v/>
      </c>
      <c r="U761" s="3"/>
      <c r="V761" s="3"/>
    </row>
    <row r="762" spans="2:22" ht="45" customHeight="1">
      <c r="B762" s="3" t="str">
        <f>IFERROR(ROUND(INDEX('PROJETO PERFURAÇÃO'!$AB:$AB,MATCH(MEDIÇÃO!D762,'PROJETO PERFURAÇÃO'!$B:$B,0)),1)&amp;"''","")</f>
        <v/>
      </c>
      <c r="C762" s="3" t="str">
        <f>IFERROR(IF(INDEX('PROJETO PERFURAÇÃO'!$P:$P,MATCH(MEDIÇÃO!D762,'PROJETO PERFURAÇÃO'!$B:$B,0))="Production","P",IF(INDEX('PROJETO PERFURAÇÃO'!$P:$P,MATCH(MEDIÇÃO!D762,'PROJETO PERFURAÇÃO'!$B:$B,0))="Buffer","B",IF(INDEX('PROJETO PERFURAÇÃO'!$P:$P,MATCH(MEDIÇÃO!D762,'PROJETO PERFURAÇÃO'!$B:$B,0))="Pre-Splitting","S"))),"")</f>
        <v/>
      </c>
      <c r="D762" s="14">
        <f t="shared" si="72"/>
        <v>1670</v>
      </c>
      <c r="E762" s="4" t="str">
        <f>IFERROR(INDEX('LEV R&amp;D'!$D:$D,MATCH(MEDIÇÃO!D762,'LEV R&amp;D'!$A:$A,0))-INDEX('PROJETO PERFURAÇÃO'!$AH:$AH,MATCH(MEDIÇÃO!D762,'PROJETO PERFURAÇÃO'!$B:$B,0)),"")</f>
        <v/>
      </c>
      <c r="F762" s="8" t="str">
        <f>IFERROR(INDEX('PROJETO PERFURAÇÃO'!$AN:$AN,MATCH(MEDIÇÃO!D762,'PROJETO PERFURAÇÃO'!$B:$B,0)),"")</f>
        <v/>
      </c>
      <c r="G762" s="3"/>
      <c r="H762" s="3"/>
      <c r="I762" s="3" t="str">
        <f>IFERROR(ROUND(INDEX('PROJETO PERFURAÇÃO'!$AB:$AB,MATCH(MEDIÇÃO!K762,'PROJETO PERFURAÇÃO'!$B:$B,0)),1)&amp;"''","")</f>
        <v/>
      </c>
      <c r="J762" s="3" t="str">
        <f>IFERROR(IF(INDEX('PROJETO PERFURAÇÃO'!$P:$P,MATCH(MEDIÇÃO!K762,'PROJETO PERFURAÇÃO'!$B:$B,0))="Production","P",IF(INDEX('PROJETO PERFURAÇÃO'!$P:$P,MATCH(MEDIÇÃO!K762,'PROJETO PERFURAÇÃO'!$B:$B,0))="Buffer","B",IF(INDEX('PROJETO PERFURAÇÃO'!$P:$P,MATCH(MEDIÇÃO!K762,'PROJETO PERFURAÇÃO'!$B:$B,0))="Pre-Splitting","S"))),"")</f>
        <v/>
      </c>
      <c r="K762" s="14">
        <f t="shared" si="73"/>
        <v>1693</v>
      </c>
      <c r="L762" s="4" t="str">
        <f>IFERROR(INDEX('LEV R&amp;D'!$D:$D,MATCH(MEDIÇÃO!K762,'LEV R&amp;D'!$A:$A,0))-INDEX('PROJETO PERFURAÇÃO'!$AH:$AH,MATCH(MEDIÇÃO!K762,'PROJETO PERFURAÇÃO'!$B:$B,0)),"")</f>
        <v/>
      </c>
      <c r="M762" s="8" t="str">
        <f>IFERROR(INDEX('PROJETO PERFURAÇÃO'!$AN:$AN,MATCH(MEDIÇÃO!K762,'PROJETO PERFURAÇÃO'!$B:$B,0)),"")</f>
        <v/>
      </c>
      <c r="N762" s="3"/>
      <c r="O762" s="3"/>
      <c r="P762" s="3" t="str">
        <f>IFERROR(ROUND(INDEX('PROJETO PERFURAÇÃO'!$AB:$AB,MATCH(MEDIÇÃO!R762,'PROJETO PERFURAÇÃO'!$B:$B,0)),1)&amp;"''","")</f>
        <v/>
      </c>
      <c r="Q762" s="3" t="str">
        <f>IFERROR(IF(INDEX('PROJETO PERFURAÇÃO'!$P:$P,MATCH(MEDIÇÃO!R762,'PROJETO PERFURAÇÃO'!$B:$B,0))="Production","P",IF(INDEX('PROJETO PERFURAÇÃO'!$P:$P,MATCH(MEDIÇÃO!R762,'PROJETO PERFURAÇÃO'!$B:$B,0))="Buffer","B",IF(INDEX('PROJETO PERFURAÇÃO'!$P:$P,MATCH(MEDIÇÃO!R762,'PROJETO PERFURAÇÃO'!$B:$B,0))="Pre-Splitting","S"))),"")</f>
        <v/>
      </c>
      <c r="R762" s="14">
        <f t="shared" si="74"/>
        <v>1716</v>
      </c>
      <c r="S762" s="4" t="str">
        <f>IFERROR(INDEX('LEV R&amp;D'!$D:$D,MATCH(MEDIÇÃO!R762,'LEV R&amp;D'!$A:$A,0))-INDEX('PROJETO PERFURAÇÃO'!$AH:$AH,MATCH(MEDIÇÃO!R762,'PROJETO PERFURAÇÃO'!$B:$B,0)),"")</f>
        <v/>
      </c>
      <c r="T762" s="8" t="str">
        <f>IFERROR(INDEX('PROJETO PERFURAÇÃO'!$AN:$AN,MATCH(MEDIÇÃO!R762,'PROJETO PERFURAÇÃO'!$B:$B,0)),"")</f>
        <v/>
      </c>
      <c r="U762" s="3"/>
      <c r="V762" s="3"/>
    </row>
    <row r="763" spans="2:22" ht="45" customHeight="1">
      <c r="B763" s="3" t="str">
        <f>IFERROR(ROUND(INDEX('PROJETO PERFURAÇÃO'!$AB:$AB,MATCH(MEDIÇÃO!D763,'PROJETO PERFURAÇÃO'!$B:$B,0)),1)&amp;"''","")</f>
        <v/>
      </c>
      <c r="C763" s="3" t="str">
        <f>IFERROR(IF(INDEX('PROJETO PERFURAÇÃO'!$P:$P,MATCH(MEDIÇÃO!D763,'PROJETO PERFURAÇÃO'!$B:$B,0))="Production","P",IF(INDEX('PROJETO PERFURAÇÃO'!$P:$P,MATCH(MEDIÇÃO!D763,'PROJETO PERFURAÇÃO'!$B:$B,0))="Buffer","B",IF(INDEX('PROJETO PERFURAÇÃO'!$P:$P,MATCH(MEDIÇÃO!D763,'PROJETO PERFURAÇÃO'!$B:$B,0))="Pre-Splitting","S"))),"")</f>
        <v/>
      </c>
      <c r="D763" s="14">
        <f t="shared" si="72"/>
        <v>1671</v>
      </c>
      <c r="E763" s="4" t="str">
        <f>IFERROR(INDEX('LEV R&amp;D'!$D:$D,MATCH(MEDIÇÃO!D763,'LEV R&amp;D'!$A:$A,0))-INDEX('PROJETO PERFURAÇÃO'!$AH:$AH,MATCH(MEDIÇÃO!D763,'PROJETO PERFURAÇÃO'!$B:$B,0)),"")</f>
        <v/>
      </c>
      <c r="F763" s="8" t="str">
        <f>IFERROR(INDEX('PROJETO PERFURAÇÃO'!$AN:$AN,MATCH(MEDIÇÃO!D763,'PROJETO PERFURAÇÃO'!$B:$B,0)),"")</f>
        <v/>
      </c>
      <c r="G763" s="3"/>
      <c r="H763" s="3"/>
      <c r="I763" s="3" t="str">
        <f>IFERROR(ROUND(INDEX('PROJETO PERFURAÇÃO'!$AB:$AB,MATCH(MEDIÇÃO!K763,'PROJETO PERFURAÇÃO'!$B:$B,0)),1)&amp;"''","")</f>
        <v/>
      </c>
      <c r="J763" s="3" t="str">
        <f>IFERROR(IF(INDEX('PROJETO PERFURAÇÃO'!$P:$P,MATCH(MEDIÇÃO!K763,'PROJETO PERFURAÇÃO'!$B:$B,0))="Production","P",IF(INDEX('PROJETO PERFURAÇÃO'!$P:$P,MATCH(MEDIÇÃO!K763,'PROJETO PERFURAÇÃO'!$B:$B,0))="Buffer","B",IF(INDEX('PROJETO PERFURAÇÃO'!$P:$P,MATCH(MEDIÇÃO!K763,'PROJETO PERFURAÇÃO'!$B:$B,0))="Pre-Splitting","S"))),"")</f>
        <v/>
      </c>
      <c r="K763" s="14">
        <f t="shared" si="73"/>
        <v>1694</v>
      </c>
      <c r="L763" s="4" t="str">
        <f>IFERROR(INDEX('LEV R&amp;D'!$D:$D,MATCH(MEDIÇÃO!K763,'LEV R&amp;D'!$A:$A,0))-INDEX('PROJETO PERFURAÇÃO'!$AH:$AH,MATCH(MEDIÇÃO!K763,'PROJETO PERFURAÇÃO'!$B:$B,0)),"")</f>
        <v/>
      </c>
      <c r="M763" s="8" t="str">
        <f>IFERROR(INDEX('PROJETO PERFURAÇÃO'!$AN:$AN,MATCH(MEDIÇÃO!K763,'PROJETO PERFURAÇÃO'!$B:$B,0)),"")</f>
        <v/>
      </c>
      <c r="N763" s="3"/>
      <c r="O763" s="3"/>
      <c r="P763" s="3" t="str">
        <f>IFERROR(ROUND(INDEX('PROJETO PERFURAÇÃO'!$AB:$AB,MATCH(MEDIÇÃO!R763,'PROJETO PERFURAÇÃO'!$B:$B,0)),1)&amp;"''","")</f>
        <v/>
      </c>
      <c r="Q763" s="3" t="str">
        <f>IFERROR(IF(INDEX('PROJETO PERFURAÇÃO'!$P:$P,MATCH(MEDIÇÃO!R763,'PROJETO PERFURAÇÃO'!$B:$B,0))="Production","P",IF(INDEX('PROJETO PERFURAÇÃO'!$P:$P,MATCH(MEDIÇÃO!R763,'PROJETO PERFURAÇÃO'!$B:$B,0))="Buffer","B",IF(INDEX('PROJETO PERFURAÇÃO'!$P:$P,MATCH(MEDIÇÃO!R763,'PROJETO PERFURAÇÃO'!$B:$B,0))="Pre-Splitting","S"))),"")</f>
        <v/>
      </c>
      <c r="R763" s="14">
        <f t="shared" si="74"/>
        <v>1717</v>
      </c>
      <c r="S763" s="4" t="str">
        <f>IFERROR(INDEX('LEV R&amp;D'!$D:$D,MATCH(MEDIÇÃO!R763,'LEV R&amp;D'!$A:$A,0))-INDEX('PROJETO PERFURAÇÃO'!$AH:$AH,MATCH(MEDIÇÃO!R763,'PROJETO PERFURAÇÃO'!$B:$B,0)),"")</f>
        <v/>
      </c>
      <c r="T763" s="8" t="str">
        <f>IFERROR(INDEX('PROJETO PERFURAÇÃO'!$AN:$AN,MATCH(MEDIÇÃO!R763,'PROJETO PERFURAÇÃO'!$B:$B,0)),"")</f>
        <v/>
      </c>
      <c r="U763" s="3"/>
      <c r="V763" s="3"/>
    </row>
    <row r="764" spans="2:22" ht="45" customHeight="1">
      <c r="B764" s="3" t="str">
        <f>IFERROR(ROUND(INDEX('PROJETO PERFURAÇÃO'!$AB:$AB,MATCH(MEDIÇÃO!D764,'PROJETO PERFURAÇÃO'!$B:$B,0)),1)&amp;"''","")</f>
        <v/>
      </c>
      <c r="C764" s="3" t="str">
        <f>IFERROR(IF(INDEX('PROJETO PERFURAÇÃO'!$P:$P,MATCH(MEDIÇÃO!D764,'PROJETO PERFURAÇÃO'!$B:$B,0))="Production","P",IF(INDEX('PROJETO PERFURAÇÃO'!$P:$P,MATCH(MEDIÇÃO!D764,'PROJETO PERFURAÇÃO'!$B:$B,0))="Buffer","B",IF(INDEX('PROJETO PERFURAÇÃO'!$P:$P,MATCH(MEDIÇÃO!D764,'PROJETO PERFURAÇÃO'!$B:$B,0))="Pre-Splitting","S"))),"")</f>
        <v/>
      </c>
      <c r="D764" s="14">
        <f t="shared" si="72"/>
        <v>1672</v>
      </c>
      <c r="E764" s="4" t="str">
        <f>IFERROR(INDEX('LEV R&amp;D'!$D:$D,MATCH(MEDIÇÃO!D764,'LEV R&amp;D'!$A:$A,0))-INDEX('PROJETO PERFURAÇÃO'!$AH:$AH,MATCH(MEDIÇÃO!D764,'PROJETO PERFURAÇÃO'!$B:$B,0)),"")</f>
        <v/>
      </c>
      <c r="F764" s="8" t="str">
        <f>IFERROR(INDEX('PROJETO PERFURAÇÃO'!$AN:$AN,MATCH(MEDIÇÃO!D764,'PROJETO PERFURAÇÃO'!$B:$B,0)),"")</f>
        <v/>
      </c>
      <c r="G764" s="3"/>
      <c r="H764" s="3"/>
      <c r="I764" s="3" t="str">
        <f>IFERROR(ROUND(INDEX('PROJETO PERFURAÇÃO'!$AB:$AB,MATCH(MEDIÇÃO!K764,'PROJETO PERFURAÇÃO'!$B:$B,0)),1)&amp;"''","")</f>
        <v/>
      </c>
      <c r="J764" s="3" t="str">
        <f>IFERROR(IF(INDEX('PROJETO PERFURAÇÃO'!$P:$P,MATCH(MEDIÇÃO!K764,'PROJETO PERFURAÇÃO'!$B:$B,0))="Production","P",IF(INDEX('PROJETO PERFURAÇÃO'!$P:$P,MATCH(MEDIÇÃO!K764,'PROJETO PERFURAÇÃO'!$B:$B,0))="Buffer","B",IF(INDEX('PROJETO PERFURAÇÃO'!$P:$P,MATCH(MEDIÇÃO!K764,'PROJETO PERFURAÇÃO'!$B:$B,0))="Pre-Splitting","S"))),"")</f>
        <v/>
      </c>
      <c r="K764" s="14">
        <f t="shared" si="73"/>
        <v>1695</v>
      </c>
      <c r="L764" s="4" t="str">
        <f>IFERROR(INDEX('LEV R&amp;D'!$D:$D,MATCH(MEDIÇÃO!K764,'LEV R&amp;D'!$A:$A,0))-INDEX('PROJETO PERFURAÇÃO'!$AH:$AH,MATCH(MEDIÇÃO!K764,'PROJETO PERFURAÇÃO'!$B:$B,0)),"")</f>
        <v/>
      </c>
      <c r="M764" s="8" t="str">
        <f>IFERROR(INDEX('PROJETO PERFURAÇÃO'!$AN:$AN,MATCH(MEDIÇÃO!K764,'PROJETO PERFURAÇÃO'!$B:$B,0)),"")</f>
        <v/>
      </c>
      <c r="N764" s="3"/>
      <c r="O764" s="3"/>
      <c r="P764" s="3" t="str">
        <f>IFERROR(ROUND(INDEX('PROJETO PERFURAÇÃO'!$AB:$AB,MATCH(MEDIÇÃO!R764,'PROJETO PERFURAÇÃO'!$B:$B,0)),1)&amp;"''","")</f>
        <v/>
      </c>
      <c r="Q764" s="3" t="str">
        <f>IFERROR(IF(INDEX('PROJETO PERFURAÇÃO'!$P:$P,MATCH(MEDIÇÃO!R764,'PROJETO PERFURAÇÃO'!$B:$B,0))="Production","P",IF(INDEX('PROJETO PERFURAÇÃO'!$P:$P,MATCH(MEDIÇÃO!R764,'PROJETO PERFURAÇÃO'!$B:$B,0))="Buffer","B",IF(INDEX('PROJETO PERFURAÇÃO'!$P:$P,MATCH(MEDIÇÃO!R764,'PROJETO PERFURAÇÃO'!$B:$B,0))="Pre-Splitting","S"))),"")</f>
        <v/>
      </c>
      <c r="R764" s="14">
        <f t="shared" si="74"/>
        <v>1718</v>
      </c>
      <c r="S764" s="4" t="str">
        <f>IFERROR(INDEX('LEV R&amp;D'!$D:$D,MATCH(MEDIÇÃO!R764,'LEV R&amp;D'!$A:$A,0))-INDEX('PROJETO PERFURAÇÃO'!$AH:$AH,MATCH(MEDIÇÃO!R764,'PROJETO PERFURAÇÃO'!$B:$B,0)),"")</f>
        <v/>
      </c>
      <c r="T764" s="8" t="str">
        <f>IFERROR(INDEX('PROJETO PERFURAÇÃO'!$AN:$AN,MATCH(MEDIÇÃO!R764,'PROJETO PERFURAÇÃO'!$B:$B,0)),"")</f>
        <v/>
      </c>
      <c r="U764" s="3"/>
      <c r="V764" s="3"/>
    </row>
    <row r="765" spans="2:22" ht="45" customHeight="1">
      <c r="B765" s="3" t="str">
        <f>IFERROR(ROUND(INDEX('PROJETO PERFURAÇÃO'!$AB:$AB,MATCH(MEDIÇÃO!D765,'PROJETO PERFURAÇÃO'!$B:$B,0)),1)&amp;"''","")</f>
        <v/>
      </c>
      <c r="C765" s="3" t="str">
        <f>IFERROR(IF(INDEX('PROJETO PERFURAÇÃO'!$P:$P,MATCH(MEDIÇÃO!D765,'PROJETO PERFURAÇÃO'!$B:$B,0))="Production","P",IF(INDEX('PROJETO PERFURAÇÃO'!$P:$P,MATCH(MEDIÇÃO!D765,'PROJETO PERFURAÇÃO'!$B:$B,0))="Buffer","B",IF(INDEX('PROJETO PERFURAÇÃO'!$P:$P,MATCH(MEDIÇÃO!D765,'PROJETO PERFURAÇÃO'!$B:$B,0))="Pre-Splitting","S"))),"")</f>
        <v/>
      </c>
      <c r="D765" s="14">
        <f t="shared" si="72"/>
        <v>1673</v>
      </c>
      <c r="E765" s="4" t="str">
        <f>IFERROR(INDEX('LEV R&amp;D'!$D:$D,MATCH(MEDIÇÃO!D765,'LEV R&amp;D'!$A:$A,0))-INDEX('PROJETO PERFURAÇÃO'!$AH:$AH,MATCH(MEDIÇÃO!D765,'PROJETO PERFURAÇÃO'!$B:$B,0)),"")</f>
        <v/>
      </c>
      <c r="F765" s="8" t="str">
        <f>IFERROR(INDEX('PROJETO PERFURAÇÃO'!$AN:$AN,MATCH(MEDIÇÃO!D765,'PROJETO PERFURAÇÃO'!$B:$B,0)),"")</f>
        <v/>
      </c>
      <c r="G765" s="3"/>
      <c r="H765" s="3"/>
      <c r="I765" s="3" t="str">
        <f>IFERROR(ROUND(INDEX('PROJETO PERFURAÇÃO'!$AB:$AB,MATCH(MEDIÇÃO!K765,'PROJETO PERFURAÇÃO'!$B:$B,0)),1)&amp;"''","")</f>
        <v/>
      </c>
      <c r="J765" s="3" t="str">
        <f>IFERROR(IF(INDEX('PROJETO PERFURAÇÃO'!$P:$P,MATCH(MEDIÇÃO!K765,'PROJETO PERFURAÇÃO'!$B:$B,0))="Production","P",IF(INDEX('PROJETO PERFURAÇÃO'!$P:$P,MATCH(MEDIÇÃO!K765,'PROJETO PERFURAÇÃO'!$B:$B,0))="Buffer","B",IF(INDEX('PROJETO PERFURAÇÃO'!$P:$P,MATCH(MEDIÇÃO!K765,'PROJETO PERFURAÇÃO'!$B:$B,0))="Pre-Splitting","S"))),"")</f>
        <v/>
      </c>
      <c r="K765" s="14">
        <f t="shared" si="73"/>
        <v>1696</v>
      </c>
      <c r="L765" s="4" t="str">
        <f>IFERROR(INDEX('LEV R&amp;D'!$D:$D,MATCH(MEDIÇÃO!K765,'LEV R&amp;D'!$A:$A,0))-INDEX('PROJETO PERFURAÇÃO'!$AH:$AH,MATCH(MEDIÇÃO!K765,'PROJETO PERFURAÇÃO'!$B:$B,0)),"")</f>
        <v/>
      </c>
      <c r="M765" s="8" t="str">
        <f>IFERROR(INDEX('PROJETO PERFURAÇÃO'!$AN:$AN,MATCH(MEDIÇÃO!K765,'PROJETO PERFURAÇÃO'!$B:$B,0)),"")</f>
        <v/>
      </c>
      <c r="N765" s="3"/>
      <c r="O765" s="3"/>
      <c r="P765" s="3" t="str">
        <f>IFERROR(ROUND(INDEX('PROJETO PERFURAÇÃO'!$AB:$AB,MATCH(MEDIÇÃO!R765,'PROJETO PERFURAÇÃO'!$B:$B,0)),1)&amp;"''","")</f>
        <v/>
      </c>
      <c r="Q765" s="3" t="str">
        <f>IFERROR(IF(INDEX('PROJETO PERFURAÇÃO'!$P:$P,MATCH(MEDIÇÃO!R765,'PROJETO PERFURAÇÃO'!$B:$B,0))="Production","P",IF(INDEX('PROJETO PERFURAÇÃO'!$P:$P,MATCH(MEDIÇÃO!R765,'PROJETO PERFURAÇÃO'!$B:$B,0))="Buffer","B",IF(INDEX('PROJETO PERFURAÇÃO'!$P:$P,MATCH(MEDIÇÃO!R765,'PROJETO PERFURAÇÃO'!$B:$B,0))="Pre-Splitting","S"))),"")</f>
        <v/>
      </c>
      <c r="R765" s="14">
        <f t="shared" si="74"/>
        <v>1719</v>
      </c>
      <c r="S765" s="4" t="str">
        <f>IFERROR(INDEX('LEV R&amp;D'!$D:$D,MATCH(MEDIÇÃO!R765,'LEV R&amp;D'!$A:$A,0))-INDEX('PROJETO PERFURAÇÃO'!$AH:$AH,MATCH(MEDIÇÃO!R765,'PROJETO PERFURAÇÃO'!$B:$B,0)),"")</f>
        <v/>
      </c>
      <c r="T765" s="8" t="str">
        <f>IFERROR(INDEX('PROJETO PERFURAÇÃO'!$AN:$AN,MATCH(MEDIÇÃO!R765,'PROJETO PERFURAÇÃO'!$B:$B,0)),"")</f>
        <v/>
      </c>
      <c r="U765" s="3"/>
      <c r="V765" s="3"/>
    </row>
    <row r="766" spans="2:22" ht="45" customHeight="1">
      <c r="B766" s="3" t="str">
        <f>IFERROR(ROUND(INDEX('PROJETO PERFURAÇÃO'!$AB:$AB,MATCH(MEDIÇÃO!D766,'PROJETO PERFURAÇÃO'!$B:$B,0)),1)&amp;"''","")</f>
        <v/>
      </c>
      <c r="C766" s="3" t="str">
        <f>IFERROR(IF(INDEX('PROJETO PERFURAÇÃO'!$P:$P,MATCH(MEDIÇÃO!D766,'PROJETO PERFURAÇÃO'!$B:$B,0))="Production","P",IF(INDEX('PROJETO PERFURAÇÃO'!$P:$P,MATCH(MEDIÇÃO!D766,'PROJETO PERFURAÇÃO'!$B:$B,0))="Buffer","B",IF(INDEX('PROJETO PERFURAÇÃO'!$P:$P,MATCH(MEDIÇÃO!D766,'PROJETO PERFURAÇÃO'!$B:$B,0))="Pre-Splitting","S"))),"")</f>
        <v/>
      </c>
      <c r="D766" s="14">
        <f t="shared" si="72"/>
        <v>1674</v>
      </c>
      <c r="E766" s="4" t="str">
        <f>IFERROR(INDEX('LEV R&amp;D'!$D:$D,MATCH(MEDIÇÃO!D766,'LEV R&amp;D'!$A:$A,0))-INDEX('PROJETO PERFURAÇÃO'!$AH:$AH,MATCH(MEDIÇÃO!D766,'PROJETO PERFURAÇÃO'!$B:$B,0)),"")</f>
        <v/>
      </c>
      <c r="F766" s="8" t="str">
        <f>IFERROR(INDEX('PROJETO PERFURAÇÃO'!$AN:$AN,MATCH(MEDIÇÃO!D766,'PROJETO PERFURAÇÃO'!$B:$B,0)),"")</f>
        <v/>
      </c>
      <c r="G766" s="3"/>
      <c r="H766" s="3"/>
      <c r="I766" s="3" t="str">
        <f>IFERROR(ROUND(INDEX('PROJETO PERFURAÇÃO'!$AB:$AB,MATCH(MEDIÇÃO!K766,'PROJETO PERFURAÇÃO'!$B:$B,0)),1)&amp;"''","")</f>
        <v/>
      </c>
      <c r="J766" s="3" t="str">
        <f>IFERROR(IF(INDEX('PROJETO PERFURAÇÃO'!$P:$P,MATCH(MEDIÇÃO!K766,'PROJETO PERFURAÇÃO'!$B:$B,0))="Production","P",IF(INDEX('PROJETO PERFURAÇÃO'!$P:$P,MATCH(MEDIÇÃO!K766,'PROJETO PERFURAÇÃO'!$B:$B,0))="Buffer","B",IF(INDEX('PROJETO PERFURAÇÃO'!$P:$P,MATCH(MEDIÇÃO!K766,'PROJETO PERFURAÇÃO'!$B:$B,0))="Pre-Splitting","S"))),"")</f>
        <v/>
      </c>
      <c r="K766" s="14">
        <f t="shared" si="73"/>
        <v>1697</v>
      </c>
      <c r="L766" s="4" t="str">
        <f>IFERROR(INDEX('LEV R&amp;D'!$D:$D,MATCH(MEDIÇÃO!K766,'LEV R&amp;D'!$A:$A,0))-INDEX('PROJETO PERFURAÇÃO'!$AH:$AH,MATCH(MEDIÇÃO!K766,'PROJETO PERFURAÇÃO'!$B:$B,0)),"")</f>
        <v/>
      </c>
      <c r="M766" s="8" t="str">
        <f>IFERROR(INDEX('PROJETO PERFURAÇÃO'!$AN:$AN,MATCH(MEDIÇÃO!K766,'PROJETO PERFURAÇÃO'!$B:$B,0)),"")</f>
        <v/>
      </c>
      <c r="N766" s="3"/>
      <c r="O766" s="3"/>
      <c r="P766" s="3" t="str">
        <f>IFERROR(ROUND(INDEX('PROJETO PERFURAÇÃO'!$AB:$AB,MATCH(MEDIÇÃO!R766,'PROJETO PERFURAÇÃO'!$B:$B,0)),1)&amp;"''","")</f>
        <v/>
      </c>
      <c r="Q766" s="3" t="str">
        <f>IFERROR(IF(INDEX('PROJETO PERFURAÇÃO'!$P:$P,MATCH(MEDIÇÃO!R766,'PROJETO PERFURAÇÃO'!$B:$B,0))="Production","P",IF(INDEX('PROJETO PERFURAÇÃO'!$P:$P,MATCH(MEDIÇÃO!R766,'PROJETO PERFURAÇÃO'!$B:$B,0))="Buffer","B",IF(INDEX('PROJETO PERFURAÇÃO'!$P:$P,MATCH(MEDIÇÃO!R766,'PROJETO PERFURAÇÃO'!$B:$B,0))="Pre-Splitting","S"))),"")</f>
        <v/>
      </c>
      <c r="R766" s="14">
        <f t="shared" si="74"/>
        <v>1720</v>
      </c>
      <c r="S766" s="4" t="str">
        <f>IFERROR(INDEX('LEV R&amp;D'!$D:$D,MATCH(MEDIÇÃO!R766,'LEV R&amp;D'!$A:$A,0))-INDEX('PROJETO PERFURAÇÃO'!$AH:$AH,MATCH(MEDIÇÃO!R766,'PROJETO PERFURAÇÃO'!$B:$B,0)),"")</f>
        <v/>
      </c>
      <c r="T766" s="8" t="str">
        <f>IFERROR(INDEX('PROJETO PERFURAÇÃO'!$AN:$AN,MATCH(MEDIÇÃO!R766,'PROJETO PERFURAÇÃO'!$B:$B,0)),"")</f>
        <v/>
      </c>
      <c r="U766" s="3"/>
      <c r="V766" s="3"/>
    </row>
    <row r="767" spans="2:22" ht="45" customHeight="1">
      <c r="B767" s="3" t="str">
        <f>IFERROR(ROUND(INDEX('PROJETO PERFURAÇÃO'!$AB:$AB,MATCH(MEDIÇÃO!D767,'PROJETO PERFURAÇÃO'!$B:$B,0)),1)&amp;"''","")</f>
        <v/>
      </c>
      <c r="C767" s="3" t="str">
        <f>IFERROR(IF(INDEX('PROJETO PERFURAÇÃO'!$P:$P,MATCH(MEDIÇÃO!D767,'PROJETO PERFURAÇÃO'!$B:$B,0))="Production","P",IF(INDEX('PROJETO PERFURAÇÃO'!$P:$P,MATCH(MEDIÇÃO!D767,'PROJETO PERFURAÇÃO'!$B:$B,0))="Buffer","B",IF(INDEX('PROJETO PERFURAÇÃO'!$P:$P,MATCH(MEDIÇÃO!D767,'PROJETO PERFURAÇÃO'!$B:$B,0))="Pre-Splitting","S"))),"")</f>
        <v/>
      </c>
      <c r="D767" s="14">
        <f t="shared" si="72"/>
        <v>1675</v>
      </c>
      <c r="E767" s="4" t="str">
        <f>IFERROR(INDEX('LEV R&amp;D'!$D:$D,MATCH(MEDIÇÃO!D767,'LEV R&amp;D'!$A:$A,0))-INDEX('PROJETO PERFURAÇÃO'!$AH:$AH,MATCH(MEDIÇÃO!D767,'PROJETO PERFURAÇÃO'!$B:$B,0)),"")</f>
        <v/>
      </c>
      <c r="F767" s="8" t="str">
        <f>IFERROR(INDEX('PROJETO PERFURAÇÃO'!$AN:$AN,MATCH(MEDIÇÃO!D767,'PROJETO PERFURAÇÃO'!$B:$B,0)),"")</f>
        <v/>
      </c>
      <c r="G767" s="3"/>
      <c r="H767" s="3"/>
      <c r="I767" s="3" t="str">
        <f>IFERROR(ROUND(INDEX('PROJETO PERFURAÇÃO'!$AB:$AB,MATCH(MEDIÇÃO!K767,'PROJETO PERFURAÇÃO'!$B:$B,0)),1)&amp;"''","")</f>
        <v/>
      </c>
      <c r="J767" s="3" t="str">
        <f>IFERROR(IF(INDEX('PROJETO PERFURAÇÃO'!$P:$P,MATCH(MEDIÇÃO!K767,'PROJETO PERFURAÇÃO'!$B:$B,0))="Production","P",IF(INDEX('PROJETO PERFURAÇÃO'!$P:$P,MATCH(MEDIÇÃO!K767,'PROJETO PERFURAÇÃO'!$B:$B,0))="Buffer","B",IF(INDEX('PROJETO PERFURAÇÃO'!$P:$P,MATCH(MEDIÇÃO!K767,'PROJETO PERFURAÇÃO'!$B:$B,0))="Pre-Splitting","S"))),"")</f>
        <v/>
      </c>
      <c r="K767" s="14">
        <f t="shared" si="73"/>
        <v>1698</v>
      </c>
      <c r="L767" s="4" t="str">
        <f>IFERROR(INDEX('LEV R&amp;D'!$D:$D,MATCH(MEDIÇÃO!K767,'LEV R&amp;D'!$A:$A,0))-INDEX('PROJETO PERFURAÇÃO'!$AH:$AH,MATCH(MEDIÇÃO!K767,'PROJETO PERFURAÇÃO'!$B:$B,0)),"")</f>
        <v/>
      </c>
      <c r="M767" s="8" t="str">
        <f>IFERROR(INDEX('PROJETO PERFURAÇÃO'!$AN:$AN,MATCH(MEDIÇÃO!K767,'PROJETO PERFURAÇÃO'!$B:$B,0)),"")</f>
        <v/>
      </c>
      <c r="N767" s="3"/>
      <c r="O767" s="3"/>
      <c r="P767" s="3" t="str">
        <f>IFERROR(ROUND(INDEX('PROJETO PERFURAÇÃO'!$AB:$AB,MATCH(MEDIÇÃO!R767,'PROJETO PERFURAÇÃO'!$B:$B,0)),1)&amp;"''","")</f>
        <v/>
      </c>
      <c r="Q767" s="3" t="str">
        <f>IFERROR(IF(INDEX('PROJETO PERFURAÇÃO'!$P:$P,MATCH(MEDIÇÃO!R767,'PROJETO PERFURAÇÃO'!$B:$B,0))="Production","P",IF(INDEX('PROJETO PERFURAÇÃO'!$P:$P,MATCH(MEDIÇÃO!R767,'PROJETO PERFURAÇÃO'!$B:$B,0))="Buffer","B",IF(INDEX('PROJETO PERFURAÇÃO'!$P:$P,MATCH(MEDIÇÃO!R767,'PROJETO PERFURAÇÃO'!$B:$B,0))="Pre-Splitting","S"))),"")</f>
        <v/>
      </c>
      <c r="R767" s="14">
        <f t="shared" si="74"/>
        <v>1721</v>
      </c>
      <c r="S767" s="4" t="str">
        <f>IFERROR(INDEX('LEV R&amp;D'!$D:$D,MATCH(MEDIÇÃO!R767,'LEV R&amp;D'!$A:$A,0))-INDEX('PROJETO PERFURAÇÃO'!$AH:$AH,MATCH(MEDIÇÃO!R767,'PROJETO PERFURAÇÃO'!$B:$B,0)),"")</f>
        <v/>
      </c>
      <c r="T767" s="8" t="str">
        <f>IFERROR(INDEX('PROJETO PERFURAÇÃO'!$AN:$AN,MATCH(MEDIÇÃO!R767,'PROJETO PERFURAÇÃO'!$B:$B,0)),"")</f>
        <v/>
      </c>
      <c r="U767" s="3"/>
      <c r="V767" s="3"/>
    </row>
    <row r="768" spans="2:22" ht="45" customHeight="1">
      <c r="B768" s="3" t="str">
        <f>IFERROR(ROUND(INDEX('PROJETO PERFURAÇÃO'!$AB:$AB,MATCH(MEDIÇÃO!D768,'PROJETO PERFURAÇÃO'!$B:$B,0)),1)&amp;"''","")</f>
        <v/>
      </c>
      <c r="C768" s="3" t="str">
        <f>IFERROR(IF(INDEX('PROJETO PERFURAÇÃO'!$P:$P,MATCH(MEDIÇÃO!D768,'PROJETO PERFURAÇÃO'!$B:$B,0))="Production","P",IF(INDEX('PROJETO PERFURAÇÃO'!$P:$P,MATCH(MEDIÇÃO!D768,'PROJETO PERFURAÇÃO'!$B:$B,0))="Buffer","B",IF(INDEX('PROJETO PERFURAÇÃO'!$P:$P,MATCH(MEDIÇÃO!D768,'PROJETO PERFURAÇÃO'!$B:$B,0))="Pre-Splitting","S"))),"")</f>
        <v/>
      </c>
      <c r="D768" s="14">
        <f t="shared" si="72"/>
        <v>1676</v>
      </c>
      <c r="E768" s="4" t="str">
        <f>IFERROR(INDEX('LEV R&amp;D'!$D:$D,MATCH(MEDIÇÃO!D768,'LEV R&amp;D'!$A:$A,0))-INDEX('PROJETO PERFURAÇÃO'!$AH:$AH,MATCH(MEDIÇÃO!D768,'PROJETO PERFURAÇÃO'!$B:$B,0)),"")</f>
        <v/>
      </c>
      <c r="F768" s="8" t="str">
        <f>IFERROR(INDEX('PROJETO PERFURAÇÃO'!$AN:$AN,MATCH(MEDIÇÃO!D768,'PROJETO PERFURAÇÃO'!$B:$B,0)),"")</f>
        <v/>
      </c>
      <c r="G768" s="3"/>
      <c r="H768" s="3"/>
      <c r="I768" s="3" t="str">
        <f>IFERROR(ROUND(INDEX('PROJETO PERFURAÇÃO'!$AB:$AB,MATCH(MEDIÇÃO!K768,'PROJETO PERFURAÇÃO'!$B:$B,0)),1)&amp;"''","")</f>
        <v/>
      </c>
      <c r="J768" s="3" t="str">
        <f>IFERROR(IF(INDEX('PROJETO PERFURAÇÃO'!$P:$P,MATCH(MEDIÇÃO!K768,'PROJETO PERFURAÇÃO'!$B:$B,0))="Production","P",IF(INDEX('PROJETO PERFURAÇÃO'!$P:$P,MATCH(MEDIÇÃO!K768,'PROJETO PERFURAÇÃO'!$B:$B,0))="Buffer","B",IF(INDEX('PROJETO PERFURAÇÃO'!$P:$P,MATCH(MEDIÇÃO!K768,'PROJETO PERFURAÇÃO'!$B:$B,0))="Pre-Splitting","S"))),"")</f>
        <v/>
      </c>
      <c r="K768" s="14">
        <f t="shared" si="73"/>
        <v>1699</v>
      </c>
      <c r="L768" s="4" t="str">
        <f>IFERROR(INDEX('LEV R&amp;D'!$D:$D,MATCH(MEDIÇÃO!K768,'LEV R&amp;D'!$A:$A,0))-INDEX('PROJETO PERFURAÇÃO'!$AH:$AH,MATCH(MEDIÇÃO!K768,'PROJETO PERFURAÇÃO'!$B:$B,0)),"")</f>
        <v/>
      </c>
      <c r="M768" s="8" t="str">
        <f>IFERROR(INDEX('PROJETO PERFURAÇÃO'!$AN:$AN,MATCH(MEDIÇÃO!K768,'PROJETO PERFURAÇÃO'!$B:$B,0)),"")</f>
        <v/>
      </c>
      <c r="N768" s="3"/>
      <c r="O768" s="3"/>
      <c r="P768" s="3" t="str">
        <f>IFERROR(ROUND(INDEX('PROJETO PERFURAÇÃO'!$AB:$AB,MATCH(MEDIÇÃO!R768,'PROJETO PERFURAÇÃO'!$B:$B,0)),1)&amp;"''","")</f>
        <v/>
      </c>
      <c r="Q768" s="3" t="str">
        <f>IFERROR(IF(INDEX('PROJETO PERFURAÇÃO'!$P:$P,MATCH(MEDIÇÃO!R768,'PROJETO PERFURAÇÃO'!$B:$B,0))="Production","P",IF(INDEX('PROJETO PERFURAÇÃO'!$P:$P,MATCH(MEDIÇÃO!R768,'PROJETO PERFURAÇÃO'!$B:$B,0))="Buffer","B",IF(INDEX('PROJETO PERFURAÇÃO'!$P:$P,MATCH(MEDIÇÃO!R768,'PROJETO PERFURAÇÃO'!$B:$B,0))="Pre-Splitting","S"))),"")</f>
        <v/>
      </c>
      <c r="R768" s="14">
        <f t="shared" si="74"/>
        <v>1722</v>
      </c>
      <c r="S768" s="4" t="str">
        <f>IFERROR(INDEX('LEV R&amp;D'!$D:$D,MATCH(MEDIÇÃO!R768,'LEV R&amp;D'!$A:$A,0))-INDEX('PROJETO PERFURAÇÃO'!$AH:$AH,MATCH(MEDIÇÃO!R768,'PROJETO PERFURAÇÃO'!$B:$B,0)),"")</f>
        <v/>
      </c>
      <c r="T768" s="8" t="str">
        <f>IFERROR(INDEX('PROJETO PERFURAÇÃO'!$AN:$AN,MATCH(MEDIÇÃO!R768,'PROJETO PERFURAÇÃO'!$B:$B,0)),"")</f>
        <v/>
      </c>
      <c r="U768" s="3"/>
      <c r="V768" s="3"/>
    </row>
    <row r="769" spans="1:23" ht="45" customHeight="1">
      <c r="B769" s="3" t="str">
        <f>IFERROR(ROUND(INDEX('PROJETO PERFURAÇÃO'!$AB:$AB,MATCH(MEDIÇÃO!D769,'PROJETO PERFURAÇÃO'!$B:$B,0)),1)&amp;"''","")</f>
        <v/>
      </c>
      <c r="C769" s="3" t="str">
        <f>IFERROR(IF(INDEX('PROJETO PERFURAÇÃO'!$P:$P,MATCH(MEDIÇÃO!D769,'PROJETO PERFURAÇÃO'!$B:$B,0))="Production","P",IF(INDEX('PROJETO PERFURAÇÃO'!$P:$P,MATCH(MEDIÇÃO!D769,'PROJETO PERFURAÇÃO'!$B:$B,0))="Buffer","B",IF(INDEX('PROJETO PERFURAÇÃO'!$P:$P,MATCH(MEDIÇÃO!D769,'PROJETO PERFURAÇÃO'!$B:$B,0))="Pre-Splitting","S"))),"")</f>
        <v/>
      </c>
      <c r="D769" s="14">
        <f t="shared" si="72"/>
        <v>1677</v>
      </c>
      <c r="E769" s="4" t="str">
        <f>IFERROR(INDEX('LEV R&amp;D'!$D:$D,MATCH(MEDIÇÃO!D769,'LEV R&amp;D'!$A:$A,0))-INDEX('PROJETO PERFURAÇÃO'!$AH:$AH,MATCH(MEDIÇÃO!D769,'PROJETO PERFURAÇÃO'!$B:$B,0)),"")</f>
        <v/>
      </c>
      <c r="F769" s="8" t="str">
        <f>IFERROR(INDEX('PROJETO PERFURAÇÃO'!$AN:$AN,MATCH(MEDIÇÃO!D769,'PROJETO PERFURAÇÃO'!$B:$B,0)),"")</f>
        <v/>
      </c>
      <c r="G769" s="3"/>
      <c r="H769" s="3"/>
      <c r="I769" s="3" t="str">
        <f>IFERROR(ROUND(INDEX('PROJETO PERFURAÇÃO'!$AB:$AB,MATCH(MEDIÇÃO!K769,'PROJETO PERFURAÇÃO'!$B:$B,0)),1)&amp;"''","")</f>
        <v/>
      </c>
      <c r="J769" s="3" t="str">
        <f>IFERROR(IF(INDEX('PROJETO PERFURAÇÃO'!$P:$P,MATCH(MEDIÇÃO!K769,'PROJETO PERFURAÇÃO'!$B:$B,0))="Production","P",IF(INDEX('PROJETO PERFURAÇÃO'!$P:$P,MATCH(MEDIÇÃO!K769,'PROJETO PERFURAÇÃO'!$B:$B,0))="Buffer","B",IF(INDEX('PROJETO PERFURAÇÃO'!$P:$P,MATCH(MEDIÇÃO!K769,'PROJETO PERFURAÇÃO'!$B:$B,0))="Pre-Splitting","S"))),"")</f>
        <v/>
      </c>
      <c r="K769" s="14">
        <f t="shared" si="73"/>
        <v>1700</v>
      </c>
      <c r="L769" s="4" t="str">
        <f>IFERROR(INDEX('LEV R&amp;D'!$D:$D,MATCH(MEDIÇÃO!K769,'LEV R&amp;D'!$A:$A,0))-INDEX('PROJETO PERFURAÇÃO'!$AH:$AH,MATCH(MEDIÇÃO!K769,'PROJETO PERFURAÇÃO'!$B:$B,0)),"")</f>
        <v/>
      </c>
      <c r="M769" s="8" t="str">
        <f>IFERROR(INDEX('PROJETO PERFURAÇÃO'!$AN:$AN,MATCH(MEDIÇÃO!K769,'PROJETO PERFURAÇÃO'!$B:$B,0)),"")</f>
        <v/>
      </c>
      <c r="N769" s="3"/>
      <c r="O769" s="3"/>
      <c r="P769" s="3" t="str">
        <f>IFERROR(ROUND(INDEX('PROJETO PERFURAÇÃO'!$AB:$AB,MATCH(MEDIÇÃO!R769,'PROJETO PERFURAÇÃO'!$B:$B,0)),1)&amp;"''","")</f>
        <v/>
      </c>
      <c r="Q769" s="3" t="str">
        <f>IFERROR(IF(INDEX('PROJETO PERFURAÇÃO'!$P:$P,MATCH(MEDIÇÃO!R769,'PROJETO PERFURAÇÃO'!$B:$B,0))="Production","P",IF(INDEX('PROJETO PERFURAÇÃO'!$P:$P,MATCH(MEDIÇÃO!R769,'PROJETO PERFURAÇÃO'!$B:$B,0))="Buffer","B",IF(INDEX('PROJETO PERFURAÇÃO'!$P:$P,MATCH(MEDIÇÃO!R769,'PROJETO PERFURAÇÃO'!$B:$B,0))="Pre-Splitting","S"))),"")</f>
        <v/>
      </c>
      <c r="R769" s="14">
        <f t="shared" si="74"/>
        <v>1723</v>
      </c>
      <c r="S769" s="4" t="str">
        <f>IFERROR(INDEX('LEV R&amp;D'!$D:$D,MATCH(MEDIÇÃO!R769,'LEV R&amp;D'!$A:$A,0))-INDEX('PROJETO PERFURAÇÃO'!$AH:$AH,MATCH(MEDIÇÃO!R769,'PROJETO PERFURAÇÃO'!$B:$B,0)),"")</f>
        <v/>
      </c>
      <c r="T769" s="8" t="str">
        <f>IFERROR(INDEX('PROJETO PERFURAÇÃO'!$AN:$AN,MATCH(MEDIÇÃO!R769,'PROJETO PERFURAÇÃO'!$B:$B,0)),"")</f>
        <v/>
      </c>
      <c r="U769" s="3"/>
      <c r="V769" s="3"/>
    </row>
    <row r="770" spans="1:23" ht="45" customHeight="1">
      <c r="B770" s="3" t="str">
        <f>IFERROR(ROUND(INDEX('PROJETO PERFURAÇÃO'!$AB:$AB,MATCH(MEDIÇÃO!D770,'PROJETO PERFURAÇÃO'!$B:$B,0)),1)&amp;"''","")</f>
        <v/>
      </c>
      <c r="C770" s="3" t="str">
        <f>IFERROR(IF(INDEX('PROJETO PERFURAÇÃO'!$P:$P,MATCH(MEDIÇÃO!D770,'PROJETO PERFURAÇÃO'!$B:$B,0))="Production","P",IF(INDEX('PROJETO PERFURAÇÃO'!$P:$P,MATCH(MEDIÇÃO!D770,'PROJETO PERFURAÇÃO'!$B:$B,0))="Buffer","B",IF(INDEX('PROJETO PERFURAÇÃO'!$P:$P,MATCH(MEDIÇÃO!D770,'PROJETO PERFURAÇÃO'!$B:$B,0))="Pre-Splitting","S"))),"")</f>
        <v/>
      </c>
      <c r="D770" s="14">
        <f t="shared" si="72"/>
        <v>1678</v>
      </c>
      <c r="E770" s="4" t="str">
        <f>IFERROR(INDEX('LEV R&amp;D'!$D:$D,MATCH(MEDIÇÃO!D770,'LEV R&amp;D'!$A:$A,0))-INDEX('PROJETO PERFURAÇÃO'!$AH:$AH,MATCH(MEDIÇÃO!D770,'PROJETO PERFURAÇÃO'!$B:$B,0)),"")</f>
        <v/>
      </c>
      <c r="F770" s="8" t="str">
        <f>IFERROR(INDEX('PROJETO PERFURAÇÃO'!$AN:$AN,MATCH(MEDIÇÃO!D770,'PROJETO PERFURAÇÃO'!$B:$B,0)),"")</f>
        <v/>
      </c>
      <c r="G770" s="3"/>
      <c r="H770" s="3"/>
      <c r="I770" s="3" t="str">
        <f>IFERROR(ROUND(INDEX('PROJETO PERFURAÇÃO'!$AB:$AB,MATCH(MEDIÇÃO!K770,'PROJETO PERFURAÇÃO'!$B:$B,0)),1)&amp;"''","")</f>
        <v/>
      </c>
      <c r="J770" s="3" t="str">
        <f>IFERROR(IF(INDEX('PROJETO PERFURAÇÃO'!$P:$P,MATCH(MEDIÇÃO!K770,'PROJETO PERFURAÇÃO'!$B:$B,0))="Production","P",IF(INDEX('PROJETO PERFURAÇÃO'!$P:$P,MATCH(MEDIÇÃO!K770,'PROJETO PERFURAÇÃO'!$B:$B,0))="Buffer","B",IF(INDEX('PROJETO PERFURAÇÃO'!$P:$P,MATCH(MEDIÇÃO!K770,'PROJETO PERFURAÇÃO'!$B:$B,0))="Pre-Splitting","S"))),"")</f>
        <v/>
      </c>
      <c r="K770" s="14">
        <f t="shared" si="73"/>
        <v>1701</v>
      </c>
      <c r="L770" s="4" t="str">
        <f>IFERROR(INDEX('LEV R&amp;D'!$D:$D,MATCH(MEDIÇÃO!K770,'LEV R&amp;D'!$A:$A,0))-INDEX('PROJETO PERFURAÇÃO'!$AH:$AH,MATCH(MEDIÇÃO!K770,'PROJETO PERFURAÇÃO'!$B:$B,0)),"")</f>
        <v/>
      </c>
      <c r="M770" s="8" t="str">
        <f>IFERROR(INDEX('PROJETO PERFURAÇÃO'!$AN:$AN,MATCH(MEDIÇÃO!K770,'PROJETO PERFURAÇÃO'!$B:$B,0)),"")</f>
        <v/>
      </c>
      <c r="N770" s="3"/>
      <c r="O770" s="3"/>
      <c r="P770" s="3" t="str">
        <f>IFERROR(ROUND(INDEX('PROJETO PERFURAÇÃO'!$AB:$AB,MATCH(MEDIÇÃO!R770,'PROJETO PERFURAÇÃO'!$B:$B,0)),1)&amp;"''","")</f>
        <v/>
      </c>
      <c r="Q770" s="3" t="str">
        <f>IFERROR(IF(INDEX('PROJETO PERFURAÇÃO'!$P:$P,MATCH(MEDIÇÃO!R770,'PROJETO PERFURAÇÃO'!$B:$B,0))="Production","P",IF(INDEX('PROJETO PERFURAÇÃO'!$P:$P,MATCH(MEDIÇÃO!R770,'PROJETO PERFURAÇÃO'!$B:$B,0))="Buffer","B",IF(INDEX('PROJETO PERFURAÇÃO'!$P:$P,MATCH(MEDIÇÃO!R770,'PROJETO PERFURAÇÃO'!$B:$B,0))="Pre-Splitting","S"))),"")</f>
        <v/>
      </c>
      <c r="R770" s="14">
        <f t="shared" si="74"/>
        <v>1724</v>
      </c>
      <c r="S770" s="4" t="str">
        <f>IFERROR(INDEX('LEV R&amp;D'!$D:$D,MATCH(MEDIÇÃO!R770,'LEV R&amp;D'!$A:$A,0))-INDEX('PROJETO PERFURAÇÃO'!$AH:$AH,MATCH(MEDIÇÃO!R770,'PROJETO PERFURAÇÃO'!$B:$B,0)),"")</f>
        <v/>
      </c>
      <c r="T770" s="8" t="str">
        <f>IFERROR(INDEX('PROJETO PERFURAÇÃO'!$AN:$AN,MATCH(MEDIÇÃO!R770,'PROJETO PERFURAÇÃO'!$B:$B,0)),"")</f>
        <v/>
      </c>
      <c r="U770" s="3"/>
      <c r="V770" s="3"/>
    </row>
    <row r="771" spans="1:23" ht="45" customHeight="1">
      <c r="B771" s="3" t="str">
        <f>IFERROR(ROUND(INDEX('PROJETO PERFURAÇÃO'!$AB:$AB,MATCH(MEDIÇÃO!D771,'PROJETO PERFURAÇÃO'!$B:$B,0)),1)&amp;"''","")</f>
        <v/>
      </c>
      <c r="C771" s="3" t="str">
        <f>IFERROR(IF(INDEX('PROJETO PERFURAÇÃO'!$P:$P,MATCH(MEDIÇÃO!D771,'PROJETO PERFURAÇÃO'!$B:$B,0))="Production","P",IF(INDEX('PROJETO PERFURAÇÃO'!$P:$P,MATCH(MEDIÇÃO!D771,'PROJETO PERFURAÇÃO'!$B:$B,0))="Buffer","B",IF(INDEX('PROJETO PERFURAÇÃO'!$P:$P,MATCH(MEDIÇÃO!D771,'PROJETO PERFURAÇÃO'!$B:$B,0))="Pre-Splitting","S"))),"")</f>
        <v/>
      </c>
      <c r="D771" s="14">
        <f t="shared" si="72"/>
        <v>1679</v>
      </c>
      <c r="E771" s="4" t="str">
        <f>IFERROR(INDEX('LEV R&amp;D'!$D:$D,MATCH(MEDIÇÃO!D771,'LEV R&amp;D'!$A:$A,0))-INDEX('PROJETO PERFURAÇÃO'!$AH:$AH,MATCH(MEDIÇÃO!D771,'PROJETO PERFURAÇÃO'!$B:$B,0)),"")</f>
        <v/>
      </c>
      <c r="F771" s="8" t="str">
        <f>IFERROR(INDEX('PROJETO PERFURAÇÃO'!$AN:$AN,MATCH(MEDIÇÃO!D771,'PROJETO PERFURAÇÃO'!$B:$B,0)),"")</f>
        <v/>
      </c>
      <c r="G771" s="3"/>
      <c r="H771" s="3"/>
      <c r="I771" s="3" t="str">
        <f>IFERROR(ROUND(INDEX('PROJETO PERFURAÇÃO'!$AB:$AB,MATCH(MEDIÇÃO!K771,'PROJETO PERFURAÇÃO'!$B:$B,0)),1)&amp;"''","")</f>
        <v/>
      </c>
      <c r="J771" s="3" t="str">
        <f>IFERROR(IF(INDEX('PROJETO PERFURAÇÃO'!$P:$P,MATCH(MEDIÇÃO!K771,'PROJETO PERFURAÇÃO'!$B:$B,0))="Production","P",IF(INDEX('PROJETO PERFURAÇÃO'!$P:$P,MATCH(MEDIÇÃO!K771,'PROJETO PERFURAÇÃO'!$B:$B,0))="Buffer","B",IF(INDEX('PROJETO PERFURAÇÃO'!$P:$P,MATCH(MEDIÇÃO!K771,'PROJETO PERFURAÇÃO'!$B:$B,0))="Pre-Splitting","S"))),"")</f>
        <v/>
      </c>
      <c r="K771" s="14">
        <f>K770+1</f>
        <v>1702</v>
      </c>
      <c r="L771" s="4" t="str">
        <f>IFERROR(INDEX('LEV R&amp;D'!$D:$D,MATCH(MEDIÇÃO!K771,'LEV R&amp;D'!$A:$A,0))-INDEX('PROJETO PERFURAÇÃO'!$AH:$AH,MATCH(MEDIÇÃO!K771,'PROJETO PERFURAÇÃO'!$B:$B,0)),"")</f>
        <v/>
      </c>
      <c r="M771" s="8" t="str">
        <f>IFERROR(INDEX('PROJETO PERFURAÇÃO'!$AN:$AN,MATCH(MEDIÇÃO!K771,'PROJETO PERFURAÇÃO'!$B:$B,0)),"")</f>
        <v/>
      </c>
      <c r="N771" s="3"/>
      <c r="O771" s="3"/>
      <c r="P771" s="3" t="str">
        <f>IFERROR(ROUND(INDEX('PROJETO PERFURAÇÃO'!$AB:$AB,MATCH(MEDIÇÃO!R771,'PROJETO PERFURAÇÃO'!$B:$B,0)),1)&amp;"''","")</f>
        <v/>
      </c>
      <c r="Q771" s="3" t="str">
        <f>IFERROR(IF(INDEX('PROJETO PERFURAÇÃO'!$P:$P,MATCH(MEDIÇÃO!R771,'PROJETO PERFURAÇÃO'!$B:$B,0))="Production","P",IF(INDEX('PROJETO PERFURAÇÃO'!$P:$P,MATCH(MEDIÇÃO!R771,'PROJETO PERFURAÇÃO'!$B:$B,0))="Buffer","B",IF(INDEX('PROJETO PERFURAÇÃO'!$P:$P,MATCH(MEDIÇÃO!R771,'PROJETO PERFURAÇÃO'!$B:$B,0))="Pre-Splitting","S"))),"")</f>
        <v/>
      </c>
      <c r="R771" s="14">
        <f>R770+1</f>
        <v>1725</v>
      </c>
      <c r="S771" s="4" t="str">
        <f>IFERROR(INDEX('LEV R&amp;D'!$D:$D,MATCH(MEDIÇÃO!R771,'LEV R&amp;D'!$A:$A,0))-INDEX('PROJETO PERFURAÇÃO'!$AH:$AH,MATCH(MEDIÇÃO!R771,'PROJETO PERFURAÇÃO'!$B:$B,0)),"")</f>
        <v/>
      </c>
      <c r="T771" s="8" t="str">
        <f>IFERROR(INDEX('PROJETO PERFURAÇÃO'!$AN:$AN,MATCH(MEDIÇÃO!R771,'PROJETO PERFURAÇÃO'!$B:$B,0)),"")</f>
        <v/>
      </c>
      <c r="U771" s="3"/>
      <c r="V771" s="3"/>
    </row>
    <row r="772" spans="1:23" ht="30" customHeight="1">
      <c r="B772" s="1"/>
      <c r="C772" s="1"/>
      <c r="D772" s="15"/>
      <c r="E772" s="2"/>
      <c r="F772" s="16"/>
      <c r="G772" s="1"/>
      <c r="H772" s="1"/>
      <c r="I772" s="1"/>
      <c r="J772" s="1"/>
      <c r="K772" s="15"/>
      <c r="L772" s="2"/>
      <c r="M772" s="16"/>
      <c r="N772" s="1"/>
      <c r="O772" s="1"/>
      <c r="P772" s="1"/>
      <c r="Q772" s="1"/>
      <c r="R772" s="15"/>
      <c r="S772" s="2"/>
      <c r="T772" s="16"/>
      <c r="U772" s="1"/>
      <c r="V772" s="1"/>
    </row>
    <row r="773" spans="1:23" ht="30" customHeight="1">
      <c r="C773" s="20"/>
      <c r="D773" s="20"/>
      <c r="E773" s="20"/>
      <c r="F773" s="20"/>
      <c r="G773" s="20"/>
      <c r="H773" s="20"/>
      <c r="I773" s="20"/>
      <c r="J773" s="20"/>
      <c r="K773" s="20"/>
      <c r="M773" s="20"/>
      <c r="N773" s="20"/>
      <c r="O773" s="20"/>
      <c r="P773" s="20"/>
      <c r="Q773" s="20"/>
      <c r="R773" s="20"/>
      <c r="S773" s="20"/>
      <c r="T773" s="20"/>
      <c r="U773" s="20"/>
    </row>
    <row r="774" spans="1:23" ht="30" customHeight="1">
      <c r="C774" s="21" t="s">
        <v>40</v>
      </c>
      <c r="D774" s="21"/>
      <c r="E774" s="21"/>
      <c r="F774" s="21"/>
      <c r="G774" s="21"/>
      <c r="H774" s="21"/>
      <c r="I774" s="21"/>
      <c r="J774" s="21"/>
      <c r="K774" s="21"/>
      <c r="L774" s="9"/>
      <c r="M774" s="21" t="s">
        <v>40</v>
      </c>
      <c r="N774" s="21"/>
      <c r="O774" s="21"/>
      <c r="P774" s="21"/>
      <c r="Q774" s="21"/>
      <c r="R774" s="21"/>
      <c r="S774" s="21"/>
      <c r="T774" s="21"/>
      <c r="U774" s="21"/>
      <c r="V774" s="9"/>
    </row>
    <row r="775" spans="1:23" ht="30" customHeight="1">
      <c r="D775" s="9"/>
      <c r="E775" s="9"/>
      <c r="F775" s="9"/>
      <c r="G775" s="9"/>
      <c r="H775" s="9"/>
      <c r="I775" s="9"/>
      <c r="J775" s="9"/>
      <c r="K775" s="9"/>
      <c r="L775" s="9"/>
      <c r="M775" s="9"/>
      <c r="N775" s="9"/>
      <c r="Q775" s="9"/>
      <c r="R775" s="9"/>
      <c r="S775" s="9"/>
      <c r="T775" s="9"/>
      <c r="U775" s="9"/>
      <c r="V775" s="9"/>
    </row>
    <row r="776" spans="1:23" ht="30" customHeight="1">
      <c r="B776" s="19" t="str">
        <f>'PROJETO PERFURAÇÃO'!$C$2&amp;" - "&amp;'PROJETO PERFURAÇÃO'!$H$2</f>
        <v>LIB037 - PP0370626</v>
      </c>
      <c r="C776" s="19"/>
      <c r="D776" s="19"/>
      <c r="E776" s="19"/>
      <c r="F776" s="19"/>
      <c r="G776" s="19"/>
      <c r="H776" s="19"/>
      <c r="I776" s="11" t="s">
        <v>34</v>
      </c>
      <c r="J776" s="10" t="s">
        <v>37</v>
      </c>
    </row>
    <row r="777" spans="1:23" ht="30" customHeight="1">
      <c r="B777" s="19"/>
      <c r="C777" s="19"/>
      <c r="D777" s="19"/>
      <c r="E777" s="19"/>
      <c r="F777" s="19"/>
      <c r="G777" s="19"/>
      <c r="H777" s="19"/>
      <c r="I777" s="12" t="s">
        <v>35</v>
      </c>
      <c r="J777" s="10" t="s">
        <v>38</v>
      </c>
      <c r="K777" s="9"/>
      <c r="L777" s="9"/>
      <c r="M777" s="9"/>
      <c r="N777" s="9"/>
      <c r="O777" s="9"/>
      <c r="P777" s="9"/>
      <c r="Q777" s="9"/>
      <c r="R777" s="9"/>
      <c r="S777" s="9"/>
      <c r="T777" s="9"/>
      <c r="U777" s="9"/>
      <c r="V777" s="9"/>
    </row>
    <row r="778" spans="1:23" ht="30" customHeight="1">
      <c r="B778" s="19"/>
      <c r="C778" s="19"/>
      <c r="D778" s="19"/>
      <c r="E778" s="19"/>
      <c r="F778" s="19"/>
      <c r="G778" s="19"/>
      <c r="H778" s="19"/>
      <c r="I778" s="13" t="s">
        <v>36</v>
      </c>
      <c r="J778" s="10" t="s">
        <v>39</v>
      </c>
    </row>
    <row r="779" spans="1:23" ht="30" customHeight="1">
      <c r="A779" s="1"/>
      <c r="B779" s="6" t="s">
        <v>33</v>
      </c>
      <c r="C779" s="6" t="s">
        <v>13</v>
      </c>
      <c r="D779" s="7" t="s">
        <v>1</v>
      </c>
      <c r="E779" s="7" t="s">
        <v>29</v>
      </c>
      <c r="F779" s="7" t="s">
        <v>30</v>
      </c>
      <c r="G779" s="7" t="s">
        <v>31</v>
      </c>
      <c r="H779" s="7" t="s">
        <v>32</v>
      </c>
      <c r="I779" s="6" t="s">
        <v>33</v>
      </c>
      <c r="J779" s="6" t="s">
        <v>13</v>
      </c>
      <c r="K779" s="7" t="s">
        <v>1</v>
      </c>
      <c r="L779" s="7" t="s">
        <v>29</v>
      </c>
      <c r="M779" s="7" t="s">
        <v>30</v>
      </c>
      <c r="N779" s="7" t="s">
        <v>31</v>
      </c>
      <c r="O779" s="7" t="s">
        <v>32</v>
      </c>
      <c r="P779" s="6" t="s">
        <v>33</v>
      </c>
      <c r="Q779" s="6" t="s">
        <v>13</v>
      </c>
      <c r="R779" s="7" t="s">
        <v>1</v>
      </c>
      <c r="S779" s="7" t="s">
        <v>29</v>
      </c>
      <c r="T779" s="7" t="s">
        <v>30</v>
      </c>
      <c r="U779" s="7" t="s">
        <v>31</v>
      </c>
      <c r="V779" s="7" t="s">
        <v>32</v>
      </c>
      <c r="W779" s="1"/>
    </row>
    <row r="780" spans="1:23" ht="45" customHeight="1">
      <c r="B780" s="3" t="str">
        <f>IFERROR(ROUND(INDEX('PROJETO PERFURAÇÃO'!$AB:$AB,MATCH(MEDIÇÃO!D780,'PROJETO PERFURAÇÃO'!$B:$B,0)),1)&amp;"''","")</f>
        <v/>
      </c>
      <c r="C780" s="3" t="str">
        <f>IFERROR(IF(INDEX('PROJETO PERFURAÇÃO'!$P:$P,MATCH(MEDIÇÃO!D780,'PROJETO PERFURAÇÃO'!$B:$B,0))="Production","P",IF(INDEX('PROJETO PERFURAÇÃO'!$P:$P,MATCH(MEDIÇÃO!D780,'PROJETO PERFURAÇÃO'!$B:$B,0))="Buffer","B",IF(INDEX('PROJETO PERFURAÇÃO'!$P:$P,MATCH(MEDIÇÃO!D780,'PROJETO PERFURAÇÃO'!$B:$B,0))="Pre-Splitting","S"))),"")</f>
        <v/>
      </c>
      <c r="D780" s="14">
        <f>R771+1</f>
        <v>1726</v>
      </c>
      <c r="E780" s="4" t="str">
        <f>IFERROR(INDEX('LEV R&amp;D'!$D:$D,MATCH(MEDIÇÃO!D780,'LEV R&amp;D'!$A:$A,0))-INDEX('PROJETO PERFURAÇÃO'!$AH:$AH,MATCH(MEDIÇÃO!D780,'PROJETO PERFURAÇÃO'!$B:$B,0)),"")</f>
        <v/>
      </c>
      <c r="F780" s="8" t="str">
        <f>IFERROR(INDEX('PROJETO PERFURAÇÃO'!$AN:$AN,MATCH(MEDIÇÃO!D780,'PROJETO PERFURAÇÃO'!$B:$B,0)),"")</f>
        <v/>
      </c>
      <c r="G780" s="3"/>
      <c r="H780" s="3"/>
      <c r="I780" s="3" t="str">
        <f>IFERROR(ROUND(INDEX('PROJETO PERFURAÇÃO'!$AB:$AB,MATCH(MEDIÇÃO!K780,'PROJETO PERFURAÇÃO'!$B:$B,0)),1)&amp;"''","")</f>
        <v/>
      </c>
      <c r="J780" s="3" t="str">
        <f>IFERROR(IF(INDEX('PROJETO PERFURAÇÃO'!$P:$P,MATCH(MEDIÇÃO!K780,'PROJETO PERFURAÇÃO'!$B:$B,0))="Production","P",IF(INDEX('PROJETO PERFURAÇÃO'!$P:$P,MATCH(MEDIÇÃO!K780,'PROJETO PERFURAÇÃO'!$B:$B,0))="Buffer","B",IF(INDEX('PROJETO PERFURAÇÃO'!$P:$P,MATCH(MEDIÇÃO!K780,'PROJETO PERFURAÇÃO'!$B:$B,0))="Pre-Splitting","S"))),"")</f>
        <v/>
      </c>
      <c r="K780" s="14">
        <f>D802+1</f>
        <v>1749</v>
      </c>
      <c r="L780" s="4" t="str">
        <f>IFERROR(INDEX('LEV R&amp;D'!$D:$D,MATCH(MEDIÇÃO!K780,'LEV R&amp;D'!$A:$A,0))-INDEX('PROJETO PERFURAÇÃO'!$AH:$AH,MATCH(MEDIÇÃO!K780,'PROJETO PERFURAÇÃO'!$B:$B,0)),"")</f>
        <v/>
      </c>
      <c r="M780" s="8" t="str">
        <f>IFERROR(INDEX('PROJETO PERFURAÇÃO'!$AN:$AN,MATCH(MEDIÇÃO!K780,'PROJETO PERFURAÇÃO'!$B:$B,0)),"")</f>
        <v/>
      </c>
      <c r="N780" s="3"/>
      <c r="O780" s="3"/>
      <c r="P780" s="3" t="str">
        <f>IFERROR(ROUND(INDEX('PROJETO PERFURAÇÃO'!$AB:$AB,MATCH(MEDIÇÃO!R780,'PROJETO PERFURAÇÃO'!$B:$B,0)),1)&amp;"''","")</f>
        <v/>
      </c>
      <c r="Q780" s="3" t="str">
        <f>IFERROR(IF(INDEX('PROJETO PERFURAÇÃO'!$P:$P,MATCH(MEDIÇÃO!R780,'PROJETO PERFURAÇÃO'!$B:$B,0))="Production","P",IF(INDEX('PROJETO PERFURAÇÃO'!$P:$P,MATCH(MEDIÇÃO!R780,'PROJETO PERFURAÇÃO'!$B:$B,0))="Buffer","B",IF(INDEX('PROJETO PERFURAÇÃO'!$P:$P,MATCH(MEDIÇÃO!R780,'PROJETO PERFURAÇÃO'!$B:$B,0))="Pre-Splitting","S"))),"")</f>
        <v/>
      </c>
      <c r="R780" s="14">
        <f>K802+1</f>
        <v>1772</v>
      </c>
      <c r="S780" s="4" t="str">
        <f>IFERROR(INDEX('LEV R&amp;D'!$D:$D,MATCH(MEDIÇÃO!R780,'LEV R&amp;D'!$A:$A,0))-INDEX('PROJETO PERFURAÇÃO'!$AH:$AH,MATCH(MEDIÇÃO!R780,'PROJETO PERFURAÇÃO'!$B:$B,0)),"")</f>
        <v/>
      </c>
      <c r="T780" s="8" t="str">
        <f>IFERROR(INDEX('PROJETO PERFURAÇÃO'!$AN:$AN,MATCH(MEDIÇÃO!R780,'PROJETO PERFURAÇÃO'!$B:$B,0)),"")</f>
        <v/>
      </c>
      <c r="U780" s="3"/>
      <c r="V780" s="3"/>
    </row>
    <row r="781" spans="1:23" ht="45" customHeight="1">
      <c r="B781" s="3" t="str">
        <f>IFERROR(ROUND(INDEX('PROJETO PERFURAÇÃO'!$AB:$AB,MATCH(MEDIÇÃO!D781,'PROJETO PERFURAÇÃO'!$B:$B,0)),1)&amp;"''","")</f>
        <v/>
      </c>
      <c r="C781" s="3" t="str">
        <f>IFERROR(IF(INDEX('PROJETO PERFURAÇÃO'!$P:$P,MATCH(MEDIÇÃO!D781,'PROJETO PERFURAÇÃO'!$B:$B,0))="Production","P",IF(INDEX('PROJETO PERFURAÇÃO'!$P:$P,MATCH(MEDIÇÃO!D781,'PROJETO PERFURAÇÃO'!$B:$B,0))="Buffer","B",IF(INDEX('PROJETO PERFURAÇÃO'!$P:$P,MATCH(MEDIÇÃO!D781,'PROJETO PERFURAÇÃO'!$B:$B,0))="Pre-Splitting","S"))),"")</f>
        <v/>
      </c>
      <c r="D781" s="14">
        <f>D780+1</f>
        <v>1727</v>
      </c>
      <c r="E781" s="4" t="str">
        <f>IFERROR(INDEX('LEV R&amp;D'!$D:$D,MATCH(MEDIÇÃO!D781,'LEV R&amp;D'!$A:$A,0))-INDEX('PROJETO PERFURAÇÃO'!$AH:$AH,MATCH(MEDIÇÃO!D781,'PROJETO PERFURAÇÃO'!$B:$B,0)),"")</f>
        <v/>
      </c>
      <c r="F781" s="8" t="str">
        <f>IFERROR(INDEX('PROJETO PERFURAÇÃO'!$AN:$AN,MATCH(MEDIÇÃO!D781,'PROJETO PERFURAÇÃO'!$B:$B,0)),"")</f>
        <v/>
      </c>
      <c r="G781" s="3"/>
      <c r="H781" s="3"/>
      <c r="I781" s="3" t="str">
        <f>IFERROR(ROUND(INDEX('PROJETO PERFURAÇÃO'!$AB:$AB,MATCH(MEDIÇÃO!K781,'PROJETO PERFURAÇÃO'!$B:$B,0)),1)&amp;"''","")</f>
        <v/>
      </c>
      <c r="J781" s="3" t="str">
        <f>IFERROR(IF(INDEX('PROJETO PERFURAÇÃO'!$P:$P,MATCH(MEDIÇÃO!K781,'PROJETO PERFURAÇÃO'!$B:$B,0))="Production","P",IF(INDEX('PROJETO PERFURAÇÃO'!$P:$P,MATCH(MEDIÇÃO!K781,'PROJETO PERFURAÇÃO'!$B:$B,0))="Buffer","B",IF(INDEX('PROJETO PERFURAÇÃO'!$P:$P,MATCH(MEDIÇÃO!K781,'PROJETO PERFURAÇÃO'!$B:$B,0))="Pre-Splitting","S"))),"")</f>
        <v/>
      </c>
      <c r="K781" s="14">
        <f>K780+1</f>
        <v>1750</v>
      </c>
      <c r="L781" s="4" t="str">
        <f>IFERROR(INDEX('LEV R&amp;D'!$D:$D,MATCH(MEDIÇÃO!K781,'LEV R&amp;D'!$A:$A,0))-INDEX('PROJETO PERFURAÇÃO'!$AH:$AH,MATCH(MEDIÇÃO!K781,'PROJETO PERFURAÇÃO'!$B:$B,0)),"")</f>
        <v/>
      </c>
      <c r="M781" s="8" t="str">
        <f>IFERROR(INDEX('PROJETO PERFURAÇÃO'!$AN:$AN,MATCH(MEDIÇÃO!K781,'PROJETO PERFURAÇÃO'!$B:$B,0)),"")</f>
        <v/>
      </c>
      <c r="N781" s="3"/>
      <c r="O781" s="3"/>
      <c r="P781" s="3" t="str">
        <f>IFERROR(ROUND(INDEX('PROJETO PERFURAÇÃO'!$AB:$AB,MATCH(MEDIÇÃO!R781,'PROJETO PERFURAÇÃO'!$B:$B,0)),1)&amp;"''","")</f>
        <v/>
      </c>
      <c r="Q781" s="3" t="str">
        <f>IFERROR(IF(INDEX('PROJETO PERFURAÇÃO'!$P:$P,MATCH(MEDIÇÃO!R781,'PROJETO PERFURAÇÃO'!$B:$B,0))="Production","P",IF(INDEX('PROJETO PERFURAÇÃO'!$P:$P,MATCH(MEDIÇÃO!R781,'PROJETO PERFURAÇÃO'!$B:$B,0))="Buffer","B",IF(INDEX('PROJETO PERFURAÇÃO'!$P:$P,MATCH(MEDIÇÃO!R781,'PROJETO PERFURAÇÃO'!$B:$B,0))="Pre-Splitting","S"))),"")</f>
        <v/>
      </c>
      <c r="R781" s="14">
        <f>R780+1</f>
        <v>1773</v>
      </c>
      <c r="S781" s="4" t="str">
        <f>IFERROR(INDEX('LEV R&amp;D'!$D:$D,MATCH(MEDIÇÃO!R781,'LEV R&amp;D'!$A:$A,0))-INDEX('PROJETO PERFURAÇÃO'!$AH:$AH,MATCH(MEDIÇÃO!R781,'PROJETO PERFURAÇÃO'!$B:$B,0)),"")</f>
        <v/>
      </c>
      <c r="T781" s="8" t="str">
        <f>IFERROR(INDEX('PROJETO PERFURAÇÃO'!$AN:$AN,MATCH(MEDIÇÃO!R781,'PROJETO PERFURAÇÃO'!$B:$B,0)),"")</f>
        <v/>
      </c>
      <c r="U781" s="3"/>
      <c r="V781" s="3"/>
    </row>
    <row r="782" spans="1:23" ht="45" customHeight="1">
      <c r="B782" s="3" t="str">
        <f>IFERROR(ROUND(INDEX('PROJETO PERFURAÇÃO'!$AB:$AB,MATCH(MEDIÇÃO!D782,'PROJETO PERFURAÇÃO'!$B:$B,0)),1)&amp;"''","")</f>
        <v/>
      </c>
      <c r="C782" s="3" t="str">
        <f>IFERROR(IF(INDEX('PROJETO PERFURAÇÃO'!$P:$P,MATCH(MEDIÇÃO!D782,'PROJETO PERFURAÇÃO'!$B:$B,0))="Production","P",IF(INDEX('PROJETO PERFURAÇÃO'!$P:$P,MATCH(MEDIÇÃO!D782,'PROJETO PERFURAÇÃO'!$B:$B,0))="Buffer","B",IF(INDEX('PROJETO PERFURAÇÃO'!$P:$P,MATCH(MEDIÇÃO!D782,'PROJETO PERFURAÇÃO'!$B:$B,0))="Pre-Splitting","S"))),"")</f>
        <v/>
      </c>
      <c r="D782" s="14">
        <f t="shared" ref="D782:D802" si="75">D781+1</f>
        <v>1728</v>
      </c>
      <c r="E782" s="4" t="str">
        <f>IFERROR(INDEX('LEV R&amp;D'!$D:$D,MATCH(MEDIÇÃO!D782,'LEV R&amp;D'!$A:$A,0))-INDEX('PROJETO PERFURAÇÃO'!$AH:$AH,MATCH(MEDIÇÃO!D782,'PROJETO PERFURAÇÃO'!$B:$B,0)),"")</f>
        <v/>
      </c>
      <c r="F782" s="8" t="str">
        <f>IFERROR(INDEX('PROJETO PERFURAÇÃO'!$AN:$AN,MATCH(MEDIÇÃO!D782,'PROJETO PERFURAÇÃO'!$B:$B,0)),"")</f>
        <v/>
      </c>
      <c r="G782" s="3"/>
      <c r="H782" s="3"/>
      <c r="I782" s="3" t="str">
        <f>IFERROR(ROUND(INDEX('PROJETO PERFURAÇÃO'!$AB:$AB,MATCH(MEDIÇÃO!K782,'PROJETO PERFURAÇÃO'!$B:$B,0)),1)&amp;"''","")</f>
        <v/>
      </c>
      <c r="J782" s="3" t="str">
        <f>IFERROR(IF(INDEX('PROJETO PERFURAÇÃO'!$P:$P,MATCH(MEDIÇÃO!K782,'PROJETO PERFURAÇÃO'!$B:$B,0))="Production","P",IF(INDEX('PROJETO PERFURAÇÃO'!$P:$P,MATCH(MEDIÇÃO!K782,'PROJETO PERFURAÇÃO'!$B:$B,0))="Buffer","B",IF(INDEX('PROJETO PERFURAÇÃO'!$P:$P,MATCH(MEDIÇÃO!K782,'PROJETO PERFURAÇÃO'!$B:$B,0))="Pre-Splitting","S"))),"")</f>
        <v/>
      </c>
      <c r="K782" s="14">
        <f t="shared" ref="K782:K801" si="76">K781+1</f>
        <v>1751</v>
      </c>
      <c r="L782" s="4" t="str">
        <f>IFERROR(INDEX('LEV R&amp;D'!$D:$D,MATCH(MEDIÇÃO!K782,'LEV R&amp;D'!$A:$A,0))-INDEX('PROJETO PERFURAÇÃO'!$AH:$AH,MATCH(MEDIÇÃO!K782,'PROJETO PERFURAÇÃO'!$B:$B,0)),"")</f>
        <v/>
      </c>
      <c r="M782" s="8" t="str">
        <f>IFERROR(INDEX('PROJETO PERFURAÇÃO'!$AN:$AN,MATCH(MEDIÇÃO!K782,'PROJETO PERFURAÇÃO'!$B:$B,0)),"")</f>
        <v/>
      </c>
      <c r="N782" s="3"/>
      <c r="O782" s="3"/>
      <c r="P782" s="3" t="str">
        <f>IFERROR(ROUND(INDEX('PROJETO PERFURAÇÃO'!$AB:$AB,MATCH(MEDIÇÃO!R782,'PROJETO PERFURAÇÃO'!$B:$B,0)),1)&amp;"''","")</f>
        <v/>
      </c>
      <c r="Q782" s="3" t="str">
        <f>IFERROR(IF(INDEX('PROJETO PERFURAÇÃO'!$P:$P,MATCH(MEDIÇÃO!R782,'PROJETO PERFURAÇÃO'!$B:$B,0))="Production","P",IF(INDEX('PROJETO PERFURAÇÃO'!$P:$P,MATCH(MEDIÇÃO!R782,'PROJETO PERFURAÇÃO'!$B:$B,0))="Buffer","B",IF(INDEX('PROJETO PERFURAÇÃO'!$P:$P,MATCH(MEDIÇÃO!R782,'PROJETO PERFURAÇÃO'!$B:$B,0))="Pre-Splitting","S"))),"")</f>
        <v/>
      </c>
      <c r="R782" s="14">
        <f t="shared" ref="R782:R801" si="77">R781+1</f>
        <v>1774</v>
      </c>
      <c r="S782" s="4" t="str">
        <f>IFERROR(INDEX('LEV R&amp;D'!$D:$D,MATCH(MEDIÇÃO!R782,'LEV R&amp;D'!$A:$A,0))-INDEX('PROJETO PERFURAÇÃO'!$AH:$AH,MATCH(MEDIÇÃO!R782,'PROJETO PERFURAÇÃO'!$B:$B,0)),"")</f>
        <v/>
      </c>
      <c r="T782" s="8" t="str">
        <f>IFERROR(INDEX('PROJETO PERFURAÇÃO'!$AN:$AN,MATCH(MEDIÇÃO!R782,'PROJETO PERFURAÇÃO'!$B:$B,0)),"")</f>
        <v/>
      </c>
      <c r="U782" s="3"/>
      <c r="V782" s="3"/>
    </row>
    <row r="783" spans="1:23" ht="45" customHeight="1">
      <c r="B783" s="3" t="str">
        <f>IFERROR(ROUND(INDEX('PROJETO PERFURAÇÃO'!$AB:$AB,MATCH(MEDIÇÃO!D783,'PROJETO PERFURAÇÃO'!$B:$B,0)),1)&amp;"''","")</f>
        <v/>
      </c>
      <c r="C783" s="3" t="str">
        <f>IFERROR(IF(INDEX('PROJETO PERFURAÇÃO'!$P:$P,MATCH(MEDIÇÃO!D783,'PROJETO PERFURAÇÃO'!$B:$B,0))="Production","P",IF(INDEX('PROJETO PERFURAÇÃO'!$P:$P,MATCH(MEDIÇÃO!D783,'PROJETO PERFURAÇÃO'!$B:$B,0))="Buffer","B",IF(INDEX('PROJETO PERFURAÇÃO'!$P:$P,MATCH(MEDIÇÃO!D783,'PROJETO PERFURAÇÃO'!$B:$B,0))="Pre-Splitting","S"))),"")</f>
        <v/>
      </c>
      <c r="D783" s="14">
        <f t="shared" si="75"/>
        <v>1729</v>
      </c>
      <c r="E783" s="4" t="str">
        <f>IFERROR(INDEX('LEV R&amp;D'!$D:$D,MATCH(MEDIÇÃO!D783,'LEV R&amp;D'!$A:$A,0))-INDEX('PROJETO PERFURAÇÃO'!$AH:$AH,MATCH(MEDIÇÃO!D783,'PROJETO PERFURAÇÃO'!$B:$B,0)),"")</f>
        <v/>
      </c>
      <c r="F783" s="8" t="str">
        <f>IFERROR(INDEX('PROJETO PERFURAÇÃO'!$AN:$AN,MATCH(MEDIÇÃO!D783,'PROJETO PERFURAÇÃO'!$B:$B,0)),"")</f>
        <v/>
      </c>
      <c r="G783" s="3"/>
      <c r="H783" s="3"/>
      <c r="I783" s="3" t="str">
        <f>IFERROR(ROUND(INDEX('PROJETO PERFURAÇÃO'!$AB:$AB,MATCH(MEDIÇÃO!K783,'PROJETO PERFURAÇÃO'!$B:$B,0)),1)&amp;"''","")</f>
        <v/>
      </c>
      <c r="J783" s="3" t="str">
        <f>IFERROR(IF(INDEX('PROJETO PERFURAÇÃO'!$P:$P,MATCH(MEDIÇÃO!K783,'PROJETO PERFURAÇÃO'!$B:$B,0))="Production","P",IF(INDEX('PROJETO PERFURAÇÃO'!$P:$P,MATCH(MEDIÇÃO!K783,'PROJETO PERFURAÇÃO'!$B:$B,0))="Buffer","B",IF(INDEX('PROJETO PERFURAÇÃO'!$P:$P,MATCH(MEDIÇÃO!K783,'PROJETO PERFURAÇÃO'!$B:$B,0))="Pre-Splitting","S"))),"")</f>
        <v/>
      </c>
      <c r="K783" s="14">
        <f t="shared" si="76"/>
        <v>1752</v>
      </c>
      <c r="L783" s="4" t="str">
        <f>IFERROR(INDEX('LEV R&amp;D'!$D:$D,MATCH(MEDIÇÃO!K783,'LEV R&amp;D'!$A:$A,0))-INDEX('PROJETO PERFURAÇÃO'!$AH:$AH,MATCH(MEDIÇÃO!K783,'PROJETO PERFURAÇÃO'!$B:$B,0)),"")</f>
        <v/>
      </c>
      <c r="M783" s="8" t="str">
        <f>IFERROR(INDEX('PROJETO PERFURAÇÃO'!$AN:$AN,MATCH(MEDIÇÃO!K783,'PROJETO PERFURAÇÃO'!$B:$B,0)),"")</f>
        <v/>
      </c>
      <c r="N783" s="3"/>
      <c r="O783" s="3"/>
      <c r="P783" s="3" t="str">
        <f>IFERROR(ROUND(INDEX('PROJETO PERFURAÇÃO'!$AB:$AB,MATCH(MEDIÇÃO!R783,'PROJETO PERFURAÇÃO'!$B:$B,0)),1)&amp;"''","")</f>
        <v/>
      </c>
      <c r="Q783" s="3" t="str">
        <f>IFERROR(IF(INDEX('PROJETO PERFURAÇÃO'!$P:$P,MATCH(MEDIÇÃO!R783,'PROJETO PERFURAÇÃO'!$B:$B,0))="Production","P",IF(INDEX('PROJETO PERFURAÇÃO'!$P:$P,MATCH(MEDIÇÃO!R783,'PROJETO PERFURAÇÃO'!$B:$B,0))="Buffer","B",IF(INDEX('PROJETO PERFURAÇÃO'!$P:$P,MATCH(MEDIÇÃO!R783,'PROJETO PERFURAÇÃO'!$B:$B,0))="Pre-Splitting","S"))),"")</f>
        <v/>
      </c>
      <c r="R783" s="14">
        <f t="shared" si="77"/>
        <v>1775</v>
      </c>
      <c r="S783" s="4" t="str">
        <f>IFERROR(INDEX('LEV R&amp;D'!$D:$D,MATCH(MEDIÇÃO!R783,'LEV R&amp;D'!$A:$A,0))-INDEX('PROJETO PERFURAÇÃO'!$AH:$AH,MATCH(MEDIÇÃO!R783,'PROJETO PERFURAÇÃO'!$B:$B,0)),"")</f>
        <v/>
      </c>
      <c r="T783" s="8" t="str">
        <f>IFERROR(INDEX('PROJETO PERFURAÇÃO'!$AN:$AN,MATCH(MEDIÇÃO!R783,'PROJETO PERFURAÇÃO'!$B:$B,0)),"")</f>
        <v/>
      </c>
      <c r="U783" s="3"/>
      <c r="V783" s="3"/>
    </row>
    <row r="784" spans="1:23" ht="45" customHeight="1">
      <c r="B784" s="3" t="str">
        <f>IFERROR(ROUND(INDEX('PROJETO PERFURAÇÃO'!$AB:$AB,MATCH(MEDIÇÃO!D784,'PROJETO PERFURAÇÃO'!$B:$B,0)),1)&amp;"''","")</f>
        <v/>
      </c>
      <c r="C784" s="3" t="str">
        <f>IFERROR(IF(INDEX('PROJETO PERFURAÇÃO'!$P:$P,MATCH(MEDIÇÃO!D784,'PROJETO PERFURAÇÃO'!$B:$B,0))="Production","P",IF(INDEX('PROJETO PERFURAÇÃO'!$P:$P,MATCH(MEDIÇÃO!D784,'PROJETO PERFURAÇÃO'!$B:$B,0))="Buffer","B",IF(INDEX('PROJETO PERFURAÇÃO'!$P:$P,MATCH(MEDIÇÃO!D784,'PROJETO PERFURAÇÃO'!$B:$B,0))="Pre-Splitting","S"))),"")</f>
        <v/>
      </c>
      <c r="D784" s="14">
        <f t="shared" si="75"/>
        <v>1730</v>
      </c>
      <c r="E784" s="4" t="str">
        <f>IFERROR(INDEX('LEV R&amp;D'!$D:$D,MATCH(MEDIÇÃO!D784,'LEV R&amp;D'!$A:$A,0))-INDEX('PROJETO PERFURAÇÃO'!$AH:$AH,MATCH(MEDIÇÃO!D784,'PROJETO PERFURAÇÃO'!$B:$B,0)),"")</f>
        <v/>
      </c>
      <c r="F784" s="8" t="str">
        <f>IFERROR(INDEX('PROJETO PERFURAÇÃO'!$AN:$AN,MATCH(MEDIÇÃO!D784,'PROJETO PERFURAÇÃO'!$B:$B,0)),"")</f>
        <v/>
      </c>
      <c r="G784" s="3"/>
      <c r="H784" s="3"/>
      <c r="I784" s="3" t="str">
        <f>IFERROR(ROUND(INDEX('PROJETO PERFURAÇÃO'!$AB:$AB,MATCH(MEDIÇÃO!K784,'PROJETO PERFURAÇÃO'!$B:$B,0)),1)&amp;"''","")</f>
        <v/>
      </c>
      <c r="J784" s="3" t="str">
        <f>IFERROR(IF(INDEX('PROJETO PERFURAÇÃO'!$P:$P,MATCH(MEDIÇÃO!K784,'PROJETO PERFURAÇÃO'!$B:$B,0))="Production","P",IF(INDEX('PROJETO PERFURAÇÃO'!$P:$P,MATCH(MEDIÇÃO!K784,'PROJETO PERFURAÇÃO'!$B:$B,0))="Buffer","B",IF(INDEX('PROJETO PERFURAÇÃO'!$P:$P,MATCH(MEDIÇÃO!K784,'PROJETO PERFURAÇÃO'!$B:$B,0))="Pre-Splitting","S"))),"")</f>
        <v/>
      </c>
      <c r="K784" s="14">
        <f t="shared" si="76"/>
        <v>1753</v>
      </c>
      <c r="L784" s="4" t="str">
        <f>IFERROR(INDEX('LEV R&amp;D'!$D:$D,MATCH(MEDIÇÃO!K784,'LEV R&amp;D'!$A:$A,0))-INDEX('PROJETO PERFURAÇÃO'!$AH:$AH,MATCH(MEDIÇÃO!K784,'PROJETO PERFURAÇÃO'!$B:$B,0)),"")</f>
        <v/>
      </c>
      <c r="M784" s="8" t="str">
        <f>IFERROR(INDEX('PROJETO PERFURAÇÃO'!$AN:$AN,MATCH(MEDIÇÃO!K784,'PROJETO PERFURAÇÃO'!$B:$B,0)),"")</f>
        <v/>
      </c>
      <c r="N784" s="3"/>
      <c r="O784" s="3"/>
      <c r="P784" s="3" t="str">
        <f>IFERROR(ROUND(INDEX('PROJETO PERFURAÇÃO'!$AB:$AB,MATCH(MEDIÇÃO!R784,'PROJETO PERFURAÇÃO'!$B:$B,0)),1)&amp;"''","")</f>
        <v/>
      </c>
      <c r="Q784" s="3" t="str">
        <f>IFERROR(IF(INDEX('PROJETO PERFURAÇÃO'!$P:$P,MATCH(MEDIÇÃO!R784,'PROJETO PERFURAÇÃO'!$B:$B,0))="Production","P",IF(INDEX('PROJETO PERFURAÇÃO'!$P:$P,MATCH(MEDIÇÃO!R784,'PROJETO PERFURAÇÃO'!$B:$B,0))="Buffer","B",IF(INDEX('PROJETO PERFURAÇÃO'!$P:$P,MATCH(MEDIÇÃO!R784,'PROJETO PERFURAÇÃO'!$B:$B,0))="Pre-Splitting","S"))),"")</f>
        <v/>
      </c>
      <c r="R784" s="14">
        <f t="shared" si="77"/>
        <v>1776</v>
      </c>
      <c r="S784" s="4" t="str">
        <f>IFERROR(INDEX('LEV R&amp;D'!$D:$D,MATCH(MEDIÇÃO!R784,'LEV R&amp;D'!$A:$A,0))-INDEX('PROJETO PERFURAÇÃO'!$AH:$AH,MATCH(MEDIÇÃO!R784,'PROJETO PERFURAÇÃO'!$B:$B,0)),"")</f>
        <v/>
      </c>
      <c r="T784" s="8" t="str">
        <f>IFERROR(INDEX('PROJETO PERFURAÇÃO'!$AN:$AN,MATCH(MEDIÇÃO!R784,'PROJETO PERFURAÇÃO'!$B:$B,0)),"")</f>
        <v/>
      </c>
      <c r="U784" s="3"/>
      <c r="V784" s="3"/>
    </row>
    <row r="785" spans="2:22" ht="45" customHeight="1">
      <c r="B785" s="3" t="str">
        <f>IFERROR(ROUND(INDEX('PROJETO PERFURAÇÃO'!$AB:$AB,MATCH(MEDIÇÃO!D785,'PROJETO PERFURAÇÃO'!$B:$B,0)),1)&amp;"''","")</f>
        <v/>
      </c>
      <c r="C785" s="3" t="str">
        <f>IFERROR(IF(INDEX('PROJETO PERFURAÇÃO'!$P:$P,MATCH(MEDIÇÃO!D785,'PROJETO PERFURAÇÃO'!$B:$B,0))="Production","P",IF(INDEX('PROJETO PERFURAÇÃO'!$P:$P,MATCH(MEDIÇÃO!D785,'PROJETO PERFURAÇÃO'!$B:$B,0))="Buffer","B",IF(INDEX('PROJETO PERFURAÇÃO'!$P:$P,MATCH(MEDIÇÃO!D785,'PROJETO PERFURAÇÃO'!$B:$B,0))="Pre-Splitting","S"))),"")</f>
        <v/>
      </c>
      <c r="D785" s="14">
        <f t="shared" si="75"/>
        <v>1731</v>
      </c>
      <c r="E785" s="4" t="str">
        <f>IFERROR(INDEX('LEV R&amp;D'!$D:$D,MATCH(MEDIÇÃO!D785,'LEV R&amp;D'!$A:$A,0))-INDEX('PROJETO PERFURAÇÃO'!$AH:$AH,MATCH(MEDIÇÃO!D785,'PROJETO PERFURAÇÃO'!$B:$B,0)),"")</f>
        <v/>
      </c>
      <c r="F785" s="8" t="str">
        <f>IFERROR(INDEX('PROJETO PERFURAÇÃO'!$AN:$AN,MATCH(MEDIÇÃO!D785,'PROJETO PERFURAÇÃO'!$B:$B,0)),"")</f>
        <v/>
      </c>
      <c r="G785" s="3"/>
      <c r="H785" s="3"/>
      <c r="I785" s="3" t="str">
        <f>IFERROR(ROUND(INDEX('PROJETO PERFURAÇÃO'!$AB:$AB,MATCH(MEDIÇÃO!K785,'PROJETO PERFURAÇÃO'!$B:$B,0)),1)&amp;"''","")</f>
        <v/>
      </c>
      <c r="J785" s="3" t="str">
        <f>IFERROR(IF(INDEX('PROJETO PERFURAÇÃO'!$P:$P,MATCH(MEDIÇÃO!K785,'PROJETO PERFURAÇÃO'!$B:$B,0))="Production","P",IF(INDEX('PROJETO PERFURAÇÃO'!$P:$P,MATCH(MEDIÇÃO!K785,'PROJETO PERFURAÇÃO'!$B:$B,0))="Buffer","B",IF(INDEX('PROJETO PERFURAÇÃO'!$P:$P,MATCH(MEDIÇÃO!K785,'PROJETO PERFURAÇÃO'!$B:$B,0))="Pre-Splitting","S"))),"")</f>
        <v/>
      </c>
      <c r="K785" s="14">
        <f t="shared" si="76"/>
        <v>1754</v>
      </c>
      <c r="L785" s="4" t="str">
        <f>IFERROR(INDEX('LEV R&amp;D'!$D:$D,MATCH(MEDIÇÃO!K785,'LEV R&amp;D'!$A:$A,0))-INDEX('PROJETO PERFURAÇÃO'!$AH:$AH,MATCH(MEDIÇÃO!K785,'PROJETO PERFURAÇÃO'!$B:$B,0)),"")</f>
        <v/>
      </c>
      <c r="M785" s="8" t="str">
        <f>IFERROR(INDEX('PROJETO PERFURAÇÃO'!$AN:$AN,MATCH(MEDIÇÃO!K785,'PROJETO PERFURAÇÃO'!$B:$B,0)),"")</f>
        <v/>
      </c>
      <c r="N785" s="3"/>
      <c r="O785" s="3"/>
      <c r="P785" s="3" t="str">
        <f>IFERROR(ROUND(INDEX('PROJETO PERFURAÇÃO'!$AB:$AB,MATCH(MEDIÇÃO!R785,'PROJETO PERFURAÇÃO'!$B:$B,0)),1)&amp;"''","")</f>
        <v/>
      </c>
      <c r="Q785" s="3" t="str">
        <f>IFERROR(IF(INDEX('PROJETO PERFURAÇÃO'!$P:$P,MATCH(MEDIÇÃO!R785,'PROJETO PERFURAÇÃO'!$B:$B,0))="Production","P",IF(INDEX('PROJETO PERFURAÇÃO'!$P:$P,MATCH(MEDIÇÃO!R785,'PROJETO PERFURAÇÃO'!$B:$B,0))="Buffer","B",IF(INDEX('PROJETO PERFURAÇÃO'!$P:$P,MATCH(MEDIÇÃO!R785,'PROJETO PERFURAÇÃO'!$B:$B,0))="Pre-Splitting","S"))),"")</f>
        <v/>
      </c>
      <c r="R785" s="14">
        <f t="shared" si="77"/>
        <v>1777</v>
      </c>
      <c r="S785" s="4" t="str">
        <f>IFERROR(INDEX('LEV R&amp;D'!$D:$D,MATCH(MEDIÇÃO!R785,'LEV R&amp;D'!$A:$A,0))-INDEX('PROJETO PERFURAÇÃO'!$AH:$AH,MATCH(MEDIÇÃO!R785,'PROJETO PERFURAÇÃO'!$B:$B,0)),"")</f>
        <v/>
      </c>
      <c r="T785" s="8" t="str">
        <f>IFERROR(INDEX('PROJETO PERFURAÇÃO'!$AN:$AN,MATCH(MEDIÇÃO!R785,'PROJETO PERFURAÇÃO'!$B:$B,0)),"")</f>
        <v/>
      </c>
      <c r="U785" s="3"/>
      <c r="V785" s="3"/>
    </row>
    <row r="786" spans="2:22" ht="45" customHeight="1">
      <c r="B786" s="3" t="str">
        <f>IFERROR(ROUND(INDEX('PROJETO PERFURAÇÃO'!$AB:$AB,MATCH(MEDIÇÃO!D786,'PROJETO PERFURAÇÃO'!$B:$B,0)),1)&amp;"''","")</f>
        <v/>
      </c>
      <c r="C786" s="3" t="str">
        <f>IFERROR(IF(INDEX('PROJETO PERFURAÇÃO'!$P:$P,MATCH(MEDIÇÃO!D786,'PROJETO PERFURAÇÃO'!$B:$B,0))="Production","P",IF(INDEX('PROJETO PERFURAÇÃO'!$P:$P,MATCH(MEDIÇÃO!D786,'PROJETO PERFURAÇÃO'!$B:$B,0))="Buffer","B",IF(INDEX('PROJETO PERFURAÇÃO'!$P:$P,MATCH(MEDIÇÃO!D786,'PROJETO PERFURAÇÃO'!$B:$B,0))="Pre-Splitting","S"))),"")</f>
        <v/>
      </c>
      <c r="D786" s="14">
        <f t="shared" si="75"/>
        <v>1732</v>
      </c>
      <c r="E786" s="4" t="str">
        <f>IFERROR(INDEX('LEV R&amp;D'!$D:$D,MATCH(MEDIÇÃO!D786,'LEV R&amp;D'!$A:$A,0))-INDEX('PROJETO PERFURAÇÃO'!$AH:$AH,MATCH(MEDIÇÃO!D786,'PROJETO PERFURAÇÃO'!$B:$B,0)),"")</f>
        <v/>
      </c>
      <c r="F786" s="8" t="str">
        <f>IFERROR(INDEX('PROJETO PERFURAÇÃO'!$AN:$AN,MATCH(MEDIÇÃO!D786,'PROJETO PERFURAÇÃO'!$B:$B,0)),"")</f>
        <v/>
      </c>
      <c r="G786" s="3"/>
      <c r="H786" s="3"/>
      <c r="I786" s="3" t="str">
        <f>IFERROR(ROUND(INDEX('PROJETO PERFURAÇÃO'!$AB:$AB,MATCH(MEDIÇÃO!K786,'PROJETO PERFURAÇÃO'!$B:$B,0)),1)&amp;"''","")</f>
        <v/>
      </c>
      <c r="J786" s="3" t="str">
        <f>IFERROR(IF(INDEX('PROJETO PERFURAÇÃO'!$P:$P,MATCH(MEDIÇÃO!K786,'PROJETO PERFURAÇÃO'!$B:$B,0))="Production","P",IF(INDEX('PROJETO PERFURAÇÃO'!$P:$P,MATCH(MEDIÇÃO!K786,'PROJETO PERFURAÇÃO'!$B:$B,0))="Buffer","B",IF(INDEX('PROJETO PERFURAÇÃO'!$P:$P,MATCH(MEDIÇÃO!K786,'PROJETO PERFURAÇÃO'!$B:$B,0))="Pre-Splitting","S"))),"")</f>
        <v/>
      </c>
      <c r="K786" s="14">
        <f t="shared" si="76"/>
        <v>1755</v>
      </c>
      <c r="L786" s="4" t="str">
        <f>IFERROR(INDEX('LEV R&amp;D'!$D:$D,MATCH(MEDIÇÃO!K786,'LEV R&amp;D'!$A:$A,0))-INDEX('PROJETO PERFURAÇÃO'!$AH:$AH,MATCH(MEDIÇÃO!K786,'PROJETO PERFURAÇÃO'!$B:$B,0)),"")</f>
        <v/>
      </c>
      <c r="M786" s="8" t="str">
        <f>IFERROR(INDEX('PROJETO PERFURAÇÃO'!$AN:$AN,MATCH(MEDIÇÃO!K786,'PROJETO PERFURAÇÃO'!$B:$B,0)),"")</f>
        <v/>
      </c>
      <c r="N786" s="3"/>
      <c r="O786" s="3"/>
      <c r="P786" s="3" t="str">
        <f>IFERROR(ROUND(INDEX('PROJETO PERFURAÇÃO'!$AB:$AB,MATCH(MEDIÇÃO!R786,'PROJETO PERFURAÇÃO'!$B:$B,0)),1)&amp;"''","")</f>
        <v/>
      </c>
      <c r="Q786" s="3" t="str">
        <f>IFERROR(IF(INDEX('PROJETO PERFURAÇÃO'!$P:$P,MATCH(MEDIÇÃO!R786,'PROJETO PERFURAÇÃO'!$B:$B,0))="Production","P",IF(INDEX('PROJETO PERFURAÇÃO'!$P:$P,MATCH(MEDIÇÃO!R786,'PROJETO PERFURAÇÃO'!$B:$B,0))="Buffer","B",IF(INDEX('PROJETO PERFURAÇÃO'!$P:$P,MATCH(MEDIÇÃO!R786,'PROJETO PERFURAÇÃO'!$B:$B,0))="Pre-Splitting","S"))),"")</f>
        <v/>
      </c>
      <c r="R786" s="14">
        <f t="shared" si="77"/>
        <v>1778</v>
      </c>
      <c r="S786" s="4" t="str">
        <f>IFERROR(INDEX('LEV R&amp;D'!$D:$D,MATCH(MEDIÇÃO!R786,'LEV R&amp;D'!$A:$A,0))-INDEX('PROJETO PERFURAÇÃO'!$AH:$AH,MATCH(MEDIÇÃO!R786,'PROJETO PERFURAÇÃO'!$B:$B,0)),"")</f>
        <v/>
      </c>
      <c r="T786" s="8" t="str">
        <f>IFERROR(INDEX('PROJETO PERFURAÇÃO'!$AN:$AN,MATCH(MEDIÇÃO!R786,'PROJETO PERFURAÇÃO'!$B:$B,0)),"")</f>
        <v/>
      </c>
      <c r="U786" s="3"/>
      <c r="V786" s="3"/>
    </row>
    <row r="787" spans="2:22" ht="45" customHeight="1">
      <c r="B787" s="3" t="str">
        <f>IFERROR(ROUND(INDEX('PROJETO PERFURAÇÃO'!$AB:$AB,MATCH(MEDIÇÃO!D787,'PROJETO PERFURAÇÃO'!$B:$B,0)),1)&amp;"''","")</f>
        <v/>
      </c>
      <c r="C787" s="3" t="str">
        <f>IFERROR(IF(INDEX('PROJETO PERFURAÇÃO'!$P:$P,MATCH(MEDIÇÃO!D787,'PROJETO PERFURAÇÃO'!$B:$B,0))="Production","P",IF(INDEX('PROJETO PERFURAÇÃO'!$P:$P,MATCH(MEDIÇÃO!D787,'PROJETO PERFURAÇÃO'!$B:$B,0))="Buffer","B",IF(INDEX('PROJETO PERFURAÇÃO'!$P:$P,MATCH(MEDIÇÃO!D787,'PROJETO PERFURAÇÃO'!$B:$B,0))="Pre-Splitting","S"))),"")</f>
        <v/>
      </c>
      <c r="D787" s="14">
        <f t="shared" si="75"/>
        <v>1733</v>
      </c>
      <c r="E787" s="4" t="str">
        <f>IFERROR(INDEX('LEV R&amp;D'!$D:$D,MATCH(MEDIÇÃO!D787,'LEV R&amp;D'!$A:$A,0))-INDEX('PROJETO PERFURAÇÃO'!$AH:$AH,MATCH(MEDIÇÃO!D787,'PROJETO PERFURAÇÃO'!$B:$B,0)),"")</f>
        <v/>
      </c>
      <c r="F787" s="8" t="str">
        <f>IFERROR(INDEX('PROJETO PERFURAÇÃO'!$AN:$AN,MATCH(MEDIÇÃO!D787,'PROJETO PERFURAÇÃO'!$B:$B,0)),"")</f>
        <v/>
      </c>
      <c r="G787" s="3"/>
      <c r="H787" s="3"/>
      <c r="I787" s="3" t="str">
        <f>IFERROR(ROUND(INDEX('PROJETO PERFURAÇÃO'!$AB:$AB,MATCH(MEDIÇÃO!K787,'PROJETO PERFURAÇÃO'!$B:$B,0)),1)&amp;"''","")</f>
        <v/>
      </c>
      <c r="J787" s="3" t="str">
        <f>IFERROR(IF(INDEX('PROJETO PERFURAÇÃO'!$P:$P,MATCH(MEDIÇÃO!K787,'PROJETO PERFURAÇÃO'!$B:$B,0))="Production","P",IF(INDEX('PROJETO PERFURAÇÃO'!$P:$P,MATCH(MEDIÇÃO!K787,'PROJETO PERFURAÇÃO'!$B:$B,0))="Buffer","B",IF(INDEX('PROJETO PERFURAÇÃO'!$P:$P,MATCH(MEDIÇÃO!K787,'PROJETO PERFURAÇÃO'!$B:$B,0))="Pre-Splitting","S"))),"")</f>
        <v/>
      </c>
      <c r="K787" s="14">
        <f t="shared" si="76"/>
        <v>1756</v>
      </c>
      <c r="L787" s="4" t="str">
        <f>IFERROR(INDEX('LEV R&amp;D'!$D:$D,MATCH(MEDIÇÃO!K787,'LEV R&amp;D'!$A:$A,0))-INDEX('PROJETO PERFURAÇÃO'!$AH:$AH,MATCH(MEDIÇÃO!K787,'PROJETO PERFURAÇÃO'!$B:$B,0)),"")</f>
        <v/>
      </c>
      <c r="M787" s="8" t="str">
        <f>IFERROR(INDEX('PROJETO PERFURAÇÃO'!$AN:$AN,MATCH(MEDIÇÃO!K787,'PROJETO PERFURAÇÃO'!$B:$B,0)),"")</f>
        <v/>
      </c>
      <c r="N787" s="3"/>
      <c r="O787" s="3"/>
      <c r="P787" s="3" t="str">
        <f>IFERROR(ROUND(INDEX('PROJETO PERFURAÇÃO'!$AB:$AB,MATCH(MEDIÇÃO!R787,'PROJETO PERFURAÇÃO'!$B:$B,0)),1)&amp;"''","")</f>
        <v/>
      </c>
      <c r="Q787" s="3" t="str">
        <f>IFERROR(IF(INDEX('PROJETO PERFURAÇÃO'!$P:$P,MATCH(MEDIÇÃO!R787,'PROJETO PERFURAÇÃO'!$B:$B,0))="Production","P",IF(INDEX('PROJETO PERFURAÇÃO'!$P:$P,MATCH(MEDIÇÃO!R787,'PROJETO PERFURAÇÃO'!$B:$B,0))="Buffer","B",IF(INDEX('PROJETO PERFURAÇÃO'!$P:$P,MATCH(MEDIÇÃO!R787,'PROJETO PERFURAÇÃO'!$B:$B,0))="Pre-Splitting","S"))),"")</f>
        <v/>
      </c>
      <c r="R787" s="14">
        <f t="shared" si="77"/>
        <v>1779</v>
      </c>
      <c r="S787" s="4" t="str">
        <f>IFERROR(INDEX('LEV R&amp;D'!$D:$D,MATCH(MEDIÇÃO!R787,'LEV R&amp;D'!$A:$A,0))-INDEX('PROJETO PERFURAÇÃO'!$AH:$AH,MATCH(MEDIÇÃO!R787,'PROJETO PERFURAÇÃO'!$B:$B,0)),"")</f>
        <v/>
      </c>
      <c r="T787" s="8" t="str">
        <f>IFERROR(INDEX('PROJETO PERFURAÇÃO'!$AN:$AN,MATCH(MEDIÇÃO!R787,'PROJETO PERFURAÇÃO'!$B:$B,0)),"")</f>
        <v/>
      </c>
      <c r="U787" s="3"/>
      <c r="V787" s="3"/>
    </row>
    <row r="788" spans="2:22" ht="45" customHeight="1">
      <c r="B788" s="3" t="str">
        <f>IFERROR(ROUND(INDEX('PROJETO PERFURAÇÃO'!$AB:$AB,MATCH(MEDIÇÃO!D788,'PROJETO PERFURAÇÃO'!$B:$B,0)),1)&amp;"''","")</f>
        <v/>
      </c>
      <c r="C788" s="3" t="str">
        <f>IFERROR(IF(INDEX('PROJETO PERFURAÇÃO'!$P:$P,MATCH(MEDIÇÃO!D788,'PROJETO PERFURAÇÃO'!$B:$B,0))="Production","P",IF(INDEX('PROJETO PERFURAÇÃO'!$P:$P,MATCH(MEDIÇÃO!D788,'PROJETO PERFURAÇÃO'!$B:$B,0))="Buffer","B",IF(INDEX('PROJETO PERFURAÇÃO'!$P:$P,MATCH(MEDIÇÃO!D788,'PROJETO PERFURAÇÃO'!$B:$B,0))="Pre-Splitting","S"))),"")</f>
        <v/>
      </c>
      <c r="D788" s="14">
        <f t="shared" si="75"/>
        <v>1734</v>
      </c>
      <c r="E788" s="4" t="str">
        <f>IFERROR(INDEX('LEV R&amp;D'!$D:$D,MATCH(MEDIÇÃO!D788,'LEV R&amp;D'!$A:$A,0))-INDEX('PROJETO PERFURAÇÃO'!$AH:$AH,MATCH(MEDIÇÃO!D788,'PROJETO PERFURAÇÃO'!$B:$B,0)),"")</f>
        <v/>
      </c>
      <c r="F788" s="8" t="str">
        <f>IFERROR(INDEX('PROJETO PERFURAÇÃO'!$AN:$AN,MATCH(MEDIÇÃO!D788,'PROJETO PERFURAÇÃO'!$B:$B,0)),"")</f>
        <v/>
      </c>
      <c r="G788" s="3"/>
      <c r="H788" s="3"/>
      <c r="I788" s="3" t="str">
        <f>IFERROR(ROUND(INDEX('PROJETO PERFURAÇÃO'!$AB:$AB,MATCH(MEDIÇÃO!K788,'PROJETO PERFURAÇÃO'!$B:$B,0)),1)&amp;"''","")</f>
        <v/>
      </c>
      <c r="J788" s="3" t="str">
        <f>IFERROR(IF(INDEX('PROJETO PERFURAÇÃO'!$P:$P,MATCH(MEDIÇÃO!K788,'PROJETO PERFURAÇÃO'!$B:$B,0))="Production","P",IF(INDEX('PROJETO PERFURAÇÃO'!$P:$P,MATCH(MEDIÇÃO!K788,'PROJETO PERFURAÇÃO'!$B:$B,0))="Buffer","B",IF(INDEX('PROJETO PERFURAÇÃO'!$P:$P,MATCH(MEDIÇÃO!K788,'PROJETO PERFURAÇÃO'!$B:$B,0))="Pre-Splitting","S"))),"")</f>
        <v/>
      </c>
      <c r="K788" s="14">
        <f t="shared" si="76"/>
        <v>1757</v>
      </c>
      <c r="L788" s="4" t="str">
        <f>IFERROR(INDEX('LEV R&amp;D'!$D:$D,MATCH(MEDIÇÃO!K788,'LEV R&amp;D'!$A:$A,0))-INDEX('PROJETO PERFURAÇÃO'!$AH:$AH,MATCH(MEDIÇÃO!K788,'PROJETO PERFURAÇÃO'!$B:$B,0)),"")</f>
        <v/>
      </c>
      <c r="M788" s="8" t="str">
        <f>IFERROR(INDEX('PROJETO PERFURAÇÃO'!$AN:$AN,MATCH(MEDIÇÃO!K788,'PROJETO PERFURAÇÃO'!$B:$B,0)),"")</f>
        <v/>
      </c>
      <c r="N788" s="3"/>
      <c r="O788" s="3"/>
      <c r="P788" s="3" t="str">
        <f>IFERROR(ROUND(INDEX('PROJETO PERFURAÇÃO'!$AB:$AB,MATCH(MEDIÇÃO!R788,'PROJETO PERFURAÇÃO'!$B:$B,0)),1)&amp;"''","")</f>
        <v/>
      </c>
      <c r="Q788" s="3" t="str">
        <f>IFERROR(IF(INDEX('PROJETO PERFURAÇÃO'!$P:$P,MATCH(MEDIÇÃO!R788,'PROJETO PERFURAÇÃO'!$B:$B,0))="Production","P",IF(INDEX('PROJETO PERFURAÇÃO'!$P:$P,MATCH(MEDIÇÃO!R788,'PROJETO PERFURAÇÃO'!$B:$B,0))="Buffer","B",IF(INDEX('PROJETO PERFURAÇÃO'!$P:$P,MATCH(MEDIÇÃO!R788,'PROJETO PERFURAÇÃO'!$B:$B,0))="Pre-Splitting","S"))),"")</f>
        <v/>
      </c>
      <c r="R788" s="14">
        <f t="shared" si="77"/>
        <v>1780</v>
      </c>
      <c r="S788" s="4" t="str">
        <f>IFERROR(INDEX('LEV R&amp;D'!$D:$D,MATCH(MEDIÇÃO!R788,'LEV R&amp;D'!$A:$A,0))-INDEX('PROJETO PERFURAÇÃO'!$AH:$AH,MATCH(MEDIÇÃO!R788,'PROJETO PERFURAÇÃO'!$B:$B,0)),"")</f>
        <v/>
      </c>
      <c r="T788" s="8" t="str">
        <f>IFERROR(INDEX('PROJETO PERFURAÇÃO'!$AN:$AN,MATCH(MEDIÇÃO!R788,'PROJETO PERFURAÇÃO'!$B:$B,0)),"")</f>
        <v/>
      </c>
      <c r="U788" s="3"/>
      <c r="V788" s="3"/>
    </row>
    <row r="789" spans="2:22" ht="45" customHeight="1">
      <c r="B789" s="3" t="str">
        <f>IFERROR(ROUND(INDEX('PROJETO PERFURAÇÃO'!$AB:$AB,MATCH(MEDIÇÃO!D789,'PROJETO PERFURAÇÃO'!$B:$B,0)),1)&amp;"''","")</f>
        <v/>
      </c>
      <c r="C789" s="3" t="str">
        <f>IFERROR(IF(INDEX('PROJETO PERFURAÇÃO'!$P:$P,MATCH(MEDIÇÃO!D789,'PROJETO PERFURAÇÃO'!$B:$B,0))="Production","P",IF(INDEX('PROJETO PERFURAÇÃO'!$P:$P,MATCH(MEDIÇÃO!D789,'PROJETO PERFURAÇÃO'!$B:$B,0))="Buffer","B",IF(INDEX('PROJETO PERFURAÇÃO'!$P:$P,MATCH(MEDIÇÃO!D789,'PROJETO PERFURAÇÃO'!$B:$B,0))="Pre-Splitting","S"))),"")</f>
        <v/>
      </c>
      <c r="D789" s="14">
        <f t="shared" si="75"/>
        <v>1735</v>
      </c>
      <c r="E789" s="4" t="str">
        <f>IFERROR(INDEX('LEV R&amp;D'!$D:$D,MATCH(MEDIÇÃO!D789,'LEV R&amp;D'!$A:$A,0))-INDEX('PROJETO PERFURAÇÃO'!$AH:$AH,MATCH(MEDIÇÃO!D789,'PROJETO PERFURAÇÃO'!$B:$B,0)),"")</f>
        <v/>
      </c>
      <c r="F789" s="8" t="str">
        <f>IFERROR(INDEX('PROJETO PERFURAÇÃO'!$AN:$AN,MATCH(MEDIÇÃO!D789,'PROJETO PERFURAÇÃO'!$B:$B,0)),"")</f>
        <v/>
      </c>
      <c r="G789" s="3"/>
      <c r="H789" s="3"/>
      <c r="I789" s="3" t="str">
        <f>IFERROR(ROUND(INDEX('PROJETO PERFURAÇÃO'!$AB:$AB,MATCH(MEDIÇÃO!K789,'PROJETO PERFURAÇÃO'!$B:$B,0)),1)&amp;"''","")</f>
        <v/>
      </c>
      <c r="J789" s="3" t="str">
        <f>IFERROR(IF(INDEX('PROJETO PERFURAÇÃO'!$P:$P,MATCH(MEDIÇÃO!K789,'PROJETO PERFURAÇÃO'!$B:$B,0))="Production","P",IF(INDEX('PROJETO PERFURAÇÃO'!$P:$P,MATCH(MEDIÇÃO!K789,'PROJETO PERFURAÇÃO'!$B:$B,0))="Buffer","B",IF(INDEX('PROJETO PERFURAÇÃO'!$P:$P,MATCH(MEDIÇÃO!K789,'PROJETO PERFURAÇÃO'!$B:$B,0))="Pre-Splitting","S"))),"")</f>
        <v/>
      </c>
      <c r="K789" s="14">
        <f t="shared" si="76"/>
        <v>1758</v>
      </c>
      <c r="L789" s="4" t="str">
        <f>IFERROR(INDEX('LEV R&amp;D'!$D:$D,MATCH(MEDIÇÃO!K789,'LEV R&amp;D'!$A:$A,0))-INDEX('PROJETO PERFURAÇÃO'!$AH:$AH,MATCH(MEDIÇÃO!K789,'PROJETO PERFURAÇÃO'!$B:$B,0)),"")</f>
        <v/>
      </c>
      <c r="M789" s="8" t="str">
        <f>IFERROR(INDEX('PROJETO PERFURAÇÃO'!$AN:$AN,MATCH(MEDIÇÃO!K789,'PROJETO PERFURAÇÃO'!$B:$B,0)),"")</f>
        <v/>
      </c>
      <c r="N789" s="3"/>
      <c r="O789" s="3"/>
      <c r="P789" s="3" t="str">
        <f>IFERROR(ROUND(INDEX('PROJETO PERFURAÇÃO'!$AB:$AB,MATCH(MEDIÇÃO!R789,'PROJETO PERFURAÇÃO'!$B:$B,0)),1)&amp;"''","")</f>
        <v/>
      </c>
      <c r="Q789" s="3" t="str">
        <f>IFERROR(IF(INDEX('PROJETO PERFURAÇÃO'!$P:$P,MATCH(MEDIÇÃO!R789,'PROJETO PERFURAÇÃO'!$B:$B,0))="Production","P",IF(INDEX('PROJETO PERFURAÇÃO'!$P:$P,MATCH(MEDIÇÃO!R789,'PROJETO PERFURAÇÃO'!$B:$B,0))="Buffer","B",IF(INDEX('PROJETO PERFURAÇÃO'!$P:$P,MATCH(MEDIÇÃO!R789,'PROJETO PERFURAÇÃO'!$B:$B,0))="Pre-Splitting","S"))),"")</f>
        <v/>
      </c>
      <c r="R789" s="14">
        <f t="shared" si="77"/>
        <v>1781</v>
      </c>
      <c r="S789" s="4" t="str">
        <f>IFERROR(INDEX('LEV R&amp;D'!$D:$D,MATCH(MEDIÇÃO!R789,'LEV R&amp;D'!$A:$A,0))-INDEX('PROJETO PERFURAÇÃO'!$AH:$AH,MATCH(MEDIÇÃO!R789,'PROJETO PERFURAÇÃO'!$B:$B,0)),"")</f>
        <v/>
      </c>
      <c r="T789" s="8" t="str">
        <f>IFERROR(INDEX('PROJETO PERFURAÇÃO'!$AN:$AN,MATCH(MEDIÇÃO!R789,'PROJETO PERFURAÇÃO'!$B:$B,0)),"")</f>
        <v/>
      </c>
      <c r="U789" s="3"/>
      <c r="V789" s="3"/>
    </row>
    <row r="790" spans="2:22" ht="45" customHeight="1">
      <c r="B790" s="3" t="str">
        <f>IFERROR(ROUND(INDEX('PROJETO PERFURAÇÃO'!$AB:$AB,MATCH(MEDIÇÃO!D790,'PROJETO PERFURAÇÃO'!$B:$B,0)),1)&amp;"''","")</f>
        <v/>
      </c>
      <c r="C790" s="3" t="str">
        <f>IFERROR(IF(INDEX('PROJETO PERFURAÇÃO'!$P:$P,MATCH(MEDIÇÃO!D790,'PROJETO PERFURAÇÃO'!$B:$B,0))="Production","P",IF(INDEX('PROJETO PERFURAÇÃO'!$P:$P,MATCH(MEDIÇÃO!D790,'PROJETO PERFURAÇÃO'!$B:$B,0))="Buffer","B",IF(INDEX('PROJETO PERFURAÇÃO'!$P:$P,MATCH(MEDIÇÃO!D790,'PROJETO PERFURAÇÃO'!$B:$B,0))="Pre-Splitting","S"))),"")</f>
        <v/>
      </c>
      <c r="D790" s="14">
        <f t="shared" si="75"/>
        <v>1736</v>
      </c>
      <c r="E790" s="4" t="str">
        <f>IFERROR(INDEX('LEV R&amp;D'!$D:$D,MATCH(MEDIÇÃO!D790,'LEV R&amp;D'!$A:$A,0))-INDEX('PROJETO PERFURAÇÃO'!$AH:$AH,MATCH(MEDIÇÃO!D790,'PROJETO PERFURAÇÃO'!$B:$B,0)),"")</f>
        <v/>
      </c>
      <c r="F790" s="8" t="str">
        <f>IFERROR(INDEX('PROJETO PERFURAÇÃO'!$AN:$AN,MATCH(MEDIÇÃO!D790,'PROJETO PERFURAÇÃO'!$B:$B,0)),"")</f>
        <v/>
      </c>
      <c r="G790" s="3"/>
      <c r="H790" s="3"/>
      <c r="I790" s="3" t="str">
        <f>IFERROR(ROUND(INDEX('PROJETO PERFURAÇÃO'!$AB:$AB,MATCH(MEDIÇÃO!K790,'PROJETO PERFURAÇÃO'!$B:$B,0)),1)&amp;"''","")</f>
        <v/>
      </c>
      <c r="J790" s="3" t="str">
        <f>IFERROR(IF(INDEX('PROJETO PERFURAÇÃO'!$P:$P,MATCH(MEDIÇÃO!K790,'PROJETO PERFURAÇÃO'!$B:$B,0))="Production","P",IF(INDEX('PROJETO PERFURAÇÃO'!$P:$P,MATCH(MEDIÇÃO!K790,'PROJETO PERFURAÇÃO'!$B:$B,0))="Buffer","B",IF(INDEX('PROJETO PERFURAÇÃO'!$P:$P,MATCH(MEDIÇÃO!K790,'PROJETO PERFURAÇÃO'!$B:$B,0))="Pre-Splitting","S"))),"")</f>
        <v/>
      </c>
      <c r="K790" s="14">
        <f t="shared" si="76"/>
        <v>1759</v>
      </c>
      <c r="L790" s="4" t="str">
        <f>IFERROR(INDEX('LEV R&amp;D'!$D:$D,MATCH(MEDIÇÃO!K790,'LEV R&amp;D'!$A:$A,0))-INDEX('PROJETO PERFURAÇÃO'!$AH:$AH,MATCH(MEDIÇÃO!K790,'PROJETO PERFURAÇÃO'!$B:$B,0)),"")</f>
        <v/>
      </c>
      <c r="M790" s="8" t="str">
        <f>IFERROR(INDEX('PROJETO PERFURAÇÃO'!$AN:$AN,MATCH(MEDIÇÃO!K790,'PROJETO PERFURAÇÃO'!$B:$B,0)),"")</f>
        <v/>
      </c>
      <c r="N790" s="3"/>
      <c r="O790" s="3"/>
      <c r="P790" s="3" t="str">
        <f>IFERROR(ROUND(INDEX('PROJETO PERFURAÇÃO'!$AB:$AB,MATCH(MEDIÇÃO!R790,'PROJETO PERFURAÇÃO'!$B:$B,0)),1)&amp;"''","")</f>
        <v/>
      </c>
      <c r="Q790" s="3" t="str">
        <f>IFERROR(IF(INDEX('PROJETO PERFURAÇÃO'!$P:$P,MATCH(MEDIÇÃO!R790,'PROJETO PERFURAÇÃO'!$B:$B,0))="Production","P",IF(INDEX('PROJETO PERFURAÇÃO'!$P:$P,MATCH(MEDIÇÃO!R790,'PROJETO PERFURAÇÃO'!$B:$B,0))="Buffer","B",IF(INDEX('PROJETO PERFURAÇÃO'!$P:$P,MATCH(MEDIÇÃO!R790,'PROJETO PERFURAÇÃO'!$B:$B,0))="Pre-Splitting","S"))),"")</f>
        <v/>
      </c>
      <c r="R790" s="14">
        <f t="shared" si="77"/>
        <v>1782</v>
      </c>
      <c r="S790" s="4" t="str">
        <f>IFERROR(INDEX('LEV R&amp;D'!$D:$D,MATCH(MEDIÇÃO!R790,'LEV R&amp;D'!$A:$A,0))-INDEX('PROJETO PERFURAÇÃO'!$AH:$AH,MATCH(MEDIÇÃO!R790,'PROJETO PERFURAÇÃO'!$B:$B,0)),"")</f>
        <v/>
      </c>
      <c r="T790" s="8" t="str">
        <f>IFERROR(INDEX('PROJETO PERFURAÇÃO'!$AN:$AN,MATCH(MEDIÇÃO!R790,'PROJETO PERFURAÇÃO'!$B:$B,0)),"")</f>
        <v/>
      </c>
      <c r="U790" s="3"/>
      <c r="V790" s="3"/>
    </row>
    <row r="791" spans="2:22" ht="45" customHeight="1">
      <c r="B791" s="3" t="str">
        <f>IFERROR(ROUND(INDEX('PROJETO PERFURAÇÃO'!$AB:$AB,MATCH(MEDIÇÃO!D791,'PROJETO PERFURAÇÃO'!$B:$B,0)),1)&amp;"''","")</f>
        <v/>
      </c>
      <c r="C791" s="3" t="str">
        <f>IFERROR(IF(INDEX('PROJETO PERFURAÇÃO'!$P:$P,MATCH(MEDIÇÃO!D791,'PROJETO PERFURAÇÃO'!$B:$B,0))="Production","P",IF(INDEX('PROJETO PERFURAÇÃO'!$P:$P,MATCH(MEDIÇÃO!D791,'PROJETO PERFURAÇÃO'!$B:$B,0))="Buffer","B",IF(INDEX('PROJETO PERFURAÇÃO'!$P:$P,MATCH(MEDIÇÃO!D791,'PROJETO PERFURAÇÃO'!$B:$B,0))="Pre-Splitting","S"))),"")</f>
        <v/>
      </c>
      <c r="D791" s="14">
        <f t="shared" si="75"/>
        <v>1737</v>
      </c>
      <c r="E791" s="4" t="str">
        <f>IFERROR(INDEX('LEV R&amp;D'!$D:$D,MATCH(MEDIÇÃO!D791,'LEV R&amp;D'!$A:$A,0))-INDEX('PROJETO PERFURAÇÃO'!$AH:$AH,MATCH(MEDIÇÃO!D791,'PROJETO PERFURAÇÃO'!$B:$B,0)),"")</f>
        <v/>
      </c>
      <c r="F791" s="8" t="str">
        <f>IFERROR(INDEX('PROJETO PERFURAÇÃO'!$AN:$AN,MATCH(MEDIÇÃO!D791,'PROJETO PERFURAÇÃO'!$B:$B,0)),"")</f>
        <v/>
      </c>
      <c r="G791" s="3"/>
      <c r="H791" s="3"/>
      <c r="I791" s="3" t="str">
        <f>IFERROR(ROUND(INDEX('PROJETO PERFURAÇÃO'!$AB:$AB,MATCH(MEDIÇÃO!K791,'PROJETO PERFURAÇÃO'!$B:$B,0)),1)&amp;"''","")</f>
        <v/>
      </c>
      <c r="J791" s="3" t="str">
        <f>IFERROR(IF(INDEX('PROJETO PERFURAÇÃO'!$P:$P,MATCH(MEDIÇÃO!K791,'PROJETO PERFURAÇÃO'!$B:$B,0))="Production","P",IF(INDEX('PROJETO PERFURAÇÃO'!$P:$P,MATCH(MEDIÇÃO!K791,'PROJETO PERFURAÇÃO'!$B:$B,0))="Buffer","B",IF(INDEX('PROJETO PERFURAÇÃO'!$P:$P,MATCH(MEDIÇÃO!K791,'PROJETO PERFURAÇÃO'!$B:$B,0))="Pre-Splitting","S"))),"")</f>
        <v/>
      </c>
      <c r="K791" s="14">
        <f t="shared" si="76"/>
        <v>1760</v>
      </c>
      <c r="L791" s="4" t="str">
        <f>IFERROR(INDEX('LEV R&amp;D'!$D:$D,MATCH(MEDIÇÃO!K791,'LEV R&amp;D'!$A:$A,0))-INDEX('PROJETO PERFURAÇÃO'!$AH:$AH,MATCH(MEDIÇÃO!K791,'PROJETO PERFURAÇÃO'!$B:$B,0)),"")</f>
        <v/>
      </c>
      <c r="M791" s="8" t="str">
        <f>IFERROR(INDEX('PROJETO PERFURAÇÃO'!$AN:$AN,MATCH(MEDIÇÃO!K791,'PROJETO PERFURAÇÃO'!$B:$B,0)),"")</f>
        <v/>
      </c>
      <c r="N791" s="3"/>
      <c r="O791" s="3"/>
      <c r="P791" s="3" t="str">
        <f>IFERROR(ROUND(INDEX('PROJETO PERFURAÇÃO'!$AB:$AB,MATCH(MEDIÇÃO!R791,'PROJETO PERFURAÇÃO'!$B:$B,0)),1)&amp;"''","")</f>
        <v/>
      </c>
      <c r="Q791" s="3" t="str">
        <f>IFERROR(IF(INDEX('PROJETO PERFURAÇÃO'!$P:$P,MATCH(MEDIÇÃO!R791,'PROJETO PERFURAÇÃO'!$B:$B,0))="Production","P",IF(INDEX('PROJETO PERFURAÇÃO'!$P:$P,MATCH(MEDIÇÃO!R791,'PROJETO PERFURAÇÃO'!$B:$B,0))="Buffer","B",IF(INDEX('PROJETO PERFURAÇÃO'!$P:$P,MATCH(MEDIÇÃO!R791,'PROJETO PERFURAÇÃO'!$B:$B,0))="Pre-Splitting","S"))),"")</f>
        <v/>
      </c>
      <c r="R791" s="14">
        <f t="shared" si="77"/>
        <v>1783</v>
      </c>
      <c r="S791" s="4" t="str">
        <f>IFERROR(INDEX('LEV R&amp;D'!$D:$D,MATCH(MEDIÇÃO!R791,'LEV R&amp;D'!$A:$A,0))-INDEX('PROJETO PERFURAÇÃO'!$AH:$AH,MATCH(MEDIÇÃO!R791,'PROJETO PERFURAÇÃO'!$B:$B,0)),"")</f>
        <v/>
      </c>
      <c r="T791" s="8" t="str">
        <f>IFERROR(INDEX('PROJETO PERFURAÇÃO'!$AN:$AN,MATCH(MEDIÇÃO!R791,'PROJETO PERFURAÇÃO'!$B:$B,0)),"")</f>
        <v/>
      </c>
      <c r="U791" s="3"/>
      <c r="V791" s="3"/>
    </row>
    <row r="792" spans="2:22" ht="45" customHeight="1">
      <c r="B792" s="3" t="str">
        <f>IFERROR(ROUND(INDEX('PROJETO PERFURAÇÃO'!$AB:$AB,MATCH(MEDIÇÃO!D792,'PROJETO PERFURAÇÃO'!$B:$B,0)),1)&amp;"''","")</f>
        <v/>
      </c>
      <c r="C792" s="3" t="str">
        <f>IFERROR(IF(INDEX('PROJETO PERFURAÇÃO'!$P:$P,MATCH(MEDIÇÃO!D792,'PROJETO PERFURAÇÃO'!$B:$B,0))="Production","P",IF(INDEX('PROJETO PERFURAÇÃO'!$P:$P,MATCH(MEDIÇÃO!D792,'PROJETO PERFURAÇÃO'!$B:$B,0))="Buffer","B",IF(INDEX('PROJETO PERFURAÇÃO'!$P:$P,MATCH(MEDIÇÃO!D792,'PROJETO PERFURAÇÃO'!$B:$B,0))="Pre-Splitting","S"))),"")</f>
        <v/>
      </c>
      <c r="D792" s="14">
        <f t="shared" si="75"/>
        <v>1738</v>
      </c>
      <c r="E792" s="4" t="str">
        <f>IFERROR(INDEX('LEV R&amp;D'!$D:$D,MATCH(MEDIÇÃO!D792,'LEV R&amp;D'!$A:$A,0))-INDEX('PROJETO PERFURAÇÃO'!$AH:$AH,MATCH(MEDIÇÃO!D792,'PROJETO PERFURAÇÃO'!$B:$B,0)),"")</f>
        <v/>
      </c>
      <c r="F792" s="8" t="str">
        <f>IFERROR(INDEX('PROJETO PERFURAÇÃO'!$AN:$AN,MATCH(MEDIÇÃO!D792,'PROJETO PERFURAÇÃO'!$B:$B,0)),"")</f>
        <v/>
      </c>
      <c r="G792" s="3"/>
      <c r="H792" s="3"/>
      <c r="I792" s="3" t="str">
        <f>IFERROR(ROUND(INDEX('PROJETO PERFURAÇÃO'!$AB:$AB,MATCH(MEDIÇÃO!K792,'PROJETO PERFURAÇÃO'!$B:$B,0)),1)&amp;"''","")</f>
        <v/>
      </c>
      <c r="J792" s="3" t="str">
        <f>IFERROR(IF(INDEX('PROJETO PERFURAÇÃO'!$P:$P,MATCH(MEDIÇÃO!K792,'PROJETO PERFURAÇÃO'!$B:$B,0))="Production","P",IF(INDEX('PROJETO PERFURAÇÃO'!$P:$P,MATCH(MEDIÇÃO!K792,'PROJETO PERFURAÇÃO'!$B:$B,0))="Buffer","B",IF(INDEX('PROJETO PERFURAÇÃO'!$P:$P,MATCH(MEDIÇÃO!K792,'PROJETO PERFURAÇÃO'!$B:$B,0))="Pre-Splitting","S"))),"")</f>
        <v/>
      </c>
      <c r="K792" s="14">
        <f t="shared" si="76"/>
        <v>1761</v>
      </c>
      <c r="L792" s="4" t="str">
        <f>IFERROR(INDEX('LEV R&amp;D'!$D:$D,MATCH(MEDIÇÃO!K792,'LEV R&amp;D'!$A:$A,0))-INDEX('PROJETO PERFURAÇÃO'!$AH:$AH,MATCH(MEDIÇÃO!K792,'PROJETO PERFURAÇÃO'!$B:$B,0)),"")</f>
        <v/>
      </c>
      <c r="M792" s="8" t="str">
        <f>IFERROR(INDEX('PROJETO PERFURAÇÃO'!$AN:$AN,MATCH(MEDIÇÃO!K792,'PROJETO PERFURAÇÃO'!$B:$B,0)),"")</f>
        <v/>
      </c>
      <c r="N792" s="3"/>
      <c r="O792" s="3"/>
      <c r="P792" s="3" t="str">
        <f>IFERROR(ROUND(INDEX('PROJETO PERFURAÇÃO'!$AB:$AB,MATCH(MEDIÇÃO!R792,'PROJETO PERFURAÇÃO'!$B:$B,0)),1)&amp;"''","")</f>
        <v/>
      </c>
      <c r="Q792" s="3" t="str">
        <f>IFERROR(IF(INDEX('PROJETO PERFURAÇÃO'!$P:$P,MATCH(MEDIÇÃO!R792,'PROJETO PERFURAÇÃO'!$B:$B,0))="Production","P",IF(INDEX('PROJETO PERFURAÇÃO'!$P:$P,MATCH(MEDIÇÃO!R792,'PROJETO PERFURAÇÃO'!$B:$B,0))="Buffer","B",IF(INDEX('PROJETO PERFURAÇÃO'!$P:$P,MATCH(MEDIÇÃO!R792,'PROJETO PERFURAÇÃO'!$B:$B,0))="Pre-Splitting","S"))),"")</f>
        <v/>
      </c>
      <c r="R792" s="14">
        <f t="shared" si="77"/>
        <v>1784</v>
      </c>
      <c r="S792" s="4" t="str">
        <f>IFERROR(INDEX('LEV R&amp;D'!$D:$D,MATCH(MEDIÇÃO!R792,'LEV R&amp;D'!$A:$A,0))-INDEX('PROJETO PERFURAÇÃO'!$AH:$AH,MATCH(MEDIÇÃO!R792,'PROJETO PERFURAÇÃO'!$B:$B,0)),"")</f>
        <v/>
      </c>
      <c r="T792" s="8" t="str">
        <f>IFERROR(INDEX('PROJETO PERFURAÇÃO'!$AN:$AN,MATCH(MEDIÇÃO!R792,'PROJETO PERFURAÇÃO'!$B:$B,0)),"")</f>
        <v/>
      </c>
      <c r="U792" s="3"/>
      <c r="V792" s="3"/>
    </row>
    <row r="793" spans="2:22" ht="45" customHeight="1">
      <c r="B793" s="3" t="str">
        <f>IFERROR(ROUND(INDEX('PROJETO PERFURAÇÃO'!$AB:$AB,MATCH(MEDIÇÃO!D793,'PROJETO PERFURAÇÃO'!$B:$B,0)),1)&amp;"''","")</f>
        <v/>
      </c>
      <c r="C793" s="3" t="str">
        <f>IFERROR(IF(INDEX('PROJETO PERFURAÇÃO'!$P:$P,MATCH(MEDIÇÃO!D793,'PROJETO PERFURAÇÃO'!$B:$B,0))="Production","P",IF(INDEX('PROJETO PERFURAÇÃO'!$P:$P,MATCH(MEDIÇÃO!D793,'PROJETO PERFURAÇÃO'!$B:$B,0))="Buffer","B",IF(INDEX('PROJETO PERFURAÇÃO'!$P:$P,MATCH(MEDIÇÃO!D793,'PROJETO PERFURAÇÃO'!$B:$B,0))="Pre-Splitting","S"))),"")</f>
        <v/>
      </c>
      <c r="D793" s="14">
        <f t="shared" si="75"/>
        <v>1739</v>
      </c>
      <c r="E793" s="4" t="str">
        <f>IFERROR(INDEX('LEV R&amp;D'!$D:$D,MATCH(MEDIÇÃO!D793,'LEV R&amp;D'!$A:$A,0))-INDEX('PROJETO PERFURAÇÃO'!$AH:$AH,MATCH(MEDIÇÃO!D793,'PROJETO PERFURAÇÃO'!$B:$B,0)),"")</f>
        <v/>
      </c>
      <c r="F793" s="8" t="str">
        <f>IFERROR(INDEX('PROJETO PERFURAÇÃO'!$AN:$AN,MATCH(MEDIÇÃO!D793,'PROJETO PERFURAÇÃO'!$B:$B,0)),"")</f>
        <v/>
      </c>
      <c r="G793" s="3"/>
      <c r="H793" s="3"/>
      <c r="I793" s="3" t="str">
        <f>IFERROR(ROUND(INDEX('PROJETO PERFURAÇÃO'!$AB:$AB,MATCH(MEDIÇÃO!K793,'PROJETO PERFURAÇÃO'!$B:$B,0)),1)&amp;"''","")</f>
        <v/>
      </c>
      <c r="J793" s="3" t="str">
        <f>IFERROR(IF(INDEX('PROJETO PERFURAÇÃO'!$P:$P,MATCH(MEDIÇÃO!K793,'PROJETO PERFURAÇÃO'!$B:$B,0))="Production","P",IF(INDEX('PROJETO PERFURAÇÃO'!$P:$P,MATCH(MEDIÇÃO!K793,'PROJETO PERFURAÇÃO'!$B:$B,0))="Buffer","B",IF(INDEX('PROJETO PERFURAÇÃO'!$P:$P,MATCH(MEDIÇÃO!K793,'PROJETO PERFURAÇÃO'!$B:$B,0))="Pre-Splitting","S"))),"")</f>
        <v/>
      </c>
      <c r="K793" s="14">
        <f t="shared" si="76"/>
        <v>1762</v>
      </c>
      <c r="L793" s="4" t="str">
        <f>IFERROR(INDEX('LEV R&amp;D'!$D:$D,MATCH(MEDIÇÃO!K793,'LEV R&amp;D'!$A:$A,0))-INDEX('PROJETO PERFURAÇÃO'!$AH:$AH,MATCH(MEDIÇÃO!K793,'PROJETO PERFURAÇÃO'!$B:$B,0)),"")</f>
        <v/>
      </c>
      <c r="M793" s="8" t="str">
        <f>IFERROR(INDEX('PROJETO PERFURAÇÃO'!$AN:$AN,MATCH(MEDIÇÃO!K793,'PROJETO PERFURAÇÃO'!$B:$B,0)),"")</f>
        <v/>
      </c>
      <c r="N793" s="3"/>
      <c r="O793" s="3"/>
      <c r="P793" s="3" t="str">
        <f>IFERROR(ROUND(INDEX('PROJETO PERFURAÇÃO'!$AB:$AB,MATCH(MEDIÇÃO!R793,'PROJETO PERFURAÇÃO'!$B:$B,0)),1)&amp;"''","")</f>
        <v/>
      </c>
      <c r="Q793" s="3" t="str">
        <f>IFERROR(IF(INDEX('PROJETO PERFURAÇÃO'!$P:$P,MATCH(MEDIÇÃO!R793,'PROJETO PERFURAÇÃO'!$B:$B,0))="Production","P",IF(INDEX('PROJETO PERFURAÇÃO'!$P:$P,MATCH(MEDIÇÃO!R793,'PROJETO PERFURAÇÃO'!$B:$B,0))="Buffer","B",IF(INDEX('PROJETO PERFURAÇÃO'!$P:$P,MATCH(MEDIÇÃO!R793,'PROJETO PERFURAÇÃO'!$B:$B,0))="Pre-Splitting","S"))),"")</f>
        <v/>
      </c>
      <c r="R793" s="14">
        <f t="shared" si="77"/>
        <v>1785</v>
      </c>
      <c r="S793" s="4" t="str">
        <f>IFERROR(INDEX('LEV R&amp;D'!$D:$D,MATCH(MEDIÇÃO!R793,'LEV R&amp;D'!$A:$A,0))-INDEX('PROJETO PERFURAÇÃO'!$AH:$AH,MATCH(MEDIÇÃO!R793,'PROJETO PERFURAÇÃO'!$B:$B,0)),"")</f>
        <v/>
      </c>
      <c r="T793" s="8" t="str">
        <f>IFERROR(INDEX('PROJETO PERFURAÇÃO'!$AN:$AN,MATCH(MEDIÇÃO!R793,'PROJETO PERFURAÇÃO'!$B:$B,0)),"")</f>
        <v/>
      </c>
      <c r="U793" s="3"/>
      <c r="V793" s="3"/>
    </row>
    <row r="794" spans="2:22" ht="45" customHeight="1">
      <c r="B794" s="3" t="str">
        <f>IFERROR(ROUND(INDEX('PROJETO PERFURAÇÃO'!$AB:$AB,MATCH(MEDIÇÃO!D794,'PROJETO PERFURAÇÃO'!$B:$B,0)),1)&amp;"''","")</f>
        <v/>
      </c>
      <c r="C794" s="3" t="str">
        <f>IFERROR(IF(INDEX('PROJETO PERFURAÇÃO'!$P:$P,MATCH(MEDIÇÃO!D794,'PROJETO PERFURAÇÃO'!$B:$B,0))="Production","P",IF(INDEX('PROJETO PERFURAÇÃO'!$P:$P,MATCH(MEDIÇÃO!D794,'PROJETO PERFURAÇÃO'!$B:$B,0))="Buffer","B",IF(INDEX('PROJETO PERFURAÇÃO'!$P:$P,MATCH(MEDIÇÃO!D794,'PROJETO PERFURAÇÃO'!$B:$B,0))="Pre-Splitting","S"))),"")</f>
        <v/>
      </c>
      <c r="D794" s="14">
        <f t="shared" si="75"/>
        <v>1740</v>
      </c>
      <c r="E794" s="4" t="str">
        <f>IFERROR(INDEX('LEV R&amp;D'!$D:$D,MATCH(MEDIÇÃO!D794,'LEV R&amp;D'!$A:$A,0))-INDEX('PROJETO PERFURAÇÃO'!$AH:$AH,MATCH(MEDIÇÃO!D794,'PROJETO PERFURAÇÃO'!$B:$B,0)),"")</f>
        <v/>
      </c>
      <c r="F794" s="8" t="str">
        <f>IFERROR(INDEX('PROJETO PERFURAÇÃO'!$AN:$AN,MATCH(MEDIÇÃO!D794,'PROJETO PERFURAÇÃO'!$B:$B,0)),"")</f>
        <v/>
      </c>
      <c r="G794" s="3"/>
      <c r="H794" s="3"/>
      <c r="I794" s="3" t="str">
        <f>IFERROR(ROUND(INDEX('PROJETO PERFURAÇÃO'!$AB:$AB,MATCH(MEDIÇÃO!K794,'PROJETO PERFURAÇÃO'!$B:$B,0)),1)&amp;"''","")</f>
        <v/>
      </c>
      <c r="J794" s="3" t="str">
        <f>IFERROR(IF(INDEX('PROJETO PERFURAÇÃO'!$P:$P,MATCH(MEDIÇÃO!K794,'PROJETO PERFURAÇÃO'!$B:$B,0))="Production","P",IF(INDEX('PROJETO PERFURAÇÃO'!$P:$P,MATCH(MEDIÇÃO!K794,'PROJETO PERFURAÇÃO'!$B:$B,0))="Buffer","B",IF(INDEX('PROJETO PERFURAÇÃO'!$P:$P,MATCH(MEDIÇÃO!K794,'PROJETO PERFURAÇÃO'!$B:$B,0))="Pre-Splitting","S"))),"")</f>
        <v/>
      </c>
      <c r="K794" s="14">
        <f t="shared" si="76"/>
        <v>1763</v>
      </c>
      <c r="L794" s="4" t="str">
        <f>IFERROR(INDEX('LEV R&amp;D'!$D:$D,MATCH(MEDIÇÃO!K794,'LEV R&amp;D'!$A:$A,0))-INDEX('PROJETO PERFURAÇÃO'!$AH:$AH,MATCH(MEDIÇÃO!K794,'PROJETO PERFURAÇÃO'!$B:$B,0)),"")</f>
        <v/>
      </c>
      <c r="M794" s="8" t="str">
        <f>IFERROR(INDEX('PROJETO PERFURAÇÃO'!$AN:$AN,MATCH(MEDIÇÃO!K794,'PROJETO PERFURAÇÃO'!$B:$B,0)),"")</f>
        <v/>
      </c>
      <c r="N794" s="3"/>
      <c r="O794" s="3"/>
      <c r="P794" s="3" t="str">
        <f>IFERROR(ROUND(INDEX('PROJETO PERFURAÇÃO'!$AB:$AB,MATCH(MEDIÇÃO!R794,'PROJETO PERFURAÇÃO'!$B:$B,0)),1)&amp;"''","")</f>
        <v/>
      </c>
      <c r="Q794" s="3" t="str">
        <f>IFERROR(IF(INDEX('PROJETO PERFURAÇÃO'!$P:$P,MATCH(MEDIÇÃO!R794,'PROJETO PERFURAÇÃO'!$B:$B,0))="Production","P",IF(INDEX('PROJETO PERFURAÇÃO'!$P:$P,MATCH(MEDIÇÃO!R794,'PROJETO PERFURAÇÃO'!$B:$B,0))="Buffer","B",IF(INDEX('PROJETO PERFURAÇÃO'!$P:$P,MATCH(MEDIÇÃO!R794,'PROJETO PERFURAÇÃO'!$B:$B,0))="Pre-Splitting","S"))),"")</f>
        <v/>
      </c>
      <c r="R794" s="14">
        <f t="shared" si="77"/>
        <v>1786</v>
      </c>
      <c r="S794" s="4" t="str">
        <f>IFERROR(INDEX('LEV R&amp;D'!$D:$D,MATCH(MEDIÇÃO!R794,'LEV R&amp;D'!$A:$A,0))-INDEX('PROJETO PERFURAÇÃO'!$AH:$AH,MATCH(MEDIÇÃO!R794,'PROJETO PERFURAÇÃO'!$B:$B,0)),"")</f>
        <v/>
      </c>
      <c r="T794" s="8" t="str">
        <f>IFERROR(INDEX('PROJETO PERFURAÇÃO'!$AN:$AN,MATCH(MEDIÇÃO!R794,'PROJETO PERFURAÇÃO'!$B:$B,0)),"")</f>
        <v/>
      </c>
      <c r="U794" s="3"/>
      <c r="V794" s="3"/>
    </row>
    <row r="795" spans="2:22" ht="45" customHeight="1">
      <c r="B795" s="3" t="str">
        <f>IFERROR(ROUND(INDEX('PROJETO PERFURAÇÃO'!$AB:$AB,MATCH(MEDIÇÃO!D795,'PROJETO PERFURAÇÃO'!$B:$B,0)),1)&amp;"''","")</f>
        <v/>
      </c>
      <c r="C795" s="3" t="str">
        <f>IFERROR(IF(INDEX('PROJETO PERFURAÇÃO'!$P:$P,MATCH(MEDIÇÃO!D795,'PROJETO PERFURAÇÃO'!$B:$B,0))="Production","P",IF(INDEX('PROJETO PERFURAÇÃO'!$P:$P,MATCH(MEDIÇÃO!D795,'PROJETO PERFURAÇÃO'!$B:$B,0))="Buffer","B",IF(INDEX('PROJETO PERFURAÇÃO'!$P:$P,MATCH(MEDIÇÃO!D795,'PROJETO PERFURAÇÃO'!$B:$B,0))="Pre-Splitting","S"))),"")</f>
        <v/>
      </c>
      <c r="D795" s="14">
        <f t="shared" si="75"/>
        <v>1741</v>
      </c>
      <c r="E795" s="4" t="str">
        <f>IFERROR(INDEX('LEV R&amp;D'!$D:$D,MATCH(MEDIÇÃO!D795,'LEV R&amp;D'!$A:$A,0))-INDEX('PROJETO PERFURAÇÃO'!$AH:$AH,MATCH(MEDIÇÃO!D795,'PROJETO PERFURAÇÃO'!$B:$B,0)),"")</f>
        <v/>
      </c>
      <c r="F795" s="8" t="str">
        <f>IFERROR(INDEX('PROJETO PERFURAÇÃO'!$AN:$AN,MATCH(MEDIÇÃO!D795,'PROJETO PERFURAÇÃO'!$B:$B,0)),"")</f>
        <v/>
      </c>
      <c r="G795" s="3"/>
      <c r="H795" s="3"/>
      <c r="I795" s="3" t="str">
        <f>IFERROR(ROUND(INDEX('PROJETO PERFURAÇÃO'!$AB:$AB,MATCH(MEDIÇÃO!K795,'PROJETO PERFURAÇÃO'!$B:$B,0)),1)&amp;"''","")</f>
        <v/>
      </c>
      <c r="J795" s="3" t="str">
        <f>IFERROR(IF(INDEX('PROJETO PERFURAÇÃO'!$P:$P,MATCH(MEDIÇÃO!K795,'PROJETO PERFURAÇÃO'!$B:$B,0))="Production","P",IF(INDEX('PROJETO PERFURAÇÃO'!$P:$P,MATCH(MEDIÇÃO!K795,'PROJETO PERFURAÇÃO'!$B:$B,0))="Buffer","B",IF(INDEX('PROJETO PERFURAÇÃO'!$P:$P,MATCH(MEDIÇÃO!K795,'PROJETO PERFURAÇÃO'!$B:$B,0))="Pre-Splitting","S"))),"")</f>
        <v/>
      </c>
      <c r="K795" s="14">
        <f t="shared" si="76"/>
        <v>1764</v>
      </c>
      <c r="L795" s="4" t="str">
        <f>IFERROR(INDEX('LEV R&amp;D'!$D:$D,MATCH(MEDIÇÃO!K795,'LEV R&amp;D'!$A:$A,0))-INDEX('PROJETO PERFURAÇÃO'!$AH:$AH,MATCH(MEDIÇÃO!K795,'PROJETO PERFURAÇÃO'!$B:$B,0)),"")</f>
        <v/>
      </c>
      <c r="M795" s="8" t="str">
        <f>IFERROR(INDEX('PROJETO PERFURAÇÃO'!$AN:$AN,MATCH(MEDIÇÃO!K795,'PROJETO PERFURAÇÃO'!$B:$B,0)),"")</f>
        <v/>
      </c>
      <c r="N795" s="3"/>
      <c r="O795" s="3"/>
      <c r="P795" s="3" t="str">
        <f>IFERROR(ROUND(INDEX('PROJETO PERFURAÇÃO'!$AB:$AB,MATCH(MEDIÇÃO!R795,'PROJETO PERFURAÇÃO'!$B:$B,0)),1)&amp;"''","")</f>
        <v/>
      </c>
      <c r="Q795" s="3" t="str">
        <f>IFERROR(IF(INDEX('PROJETO PERFURAÇÃO'!$P:$P,MATCH(MEDIÇÃO!R795,'PROJETO PERFURAÇÃO'!$B:$B,0))="Production","P",IF(INDEX('PROJETO PERFURAÇÃO'!$P:$P,MATCH(MEDIÇÃO!R795,'PROJETO PERFURAÇÃO'!$B:$B,0))="Buffer","B",IF(INDEX('PROJETO PERFURAÇÃO'!$P:$P,MATCH(MEDIÇÃO!R795,'PROJETO PERFURAÇÃO'!$B:$B,0))="Pre-Splitting","S"))),"")</f>
        <v/>
      </c>
      <c r="R795" s="14">
        <f t="shared" si="77"/>
        <v>1787</v>
      </c>
      <c r="S795" s="4" t="str">
        <f>IFERROR(INDEX('LEV R&amp;D'!$D:$D,MATCH(MEDIÇÃO!R795,'LEV R&amp;D'!$A:$A,0))-INDEX('PROJETO PERFURAÇÃO'!$AH:$AH,MATCH(MEDIÇÃO!R795,'PROJETO PERFURAÇÃO'!$B:$B,0)),"")</f>
        <v/>
      </c>
      <c r="T795" s="8" t="str">
        <f>IFERROR(INDEX('PROJETO PERFURAÇÃO'!$AN:$AN,MATCH(MEDIÇÃO!R795,'PROJETO PERFURAÇÃO'!$B:$B,0)),"")</f>
        <v/>
      </c>
      <c r="U795" s="3"/>
      <c r="V795" s="3"/>
    </row>
    <row r="796" spans="2:22" ht="45" customHeight="1">
      <c r="B796" s="3" t="str">
        <f>IFERROR(ROUND(INDEX('PROJETO PERFURAÇÃO'!$AB:$AB,MATCH(MEDIÇÃO!D796,'PROJETO PERFURAÇÃO'!$B:$B,0)),1)&amp;"''","")</f>
        <v/>
      </c>
      <c r="C796" s="3" t="str">
        <f>IFERROR(IF(INDEX('PROJETO PERFURAÇÃO'!$P:$P,MATCH(MEDIÇÃO!D796,'PROJETO PERFURAÇÃO'!$B:$B,0))="Production","P",IF(INDEX('PROJETO PERFURAÇÃO'!$P:$P,MATCH(MEDIÇÃO!D796,'PROJETO PERFURAÇÃO'!$B:$B,0))="Buffer","B",IF(INDEX('PROJETO PERFURAÇÃO'!$P:$P,MATCH(MEDIÇÃO!D796,'PROJETO PERFURAÇÃO'!$B:$B,0))="Pre-Splitting","S"))),"")</f>
        <v/>
      </c>
      <c r="D796" s="14">
        <f t="shared" si="75"/>
        <v>1742</v>
      </c>
      <c r="E796" s="4" t="str">
        <f>IFERROR(INDEX('LEV R&amp;D'!$D:$D,MATCH(MEDIÇÃO!D796,'LEV R&amp;D'!$A:$A,0))-INDEX('PROJETO PERFURAÇÃO'!$AH:$AH,MATCH(MEDIÇÃO!D796,'PROJETO PERFURAÇÃO'!$B:$B,0)),"")</f>
        <v/>
      </c>
      <c r="F796" s="8" t="str">
        <f>IFERROR(INDEX('PROJETO PERFURAÇÃO'!$AN:$AN,MATCH(MEDIÇÃO!D796,'PROJETO PERFURAÇÃO'!$B:$B,0)),"")</f>
        <v/>
      </c>
      <c r="G796" s="3"/>
      <c r="H796" s="3"/>
      <c r="I796" s="3" t="str">
        <f>IFERROR(ROUND(INDEX('PROJETO PERFURAÇÃO'!$AB:$AB,MATCH(MEDIÇÃO!K796,'PROJETO PERFURAÇÃO'!$B:$B,0)),1)&amp;"''","")</f>
        <v/>
      </c>
      <c r="J796" s="3" t="str">
        <f>IFERROR(IF(INDEX('PROJETO PERFURAÇÃO'!$P:$P,MATCH(MEDIÇÃO!K796,'PROJETO PERFURAÇÃO'!$B:$B,0))="Production","P",IF(INDEX('PROJETO PERFURAÇÃO'!$P:$P,MATCH(MEDIÇÃO!K796,'PROJETO PERFURAÇÃO'!$B:$B,0))="Buffer","B",IF(INDEX('PROJETO PERFURAÇÃO'!$P:$P,MATCH(MEDIÇÃO!K796,'PROJETO PERFURAÇÃO'!$B:$B,0))="Pre-Splitting","S"))),"")</f>
        <v/>
      </c>
      <c r="K796" s="14">
        <f t="shared" si="76"/>
        <v>1765</v>
      </c>
      <c r="L796" s="4" t="str">
        <f>IFERROR(INDEX('LEV R&amp;D'!$D:$D,MATCH(MEDIÇÃO!K796,'LEV R&amp;D'!$A:$A,0))-INDEX('PROJETO PERFURAÇÃO'!$AH:$AH,MATCH(MEDIÇÃO!K796,'PROJETO PERFURAÇÃO'!$B:$B,0)),"")</f>
        <v/>
      </c>
      <c r="M796" s="8" t="str">
        <f>IFERROR(INDEX('PROJETO PERFURAÇÃO'!$AN:$AN,MATCH(MEDIÇÃO!K796,'PROJETO PERFURAÇÃO'!$B:$B,0)),"")</f>
        <v/>
      </c>
      <c r="N796" s="3"/>
      <c r="O796" s="3"/>
      <c r="P796" s="3" t="str">
        <f>IFERROR(ROUND(INDEX('PROJETO PERFURAÇÃO'!$AB:$AB,MATCH(MEDIÇÃO!R796,'PROJETO PERFURAÇÃO'!$B:$B,0)),1)&amp;"''","")</f>
        <v/>
      </c>
      <c r="Q796" s="3" t="str">
        <f>IFERROR(IF(INDEX('PROJETO PERFURAÇÃO'!$P:$P,MATCH(MEDIÇÃO!R796,'PROJETO PERFURAÇÃO'!$B:$B,0))="Production","P",IF(INDEX('PROJETO PERFURAÇÃO'!$P:$P,MATCH(MEDIÇÃO!R796,'PROJETO PERFURAÇÃO'!$B:$B,0))="Buffer","B",IF(INDEX('PROJETO PERFURAÇÃO'!$P:$P,MATCH(MEDIÇÃO!R796,'PROJETO PERFURAÇÃO'!$B:$B,0))="Pre-Splitting","S"))),"")</f>
        <v/>
      </c>
      <c r="R796" s="14">
        <f t="shared" si="77"/>
        <v>1788</v>
      </c>
      <c r="S796" s="4" t="str">
        <f>IFERROR(INDEX('LEV R&amp;D'!$D:$D,MATCH(MEDIÇÃO!R796,'LEV R&amp;D'!$A:$A,0))-INDEX('PROJETO PERFURAÇÃO'!$AH:$AH,MATCH(MEDIÇÃO!R796,'PROJETO PERFURAÇÃO'!$B:$B,0)),"")</f>
        <v/>
      </c>
      <c r="T796" s="8" t="str">
        <f>IFERROR(INDEX('PROJETO PERFURAÇÃO'!$AN:$AN,MATCH(MEDIÇÃO!R796,'PROJETO PERFURAÇÃO'!$B:$B,0)),"")</f>
        <v/>
      </c>
      <c r="U796" s="3"/>
      <c r="V796" s="3"/>
    </row>
    <row r="797" spans="2:22" ht="45" customHeight="1">
      <c r="B797" s="3" t="str">
        <f>IFERROR(ROUND(INDEX('PROJETO PERFURAÇÃO'!$AB:$AB,MATCH(MEDIÇÃO!D797,'PROJETO PERFURAÇÃO'!$B:$B,0)),1)&amp;"''","")</f>
        <v/>
      </c>
      <c r="C797" s="3" t="str">
        <f>IFERROR(IF(INDEX('PROJETO PERFURAÇÃO'!$P:$P,MATCH(MEDIÇÃO!D797,'PROJETO PERFURAÇÃO'!$B:$B,0))="Production","P",IF(INDEX('PROJETO PERFURAÇÃO'!$P:$P,MATCH(MEDIÇÃO!D797,'PROJETO PERFURAÇÃO'!$B:$B,0))="Buffer","B",IF(INDEX('PROJETO PERFURAÇÃO'!$P:$P,MATCH(MEDIÇÃO!D797,'PROJETO PERFURAÇÃO'!$B:$B,0))="Pre-Splitting","S"))),"")</f>
        <v/>
      </c>
      <c r="D797" s="14">
        <f t="shared" si="75"/>
        <v>1743</v>
      </c>
      <c r="E797" s="4" t="str">
        <f>IFERROR(INDEX('LEV R&amp;D'!$D:$D,MATCH(MEDIÇÃO!D797,'LEV R&amp;D'!$A:$A,0))-INDEX('PROJETO PERFURAÇÃO'!$AH:$AH,MATCH(MEDIÇÃO!D797,'PROJETO PERFURAÇÃO'!$B:$B,0)),"")</f>
        <v/>
      </c>
      <c r="F797" s="8" t="str">
        <f>IFERROR(INDEX('PROJETO PERFURAÇÃO'!$AN:$AN,MATCH(MEDIÇÃO!D797,'PROJETO PERFURAÇÃO'!$B:$B,0)),"")</f>
        <v/>
      </c>
      <c r="G797" s="3"/>
      <c r="H797" s="3"/>
      <c r="I797" s="3" t="str">
        <f>IFERROR(ROUND(INDEX('PROJETO PERFURAÇÃO'!$AB:$AB,MATCH(MEDIÇÃO!K797,'PROJETO PERFURAÇÃO'!$B:$B,0)),1)&amp;"''","")</f>
        <v/>
      </c>
      <c r="J797" s="3" t="str">
        <f>IFERROR(IF(INDEX('PROJETO PERFURAÇÃO'!$P:$P,MATCH(MEDIÇÃO!K797,'PROJETO PERFURAÇÃO'!$B:$B,0))="Production","P",IF(INDEX('PROJETO PERFURAÇÃO'!$P:$P,MATCH(MEDIÇÃO!K797,'PROJETO PERFURAÇÃO'!$B:$B,0))="Buffer","B",IF(INDEX('PROJETO PERFURAÇÃO'!$P:$P,MATCH(MEDIÇÃO!K797,'PROJETO PERFURAÇÃO'!$B:$B,0))="Pre-Splitting","S"))),"")</f>
        <v/>
      </c>
      <c r="K797" s="14">
        <f t="shared" si="76"/>
        <v>1766</v>
      </c>
      <c r="L797" s="4" t="str">
        <f>IFERROR(INDEX('LEV R&amp;D'!$D:$D,MATCH(MEDIÇÃO!K797,'LEV R&amp;D'!$A:$A,0))-INDEX('PROJETO PERFURAÇÃO'!$AH:$AH,MATCH(MEDIÇÃO!K797,'PROJETO PERFURAÇÃO'!$B:$B,0)),"")</f>
        <v/>
      </c>
      <c r="M797" s="8" t="str">
        <f>IFERROR(INDEX('PROJETO PERFURAÇÃO'!$AN:$AN,MATCH(MEDIÇÃO!K797,'PROJETO PERFURAÇÃO'!$B:$B,0)),"")</f>
        <v/>
      </c>
      <c r="N797" s="3"/>
      <c r="O797" s="3"/>
      <c r="P797" s="3" t="str">
        <f>IFERROR(ROUND(INDEX('PROJETO PERFURAÇÃO'!$AB:$AB,MATCH(MEDIÇÃO!R797,'PROJETO PERFURAÇÃO'!$B:$B,0)),1)&amp;"''","")</f>
        <v/>
      </c>
      <c r="Q797" s="3" t="str">
        <f>IFERROR(IF(INDEX('PROJETO PERFURAÇÃO'!$P:$P,MATCH(MEDIÇÃO!R797,'PROJETO PERFURAÇÃO'!$B:$B,0))="Production","P",IF(INDEX('PROJETO PERFURAÇÃO'!$P:$P,MATCH(MEDIÇÃO!R797,'PROJETO PERFURAÇÃO'!$B:$B,0))="Buffer","B",IF(INDEX('PROJETO PERFURAÇÃO'!$P:$P,MATCH(MEDIÇÃO!R797,'PROJETO PERFURAÇÃO'!$B:$B,0))="Pre-Splitting","S"))),"")</f>
        <v/>
      </c>
      <c r="R797" s="14">
        <f t="shared" si="77"/>
        <v>1789</v>
      </c>
      <c r="S797" s="4" t="str">
        <f>IFERROR(INDEX('LEV R&amp;D'!$D:$D,MATCH(MEDIÇÃO!R797,'LEV R&amp;D'!$A:$A,0))-INDEX('PROJETO PERFURAÇÃO'!$AH:$AH,MATCH(MEDIÇÃO!R797,'PROJETO PERFURAÇÃO'!$B:$B,0)),"")</f>
        <v/>
      </c>
      <c r="T797" s="8" t="str">
        <f>IFERROR(INDEX('PROJETO PERFURAÇÃO'!$AN:$AN,MATCH(MEDIÇÃO!R797,'PROJETO PERFURAÇÃO'!$B:$B,0)),"")</f>
        <v/>
      </c>
      <c r="U797" s="3"/>
      <c r="V797" s="3"/>
    </row>
    <row r="798" spans="2:22" ht="45" customHeight="1">
      <c r="B798" s="3" t="str">
        <f>IFERROR(ROUND(INDEX('PROJETO PERFURAÇÃO'!$AB:$AB,MATCH(MEDIÇÃO!D798,'PROJETO PERFURAÇÃO'!$B:$B,0)),1)&amp;"''","")</f>
        <v/>
      </c>
      <c r="C798" s="3" t="str">
        <f>IFERROR(IF(INDEX('PROJETO PERFURAÇÃO'!$P:$P,MATCH(MEDIÇÃO!D798,'PROJETO PERFURAÇÃO'!$B:$B,0))="Production","P",IF(INDEX('PROJETO PERFURAÇÃO'!$P:$P,MATCH(MEDIÇÃO!D798,'PROJETO PERFURAÇÃO'!$B:$B,0))="Buffer","B",IF(INDEX('PROJETO PERFURAÇÃO'!$P:$P,MATCH(MEDIÇÃO!D798,'PROJETO PERFURAÇÃO'!$B:$B,0))="Pre-Splitting","S"))),"")</f>
        <v/>
      </c>
      <c r="D798" s="14">
        <f t="shared" si="75"/>
        <v>1744</v>
      </c>
      <c r="E798" s="4" t="str">
        <f>IFERROR(INDEX('LEV R&amp;D'!$D:$D,MATCH(MEDIÇÃO!D798,'LEV R&amp;D'!$A:$A,0))-INDEX('PROJETO PERFURAÇÃO'!$AH:$AH,MATCH(MEDIÇÃO!D798,'PROJETO PERFURAÇÃO'!$B:$B,0)),"")</f>
        <v/>
      </c>
      <c r="F798" s="8" t="str">
        <f>IFERROR(INDEX('PROJETO PERFURAÇÃO'!$AN:$AN,MATCH(MEDIÇÃO!D798,'PROJETO PERFURAÇÃO'!$B:$B,0)),"")</f>
        <v/>
      </c>
      <c r="G798" s="3"/>
      <c r="H798" s="3"/>
      <c r="I798" s="3" t="str">
        <f>IFERROR(ROUND(INDEX('PROJETO PERFURAÇÃO'!$AB:$AB,MATCH(MEDIÇÃO!K798,'PROJETO PERFURAÇÃO'!$B:$B,0)),1)&amp;"''","")</f>
        <v/>
      </c>
      <c r="J798" s="3" t="str">
        <f>IFERROR(IF(INDEX('PROJETO PERFURAÇÃO'!$P:$P,MATCH(MEDIÇÃO!K798,'PROJETO PERFURAÇÃO'!$B:$B,0))="Production","P",IF(INDEX('PROJETO PERFURAÇÃO'!$P:$P,MATCH(MEDIÇÃO!K798,'PROJETO PERFURAÇÃO'!$B:$B,0))="Buffer","B",IF(INDEX('PROJETO PERFURAÇÃO'!$P:$P,MATCH(MEDIÇÃO!K798,'PROJETO PERFURAÇÃO'!$B:$B,0))="Pre-Splitting","S"))),"")</f>
        <v/>
      </c>
      <c r="K798" s="14">
        <f t="shared" si="76"/>
        <v>1767</v>
      </c>
      <c r="L798" s="4" t="str">
        <f>IFERROR(INDEX('LEV R&amp;D'!$D:$D,MATCH(MEDIÇÃO!K798,'LEV R&amp;D'!$A:$A,0))-INDEX('PROJETO PERFURAÇÃO'!$AH:$AH,MATCH(MEDIÇÃO!K798,'PROJETO PERFURAÇÃO'!$B:$B,0)),"")</f>
        <v/>
      </c>
      <c r="M798" s="8" t="str">
        <f>IFERROR(INDEX('PROJETO PERFURAÇÃO'!$AN:$AN,MATCH(MEDIÇÃO!K798,'PROJETO PERFURAÇÃO'!$B:$B,0)),"")</f>
        <v/>
      </c>
      <c r="N798" s="3"/>
      <c r="O798" s="3"/>
      <c r="P798" s="3" t="str">
        <f>IFERROR(ROUND(INDEX('PROJETO PERFURAÇÃO'!$AB:$AB,MATCH(MEDIÇÃO!R798,'PROJETO PERFURAÇÃO'!$B:$B,0)),1)&amp;"''","")</f>
        <v/>
      </c>
      <c r="Q798" s="3" t="str">
        <f>IFERROR(IF(INDEX('PROJETO PERFURAÇÃO'!$P:$P,MATCH(MEDIÇÃO!R798,'PROJETO PERFURAÇÃO'!$B:$B,0))="Production","P",IF(INDEX('PROJETO PERFURAÇÃO'!$P:$P,MATCH(MEDIÇÃO!R798,'PROJETO PERFURAÇÃO'!$B:$B,0))="Buffer","B",IF(INDEX('PROJETO PERFURAÇÃO'!$P:$P,MATCH(MEDIÇÃO!R798,'PROJETO PERFURAÇÃO'!$B:$B,0))="Pre-Splitting","S"))),"")</f>
        <v/>
      </c>
      <c r="R798" s="14">
        <f t="shared" si="77"/>
        <v>1790</v>
      </c>
      <c r="S798" s="4" t="str">
        <f>IFERROR(INDEX('LEV R&amp;D'!$D:$D,MATCH(MEDIÇÃO!R798,'LEV R&amp;D'!$A:$A,0))-INDEX('PROJETO PERFURAÇÃO'!$AH:$AH,MATCH(MEDIÇÃO!R798,'PROJETO PERFURAÇÃO'!$B:$B,0)),"")</f>
        <v/>
      </c>
      <c r="T798" s="8" t="str">
        <f>IFERROR(INDEX('PROJETO PERFURAÇÃO'!$AN:$AN,MATCH(MEDIÇÃO!R798,'PROJETO PERFURAÇÃO'!$B:$B,0)),"")</f>
        <v/>
      </c>
      <c r="U798" s="3"/>
      <c r="V798" s="3"/>
    </row>
    <row r="799" spans="2:22" ht="45" customHeight="1">
      <c r="B799" s="3" t="str">
        <f>IFERROR(ROUND(INDEX('PROJETO PERFURAÇÃO'!$AB:$AB,MATCH(MEDIÇÃO!D799,'PROJETO PERFURAÇÃO'!$B:$B,0)),1)&amp;"''","")</f>
        <v/>
      </c>
      <c r="C799" s="3" t="str">
        <f>IFERROR(IF(INDEX('PROJETO PERFURAÇÃO'!$P:$P,MATCH(MEDIÇÃO!D799,'PROJETO PERFURAÇÃO'!$B:$B,0))="Production","P",IF(INDEX('PROJETO PERFURAÇÃO'!$P:$P,MATCH(MEDIÇÃO!D799,'PROJETO PERFURAÇÃO'!$B:$B,0))="Buffer","B",IF(INDEX('PROJETO PERFURAÇÃO'!$P:$P,MATCH(MEDIÇÃO!D799,'PROJETO PERFURAÇÃO'!$B:$B,0))="Pre-Splitting","S"))),"")</f>
        <v/>
      </c>
      <c r="D799" s="14">
        <f t="shared" si="75"/>
        <v>1745</v>
      </c>
      <c r="E799" s="4" t="str">
        <f>IFERROR(INDEX('LEV R&amp;D'!$D:$D,MATCH(MEDIÇÃO!D799,'LEV R&amp;D'!$A:$A,0))-INDEX('PROJETO PERFURAÇÃO'!$AH:$AH,MATCH(MEDIÇÃO!D799,'PROJETO PERFURAÇÃO'!$B:$B,0)),"")</f>
        <v/>
      </c>
      <c r="F799" s="8" t="str">
        <f>IFERROR(INDEX('PROJETO PERFURAÇÃO'!$AN:$AN,MATCH(MEDIÇÃO!D799,'PROJETO PERFURAÇÃO'!$B:$B,0)),"")</f>
        <v/>
      </c>
      <c r="G799" s="3"/>
      <c r="H799" s="3"/>
      <c r="I799" s="3" t="str">
        <f>IFERROR(ROUND(INDEX('PROJETO PERFURAÇÃO'!$AB:$AB,MATCH(MEDIÇÃO!K799,'PROJETO PERFURAÇÃO'!$B:$B,0)),1)&amp;"''","")</f>
        <v/>
      </c>
      <c r="J799" s="3" t="str">
        <f>IFERROR(IF(INDEX('PROJETO PERFURAÇÃO'!$P:$P,MATCH(MEDIÇÃO!K799,'PROJETO PERFURAÇÃO'!$B:$B,0))="Production","P",IF(INDEX('PROJETO PERFURAÇÃO'!$P:$P,MATCH(MEDIÇÃO!K799,'PROJETO PERFURAÇÃO'!$B:$B,0))="Buffer","B",IF(INDEX('PROJETO PERFURAÇÃO'!$P:$P,MATCH(MEDIÇÃO!K799,'PROJETO PERFURAÇÃO'!$B:$B,0))="Pre-Splitting","S"))),"")</f>
        <v/>
      </c>
      <c r="K799" s="14">
        <f t="shared" si="76"/>
        <v>1768</v>
      </c>
      <c r="L799" s="4" t="str">
        <f>IFERROR(INDEX('LEV R&amp;D'!$D:$D,MATCH(MEDIÇÃO!K799,'LEV R&amp;D'!$A:$A,0))-INDEX('PROJETO PERFURAÇÃO'!$AH:$AH,MATCH(MEDIÇÃO!K799,'PROJETO PERFURAÇÃO'!$B:$B,0)),"")</f>
        <v/>
      </c>
      <c r="M799" s="8" t="str">
        <f>IFERROR(INDEX('PROJETO PERFURAÇÃO'!$AN:$AN,MATCH(MEDIÇÃO!K799,'PROJETO PERFURAÇÃO'!$B:$B,0)),"")</f>
        <v/>
      </c>
      <c r="N799" s="3"/>
      <c r="O799" s="3"/>
      <c r="P799" s="3" t="str">
        <f>IFERROR(ROUND(INDEX('PROJETO PERFURAÇÃO'!$AB:$AB,MATCH(MEDIÇÃO!R799,'PROJETO PERFURAÇÃO'!$B:$B,0)),1)&amp;"''","")</f>
        <v/>
      </c>
      <c r="Q799" s="3" t="str">
        <f>IFERROR(IF(INDEX('PROJETO PERFURAÇÃO'!$P:$P,MATCH(MEDIÇÃO!R799,'PROJETO PERFURAÇÃO'!$B:$B,0))="Production","P",IF(INDEX('PROJETO PERFURAÇÃO'!$P:$P,MATCH(MEDIÇÃO!R799,'PROJETO PERFURAÇÃO'!$B:$B,0))="Buffer","B",IF(INDEX('PROJETO PERFURAÇÃO'!$P:$P,MATCH(MEDIÇÃO!R799,'PROJETO PERFURAÇÃO'!$B:$B,0))="Pre-Splitting","S"))),"")</f>
        <v/>
      </c>
      <c r="R799" s="14">
        <f t="shared" si="77"/>
        <v>1791</v>
      </c>
      <c r="S799" s="4" t="str">
        <f>IFERROR(INDEX('LEV R&amp;D'!$D:$D,MATCH(MEDIÇÃO!R799,'LEV R&amp;D'!$A:$A,0))-INDEX('PROJETO PERFURAÇÃO'!$AH:$AH,MATCH(MEDIÇÃO!R799,'PROJETO PERFURAÇÃO'!$B:$B,0)),"")</f>
        <v/>
      </c>
      <c r="T799" s="8" t="str">
        <f>IFERROR(INDEX('PROJETO PERFURAÇÃO'!$AN:$AN,MATCH(MEDIÇÃO!R799,'PROJETO PERFURAÇÃO'!$B:$B,0)),"")</f>
        <v/>
      </c>
      <c r="U799" s="3"/>
      <c r="V799" s="3"/>
    </row>
    <row r="800" spans="2:22" ht="45" customHeight="1">
      <c r="B800" s="3" t="str">
        <f>IFERROR(ROUND(INDEX('PROJETO PERFURAÇÃO'!$AB:$AB,MATCH(MEDIÇÃO!D800,'PROJETO PERFURAÇÃO'!$B:$B,0)),1)&amp;"''","")</f>
        <v/>
      </c>
      <c r="C800" s="3" t="str">
        <f>IFERROR(IF(INDEX('PROJETO PERFURAÇÃO'!$P:$P,MATCH(MEDIÇÃO!D800,'PROJETO PERFURAÇÃO'!$B:$B,0))="Production","P",IF(INDEX('PROJETO PERFURAÇÃO'!$P:$P,MATCH(MEDIÇÃO!D800,'PROJETO PERFURAÇÃO'!$B:$B,0))="Buffer","B",IF(INDEX('PROJETO PERFURAÇÃO'!$P:$P,MATCH(MEDIÇÃO!D800,'PROJETO PERFURAÇÃO'!$B:$B,0))="Pre-Splitting","S"))),"")</f>
        <v/>
      </c>
      <c r="D800" s="14">
        <f t="shared" si="75"/>
        <v>1746</v>
      </c>
      <c r="E800" s="4" t="str">
        <f>IFERROR(INDEX('LEV R&amp;D'!$D:$D,MATCH(MEDIÇÃO!D800,'LEV R&amp;D'!$A:$A,0))-INDEX('PROJETO PERFURAÇÃO'!$AH:$AH,MATCH(MEDIÇÃO!D800,'PROJETO PERFURAÇÃO'!$B:$B,0)),"")</f>
        <v/>
      </c>
      <c r="F800" s="8" t="str">
        <f>IFERROR(INDEX('PROJETO PERFURAÇÃO'!$AN:$AN,MATCH(MEDIÇÃO!D800,'PROJETO PERFURAÇÃO'!$B:$B,0)),"")</f>
        <v/>
      </c>
      <c r="G800" s="3"/>
      <c r="H800" s="3"/>
      <c r="I800" s="3" t="str">
        <f>IFERROR(ROUND(INDEX('PROJETO PERFURAÇÃO'!$AB:$AB,MATCH(MEDIÇÃO!K800,'PROJETO PERFURAÇÃO'!$B:$B,0)),1)&amp;"''","")</f>
        <v/>
      </c>
      <c r="J800" s="3" t="str">
        <f>IFERROR(IF(INDEX('PROJETO PERFURAÇÃO'!$P:$P,MATCH(MEDIÇÃO!K800,'PROJETO PERFURAÇÃO'!$B:$B,0))="Production","P",IF(INDEX('PROJETO PERFURAÇÃO'!$P:$P,MATCH(MEDIÇÃO!K800,'PROJETO PERFURAÇÃO'!$B:$B,0))="Buffer","B",IF(INDEX('PROJETO PERFURAÇÃO'!$P:$P,MATCH(MEDIÇÃO!K800,'PROJETO PERFURAÇÃO'!$B:$B,0))="Pre-Splitting","S"))),"")</f>
        <v/>
      </c>
      <c r="K800" s="14">
        <f t="shared" si="76"/>
        <v>1769</v>
      </c>
      <c r="L800" s="4" t="str">
        <f>IFERROR(INDEX('LEV R&amp;D'!$D:$D,MATCH(MEDIÇÃO!K800,'LEV R&amp;D'!$A:$A,0))-INDEX('PROJETO PERFURAÇÃO'!$AH:$AH,MATCH(MEDIÇÃO!K800,'PROJETO PERFURAÇÃO'!$B:$B,0)),"")</f>
        <v/>
      </c>
      <c r="M800" s="8" t="str">
        <f>IFERROR(INDEX('PROJETO PERFURAÇÃO'!$AN:$AN,MATCH(MEDIÇÃO!K800,'PROJETO PERFURAÇÃO'!$B:$B,0)),"")</f>
        <v/>
      </c>
      <c r="N800" s="3"/>
      <c r="O800" s="3"/>
      <c r="P800" s="3" t="str">
        <f>IFERROR(ROUND(INDEX('PROJETO PERFURAÇÃO'!$AB:$AB,MATCH(MEDIÇÃO!R800,'PROJETO PERFURAÇÃO'!$B:$B,0)),1)&amp;"''","")</f>
        <v/>
      </c>
      <c r="Q800" s="3" t="str">
        <f>IFERROR(IF(INDEX('PROJETO PERFURAÇÃO'!$P:$P,MATCH(MEDIÇÃO!R800,'PROJETO PERFURAÇÃO'!$B:$B,0))="Production","P",IF(INDEX('PROJETO PERFURAÇÃO'!$P:$P,MATCH(MEDIÇÃO!R800,'PROJETO PERFURAÇÃO'!$B:$B,0))="Buffer","B",IF(INDEX('PROJETO PERFURAÇÃO'!$P:$P,MATCH(MEDIÇÃO!R800,'PROJETO PERFURAÇÃO'!$B:$B,0))="Pre-Splitting","S"))),"")</f>
        <v/>
      </c>
      <c r="R800" s="14">
        <f t="shared" si="77"/>
        <v>1792</v>
      </c>
      <c r="S800" s="4" t="str">
        <f>IFERROR(INDEX('LEV R&amp;D'!$D:$D,MATCH(MEDIÇÃO!R800,'LEV R&amp;D'!$A:$A,0))-INDEX('PROJETO PERFURAÇÃO'!$AH:$AH,MATCH(MEDIÇÃO!R800,'PROJETO PERFURAÇÃO'!$B:$B,0)),"")</f>
        <v/>
      </c>
      <c r="T800" s="8" t="str">
        <f>IFERROR(INDEX('PROJETO PERFURAÇÃO'!$AN:$AN,MATCH(MEDIÇÃO!R800,'PROJETO PERFURAÇÃO'!$B:$B,0)),"")</f>
        <v/>
      </c>
      <c r="U800" s="3"/>
      <c r="V800" s="3"/>
    </row>
    <row r="801" spans="1:23" ht="45" customHeight="1">
      <c r="B801" s="3" t="str">
        <f>IFERROR(ROUND(INDEX('PROJETO PERFURAÇÃO'!$AB:$AB,MATCH(MEDIÇÃO!D801,'PROJETO PERFURAÇÃO'!$B:$B,0)),1)&amp;"''","")</f>
        <v/>
      </c>
      <c r="C801" s="3" t="str">
        <f>IFERROR(IF(INDEX('PROJETO PERFURAÇÃO'!$P:$P,MATCH(MEDIÇÃO!D801,'PROJETO PERFURAÇÃO'!$B:$B,0))="Production","P",IF(INDEX('PROJETO PERFURAÇÃO'!$P:$P,MATCH(MEDIÇÃO!D801,'PROJETO PERFURAÇÃO'!$B:$B,0))="Buffer","B",IF(INDEX('PROJETO PERFURAÇÃO'!$P:$P,MATCH(MEDIÇÃO!D801,'PROJETO PERFURAÇÃO'!$B:$B,0))="Pre-Splitting","S"))),"")</f>
        <v/>
      </c>
      <c r="D801" s="14">
        <f t="shared" si="75"/>
        <v>1747</v>
      </c>
      <c r="E801" s="4" t="str">
        <f>IFERROR(INDEX('LEV R&amp;D'!$D:$D,MATCH(MEDIÇÃO!D801,'LEV R&amp;D'!$A:$A,0))-INDEX('PROJETO PERFURAÇÃO'!$AH:$AH,MATCH(MEDIÇÃO!D801,'PROJETO PERFURAÇÃO'!$B:$B,0)),"")</f>
        <v/>
      </c>
      <c r="F801" s="8" t="str">
        <f>IFERROR(INDEX('PROJETO PERFURAÇÃO'!$AN:$AN,MATCH(MEDIÇÃO!D801,'PROJETO PERFURAÇÃO'!$B:$B,0)),"")</f>
        <v/>
      </c>
      <c r="G801" s="3"/>
      <c r="H801" s="3"/>
      <c r="I801" s="3" t="str">
        <f>IFERROR(ROUND(INDEX('PROJETO PERFURAÇÃO'!$AB:$AB,MATCH(MEDIÇÃO!K801,'PROJETO PERFURAÇÃO'!$B:$B,0)),1)&amp;"''","")</f>
        <v/>
      </c>
      <c r="J801" s="3" t="str">
        <f>IFERROR(IF(INDEX('PROJETO PERFURAÇÃO'!$P:$P,MATCH(MEDIÇÃO!K801,'PROJETO PERFURAÇÃO'!$B:$B,0))="Production","P",IF(INDEX('PROJETO PERFURAÇÃO'!$P:$P,MATCH(MEDIÇÃO!K801,'PROJETO PERFURAÇÃO'!$B:$B,0))="Buffer","B",IF(INDEX('PROJETO PERFURAÇÃO'!$P:$P,MATCH(MEDIÇÃO!K801,'PROJETO PERFURAÇÃO'!$B:$B,0))="Pre-Splitting","S"))),"")</f>
        <v/>
      </c>
      <c r="K801" s="14">
        <f t="shared" si="76"/>
        <v>1770</v>
      </c>
      <c r="L801" s="4" t="str">
        <f>IFERROR(INDEX('LEV R&amp;D'!$D:$D,MATCH(MEDIÇÃO!K801,'LEV R&amp;D'!$A:$A,0))-INDEX('PROJETO PERFURAÇÃO'!$AH:$AH,MATCH(MEDIÇÃO!K801,'PROJETO PERFURAÇÃO'!$B:$B,0)),"")</f>
        <v/>
      </c>
      <c r="M801" s="8" t="str">
        <f>IFERROR(INDEX('PROJETO PERFURAÇÃO'!$AN:$AN,MATCH(MEDIÇÃO!K801,'PROJETO PERFURAÇÃO'!$B:$B,0)),"")</f>
        <v/>
      </c>
      <c r="N801" s="3"/>
      <c r="O801" s="3"/>
      <c r="P801" s="3" t="str">
        <f>IFERROR(ROUND(INDEX('PROJETO PERFURAÇÃO'!$AB:$AB,MATCH(MEDIÇÃO!R801,'PROJETO PERFURAÇÃO'!$B:$B,0)),1)&amp;"''","")</f>
        <v/>
      </c>
      <c r="Q801" s="3" t="str">
        <f>IFERROR(IF(INDEX('PROJETO PERFURAÇÃO'!$P:$P,MATCH(MEDIÇÃO!R801,'PROJETO PERFURAÇÃO'!$B:$B,0))="Production","P",IF(INDEX('PROJETO PERFURAÇÃO'!$P:$P,MATCH(MEDIÇÃO!R801,'PROJETO PERFURAÇÃO'!$B:$B,0))="Buffer","B",IF(INDEX('PROJETO PERFURAÇÃO'!$P:$P,MATCH(MEDIÇÃO!R801,'PROJETO PERFURAÇÃO'!$B:$B,0))="Pre-Splitting","S"))),"")</f>
        <v/>
      </c>
      <c r="R801" s="14">
        <f t="shared" si="77"/>
        <v>1793</v>
      </c>
      <c r="S801" s="4" t="str">
        <f>IFERROR(INDEX('LEV R&amp;D'!$D:$D,MATCH(MEDIÇÃO!R801,'LEV R&amp;D'!$A:$A,0))-INDEX('PROJETO PERFURAÇÃO'!$AH:$AH,MATCH(MEDIÇÃO!R801,'PROJETO PERFURAÇÃO'!$B:$B,0)),"")</f>
        <v/>
      </c>
      <c r="T801" s="8" t="str">
        <f>IFERROR(INDEX('PROJETO PERFURAÇÃO'!$AN:$AN,MATCH(MEDIÇÃO!R801,'PROJETO PERFURAÇÃO'!$B:$B,0)),"")</f>
        <v/>
      </c>
      <c r="U801" s="3"/>
      <c r="V801" s="3"/>
    </row>
    <row r="802" spans="1:23" ht="45" customHeight="1">
      <c r="B802" s="3" t="str">
        <f>IFERROR(ROUND(INDEX('PROJETO PERFURAÇÃO'!$AB:$AB,MATCH(MEDIÇÃO!D802,'PROJETO PERFURAÇÃO'!$B:$B,0)),1)&amp;"''","")</f>
        <v/>
      </c>
      <c r="C802" s="3" t="str">
        <f>IFERROR(IF(INDEX('PROJETO PERFURAÇÃO'!$P:$P,MATCH(MEDIÇÃO!D802,'PROJETO PERFURAÇÃO'!$B:$B,0))="Production","P",IF(INDEX('PROJETO PERFURAÇÃO'!$P:$P,MATCH(MEDIÇÃO!D802,'PROJETO PERFURAÇÃO'!$B:$B,0))="Buffer","B",IF(INDEX('PROJETO PERFURAÇÃO'!$P:$P,MATCH(MEDIÇÃO!D802,'PROJETO PERFURAÇÃO'!$B:$B,0))="Pre-Splitting","S"))),"")</f>
        <v/>
      </c>
      <c r="D802" s="14">
        <f t="shared" si="75"/>
        <v>1748</v>
      </c>
      <c r="E802" s="4" t="str">
        <f>IFERROR(INDEX('LEV R&amp;D'!$D:$D,MATCH(MEDIÇÃO!D802,'LEV R&amp;D'!$A:$A,0))-INDEX('PROJETO PERFURAÇÃO'!$AH:$AH,MATCH(MEDIÇÃO!D802,'PROJETO PERFURAÇÃO'!$B:$B,0)),"")</f>
        <v/>
      </c>
      <c r="F802" s="8" t="str">
        <f>IFERROR(INDEX('PROJETO PERFURAÇÃO'!$AN:$AN,MATCH(MEDIÇÃO!D802,'PROJETO PERFURAÇÃO'!$B:$B,0)),"")</f>
        <v/>
      </c>
      <c r="G802" s="3"/>
      <c r="H802" s="3"/>
      <c r="I802" s="3" t="str">
        <f>IFERROR(ROUND(INDEX('PROJETO PERFURAÇÃO'!$AB:$AB,MATCH(MEDIÇÃO!K802,'PROJETO PERFURAÇÃO'!$B:$B,0)),1)&amp;"''","")</f>
        <v/>
      </c>
      <c r="J802" s="3" t="str">
        <f>IFERROR(IF(INDEX('PROJETO PERFURAÇÃO'!$P:$P,MATCH(MEDIÇÃO!K802,'PROJETO PERFURAÇÃO'!$B:$B,0))="Production","P",IF(INDEX('PROJETO PERFURAÇÃO'!$P:$P,MATCH(MEDIÇÃO!K802,'PROJETO PERFURAÇÃO'!$B:$B,0))="Buffer","B",IF(INDEX('PROJETO PERFURAÇÃO'!$P:$P,MATCH(MEDIÇÃO!K802,'PROJETO PERFURAÇÃO'!$B:$B,0))="Pre-Splitting","S"))),"")</f>
        <v/>
      </c>
      <c r="K802" s="14">
        <f>K801+1</f>
        <v>1771</v>
      </c>
      <c r="L802" s="4" t="str">
        <f>IFERROR(INDEX('LEV R&amp;D'!$D:$D,MATCH(MEDIÇÃO!K802,'LEV R&amp;D'!$A:$A,0))-INDEX('PROJETO PERFURAÇÃO'!$AH:$AH,MATCH(MEDIÇÃO!K802,'PROJETO PERFURAÇÃO'!$B:$B,0)),"")</f>
        <v/>
      </c>
      <c r="M802" s="8" t="str">
        <f>IFERROR(INDEX('PROJETO PERFURAÇÃO'!$AN:$AN,MATCH(MEDIÇÃO!K802,'PROJETO PERFURAÇÃO'!$B:$B,0)),"")</f>
        <v/>
      </c>
      <c r="N802" s="3"/>
      <c r="O802" s="3"/>
      <c r="P802" s="3" t="str">
        <f>IFERROR(ROUND(INDEX('PROJETO PERFURAÇÃO'!$AB:$AB,MATCH(MEDIÇÃO!R802,'PROJETO PERFURAÇÃO'!$B:$B,0)),1)&amp;"''","")</f>
        <v/>
      </c>
      <c r="Q802" s="3" t="str">
        <f>IFERROR(IF(INDEX('PROJETO PERFURAÇÃO'!$P:$P,MATCH(MEDIÇÃO!R802,'PROJETO PERFURAÇÃO'!$B:$B,0))="Production","P",IF(INDEX('PROJETO PERFURAÇÃO'!$P:$P,MATCH(MEDIÇÃO!R802,'PROJETO PERFURAÇÃO'!$B:$B,0))="Buffer","B",IF(INDEX('PROJETO PERFURAÇÃO'!$P:$P,MATCH(MEDIÇÃO!R802,'PROJETO PERFURAÇÃO'!$B:$B,0))="Pre-Splitting","S"))),"")</f>
        <v/>
      </c>
      <c r="R802" s="14">
        <f>R801+1</f>
        <v>1794</v>
      </c>
      <c r="S802" s="4" t="str">
        <f>IFERROR(INDEX('LEV R&amp;D'!$D:$D,MATCH(MEDIÇÃO!R802,'LEV R&amp;D'!$A:$A,0))-INDEX('PROJETO PERFURAÇÃO'!$AH:$AH,MATCH(MEDIÇÃO!R802,'PROJETO PERFURAÇÃO'!$B:$B,0)),"")</f>
        <v/>
      </c>
      <c r="T802" s="8" t="str">
        <f>IFERROR(INDEX('PROJETO PERFURAÇÃO'!$AN:$AN,MATCH(MEDIÇÃO!R802,'PROJETO PERFURAÇÃO'!$B:$B,0)),"")</f>
        <v/>
      </c>
      <c r="U802" s="3"/>
      <c r="V802" s="3"/>
    </row>
    <row r="803" spans="1:23" ht="30" customHeight="1">
      <c r="B803" s="1"/>
      <c r="C803" s="1"/>
      <c r="D803" s="15"/>
      <c r="E803" s="2"/>
      <c r="F803" s="16"/>
      <c r="G803" s="1"/>
      <c r="H803" s="1"/>
      <c r="I803" s="1"/>
      <c r="J803" s="1"/>
      <c r="K803" s="15"/>
      <c r="L803" s="2"/>
      <c r="M803" s="16"/>
      <c r="N803" s="1"/>
      <c r="O803" s="1"/>
      <c r="P803" s="1"/>
      <c r="Q803" s="1"/>
      <c r="R803" s="15"/>
      <c r="S803" s="2"/>
      <c r="T803" s="16"/>
      <c r="U803" s="1"/>
      <c r="V803" s="1"/>
    </row>
    <row r="804" spans="1:23" ht="30" customHeight="1">
      <c r="C804" s="20"/>
      <c r="D804" s="20"/>
      <c r="E804" s="20"/>
      <c r="F804" s="20"/>
      <c r="G804" s="20"/>
      <c r="H804" s="20"/>
      <c r="I804" s="20"/>
      <c r="J804" s="20"/>
      <c r="K804" s="20"/>
      <c r="M804" s="20"/>
      <c r="N804" s="20"/>
      <c r="O804" s="20"/>
      <c r="P804" s="20"/>
      <c r="Q804" s="20"/>
      <c r="R804" s="20"/>
      <c r="S804" s="20"/>
      <c r="T804" s="20"/>
      <c r="U804" s="20"/>
    </row>
    <row r="805" spans="1:23" ht="30" customHeight="1">
      <c r="C805" s="21" t="s">
        <v>40</v>
      </c>
      <c r="D805" s="21"/>
      <c r="E805" s="21"/>
      <c r="F805" s="21"/>
      <c r="G805" s="21"/>
      <c r="H805" s="21"/>
      <c r="I805" s="21"/>
      <c r="J805" s="21"/>
      <c r="K805" s="21"/>
      <c r="L805" s="9"/>
      <c r="M805" s="21" t="s">
        <v>40</v>
      </c>
      <c r="N805" s="21"/>
      <c r="O805" s="21"/>
      <c r="P805" s="21"/>
      <c r="Q805" s="21"/>
      <c r="R805" s="21"/>
      <c r="S805" s="21"/>
      <c r="T805" s="21"/>
      <c r="U805" s="21"/>
      <c r="V805" s="9"/>
    </row>
    <row r="806" spans="1:23" ht="30" customHeight="1">
      <c r="D806" s="9"/>
      <c r="E806" s="9"/>
      <c r="F806" s="9"/>
      <c r="G806" s="9"/>
      <c r="H806" s="9"/>
      <c r="I806" s="9"/>
      <c r="J806" s="9"/>
      <c r="K806" s="9"/>
      <c r="L806" s="9"/>
      <c r="M806" s="9"/>
      <c r="N806" s="9"/>
      <c r="Q806" s="9"/>
      <c r="R806" s="9"/>
      <c r="S806" s="9"/>
      <c r="T806" s="9"/>
      <c r="U806" s="9"/>
      <c r="V806" s="9"/>
    </row>
    <row r="807" spans="1:23" ht="30" customHeight="1">
      <c r="B807" s="19" t="str">
        <f>'PROJETO PERFURAÇÃO'!$C$2&amp;" - "&amp;'PROJETO PERFURAÇÃO'!$H$2</f>
        <v>LIB037 - PP0370626</v>
      </c>
      <c r="C807" s="19"/>
      <c r="D807" s="19"/>
      <c r="E807" s="19"/>
      <c r="F807" s="19"/>
      <c r="G807" s="19"/>
      <c r="H807" s="19"/>
      <c r="I807" s="11" t="s">
        <v>34</v>
      </c>
      <c r="J807" s="10" t="s">
        <v>37</v>
      </c>
    </row>
    <row r="808" spans="1:23" ht="30" customHeight="1">
      <c r="B808" s="19"/>
      <c r="C808" s="19"/>
      <c r="D808" s="19"/>
      <c r="E808" s="19"/>
      <c r="F808" s="19"/>
      <c r="G808" s="19"/>
      <c r="H808" s="19"/>
      <c r="I808" s="12" t="s">
        <v>35</v>
      </c>
      <c r="J808" s="10" t="s">
        <v>38</v>
      </c>
      <c r="K808" s="9"/>
      <c r="L808" s="9"/>
      <c r="M808" s="9"/>
      <c r="N808" s="9"/>
      <c r="O808" s="9"/>
      <c r="P808" s="9"/>
      <c r="Q808" s="9"/>
      <c r="R808" s="9"/>
      <c r="S808" s="9"/>
      <c r="T808" s="9"/>
      <c r="U808" s="9"/>
      <c r="V808" s="9"/>
    </row>
    <row r="809" spans="1:23" ht="30" customHeight="1">
      <c r="B809" s="19"/>
      <c r="C809" s="19"/>
      <c r="D809" s="19"/>
      <c r="E809" s="19"/>
      <c r="F809" s="19"/>
      <c r="G809" s="19"/>
      <c r="H809" s="19"/>
      <c r="I809" s="13" t="s">
        <v>36</v>
      </c>
      <c r="J809" s="10" t="s">
        <v>39</v>
      </c>
    </row>
    <row r="810" spans="1:23" ht="30" customHeight="1">
      <c r="A810" s="1"/>
      <c r="B810" s="6" t="s">
        <v>33</v>
      </c>
      <c r="C810" s="6" t="s">
        <v>13</v>
      </c>
      <c r="D810" s="7" t="s">
        <v>1</v>
      </c>
      <c r="E810" s="7" t="s">
        <v>29</v>
      </c>
      <c r="F810" s="7" t="s">
        <v>30</v>
      </c>
      <c r="G810" s="7" t="s">
        <v>31</v>
      </c>
      <c r="H810" s="7" t="s">
        <v>32</v>
      </c>
      <c r="I810" s="6" t="s">
        <v>33</v>
      </c>
      <c r="J810" s="6" t="s">
        <v>13</v>
      </c>
      <c r="K810" s="7" t="s">
        <v>1</v>
      </c>
      <c r="L810" s="7" t="s">
        <v>29</v>
      </c>
      <c r="M810" s="7" t="s">
        <v>30</v>
      </c>
      <c r="N810" s="7" t="s">
        <v>31</v>
      </c>
      <c r="O810" s="7" t="s">
        <v>32</v>
      </c>
      <c r="P810" s="6" t="s">
        <v>33</v>
      </c>
      <c r="Q810" s="6" t="s">
        <v>13</v>
      </c>
      <c r="R810" s="7" t="s">
        <v>1</v>
      </c>
      <c r="S810" s="7" t="s">
        <v>29</v>
      </c>
      <c r="T810" s="7" t="s">
        <v>30</v>
      </c>
      <c r="U810" s="7" t="s">
        <v>31</v>
      </c>
      <c r="V810" s="7" t="s">
        <v>32</v>
      </c>
      <c r="W810" s="1"/>
    </row>
    <row r="811" spans="1:23" ht="45" customHeight="1">
      <c r="B811" s="3" t="str">
        <f>IFERROR(ROUND(INDEX('PROJETO PERFURAÇÃO'!$AB:$AB,MATCH(MEDIÇÃO!D811,'PROJETO PERFURAÇÃO'!$B:$B,0)),1)&amp;"''","")</f>
        <v/>
      </c>
      <c r="C811" s="3" t="str">
        <f>IFERROR(IF(INDEX('PROJETO PERFURAÇÃO'!$P:$P,MATCH(MEDIÇÃO!D811,'PROJETO PERFURAÇÃO'!$B:$B,0))="Production","P",IF(INDEX('PROJETO PERFURAÇÃO'!$P:$P,MATCH(MEDIÇÃO!D811,'PROJETO PERFURAÇÃO'!$B:$B,0))="Buffer","B",IF(INDEX('PROJETO PERFURAÇÃO'!$P:$P,MATCH(MEDIÇÃO!D811,'PROJETO PERFURAÇÃO'!$B:$B,0))="Pre-Splitting","S"))),"")</f>
        <v/>
      </c>
      <c r="D811" s="14">
        <f>R802+1</f>
        <v>1795</v>
      </c>
      <c r="E811" s="4" t="str">
        <f>IFERROR(INDEX('LEV R&amp;D'!$D:$D,MATCH(MEDIÇÃO!D811,'LEV R&amp;D'!$A:$A,0))-INDEX('PROJETO PERFURAÇÃO'!$AH:$AH,MATCH(MEDIÇÃO!D811,'PROJETO PERFURAÇÃO'!$B:$B,0)),"")</f>
        <v/>
      </c>
      <c r="F811" s="8" t="str">
        <f>IFERROR(INDEX('PROJETO PERFURAÇÃO'!$AN:$AN,MATCH(MEDIÇÃO!D811,'PROJETO PERFURAÇÃO'!$B:$B,0)),"")</f>
        <v/>
      </c>
      <c r="G811" s="3"/>
      <c r="H811" s="3"/>
      <c r="I811" s="3" t="str">
        <f>IFERROR(ROUND(INDEX('PROJETO PERFURAÇÃO'!$AB:$AB,MATCH(MEDIÇÃO!K811,'PROJETO PERFURAÇÃO'!$B:$B,0)),1)&amp;"''","")</f>
        <v/>
      </c>
      <c r="J811" s="3" t="str">
        <f>IFERROR(IF(INDEX('PROJETO PERFURAÇÃO'!$P:$P,MATCH(MEDIÇÃO!K811,'PROJETO PERFURAÇÃO'!$B:$B,0))="Production","P",IF(INDEX('PROJETO PERFURAÇÃO'!$P:$P,MATCH(MEDIÇÃO!K811,'PROJETO PERFURAÇÃO'!$B:$B,0))="Buffer","B",IF(INDEX('PROJETO PERFURAÇÃO'!$P:$P,MATCH(MEDIÇÃO!K811,'PROJETO PERFURAÇÃO'!$B:$B,0))="Pre-Splitting","S"))),"")</f>
        <v/>
      </c>
      <c r="K811" s="14">
        <f>D833+1</f>
        <v>1818</v>
      </c>
      <c r="L811" s="4" t="str">
        <f>IFERROR(INDEX('LEV R&amp;D'!$D:$D,MATCH(MEDIÇÃO!K811,'LEV R&amp;D'!$A:$A,0))-INDEX('PROJETO PERFURAÇÃO'!$AH:$AH,MATCH(MEDIÇÃO!K811,'PROJETO PERFURAÇÃO'!$B:$B,0)),"")</f>
        <v/>
      </c>
      <c r="M811" s="8" t="str">
        <f>IFERROR(INDEX('PROJETO PERFURAÇÃO'!$AN:$AN,MATCH(MEDIÇÃO!K811,'PROJETO PERFURAÇÃO'!$B:$B,0)),"")</f>
        <v/>
      </c>
      <c r="N811" s="3"/>
      <c r="O811" s="3"/>
      <c r="P811" s="3" t="str">
        <f>IFERROR(ROUND(INDEX('PROJETO PERFURAÇÃO'!$AB:$AB,MATCH(MEDIÇÃO!R811,'PROJETO PERFURAÇÃO'!$B:$B,0)),1)&amp;"''","")</f>
        <v/>
      </c>
      <c r="Q811" s="3" t="str">
        <f>IFERROR(IF(INDEX('PROJETO PERFURAÇÃO'!$P:$P,MATCH(MEDIÇÃO!R811,'PROJETO PERFURAÇÃO'!$B:$B,0))="Production","P",IF(INDEX('PROJETO PERFURAÇÃO'!$P:$P,MATCH(MEDIÇÃO!R811,'PROJETO PERFURAÇÃO'!$B:$B,0))="Buffer","B",IF(INDEX('PROJETO PERFURAÇÃO'!$P:$P,MATCH(MEDIÇÃO!R811,'PROJETO PERFURAÇÃO'!$B:$B,0))="Pre-Splitting","S"))),"")</f>
        <v/>
      </c>
      <c r="R811" s="14">
        <f>K833+1</f>
        <v>1841</v>
      </c>
      <c r="S811" s="4" t="str">
        <f>IFERROR(INDEX('LEV R&amp;D'!$D:$D,MATCH(MEDIÇÃO!R811,'LEV R&amp;D'!$A:$A,0))-INDEX('PROJETO PERFURAÇÃO'!$AH:$AH,MATCH(MEDIÇÃO!R811,'PROJETO PERFURAÇÃO'!$B:$B,0)),"")</f>
        <v/>
      </c>
      <c r="T811" s="8" t="str">
        <f>IFERROR(INDEX('PROJETO PERFURAÇÃO'!$AN:$AN,MATCH(MEDIÇÃO!R811,'PROJETO PERFURAÇÃO'!$B:$B,0)),"")</f>
        <v/>
      </c>
      <c r="U811" s="3"/>
      <c r="V811" s="3"/>
    </row>
    <row r="812" spans="1:23" ht="45" customHeight="1">
      <c r="B812" s="3" t="str">
        <f>IFERROR(ROUND(INDEX('PROJETO PERFURAÇÃO'!$AB:$AB,MATCH(MEDIÇÃO!D812,'PROJETO PERFURAÇÃO'!$B:$B,0)),1)&amp;"''","")</f>
        <v/>
      </c>
      <c r="C812" s="3" t="str">
        <f>IFERROR(IF(INDEX('PROJETO PERFURAÇÃO'!$P:$P,MATCH(MEDIÇÃO!D812,'PROJETO PERFURAÇÃO'!$B:$B,0))="Production","P",IF(INDEX('PROJETO PERFURAÇÃO'!$P:$P,MATCH(MEDIÇÃO!D812,'PROJETO PERFURAÇÃO'!$B:$B,0))="Buffer","B",IF(INDEX('PROJETO PERFURAÇÃO'!$P:$P,MATCH(MEDIÇÃO!D812,'PROJETO PERFURAÇÃO'!$B:$B,0))="Pre-Splitting","S"))),"")</f>
        <v/>
      </c>
      <c r="D812" s="14">
        <f>D811+1</f>
        <v>1796</v>
      </c>
      <c r="E812" s="4" t="str">
        <f>IFERROR(INDEX('LEV R&amp;D'!$D:$D,MATCH(MEDIÇÃO!D812,'LEV R&amp;D'!$A:$A,0))-INDEX('PROJETO PERFURAÇÃO'!$AH:$AH,MATCH(MEDIÇÃO!D812,'PROJETO PERFURAÇÃO'!$B:$B,0)),"")</f>
        <v/>
      </c>
      <c r="F812" s="8" t="str">
        <f>IFERROR(INDEX('PROJETO PERFURAÇÃO'!$AN:$AN,MATCH(MEDIÇÃO!D812,'PROJETO PERFURAÇÃO'!$B:$B,0)),"")</f>
        <v/>
      </c>
      <c r="G812" s="3"/>
      <c r="H812" s="3"/>
      <c r="I812" s="3" t="str">
        <f>IFERROR(ROUND(INDEX('PROJETO PERFURAÇÃO'!$AB:$AB,MATCH(MEDIÇÃO!K812,'PROJETO PERFURAÇÃO'!$B:$B,0)),1)&amp;"''","")</f>
        <v/>
      </c>
      <c r="J812" s="3" t="str">
        <f>IFERROR(IF(INDEX('PROJETO PERFURAÇÃO'!$P:$P,MATCH(MEDIÇÃO!K812,'PROJETO PERFURAÇÃO'!$B:$B,0))="Production","P",IF(INDEX('PROJETO PERFURAÇÃO'!$P:$P,MATCH(MEDIÇÃO!K812,'PROJETO PERFURAÇÃO'!$B:$B,0))="Buffer","B",IF(INDEX('PROJETO PERFURAÇÃO'!$P:$P,MATCH(MEDIÇÃO!K812,'PROJETO PERFURAÇÃO'!$B:$B,0))="Pre-Splitting","S"))),"")</f>
        <v/>
      </c>
      <c r="K812" s="14">
        <f>K811+1</f>
        <v>1819</v>
      </c>
      <c r="L812" s="4" t="str">
        <f>IFERROR(INDEX('LEV R&amp;D'!$D:$D,MATCH(MEDIÇÃO!K812,'LEV R&amp;D'!$A:$A,0))-INDEX('PROJETO PERFURAÇÃO'!$AH:$AH,MATCH(MEDIÇÃO!K812,'PROJETO PERFURAÇÃO'!$B:$B,0)),"")</f>
        <v/>
      </c>
      <c r="M812" s="8" t="str">
        <f>IFERROR(INDEX('PROJETO PERFURAÇÃO'!$AN:$AN,MATCH(MEDIÇÃO!K812,'PROJETO PERFURAÇÃO'!$B:$B,0)),"")</f>
        <v/>
      </c>
      <c r="N812" s="3"/>
      <c r="O812" s="3"/>
      <c r="P812" s="3" t="str">
        <f>IFERROR(ROUND(INDEX('PROJETO PERFURAÇÃO'!$AB:$AB,MATCH(MEDIÇÃO!R812,'PROJETO PERFURAÇÃO'!$B:$B,0)),1)&amp;"''","")</f>
        <v/>
      </c>
      <c r="Q812" s="3" t="str">
        <f>IFERROR(IF(INDEX('PROJETO PERFURAÇÃO'!$P:$P,MATCH(MEDIÇÃO!R812,'PROJETO PERFURAÇÃO'!$B:$B,0))="Production","P",IF(INDEX('PROJETO PERFURAÇÃO'!$P:$P,MATCH(MEDIÇÃO!R812,'PROJETO PERFURAÇÃO'!$B:$B,0))="Buffer","B",IF(INDEX('PROJETO PERFURAÇÃO'!$P:$P,MATCH(MEDIÇÃO!R812,'PROJETO PERFURAÇÃO'!$B:$B,0))="Pre-Splitting","S"))),"")</f>
        <v/>
      </c>
      <c r="R812" s="14">
        <f>R811+1</f>
        <v>1842</v>
      </c>
      <c r="S812" s="4" t="str">
        <f>IFERROR(INDEX('LEV R&amp;D'!$D:$D,MATCH(MEDIÇÃO!R812,'LEV R&amp;D'!$A:$A,0))-INDEX('PROJETO PERFURAÇÃO'!$AH:$AH,MATCH(MEDIÇÃO!R812,'PROJETO PERFURAÇÃO'!$B:$B,0)),"")</f>
        <v/>
      </c>
      <c r="T812" s="8" t="str">
        <f>IFERROR(INDEX('PROJETO PERFURAÇÃO'!$AN:$AN,MATCH(MEDIÇÃO!R812,'PROJETO PERFURAÇÃO'!$B:$B,0)),"")</f>
        <v/>
      </c>
      <c r="U812" s="3"/>
      <c r="V812" s="3"/>
    </row>
    <row r="813" spans="1:23" ht="45" customHeight="1">
      <c r="B813" s="3" t="str">
        <f>IFERROR(ROUND(INDEX('PROJETO PERFURAÇÃO'!$AB:$AB,MATCH(MEDIÇÃO!D813,'PROJETO PERFURAÇÃO'!$B:$B,0)),1)&amp;"''","")</f>
        <v/>
      </c>
      <c r="C813" s="3" t="str">
        <f>IFERROR(IF(INDEX('PROJETO PERFURAÇÃO'!$P:$P,MATCH(MEDIÇÃO!D813,'PROJETO PERFURAÇÃO'!$B:$B,0))="Production","P",IF(INDEX('PROJETO PERFURAÇÃO'!$P:$P,MATCH(MEDIÇÃO!D813,'PROJETO PERFURAÇÃO'!$B:$B,0))="Buffer","B",IF(INDEX('PROJETO PERFURAÇÃO'!$P:$P,MATCH(MEDIÇÃO!D813,'PROJETO PERFURAÇÃO'!$B:$B,0))="Pre-Splitting","S"))),"")</f>
        <v/>
      </c>
      <c r="D813" s="14">
        <f t="shared" ref="D813:D833" si="78">D812+1</f>
        <v>1797</v>
      </c>
      <c r="E813" s="4" t="str">
        <f>IFERROR(INDEX('LEV R&amp;D'!$D:$D,MATCH(MEDIÇÃO!D813,'LEV R&amp;D'!$A:$A,0))-INDEX('PROJETO PERFURAÇÃO'!$AH:$AH,MATCH(MEDIÇÃO!D813,'PROJETO PERFURAÇÃO'!$B:$B,0)),"")</f>
        <v/>
      </c>
      <c r="F813" s="8" t="str">
        <f>IFERROR(INDEX('PROJETO PERFURAÇÃO'!$AN:$AN,MATCH(MEDIÇÃO!D813,'PROJETO PERFURAÇÃO'!$B:$B,0)),"")</f>
        <v/>
      </c>
      <c r="G813" s="3"/>
      <c r="H813" s="3"/>
      <c r="I813" s="3" t="str">
        <f>IFERROR(ROUND(INDEX('PROJETO PERFURAÇÃO'!$AB:$AB,MATCH(MEDIÇÃO!K813,'PROJETO PERFURAÇÃO'!$B:$B,0)),1)&amp;"''","")</f>
        <v/>
      </c>
      <c r="J813" s="3" t="str">
        <f>IFERROR(IF(INDEX('PROJETO PERFURAÇÃO'!$P:$P,MATCH(MEDIÇÃO!K813,'PROJETO PERFURAÇÃO'!$B:$B,0))="Production","P",IF(INDEX('PROJETO PERFURAÇÃO'!$P:$P,MATCH(MEDIÇÃO!K813,'PROJETO PERFURAÇÃO'!$B:$B,0))="Buffer","B",IF(INDEX('PROJETO PERFURAÇÃO'!$P:$P,MATCH(MEDIÇÃO!K813,'PROJETO PERFURAÇÃO'!$B:$B,0))="Pre-Splitting","S"))),"")</f>
        <v/>
      </c>
      <c r="K813" s="14">
        <f t="shared" ref="K813:K832" si="79">K812+1</f>
        <v>1820</v>
      </c>
      <c r="L813" s="4" t="str">
        <f>IFERROR(INDEX('LEV R&amp;D'!$D:$D,MATCH(MEDIÇÃO!K813,'LEV R&amp;D'!$A:$A,0))-INDEX('PROJETO PERFURAÇÃO'!$AH:$AH,MATCH(MEDIÇÃO!K813,'PROJETO PERFURAÇÃO'!$B:$B,0)),"")</f>
        <v/>
      </c>
      <c r="M813" s="8" t="str">
        <f>IFERROR(INDEX('PROJETO PERFURAÇÃO'!$AN:$AN,MATCH(MEDIÇÃO!K813,'PROJETO PERFURAÇÃO'!$B:$B,0)),"")</f>
        <v/>
      </c>
      <c r="N813" s="3"/>
      <c r="O813" s="3"/>
      <c r="P813" s="3" t="str">
        <f>IFERROR(ROUND(INDEX('PROJETO PERFURAÇÃO'!$AB:$AB,MATCH(MEDIÇÃO!R813,'PROJETO PERFURAÇÃO'!$B:$B,0)),1)&amp;"''","")</f>
        <v/>
      </c>
      <c r="Q813" s="3" t="str">
        <f>IFERROR(IF(INDEX('PROJETO PERFURAÇÃO'!$P:$P,MATCH(MEDIÇÃO!R813,'PROJETO PERFURAÇÃO'!$B:$B,0))="Production","P",IF(INDEX('PROJETO PERFURAÇÃO'!$P:$P,MATCH(MEDIÇÃO!R813,'PROJETO PERFURAÇÃO'!$B:$B,0))="Buffer","B",IF(INDEX('PROJETO PERFURAÇÃO'!$P:$P,MATCH(MEDIÇÃO!R813,'PROJETO PERFURAÇÃO'!$B:$B,0))="Pre-Splitting","S"))),"")</f>
        <v/>
      </c>
      <c r="R813" s="14">
        <f t="shared" ref="R813:R832" si="80">R812+1</f>
        <v>1843</v>
      </c>
      <c r="S813" s="4" t="str">
        <f>IFERROR(INDEX('LEV R&amp;D'!$D:$D,MATCH(MEDIÇÃO!R813,'LEV R&amp;D'!$A:$A,0))-INDEX('PROJETO PERFURAÇÃO'!$AH:$AH,MATCH(MEDIÇÃO!R813,'PROJETO PERFURAÇÃO'!$B:$B,0)),"")</f>
        <v/>
      </c>
      <c r="T813" s="8" t="str">
        <f>IFERROR(INDEX('PROJETO PERFURAÇÃO'!$AN:$AN,MATCH(MEDIÇÃO!R813,'PROJETO PERFURAÇÃO'!$B:$B,0)),"")</f>
        <v/>
      </c>
      <c r="U813" s="3"/>
      <c r="V813" s="3"/>
    </row>
    <row r="814" spans="1:23" ht="45" customHeight="1">
      <c r="B814" s="3" t="str">
        <f>IFERROR(ROUND(INDEX('PROJETO PERFURAÇÃO'!$AB:$AB,MATCH(MEDIÇÃO!D814,'PROJETO PERFURAÇÃO'!$B:$B,0)),1)&amp;"''","")</f>
        <v/>
      </c>
      <c r="C814" s="3" t="str">
        <f>IFERROR(IF(INDEX('PROJETO PERFURAÇÃO'!$P:$P,MATCH(MEDIÇÃO!D814,'PROJETO PERFURAÇÃO'!$B:$B,0))="Production","P",IF(INDEX('PROJETO PERFURAÇÃO'!$P:$P,MATCH(MEDIÇÃO!D814,'PROJETO PERFURAÇÃO'!$B:$B,0))="Buffer","B",IF(INDEX('PROJETO PERFURAÇÃO'!$P:$P,MATCH(MEDIÇÃO!D814,'PROJETO PERFURAÇÃO'!$B:$B,0))="Pre-Splitting","S"))),"")</f>
        <v/>
      </c>
      <c r="D814" s="14">
        <f t="shared" si="78"/>
        <v>1798</v>
      </c>
      <c r="E814" s="4" t="str">
        <f>IFERROR(INDEX('LEV R&amp;D'!$D:$D,MATCH(MEDIÇÃO!D814,'LEV R&amp;D'!$A:$A,0))-INDEX('PROJETO PERFURAÇÃO'!$AH:$AH,MATCH(MEDIÇÃO!D814,'PROJETO PERFURAÇÃO'!$B:$B,0)),"")</f>
        <v/>
      </c>
      <c r="F814" s="8" t="str">
        <f>IFERROR(INDEX('PROJETO PERFURAÇÃO'!$AN:$AN,MATCH(MEDIÇÃO!D814,'PROJETO PERFURAÇÃO'!$B:$B,0)),"")</f>
        <v/>
      </c>
      <c r="G814" s="3"/>
      <c r="H814" s="3"/>
      <c r="I814" s="3" t="str">
        <f>IFERROR(ROUND(INDEX('PROJETO PERFURAÇÃO'!$AB:$AB,MATCH(MEDIÇÃO!K814,'PROJETO PERFURAÇÃO'!$B:$B,0)),1)&amp;"''","")</f>
        <v/>
      </c>
      <c r="J814" s="3" t="str">
        <f>IFERROR(IF(INDEX('PROJETO PERFURAÇÃO'!$P:$P,MATCH(MEDIÇÃO!K814,'PROJETO PERFURAÇÃO'!$B:$B,0))="Production","P",IF(INDEX('PROJETO PERFURAÇÃO'!$P:$P,MATCH(MEDIÇÃO!K814,'PROJETO PERFURAÇÃO'!$B:$B,0))="Buffer","B",IF(INDEX('PROJETO PERFURAÇÃO'!$P:$P,MATCH(MEDIÇÃO!K814,'PROJETO PERFURAÇÃO'!$B:$B,0))="Pre-Splitting","S"))),"")</f>
        <v/>
      </c>
      <c r="K814" s="14">
        <f t="shared" si="79"/>
        <v>1821</v>
      </c>
      <c r="L814" s="4" t="str">
        <f>IFERROR(INDEX('LEV R&amp;D'!$D:$D,MATCH(MEDIÇÃO!K814,'LEV R&amp;D'!$A:$A,0))-INDEX('PROJETO PERFURAÇÃO'!$AH:$AH,MATCH(MEDIÇÃO!K814,'PROJETO PERFURAÇÃO'!$B:$B,0)),"")</f>
        <v/>
      </c>
      <c r="M814" s="8" t="str">
        <f>IFERROR(INDEX('PROJETO PERFURAÇÃO'!$AN:$AN,MATCH(MEDIÇÃO!K814,'PROJETO PERFURAÇÃO'!$B:$B,0)),"")</f>
        <v/>
      </c>
      <c r="N814" s="3"/>
      <c r="O814" s="3"/>
      <c r="P814" s="3" t="str">
        <f>IFERROR(ROUND(INDEX('PROJETO PERFURAÇÃO'!$AB:$AB,MATCH(MEDIÇÃO!R814,'PROJETO PERFURAÇÃO'!$B:$B,0)),1)&amp;"''","")</f>
        <v/>
      </c>
      <c r="Q814" s="3" t="str">
        <f>IFERROR(IF(INDEX('PROJETO PERFURAÇÃO'!$P:$P,MATCH(MEDIÇÃO!R814,'PROJETO PERFURAÇÃO'!$B:$B,0))="Production","P",IF(INDEX('PROJETO PERFURAÇÃO'!$P:$P,MATCH(MEDIÇÃO!R814,'PROJETO PERFURAÇÃO'!$B:$B,0))="Buffer","B",IF(INDEX('PROJETO PERFURAÇÃO'!$P:$P,MATCH(MEDIÇÃO!R814,'PROJETO PERFURAÇÃO'!$B:$B,0))="Pre-Splitting","S"))),"")</f>
        <v/>
      </c>
      <c r="R814" s="14">
        <f t="shared" si="80"/>
        <v>1844</v>
      </c>
      <c r="S814" s="4" t="str">
        <f>IFERROR(INDEX('LEV R&amp;D'!$D:$D,MATCH(MEDIÇÃO!R814,'LEV R&amp;D'!$A:$A,0))-INDEX('PROJETO PERFURAÇÃO'!$AH:$AH,MATCH(MEDIÇÃO!R814,'PROJETO PERFURAÇÃO'!$B:$B,0)),"")</f>
        <v/>
      </c>
      <c r="T814" s="8" t="str">
        <f>IFERROR(INDEX('PROJETO PERFURAÇÃO'!$AN:$AN,MATCH(MEDIÇÃO!R814,'PROJETO PERFURAÇÃO'!$B:$B,0)),"")</f>
        <v/>
      </c>
      <c r="U814" s="3"/>
      <c r="V814" s="3"/>
    </row>
    <row r="815" spans="1:23" ht="45" customHeight="1">
      <c r="B815" s="3" t="str">
        <f>IFERROR(ROUND(INDEX('PROJETO PERFURAÇÃO'!$AB:$AB,MATCH(MEDIÇÃO!D815,'PROJETO PERFURAÇÃO'!$B:$B,0)),1)&amp;"''","")</f>
        <v/>
      </c>
      <c r="C815" s="3" t="str">
        <f>IFERROR(IF(INDEX('PROJETO PERFURAÇÃO'!$P:$P,MATCH(MEDIÇÃO!D815,'PROJETO PERFURAÇÃO'!$B:$B,0))="Production","P",IF(INDEX('PROJETO PERFURAÇÃO'!$P:$P,MATCH(MEDIÇÃO!D815,'PROJETO PERFURAÇÃO'!$B:$B,0))="Buffer","B",IF(INDEX('PROJETO PERFURAÇÃO'!$P:$P,MATCH(MEDIÇÃO!D815,'PROJETO PERFURAÇÃO'!$B:$B,0))="Pre-Splitting","S"))),"")</f>
        <v/>
      </c>
      <c r="D815" s="14">
        <f t="shared" si="78"/>
        <v>1799</v>
      </c>
      <c r="E815" s="4" t="str">
        <f>IFERROR(INDEX('LEV R&amp;D'!$D:$D,MATCH(MEDIÇÃO!D815,'LEV R&amp;D'!$A:$A,0))-INDEX('PROJETO PERFURAÇÃO'!$AH:$AH,MATCH(MEDIÇÃO!D815,'PROJETO PERFURAÇÃO'!$B:$B,0)),"")</f>
        <v/>
      </c>
      <c r="F815" s="8" t="str">
        <f>IFERROR(INDEX('PROJETO PERFURAÇÃO'!$AN:$AN,MATCH(MEDIÇÃO!D815,'PROJETO PERFURAÇÃO'!$B:$B,0)),"")</f>
        <v/>
      </c>
      <c r="G815" s="3"/>
      <c r="H815" s="3"/>
      <c r="I815" s="3" t="str">
        <f>IFERROR(ROUND(INDEX('PROJETO PERFURAÇÃO'!$AB:$AB,MATCH(MEDIÇÃO!K815,'PROJETO PERFURAÇÃO'!$B:$B,0)),1)&amp;"''","")</f>
        <v/>
      </c>
      <c r="J815" s="3" t="str">
        <f>IFERROR(IF(INDEX('PROJETO PERFURAÇÃO'!$P:$P,MATCH(MEDIÇÃO!K815,'PROJETO PERFURAÇÃO'!$B:$B,0))="Production","P",IF(INDEX('PROJETO PERFURAÇÃO'!$P:$P,MATCH(MEDIÇÃO!K815,'PROJETO PERFURAÇÃO'!$B:$B,0))="Buffer","B",IF(INDEX('PROJETO PERFURAÇÃO'!$P:$P,MATCH(MEDIÇÃO!K815,'PROJETO PERFURAÇÃO'!$B:$B,0))="Pre-Splitting","S"))),"")</f>
        <v/>
      </c>
      <c r="K815" s="14">
        <f t="shared" si="79"/>
        <v>1822</v>
      </c>
      <c r="L815" s="4" t="str">
        <f>IFERROR(INDEX('LEV R&amp;D'!$D:$D,MATCH(MEDIÇÃO!K815,'LEV R&amp;D'!$A:$A,0))-INDEX('PROJETO PERFURAÇÃO'!$AH:$AH,MATCH(MEDIÇÃO!K815,'PROJETO PERFURAÇÃO'!$B:$B,0)),"")</f>
        <v/>
      </c>
      <c r="M815" s="8" t="str">
        <f>IFERROR(INDEX('PROJETO PERFURAÇÃO'!$AN:$AN,MATCH(MEDIÇÃO!K815,'PROJETO PERFURAÇÃO'!$B:$B,0)),"")</f>
        <v/>
      </c>
      <c r="N815" s="3"/>
      <c r="O815" s="3"/>
      <c r="P815" s="3" t="str">
        <f>IFERROR(ROUND(INDEX('PROJETO PERFURAÇÃO'!$AB:$AB,MATCH(MEDIÇÃO!R815,'PROJETO PERFURAÇÃO'!$B:$B,0)),1)&amp;"''","")</f>
        <v/>
      </c>
      <c r="Q815" s="3" t="str">
        <f>IFERROR(IF(INDEX('PROJETO PERFURAÇÃO'!$P:$P,MATCH(MEDIÇÃO!R815,'PROJETO PERFURAÇÃO'!$B:$B,0))="Production","P",IF(INDEX('PROJETO PERFURAÇÃO'!$P:$P,MATCH(MEDIÇÃO!R815,'PROJETO PERFURAÇÃO'!$B:$B,0))="Buffer","B",IF(INDEX('PROJETO PERFURAÇÃO'!$P:$P,MATCH(MEDIÇÃO!R815,'PROJETO PERFURAÇÃO'!$B:$B,0))="Pre-Splitting","S"))),"")</f>
        <v/>
      </c>
      <c r="R815" s="14">
        <f t="shared" si="80"/>
        <v>1845</v>
      </c>
      <c r="S815" s="4" t="str">
        <f>IFERROR(INDEX('LEV R&amp;D'!$D:$D,MATCH(MEDIÇÃO!R815,'LEV R&amp;D'!$A:$A,0))-INDEX('PROJETO PERFURAÇÃO'!$AH:$AH,MATCH(MEDIÇÃO!R815,'PROJETO PERFURAÇÃO'!$B:$B,0)),"")</f>
        <v/>
      </c>
      <c r="T815" s="8" t="str">
        <f>IFERROR(INDEX('PROJETO PERFURAÇÃO'!$AN:$AN,MATCH(MEDIÇÃO!R815,'PROJETO PERFURAÇÃO'!$B:$B,0)),"")</f>
        <v/>
      </c>
      <c r="U815" s="3"/>
      <c r="V815" s="3"/>
    </row>
    <row r="816" spans="1:23" ht="45" customHeight="1">
      <c r="B816" s="3" t="str">
        <f>IFERROR(ROUND(INDEX('PROJETO PERFURAÇÃO'!$AB:$AB,MATCH(MEDIÇÃO!D816,'PROJETO PERFURAÇÃO'!$B:$B,0)),1)&amp;"''","")</f>
        <v/>
      </c>
      <c r="C816" s="3" t="str">
        <f>IFERROR(IF(INDEX('PROJETO PERFURAÇÃO'!$P:$P,MATCH(MEDIÇÃO!D816,'PROJETO PERFURAÇÃO'!$B:$B,0))="Production","P",IF(INDEX('PROJETO PERFURAÇÃO'!$P:$P,MATCH(MEDIÇÃO!D816,'PROJETO PERFURAÇÃO'!$B:$B,0))="Buffer","B",IF(INDEX('PROJETO PERFURAÇÃO'!$P:$P,MATCH(MEDIÇÃO!D816,'PROJETO PERFURAÇÃO'!$B:$B,0))="Pre-Splitting","S"))),"")</f>
        <v/>
      </c>
      <c r="D816" s="14">
        <f t="shared" si="78"/>
        <v>1800</v>
      </c>
      <c r="E816" s="4" t="str">
        <f>IFERROR(INDEX('LEV R&amp;D'!$D:$D,MATCH(MEDIÇÃO!D816,'LEV R&amp;D'!$A:$A,0))-INDEX('PROJETO PERFURAÇÃO'!$AH:$AH,MATCH(MEDIÇÃO!D816,'PROJETO PERFURAÇÃO'!$B:$B,0)),"")</f>
        <v/>
      </c>
      <c r="F816" s="8" t="str">
        <f>IFERROR(INDEX('PROJETO PERFURAÇÃO'!$AN:$AN,MATCH(MEDIÇÃO!D816,'PROJETO PERFURAÇÃO'!$B:$B,0)),"")</f>
        <v/>
      </c>
      <c r="G816" s="3"/>
      <c r="H816" s="3"/>
      <c r="I816" s="3" t="str">
        <f>IFERROR(ROUND(INDEX('PROJETO PERFURAÇÃO'!$AB:$AB,MATCH(MEDIÇÃO!K816,'PROJETO PERFURAÇÃO'!$B:$B,0)),1)&amp;"''","")</f>
        <v/>
      </c>
      <c r="J816" s="3" t="str">
        <f>IFERROR(IF(INDEX('PROJETO PERFURAÇÃO'!$P:$P,MATCH(MEDIÇÃO!K816,'PROJETO PERFURAÇÃO'!$B:$B,0))="Production","P",IF(INDEX('PROJETO PERFURAÇÃO'!$P:$P,MATCH(MEDIÇÃO!K816,'PROJETO PERFURAÇÃO'!$B:$B,0))="Buffer","B",IF(INDEX('PROJETO PERFURAÇÃO'!$P:$P,MATCH(MEDIÇÃO!K816,'PROJETO PERFURAÇÃO'!$B:$B,0))="Pre-Splitting","S"))),"")</f>
        <v/>
      </c>
      <c r="K816" s="14">
        <f t="shared" si="79"/>
        <v>1823</v>
      </c>
      <c r="L816" s="4" t="str">
        <f>IFERROR(INDEX('LEV R&amp;D'!$D:$D,MATCH(MEDIÇÃO!K816,'LEV R&amp;D'!$A:$A,0))-INDEX('PROJETO PERFURAÇÃO'!$AH:$AH,MATCH(MEDIÇÃO!K816,'PROJETO PERFURAÇÃO'!$B:$B,0)),"")</f>
        <v/>
      </c>
      <c r="M816" s="8" t="str">
        <f>IFERROR(INDEX('PROJETO PERFURAÇÃO'!$AN:$AN,MATCH(MEDIÇÃO!K816,'PROJETO PERFURAÇÃO'!$B:$B,0)),"")</f>
        <v/>
      </c>
      <c r="N816" s="3"/>
      <c r="O816" s="3"/>
      <c r="P816" s="3" t="str">
        <f>IFERROR(ROUND(INDEX('PROJETO PERFURAÇÃO'!$AB:$AB,MATCH(MEDIÇÃO!R816,'PROJETO PERFURAÇÃO'!$B:$B,0)),1)&amp;"''","")</f>
        <v/>
      </c>
      <c r="Q816" s="3" t="str">
        <f>IFERROR(IF(INDEX('PROJETO PERFURAÇÃO'!$P:$P,MATCH(MEDIÇÃO!R816,'PROJETO PERFURAÇÃO'!$B:$B,0))="Production","P",IF(INDEX('PROJETO PERFURAÇÃO'!$P:$P,MATCH(MEDIÇÃO!R816,'PROJETO PERFURAÇÃO'!$B:$B,0))="Buffer","B",IF(INDEX('PROJETO PERFURAÇÃO'!$P:$P,MATCH(MEDIÇÃO!R816,'PROJETO PERFURAÇÃO'!$B:$B,0))="Pre-Splitting","S"))),"")</f>
        <v/>
      </c>
      <c r="R816" s="14">
        <f t="shared" si="80"/>
        <v>1846</v>
      </c>
      <c r="S816" s="4" t="str">
        <f>IFERROR(INDEX('LEV R&amp;D'!$D:$D,MATCH(MEDIÇÃO!R816,'LEV R&amp;D'!$A:$A,0))-INDEX('PROJETO PERFURAÇÃO'!$AH:$AH,MATCH(MEDIÇÃO!R816,'PROJETO PERFURAÇÃO'!$B:$B,0)),"")</f>
        <v/>
      </c>
      <c r="T816" s="8" t="str">
        <f>IFERROR(INDEX('PROJETO PERFURAÇÃO'!$AN:$AN,MATCH(MEDIÇÃO!R816,'PROJETO PERFURAÇÃO'!$B:$B,0)),"")</f>
        <v/>
      </c>
      <c r="U816" s="3"/>
      <c r="V816" s="3"/>
    </row>
    <row r="817" spans="2:22" ht="45" customHeight="1">
      <c r="B817" s="3" t="str">
        <f>IFERROR(ROUND(INDEX('PROJETO PERFURAÇÃO'!$AB:$AB,MATCH(MEDIÇÃO!D817,'PROJETO PERFURAÇÃO'!$B:$B,0)),1)&amp;"''","")</f>
        <v/>
      </c>
      <c r="C817" s="3" t="str">
        <f>IFERROR(IF(INDEX('PROJETO PERFURAÇÃO'!$P:$P,MATCH(MEDIÇÃO!D817,'PROJETO PERFURAÇÃO'!$B:$B,0))="Production","P",IF(INDEX('PROJETO PERFURAÇÃO'!$P:$P,MATCH(MEDIÇÃO!D817,'PROJETO PERFURAÇÃO'!$B:$B,0))="Buffer","B",IF(INDEX('PROJETO PERFURAÇÃO'!$P:$P,MATCH(MEDIÇÃO!D817,'PROJETO PERFURAÇÃO'!$B:$B,0))="Pre-Splitting","S"))),"")</f>
        <v/>
      </c>
      <c r="D817" s="14">
        <f t="shared" si="78"/>
        <v>1801</v>
      </c>
      <c r="E817" s="4" t="str">
        <f>IFERROR(INDEX('LEV R&amp;D'!$D:$D,MATCH(MEDIÇÃO!D817,'LEV R&amp;D'!$A:$A,0))-INDEX('PROJETO PERFURAÇÃO'!$AH:$AH,MATCH(MEDIÇÃO!D817,'PROJETO PERFURAÇÃO'!$B:$B,0)),"")</f>
        <v/>
      </c>
      <c r="F817" s="8" t="str">
        <f>IFERROR(INDEX('PROJETO PERFURAÇÃO'!$AN:$AN,MATCH(MEDIÇÃO!D817,'PROJETO PERFURAÇÃO'!$B:$B,0)),"")</f>
        <v/>
      </c>
      <c r="G817" s="3"/>
      <c r="H817" s="3"/>
      <c r="I817" s="3" t="str">
        <f>IFERROR(ROUND(INDEX('PROJETO PERFURAÇÃO'!$AB:$AB,MATCH(MEDIÇÃO!K817,'PROJETO PERFURAÇÃO'!$B:$B,0)),1)&amp;"''","")</f>
        <v/>
      </c>
      <c r="J817" s="3" t="str">
        <f>IFERROR(IF(INDEX('PROJETO PERFURAÇÃO'!$P:$P,MATCH(MEDIÇÃO!K817,'PROJETO PERFURAÇÃO'!$B:$B,0))="Production","P",IF(INDEX('PROJETO PERFURAÇÃO'!$P:$P,MATCH(MEDIÇÃO!K817,'PROJETO PERFURAÇÃO'!$B:$B,0))="Buffer","B",IF(INDEX('PROJETO PERFURAÇÃO'!$P:$P,MATCH(MEDIÇÃO!K817,'PROJETO PERFURAÇÃO'!$B:$B,0))="Pre-Splitting","S"))),"")</f>
        <v/>
      </c>
      <c r="K817" s="14">
        <f t="shared" si="79"/>
        <v>1824</v>
      </c>
      <c r="L817" s="4" t="str">
        <f>IFERROR(INDEX('LEV R&amp;D'!$D:$D,MATCH(MEDIÇÃO!K817,'LEV R&amp;D'!$A:$A,0))-INDEX('PROJETO PERFURAÇÃO'!$AH:$AH,MATCH(MEDIÇÃO!K817,'PROJETO PERFURAÇÃO'!$B:$B,0)),"")</f>
        <v/>
      </c>
      <c r="M817" s="8" t="str">
        <f>IFERROR(INDEX('PROJETO PERFURAÇÃO'!$AN:$AN,MATCH(MEDIÇÃO!K817,'PROJETO PERFURAÇÃO'!$B:$B,0)),"")</f>
        <v/>
      </c>
      <c r="N817" s="3"/>
      <c r="O817" s="3"/>
      <c r="P817" s="3" t="str">
        <f>IFERROR(ROUND(INDEX('PROJETO PERFURAÇÃO'!$AB:$AB,MATCH(MEDIÇÃO!R817,'PROJETO PERFURAÇÃO'!$B:$B,0)),1)&amp;"''","")</f>
        <v/>
      </c>
      <c r="Q817" s="3" t="str">
        <f>IFERROR(IF(INDEX('PROJETO PERFURAÇÃO'!$P:$P,MATCH(MEDIÇÃO!R817,'PROJETO PERFURAÇÃO'!$B:$B,0))="Production","P",IF(INDEX('PROJETO PERFURAÇÃO'!$P:$P,MATCH(MEDIÇÃO!R817,'PROJETO PERFURAÇÃO'!$B:$B,0))="Buffer","B",IF(INDEX('PROJETO PERFURAÇÃO'!$P:$P,MATCH(MEDIÇÃO!R817,'PROJETO PERFURAÇÃO'!$B:$B,0))="Pre-Splitting","S"))),"")</f>
        <v/>
      </c>
      <c r="R817" s="14">
        <f t="shared" si="80"/>
        <v>1847</v>
      </c>
      <c r="S817" s="4" t="str">
        <f>IFERROR(INDEX('LEV R&amp;D'!$D:$D,MATCH(MEDIÇÃO!R817,'LEV R&amp;D'!$A:$A,0))-INDEX('PROJETO PERFURAÇÃO'!$AH:$AH,MATCH(MEDIÇÃO!R817,'PROJETO PERFURAÇÃO'!$B:$B,0)),"")</f>
        <v/>
      </c>
      <c r="T817" s="8" t="str">
        <f>IFERROR(INDEX('PROJETO PERFURAÇÃO'!$AN:$AN,MATCH(MEDIÇÃO!R817,'PROJETO PERFURAÇÃO'!$B:$B,0)),"")</f>
        <v/>
      </c>
      <c r="U817" s="3"/>
      <c r="V817" s="3"/>
    </row>
    <row r="818" spans="2:22" ht="45" customHeight="1">
      <c r="B818" s="3" t="str">
        <f>IFERROR(ROUND(INDEX('PROJETO PERFURAÇÃO'!$AB:$AB,MATCH(MEDIÇÃO!D818,'PROJETO PERFURAÇÃO'!$B:$B,0)),1)&amp;"''","")</f>
        <v/>
      </c>
      <c r="C818" s="3" t="str">
        <f>IFERROR(IF(INDEX('PROJETO PERFURAÇÃO'!$P:$P,MATCH(MEDIÇÃO!D818,'PROJETO PERFURAÇÃO'!$B:$B,0))="Production","P",IF(INDEX('PROJETO PERFURAÇÃO'!$P:$P,MATCH(MEDIÇÃO!D818,'PROJETO PERFURAÇÃO'!$B:$B,0))="Buffer","B",IF(INDEX('PROJETO PERFURAÇÃO'!$P:$P,MATCH(MEDIÇÃO!D818,'PROJETO PERFURAÇÃO'!$B:$B,0))="Pre-Splitting","S"))),"")</f>
        <v/>
      </c>
      <c r="D818" s="14">
        <f t="shared" si="78"/>
        <v>1802</v>
      </c>
      <c r="E818" s="4" t="str">
        <f>IFERROR(INDEX('LEV R&amp;D'!$D:$D,MATCH(MEDIÇÃO!D818,'LEV R&amp;D'!$A:$A,0))-INDEX('PROJETO PERFURAÇÃO'!$AH:$AH,MATCH(MEDIÇÃO!D818,'PROJETO PERFURAÇÃO'!$B:$B,0)),"")</f>
        <v/>
      </c>
      <c r="F818" s="8" t="str">
        <f>IFERROR(INDEX('PROJETO PERFURAÇÃO'!$AN:$AN,MATCH(MEDIÇÃO!D818,'PROJETO PERFURAÇÃO'!$B:$B,0)),"")</f>
        <v/>
      </c>
      <c r="G818" s="3"/>
      <c r="H818" s="3"/>
      <c r="I818" s="3" t="str">
        <f>IFERROR(ROUND(INDEX('PROJETO PERFURAÇÃO'!$AB:$AB,MATCH(MEDIÇÃO!K818,'PROJETO PERFURAÇÃO'!$B:$B,0)),1)&amp;"''","")</f>
        <v/>
      </c>
      <c r="J818" s="3" t="str">
        <f>IFERROR(IF(INDEX('PROJETO PERFURAÇÃO'!$P:$P,MATCH(MEDIÇÃO!K818,'PROJETO PERFURAÇÃO'!$B:$B,0))="Production","P",IF(INDEX('PROJETO PERFURAÇÃO'!$P:$P,MATCH(MEDIÇÃO!K818,'PROJETO PERFURAÇÃO'!$B:$B,0))="Buffer","B",IF(INDEX('PROJETO PERFURAÇÃO'!$P:$P,MATCH(MEDIÇÃO!K818,'PROJETO PERFURAÇÃO'!$B:$B,0))="Pre-Splitting","S"))),"")</f>
        <v/>
      </c>
      <c r="K818" s="14">
        <f t="shared" si="79"/>
        <v>1825</v>
      </c>
      <c r="L818" s="4" t="str">
        <f>IFERROR(INDEX('LEV R&amp;D'!$D:$D,MATCH(MEDIÇÃO!K818,'LEV R&amp;D'!$A:$A,0))-INDEX('PROJETO PERFURAÇÃO'!$AH:$AH,MATCH(MEDIÇÃO!K818,'PROJETO PERFURAÇÃO'!$B:$B,0)),"")</f>
        <v/>
      </c>
      <c r="M818" s="8" t="str">
        <f>IFERROR(INDEX('PROJETO PERFURAÇÃO'!$AN:$AN,MATCH(MEDIÇÃO!K818,'PROJETO PERFURAÇÃO'!$B:$B,0)),"")</f>
        <v/>
      </c>
      <c r="N818" s="3"/>
      <c r="O818" s="3"/>
      <c r="P818" s="3" t="str">
        <f>IFERROR(ROUND(INDEX('PROJETO PERFURAÇÃO'!$AB:$AB,MATCH(MEDIÇÃO!R818,'PROJETO PERFURAÇÃO'!$B:$B,0)),1)&amp;"''","")</f>
        <v/>
      </c>
      <c r="Q818" s="3" t="str">
        <f>IFERROR(IF(INDEX('PROJETO PERFURAÇÃO'!$P:$P,MATCH(MEDIÇÃO!R818,'PROJETO PERFURAÇÃO'!$B:$B,0))="Production","P",IF(INDEX('PROJETO PERFURAÇÃO'!$P:$P,MATCH(MEDIÇÃO!R818,'PROJETO PERFURAÇÃO'!$B:$B,0))="Buffer","B",IF(INDEX('PROJETO PERFURAÇÃO'!$P:$P,MATCH(MEDIÇÃO!R818,'PROJETO PERFURAÇÃO'!$B:$B,0))="Pre-Splitting","S"))),"")</f>
        <v/>
      </c>
      <c r="R818" s="14">
        <f t="shared" si="80"/>
        <v>1848</v>
      </c>
      <c r="S818" s="4" t="str">
        <f>IFERROR(INDEX('LEV R&amp;D'!$D:$D,MATCH(MEDIÇÃO!R818,'LEV R&amp;D'!$A:$A,0))-INDEX('PROJETO PERFURAÇÃO'!$AH:$AH,MATCH(MEDIÇÃO!R818,'PROJETO PERFURAÇÃO'!$B:$B,0)),"")</f>
        <v/>
      </c>
      <c r="T818" s="8" t="str">
        <f>IFERROR(INDEX('PROJETO PERFURAÇÃO'!$AN:$AN,MATCH(MEDIÇÃO!R818,'PROJETO PERFURAÇÃO'!$B:$B,0)),"")</f>
        <v/>
      </c>
      <c r="U818" s="3"/>
      <c r="V818" s="3"/>
    </row>
    <row r="819" spans="2:22" ht="45" customHeight="1">
      <c r="B819" s="3" t="str">
        <f>IFERROR(ROUND(INDEX('PROJETO PERFURAÇÃO'!$AB:$AB,MATCH(MEDIÇÃO!D819,'PROJETO PERFURAÇÃO'!$B:$B,0)),1)&amp;"''","")</f>
        <v/>
      </c>
      <c r="C819" s="3" t="str">
        <f>IFERROR(IF(INDEX('PROJETO PERFURAÇÃO'!$P:$P,MATCH(MEDIÇÃO!D819,'PROJETO PERFURAÇÃO'!$B:$B,0))="Production","P",IF(INDEX('PROJETO PERFURAÇÃO'!$P:$P,MATCH(MEDIÇÃO!D819,'PROJETO PERFURAÇÃO'!$B:$B,0))="Buffer","B",IF(INDEX('PROJETO PERFURAÇÃO'!$P:$P,MATCH(MEDIÇÃO!D819,'PROJETO PERFURAÇÃO'!$B:$B,0))="Pre-Splitting","S"))),"")</f>
        <v/>
      </c>
      <c r="D819" s="14">
        <f t="shared" si="78"/>
        <v>1803</v>
      </c>
      <c r="E819" s="4" t="str">
        <f>IFERROR(INDEX('LEV R&amp;D'!$D:$D,MATCH(MEDIÇÃO!D819,'LEV R&amp;D'!$A:$A,0))-INDEX('PROJETO PERFURAÇÃO'!$AH:$AH,MATCH(MEDIÇÃO!D819,'PROJETO PERFURAÇÃO'!$B:$B,0)),"")</f>
        <v/>
      </c>
      <c r="F819" s="8" t="str">
        <f>IFERROR(INDEX('PROJETO PERFURAÇÃO'!$AN:$AN,MATCH(MEDIÇÃO!D819,'PROJETO PERFURAÇÃO'!$B:$B,0)),"")</f>
        <v/>
      </c>
      <c r="G819" s="3"/>
      <c r="H819" s="3"/>
      <c r="I819" s="3" t="str">
        <f>IFERROR(ROUND(INDEX('PROJETO PERFURAÇÃO'!$AB:$AB,MATCH(MEDIÇÃO!K819,'PROJETO PERFURAÇÃO'!$B:$B,0)),1)&amp;"''","")</f>
        <v/>
      </c>
      <c r="J819" s="3" t="str">
        <f>IFERROR(IF(INDEX('PROJETO PERFURAÇÃO'!$P:$P,MATCH(MEDIÇÃO!K819,'PROJETO PERFURAÇÃO'!$B:$B,0))="Production","P",IF(INDEX('PROJETO PERFURAÇÃO'!$P:$P,MATCH(MEDIÇÃO!K819,'PROJETO PERFURAÇÃO'!$B:$B,0))="Buffer","B",IF(INDEX('PROJETO PERFURAÇÃO'!$P:$P,MATCH(MEDIÇÃO!K819,'PROJETO PERFURAÇÃO'!$B:$B,0))="Pre-Splitting","S"))),"")</f>
        <v/>
      </c>
      <c r="K819" s="14">
        <f t="shared" si="79"/>
        <v>1826</v>
      </c>
      <c r="L819" s="4" t="str">
        <f>IFERROR(INDEX('LEV R&amp;D'!$D:$D,MATCH(MEDIÇÃO!K819,'LEV R&amp;D'!$A:$A,0))-INDEX('PROJETO PERFURAÇÃO'!$AH:$AH,MATCH(MEDIÇÃO!K819,'PROJETO PERFURAÇÃO'!$B:$B,0)),"")</f>
        <v/>
      </c>
      <c r="M819" s="8" t="str">
        <f>IFERROR(INDEX('PROJETO PERFURAÇÃO'!$AN:$AN,MATCH(MEDIÇÃO!K819,'PROJETO PERFURAÇÃO'!$B:$B,0)),"")</f>
        <v/>
      </c>
      <c r="N819" s="3"/>
      <c r="O819" s="3"/>
      <c r="P819" s="3" t="str">
        <f>IFERROR(ROUND(INDEX('PROJETO PERFURAÇÃO'!$AB:$AB,MATCH(MEDIÇÃO!R819,'PROJETO PERFURAÇÃO'!$B:$B,0)),1)&amp;"''","")</f>
        <v/>
      </c>
      <c r="Q819" s="3" t="str">
        <f>IFERROR(IF(INDEX('PROJETO PERFURAÇÃO'!$P:$P,MATCH(MEDIÇÃO!R819,'PROJETO PERFURAÇÃO'!$B:$B,0))="Production","P",IF(INDEX('PROJETO PERFURAÇÃO'!$P:$P,MATCH(MEDIÇÃO!R819,'PROJETO PERFURAÇÃO'!$B:$B,0))="Buffer","B",IF(INDEX('PROJETO PERFURAÇÃO'!$P:$P,MATCH(MEDIÇÃO!R819,'PROJETO PERFURAÇÃO'!$B:$B,0))="Pre-Splitting","S"))),"")</f>
        <v/>
      </c>
      <c r="R819" s="14">
        <f t="shared" si="80"/>
        <v>1849</v>
      </c>
      <c r="S819" s="4" t="str">
        <f>IFERROR(INDEX('LEV R&amp;D'!$D:$D,MATCH(MEDIÇÃO!R819,'LEV R&amp;D'!$A:$A,0))-INDEX('PROJETO PERFURAÇÃO'!$AH:$AH,MATCH(MEDIÇÃO!R819,'PROJETO PERFURAÇÃO'!$B:$B,0)),"")</f>
        <v/>
      </c>
      <c r="T819" s="8" t="str">
        <f>IFERROR(INDEX('PROJETO PERFURAÇÃO'!$AN:$AN,MATCH(MEDIÇÃO!R819,'PROJETO PERFURAÇÃO'!$B:$B,0)),"")</f>
        <v/>
      </c>
      <c r="U819" s="3"/>
      <c r="V819" s="3"/>
    </row>
    <row r="820" spans="2:22" ht="45" customHeight="1">
      <c r="B820" s="3" t="str">
        <f>IFERROR(ROUND(INDEX('PROJETO PERFURAÇÃO'!$AB:$AB,MATCH(MEDIÇÃO!D820,'PROJETO PERFURAÇÃO'!$B:$B,0)),1)&amp;"''","")</f>
        <v/>
      </c>
      <c r="C820" s="3" t="str">
        <f>IFERROR(IF(INDEX('PROJETO PERFURAÇÃO'!$P:$P,MATCH(MEDIÇÃO!D820,'PROJETO PERFURAÇÃO'!$B:$B,0))="Production","P",IF(INDEX('PROJETO PERFURAÇÃO'!$P:$P,MATCH(MEDIÇÃO!D820,'PROJETO PERFURAÇÃO'!$B:$B,0))="Buffer","B",IF(INDEX('PROJETO PERFURAÇÃO'!$P:$P,MATCH(MEDIÇÃO!D820,'PROJETO PERFURAÇÃO'!$B:$B,0))="Pre-Splitting","S"))),"")</f>
        <v/>
      </c>
      <c r="D820" s="14">
        <f t="shared" si="78"/>
        <v>1804</v>
      </c>
      <c r="E820" s="4" t="str">
        <f>IFERROR(INDEX('LEV R&amp;D'!$D:$D,MATCH(MEDIÇÃO!D820,'LEV R&amp;D'!$A:$A,0))-INDEX('PROJETO PERFURAÇÃO'!$AH:$AH,MATCH(MEDIÇÃO!D820,'PROJETO PERFURAÇÃO'!$B:$B,0)),"")</f>
        <v/>
      </c>
      <c r="F820" s="8" t="str">
        <f>IFERROR(INDEX('PROJETO PERFURAÇÃO'!$AN:$AN,MATCH(MEDIÇÃO!D820,'PROJETO PERFURAÇÃO'!$B:$B,0)),"")</f>
        <v/>
      </c>
      <c r="G820" s="3"/>
      <c r="H820" s="3"/>
      <c r="I820" s="3" t="str">
        <f>IFERROR(ROUND(INDEX('PROJETO PERFURAÇÃO'!$AB:$AB,MATCH(MEDIÇÃO!K820,'PROJETO PERFURAÇÃO'!$B:$B,0)),1)&amp;"''","")</f>
        <v/>
      </c>
      <c r="J820" s="3" t="str">
        <f>IFERROR(IF(INDEX('PROJETO PERFURAÇÃO'!$P:$P,MATCH(MEDIÇÃO!K820,'PROJETO PERFURAÇÃO'!$B:$B,0))="Production","P",IF(INDEX('PROJETO PERFURAÇÃO'!$P:$P,MATCH(MEDIÇÃO!K820,'PROJETO PERFURAÇÃO'!$B:$B,0))="Buffer","B",IF(INDEX('PROJETO PERFURAÇÃO'!$P:$P,MATCH(MEDIÇÃO!K820,'PROJETO PERFURAÇÃO'!$B:$B,0))="Pre-Splitting","S"))),"")</f>
        <v/>
      </c>
      <c r="K820" s="14">
        <f t="shared" si="79"/>
        <v>1827</v>
      </c>
      <c r="L820" s="4" t="str">
        <f>IFERROR(INDEX('LEV R&amp;D'!$D:$D,MATCH(MEDIÇÃO!K820,'LEV R&amp;D'!$A:$A,0))-INDEX('PROJETO PERFURAÇÃO'!$AH:$AH,MATCH(MEDIÇÃO!K820,'PROJETO PERFURAÇÃO'!$B:$B,0)),"")</f>
        <v/>
      </c>
      <c r="M820" s="8" t="str">
        <f>IFERROR(INDEX('PROJETO PERFURAÇÃO'!$AN:$AN,MATCH(MEDIÇÃO!K820,'PROJETO PERFURAÇÃO'!$B:$B,0)),"")</f>
        <v/>
      </c>
      <c r="N820" s="3"/>
      <c r="O820" s="3"/>
      <c r="P820" s="3" t="str">
        <f>IFERROR(ROUND(INDEX('PROJETO PERFURAÇÃO'!$AB:$AB,MATCH(MEDIÇÃO!R820,'PROJETO PERFURAÇÃO'!$B:$B,0)),1)&amp;"''","")</f>
        <v/>
      </c>
      <c r="Q820" s="3" t="str">
        <f>IFERROR(IF(INDEX('PROJETO PERFURAÇÃO'!$P:$P,MATCH(MEDIÇÃO!R820,'PROJETO PERFURAÇÃO'!$B:$B,0))="Production","P",IF(INDEX('PROJETO PERFURAÇÃO'!$P:$P,MATCH(MEDIÇÃO!R820,'PROJETO PERFURAÇÃO'!$B:$B,0))="Buffer","B",IF(INDEX('PROJETO PERFURAÇÃO'!$P:$P,MATCH(MEDIÇÃO!R820,'PROJETO PERFURAÇÃO'!$B:$B,0))="Pre-Splitting","S"))),"")</f>
        <v/>
      </c>
      <c r="R820" s="14">
        <f t="shared" si="80"/>
        <v>1850</v>
      </c>
      <c r="S820" s="4" t="str">
        <f>IFERROR(INDEX('LEV R&amp;D'!$D:$D,MATCH(MEDIÇÃO!R820,'LEV R&amp;D'!$A:$A,0))-INDEX('PROJETO PERFURAÇÃO'!$AH:$AH,MATCH(MEDIÇÃO!R820,'PROJETO PERFURAÇÃO'!$B:$B,0)),"")</f>
        <v/>
      </c>
      <c r="T820" s="8" t="str">
        <f>IFERROR(INDEX('PROJETO PERFURAÇÃO'!$AN:$AN,MATCH(MEDIÇÃO!R820,'PROJETO PERFURAÇÃO'!$B:$B,0)),"")</f>
        <v/>
      </c>
      <c r="U820" s="3"/>
      <c r="V820" s="3"/>
    </row>
    <row r="821" spans="2:22" ht="45" customHeight="1">
      <c r="B821" s="3" t="str">
        <f>IFERROR(ROUND(INDEX('PROJETO PERFURAÇÃO'!$AB:$AB,MATCH(MEDIÇÃO!D821,'PROJETO PERFURAÇÃO'!$B:$B,0)),1)&amp;"''","")</f>
        <v/>
      </c>
      <c r="C821" s="3" t="str">
        <f>IFERROR(IF(INDEX('PROJETO PERFURAÇÃO'!$P:$P,MATCH(MEDIÇÃO!D821,'PROJETO PERFURAÇÃO'!$B:$B,0))="Production","P",IF(INDEX('PROJETO PERFURAÇÃO'!$P:$P,MATCH(MEDIÇÃO!D821,'PROJETO PERFURAÇÃO'!$B:$B,0))="Buffer","B",IF(INDEX('PROJETO PERFURAÇÃO'!$P:$P,MATCH(MEDIÇÃO!D821,'PROJETO PERFURAÇÃO'!$B:$B,0))="Pre-Splitting","S"))),"")</f>
        <v/>
      </c>
      <c r="D821" s="14">
        <f t="shared" si="78"/>
        <v>1805</v>
      </c>
      <c r="E821" s="4" t="str">
        <f>IFERROR(INDEX('LEV R&amp;D'!$D:$D,MATCH(MEDIÇÃO!D821,'LEV R&amp;D'!$A:$A,0))-INDEX('PROJETO PERFURAÇÃO'!$AH:$AH,MATCH(MEDIÇÃO!D821,'PROJETO PERFURAÇÃO'!$B:$B,0)),"")</f>
        <v/>
      </c>
      <c r="F821" s="8" t="str">
        <f>IFERROR(INDEX('PROJETO PERFURAÇÃO'!$AN:$AN,MATCH(MEDIÇÃO!D821,'PROJETO PERFURAÇÃO'!$B:$B,0)),"")</f>
        <v/>
      </c>
      <c r="G821" s="3"/>
      <c r="H821" s="3"/>
      <c r="I821" s="3" t="str">
        <f>IFERROR(ROUND(INDEX('PROJETO PERFURAÇÃO'!$AB:$AB,MATCH(MEDIÇÃO!K821,'PROJETO PERFURAÇÃO'!$B:$B,0)),1)&amp;"''","")</f>
        <v/>
      </c>
      <c r="J821" s="3" t="str">
        <f>IFERROR(IF(INDEX('PROJETO PERFURAÇÃO'!$P:$P,MATCH(MEDIÇÃO!K821,'PROJETO PERFURAÇÃO'!$B:$B,0))="Production","P",IF(INDEX('PROJETO PERFURAÇÃO'!$P:$P,MATCH(MEDIÇÃO!K821,'PROJETO PERFURAÇÃO'!$B:$B,0))="Buffer","B",IF(INDEX('PROJETO PERFURAÇÃO'!$P:$P,MATCH(MEDIÇÃO!K821,'PROJETO PERFURAÇÃO'!$B:$B,0))="Pre-Splitting","S"))),"")</f>
        <v/>
      </c>
      <c r="K821" s="14">
        <f t="shared" si="79"/>
        <v>1828</v>
      </c>
      <c r="L821" s="4" t="str">
        <f>IFERROR(INDEX('LEV R&amp;D'!$D:$D,MATCH(MEDIÇÃO!K821,'LEV R&amp;D'!$A:$A,0))-INDEX('PROJETO PERFURAÇÃO'!$AH:$AH,MATCH(MEDIÇÃO!K821,'PROJETO PERFURAÇÃO'!$B:$B,0)),"")</f>
        <v/>
      </c>
      <c r="M821" s="8" t="str">
        <f>IFERROR(INDEX('PROJETO PERFURAÇÃO'!$AN:$AN,MATCH(MEDIÇÃO!K821,'PROJETO PERFURAÇÃO'!$B:$B,0)),"")</f>
        <v/>
      </c>
      <c r="N821" s="3"/>
      <c r="O821" s="3"/>
      <c r="P821" s="3" t="str">
        <f>IFERROR(ROUND(INDEX('PROJETO PERFURAÇÃO'!$AB:$AB,MATCH(MEDIÇÃO!R821,'PROJETO PERFURAÇÃO'!$B:$B,0)),1)&amp;"''","")</f>
        <v/>
      </c>
      <c r="Q821" s="3" t="str">
        <f>IFERROR(IF(INDEX('PROJETO PERFURAÇÃO'!$P:$P,MATCH(MEDIÇÃO!R821,'PROJETO PERFURAÇÃO'!$B:$B,0))="Production","P",IF(INDEX('PROJETO PERFURAÇÃO'!$P:$P,MATCH(MEDIÇÃO!R821,'PROJETO PERFURAÇÃO'!$B:$B,0))="Buffer","B",IF(INDEX('PROJETO PERFURAÇÃO'!$P:$P,MATCH(MEDIÇÃO!R821,'PROJETO PERFURAÇÃO'!$B:$B,0))="Pre-Splitting","S"))),"")</f>
        <v/>
      </c>
      <c r="R821" s="14">
        <f t="shared" si="80"/>
        <v>1851</v>
      </c>
      <c r="S821" s="4" t="str">
        <f>IFERROR(INDEX('LEV R&amp;D'!$D:$D,MATCH(MEDIÇÃO!R821,'LEV R&amp;D'!$A:$A,0))-INDEX('PROJETO PERFURAÇÃO'!$AH:$AH,MATCH(MEDIÇÃO!R821,'PROJETO PERFURAÇÃO'!$B:$B,0)),"")</f>
        <v/>
      </c>
      <c r="T821" s="8" t="str">
        <f>IFERROR(INDEX('PROJETO PERFURAÇÃO'!$AN:$AN,MATCH(MEDIÇÃO!R821,'PROJETO PERFURAÇÃO'!$B:$B,0)),"")</f>
        <v/>
      </c>
      <c r="U821" s="3"/>
      <c r="V821" s="3"/>
    </row>
    <row r="822" spans="2:22" ht="45" customHeight="1">
      <c r="B822" s="3" t="str">
        <f>IFERROR(ROUND(INDEX('PROJETO PERFURAÇÃO'!$AB:$AB,MATCH(MEDIÇÃO!D822,'PROJETO PERFURAÇÃO'!$B:$B,0)),1)&amp;"''","")</f>
        <v/>
      </c>
      <c r="C822" s="3" t="str">
        <f>IFERROR(IF(INDEX('PROJETO PERFURAÇÃO'!$P:$P,MATCH(MEDIÇÃO!D822,'PROJETO PERFURAÇÃO'!$B:$B,0))="Production","P",IF(INDEX('PROJETO PERFURAÇÃO'!$P:$P,MATCH(MEDIÇÃO!D822,'PROJETO PERFURAÇÃO'!$B:$B,0))="Buffer","B",IF(INDEX('PROJETO PERFURAÇÃO'!$P:$P,MATCH(MEDIÇÃO!D822,'PROJETO PERFURAÇÃO'!$B:$B,0))="Pre-Splitting","S"))),"")</f>
        <v/>
      </c>
      <c r="D822" s="14">
        <f t="shared" si="78"/>
        <v>1806</v>
      </c>
      <c r="E822" s="4" t="str">
        <f>IFERROR(INDEX('LEV R&amp;D'!$D:$D,MATCH(MEDIÇÃO!D822,'LEV R&amp;D'!$A:$A,0))-INDEX('PROJETO PERFURAÇÃO'!$AH:$AH,MATCH(MEDIÇÃO!D822,'PROJETO PERFURAÇÃO'!$B:$B,0)),"")</f>
        <v/>
      </c>
      <c r="F822" s="8" t="str">
        <f>IFERROR(INDEX('PROJETO PERFURAÇÃO'!$AN:$AN,MATCH(MEDIÇÃO!D822,'PROJETO PERFURAÇÃO'!$B:$B,0)),"")</f>
        <v/>
      </c>
      <c r="G822" s="3"/>
      <c r="H822" s="3"/>
      <c r="I822" s="3" t="str">
        <f>IFERROR(ROUND(INDEX('PROJETO PERFURAÇÃO'!$AB:$AB,MATCH(MEDIÇÃO!K822,'PROJETO PERFURAÇÃO'!$B:$B,0)),1)&amp;"''","")</f>
        <v/>
      </c>
      <c r="J822" s="3" t="str">
        <f>IFERROR(IF(INDEX('PROJETO PERFURAÇÃO'!$P:$P,MATCH(MEDIÇÃO!K822,'PROJETO PERFURAÇÃO'!$B:$B,0))="Production","P",IF(INDEX('PROJETO PERFURAÇÃO'!$P:$P,MATCH(MEDIÇÃO!K822,'PROJETO PERFURAÇÃO'!$B:$B,0))="Buffer","B",IF(INDEX('PROJETO PERFURAÇÃO'!$P:$P,MATCH(MEDIÇÃO!K822,'PROJETO PERFURAÇÃO'!$B:$B,0))="Pre-Splitting","S"))),"")</f>
        <v/>
      </c>
      <c r="K822" s="14">
        <f t="shared" si="79"/>
        <v>1829</v>
      </c>
      <c r="L822" s="4" t="str">
        <f>IFERROR(INDEX('LEV R&amp;D'!$D:$D,MATCH(MEDIÇÃO!K822,'LEV R&amp;D'!$A:$A,0))-INDEX('PROJETO PERFURAÇÃO'!$AH:$AH,MATCH(MEDIÇÃO!K822,'PROJETO PERFURAÇÃO'!$B:$B,0)),"")</f>
        <v/>
      </c>
      <c r="M822" s="8" t="str">
        <f>IFERROR(INDEX('PROJETO PERFURAÇÃO'!$AN:$AN,MATCH(MEDIÇÃO!K822,'PROJETO PERFURAÇÃO'!$B:$B,0)),"")</f>
        <v/>
      </c>
      <c r="N822" s="3"/>
      <c r="O822" s="3"/>
      <c r="P822" s="3" t="str">
        <f>IFERROR(ROUND(INDEX('PROJETO PERFURAÇÃO'!$AB:$AB,MATCH(MEDIÇÃO!R822,'PROJETO PERFURAÇÃO'!$B:$B,0)),1)&amp;"''","")</f>
        <v/>
      </c>
      <c r="Q822" s="3" t="str">
        <f>IFERROR(IF(INDEX('PROJETO PERFURAÇÃO'!$P:$P,MATCH(MEDIÇÃO!R822,'PROJETO PERFURAÇÃO'!$B:$B,0))="Production","P",IF(INDEX('PROJETO PERFURAÇÃO'!$P:$P,MATCH(MEDIÇÃO!R822,'PROJETO PERFURAÇÃO'!$B:$B,0))="Buffer","B",IF(INDEX('PROJETO PERFURAÇÃO'!$P:$P,MATCH(MEDIÇÃO!R822,'PROJETO PERFURAÇÃO'!$B:$B,0))="Pre-Splitting","S"))),"")</f>
        <v/>
      </c>
      <c r="R822" s="14">
        <f t="shared" si="80"/>
        <v>1852</v>
      </c>
      <c r="S822" s="4" t="str">
        <f>IFERROR(INDEX('LEV R&amp;D'!$D:$D,MATCH(MEDIÇÃO!R822,'LEV R&amp;D'!$A:$A,0))-INDEX('PROJETO PERFURAÇÃO'!$AH:$AH,MATCH(MEDIÇÃO!R822,'PROJETO PERFURAÇÃO'!$B:$B,0)),"")</f>
        <v/>
      </c>
      <c r="T822" s="8" t="str">
        <f>IFERROR(INDEX('PROJETO PERFURAÇÃO'!$AN:$AN,MATCH(MEDIÇÃO!R822,'PROJETO PERFURAÇÃO'!$B:$B,0)),"")</f>
        <v/>
      </c>
      <c r="U822" s="3"/>
      <c r="V822" s="3"/>
    </row>
    <row r="823" spans="2:22" ht="45" customHeight="1">
      <c r="B823" s="3" t="str">
        <f>IFERROR(ROUND(INDEX('PROJETO PERFURAÇÃO'!$AB:$AB,MATCH(MEDIÇÃO!D823,'PROJETO PERFURAÇÃO'!$B:$B,0)),1)&amp;"''","")</f>
        <v/>
      </c>
      <c r="C823" s="3" t="str">
        <f>IFERROR(IF(INDEX('PROJETO PERFURAÇÃO'!$P:$P,MATCH(MEDIÇÃO!D823,'PROJETO PERFURAÇÃO'!$B:$B,0))="Production","P",IF(INDEX('PROJETO PERFURAÇÃO'!$P:$P,MATCH(MEDIÇÃO!D823,'PROJETO PERFURAÇÃO'!$B:$B,0))="Buffer","B",IF(INDEX('PROJETO PERFURAÇÃO'!$P:$P,MATCH(MEDIÇÃO!D823,'PROJETO PERFURAÇÃO'!$B:$B,0))="Pre-Splitting","S"))),"")</f>
        <v/>
      </c>
      <c r="D823" s="14">
        <f t="shared" si="78"/>
        <v>1807</v>
      </c>
      <c r="E823" s="4" t="str">
        <f>IFERROR(INDEX('LEV R&amp;D'!$D:$D,MATCH(MEDIÇÃO!D823,'LEV R&amp;D'!$A:$A,0))-INDEX('PROJETO PERFURAÇÃO'!$AH:$AH,MATCH(MEDIÇÃO!D823,'PROJETO PERFURAÇÃO'!$B:$B,0)),"")</f>
        <v/>
      </c>
      <c r="F823" s="8" t="str">
        <f>IFERROR(INDEX('PROJETO PERFURAÇÃO'!$AN:$AN,MATCH(MEDIÇÃO!D823,'PROJETO PERFURAÇÃO'!$B:$B,0)),"")</f>
        <v/>
      </c>
      <c r="G823" s="3"/>
      <c r="H823" s="3"/>
      <c r="I823" s="3" t="str">
        <f>IFERROR(ROUND(INDEX('PROJETO PERFURAÇÃO'!$AB:$AB,MATCH(MEDIÇÃO!K823,'PROJETO PERFURAÇÃO'!$B:$B,0)),1)&amp;"''","")</f>
        <v/>
      </c>
      <c r="J823" s="3" t="str">
        <f>IFERROR(IF(INDEX('PROJETO PERFURAÇÃO'!$P:$P,MATCH(MEDIÇÃO!K823,'PROJETO PERFURAÇÃO'!$B:$B,0))="Production","P",IF(INDEX('PROJETO PERFURAÇÃO'!$P:$P,MATCH(MEDIÇÃO!K823,'PROJETO PERFURAÇÃO'!$B:$B,0))="Buffer","B",IF(INDEX('PROJETO PERFURAÇÃO'!$P:$P,MATCH(MEDIÇÃO!K823,'PROJETO PERFURAÇÃO'!$B:$B,0))="Pre-Splitting","S"))),"")</f>
        <v/>
      </c>
      <c r="K823" s="14">
        <f t="shared" si="79"/>
        <v>1830</v>
      </c>
      <c r="L823" s="4" t="str">
        <f>IFERROR(INDEX('LEV R&amp;D'!$D:$D,MATCH(MEDIÇÃO!K823,'LEV R&amp;D'!$A:$A,0))-INDEX('PROJETO PERFURAÇÃO'!$AH:$AH,MATCH(MEDIÇÃO!K823,'PROJETO PERFURAÇÃO'!$B:$B,0)),"")</f>
        <v/>
      </c>
      <c r="M823" s="8" t="str">
        <f>IFERROR(INDEX('PROJETO PERFURAÇÃO'!$AN:$AN,MATCH(MEDIÇÃO!K823,'PROJETO PERFURAÇÃO'!$B:$B,0)),"")</f>
        <v/>
      </c>
      <c r="N823" s="3"/>
      <c r="O823" s="3"/>
      <c r="P823" s="3" t="str">
        <f>IFERROR(ROUND(INDEX('PROJETO PERFURAÇÃO'!$AB:$AB,MATCH(MEDIÇÃO!R823,'PROJETO PERFURAÇÃO'!$B:$B,0)),1)&amp;"''","")</f>
        <v/>
      </c>
      <c r="Q823" s="3" t="str">
        <f>IFERROR(IF(INDEX('PROJETO PERFURAÇÃO'!$P:$P,MATCH(MEDIÇÃO!R823,'PROJETO PERFURAÇÃO'!$B:$B,0))="Production","P",IF(INDEX('PROJETO PERFURAÇÃO'!$P:$P,MATCH(MEDIÇÃO!R823,'PROJETO PERFURAÇÃO'!$B:$B,0))="Buffer","B",IF(INDEX('PROJETO PERFURAÇÃO'!$P:$P,MATCH(MEDIÇÃO!R823,'PROJETO PERFURAÇÃO'!$B:$B,0))="Pre-Splitting","S"))),"")</f>
        <v/>
      </c>
      <c r="R823" s="14">
        <f t="shared" si="80"/>
        <v>1853</v>
      </c>
      <c r="S823" s="4" t="str">
        <f>IFERROR(INDEX('LEV R&amp;D'!$D:$D,MATCH(MEDIÇÃO!R823,'LEV R&amp;D'!$A:$A,0))-INDEX('PROJETO PERFURAÇÃO'!$AH:$AH,MATCH(MEDIÇÃO!R823,'PROJETO PERFURAÇÃO'!$B:$B,0)),"")</f>
        <v/>
      </c>
      <c r="T823" s="8" t="str">
        <f>IFERROR(INDEX('PROJETO PERFURAÇÃO'!$AN:$AN,MATCH(MEDIÇÃO!R823,'PROJETO PERFURAÇÃO'!$B:$B,0)),"")</f>
        <v/>
      </c>
      <c r="U823" s="3"/>
      <c r="V823" s="3"/>
    </row>
    <row r="824" spans="2:22" ht="45" customHeight="1">
      <c r="B824" s="3" t="str">
        <f>IFERROR(ROUND(INDEX('PROJETO PERFURAÇÃO'!$AB:$AB,MATCH(MEDIÇÃO!D824,'PROJETO PERFURAÇÃO'!$B:$B,0)),1)&amp;"''","")</f>
        <v/>
      </c>
      <c r="C824" s="3" t="str">
        <f>IFERROR(IF(INDEX('PROJETO PERFURAÇÃO'!$P:$P,MATCH(MEDIÇÃO!D824,'PROJETO PERFURAÇÃO'!$B:$B,0))="Production","P",IF(INDEX('PROJETO PERFURAÇÃO'!$P:$P,MATCH(MEDIÇÃO!D824,'PROJETO PERFURAÇÃO'!$B:$B,0))="Buffer","B",IF(INDEX('PROJETO PERFURAÇÃO'!$P:$P,MATCH(MEDIÇÃO!D824,'PROJETO PERFURAÇÃO'!$B:$B,0))="Pre-Splitting","S"))),"")</f>
        <v/>
      </c>
      <c r="D824" s="14">
        <f t="shared" si="78"/>
        <v>1808</v>
      </c>
      <c r="E824" s="4" t="str">
        <f>IFERROR(INDEX('LEV R&amp;D'!$D:$D,MATCH(MEDIÇÃO!D824,'LEV R&amp;D'!$A:$A,0))-INDEX('PROJETO PERFURAÇÃO'!$AH:$AH,MATCH(MEDIÇÃO!D824,'PROJETO PERFURAÇÃO'!$B:$B,0)),"")</f>
        <v/>
      </c>
      <c r="F824" s="8" t="str">
        <f>IFERROR(INDEX('PROJETO PERFURAÇÃO'!$AN:$AN,MATCH(MEDIÇÃO!D824,'PROJETO PERFURAÇÃO'!$B:$B,0)),"")</f>
        <v/>
      </c>
      <c r="G824" s="3"/>
      <c r="H824" s="3"/>
      <c r="I824" s="3" t="str">
        <f>IFERROR(ROUND(INDEX('PROJETO PERFURAÇÃO'!$AB:$AB,MATCH(MEDIÇÃO!K824,'PROJETO PERFURAÇÃO'!$B:$B,0)),1)&amp;"''","")</f>
        <v/>
      </c>
      <c r="J824" s="3" t="str">
        <f>IFERROR(IF(INDEX('PROJETO PERFURAÇÃO'!$P:$P,MATCH(MEDIÇÃO!K824,'PROJETO PERFURAÇÃO'!$B:$B,0))="Production","P",IF(INDEX('PROJETO PERFURAÇÃO'!$P:$P,MATCH(MEDIÇÃO!K824,'PROJETO PERFURAÇÃO'!$B:$B,0))="Buffer","B",IF(INDEX('PROJETO PERFURAÇÃO'!$P:$P,MATCH(MEDIÇÃO!K824,'PROJETO PERFURAÇÃO'!$B:$B,0))="Pre-Splitting","S"))),"")</f>
        <v/>
      </c>
      <c r="K824" s="14">
        <f t="shared" si="79"/>
        <v>1831</v>
      </c>
      <c r="L824" s="4" t="str">
        <f>IFERROR(INDEX('LEV R&amp;D'!$D:$D,MATCH(MEDIÇÃO!K824,'LEV R&amp;D'!$A:$A,0))-INDEX('PROJETO PERFURAÇÃO'!$AH:$AH,MATCH(MEDIÇÃO!K824,'PROJETO PERFURAÇÃO'!$B:$B,0)),"")</f>
        <v/>
      </c>
      <c r="M824" s="8" t="str">
        <f>IFERROR(INDEX('PROJETO PERFURAÇÃO'!$AN:$AN,MATCH(MEDIÇÃO!K824,'PROJETO PERFURAÇÃO'!$B:$B,0)),"")</f>
        <v/>
      </c>
      <c r="N824" s="3"/>
      <c r="O824" s="3"/>
      <c r="P824" s="3" t="str">
        <f>IFERROR(ROUND(INDEX('PROJETO PERFURAÇÃO'!$AB:$AB,MATCH(MEDIÇÃO!R824,'PROJETO PERFURAÇÃO'!$B:$B,0)),1)&amp;"''","")</f>
        <v/>
      </c>
      <c r="Q824" s="3" t="str">
        <f>IFERROR(IF(INDEX('PROJETO PERFURAÇÃO'!$P:$P,MATCH(MEDIÇÃO!R824,'PROJETO PERFURAÇÃO'!$B:$B,0))="Production","P",IF(INDEX('PROJETO PERFURAÇÃO'!$P:$P,MATCH(MEDIÇÃO!R824,'PROJETO PERFURAÇÃO'!$B:$B,0))="Buffer","B",IF(INDEX('PROJETO PERFURAÇÃO'!$P:$P,MATCH(MEDIÇÃO!R824,'PROJETO PERFURAÇÃO'!$B:$B,0))="Pre-Splitting","S"))),"")</f>
        <v/>
      </c>
      <c r="R824" s="14">
        <f t="shared" si="80"/>
        <v>1854</v>
      </c>
      <c r="S824" s="4" t="str">
        <f>IFERROR(INDEX('LEV R&amp;D'!$D:$D,MATCH(MEDIÇÃO!R824,'LEV R&amp;D'!$A:$A,0))-INDEX('PROJETO PERFURAÇÃO'!$AH:$AH,MATCH(MEDIÇÃO!R824,'PROJETO PERFURAÇÃO'!$B:$B,0)),"")</f>
        <v/>
      </c>
      <c r="T824" s="8" t="str">
        <f>IFERROR(INDEX('PROJETO PERFURAÇÃO'!$AN:$AN,MATCH(MEDIÇÃO!R824,'PROJETO PERFURAÇÃO'!$B:$B,0)),"")</f>
        <v/>
      </c>
      <c r="U824" s="3"/>
      <c r="V824" s="3"/>
    </row>
    <row r="825" spans="2:22" ht="45" customHeight="1">
      <c r="B825" s="3" t="str">
        <f>IFERROR(ROUND(INDEX('PROJETO PERFURAÇÃO'!$AB:$AB,MATCH(MEDIÇÃO!D825,'PROJETO PERFURAÇÃO'!$B:$B,0)),1)&amp;"''","")</f>
        <v/>
      </c>
      <c r="C825" s="3" t="str">
        <f>IFERROR(IF(INDEX('PROJETO PERFURAÇÃO'!$P:$P,MATCH(MEDIÇÃO!D825,'PROJETO PERFURAÇÃO'!$B:$B,0))="Production","P",IF(INDEX('PROJETO PERFURAÇÃO'!$P:$P,MATCH(MEDIÇÃO!D825,'PROJETO PERFURAÇÃO'!$B:$B,0))="Buffer","B",IF(INDEX('PROJETO PERFURAÇÃO'!$P:$P,MATCH(MEDIÇÃO!D825,'PROJETO PERFURAÇÃO'!$B:$B,0))="Pre-Splitting","S"))),"")</f>
        <v/>
      </c>
      <c r="D825" s="14">
        <f t="shared" si="78"/>
        <v>1809</v>
      </c>
      <c r="E825" s="4" t="str">
        <f>IFERROR(INDEX('LEV R&amp;D'!$D:$D,MATCH(MEDIÇÃO!D825,'LEV R&amp;D'!$A:$A,0))-INDEX('PROJETO PERFURAÇÃO'!$AH:$AH,MATCH(MEDIÇÃO!D825,'PROJETO PERFURAÇÃO'!$B:$B,0)),"")</f>
        <v/>
      </c>
      <c r="F825" s="8" t="str">
        <f>IFERROR(INDEX('PROJETO PERFURAÇÃO'!$AN:$AN,MATCH(MEDIÇÃO!D825,'PROJETO PERFURAÇÃO'!$B:$B,0)),"")</f>
        <v/>
      </c>
      <c r="G825" s="3"/>
      <c r="H825" s="3"/>
      <c r="I825" s="3" t="str">
        <f>IFERROR(ROUND(INDEX('PROJETO PERFURAÇÃO'!$AB:$AB,MATCH(MEDIÇÃO!K825,'PROJETO PERFURAÇÃO'!$B:$B,0)),1)&amp;"''","")</f>
        <v/>
      </c>
      <c r="J825" s="3" t="str">
        <f>IFERROR(IF(INDEX('PROJETO PERFURAÇÃO'!$P:$P,MATCH(MEDIÇÃO!K825,'PROJETO PERFURAÇÃO'!$B:$B,0))="Production","P",IF(INDEX('PROJETO PERFURAÇÃO'!$P:$P,MATCH(MEDIÇÃO!K825,'PROJETO PERFURAÇÃO'!$B:$B,0))="Buffer","B",IF(INDEX('PROJETO PERFURAÇÃO'!$P:$P,MATCH(MEDIÇÃO!K825,'PROJETO PERFURAÇÃO'!$B:$B,0))="Pre-Splitting","S"))),"")</f>
        <v/>
      </c>
      <c r="K825" s="14">
        <f t="shared" si="79"/>
        <v>1832</v>
      </c>
      <c r="L825" s="4" t="str">
        <f>IFERROR(INDEX('LEV R&amp;D'!$D:$D,MATCH(MEDIÇÃO!K825,'LEV R&amp;D'!$A:$A,0))-INDEX('PROJETO PERFURAÇÃO'!$AH:$AH,MATCH(MEDIÇÃO!K825,'PROJETO PERFURAÇÃO'!$B:$B,0)),"")</f>
        <v/>
      </c>
      <c r="M825" s="8" t="str">
        <f>IFERROR(INDEX('PROJETO PERFURAÇÃO'!$AN:$AN,MATCH(MEDIÇÃO!K825,'PROJETO PERFURAÇÃO'!$B:$B,0)),"")</f>
        <v/>
      </c>
      <c r="N825" s="3"/>
      <c r="O825" s="3"/>
      <c r="P825" s="3" t="str">
        <f>IFERROR(ROUND(INDEX('PROJETO PERFURAÇÃO'!$AB:$AB,MATCH(MEDIÇÃO!R825,'PROJETO PERFURAÇÃO'!$B:$B,0)),1)&amp;"''","")</f>
        <v/>
      </c>
      <c r="Q825" s="3" t="str">
        <f>IFERROR(IF(INDEX('PROJETO PERFURAÇÃO'!$P:$P,MATCH(MEDIÇÃO!R825,'PROJETO PERFURAÇÃO'!$B:$B,0))="Production","P",IF(INDEX('PROJETO PERFURAÇÃO'!$P:$P,MATCH(MEDIÇÃO!R825,'PROJETO PERFURAÇÃO'!$B:$B,0))="Buffer","B",IF(INDEX('PROJETO PERFURAÇÃO'!$P:$P,MATCH(MEDIÇÃO!R825,'PROJETO PERFURAÇÃO'!$B:$B,0))="Pre-Splitting","S"))),"")</f>
        <v/>
      </c>
      <c r="R825" s="14">
        <f t="shared" si="80"/>
        <v>1855</v>
      </c>
      <c r="S825" s="4" t="str">
        <f>IFERROR(INDEX('LEV R&amp;D'!$D:$D,MATCH(MEDIÇÃO!R825,'LEV R&amp;D'!$A:$A,0))-INDEX('PROJETO PERFURAÇÃO'!$AH:$AH,MATCH(MEDIÇÃO!R825,'PROJETO PERFURAÇÃO'!$B:$B,0)),"")</f>
        <v/>
      </c>
      <c r="T825" s="8" t="str">
        <f>IFERROR(INDEX('PROJETO PERFURAÇÃO'!$AN:$AN,MATCH(MEDIÇÃO!R825,'PROJETO PERFURAÇÃO'!$B:$B,0)),"")</f>
        <v/>
      </c>
      <c r="U825" s="3"/>
      <c r="V825" s="3"/>
    </row>
    <row r="826" spans="2:22" ht="45" customHeight="1">
      <c r="B826" s="3" t="str">
        <f>IFERROR(ROUND(INDEX('PROJETO PERFURAÇÃO'!$AB:$AB,MATCH(MEDIÇÃO!D826,'PROJETO PERFURAÇÃO'!$B:$B,0)),1)&amp;"''","")</f>
        <v/>
      </c>
      <c r="C826" s="3" t="str">
        <f>IFERROR(IF(INDEX('PROJETO PERFURAÇÃO'!$P:$P,MATCH(MEDIÇÃO!D826,'PROJETO PERFURAÇÃO'!$B:$B,0))="Production","P",IF(INDEX('PROJETO PERFURAÇÃO'!$P:$P,MATCH(MEDIÇÃO!D826,'PROJETO PERFURAÇÃO'!$B:$B,0))="Buffer","B",IF(INDEX('PROJETO PERFURAÇÃO'!$P:$P,MATCH(MEDIÇÃO!D826,'PROJETO PERFURAÇÃO'!$B:$B,0))="Pre-Splitting","S"))),"")</f>
        <v/>
      </c>
      <c r="D826" s="14">
        <f t="shared" si="78"/>
        <v>1810</v>
      </c>
      <c r="E826" s="4" t="str">
        <f>IFERROR(INDEX('LEV R&amp;D'!$D:$D,MATCH(MEDIÇÃO!D826,'LEV R&amp;D'!$A:$A,0))-INDEX('PROJETO PERFURAÇÃO'!$AH:$AH,MATCH(MEDIÇÃO!D826,'PROJETO PERFURAÇÃO'!$B:$B,0)),"")</f>
        <v/>
      </c>
      <c r="F826" s="8" t="str">
        <f>IFERROR(INDEX('PROJETO PERFURAÇÃO'!$AN:$AN,MATCH(MEDIÇÃO!D826,'PROJETO PERFURAÇÃO'!$B:$B,0)),"")</f>
        <v/>
      </c>
      <c r="G826" s="3"/>
      <c r="H826" s="3"/>
      <c r="I826" s="3" t="str">
        <f>IFERROR(ROUND(INDEX('PROJETO PERFURAÇÃO'!$AB:$AB,MATCH(MEDIÇÃO!K826,'PROJETO PERFURAÇÃO'!$B:$B,0)),1)&amp;"''","")</f>
        <v/>
      </c>
      <c r="J826" s="3" t="str">
        <f>IFERROR(IF(INDEX('PROJETO PERFURAÇÃO'!$P:$P,MATCH(MEDIÇÃO!K826,'PROJETO PERFURAÇÃO'!$B:$B,0))="Production","P",IF(INDEX('PROJETO PERFURAÇÃO'!$P:$P,MATCH(MEDIÇÃO!K826,'PROJETO PERFURAÇÃO'!$B:$B,0))="Buffer","B",IF(INDEX('PROJETO PERFURAÇÃO'!$P:$P,MATCH(MEDIÇÃO!K826,'PROJETO PERFURAÇÃO'!$B:$B,0))="Pre-Splitting","S"))),"")</f>
        <v/>
      </c>
      <c r="K826" s="14">
        <f t="shared" si="79"/>
        <v>1833</v>
      </c>
      <c r="L826" s="4" t="str">
        <f>IFERROR(INDEX('LEV R&amp;D'!$D:$D,MATCH(MEDIÇÃO!K826,'LEV R&amp;D'!$A:$A,0))-INDEX('PROJETO PERFURAÇÃO'!$AH:$AH,MATCH(MEDIÇÃO!K826,'PROJETO PERFURAÇÃO'!$B:$B,0)),"")</f>
        <v/>
      </c>
      <c r="M826" s="8" t="str">
        <f>IFERROR(INDEX('PROJETO PERFURAÇÃO'!$AN:$AN,MATCH(MEDIÇÃO!K826,'PROJETO PERFURAÇÃO'!$B:$B,0)),"")</f>
        <v/>
      </c>
      <c r="N826" s="3"/>
      <c r="O826" s="3"/>
      <c r="P826" s="3" t="str">
        <f>IFERROR(ROUND(INDEX('PROJETO PERFURAÇÃO'!$AB:$AB,MATCH(MEDIÇÃO!R826,'PROJETO PERFURAÇÃO'!$B:$B,0)),1)&amp;"''","")</f>
        <v/>
      </c>
      <c r="Q826" s="3" t="str">
        <f>IFERROR(IF(INDEX('PROJETO PERFURAÇÃO'!$P:$P,MATCH(MEDIÇÃO!R826,'PROJETO PERFURAÇÃO'!$B:$B,0))="Production","P",IF(INDEX('PROJETO PERFURAÇÃO'!$P:$P,MATCH(MEDIÇÃO!R826,'PROJETO PERFURAÇÃO'!$B:$B,0))="Buffer","B",IF(INDEX('PROJETO PERFURAÇÃO'!$P:$P,MATCH(MEDIÇÃO!R826,'PROJETO PERFURAÇÃO'!$B:$B,0))="Pre-Splitting","S"))),"")</f>
        <v/>
      </c>
      <c r="R826" s="14">
        <f t="shared" si="80"/>
        <v>1856</v>
      </c>
      <c r="S826" s="4" t="str">
        <f>IFERROR(INDEX('LEV R&amp;D'!$D:$D,MATCH(MEDIÇÃO!R826,'LEV R&amp;D'!$A:$A,0))-INDEX('PROJETO PERFURAÇÃO'!$AH:$AH,MATCH(MEDIÇÃO!R826,'PROJETO PERFURAÇÃO'!$B:$B,0)),"")</f>
        <v/>
      </c>
      <c r="T826" s="8" t="str">
        <f>IFERROR(INDEX('PROJETO PERFURAÇÃO'!$AN:$AN,MATCH(MEDIÇÃO!R826,'PROJETO PERFURAÇÃO'!$B:$B,0)),"")</f>
        <v/>
      </c>
      <c r="U826" s="3"/>
      <c r="V826" s="3"/>
    </row>
    <row r="827" spans="2:22" ht="45" customHeight="1">
      <c r="B827" s="3" t="str">
        <f>IFERROR(ROUND(INDEX('PROJETO PERFURAÇÃO'!$AB:$AB,MATCH(MEDIÇÃO!D827,'PROJETO PERFURAÇÃO'!$B:$B,0)),1)&amp;"''","")</f>
        <v/>
      </c>
      <c r="C827" s="3" t="str">
        <f>IFERROR(IF(INDEX('PROJETO PERFURAÇÃO'!$P:$P,MATCH(MEDIÇÃO!D827,'PROJETO PERFURAÇÃO'!$B:$B,0))="Production","P",IF(INDEX('PROJETO PERFURAÇÃO'!$P:$P,MATCH(MEDIÇÃO!D827,'PROJETO PERFURAÇÃO'!$B:$B,0))="Buffer","B",IF(INDEX('PROJETO PERFURAÇÃO'!$P:$P,MATCH(MEDIÇÃO!D827,'PROJETO PERFURAÇÃO'!$B:$B,0))="Pre-Splitting","S"))),"")</f>
        <v/>
      </c>
      <c r="D827" s="14">
        <f t="shared" si="78"/>
        <v>1811</v>
      </c>
      <c r="E827" s="4" t="str">
        <f>IFERROR(INDEX('LEV R&amp;D'!$D:$D,MATCH(MEDIÇÃO!D827,'LEV R&amp;D'!$A:$A,0))-INDEX('PROJETO PERFURAÇÃO'!$AH:$AH,MATCH(MEDIÇÃO!D827,'PROJETO PERFURAÇÃO'!$B:$B,0)),"")</f>
        <v/>
      </c>
      <c r="F827" s="8" t="str">
        <f>IFERROR(INDEX('PROJETO PERFURAÇÃO'!$AN:$AN,MATCH(MEDIÇÃO!D827,'PROJETO PERFURAÇÃO'!$B:$B,0)),"")</f>
        <v/>
      </c>
      <c r="G827" s="3"/>
      <c r="H827" s="3"/>
      <c r="I827" s="3" t="str">
        <f>IFERROR(ROUND(INDEX('PROJETO PERFURAÇÃO'!$AB:$AB,MATCH(MEDIÇÃO!K827,'PROJETO PERFURAÇÃO'!$B:$B,0)),1)&amp;"''","")</f>
        <v/>
      </c>
      <c r="J827" s="3" t="str">
        <f>IFERROR(IF(INDEX('PROJETO PERFURAÇÃO'!$P:$P,MATCH(MEDIÇÃO!K827,'PROJETO PERFURAÇÃO'!$B:$B,0))="Production","P",IF(INDEX('PROJETO PERFURAÇÃO'!$P:$P,MATCH(MEDIÇÃO!K827,'PROJETO PERFURAÇÃO'!$B:$B,0))="Buffer","B",IF(INDEX('PROJETO PERFURAÇÃO'!$P:$P,MATCH(MEDIÇÃO!K827,'PROJETO PERFURAÇÃO'!$B:$B,0))="Pre-Splitting","S"))),"")</f>
        <v/>
      </c>
      <c r="K827" s="14">
        <f t="shared" si="79"/>
        <v>1834</v>
      </c>
      <c r="L827" s="4" t="str">
        <f>IFERROR(INDEX('LEV R&amp;D'!$D:$D,MATCH(MEDIÇÃO!K827,'LEV R&amp;D'!$A:$A,0))-INDEX('PROJETO PERFURAÇÃO'!$AH:$AH,MATCH(MEDIÇÃO!K827,'PROJETO PERFURAÇÃO'!$B:$B,0)),"")</f>
        <v/>
      </c>
      <c r="M827" s="8" t="str">
        <f>IFERROR(INDEX('PROJETO PERFURAÇÃO'!$AN:$AN,MATCH(MEDIÇÃO!K827,'PROJETO PERFURAÇÃO'!$B:$B,0)),"")</f>
        <v/>
      </c>
      <c r="N827" s="3"/>
      <c r="O827" s="3"/>
      <c r="P827" s="3" t="str">
        <f>IFERROR(ROUND(INDEX('PROJETO PERFURAÇÃO'!$AB:$AB,MATCH(MEDIÇÃO!R827,'PROJETO PERFURAÇÃO'!$B:$B,0)),1)&amp;"''","")</f>
        <v/>
      </c>
      <c r="Q827" s="3" t="str">
        <f>IFERROR(IF(INDEX('PROJETO PERFURAÇÃO'!$P:$P,MATCH(MEDIÇÃO!R827,'PROJETO PERFURAÇÃO'!$B:$B,0))="Production","P",IF(INDEX('PROJETO PERFURAÇÃO'!$P:$P,MATCH(MEDIÇÃO!R827,'PROJETO PERFURAÇÃO'!$B:$B,0))="Buffer","B",IF(INDEX('PROJETO PERFURAÇÃO'!$P:$P,MATCH(MEDIÇÃO!R827,'PROJETO PERFURAÇÃO'!$B:$B,0))="Pre-Splitting","S"))),"")</f>
        <v/>
      </c>
      <c r="R827" s="14">
        <f t="shared" si="80"/>
        <v>1857</v>
      </c>
      <c r="S827" s="4" t="str">
        <f>IFERROR(INDEX('LEV R&amp;D'!$D:$D,MATCH(MEDIÇÃO!R827,'LEV R&amp;D'!$A:$A,0))-INDEX('PROJETO PERFURAÇÃO'!$AH:$AH,MATCH(MEDIÇÃO!R827,'PROJETO PERFURAÇÃO'!$B:$B,0)),"")</f>
        <v/>
      </c>
      <c r="T827" s="8" t="str">
        <f>IFERROR(INDEX('PROJETO PERFURAÇÃO'!$AN:$AN,MATCH(MEDIÇÃO!R827,'PROJETO PERFURAÇÃO'!$B:$B,0)),"")</f>
        <v/>
      </c>
      <c r="U827" s="3"/>
      <c r="V827" s="3"/>
    </row>
    <row r="828" spans="2:22" ht="45" customHeight="1">
      <c r="B828" s="3" t="str">
        <f>IFERROR(ROUND(INDEX('PROJETO PERFURAÇÃO'!$AB:$AB,MATCH(MEDIÇÃO!D828,'PROJETO PERFURAÇÃO'!$B:$B,0)),1)&amp;"''","")</f>
        <v/>
      </c>
      <c r="C828" s="3" t="str">
        <f>IFERROR(IF(INDEX('PROJETO PERFURAÇÃO'!$P:$P,MATCH(MEDIÇÃO!D828,'PROJETO PERFURAÇÃO'!$B:$B,0))="Production","P",IF(INDEX('PROJETO PERFURAÇÃO'!$P:$P,MATCH(MEDIÇÃO!D828,'PROJETO PERFURAÇÃO'!$B:$B,0))="Buffer","B",IF(INDEX('PROJETO PERFURAÇÃO'!$P:$P,MATCH(MEDIÇÃO!D828,'PROJETO PERFURAÇÃO'!$B:$B,0))="Pre-Splitting","S"))),"")</f>
        <v/>
      </c>
      <c r="D828" s="14">
        <f t="shared" si="78"/>
        <v>1812</v>
      </c>
      <c r="E828" s="4" t="str">
        <f>IFERROR(INDEX('LEV R&amp;D'!$D:$D,MATCH(MEDIÇÃO!D828,'LEV R&amp;D'!$A:$A,0))-INDEX('PROJETO PERFURAÇÃO'!$AH:$AH,MATCH(MEDIÇÃO!D828,'PROJETO PERFURAÇÃO'!$B:$B,0)),"")</f>
        <v/>
      </c>
      <c r="F828" s="8" t="str">
        <f>IFERROR(INDEX('PROJETO PERFURAÇÃO'!$AN:$AN,MATCH(MEDIÇÃO!D828,'PROJETO PERFURAÇÃO'!$B:$B,0)),"")</f>
        <v/>
      </c>
      <c r="G828" s="3"/>
      <c r="H828" s="3"/>
      <c r="I828" s="3" t="str">
        <f>IFERROR(ROUND(INDEX('PROJETO PERFURAÇÃO'!$AB:$AB,MATCH(MEDIÇÃO!K828,'PROJETO PERFURAÇÃO'!$B:$B,0)),1)&amp;"''","")</f>
        <v/>
      </c>
      <c r="J828" s="3" t="str">
        <f>IFERROR(IF(INDEX('PROJETO PERFURAÇÃO'!$P:$P,MATCH(MEDIÇÃO!K828,'PROJETO PERFURAÇÃO'!$B:$B,0))="Production","P",IF(INDEX('PROJETO PERFURAÇÃO'!$P:$P,MATCH(MEDIÇÃO!K828,'PROJETO PERFURAÇÃO'!$B:$B,0))="Buffer","B",IF(INDEX('PROJETO PERFURAÇÃO'!$P:$P,MATCH(MEDIÇÃO!K828,'PROJETO PERFURAÇÃO'!$B:$B,0))="Pre-Splitting","S"))),"")</f>
        <v/>
      </c>
      <c r="K828" s="14">
        <f t="shared" si="79"/>
        <v>1835</v>
      </c>
      <c r="L828" s="4" t="str">
        <f>IFERROR(INDEX('LEV R&amp;D'!$D:$D,MATCH(MEDIÇÃO!K828,'LEV R&amp;D'!$A:$A,0))-INDEX('PROJETO PERFURAÇÃO'!$AH:$AH,MATCH(MEDIÇÃO!K828,'PROJETO PERFURAÇÃO'!$B:$B,0)),"")</f>
        <v/>
      </c>
      <c r="M828" s="8" t="str">
        <f>IFERROR(INDEX('PROJETO PERFURAÇÃO'!$AN:$AN,MATCH(MEDIÇÃO!K828,'PROJETO PERFURAÇÃO'!$B:$B,0)),"")</f>
        <v/>
      </c>
      <c r="N828" s="3"/>
      <c r="O828" s="3"/>
      <c r="P828" s="3" t="str">
        <f>IFERROR(ROUND(INDEX('PROJETO PERFURAÇÃO'!$AB:$AB,MATCH(MEDIÇÃO!R828,'PROJETO PERFURAÇÃO'!$B:$B,0)),1)&amp;"''","")</f>
        <v/>
      </c>
      <c r="Q828" s="3" t="str">
        <f>IFERROR(IF(INDEX('PROJETO PERFURAÇÃO'!$P:$P,MATCH(MEDIÇÃO!R828,'PROJETO PERFURAÇÃO'!$B:$B,0))="Production","P",IF(INDEX('PROJETO PERFURAÇÃO'!$P:$P,MATCH(MEDIÇÃO!R828,'PROJETO PERFURAÇÃO'!$B:$B,0))="Buffer","B",IF(INDEX('PROJETO PERFURAÇÃO'!$P:$P,MATCH(MEDIÇÃO!R828,'PROJETO PERFURAÇÃO'!$B:$B,0))="Pre-Splitting","S"))),"")</f>
        <v/>
      </c>
      <c r="R828" s="14">
        <f t="shared" si="80"/>
        <v>1858</v>
      </c>
      <c r="S828" s="4" t="str">
        <f>IFERROR(INDEX('LEV R&amp;D'!$D:$D,MATCH(MEDIÇÃO!R828,'LEV R&amp;D'!$A:$A,0))-INDEX('PROJETO PERFURAÇÃO'!$AH:$AH,MATCH(MEDIÇÃO!R828,'PROJETO PERFURAÇÃO'!$B:$B,0)),"")</f>
        <v/>
      </c>
      <c r="T828" s="8" t="str">
        <f>IFERROR(INDEX('PROJETO PERFURAÇÃO'!$AN:$AN,MATCH(MEDIÇÃO!R828,'PROJETO PERFURAÇÃO'!$B:$B,0)),"")</f>
        <v/>
      </c>
      <c r="U828" s="3"/>
      <c r="V828" s="3"/>
    </row>
    <row r="829" spans="2:22" ht="45" customHeight="1">
      <c r="B829" s="3" t="str">
        <f>IFERROR(ROUND(INDEX('PROJETO PERFURAÇÃO'!$AB:$AB,MATCH(MEDIÇÃO!D829,'PROJETO PERFURAÇÃO'!$B:$B,0)),1)&amp;"''","")</f>
        <v/>
      </c>
      <c r="C829" s="3" t="str">
        <f>IFERROR(IF(INDEX('PROJETO PERFURAÇÃO'!$P:$P,MATCH(MEDIÇÃO!D829,'PROJETO PERFURAÇÃO'!$B:$B,0))="Production","P",IF(INDEX('PROJETO PERFURAÇÃO'!$P:$P,MATCH(MEDIÇÃO!D829,'PROJETO PERFURAÇÃO'!$B:$B,0))="Buffer","B",IF(INDEX('PROJETO PERFURAÇÃO'!$P:$P,MATCH(MEDIÇÃO!D829,'PROJETO PERFURAÇÃO'!$B:$B,0))="Pre-Splitting","S"))),"")</f>
        <v/>
      </c>
      <c r="D829" s="14">
        <f t="shared" si="78"/>
        <v>1813</v>
      </c>
      <c r="E829" s="4" t="str">
        <f>IFERROR(INDEX('LEV R&amp;D'!$D:$D,MATCH(MEDIÇÃO!D829,'LEV R&amp;D'!$A:$A,0))-INDEX('PROJETO PERFURAÇÃO'!$AH:$AH,MATCH(MEDIÇÃO!D829,'PROJETO PERFURAÇÃO'!$B:$B,0)),"")</f>
        <v/>
      </c>
      <c r="F829" s="8" t="str">
        <f>IFERROR(INDEX('PROJETO PERFURAÇÃO'!$AN:$AN,MATCH(MEDIÇÃO!D829,'PROJETO PERFURAÇÃO'!$B:$B,0)),"")</f>
        <v/>
      </c>
      <c r="G829" s="3"/>
      <c r="H829" s="3"/>
      <c r="I829" s="3" t="str">
        <f>IFERROR(ROUND(INDEX('PROJETO PERFURAÇÃO'!$AB:$AB,MATCH(MEDIÇÃO!K829,'PROJETO PERFURAÇÃO'!$B:$B,0)),1)&amp;"''","")</f>
        <v/>
      </c>
      <c r="J829" s="3" t="str">
        <f>IFERROR(IF(INDEX('PROJETO PERFURAÇÃO'!$P:$P,MATCH(MEDIÇÃO!K829,'PROJETO PERFURAÇÃO'!$B:$B,0))="Production","P",IF(INDEX('PROJETO PERFURAÇÃO'!$P:$P,MATCH(MEDIÇÃO!K829,'PROJETO PERFURAÇÃO'!$B:$B,0))="Buffer","B",IF(INDEX('PROJETO PERFURAÇÃO'!$P:$P,MATCH(MEDIÇÃO!K829,'PROJETO PERFURAÇÃO'!$B:$B,0))="Pre-Splitting","S"))),"")</f>
        <v/>
      </c>
      <c r="K829" s="14">
        <f t="shared" si="79"/>
        <v>1836</v>
      </c>
      <c r="L829" s="4" t="str">
        <f>IFERROR(INDEX('LEV R&amp;D'!$D:$D,MATCH(MEDIÇÃO!K829,'LEV R&amp;D'!$A:$A,0))-INDEX('PROJETO PERFURAÇÃO'!$AH:$AH,MATCH(MEDIÇÃO!K829,'PROJETO PERFURAÇÃO'!$B:$B,0)),"")</f>
        <v/>
      </c>
      <c r="M829" s="8" t="str">
        <f>IFERROR(INDEX('PROJETO PERFURAÇÃO'!$AN:$AN,MATCH(MEDIÇÃO!K829,'PROJETO PERFURAÇÃO'!$B:$B,0)),"")</f>
        <v/>
      </c>
      <c r="N829" s="3"/>
      <c r="O829" s="3"/>
      <c r="P829" s="3" t="str">
        <f>IFERROR(ROUND(INDEX('PROJETO PERFURAÇÃO'!$AB:$AB,MATCH(MEDIÇÃO!R829,'PROJETO PERFURAÇÃO'!$B:$B,0)),1)&amp;"''","")</f>
        <v/>
      </c>
      <c r="Q829" s="3" t="str">
        <f>IFERROR(IF(INDEX('PROJETO PERFURAÇÃO'!$P:$P,MATCH(MEDIÇÃO!R829,'PROJETO PERFURAÇÃO'!$B:$B,0))="Production","P",IF(INDEX('PROJETO PERFURAÇÃO'!$P:$P,MATCH(MEDIÇÃO!R829,'PROJETO PERFURAÇÃO'!$B:$B,0))="Buffer","B",IF(INDEX('PROJETO PERFURAÇÃO'!$P:$P,MATCH(MEDIÇÃO!R829,'PROJETO PERFURAÇÃO'!$B:$B,0))="Pre-Splitting","S"))),"")</f>
        <v/>
      </c>
      <c r="R829" s="14">
        <f t="shared" si="80"/>
        <v>1859</v>
      </c>
      <c r="S829" s="4" t="str">
        <f>IFERROR(INDEX('LEV R&amp;D'!$D:$D,MATCH(MEDIÇÃO!R829,'LEV R&amp;D'!$A:$A,0))-INDEX('PROJETO PERFURAÇÃO'!$AH:$AH,MATCH(MEDIÇÃO!R829,'PROJETO PERFURAÇÃO'!$B:$B,0)),"")</f>
        <v/>
      </c>
      <c r="T829" s="8" t="str">
        <f>IFERROR(INDEX('PROJETO PERFURAÇÃO'!$AN:$AN,MATCH(MEDIÇÃO!R829,'PROJETO PERFURAÇÃO'!$B:$B,0)),"")</f>
        <v/>
      </c>
      <c r="U829" s="3"/>
      <c r="V829" s="3"/>
    </row>
    <row r="830" spans="2:22" ht="45" customHeight="1">
      <c r="B830" s="3" t="str">
        <f>IFERROR(ROUND(INDEX('PROJETO PERFURAÇÃO'!$AB:$AB,MATCH(MEDIÇÃO!D830,'PROJETO PERFURAÇÃO'!$B:$B,0)),1)&amp;"''","")</f>
        <v/>
      </c>
      <c r="C830" s="3" t="str">
        <f>IFERROR(IF(INDEX('PROJETO PERFURAÇÃO'!$P:$P,MATCH(MEDIÇÃO!D830,'PROJETO PERFURAÇÃO'!$B:$B,0))="Production","P",IF(INDEX('PROJETO PERFURAÇÃO'!$P:$P,MATCH(MEDIÇÃO!D830,'PROJETO PERFURAÇÃO'!$B:$B,0))="Buffer","B",IF(INDEX('PROJETO PERFURAÇÃO'!$P:$P,MATCH(MEDIÇÃO!D830,'PROJETO PERFURAÇÃO'!$B:$B,0))="Pre-Splitting","S"))),"")</f>
        <v/>
      </c>
      <c r="D830" s="14">
        <f t="shared" si="78"/>
        <v>1814</v>
      </c>
      <c r="E830" s="4" t="str">
        <f>IFERROR(INDEX('LEV R&amp;D'!$D:$D,MATCH(MEDIÇÃO!D830,'LEV R&amp;D'!$A:$A,0))-INDEX('PROJETO PERFURAÇÃO'!$AH:$AH,MATCH(MEDIÇÃO!D830,'PROJETO PERFURAÇÃO'!$B:$B,0)),"")</f>
        <v/>
      </c>
      <c r="F830" s="8" t="str">
        <f>IFERROR(INDEX('PROJETO PERFURAÇÃO'!$AN:$AN,MATCH(MEDIÇÃO!D830,'PROJETO PERFURAÇÃO'!$B:$B,0)),"")</f>
        <v/>
      </c>
      <c r="G830" s="3"/>
      <c r="H830" s="3"/>
      <c r="I830" s="3" t="str">
        <f>IFERROR(ROUND(INDEX('PROJETO PERFURAÇÃO'!$AB:$AB,MATCH(MEDIÇÃO!K830,'PROJETO PERFURAÇÃO'!$B:$B,0)),1)&amp;"''","")</f>
        <v/>
      </c>
      <c r="J830" s="3" t="str">
        <f>IFERROR(IF(INDEX('PROJETO PERFURAÇÃO'!$P:$P,MATCH(MEDIÇÃO!K830,'PROJETO PERFURAÇÃO'!$B:$B,0))="Production","P",IF(INDEX('PROJETO PERFURAÇÃO'!$P:$P,MATCH(MEDIÇÃO!K830,'PROJETO PERFURAÇÃO'!$B:$B,0))="Buffer","B",IF(INDEX('PROJETO PERFURAÇÃO'!$P:$P,MATCH(MEDIÇÃO!K830,'PROJETO PERFURAÇÃO'!$B:$B,0))="Pre-Splitting","S"))),"")</f>
        <v/>
      </c>
      <c r="K830" s="14">
        <f t="shared" si="79"/>
        <v>1837</v>
      </c>
      <c r="L830" s="4" t="str">
        <f>IFERROR(INDEX('LEV R&amp;D'!$D:$D,MATCH(MEDIÇÃO!K830,'LEV R&amp;D'!$A:$A,0))-INDEX('PROJETO PERFURAÇÃO'!$AH:$AH,MATCH(MEDIÇÃO!K830,'PROJETO PERFURAÇÃO'!$B:$B,0)),"")</f>
        <v/>
      </c>
      <c r="M830" s="8" t="str">
        <f>IFERROR(INDEX('PROJETO PERFURAÇÃO'!$AN:$AN,MATCH(MEDIÇÃO!K830,'PROJETO PERFURAÇÃO'!$B:$B,0)),"")</f>
        <v/>
      </c>
      <c r="N830" s="3"/>
      <c r="O830" s="3"/>
      <c r="P830" s="3" t="str">
        <f>IFERROR(ROUND(INDEX('PROJETO PERFURAÇÃO'!$AB:$AB,MATCH(MEDIÇÃO!R830,'PROJETO PERFURAÇÃO'!$B:$B,0)),1)&amp;"''","")</f>
        <v/>
      </c>
      <c r="Q830" s="3" t="str">
        <f>IFERROR(IF(INDEX('PROJETO PERFURAÇÃO'!$P:$P,MATCH(MEDIÇÃO!R830,'PROJETO PERFURAÇÃO'!$B:$B,0))="Production","P",IF(INDEX('PROJETO PERFURAÇÃO'!$P:$P,MATCH(MEDIÇÃO!R830,'PROJETO PERFURAÇÃO'!$B:$B,0))="Buffer","B",IF(INDEX('PROJETO PERFURAÇÃO'!$P:$P,MATCH(MEDIÇÃO!R830,'PROJETO PERFURAÇÃO'!$B:$B,0))="Pre-Splitting","S"))),"")</f>
        <v/>
      </c>
      <c r="R830" s="14">
        <f t="shared" si="80"/>
        <v>1860</v>
      </c>
      <c r="S830" s="4" t="str">
        <f>IFERROR(INDEX('LEV R&amp;D'!$D:$D,MATCH(MEDIÇÃO!R830,'LEV R&amp;D'!$A:$A,0))-INDEX('PROJETO PERFURAÇÃO'!$AH:$AH,MATCH(MEDIÇÃO!R830,'PROJETO PERFURAÇÃO'!$B:$B,0)),"")</f>
        <v/>
      </c>
      <c r="T830" s="8" t="str">
        <f>IFERROR(INDEX('PROJETO PERFURAÇÃO'!$AN:$AN,MATCH(MEDIÇÃO!R830,'PROJETO PERFURAÇÃO'!$B:$B,0)),"")</f>
        <v/>
      </c>
      <c r="U830" s="3"/>
      <c r="V830" s="3"/>
    </row>
    <row r="831" spans="2:22" ht="45" customHeight="1">
      <c r="B831" s="3" t="str">
        <f>IFERROR(ROUND(INDEX('PROJETO PERFURAÇÃO'!$AB:$AB,MATCH(MEDIÇÃO!D831,'PROJETO PERFURAÇÃO'!$B:$B,0)),1)&amp;"''","")</f>
        <v/>
      </c>
      <c r="C831" s="3" t="str">
        <f>IFERROR(IF(INDEX('PROJETO PERFURAÇÃO'!$P:$P,MATCH(MEDIÇÃO!D831,'PROJETO PERFURAÇÃO'!$B:$B,0))="Production","P",IF(INDEX('PROJETO PERFURAÇÃO'!$P:$P,MATCH(MEDIÇÃO!D831,'PROJETO PERFURAÇÃO'!$B:$B,0))="Buffer","B",IF(INDEX('PROJETO PERFURAÇÃO'!$P:$P,MATCH(MEDIÇÃO!D831,'PROJETO PERFURAÇÃO'!$B:$B,0))="Pre-Splitting","S"))),"")</f>
        <v/>
      </c>
      <c r="D831" s="14">
        <f t="shared" si="78"/>
        <v>1815</v>
      </c>
      <c r="E831" s="4" t="str">
        <f>IFERROR(INDEX('LEV R&amp;D'!$D:$D,MATCH(MEDIÇÃO!D831,'LEV R&amp;D'!$A:$A,0))-INDEX('PROJETO PERFURAÇÃO'!$AH:$AH,MATCH(MEDIÇÃO!D831,'PROJETO PERFURAÇÃO'!$B:$B,0)),"")</f>
        <v/>
      </c>
      <c r="F831" s="8" t="str">
        <f>IFERROR(INDEX('PROJETO PERFURAÇÃO'!$AN:$AN,MATCH(MEDIÇÃO!D831,'PROJETO PERFURAÇÃO'!$B:$B,0)),"")</f>
        <v/>
      </c>
      <c r="G831" s="3"/>
      <c r="H831" s="3"/>
      <c r="I831" s="3" t="str">
        <f>IFERROR(ROUND(INDEX('PROJETO PERFURAÇÃO'!$AB:$AB,MATCH(MEDIÇÃO!K831,'PROJETO PERFURAÇÃO'!$B:$B,0)),1)&amp;"''","")</f>
        <v/>
      </c>
      <c r="J831" s="3" t="str">
        <f>IFERROR(IF(INDEX('PROJETO PERFURAÇÃO'!$P:$P,MATCH(MEDIÇÃO!K831,'PROJETO PERFURAÇÃO'!$B:$B,0))="Production","P",IF(INDEX('PROJETO PERFURAÇÃO'!$P:$P,MATCH(MEDIÇÃO!K831,'PROJETO PERFURAÇÃO'!$B:$B,0))="Buffer","B",IF(INDEX('PROJETO PERFURAÇÃO'!$P:$P,MATCH(MEDIÇÃO!K831,'PROJETO PERFURAÇÃO'!$B:$B,0))="Pre-Splitting","S"))),"")</f>
        <v/>
      </c>
      <c r="K831" s="14">
        <f t="shared" si="79"/>
        <v>1838</v>
      </c>
      <c r="L831" s="4" t="str">
        <f>IFERROR(INDEX('LEV R&amp;D'!$D:$D,MATCH(MEDIÇÃO!K831,'LEV R&amp;D'!$A:$A,0))-INDEX('PROJETO PERFURAÇÃO'!$AH:$AH,MATCH(MEDIÇÃO!K831,'PROJETO PERFURAÇÃO'!$B:$B,0)),"")</f>
        <v/>
      </c>
      <c r="M831" s="8" t="str">
        <f>IFERROR(INDEX('PROJETO PERFURAÇÃO'!$AN:$AN,MATCH(MEDIÇÃO!K831,'PROJETO PERFURAÇÃO'!$B:$B,0)),"")</f>
        <v/>
      </c>
      <c r="N831" s="3"/>
      <c r="O831" s="3"/>
      <c r="P831" s="3" t="str">
        <f>IFERROR(ROUND(INDEX('PROJETO PERFURAÇÃO'!$AB:$AB,MATCH(MEDIÇÃO!R831,'PROJETO PERFURAÇÃO'!$B:$B,0)),1)&amp;"''","")</f>
        <v/>
      </c>
      <c r="Q831" s="3" t="str">
        <f>IFERROR(IF(INDEX('PROJETO PERFURAÇÃO'!$P:$P,MATCH(MEDIÇÃO!R831,'PROJETO PERFURAÇÃO'!$B:$B,0))="Production","P",IF(INDEX('PROJETO PERFURAÇÃO'!$P:$P,MATCH(MEDIÇÃO!R831,'PROJETO PERFURAÇÃO'!$B:$B,0))="Buffer","B",IF(INDEX('PROJETO PERFURAÇÃO'!$P:$P,MATCH(MEDIÇÃO!R831,'PROJETO PERFURAÇÃO'!$B:$B,0))="Pre-Splitting","S"))),"")</f>
        <v/>
      </c>
      <c r="R831" s="14">
        <f t="shared" si="80"/>
        <v>1861</v>
      </c>
      <c r="S831" s="4" t="str">
        <f>IFERROR(INDEX('LEV R&amp;D'!$D:$D,MATCH(MEDIÇÃO!R831,'LEV R&amp;D'!$A:$A,0))-INDEX('PROJETO PERFURAÇÃO'!$AH:$AH,MATCH(MEDIÇÃO!R831,'PROJETO PERFURAÇÃO'!$B:$B,0)),"")</f>
        <v/>
      </c>
      <c r="T831" s="8" t="str">
        <f>IFERROR(INDEX('PROJETO PERFURAÇÃO'!$AN:$AN,MATCH(MEDIÇÃO!R831,'PROJETO PERFURAÇÃO'!$B:$B,0)),"")</f>
        <v/>
      </c>
      <c r="U831" s="3"/>
      <c r="V831" s="3"/>
    </row>
    <row r="832" spans="2:22" ht="45" customHeight="1">
      <c r="B832" s="3" t="str">
        <f>IFERROR(ROUND(INDEX('PROJETO PERFURAÇÃO'!$AB:$AB,MATCH(MEDIÇÃO!D832,'PROJETO PERFURAÇÃO'!$B:$B,0)),1)&amp;"''","")</f>
        <v/>
      </c>
      <c r="C832" s="3" t="str">
        <f>IFERROR(IF(INDEX('PROJETO PERFURAÇÃO'!$P:$P,MATCH(MEDIÇÃO!D832,'PROJETO PERFURAÇÃO'!$B:$B,0))="Production","P",IF(INDEX('PROJETO PERFURAÇÃO'!$P:$P,MATCH(MEDIÇÃO!D832,'PROJETO PERFURAÇÃO'!$B:$B,0))="Buffer","B",IF(INDEX('PROJETO PERFURAÇÃO'!$P:$P,MATCH(MEDIÇÃO!D832,'PROJETO PERFURAÇÃO'!$B:$B,0))="Pre-Splitting","S"))),"")</f>
        <v/>
      </c>
      <c r="D832" s="14">
        <f t="shared" si="78"/>
        <v>1816</v>
      </c>
      <c r="E832" s="4" t="str">
        <f>IFERROR(INDEX('LEV R&amp;D'!$D:$D,MATCH(MEDIÇÃO!D832,'LEV R&amp;D'!$A:$A,0))-INDEX('PROJETO PERFURAÇÃO'!$AH:$AH,MATCH(MEDIÇÃO!D832,'PROJETO PERFURAÇÃO'!$B:$B,0)),"")</f>
        <v/>
      </c>
      <c r="F832" s="8" t="str">
        <f>IFERROR(INDEX('PROJETO PERFURAÇÃO'!$AN:$AN,MATCH(MEDIÇÃO!D832,'PROJETO PERFURAÇÃO'!$B:$B,0)),"")</f>
        <v/>
      </c>
      <c r="G832" s="3"/>
      <c r="H832" s="3"/>
      <c r="I832" s="3" t="str">
        <f>IFERROR(ROUND(INDEX('PROJETO PERFURAÇÃO'!$AB:$AB,MATCH(MEDIÇÃO!K832,'PROJETO PERFURAÇÃO'!$B:$B,0)),1)&amp;"''","")</f>
        <v/>
      </c>
      <c r="J832" s="3" t="str">
        <f>IFERROR(IF(INDEX('PROJETO PERFURAÇÃO'!$P:$P,MATCH(MEDIÇÃO!K832,'PROJETO PERFURAÇÃO'!$B:$B,0))="Production","P",IF(INDEX('PROJETO PERFURAÇÃO'!$P:$P,MATCH(MEDIÇÃO!K832,'PROJETO PERFURAÇÃO'!$B:$B,0))="Buffer","B",IF(INDEX('PROJETO PERFURAÇÃO'!$P:$P,MATCH(MEDIÇÃO!K832,'PROJETO PERFURAÇÃO'!$B:$B,0))="Pre-Splitting","S"))),"")</f>
        <v/>
      </c>
      <c r="K832" s="14">
        <f t="shared" si="79"/>
        <v>1839</v>
      </c>
      <c r="L832" s="4" t="str">
        <f>IFERROR(INDEX('LEV R&amp;D'!$D:$D,MATCH(MEDIÇÃO!K832,'LEV R&amp;D'!$A:$A,0))-INDEX('PROJETO PERFURAÇÃO'!$AH:$AH,MATCH(MEDIÇÃO!K832,'PROJETO PERFURAÇÃO'!$B:$B,0)),"")</f>
        <v/>
      </c>
      <c r="M832" s="8" t="str">
        <f>IFERROR(INDEX('PROJETO PERFURAÇÃO'!$AN:$AN,MATCH(MEDIÇÃO!K832,'PROJETO PERFURAÇÃO'!$B:$B,0)),"")</f>
        <v/>
      </c>
      <c r="N832" s="3"/>
      <c r="O832" s="3"/>
      <c r="P832" s="3" t="str">
        <f>IFERROR(ROUND(INDEX('PROJETO PERFURAÇÃO'!$AB:$AB,MATCH(MEDIÇÃO!R832,'PROJETO PERFURAÇÃO'!$B:$B,0)),1)&amp;"''","")</f>
        <v/>
      </c>
      <c r="Q832" s="3" t="str">
        <f>IFERROR(IF(INDEX('PROJETO PERFURAÇÃO'!$P:$P,MATCH(MEDIÇÃO!R832,'PROJETO PERFURAÇÃO'!$B:$B,0))="Production","P",IF(INDEX('PROJETO PERFURAÇÃO'!$P:$P,MATCH(MEDIÇÃO!R832,'PROJETO PERFURAÇÃO'!$B:$B,0))="Buffer","B",IF(INDEX('PROJETO PERFURAÇÃO'!$P:$P,MATCH(MEDIÇÃO!R832,'PROJETO PERFURAÇÃO'!$B:$B,0))="Pre-Splitting","S"))),"")</f>
        <v/>
      </c>
      <c r="R832" s="14">
        <f t="shared" si="80"/>
        <v>1862</v>
      </c>
      <c r="S832" s="4" t="str">
        <f>IFERROR(INDEX('LEV R&amp;D'!$D:$D,MATCH(MEDIÇÃO!R832,'LEV R&amp;D'!$A:$A,0))-INDEX('PROJETO PERFURAÇÃO'!$AH:$AH,MATCH(MEDIÇÃO!R832,'PROJETO PERFURAÇÃO'!$B:$B,0)),"")</f>
        <v/>
      </c>
      <c r="T832" s="8" t="str">
        <f>IFERROR(INDEX('PROJETO PERFURAÇÃO'!$AN:$AN,MATCH(MEDIÇÃO!R832,'PROJETO PERFURAÇÃO'!$B:$B,0)),"")</f>
        <v/>
      </c>
      <c r="U832" s="3"/>
      <c r="V832" s="3"/>
    </row>
    <row r="833" spans="1:23" ht="45" customHeight="1">
      <c r="B833" s="3" t="str">
        <f>IFERROR(ROUND(INDEX('PROJETO PERFURAÇÃO'!$AB:$AB,MATCH(MEDIÇÃO!D833,'PROJETO PERFURAÇÃO'!$B:$B,0)),1)&amp;"''","")</f>
        <v/>
      </c>
      <c r="C833" s="3" t="str">
        <f>IFERROR(IF(INDEX('PROJETO PERFURAÇÃO'!$P:$P,MATCH(MEDIÇÃO!D833,'PROJETO PERFURAÇÃO'!$B:$B,0))="Production","P",IF(INDEX('PROJETO PERFURAÇÃO'!$P:$P,MATCH(MEDIÇÃO!D833,'PROJETO PERFURAÇÃO'!$B:$B,0))="Buffer","B",IF(INDEX('PROJETO PERFURAÇÃO'!$P:$P,MATCH(MEDIÇÃO!D833,'PROJETO PERFURAÇÃO'!$B:$B,0))="Pre-Splitting","S"))),"")</f>
        <v/>
      </c>
      <c r="D833" s="14">
        <f t="shared" si="78"/>
        <v>1817</v>
      </c>
      <c r="E833" s="4" t="str">
        <f>IFERROR(INDEX('LEV R&amp;D'!$D:$D,MATCH(MEDIÇÃO!D833,'LEV R&amp;D'!$A:$A,0))-INDEX('PROJETO PERFURAÇÃO'!$AH:$AH,MATCH(MEDIÇÃO!D833,'PROJETO PERFURAÇÃO'!$B:$B,0)),"")</f>
        <v/>
      </c>
      <c r="F833" s="8" t="str">
        <f>IFERROR(INDEX('PROJETO PERFURAÇÃO'!$AN:$AN,MATCH(MEDIÇÃO!D833,'PROJETO PERFURAÇÃO'!$B:$B,0)),"")</f>
        <v/>
      </c>
      <c r="G833" s="3"/>
      <c r="H833" s="3"/>
      <c r="I833" s="3" t="str">
        <f>IFERROR(ROUND(INDEX('PROJETO PERFURAÇÃO'!$AB:$AB,MATCH(MEDIÇÃO!K833,'PROJETO PERFURAÇÃO'!$B:$B,0)),1)&amp;"''","")</f>
        <v/>
      </c>
      <c r="J833" s="3" t="str">
        <f>IFERROR(IF(INDEX('PROJETO PERFURAÇÃO'!$P:$P,MATCH(MEDIÇÃO!K833,'PROJETO PERFURAÇÃO'!$B:$B,0))="Production","P",IF(INDEX('PROJETO PERFURAÇÃO'!$P:$P,MATCH(MEDIÇÃO!K833,'PROJETO PERFURAÇÃO'!$B:$B,0))="Buffer","B",IF(INDEX('PROJETO PERFURAÇÃO'!$P:$P,MATCH(MEDIÇÃO!K833,'PROJETO PERFURAÇÃO'!$B:$B,0))="Pre-Splitting","S"))),"")</f>
        <v/>
      </c>
      <c r="K833" s="14">
        <f>K832+1</f>
        <v>1840</v>
      </c>
      <c r="L833" s="4" t="str">
        <f>IFERROR(INDEX('LEV R&amp;D'!$D:$D,MATCH(MEDIÇÃO!K833,'LEV R&amp;D'!$A:$A,0))-INDEX('PROJETO PERFURAÇÃO'!$AH:$AH,MATCH(MEDIÇÃO!K833,'PROJETO PERFURAÇÃO'!$B:$B,0)),"")</f>
        <v/>
      </c>
      <c r="M833" s="8" t="str">
        <f>IFERROR(INDEX('PROJETO PERFURAÇÃO'!$AN:$AN,MATCH(MEDIÇÃO!K833,'PROJETO PERFURAÇÃO'!$B:$B,0)),"")</f>
        <v/>
      </c>
      <c r="N833" s="3"/>
      <c r="O833" s="3"/>
      <c r="P833" s="3" t="str">
        <f>IFERROR(ROUND(INDEX('PROJETO PERFURAÇÃO'!$AB:$AB,MATCH(MEDIÇÃO!R833,'PROJETO PERFURAÇÃO'!$B:$B,0)),1)&amp;"''","")</f>
        <v/>
      </c>
      <c r="Q833" s="3" t="str">
        <f>IFERROR(IF(INDEX('PROJETO PERFURAÇÃO'!$P:$P,MATCH(MEDIÇÃO!R833,'PROJETO PERFURAÇÃO'!$B:$B,0))="Production","P",IF(INDEX('PROJETO PERFURAÇÃO'!$P:$P,MATCH(MEDIÇÃO!R833,'PROJETO PERFURAÇÃO'!$B:$B,0))="Buffer","B",IF(INDEX('PROJETO PERFURAÇÃO'!$P:$P,MATCH(MEDIÇÃO!R833,'PROJETO PERFURAÇÃO'!$B:$B,0))="Pre-Splitting","S"))),"")</f>
        <v/>
      </c>
      <c r="R833" s="14">
        <f>R832+1</f>
        <v>1863</v>
      </c>
      <c r="S833" s="4" t="str">
        <f>IFERROR(INDEX('LEV R&amp;D'!$D:$D,MATCH(MEDIÇÃO!R833,'LEV R&amp;D'!$A:$A,0))-INDEX('PROJETO PERFURAÇÃO'!$AH:$AH,MATCH(MEDIÇÃO!R833,'PROJETO PERFURAÇÃO'!$B:$B,0)),"")</f>
        <v/>
      </c>
      <c r="T833" s="8" t="str">
        <f>IFERROR(INDEX('PROJETO PERFURAÇÃO'!$AN:$AN,MATCH(MEDIÇÃO!R833,'PROJETO PERFURAÇÃO'!$B:$B,0)),"")</f>
        <v/>
      </c>
      <c r="U833" s="3"/>
      <c r="V833" s="3"/>
    </row>
    <row r="834" spans="1:23" ht="30" customHeight="1">
      <c r="B834" s="1"/>
      <c r="C834" s="1"/>
      <c r="D834" s="15"/>
      <c r="E834" s="2"/>
      <c r="F834" s="16"/>
      <c r="G834" s="1"/>
      <c r="H834" s="1"/>
      <c r="I834" s="1"/>
      <c r="J834" s="1"/>
      <c r="K834" s="15"/>
      <c r="L834" s="2"/>
      <c r="M834" s="16"/>
      <c r="N834" s="1"/>
      <c r="O834" s="1"/>
      <c r="P834" s="1"/>
      <c r="Q834" s="1"/>
      <c r="R834" s="15"/>
      <c r="S834" s="2"/>
      <c r="T834" s="16"/>
      <c r="U834" s="1"/>
      <c r="V834" s="1"/>
    </row>
    <row r="835" spans="1:23" ht="30" customHeight="1">
      <c r="C835" s="20"/>
      <c r="D835" s="20"/>
      <c r="E835" s="20"/>
      <c r="F835" s="20"/>
      <c r="G835" s="20"/>
      <c r="H835" s="20"/>
      <c r="I835" s="20"/>
      <c r="J835" s="20"/>
      <c r="K835" s="20"/>
      <c r="M835" s="20"/>
      <c r="N835" s="20"/>
      <c r="O835" s="20"/>
      <c r="P835" s="20"/>
      <c r="Q835" s="20"/>
      <c r="R835" s="20"/>
      <c r="S835" s="20"/>
      <c r="T835" s="20"/>
      <c r="U835" s="20"/>
    </row>
    <row r="836" spans="1:23" ht="30" customHeight="1">
      <c r="C836" s="21" t="s">
        <v>40</v>
      </c>
      <c r="D836" s="21"/>
      <c r="E836" s="21"/>
      <c r="F836" s="21"/>
      <c r="G836" s="21"/>
      <c r="H836" s="21"/>
      <c r="I836" s="21"/>
      <c r="J836" s="21"/>
      <c r="K836" s="21"/>
      <c r="L836" s="9"/>
      <c r="M836" s="21" t="s">
        <v>40</v>
      </c>
      <c r="N836" s="21"/>
      <c r="O836" s="21"/>
      <c r="P836" s="21"/>
      <c r="Q836" s="21"/>
      <c r="R836" s="21"/>
      <c r="S836" s="21"/>
      <c r="T836" s="21"/>
      <c r="U836" s="21"/>
      <c r="V836" s="9"/>
    </row>
    <row r="837" spans="1:23" ht="30" customHeight="1">
      <c r="D837" s="9"/>
      <c r="E837" s="9"/>
      <c r="F837" s="9"/>
      <c r="G837" s="9"/>
      <c r="H837" s="9"/>
      <c r="I837" s="9"/>
      <c r="J837" s="9"/>
      <c r="K837" s="9"/>
      <c r="L837" s="9"/>
      <c r="M837" s="9"/>
      <c r="N837" s="9"/>
      <c r="Q837" s="9"/>
      <c r="R837" s="9"/>
      <c r="S837" s="9"/>
      <c r="T837" s="9"/>
      <c r="U837" s="9"/>
      <c r="V837" s="9"/>
    </row>
    <row r="838" spans="1:23" ht="30" customHeight="1">
      <c r="B838" s="19" t="str">
        <f>'PROJETO PERFURAÇÃO'!$C$2&amp;" - "&amp;'PROJETO PERFURAÇÃO'!$H$2</f>
        <v>LIB037 - PP0370626</v>
      </c>
      <c r="C838" s="19"/>
      <c r="D838" s="19"/>
      <c r="E838" s="19"/>
      <c r="F838" s="19"/>
      <c r="G838" s="19"/>
      <c r="H838" s="19"/>
      <c r="I838" s="11" t="s">
        <v>34</v>
      </c>
      <c r="J838" s="10" t="s">
        <v>37</v>
      </c>
    </row>
    <row r="839" spans="1:23" ht="30" customHeight="1">
      <c r="B839" s="19"/>
      <c r="C839" s="19"/>
      <c r="D839" s="19"/>
      <c r="E839" s="19"/>
      <c r="F839" s="19"/>
      <c r="G839" s="19"/>
      <c r="H839" s="19"/>
      <c r="I839" s="12" t="s">
        <v>35</v>
      </c>
      <c r="J839" s="10" t="s">
        <v>38</v>
      </c>
      <c r="K839" s="9"/>
      <c r="L839" s="9"/>
      <c r="M839" s="9"/>
      <c r="N839" s="9"/>
      <c r="O839" s="9"/>
      <c r="P839" s="9"/>
      <c r="Q839" s="9"/>
      <c r="R839" s="9"/>
      <c r="S839" s="9"/>
      <c r="T839" s="9"/>
      <c r="U839" s="9"/>
      <c r="V839" s="9"/>
    </row>
    <row r="840" spans="1:23" ht="30" customHeight="1">
      <c r="B840" s="19"/>
      <c r="C840" s="19"/>
      <c r="D840" s="19"/>
      <c r="E840" s="19"/>
      <c r="F840" s="19"/>
      <c r="G840" s="19"/>
      <c r="H840" s="19"/>
      <c r="I840" s="13" t="s">
        <v>36</v>
      </c>
      <c r="J840" s="10" t="s">
        <v>39</v>
      </c>
    </row>
    <row r="841" spans="1:23" ht="30" customHeight="1">
      <c r="A841" s="1"/>
      <c r="B841" s="6" t="s">
        <v>33</v>
      </c>
      <c r="C841" s="6" t="s">
        <v>13</v>
      </c>
      <c r="D841" s="7" t="s">
        <v>1</v>
      </c>
      <c r="E841" s="7" t="s">
        <v>29</v>
      </c>
      <c r="F841" s="7" t="s">
        <v>30</v>
      </c>
      <c r="G841" s="7" t="s">
        <v>31</v>
      </c>
      <c r="H841" s="7" t="s">
        <v>32</v>
      </c>
      <c r="I841" s="6" t="s">
        <v>33</v>
      </c>
      <c r="J841" s="6" t="s">
        <v>13</v>
      </c>
      <c r="K841" s="7" t="s">
        <v>1</v>
      </c>
      <c r="L841" s="7" t="s">
        <v>29</v>
      </c>
      <c r="M841" s="7" t="s">
        <v>30</v>
      </c>
      <c r="N841" s="7" t="s">
        <v>31</v>
      </c>
      <c r="O841" s="7" t="s">
        <v>32</v>
      </c>
      <c r="P841" s="6" t="s">
        <v>33</v>
      </c>
      <c r="Q841" s="6" t="s">
        <v>13</v>
      </c>
      <c r="R841" s="7" t="s">
        <v>1</v>
      </c>
      <c r="S841" s="7" t="s">
        <v>29</v>
      </c>
      <c r="T841" s="7" t="s">
        <v>30</v>
      </c>
      <c r="U841" s="7" t="s">
        <v>31</v>
      </c>
      <c r="V841" s="7" t="s">
        <v>32</v>
      </c>
      <c r="W841" s="1"/>
    </row>
    <row r="842" spans="1:23" ht="45" customHeight="1">
      <c r="B842" s="3" t="str">
        <f>IFERROR(ROUND(INDEX('PROJETO PERFURAÇÃO'!$AB:$AB,MATCH(MEDIÇÃO!D842,'PROJETO PERFURAÇÃO'!$B:$B,0)),1)&amp;"''","")</f>
        <v/>
      </c>
      <c r="C842" s="3" t="str">
        <f>IFERROR(IF(INDEX('PROJETO PERFURAÇÃO'!$P:$P,MATCH(MEDIÇÃO!D842,'PROJETO PERFURAÇÃO'!$B:$B,0))="Production","P",IF(INDEX('PROJETO PERFURAÇÃO'!$P:$P,MATCH(MEDIÇÃO!D842,'PROJETO PERFURAÇÃO'!$B:$B,0))="Buffer","B",IF(INDEX('PROJETO PERFURAÇÃO'!$P:$P,MATCH(MEDIÇÃO!D842,'PROJETO PERFURAÇÃO'!$B:$B,0))="Pre-Splitting","S"))),"")</f>
        <v/>
      </c>
      <c r="D842" s="14">
        <f>R833+1</f>
        <v>1864</v>
      </c>
      <c r="E842" s="4" t="str">
        <f>IFERROR(INDEX('LEV R&amp;D'!$D:$D,MATCH(MEDIÇÃO!D842,'LEV R&amp;D'!$A:$A,0))-INDEX('PROJETO PERFURAÇÃO'!$AH:$AH,MATCH(MEDIÇÃO!D842,'PROJETO PERFURAÇÃO'!$B:$B,0)),"")</f>
        <v/>
      </c>
      <c r="F842" s="8" t="str">
        <f>IFERROR(INDEX('PROJETO PERFURAÇÃO'!$AN:$AN,MATCH(MEDIÇÃO!D842,'PROJETO PERFURAÇÃO'!$B:$B,0)),"")</f>
        <v/>
      </c>
      <c r="G842" s="3"/>
      <c r="H842" s="3"/>
      <c r="I842" s="3" t="str">
        <f>IFERROR(ROUND(INDEX('PROJETO PERFURAÇÃO'!$AB:$AB,MATCH(MEDIÇÃO!K842,'PROJETO PERFURAÇÃO'!$B:$B,0)),1)&amp;"''","")</f>
        <v/>
      </c>
      <c r="J842" s="3" t="str">
        <f>IFERROR(IF(INDEX('PROJETO PERFURAÇÃO'!$P:$P,MATCH(MEDIÇÃO!K842,'PROJETO PERFURAÇÃO'!$B:$B,0))="Production","P",IF(INDEX('PROJETO PERFURAÇÃO'!$P:$P,MATCH(MEDIÇÃO!K842,'PROJETO PERFURAÇÃO'!$B:$B,0))="Buffer","B",IF(INDEX('PROJETO PERFURAÇÃO'!$P:$P,MATCH(MEDIÇÃO!K842,'PROJETO PERFURAÇÃO'!$B:$B,0))="Pre-Splitting","S"))),"")</f>
        <v/>
      </c>
      <c r="K842" s="14">
        <f>D864+1</f>
        <v>1887</v>
      </c>
      <c r="L842" s="4" t="str">
        <f>IFERROR(INDEX('LEV R&amp;D'!$D:$D,MATCH(MEDIÇÃO!K842,'LEV R&amp;D'!$A:$A,0))-INDEX('PROJETO PERFURAÇÃO'!$AH:$AH,MATCH(MEDIÇÃO!K842,'PROJETO PERFURAÇÃO'!$B:$B,0)),"")</f>
        <v/>
      </c>
      <c r="M842" s="8" t="str">
        <f>IFERROR(INDEX('PROJETO PERFURAÇÃO'!$AN:$AN,MATCH(MEDIÇÃO!K842,'PROJETO PERFURAÇÃO'!$B:$B,0)),"")</f>
        <v/>
      </c>
      <c r="N842" s="3"/>
      <c r="O842" s="3"/>
      <c r="P842" s="3" t="str">
        <f>IFERROR(ROUND(INDEX('PROJETO PERFURAÇÃO'!$AB:$AB,MATCH(MEDIÇÃO!R842,'PROJETO PERFURAÇÃO'!$B:$B,0)),1)&amp;"''","")</f>
        <v/>
      </c>
      <c r="Q842" s="3" t="str">
        <f>IFERROR(IF(INDEX('PROJETO PERFURAÇÃO'!$P:$P,MATCH(MEDIÇÃO!R842,'PROJETO PERFURAÇÃO'!$B:$B,0))="Production","P",IF(INDEX('PROJETO PERFURAÇÃO'!$P:$P,MATCH(MEDIÇÃO!R842,'PROJETO PERFURAÇÃO'!$B:$B,0))="Buffer","B",IF(INDEX('PROJETO PERFURAÇÃO'!$P:$P,MATCH(MEDIÇÃO!R842,'PROJETO PERFURAÇÃO'!$B:$B,0))="Pre-Splitting","S"))),"")</f>
        <v/>
      </c>
      <c r="R842" s="14">
        <f>K864+1</f>
        <v>1910</v>
      </c>
      <c r="S842" s="4" t="str">
        <f>IFERROR(INDEX('LEV R&amp;D'!$D:$D,MATCH(MEDIÇÃO!R842,'LEV R&amp;D'!$A:$A,0))-INDEX('PROJETO PERFURAÇÃO'!$AH:$AH,MATCH(MEDIÇÃO!R842,'PROJETO PERFURAÇÃO'!$B:$B,0)),"")</f>
        <v/>
      </c>
      <c r="T842" s="8" t="str">
        <f>IFERROR(INDEX('PROJETO PERFURAÇÃO'!$AN:$AN,MATCH(MEDIÇÃO!R842,'PROJETO PERFURAÇÃO'!$B:$B,0)),"")</f>
        <v/>
      </c>
      <c r="U842" s="3"/>
      <c r="V842" s="3"/>
    </row>
    <row r="843" spans="1:23" ht="45" customHeight="1">
      <c r="B843" s="3" t="str">
        <f>IFERROR(ROUND(INDEX('PROJETO PERFURAÇÃO'!$AB:$AB,MATCH(MEDIÇÃO!D843,'PROJETO PERFURAÇÃO'!$B:$B,0)),1)&amp;"''","")</f>
        <v/>
      </c>
      <c r="C843" s="3" t="str">
        <f>IFERROR(IF(INDEX('PROJETO PERFURAÇÃO'!$P:$P,MATCH(MEDIÇÃO!D843,'PROJETO PERFURAÇÃO'!$B:$B,0))="Production","P",IF(INDEX('PROJETO PERFURAÇÃO'!$P:$P,MATCH(MEDIÇÃO!D843,'PROJETO PERFURAÇÃO'!$B:$B,0))="Buffer","B",IF(INDEX('PROJETO PERFURAÇÃO'!$P:$P,MATCH(MEDIÇÃO!D843,'PROJETO PERFURAÇÃO'!$B:$B,0))="Pre-Splitting","S"))),"")</f>
        <v/>
      </c>
      <c r="D843" s="14">
        <f>D842+1</f>
        <v>1865</v>
      </c>
      <c r="E843" s="4" t="str">
        <f>IFERROR(INDEX('LEV R&amp;D'!$D:$D,MATCH(MEDIÇÃO!D843,'LEV R&amp;D'!$A:$A,0))-INDEX('PROJETO PERFURAÇÃO'!$AH:$AH,MATCH(MEDIÇÃO!D843,'PROJETO PERFURAÇÃO'!$B:$B,0)),"")</f>
        <v/>
      </c>
      <c r="F843" s="8" t="str">
        <f>IFERROR(INDEX('PROJETO PERFURAÇÃO'!$AN:$AN,MATCH(MEDIÇÃO!D843,'PROJETO PERFURAÇÃO'!$B:$B,0)),"")</f>
        <v/>
      </c>
      <c r="G843" s="3"/>
      <c r="H843" s="3"/>
      <c r="I843" s="3" t="str">
        <f>IFERROR(ROUND(INDEX('PROJETO PERFURAÇÃO'!$AB:$AB,MATCH(MEDIÇÃO!K843,'PROJETO PERFURAÇÃO'!$B:$B,0)),1)&amp;"''","")</f>
        <v/>
      </c>
      <c r="J843" s="3" t="str">
        <f>IFERROR(IF(INDEX('PROJETO PERFURAÇÃO'!$P:$P,MATCH(MEDIÇÃO!K843,'PROJETO PERFURAÇÃO'!$B:$B,0))="Production","P",IF(INDEX('PROJETO PERFURAÇÃO'!$P:$P,MATCH(MEDIÇÃO!K843,'PROJETO PERFURAÇÃO'!$B:$B,0))="Buffer","B",IF(INDEX('PROJETO PERFURAÇÃO'!$P:$P,MATCH(MEDIÇÃO!K843,'PROJETO PERFURAÇÃO'!$B:$B,0))="Pre-Splitting","S"))),"")</f>
        <v/>
      </c>
      <c r="K843" s="14">
        <f>K842+1</f>
        <v>1888</v>
      </c>
      <c r="L843" s="4" t="str">
        <f>IFERROR(INDEX('LEV R&amp;D'!$D:$D,MATCH(MEDIÇÃO!K843,'LEV R&amp;D'!$A:$A,0))-INDEX('PROJETO PERFURAÇÃO'!$AH:$AH,MATCH(MEDIÇÃO!K843,'PROJETO PERFURAÇÃO'!$B:$B,0)),"")</f>
        <v/>
      </c>
      <c r="M843" s="8" t="str">
        <f>IFERROR(INDEX('PROJETO PERFURAÇÃO'!$AN:$AN,MATCH(MEDIÇÃO!K843,'PROJETO PERFURAÇÃO'!$B:$B,0)),"")</f>
        <v/>
      </c>
      <c r="N843" s="3"/>
      <c r="O843" s="3"/>
      <c r="P843" s="3" t="str">
        <f>IFERROR(ROUND(INDEX('PROJETO PERFURAÇÃO'!$AB:$AB,MATCH(MEDIÇÃO!R843,'PROJETO PERFURAÇÃO'!$B:$B,0)),1)&amp;"''","")</f>
        <v/>
      </c>
      <c r="Q843" s="3" t="str">
        <f>IFERROR(IF(INDEX('PROJETO PERFURAÇÃO'!$P:$P,MATCH(MEDIÇÃO!R843,'PROJETO PERFURAÇÃO'!$B:$B,0))="Production","P",IF(INDEX('PROJETO PERFURAÇÃO'!$P:$P,MATCH(MEDIÇÃO!R843,'PROJETO PERFURAÇÃO'!$B:$B,0))="Buffer","B",IF(INDEX('PROJETO PERFURAÇÃO'!$P:$P,MATCH(MEDIÇÃO!R843,'PROJETO PERFURAÇÃO'!$B:$B,0))="Pre-Splitting","S"))),"")</f>
        <v/>
      </c>
      <c r="R843" s="14">
        <f>R842+1</f>
        <v>1911</v>
      </c>
      <c r="S843" s="4" t="str">
        <f>IFERROR(INDEX('LEV R&amp;D'!$D:$D,MATCH(MEDIÇÃO!R843,'LEV R&amp;D'!$A:$A,0))-INDEX('PROJETO PERFURAÇÃO'!$AH:$AH,MATCH(MEDIÇÃO!R843,'PROJETO PERFURAÇÃO'!$B:$B,0)),"")</f>
        <v/>
      </c>
      <c r="T843" s="8" t="str">
        <f>IFERROR(INDEX('PROJETO PERFURAÇÃO'!$AN:$AN,MATCH(MEDIÇÃO!R843,'PROJETO PERFURAÇÃO'!$B:$B,0)),"")</f>
        <v/>
      </c>
      <c r="U843" s="3"/>
      <c r="V843" s="3"/>
    </row>
    <row r="844" spans="1:23" ht="45" customHeight="1">
      <c r="B844" s="3" t="str">
        <f>IFERROR(ROUND(INDEX('PROJETO PERFURAÇÃO'!$AB:$AB,MATCH(MEDIÇÃO!D844,'PROJETO PERFURAÇÃO'!$B:$B,0)),1)&amp;"''","")</f>
        <v/>
      </c>
      <c r="C844" s="3" t="str">
        <f>IFERROR(IF(INDEX('PROJETO PERFURAÇÃO'!$P:$P,MATCH(MEDIÇÃO!D844,'PROJETO PERFURAÇÃO'!$B:$B,0))="Production","P",IF(INDEX('PROJETO PERFURAÇÃO'!$P:$P,MATCH(MEDIÇÃO!D844,'PROJETO PERFURAÇÃO'!$B:$B,0))="Buffer","B",IF(INDEX('PROJETO PERFURAÇÃO'!$P:$P,MATCH(MEDIÇÃO!D844,'PROJETO PERFURAÇÃO'!$B:$B,0))="Pre-Splitting","S"))),"")</f>
        <v/>
      </c>
      <c r="D844" s="14">
        <f t="shared" ref="D844:D864" si="81">D843+1</f>
        <v>1866</v>
      </c>
      <c r="E844" s="4" t="str">
        <f>IFERROR(INDEX('LEV R&amp;D'!$D:$D,MATCH(MEDIÇÃO!D844,'LEV R&amp;D'!$A:$A,0))-INDEX('PROJETO PERFURAÇÃO'!$AH:$AH,MATCH(MEDIÇÃO!D844,'PROJETO PERFURAÇÃO'!$B:$B,0)),"")</f>
        <v/>
      </c>
      <c r="F844" s="8" t="str">
        <f>IFERROR(INDEX('PROJETO PERFURAÇÃO'!$AN:$AN,MATCH(MEDIÇÃO!D844,'PROJETO PERFURAÇÃO'!$B:$B,0)),"")</f>
        <v/>
      </c>
      <c r="G844" s="3"/>
      <c r="H844" s="3"/>
      <c r="I844" s="3" t="str">
        <f>IFERROR(ROUND(INDEX('PROJETO PERFURAÇÃO'!$AB:$AB,MATCH(MEDIÇÃO!K844,'PROJETO PERFURAÇÃO'!$B:$B,0)),1)&amp;"''","")</f>
        <v/>
      </c>
      <c r="J844" s="3" t="str">
        <f>IFERROR(IF(INDEX('PROJETO PERFURAÇÃO'!$P:$P,MATCH(MEDIÇÃO!K844,'PROJETO PERFURAÇÃO'!$B:$B,0))="Production","P",IF(INDEX('PROJETO PERFURAÇÃO'!$P:$P,MATCH(MEDIÇÃO!K844,'PROJETO PERFURAÇÃO'!$B:$B,0))="Buffer","B",IF(INDEX('PROJETO PERFURAÇÃO'!$P:$P,MATCH(MEDIÇÃO!K844,'PROJETO PERFURAÇÃO'!$B:$B,0))="Pre-Splitting","S"))),"")</f>
        <v/>
      </c>
      <c r="K844" s="14">
        <f t="shared" ref="K844:K863" si="82">K843+1</f>
        <v>1889</v>
      </c>
      <c r="L844" s="4" t="str">
        <f>IFERROR(INDEX('LEV R&amp;D'!$D:$D,MATCH(MEDIÇÃO!K844,'LEV R&amp;D'!$A:$A,0))-INDEX('PROJETO PERFURAÇÃO'!$AH:$AH,MATCH(MEDIÇÃO!K844,'PROJETO PERFURAÇÃO'!$B:$B,0)),"")</f>
        <v/>
      </c>
      <c r="M844" s="8" t="str">
        <f>IFERROR(INDEX('PROJETO PERFURAÇÃO'!$AN:$AN,MATCH(MEDIÇÃO!K844,'PROJETO PERFURAÇÃO'!$B:$B,0)),"")</f>
        <v/>
      </c>
      <c r="N844" s="3"/>
      <c r="O844" s="3"/>
      <c r="P844" s="3" t="str">
        <f>IFERROR(ROUND(INDEX('PROJETO PERFURAÇÃO'!$AB:$AB,MATCH(MEDIÇÃO!R844,'PROJETO PERFURAÇÃO'!$B:$B,0)),1)&amp;"''","")</f>
        <v/>
      </c>
      <c r="Q844" s="3" t="str">
        <f>IFERROR(IF(INDEX('PROJETO PERFURAÇÃO'!$P:$P,MATCH(MEDIÇÃO!R844,'PROJETO PERFURAÇÃO'!$B:$B,0))="Production","P",IF(INDEX('PROJETO PERFURAÇÃO'!$P:$P,MATCH(MEDIÇÃO!R844,'PROJETO PERFURAÇÃO'!$B:$B,0))="Buffer","B",IF(INDEX('PROJETO PERFURAÇÃO'!$P:$P,MATCH(MEDIÇÃO!R844,'PROJETO PERFURAÇÃO'!$B:$B,0))="Pre-Splitting","S"))),"")</f>
        <v/>
      </c>
      <c r="R844" s="14">
        <f t="shared" ref="R844:R863" si="83">R843+1</f>
        <v>1912</v>
      </c>
      <c r="S844" s="4" t="str">
        <f>IFERROR(INDEX('LEV R&amp;D'!$D:$D,MATCH(MEDIÇÃO!R844,'LEV R&amp;D'!$A:$A,0))-INDEX('PROJETO PERFURAÇÃO'!$AH:$AH,MATCH(MEDIÇÃO!R844,'PROJETO PERFURAÇÃO'!$B:$B,0)),"")</f>
        <v/>
      </c>
      <c r="T844" s="8" t="str">
        <f>IFERROR(INDEX('PROJETO PERFURAÇÃO'!$AN:$AN,MATCH(MEDIÇÃO!R844,'PROJETO PERFURAÇÃO'!$B:$B,0)),"")</f>
        <v/>
      </c>
      <c r="U844" s="3"/>
      <c r="V844" s="3"/>
    </row>
    <row r="845" spans="1:23" ht="45" customHeight="1">
      <c r="B845" s="3" t="str">
        <f>IFERROR(ROUND(INDEX('PROJETO PERFURAÇÃO'!$AB:$AB,MATCH(MEDIÇÃO!D845,'PROJETO PERFURAÇÃO'!$B:$B,0)),1)&amp;"''","")</f>
        <v/>
      </c>
      <c r="C845" s="3" t="str">
        <f>IFERROR(IF(INDEX('PROJETO PERFURAÇÃO'!$P:$P,MATCH(MEDIÇÃO!D845,'PROJETO PERFURAÇÃO'!$B:$B,0))="Production","P",IF(INDEX('PROJETO PERFURAÇÃO'!$P:$P,MATCH(MEDIÇÃO!D845,'PROJETO PERFURAÇÃO'!$B:$B,0))="Buffer","B",IF(INDEX('PROJETO PERFURAÇÃO'!$P:$P,MATCH(MEDIÇÃO!D845,'PROJETO PERFURAÇÃO'!$B:$B,0))="Pre-Splitting","S"))),"")</f>
        <v/>
      </c>
      <c r="D845" s="14">
        <f t="shared" si="81"/>
        <v>1867</v>
      </c>
      <c r="E845" s="4" t="str">
        <f>IFERROR(INDEX('LEV R&amp;D'!$D:$D,MATCH(MEDIÇÃO!D845,'LEV R&amp;D'!$A:$A,0))-INDEX('PROJETO PERFURAÇÃO'!$AH:$AH,MATCH(MEDIÇÃO!D845,'PROJETO PERFURAÇÃO'!$B:$B,0)),"")</f>
        <v/>
      </c>
      <c r="F845" s="8" t="str">
        <f>IFERROR(INDEX('PROJETO PERFURAÇÃO'!$AN:$AN,MATCH(MEDIÇÃO!D845,'PROJETO PERFURAÇÃO'!$B:$B,0)),"")</f>
        <v/>
      </c>
      <c r="G845" s="3"/>
      <c r="H845" s="3"/>
      <c r="I845" s="3" t="str">
        <f>IFERROR(ROUND(INDEX('PROJETO PERFURAÇÃO'!$AB:$AB,MATCH(MEDIÇÃO!K845,'PROJETO PERFURAÇÃO'!$B:$B,0)),1)&amp;"''","")</f>
        <v/>
      </c>
      <c r="J845" s="3" t="str">
        <f>IFERROR(IF(INDEX('PROJETO PERFURAÇÃO'!$P:$P,MATCH(MEDIÇÃO!K845,'PROJETO PERFURAÇÃO'!$B:$B,0))="Production","P",IF(INDEX('PROJETO PERFURAÇÃO'!$P:$P,MATCH(MEDIÇÃO!K845,'PROJETO PERFURAÇÃO'!$B:$B,0))="Buffer","B",IF(INDEX('PROJETO PERFURAÇÃO'!$P:$P,MATCH(MEDIÇÃO!K845,'PROJETO PERFURAÇÃO'!$B:$B,0))="Pre-Splitting","S"))),"")</f>
        <v/>
      </c>
      <c r="K845" s="14">
        <f t="shared" si="82"/>
        <v>1890</v>
      </c>
      <c r="L845" s="4" t="str">
        <f>IFERROR(INDEX('LEV R&amp;D'!$D:$D,MATCH(MEDIÇÃO!K845,'LEV R&amp;D'!$A:$A,0))-INDEX('PROJETO PERFURAÇÃO'!$AH:$AH,MATCH(MEDIÇÃO!K845,'PROJETO PERFURAÇÃO'!$B:$B,0)),"")</f>
        <v/>
      </c>
      <c r="M845" s="8" t="str">
        <f>IFERROR(INDEX('PROJETO PERFURAÇÃO'!$AN:$AN,MATCH(MEDIÇÃO!K845,'PROJETO PERFURAÇÃO'!$B:$B,0)),"")</f>
        <v/>
      </c>
      <c r="N845" s="3"/>
      <c r="O845" s="3"/>
      <c r="P845" s="3" t="str">
        <f>IFERROR(ROUND(INDEX('PROJETO PERFURAÇÃO'!$AB:$AB,MATCH(MEDIÇÃO!R845,'PROJETO PERFURAÇÃO'!$B:$B,0)),1)&amp;"''","")</f>
        <v/>
      </c>
      <c r="Q845" s="3" t="str">
        <f>IFERROR(IF(INDEX('PROJETO PERFURAÇÃO'!$P:$P,MATCH(MEDIÇÃO!R845,'PROJETO PERFURAÇÃO'!$B:$B,0))="Production","P",IF(INDEX('PROJETO PERFURAÇÃO'!$P:$P,MATCH(MEDIÇÃO!R845,'PROJETO PERFURAÇÃO'!$B:$B,0))="Buffer","B",IF(INDEX('PROJETO PERFURAÇÃO'!$P:$P,MATCH(MEDIÇÃO!R845,'PROJETO PERFURAÇÃO'!$B:$B,0))="Pre-Splitting","S"))),"")</f>
        <v/>
      </c>
      <c r="R845" s="14">
        <f t="shared" si="83"/>
        <v>1913</v>
      </c>
      <c r="S845" s="4" t="str">
        <f>IFERROR(INDEX('LEV R&amp;D'!$D:$D,MATCH(MEDIÇÃO!R845,'LEV R&amp;D'!$A:$A,0))-INDEX('PROJETO PERFURAÇÃO'!$AH:$AH,MATCH(MEDIÇÃO!R845,'PROJETO PERFURAÇÃO'!$B:$B,0)),"")</f>
        <v/>
      </c>
      <c r="T845" s="8" t="str">
        <f>IFERROR(INDEX('PROJETO PERFURAÇÃO'!$AN:$AN,MATCH(MEDIÇÃO!R845,'PROJETO PERFURAÇÃO'!$B:$B,0)),"")</f>
        <v/>
      </c>
      <c r="U845" s="3"/>
      <c r="V845" s="3"/>
    </row>
    <row r="846" spans="1:23" ht="45" customHeight="1">
      <c r="B846" s="3" t="str">
        <f>IFERROR(ROUND(INDEX('PROJETO PERFURAÇÃO'!$AB:$AB,MATCH(MEDIÇÃO!D846,'PROJETO PERFURAÇÃO'!$B:$B,0)),1)&amp;"''","")</f>
        <v/>
      </c>
      <c r="C846" s="3" t="str">
        <f>IFERROR(IF(INDEX('PROJETO PERFURAÇÃO'!$P:$P,MATCH(MEDIÇÃO!D846,'PROJETO PERFURAÇÃO'!$B:$B,0))="Production","P",IF(INDEX('PROJETO PERFURAÇÃO'!$P:$P,MATCH(MEDIÇÃO!D846,'PROJETO PERFURAÇÃO'!$B:$B,0))="Buffer","B",IF(INDEX('PROJETO PERFURAÇÃO'!$P:$P,MATCH(MEDIÇÃO!D846,'PROJETO PERFURAÇÃO'!$B:$B,0))="Pre-Splitting","S"))),"")</f>
        <v/>
      </c>
      <c r="D846" s="14">
        <f t="shared" si="81"/>
        <v>1868</v>
      </c>
      <c r="E846" s="4" t="str">
        <f>IFERROR(INDEX('LEV R&amp;D'!$D:$D,MATCH(MEDIÇÃO!D846,'LEV R&amp;D'!$A:$A,0))-INDEX('PROJETO PERFURAÇÃO'!$AH:$AH,MATCH(MEDIÇÃO!D846,'PROJETO PERFURAÇÃO'!$B:$B,0)),"")</f>
        <v/>
      </c>
      <c r="F846" s="8" t="str">
        <f>IFERROR(INDEX('PROJETO PERFURAÇÃO'!$AN:$AN,MATCH(MEDIÇÃO!D846,'PROJETO PERFURAÇÃO'!$B:$B,0)),"")</f>
        <v/>
      </c>
      <c r="G846" s="3"/>
      <c r="H846" s="3"/>
      <c r="I846" s="3" t="str">
        <f>IFERROR(ROUND(INDEX('PROJETO PERFURAÇÃO'!$AB:$AB,MATCH(MEDIÇÃO!K846,'PROJETO PERFURAÇÃO'!$B:$B,0)),1)&amp;"''","")</f>
        <v/>
      </c>
      <c r="J846" s="3" t="str">
        <f>IFERROR(IF(INDEX('PROJETO PERFURAÇÃO'!$P:$P,MATCH(MEDIÇÃO!K846,'PROJETO PERFURAÇÃO'!$B:$B,0))="Production","P",IF(INDEX('PROJETO PERFURAÇÃO'!$P:$P,MATCH(MEDIÇÃO!K846,'PROJETO PERFURAÇÃO'!$B:$B,0))="Buffer","B",IF(INDEX('PROJETO PERFURAÇÃO'!$P:$P,MATCH(MEDIÇÃO!K846,'PROJETO PERFURAÇÃO'!$B:$B,0))="Pre-Splitting","S"))),"")</f>
        <v/>
      </c>
      <c r="K846" s="14">
        <f t="shared" si="82"/>
        <v>1891</v>
      </c>
      <c r="L846" s="4" t="str">
        <f>IFERROR(INDEX('LEV R&amp;D'!$D:$D,MATCH(MEDIÇÃO!K846,'LEV R&amp;D'!$A:$A,0))-INDEX('PROJETO PERFURAÇÃO'!$AH:$AH,MATCH(MEDIÇÃO!K846,'PROJETO PERFURAÇÃO'!$B:$B,0)),"")</f>
        <v/>
      </c>
      <c r="M846" s="8" t="str">
        <f>IFERROR(INDEX('PROJETO PERFURAÇÃO'!$AN:$AN,MATCH(MEDIÇÃO!K846,'PROJETO PERFURAÇÃO'!$B:$B,0)),"")</f>
        <v/>
      </c>
      <c r="N846" s="3"/>
      <c r="O846" s="3"/>
      <c r="P846" s="3" t="str">
        <f>IFERROR(ROUND(INDEX('PROJETO PERFURAÇÃO'!$AB:$AB,MATCH(MEDIÇÃO!R846,'PROJETO PERFURAÇÃO'!$B:$B,0)),1)&amp;"''","")</f>
        <v/>
      </c>
      <c r="Q846" s="3" t="str">
        <f>IFERROR(IF(INDEX('PROJETO PERFURAÇÃO'!$P:$P,MATCH(MEDIÇÃO!R846,'PROJETO PERFURAÇÃO'!$B:$B,0))="Production","P",IF(INDEX('PROJETO PERFURAÇÃO'!$P:$P,MATCH(MEDIÇÃO!R846,'PROJETO PERFURAÇÃO'!$B:$B,0))="Buffer","B",IF(INDEX('PROJETO PERFURAÇÃO'!$P:$P,MATCH(MEDIÇÃO!R846,'PROJETO PERFURAÇÃO'!$B:$B,0))="Pre-Splitting","S"))),"")</f>
        <v/>
      </c>
      <c r="R846" s="14">
        <f t="shared" si="83"/>
        <v>1914</v>
      </c>
      <c r="S846" s="4" t="str">
        <f>IFERROR(INDEX('LEV R&amp;D'!$D:$D,MATCH(MEDIÇÃO!R846,'LEV R&amp;D'!$A:$A,0))-INDEX('PROJETO PERFURAÇÃO'!$AH:$AH,MATCH(MEDIÇÃO!R846,'PROJETO PERFURAÇÃO'!$B:$B,0)),"")</f>
        <v/>
      </c>
      <c r="T846" s="8" t="str">
        <f>IFERROR(INDEX('PROJETO PERFURAÇÃO'!$AN:$AN,MATCH(MEDIÇÃO!R846,'PROJETO PERFURAÇÃO'!$B:$B,0)),"")</f>
        <v/>
      </c>
      <c r="U846" s="3"/>
      <c r="V846" s="3"/>
    </row>
    <row r="847" spans="1:23" ht="45" customHeight="1">
      <c r="B847" s="3" t="str">
        <f>IFERROR(ROUND(INDEX('PROJETO PERFURAÇÃO'!$AB:$AB,MATCH(MEDIÇÃO!D847,'PROJETO PERFURAÇÃO'!$B:$B,0)),1)&amp;"''","")</f>
        <v/>
      </c>
      <c r="C847" s="3" t="str">
        <f>IFERROR(IF(INDEX('PROJETO PERFURAÇÃO'!$P:$P,MATCH(MEDIÇÃO!D847,'PROJETO PERFURAÇÃO'!$B:$B,0))="Production","P",IF(INDEX('PROJETO PERFURAÇÃO'!$P:$P,MATCH(MEDIÇÃO!D847,'PROJETO PERFURAÇÃO'!$B:$B,0))="Buffer","B",IF(INDEX('PROJETO PERFURAÇÃO'!$P:$P,MATCH(MEDIÇÃO!D847,'PROJETO PERFURAÇÃO'!$B:$B,0))="Pre-Splitting","S"))),"")</f>
        <v/>
      </c>
      <c r="D847" s="14">
        <f t="shared" si="81"/>
        <v>1869</v>
      </c>
      <c r="E847" s="4" t="str">
        <f>IFERROR(INDEX('LEV R&amp;D'!$D:$D,MATCH(MEDIÇÃO!D847,'LEV R&amp;D'!$A:$A,0))-INDEX('PROJETO PERFURAÇÃO'!$AH:$AH,MATCH(MEDIÇÃO!D847,'PROJETO PERFURAÇÃO'!$B:$B,0)),"")</f>
        <v/>
      </c>
      <c r="F847" s="8" t="str">
        <f>IFERROR(INDEX('PROJETO PERFURAÇÃO'!$AN:$AN,MATCH(MEDIÇÃO!D847,'PROJETO PERFURAÇÃO'!$B:$B,0)),"")</f>
        <v/>
      </c>
      <c r="G847" s="3"/>
      <c r="H847" s="3"/>
      <c r="I847" s="3" t="str">
        <f>IFERROR(ROUND(INDEX('PROJETO PERFURAÇÃO'!$AB:$AB,MATCH(MEDIÇÃO!K847,'PROJETO PERFURAÇÃO'!$B:$B,0)),1)&amp;"''","")</f>
        <v/>
      </c>
      <c r="J847" s="3" t="str">
        <f>IFERROR(IF(INDEX('PROJETO PERFURAÇÃO'!$P:$P,MATCH(MEDIÇÃO!K847,'PROJETO PERFURAÇÃO'!$B:$B,0))="Production","P",IF(INDEX('PROJETO PERFURAÇÃO'!$P:$P,MATCH(MEDIÇÃO!K847,'PROJETO PERFURAÇÃO'!$B:$B,0))="Buffer","B",IF(INDEX('PROJETO PERFURAÇÃO'!$P:$P,MATCH(MEDIÇÃO!K847,'PROJETO PERFURAÇÃO'!$B:$B,0))="Pre-Splitting","S"))),"")</f>
        <v/>
      </c>
      <c r="K847" s="14">
        <f t="shared" si="82"/>
        <v>1892</v>
      </c>
      <c r="L847" s="4" t="str">
        <f>IFERROR(INDEX('LEV R&amp;D'!$D:$D,MATCH(MEDIÇÃO!K847,'LEV R&amp;D'!$A:$A,0))-INDEX('PROJETO PERFURAÇÃO'!$AH:$AH,MATCH(MEDIÇÃO!K847,'PROJETO PERFURAÇÃO'!$B:$B,0)),"")</f>
        <v/>
      </c>
      <c r="M847" s="8" t="str">
        <f>IFERROR(INDEX('PROJETO PERFURAÇÃO'!$AN:$AN,MATCH(MEDIÇÃO!K847,'PROJETO PERFURAÇÃO'!$B:$B,0)),"")</f>
        <v/>
      </c>
      <c r="N847" s="3"/>
      <c r="O847" s="3"/>
      <c r="P847" s="3" t="str">
        <f>IFERROR(ROUND(INDEX('PROJETO PERFURAÇÃO'!$AB:$AB,MATCH(MEDIÇÃO!R847,'PROJETO PERFURAÇÃO'!$B:$B,0)),1)&amp;"''","")</f>
        <v/>
      </c>
      <c r="Q847" s="3" t="str">
        <f>IFERROR(IF(INDEX('PROJETO PERFURAÇÃO'!$P:$P,MATCH(MEDIÇÃO!R847,'PROJETO PERFURAÇÃO'!$B:$B,0))="Production","P",IF(INDEX('PROJETO PERFURAÇÃO'!$P:$P,MATCH(MEDIÇÃO!R847,'PROJETO PERFURAÇÃO'!$B:$B,0))="Buffer","B",IF(INDEX('PROJETO PERFURAÇÃO'!$P:$P,MATCH(MEDIÇÃO!R847,'PROJETO PERFURAÇÃO'!$B:$B,0))="Pre-Splitting","S"))),"")</f>
        <v/>
      </c>
      <c r="R847" s="14">
        <f t="shared" si="83"/>
        <v>1915</v>
      </c>
      <c r="S847" s="4" t="str">
        <f>IFERROR(INDEX('LEV R&amp;D'!$D:$D,MATCH(MEDIÇÃO!R847,'LEV R&amp;D'!$A:$A,0))-INDEX('PROJETO PERFURAÇÃO'!$AH:$AH,MATCH(MEDIÇÃO!R847,'PROJETO PERFURAÇÃO'!$B:$B,0)),"")</f>
        <v/>
      </c>
      <c r="T847" s="8" t="str">
        <f>IFERROR(INDEX('PROJETO PERFURAÇÃO'!$AN:$AN,MATCH(MEDIÇÃO!R847,'PROJETO PERFURAÇÃO'!$B:$B,0)),"")</f>
        <v/>
      </c>
      <c r="U847" s="3"/>
      <c r="V847" s="3"/>
    </row>
    <row r="848" spans="1:23" ht="45" customHeight="1">
      <c r="B848" s="3" t="str">
        <f>IFERROR(ROUND(INDEX('PROJETO PERFURAÇÃO'!$AB:$AB,MATCH(MEDIÇÃO!D848,'PROJETO PERFURAÇÃO'!$B:$B,0)),1)&amp;"''","")</f>
        <v/>
      </c>
      <c r="C848" s="3" t="str">
        <f>IFERROR(IF(INDEX('PROJETO PERFURAÇÃO'!$P:$P,MATCH(MEDIÇÃO!D848,'PROJETO PERFURAÇÃO'!$B:$B,0))="Production","P",IF(INDEX('PROJETO PERFURAÇÃO'!$P:$P,MATCH(MEDIÇÃO!D848,'PROJETO PERFURAÇÃO'!$B:$B,0))="Buffer","B",IF(INDEX('PROJETO PERFURAÇÃO'!$P:$P,MATCH(MEDIÇÃO!D848,'PROJETO PERFURAÇÃO'!$B:$B,0))="Pre-Splitting","S"))),"")</f>
        <v/>
      </c>
      <c r="D848" s="14">
        <f t="shared" si="81"/>
        <v>1870</v>
      </c>
      <c r="E848" s="4" t="str">
        <f>IFERROR(INDEX('LEV R&amp;D'!$D:$D,MATCH(MEDIÇÃO!D848,'LEV R&amp;D'!$A:$A,0))-INDEX('PROJETO PERFURAÇÃO'!$AH:$AH,MATCH(MEDIÇÃO!D848,'PROJETO PERFURAÇÃO'!$B:$B,0)),"")</f>
        <v/>
      </c>
      <c r="F848" s="8" t="str">
        <f>IFERROR(INDEX('PROJETO PERFURAÇÃO'!$AN:$AN,MATCH(MEDIÇÃO!D848,'PROJETO PERFURAÇÃO'!$B:$B,0)),"")</f>
        <v/>
      </c>
      <c r="G848" s="3"/>
      <c r="H848" s="3"/>
      <c r="I848" s="3" t="str">
        <f>IFERROR(ROUND(INDEX('PROJETO PERFURAÇÃO'!$AB:$AB,MATCH(MEDIÇÃO!K848,'PROJETO PERFURAÇÃO'!$B:$B,0)),1)&amp;"''","")</f>
        <v/>
      </c>
      <c r="J848" s="3" t="str">
        <f>IFERROR(IF(INDEX('PROJETO PERFURAÇÃO'!$P:$P,MATCH(MEDIÇÃO!K848,'PROJETO PERFURAÇÃO'!$B:$B,0))="Production","P",IF(INDEX('PROJETO PERFURAÇÃO'!$P:$P,MATCH(MEDIÇÃO!K848,'PROJETO PERFURAÇÃO'!$B:$B,0))="Buffer","B",IF(INDEX('PROJETO PERFURAÇÃO'!$P:$P,MATCH(MEDIÇÃO!K848,'PROJETO PERFURAÇÃO'!$B:$B,0))="Pre-Splitting","S"))),"")</f>
        <v/>
      </c>
      <c r="K848" s="14">
        <f t="shared" si="82"/>
        <v>1893</v>
      </c>
      <c r="L848" s="4" t="str">
        <f>IFERROR(INDEX('LEV R&amp;D'!$D:$D,MATCH(MEDIÇÃO!K848,'LEV R&amp;D'!$A:$A,0))-INDEX('PROJETO PERFURAÇÃO'!$AH:$AH,MATCH(MEDIÇÃO!K848,'PROJETO PERFURAÇÃO'!$B:$B,0)),"")</f>
        <v/>
      </c>
      <c r="M848" s="8" t="str">
        <f>IFERROR(INDEX('PROJETO PERFURAÇÃO'!$AN:$AN,MATCH(MEDIÇÃO!K848,'PROJETO PERFURAÇÃO'!$B:$B,0)),"")</f>
        <v/>
      </c>
      <c r="N848" s="3"/>
      <c r="O848" s="3"/>
      <c r="P848" s="3" t="str">
        <f>IFERROR(ROUND(INDEX('PROJETO PERFURAÇÃO'!$AB:$AB,MATCH(MEDIÇÃO!R848,'PROJETO PERFURAÇÃO'!$B:$B,0)),1)&amp;"''","")</f>
        <v/>
      </c>
      <c r="Q848" s="3" t="str">
        <f>IFERROR(IF(INDEX('PROJETO PERFURAÇÃO'!$P:$P,MATCH(MEDIÇÃO!R848,'PROJETO PERFURAÇÃO'!$B:$B,0))="Production","P",IF(INDEX('PROJETO PERFURAÇÃO'!$P:$P,MATCH(MEDIÇÃO!R848,'PROJETO PERFURAÇÃO'!$B:$B,0))="Buffer","B",IF(INDEX('PROJETO PERFURAÇÃO'!$P:$P,MATCH(MEDIÇÃO!R848,'PROJETO PERFURAÇÃO'!$B:$B,0))="Pre-Splitting","S"))),"")</f>
        <v/>
      </c>
      <c r="R848" s="14">
        <f t="shared" si="83"/>
        <v>1916</v>
      </c>
      <c r="S848" s="4" t="str">
        <f>IFERROR(INDEX('LEV R&amp;D'!$D:$D,MATCH(MEDIÇÃO!R848,'LEV R&amp;D'!$A:$A,0))-INDEX('PROJETO PERFURAÇÃO'!$AH:$AH,MATCH(MEDIÇÃO!R848,'PROJETO PERFURAÇÃO'!$B:$B,0)),"")</f>
        <v/>
      </c>
      <c r="T848" s="8" t="str">
        <f>IFERROR(INDEX('PROJETO PERFURAÇÃO'!$AN:$AN,MATCH(MEDIÇÃO!R848,'PROJETO PERFURAÇÃO'!$B:$B,0)),"")</f>
        <v/>
      </c>
      <c r="U848" s="3"/>
      <c r="V848" s="3"/>
    </row>
    <row r="849" spans="2:22" ht="45" customHeight="1">
      <c r="B849" s="3" t="str">
        <f>IFERROR(ROUND(INDEX('PROJETO PERFURAÇÃO'!$AB:$AB,MATCH(MEDIÇÃO!D849,'PROJETO PERFURAÇÃO'!$B:$B,0)),1)&amp;"''","")</f>
        <v/>
      </c>
      <c r="C849" s="3" t="str">
        <f>IFERROR(IF(INDEX('PROJETO PERFURAÇÃO'!$P:$P,MATCH(MEDIÇÃO!D849,'PROJETO PERFURAÇÃO'!$B:$B,0))="Production","P",IF(INDEX('PROJETO PERFURAÇÃO'!$P:$P,MATCH(MEDIÇÃO!D849,'PROJETO PERFURAÇÃO'!$B:$B,0))="Buffer","B",IF(INDEX('PROJETO PERFURAÇÃO'!$P:$P,MATCH(MEDIÇÃO!D849,'PROJETO PERFURAÇÃO'!$B:$B,0))="Pre-Splitting","S"))),"")</f>
        <v/>
      </c>
      <c r="D849" s="14">
        <f t="shared" si="81"/>
        <v>1871</v>
      </c>
      <c r="E849" s="4" t="str">
        <f>IFERROR(INDEX('LEV R&amp;D'!$D:$D,MATCH(MEDIÇÃO!D849,'LEV R&amp;D'!$A:$A,0))-INDEX('PROJETO PERFURAÇÃO'!$AH:$AH,MATCH(MEDIÇÃO!D849,'PROJETO PERFURAÇÃO'!$B:$B,0)),"")</f>
        <v/>
      </c>
      <c r="F849" s="8" t="str">
        <f>IFERROR(INDEX('PROJETO PERFURAÇÃO'!$AN:$AN,MATCH(MEDIÇÃO!D849,'PROJETO PERFURAÇÃO'!$B:$B,0)),"")</f>
        <v/>
      </c>
      <c r="G849" s="3"/>
      <c r="H849" s="3"/>
      <c r="I849" s="3" t="str">
        <f>IFERROR(ROUND(INDEX('PROJETO PERFURAÇÃO'!$AB:$AB,MATCH(MEDIÇÃO!K849,'PROJETO PERFURAÇÃO'!$B:$B,0)),1)&amp;"''","")</f>
        <v/>
      </c>
      <c r="J849" s="3" t="str">
        <f>IFERROR(IF(INDEX('PROJETO PERFURAÇÃO'!$P:$P,MATCH(MEDIÇÃO!K849,'PROJETO PERFURAÇÃO'!$B:$B,0))="Production","P",IF(INDEX('PROJETO PERFURAÇÃO'!$P:$P,MATCH(MEDIÇÃO!K849,'PROJETO PERFURAÇÃO'!$B:$B,0))="Buffer","B",IF(INDEX('PROJETO PERFURAÇÃO'!$P:$P,MATCH(MEDIÇÃO!K849,'PROJETO PERFURAÇÃO'!$B:$B,0))="Pre-Splitting","S"))),"")</f>
        <v/>
      </c>
      <c r="K849" s="14">
        <f t="shared" si="82"/>
        <v>1894</v>
      </c>
      <c r="L849" s="4" t="str">
        <f>IFERROR(INDEX('LEV R&amp;D'!$D:$D,MATCH(MEDIÇÃO!K849,'LEV R&amp;D'!$A:$A,0))-INDEX('PROJETO PERFURAÇÃO'!$AH:$AH,MATCH(MEDIÇÃO!K849,'PROJETO PERFURAÇÃO'!$B:$B,0)),"")</f>
        <v/>
      </c>
      <c r="M849" s="8" t="str">
        <f>IFERROR(INDEX('PROJETO PERFURAÇÃO'!$AN:$AN,MATCH(MEDIÇÃO!K849,'PROJETO PERFURAÇÃO'!$B:$B,0)),"")</f>
        <v/>
      </c>
      <c r="N849" s="3"/>
      <c r="O849" s="3"/>
      <c r="P849" s="3" t="str">
        <f>IFERROR(ROUND(INDEX('PROJETO PERFURAÇÃO'!$AB:$AB,MATCH(MEDIÇÃO!R849,'PROJETO PERFURAÇÃO'!$B:$B,0)),1)&amp;"''","")</f>
        <v/>
      </c>
      <c r="Q849" s="3" t="str">
        <f>IFERROR(IF(INDEX('PROJETO PERFURAÇÃO'!$P:$P,MATCH(MEDIÇÃO!R849,'PROJETO PERFURAÇÃO'!$B:$B,0))="Production","P",IF(INDEX('PROJETO PERFURAÇÃO'!$P:$P,MATCH(MEDIÇÃO!R849,'PROJETO PERFURAÇÃO'!$B:$B,0))="Buffer","B",IF(INDEX('PROJETO PERFURAÇÃO'!$P:$P,MATCH(MEDIÇÃO!R849,'PROJETO PERFURAÇÃO'!$B:$B,0))="Pre-Splitting","S"))),"")</f>
        <v/>
      </c>
      <c r="R849" s="14">
        <f t="shared" si="83"/>
        <v>1917</v>
      </c>
      <c r="S849" s="4" t="str">
        <f>IFERROR(INDEX('LEV R&amp;D'!$D:$D,MATCH(MEDIÇÃO!R849,'LEV R&amp;D'!$A:$A,0))-INDEX('PROJETO PERFURAÇÃO'!$AH:$AH,MATCH(MEDIÇÃO!R849,'PROJETO PERFURAÇÃO'!$B:$B,0)),"")</f>
        <v/>
      </c>
      <c r="T849" s="8" t="str">
        <f>IFERROR(INDEX('PROJETO PERFURAÇÃO'!$AN:$AN,MATCH(MEDIÇÃO!R849,'PROJETO PERFURAÇÃO'!$B:$B,0)),"")</f>
        <v/>
      </c>
      <c r="U849" s="3"/>
      <c r="V849" s="3"/>
    </row>
    <row r="850" spans="2:22" ht="45" customHeight="1">
      <c r="B850" s="3" t="str">
        <f>IFERROR(ROUND(INDEX('PROJETO PERFURAÇÃO'!$AB:$AB,MATCH(MEDIÇÃO!D850,'PROJETO PERFURAÇÃO'!$B:$B,0)),1)&amp;"''","")</f>
        <v/>
      </c>
      <c r="C850" s="3" t="str">
        <f>IFERROR(IF(INDEX('PROJETO PERFURAÇÃO'!$P:$P,MATCH(MEDIÇÃO!D850,'PROJETO PERFURAÇÃO'!$B:$B,0))="Production","P",IF(INDEX('PROJETO PERFURAÇÃO'!$P:$P,MATCH(MEDIÇÃO!D850,'PROJETO PERFURAÇÃO'!$B:$B,0))="Buffer","B",IF(INDEX('PROJETO PERFURAÇÃO'!$P:$P,MATCH(MEDIÇÃO!D850,'PROJETO PERFURAÇÃO'!$B:$B,0))="Pre-Splitting","S"))),"")</f>
        <v/>
      </c>
      <c r="D850" s="14">
        <f t="shared" si="81"/>
        <v>1872</v>
      </c>
      <c r="E850" s="4" t="str">
        <f>IFERROR(INDEX('LEV R&amp;D'!$D:$D,MATCH(MEDIÇÃO!D850,'LEV R&amp;D'!$A:$A,0))-INDEX('PROJETO PERFURAÇÃO'!$AH:$AH,MATCH(MEDIÇÃO!D850,'PROJETO PERFURAÇÃO'!$B:$B,0)),"")</f>
        <v/>
      </c>
      <c r="F850" s="8" t="str">
        <f>IFERROR(INDEX('PROJETO PERFURAÇÃO'!$AN:$AN,MATCH(MEDIÇÃO!D850,'PROJETO PERFURAÇÃO'!$B:$B,0)),"")</f>
        <v/>
      </c>
      <c r="G850" s="3"/>
      <c r="H850" s="3"/>
      <c r="I850" s="3" t="str">
        <f>IFERROR(ROUND(INDEX('PROJETO PERFURAÇÃO'!$AB:$AB,MATCH(MEDIÇÃO!K850,'PROJETO PERFURAÇÃO'!$B:$B,0)),1)&amp;"''","")</f>
        <v/>
      </c>
      <c r="J850" s="3" t="str">
        <f>IFERROR(IF(INDEX('PROJETO PERFURAÇÃO'!$P:$P,MATCH(MEDIÇÃO!K850,'PROJETO PERFURAÇÃO'!$B:$B,0))="Production","P",IF(INDEX('PROJETO PERFURAÇÃO'!$P:$P,MATCH(MEDIÇÃO!K850,'PROJETO PERFURAÇÃO'!$B:$B,0))="Buffer","B",IF(INDEX('PROJETO PERFURAÇÃO'!$P:$P,MATCH(MEDIÇÃO!K850,'PROJETO PERFURAÇÃO'!$B:$B,0))="Pre-Splitting","S"))),"")</f>
        <v/>
      </c>
      <c r="K850" s="14">
        <f t="shared" si="82"/>
        <v>1895</v>
      </c>
      <c r="L850" s="4" t="str">
        <f>IFERROR(INDEX('LEV R&amp;D'!$D:$D,MATCH(MEDIÇÃO!K850,'LEV R&amp;D'!$A:$A,0))-INDEX('PROJETO PERFURAÇÃO'!$AH:$AH,MATCH(MEDIÇÃO!K850,'PROJETO PERFURAÇÃO'!$B:$B,0)),"")</f>
        <v/>
      </c>
      <c r="M850" s="8" t="str">
        <f>IFERROR(INDEX('PROJETO PERFURAÇÃO'!$AN:$AN,MATCH(MEDIÇÃO!K850,'PROJETO PERFURAÇÃO'!$B:$B,0)),"")</f>
        <v/>
      </c>
      <c r="N850" s="3"/>
      <c r="O850" s="3"/>
      <c r="P850" s="3" t="str">
        <f>IFERROR(ROUND(INDEX('PROJETO PERFURAÇÃO'!$AB:$AB,MATCH(MEDIÇÃO!R850,'PROJETO PERFURAÇÃO'!$B:$B,0)),1)&amp;"''","")</f>
        <v/>
      </c>
      <c r="Q850" s="3" t="str">
        <f>IFERROR(IF(INDEX('PROJETO PERFURAÇÃO'!$P:$P,MATCH(MEDIÇÃO!R850,'PROJETO PERFURAÇÃO'!$B:$B,0))="Production","P",IF(INDEX('PROJETO PERFURAÇÃO'!$P:$P,MATCH(MEDIÇÃO!R850,'PROJETO PERFURAÇÃO'!$B:$B,0))="Buffer","B",IF(INDEX('PROJETO PERFURAÇÃO'!$P:$P,MATCH(MEDIÇÃO!R850,'PROJETO PERFURAÇÃO'!$B:$B,0))="Pre-Splitting","S"))),"")</f>
        <v/>
      </c>
      <c r="R850" s="14">
        <f t="shared" si="83"/>
        <v>1918</v>
      </c>
      <c r="S850" s="4" t="str">
        <f>IFERROR(INDEX('LEV R&amp;D'!$D:$D,MATCH(MEDIÇÃO!R850,'LEV R&amp;D'!$A:$A,0))-INDEX('PROJETO PERFURAÇÃO'!$AH:$AH,MATCH(MEDIÇÃO!R850,'PROJETO PERFURAÇÃO'!$B:$B,0)),"")</f>
        <v/>
      </c>
      <c r="T850" s="8" t="str">
        <f>IFERROR(INDEX('PROJETO PERFURAÇÃO'!$AN:$AN,MATCH(MEDIÇÃO!R850,'PROJETO PERFURAÇÃO'!$B:$B,0)),"")</f>
        <v/>
      </c>
      <c r="U850" s="3"/>
      <c r="V850" s="3"/>
    </row>
    <row r="851" spans="2:22" ht="45" customHeight="1">
      <c r="B851" s="3" t="str">
        <f>IFERROR(ROUND(INDEX('PROJETO PERFURAÇÃO'!$AB:$AB,MATCH(MEDIÇÃO!D851,'PROJETO PERFURAÇÃO'!$B:$B,0)),1)&amp;"''","")</f>
        <v/>
      </c>
      <c r="C851" s="3" t="str">
        <f>IFERROR(IF(INDEX('PROJETO PERFURAÇÃO'!$P:$P,MATCH(MEDIÇÃO!D851,'PROJETO PERFURAÇÃO'!$B:$B,0))="Production","P",IF(INDEX('PROJETO PERFURAÇÃO'!$P:$P,MATCH(MEDIÇÃO!D851,'PROJETO PERFURAÇÃO'!$B:$B,0))="Buffer","B",IF(INDEX('PROJETO PERFURAÇÃO'!$P:$P,MATCH(MEDIÇÃO!D851,'PROJETO PERFURAÇÃO'!$B:$B,0))="Pre-Splitting","S"))),"")</f>
        <v/>
      </c>
      <c r="D851" s="14">
        <f t="shared" si="81"/>
        <v>1873</v>
      </c>
      <c r="E851" s="4" t="str">
        <f>IFERROR(INDEX('LEV R&amp;D'!$D:$D,MATCH(MEDIÇÃO!D851,'LEV R&amp;D'!$A:$A,0))-INDEX('PROJETO PERFURAÇÃO'!$AH:$AH,MATCH(MEDIÇÃO!D851,'PROJETO PERFURAÇÃO'!$B:$B,0)),"")</f>
        <v/>
      </c>
      <c r="F851" s="8" t="str">
        <f>IFERROR(INDEX('PROJETO PERFURAÇÃO'!$AN:$AN,MATCH(MEDIÇÃO!D851,'PROJETO PERFURAÇÃO'!$B:$B,0)),"")</f>
        <v/>
      </c>
      <c r="G851" s="3"/>
      <c r="H851" s="3"/>
      <c r="I851" s="3" t="str">
        <f>IFERROR(ROUND(INDEX('PROJETO PERFURAÇÃO'!$AB:$AB,MATCH(MEDIÇÃO!K851,'PROJETO PERFURAÇÃO'!$B:$B,0)),1)&amp;"''","")</f>
        <v/>
      </c>
      <c r="J851" s="3" t="str">
        <f>IFERROR(IF(INDEX('PROJETO PERFURAÇÃO'!$P:$P,MATCH(MEDIÇÃO!K851,'PROJETO PERFURAÇÃO'!$B:$B,0))="Production","P",IF(INDEX('PROJETO PERFURAÇÃO'!$P:$P,MATCH(MEDIÇÃO!K851,'PROJETO PERFURAÇÃO'!$B:$B,0))="Buffer","B",IF(INDEX('PROJETO PERFURAÇÃO'!$P:$P,MATCH(MEDIÇÃO!K851,'PROJETO PERFURAÇÃO'!$B:$B,0))="Pre-Splitting","S"))),"")</f>
        <v/>
      </c>
      <c r="K851" s="14">
        <f t="shared" si="82"/>
        <v>1896</v>
      </c>
      <c r="L851" s="4" t="str">
        <f>IFERROR(INDEX('LEV R&amp;D'!$D:$D,MATCH(MEDIÇÃO!K851,'LEV R&amp;D'!$A:$A,0))-INDEX('PROJETO PERFURAÇÃO'!$AH:$AH,MATCH(MEDIÇÃO!K851,'PROJETO PERFURAÇÃO'!$B:$B,0)),"")</f>
        <v/>
      </c>
      <c r="M851" s="8" t="str">
        <f>IFERROR(INDEX('PROJETO PERFURAÇÃO'!$AN:$AN,MATCH(MEDIÇÃO!K851,'PROJETO PERFURAÇÃO'!$B:$B,0)),"")</f>
        <v/>
      </c>
      <c r="N851" s="3"/>
      <c r="O851" s="3"/>
      <c r="P851" s="3" t="str">
        <f>IFERROR(ROUND(INDEX('PROJETO PERFURAÇÃO'!$AB:$AB,MATCH(MEDIÇÃO!R851,'PROJETO PERFURAÇÃO'!$B:$B,0)),1)&amp;"''","")</f>
        <v/>
      </c>
      <c r="Q851" s="3" t="str">
        <f>IFERROR(IF(INDEX('PROJETO PERFURAÇÃO'!$P:$P,MATCH(MEDIÇÃO!R851,'PROJETO PERFURAÇÃO'!$B:$B,0))="Production","P",IF(INDEX('PROJETO PERFURAÇÃO'!$P:$P,MATCH(MEDIÇÃO!R851,'PROJETO PERFURAÇÃO'!$B:$B,0))="Buffer","B",IF(INDEX('PROJETO PERFURAÇÃO'!$P:$P,MATCH(MEDIÇÃO!R851,'PROJETO PERFURAÇÃO'!$B:$B,0))="Pre-Splitting","S"))),"")</f>
        <v/>
      </c>
      <c r="R851" s="14">
        <f t="shared" si="83"/>
        <v>1919</v>
      </c>
      <c r="S851" s="4" t="str">
        <f>IFERROR(INDEX('LEV R&amp;D'!$D:$D,MATCH(MEDIÇÃO!R851,'LEV R&amp;D'!$A:$A,0))-INDEX('PROJETO PERFURAÇÃO'!$AH:$AH,MATCH(MEDIÇÃO!R851,'PROJETO PERFURAÇÃO'!$B:$B,0)),"")</f>
        <v/>
      </c>
      <c r="T851" s="8" t="str">
        <f>IFERROR(INDEX('PROJETO PERFURAÇÃO'!$AN:$AN,MATCH(MEDIÇÃO!R851,'PROJETO PERFURAÇÃO'!$B:$B,0)),"")</f>
        <v/>
      </c>
      <c r="U851" s="3"/>
      <c r="V851" s="3"/>
    </row>
    <row r="852" spans="2:22" ht="45" customHeight="1">
      <c r="B852" s="3" t="str">
        <f>IFERROR(ROUND(INDEX('PROJETO PERFURAÇÃO'!$AB:$AB,MATCH(MEDIÇÃO!D852,'PROJETO PERFURAÇÃO'!$B:$B,0)),1)&amp;"''","")</f>
        <v/>
      </c>
      <c r="C852" s="3" t="str">
        <f>IFERROR(IF(INDEX('PROJETO PERFURAÇÃO'!$P:$P,MATCH(MEDIÇÃO!D852,'PROJETO PERFURAÇÃO'!$B:$B,0))="Production","P",IF(INDEX('PROJETO PERFURAÇÃO'!$P:$P,MATCH(MEDIÇÃO!D852,'PROJETO PERFURAÇÃO'!$B:$B,0))="Buffer","B",IF(INDEX('PROJETO PERFURAÇÃO'!$P:$P,MATCH(MEDIÇÃO!D852,'PROJETO PERFURAÇÃO'!$B:$B,0))="Pre-Splitting","S"))),"")</f>
        <v/>
      </c>
      <c r="D852" s="14">
        <f t="shared" si="81"/>
        <v>1874</v>
      </c>
      <c r="E852" s="4" t="str">
        <f>IFERROR(INDEX('LEV R&amp;D'!$D:$D,MATCH(MEDIÇÃO!D852,'LEV R&amp;D'!$A:$A,0))-INDEX('PROJETO PERFURAÇÃO'!$AH:$AH,MATCH(MEDIÇÃO!D852,'PROJETO PERFURAÇÃO'!$B:$B,0)),"")</f>
        <v/>
      </c>
      <c r="F852" s="8" t="str">
        <f>IFERROR(INDEX('PROJETO PERFURAÇÃO'!$AN:$AN,MATCH(MEDIÇÃO!D852,'PROJETO PERFURAÇÃO'!$B:$B,0)),"")</f>
        <v/>
      </c>
      <c r="G852" s="3"/>
      <c r="H852" s="3"/>
      <c r="I852" s="3" t="str">
        <f>IFERROR(ROUND(INDEX('PROJETO PERFURAÇÃO'!$AB:$AB,MATCH(MEDIÇÃO!K852,'PROJETO PERFURAÇÃO'!$B:$B,0)),1)&amp;"''","")</f>
        <v/>
      </c>
      <c r="J852" s="3" t="str">
        <f>IFERROR(IF(INDEX('PROJETO PERFURAÇÃO'!$P:$P,MATCH(MEDIÇÃO!K852,'PROJETO PERFURAÇÃO'!$B:$B,0))="Production","P",IF(INDEX('PROJETO PERFURAÇÃO'!$P:$P,MATCH(MEDIÇÃO!K852,'PROJETO PERFURAÇÃO'!$B:$B,0))="Buffer","B",IF(INDEX('PROJETO PERFURAÇÃO'!$P:$P,MATCH(MEDIÇÃO!K852,'PROJETO PERFURAÇÃO'!$B:$B,0))="Pre-Splitting","S"))),"")</f>
        <v/>
      </c>
      <c r="K852" s="14">
        <f t="shared" si="82"/>
        <v>1897</v>
      </c>
      <c r="L852" s="4" t="str">
        <f>IFERROR(INDEX('LEV R&amp;D'!$D:$D,MATCH(MEDIÇÃO!K852,'LEV R&amp;D'!$A:$A,0))-INDEX('PROJETO PERFURAÇÃO'!$AH:$AH,MATCH(MEDIÇÃO!K852,'PROJETO PERFURAÇÃO'!$B:$B,0)),"")</f>
        <v/>
      </c>
      <c r="M852" s="8" t="str">
        <f>IFERROR(INDEX('PROJETO PERFURAÇÃO'!$AN:$AN,MATCH(MEDIÇÃO!K852,'PROJETO PERFURAÇÃO'!$B:$B,0)),"")</f>
        <v/>
      </c>
      <c r="N852" s="3"/>
      <c r="O852" s="3"/>
      <c r="P852" s="3" t="str">
        <f>IFERROR(ROUND(INDEX('PROJETO PERFURAÇÃO'!$AB:$AB,MATCH(MEDIÇÃO!R852,'PROJETO PERFURAÇÃO'!$B:$B,0)),1)&amp;"''","")</f>
        <v/>
      </c>
      <c r="Q852" s="3" t="str">
        <f>IFERROR(IF(INDEX('PROJETO PERFURAÇÃO'!$P:$P,MATCH(MEDIÇÃO!R852,'PROJETO PERFURAÇÃO'!$B:$B,0))="Production","P",IF(INDEX('PROJETO PERFURAÇÃO'!$P:$P,MATCH(MEDIÇÃO!R852,'PROJETO PERFURAÇÃO'!$B:$B,0))="Buffer","B",IF(INDEX('PROJETO PERFURAÇÃO'!$P:$P,MATCH(MEDIÇÃO!R852,'PROJETO PERFURAÇÃO'!$B:$B,0))="Pre-Splitting","S"))),"")</f>
        <v/>
      </c>
      <c r="R852" s="14">
        <f t="shared" si="83"/>
        <v>1920</v>
      </c>
      <c r="S852" s="4" t="str">
        <f>IFERROR(INDEX('LEV R&amp;D'!$D:$D,MATCH(MEDIÇÃO!R852,'LEV R&amp;D'!$A:$A,0))-INDEX('PROJETO PERFURAÇÃO'!$AH:$AH,MATCH(MEDIÇÃO!R852,'PROJETO PERFURAÇÃO'!$B:$B,0)),"")</f>
        <v/>
      </c>
      <c r="T852" s="8" t="str">
        <f>IFERROR(INDEX('PROJETO PERFURAÇÃO'!$AN:$AN,MATCH(MEDIÇÃO!R852,'PROJETO PERFURAÇÃO'!$B:$B,0)),"")</f>
        <v/>
      </c>
      <c r="U852" s="3"/>
      <c r="V852" s="3"/>
    </row>
    <row r="853" spans="2:22" ht="45" customHeight="1">
      <c r="B853" s="3" t="str">
        <f>IFERROR(ROUND(INDEX('PROJETO PERFURAÇÃO'!$AB:$AB,MATCH(MEDIÇÃO!D853,'PROJETO PERFURAÇÃO'!$B:$B,0)),1)&amp;"''","")</f>
        <v/>
      </c>
      <c r="C853" s="3" t="str">
        <f>IFERROR(IF(INDEX('PROJETO PERFURAÇÃO'!$P:$P,MATCH(MEDIÇÃO!D853,'PROJETO PERFURAÇÃO'!$B:$B,0))="Production","P",IF(INDEX('PROJETO PERFURAÇÃO'!$P:$P,MATCH(MEDIÇÃO!D853,'PROJETO PERFURAÇÃO'!$B:$B,0))="Buffer","B",IF(INDEX('PROJETO PERFURAÇÃO'!$P:$P,MATCH(MEDIÇÃO!D853,'PROJETO PERFURAÇÃO'!$B:$B,0))="Pre-Splitting","S"))),"")</f>
        <v/>
      </c>
      <c r="D853" s="14">
        <f t="shared" si="81"/>
        <v>1875</v>
      </c>
      <c r="E853" s="4" t="str">
        <f>IFERROR(INDEX('LEV R&amp;D'!$D:$D,MATCH(MEDIÇÃO!D853,'LEV R&amp;D'!$A:$A,0))-INDEX('PROJETO PERFURAÇÃO'!$AH:$AH,MATCH(MEDIÇÃO!D853,'PROJETO PERFURAÇÃO'!$B:$B,0)),"")</f>
        <v/>
      </c>
      <c r="F853" s="8" t="str">
        <f>IFERROR(INDEX('PROJETO PERFURAÇÃO'!$AN:$AN,MATCH(MEDIÇÃO!D853,'PROJETO PERFURAÇÃO'!$B:$B,0)),"")</f>
        <v/>
      </c>
      <c r="G853" s="3"/>
      <c r="H853" s="3"/>
      <c r="I853" s="3" t="str">
        <f>IFERROR(ROUND(INDEX('PROJETO PERFURAÇÃO'!$AB:$AB,MATCH(MEDIÇÃO!K853,'PROJETO PERFURAÇÃO'!$B:$B,0)),1)&amp;"''","")</f>
        <v/>
      </c>
      <c r="J853" s="3" t="str">
        <f>IFERROR(IF(INDEX('PROJETO PERFURAÇÃO'!$P:$P,MATCH(MEDIÇÃO!K853,'PROJETO PERFURAÇÃO'!$B:$B,0))="Production","P",IF(INDEX('PROJETO PERFURAÇÃO'!$P:$P,MATCH(MEDIÇÃO!K853,'PROJETO PERFURAÇÃO'!$B:$B,0))="Buffer","B",IF(INDEX('PROJETO PERFURAÇÃO'!$P:$P,MATCH(MEDIÇÃO!K853,'PROJETO PERFURAÇÃO'!$B:$B,0))="Pre-Splitting","S"))),"")</f>
        <v/>
      </c>
      <c r="K853" s="14">
        <f t="shared" si="82"/>
        <v>1898</v>
      </c>
      <c r="L853" s="4" t="str">
        <f>IFERROR(INDEX('LEV R&amp;D'!$D:$D,MATCH(MEDIÇÃO!K853,'LEV R&amp;D'!$A:$A,0))-INDEX('PROJETO PERFURAÇÃO'!$AH:$AH,MATCH(MEDIÇÃO!K853,'PROJETO PERFURAÇÃO'!$B:$B,0)),"")</f>
        <v/>
      </c>
      <c r="M853" s="8" t="str">
        <f>IFERROR(INDEX('PROJETO PERFURAÇÃO'!$AN:$AN,MATCH(MEDIÇÃO!K853,'PROJETO PERFURAÇÃO'!$B:$B,0)),"")</f>
        <v/>
      </c>
      <c r="N853" s="3"/>
      <c r="O853" s="3"/>
      <c r="P853" s="3" t="str">
        <f>IFERROR(ROUND(INDEX('PROJETO PERFURAÇÃO'!$AB:$AB,MATCH(MEDIÇÃO!R853,'PROJETO PERFURAÇÃO'!$B:$B,0)),1)&amp;"''","")</f>
        <v/>
      </c>
      <c r="Q853" s="3" t="str">
        <f>IFERROR(IF(INDEX('PROJETO PERFURAÇÃO'!$P:$P,MATCH(MEDIÇÃO!R853,'PROJETO PERFURAÇÃO'!$B:$B,0))="Production","P",IF(INDEX('PROJETO PERFURAÇÃO'!$P:$P,MATCH(MEDIÇÃO!R853,'PROJETO PERFURAÇÃO'!$B:$B,0))="Buffer","B",IF(INDEX('PROJETO PERFURAÇÃO'!$P:$P,MATCH(MEDIÇÃO!R853,'PROJETO PERFURAÇÃO'!$B:$B,0))="Pre-Splitting","S"))),"")</f>
        <v/>
      </c>
      <c r="R853" s="14">
        <f t="shared" si="83"/>
        <v>1921</v>
      </c>
      <c r="S853" s="4" t="str">
        <f>IFERROR(INDEX('LEV R&amp;D'!$D:$D,MATCH(MEDIÇÃO!R853,'LEV R&amp;D'!$A:$A,0))-INDEX('PROJETO PERFURAÇÃO'!$AH:$AH,MATCH(MEDIÇÃO!R853,'PROJETO PERFURAÇÃO'!$B:$B,0)),"")</f>
        <v/>
      </c>
      <c r="T853" s="8" t="str">
        <f>IFERROR(INDEX('PROJETO PERFURAÇÃO'!$AN:$AN,MATCH(MEDIÇÃO!R853,'PROJETO PERFURAÇÃO'!$B:$B,0)),"")</f>
        <v/>
      </c>
      <c r="U853" s="3"/>
      <c r="V853" s="3"/>
    </row>
    <row r="854" spans="2:22" ht="45" customHeight="1">
      <c r="B854" s="3" t="str">
        <f>IFERROR(ROUND(INDEX('PROJETO PERFURAÇÃO'!$AB:$AB,MATCH(MEDIÇÃO!D854,'PROJETO PERFURAÇÃO'!$B:$B,0)),1)&amp;"''","")</f>
        <v/>
      </c>
      <c r="C854" s="3" t="str">
        <f>IFERROR(IF(INDEX('PROJETO PERFURAÇÃO'!$P:$P,MATCH(MEDIÇÃO!D854,'PROJETO PERFURAÇÃO'!$B:$B,0))="Production","P",IF(INDEX('PROJETO PERFURAÇÃO'!$P:$P,MATCH(MEDIÇÃO!D854,'PROJETO PERFURAÇÃO'!$B:$B,0))="Buffer","B",IF(INDEX('PROJETO PERFURAÇÃO'!$P:$P,MATCH(MEDIÇÃO!D854,'PROJETO PERFURAÇÃO'!$B:$B,0))="Pre-Splitting","S"))),"")</f>
        <v/>
      </c>
      <c r="D854" s="14">
        <f t="shared" si="81"/>
        <v>1876</v>
      </c>
      <c r="E854" s="4" t="str">
        <f>IFERROR(INDEX('LEV R&amp;D'!$D:$D,MATCH(MEDIÇÃO!D854,'LEV R&amp;D'!$A:$A,0))-INDEX('PROJETO PERFURAÇÃO'!$AH:$AH,MATCH(MEDIÇÃO!D854,'PROJETO PERFURAÇÃO'!$B:$B,0)),"")</f>
        <v/>
      </c>
      <c r="F854" s="8" t="str">
        <f>IFERROR(INDEX('PROJETO PERFURAÇÃO'!$AN:$AN,MATCH(MEDIÇÃO!D854,'PROJETO PERFURAÇÃO'!$B:$B,0)),"")</f>
        <v/>
      </c>
      <c r="G854" s="3"/>
      <c r="H854" s="3"/>
      <c r="I854" s="3" t="str">
        <f>IFERROR(ROUND(INDEX('PROJETO PERFURAÇÃO'!$AB:$AB,MATCH(MEDIÇÃO!K854,'PROJETO PERFURAÇÃO'!$B:$B,0)),1)&amp;"''","")</f>
        <v/>
      </c>
      <c r="J854" s="3" t="str">
        <f>IFERROR(IF(INDEX('PROJETO PERFURAÇÃO'!$P:$P,MATCH(MEDIÇÃO!K854,'PROJETO PERFURAÇÃO'!$B:$B,0))="Production","P",IF(INDEX('PROJETO PERFURAÇÃO'!$P:$P,MATCH(MEDIÇÃO!K854,'PROJETO PERFURAÇÃO'!$B:$B,0))="Buffer","B",IF(INDEX('PROJETO PERFURAÇÃO'!$P:$P,MATCH(MEDIÇÃO!K854,'PROJETO PERFURAÇÃO'!$B:$B,0))="Pre-Splitting","S"))),"")</f>
        <v/>
      </c>
      <c r="K854" s="14">
        <f t="shared" si="82"/>
        <v>1899</v>
      </c>
      <c r="L854" s="4" t="str">
        <f>IFERROR(INDEX('LEV R&amp;D'!$D:$D,MATCH(MEDIÇÃO!K854,'LEV R&amp;D'!$A:$A,0))-INDEX('PROJETO PERFURAÇÃO'!$AH:$AH,MATCH(MEDIÇÃO!K854,'PROJETO PERFURAÇÃO'!$B:$B,0)),"")</f>
        <v/>
      </c>
      <c r="M854" s="8" t="str">
        <f>IFERROR(INDEX('PROJETO PERFURAÇÃO'!$AN:$AN,MATCH(MEDIÇÃO!K854,'PROJETO PERFURAÇÃO'!$B:$B,0)),"")</f>
        <v/>
      </c>
      <c r="N854" s="3"/>
      <c r="O854" s="3"/>
      <c r="P854" s="3" t="str">
        <f>IFERROR(ROUND(INDEX('PROJETO PERFURAÇÃO'!$AB:$AB,MATCH(MEDIÇÃO!R854,'PROJETO PERFURAÇÃO'!$B:$B,0)),1)&amp;"''","")</f>
        <v/>
      </c>
      <c r="Q854" s="3" t="str">
        <f>IFERROR(IF(INDEX('PROJETO PERFURAÇÃO'!$P:$P,MATCH(MEDIÇÃO!R854,'PROJETO PERFURAÇÃO'!$B:$B,0))="Production","P",IF(INDEX('PROJETO PERFURAÇÃO'!$P:$P,MATCH(MEDIÇÃO!R854,'PROJETO PERFURAÇÃO'!$B:$B,0))="Buffer","B",IF(INDEX('PROJETO PERFURAÇÃO'!$P:$P,MATCH(MEDIÇÃO!R854,'PROJETO PERFURAÇÃO'!$B:$B,0))="Pre-Splitting","S"))),"")</f>
        <v/>
      </c>
      <c r="R854" s="14">
        <f t="shared" si="83"/>
        <v>1922</v>
      </c>
      <c r="S854" s="4" t="str">
        <f>IFERROR(INDEX('LEV R&amp;D'!$D:$D,MATCH(MEDIÇÃO!R854,'LEV R&amp;D'!$A:$A,0))-INDEX('PROJETO PERFURAÇÃO'!$AH:$AH,MATCH(MEDIÇÃO!R854,'PROJETO PERFURAÇÃO'!$B:$B,0)),"")</f>
        <v/>
      </c>
      <c r="T854" s="8" t="str">
        <f>IFERROR(INDEX('PROJETO PERFURAÇÃO'!$AN:$AN,MATCH(MEDIÇÃO!R854,'PROJETO PERFURAÇÃO'!$B:$B,0)),"")</f>
        <v/>
      </c>
      <c r="U854" s="3"/>
      <c r="V854" s="3"/>
    </row>
    <row r="855" spans="2:22" ht="45" customHeight="1">
      <c r="B855" s="3" t="str">
        <f>IFERROR(ROUND(INDEX('PROJETO PERFURAÇÃO'!$AB:$AB,MATCH(MEDIÇÃO!D855,'PROJETO PERFURAÇÃO'!$B:$B,0)),1)&amp;"''","")</f>
        <v/>
      </c>
      <c r="C855" s="3" t="str">
        <f>IFERROR(IF(INDEX('PROJETO PERFURAÇÃO'!$P:$P,MATCH(MEDIÇÃO!D855,'PROJETO PERFURAÇÃO'!$B:$B,0))="Production","P",IF(INDEX('PROJETO PERFURAÇÃO'!$P:$P,MATCH(MEDIÇÃO!D855,'PROJETO PERFURAÇÃO'!$B:$B,0))="Buffer","B",IF(INDEX('PROJETO PERFURAÇÃO'!$P:$P,MATCH(MEDIÇÃO!D855,'PROJETO PERFURAÇÃO'!$B:$B,0))="Pre-Splitting","S"))),"")</f>
        <v/>
      </c>
      <c r="D855" s="14">
        <f t="shared" si="81"/>
        <v>1877</v>
      </c>
      <c r="E855" s="4" t="str">
        <f>IFERROR(INDEX('LEV R&amp;D'!$D:$D,MATCH(MEDIÇÃO!D855,'LEV R&amp;D'!$A:$A,0))-INDEX('PROJETO PERFURAÇÃO'!$AH:$AH,MATCH(MEDIÇÃO!D855,'PROJETO PERFURAÇÃO'!$B:$B,0)),"")</f>
        <v/>
      </c>
      <c r="F855" s="8" t="str">
        <f>IFERROR(INDEX('PROJETO PERFURAÇÃO'!$AN:$AN,MATCH(MEDIÇÃO!D855,'PROJETO PERFURAÇÃO'!$B:$B,0)),"")</f>
        <v/>
      </c>
      <c r="G855" s="3"/>
      <c r="H855" s="3"/>
      <c r="I855" s="3" t="str">
        <f>IFERROR(ROUND(INDEX('PROJETO PERFURAÇÃO'!$AB:$AB,MATCH(MEDIÇÃO!K855,'PROJETO PERFURAÇÃO'!$B:$B,0)),1)&amp;"''","")</f>
        <v/>
      </c>
      <c r="J855" s="3" t="str">
        <f>IFERROR(IF(INDEX('PROJETO PERFURAÇÃO'!$P:$P,MATCH(MEDIÇÃO!K855,'PROJETO PERFURAÇÃO'!$B:$B,0))="Production","P",IF(INDEX('PROJETO PERFURAÇÃO'!$P:$P,MATCH(MEDIÇÃO!K855,'PROJETO PERFURAÇÃO'!$B:$B,0))="Buffer","B",IF(INDEX('PROJETO PERFURAÇÃO'!$P:$P,MATCH(MEDIÇÃO!K855,'PROJETO PERFURAÇÃO'!$B:$B,0))="Pre-Splitting","S"))),"")</f>
        <v/>
      </c>
      <c r="K855" s="14">
        <f t="shared" si="82"/>
        <v>1900</v>
      </c>
      <c r="L855" s="4" t="str">
        <f>IFERROR(INDEX('LEV R&amp;D'!$D:$D,MATCH(MEDIÇÃO!K855,'LEV R&amp;D'!$A:$A,0))-INDEX('PROJETO PERFURAÇÃO'!$AH:$AH,MATCH(MEDIÇÃO!K855,'PROJETO PERFURAÇÃO'!$B:$B,0)),"")</f>
        <v/>
      </c>
      <c r="M855" s="8" t="str">
        <f>IFERROR(INDEX('PROJETO PERFURAÇÃO'!$AN:$AN,MATCH(MEDIÇÃO!K855,'PROJETO PERFURAÇÃO'!$B:$B,0)),"")</f>
        <v/>
      </c>
      <c r="N855" s="3"/>
      <c r="O855" s="3"/>
      <c r="P855" s="3" t="str">
        <f>IFERROR(ROUND(INDEX('PROJETO PERFURAÇÃO'!$AB:$AB,MATCH(MEDIÇÃO!R855,'PROJETO PERFURAÇÃO'!$B:$B,0)),1)&amp;"''","")</f>
        <v/>
      </c>
      <c r="Q855" s="3" t="str">
        <f>IFERROR(IF(INDEX('PROJETO PERFURAÇÃO'!$P:$P,MATCH(MEDIÇÃO!R855,'PROJETO PERFURAÇÃO'!$B:$B,0))="Production","P",IF(INDEX('PROJETO PERFURAÇÃO'!$P:$P,MATCH(MEDIÇÃO!R855,'PROJETO PERFURAÇÃO'!$B:$B,0))="Buffer","B",IF(INDEX('PROJETO PERFURAÇÃO'!$P:$P,MATCH(MEDIÇÃO!R855,'PROJETO PERFURAÇÃO'!$B:$B,0))="Pre-Splitting","S"))),"")</f>
        <v/>
      </c>
      <c r="R855" s="14">
        <f t="shared" si="83"/>
        <v>1923</v>
      </c>
      <c r="S855" s="4" t="str">
        <f>IFERROR(INDEX('LEV R&amp;D'!$D:$D,MATCH(MEDIÇÃO!R855,'LEV R&amp;D'!$A:$A,0))-INDEX('PROJETO PERFURAÇÃO'!$AH:$AH,MATCH(MEDIÇÃO!R855,'PROJETO PERFURAÇÃO'!$B:$B,0)),"")</f>
        <v/>
      </c>
      <c r="T855" s="8" t="str">
        <f>IFERROR(INDEX('PROJETO PERFURAÇÃO'!$AN:$AN,MATCH(MEDIÇÃO!R855,'PROJETO PERFURAÇÃO'!$B:$B,0)),"")</f>
        <v/>
      </c>
      <c r="U855" s="3"/>
      <c r="V855" s="3"/>
    </row>
    <row r="856" spans="2:22" ht="45" customHeight="1">
      <c r="B856" s="3" t="str">
        <f>IFERROR(ROUND(INDEX('PROJETO PERFURAÇÃO'!$AB:$AB,MATCH(MEDIÇÃO!D856,'PROJETO PERFURAÇÃO'!$B:$B,0)),1)&amp;"''","")</f>
        <v/>
      </c>
      <c r="C856" s="3" t="str">
        <f>IFERROR(IF(INDEX('PROJETO PERFURAÇÃO'!$P:$P,MATCH(MEDIÇÃO!D856,'PROJETO PERFURAÇÃO'!$B:$B,0))="Production","P",IF(INDEX('PROJETO PERFURAÇÃO'!$P:$P,MATCH(MEDIÇÃO!D856,'PROJETO PERFURAÇÃO'!$B:$B,0))="Buffer","B",IF(INDEX('PROJETO PERFURAÇÃO'!$P:$P,MATCH(MEDIÇÃO!D856,'PROJETO PERFURAÇÃO'!$B:$B,0))="Pre-Splitting","S"))),"")</f>
        <v/>
      </c>
      <c r="D856" s="14">
        <f t="shared" si="81"/>
        <v>1878</v>
      </c>
      <c r="E856" s="4" t="str">
        <f>IFERROR(INDEX('LEV R&amp;D'!$D:$D,MATCH(MEDIÇÃO!D856,'LEV R&amp;D'!$A:$A,0))-INDEX('PROJETO PERFURAÇÃO'!$AH:$AH,MATCH(MEDIÇÃO!D856,'PROJETO PERFURAÇÃO'!$B:$B,0)),"")</f>
        <v/>
      </c>
      <c r="F856" s="8" t="str">
        <f>IFERROR(INDEX('PROJETO PERFURAÇÃO'!$AN:$AN,MATCH(MEDIÇÃO!D856,'PROJETO PERFURAÇÃO'!$B:$B,0)),"")</f>
        <v/>
      </c>
      <c r="G856" s="3"/>
      <c r="H856" s="3"/>
      <c r="I856" s="3" t="str">
        <f>IFERROR(ROUND(INDEX('PROJETO PERFURAÇÃO'!$AB:$AB,MATCH(MEDIÇÃO!K856,'PROJETO PERFURAÇÃO'!$B:$B,0)),1)&amp;"''","")</f>
        <v/>
      </c>
      <c r="J856" s="3" t="str">
        <f>IFERROR(IF(INDEX('PROJETO PERFURAÇÃO'!$P:$P,MATCH(MEDIÇÃO!K856,'PROJETO PERFURAÇÃO'!$B:$B,0))="Production","P",IF(INDEX('PROJETO PERFURAÇÃO'!$P:$P,MATCH(MEDIÇÃO!K856,'PROJETO PERFURAÇÃO'!$B:$B,0))="Buffer","B",IF(INDEX('PROJETO PERFURAÇÃO'!$P:$P,MATCH(MEDIÇÃO!K856,'PROJETO PERFURAÇÃO'!$B:$B,0))="Pre-Splitting","S"))),"")</f>
        <v/>
      </c>
      <c r="K856" s="14">
        <f t="shared" si="82"/>
        <v>1901</v>
      </c>
      <c r="L856" s="4" t="str">
        <f>IFERROR(INDEX('LEV R&amp;D'!$D:$D,MATCH(MEDIÇÃO!K856,'LEV R&amp;D'!$A:$A,0))-INDEX('PROJETO PERFURAÇÃO'!$AH:$AH,MATCH(MEDIÇÃO!K856,'PROJETO PERFURAÇÃO'!$B:$B,0)),"")</f>
        <v/>
      </c>
      <c r="M856" s="8" t="str">
        <f>IFERROR(INDEX('PROJETO PERFURAÇÃO'!$AN:$AN,MATCH(MEDIÇÃO!K856,'PROJETO PERFURAÇÃO'!$B:$B,0)),"")</f>
        <v/>
      </c>
      <c r="N856" s="3"/>
      <c r="O856" s="3"/>
      <c r="P856" s="3" t="str">
        <f>IFERROR(ROUND(INDEX('PROJETO PERFURAÇÃO'!$AB:$AB,MATCH(MEDIÇÃO!R856,'PROJETO PERFURAÇÃO'!$B:$B,0)),1)&amp;"''","")</f>
        <v/>
      </c>
      <c r="Q856" s="3" t="str">
        <f>IFERROR(IF(INDEX('PROJETO PERFURAÇÃO'!$P:$P,MATCH(MEDIÇÃO!R856,'PROJETO PERFURAÇÃO'!$B:$B,0))="Production","P",IF(INDEX('PROJETO PERFURAÇÃO'!$P:$P,MATCH(MEDIÇÃO!R856,'PROJETO PERFURAÇÃO'!$B:$B,0))="Buffer","B",IF(INDEX('PROJETO PERFURAÇÃO'!$P:$P,MATCH(MEDIÇÃO!R856,'PROJETO PERFURAÇÃO'!$B:$B,0))="Pre-Splitting","S"))),"")</f>
        <v/>
      </c>
      <c r="R856" s="14">
        <f t="shared" si="83"/>
        <v>1924</v>
      </c>
      <c r="S856" s="4" t="str">
        <f>IFERROR(INDEX('LEV R&amp;D'!$D:$D,MATCH(MEDIÇÃO!R856,'LEV R&amp;D'!$A:$A,0))-INDEX('PROJETO PERFURAÇÃO'!$AH:$AH,MATCH(MEDIÇÃO!R856,'PROJETO PERFURAÇÃO'!$B:$B,0)),"")</f>
        <v/>
      </c>
      <c r="T856" s="8" t="str">
        <f>IFERROR(INDEX('PROJETO PERFURAÇÃO'!$AN:$AN,MATCH(MEDIÇÃO!R856,'PROJETO PERFURAÇÃO'!$B:$B,0)),"")</f>
        <v/>
      </c>
      <c r="U856" s="3"/>
      <c r="V856" s="3"/>
    </row>
    <row r="857" spans="2:22" ht="45" customHeight="1">
      <c r="B857" s="3" t="str">
        <f>IFERROR(ROUND(INDEX('PROJETO PERFURAÇÃO'!$AB:$AB,MATCH(MEDIÇÃO!D857,'PROJETO PERFURAÇÃO'!$B:$B,0)),1)&amp;"''","")</f>
        <v/>
      </c>
      <c r="C857" s="3" t="str">
        <f>IFERROR(IF(INDEX('PROJETO PERFURAÇÃO'!$P:$P,MATCH(MEDIÇÃO!D857,'PROJETO PERFURAÇÃO'!$B:$B,0))="Production","P",IF(INDEX('PROJETO PERFURAÇÃO'!$P:$P,MATCH(MEDIÇÃO!D857,'PROJETO PERFURAÇÃO'!$B:$B,0))="Buffer","B",IF(INDEX('PROJETO PERFURAÇÃO'!$P:$P,MATCH(MEDIÇÃO!D857,'PROJETO PERFURAÇÃO'!$B:$B,0))="Pre-Splitting","S"))),"")</f>
        <v/>
      </c>
      <c r="D857" s="14">
        <f t="shared" si="81"/>
        <v>1879</v>
      </c>
      <c r="E857" s="4" t="str">
        <f>IFERROR(INDEX('LEV R&amp;D'!$D:$D,MATCH(MEDIÇÃO!D857,'LEV R&amp;D'!$A:$A,0))-INDEX('PROJETO PERFURAÇÃO'!$AH:$AH,MATCH(MEDIÇÃO!D857,'PROJETO PERFURAÇÃO'!$B:$B,0)),"")</f>
        <v/>
      </c>
      <c r="F857" s="8" t="str">
        <f>IFERROR(INDEX('PROJETO PERFURAÇÃO'!$AN:$AN,MATCH(MEDIÇÃO!D857,'PROJETO PERFURAÇÃO'!$B:$B,0)),"")</f>
        <v/>
      </c>
      <c r="G857" s="3"/>
      <c r="H857" s="3"/>
      <c r="I857" s="3" t="str">
        <f>IFERROR(ROUND(INDEX('PROJETO PERFURAÇÃO'!$AB:$AB,MATCH(MEDIÇÃO!K857,'PROJETO PERFURAÇÃO'!$B:$B,0)),1)&amp;"''","")</f>
        <v/>
      </c>
      <c r="J857" s="3" t="str">
        <f>IFERROR(IF(INDEX('PROJETO PERFURAÇÃO'!$P:$P,MATCH(MEDIÇÃO!K857,'PROJETO PERFURAÇÃO'!$B:$B,0))="Production","P",IF(INDEX('PROJETO PERFURAÇÃO'!$P:$P,MATCH(MEDIÇÃO!K857,'PROJETO PERFURAÇÃO'!$B:$B,0))="Buffer","B",IF(INDEX('PROJETO PERFURAÇÃO'!$P:$P,MATCH(MEDIÇÃO!K857,'PROJETO PERFURAÇÃO'!$B:$B,0))="Pre-Splitting","S"))),"")</f>
        <v/>
      </c>
      <c r="K857" s="14">
        <f t="shared" si="82"/>
        <v>1902</v>
      </c>
      <c r="L857" s="4" t="str">
        <f>IFERROR(INDEX('LEV R&amp;D'!$D:$D,MATCH(MEDIÇÃO!K857,'LEV R&amp;D'!$A:$A,0))-INDEX('PROJETO PERFURAÇÃO'!$AH:$AH,MATCH(MEDIÇÃO!K857,'PROJETO PERFURAÇÃO'!$B:$B,0)),"")</f>
        <v/>
      </c>
      <c r="M857" s="8" t="str">
        <f>IFERROR(INDEX('PROJETO PERFURAÇÃO'!$AN:$AN,MATCH(MEDIÇÃO!K857,'PROJETO PERFURAÇÃO'!$B:$B,0)),"")</f>
        <v/>
      </c>
      <c r="N857" s="3"/>
      <c r="O857" s="3"/>
      <c r="P857" s="3" t="str">
        <f>IFERROR(ROUND(INDEX('PROJETO PERFURAÇÃO'!$AB:$AB,MATCH(MEDIÇÃO!R857,'PROJETO PERFURAÇÃO'!$B:$B,0)),1)&amp;"''","")</f>
        <v/>
      </c>
      <c r="Q857" s="3" t="str">
        <f>IFERROR(IF(INDEX('PROJETO PERFURAÇÃO'!$P:$P,MATCH(MEDIÇÃO!R857,'PROJETO PERFURAÇÃO'!$B:$B,0))="Production","P",IF(INDEX('PROJETO PERFURAÇÃO'!$P:$P,MATCH(MEDIÇÃO!R857,'PROJETO PERFURAÇÃO'!$B:$B,0))="Buffer","B",IF(INDEX('PROJETO PERFURAÇÃO'!$P:$P,MATCH(MEDIÇÃO!R857,'PROJETO PERFURAÇÃO'!$B:$B,0))="Pre-Splitting","S"))),"")</f>
        <v/>
      </c>
      <c r="R857" s="14">
        <f t="shared" si="83"/>
        <v>1925</v>
      </c>
      <c r="S857" s="4" t="str">
        <f>IFERROR(INDEX('LEV R&amp;D'!$D:$D,MATCH(MEDIÇÃO!R857,'LEV R&amp;D'!$A:$A,0))-INDEX('PROJETO PERFURAÇÃO'!$AH:$AH,MATCH(MEDIÇÃO!R857,'PROJETO PERFURAÇÃO'!$B:$B,0)),"")</f>
        <v/>
      </c>
      <c r="T857" s="8" t="str">
        <f>IFERROR(INDEX('PROJETO PERFURAÇÃO'!$AN:$AN,MATCH(MEDIÇÃO!R857,'PROJETO PERFURAÇÃO'!$B:$B,0)),"")</f>
        <v/>
      </c>
      <c r="U857" s="3"/>
      <c r="V857" s="3"/>
    </row>
    <row r="858" spans="2:22" ht="45" customHeight="1">
      <c r="B858" s="3" t="str">
        <f>IFERROR(ROUND(INDEX('PROJETO PERFURAÇÃO'!$AB:$AB,MATCH(MEDIÇÃO!D858,'PROJETO PERFURAÇÃO'!$B:$B,0)),1)&amp;"''","")</f>
        <v/>
      </c>
      <c r="C858" s="3" t="str">
        <f>IFERROR(IF(INDEX('PROJETO PERFURAÇÃO'!$P:$P,MATCH(MEDIÇÃO!D858,'PROJETO PERFURAÇÃO'!$B:$B,0))="Production","P",IF(INDEX('PROJETO PERFURAÇÃO'!$P:$P,MATCH(MEDIÇÃO!D858,'PROJETO PERFURAÇÃO'!$B:$B,0))="Buffer","B",IF(INDEX('PROJETO PERFURAÇÃO'!$P:$P,MATCH(MEDIÇÃO!D858,'PROJETO PERFURAÇÃO'!$B:$B,0))="Pre-Splitting","S"))),"")</f>
        <v/>
      </c>
      <c r="D858" s="14">
        <f t="shared" si="81"/>
        <v>1880</v>
      </c>
      <c r="E858" s="4" t="str">
        <f>IFERROR(INDEX('LEV R&amp;D'!$D:$D,MATCH(MEDIÇÃO!D858,'LEV R&amp;D'!$A:$A,0))-INDEX('PROJETO PERFURAÇÃO'!$AH:$AH,MATCH(MEDIÇÃO!D858,'PROJETO PERFURAÇÃO'!$B:$B,0)),"")</f>
        <v/>
      </c>
      <c r="F858" s="8" t="str">
        <f>IFERROR(INDEX('PROJETO PERFURAÇÃO'!$AN:$AN,MATCH(MEDIÇÃO!D858,'PROJETO PERFURAÇÃO'!$B:$B,0)),"")</f>
        <v/>
      </c>
      <c r="G858" s="3"/>
      <c r="H858" s="3"/>
      <c r="I858" s="3" t="str">
        <f>IFERROR(ROUND(INDEX('PROJETO PERFURAÇÃO'!$AB:$AB,MATCH(MEDIÇÃO!K858,'PROJETO PERFURAÇÃO'!$B:$B,0)),1)&amp;"''","")</f>
        <v/>
      </c>
      <c r="J858" s="3" t="str">
        <f>IFERROR(IF(INDEX('PROJETO PERFURAÇÃO'!$P:$P,MATCH(MEDIÇÃO!K858,'PROJETO PERFURAÇÃO'!$B:$B,0))="Production","P",IF(INDEX('PROJETO PERFURAÇÃO'!$P:$P,MATCH(MEDIÇÃO!K858,'PROJETO PERFURAÇÃO'!$B:$B,0))="Buffer","B",IF(INDEX('PROJETO PERFURAÇÃO'!$P:$P,MATCH(MEDIÇÃO!K858,'PROJETO PERFURAÇÃO'!$B:$B,0))="Pre-Splitting","S"))),"")</f>
        <v/>
      </c>
      <c r="K858" s="14">
        <f t="shared" si="82"/>
        <v>1903</v>
      </c>
      <c r="L858" s="4" t="str">
        <f>IFERROR(INDEX('LEV R&amp;D'!$D:$D,MATCH(MEDIÇÃO!K858,'LEV R&amp;D'!$A:$A,0))-INDEX('PROJETO PERFURAÇÃO'!$AH:$AH,MATCH(MEDIÇÃO!K858,'PROJETO PERFURAÇÃO'!$B:$B,0)),"")</f>
        <v/>
      </c>
      <c r="M858" s="8" t="str">
        <f>IFERROR(INDEX('PROJETO PERFURAÇÃO'!$AN:$AN,MATCH(MEDIÇÃO!K858,'PROJETO PERFURAÇÃO'!$B:$B,0)),"")</f>
        <v/>
      </c>
      <c r="N858" s="3"/>
      <c r="O858" s="3"/>
      <c r="P858" s="3" t="str">
        <f>IFERROR(ROUND(INDEX('PROJETO PERFURAÇÃO'!$AB:$AB,MATCH(MEDIÇÃO!R858,'PROJETO PERFURAÇÃO'!$B:$B,0)),1)&amp;"''","")</f>
        <v/>
      </c>
      <c r="Q858" s="3" t="str">
        <f>IFERROR(IF(INDEX('PROJETO PERFURAÇÃO'!$P:$P,MATCH(MEDIÇÃO!R858,'PROJETO PERFURAÇÃO'!$B:$B,0))="Production","P",IF(INDEX('PROJETO PERFURAÇÃO'!$P:$P,MATCH(MEDIÇÃO!R858,'PROJETO PERFURAÇÃO'!$B:$B,0))="Buffer","B",IF(INDEX('PROJETO PERFURAÇÃO'!$P:$P,MATCH(MEDIÇÃO!R858,'PROJETO PERFURAÇÃO'!$B:$B,0))="Pre-Splitting","S"))),"")</f>
        <v/>
      </c>
      <c r="R858" s="14">
        <f t="shared" si="83"/>
        <v>1926</v>
      </c>
      <c r="S858" s="4" t="str">
        <f>IFERROR(INDEX('LEV R&amp;D'!$D:$D,MATCH(MEDIÇÃO!R858,'LEV R&amp;D'!$A:$A,0))-INDEX('PROJETO PERFURAÇÃO'!$AH:$AH,MATCH(MEDIÇÃO!R858,'PROJETO PERFURAÇÃO'!$B:$B,0)),"")</f>
        <v/>
      </c>
      <c r="T858" s="8" t="str">
        <f>IFERROR(INDEX('PROJETO PERFURAÇÃO'!$AN:$AN,MATCH(MEDIÇÃO!R858,'PROJETO PERFURAÇÃO'!$B:$B,0)),"")</f>
        <v/>
      </c>
      <c r="U858" s="3"/>
      <c r="V858" s="3"/>
    </row>
    <row r="859" spans="2:22" ht="45" customHeight="1">
      <c r="B859" s="3" t="str">
        <f>IFERROR(ROUND(INDEX('PROJETO PERFURAÇÃO'!$AB:$AB,MATCH(MEDIÇÃO!D859,'PROJETO PERFURAÇÃO'!$B:$B,0)),1)&amp;"''","")</f>
        <v/>
      </c>
      <c r="C859" s="3" t="str">
        <f>IFERROR(IF(INDEX('PROJETO PERFURAÇÃO'!$P:$P,MATCH(MEDIÇÃO!D859,'PROJETO PERFURAÇÃO'!$B:$B,0))="Production","P",IF(INDEX('PROJETO PERFURAÇÃO'!$P:$P,MATCH(MEDIÇÃO!D859,'PROJETO PERFURAÇÃO'!$B:$B,0))="Buffer","B",IF(INDEX('PROJETO PERFURAÇÃO'!$P:$P,MATCH(MEDIÇÃO!D859,'PROJETO PERFURAÇÃO'!$B:$B,0))="Pre-Splitting","S"))),"")</f>
        <v/>
      </c>
      <c r="D859" s="14">
        <f t="shared" si="81"/>
        <v>1881</v>
      </c>
      <c r="E859" s="4" t="str">
        <f>IFERROR(INDEX('LEV R&amp;D'!$D:$D,MATCH(MEDIÇÃO!D859,'LEV R&amp;D'!$A:$A,0))-INDEX('PROJETO PERFURAÇÃO'!$AH:$AH,MATCH(MEDIÇÃO!D859,'PROJETO PERFURAÇÃO'!$B:$B,0)),"")</f>
        <v/>
      </c>
      <c r="F859" s="8" t="str">
        <f>IFERROR(INDEX('PROJETO PERFURAÇÃO'!$AN:$AN,MATCH(MEDIÇÃO!D859,'PROJETO PERFURAÇÃO'!$B:$B,0)),"")</f>
        <v/>
      </c>
      <c r="G859" s="3"/>
      <c r="H859" s="3"/>
      <c r="I859" s="3" t="str">
        <f>IFERROR(ROUND(INDEX('PROJETO PERFURAÇÃO'!$AB:$AB,MATCH(MEDIÇÃO!K859,'PROJETO PERFURAÇÃO'!$B:$B,0)),1)&amp;"''","")</f>
        <v/>
      </c>
      <c r="J859" s="3" t="str">
        <f>IFERROR(IF(INDEX('PROJETO PERFURAÇÃO'!$P:$P,MATCH(MEDIÇÃO!K859,'PROJETO PERFURAÇÃO'!$B:$B,0))="Production","P",IF(INDEX('PROJETO PERFURAÇÃO'!$P:$P,MATCH(MEDIÇÃO!K859,'PROJETO PERFURAÇÃO'!$B:$B,0))="Buffer","B",IF(INDEX('PROJETO PERFURAÇÃO'!$P:$P,MATCH(MEDIÇÃO!K859,'PROJETO PERFURAÇÃO'!$B:$B,0))="Pre-Splitting","S"))),"")</f>
        <v/>
      </c>
      <c r="K859" s="14">
        <f t="shared" si="82"/>
        <v>1904</v>
      </c>
      <c r="L859" s="4" t="str">
        <f>IFERROR(INDEX('LEV R&amp;D'!$D:$D,MATCH(MEDIÇÃO!K859,'LEV R&amp;D'!$A:$A,0))-INDEX('PROJETO PERFURAÇÃO'!$AH:$AH,MATCH(MEDIÇÃO!K859,'PROJETO PERFURAÇÃO'!$B:$B,0)),"")</f>
        <v/>
      </c>
      <c r="M859" s="8" t="str">
        <f>IFERROR(INDEX('PROJETO PERFURAÇÃO'!$AN:$AN,MATCH(MEDIÇÃO!K859,'PROJETO PERFURAÇÃO'!$B:$B,0)),"")</f>
        <v/>
      </c>
      <c r="N859" s="3"/>
      <c r="O859" s="3"/>
      <c r="P859" s="3" t="str">
        <f>IFERROR(ROUND(INDEX('PROJETO PERFURAÇÃO'!$AB:$AB,MATCH(MEDIÇÃO!R859,'PROJETO PERFURAÇÃO'!$B:$B,0)),1)&amp;"''","")</f>
        <v/>
      </c>
      <c r="Q859" s="3" t="str">
        <f>IFERROR(IF(INDEX('PROJETO PERFURAÇÃO'!$P:$P,MATCH(MEDIÇÃO!R859,'PROJETO PERFURAÇÃO'!$B:$B,0))="Production","P",IF(INDEX('PROJETO PERFURAÇÃO'!$P:$P,MATCH(MEDIÇÃO!R859,'PROJETO PERFURAÇÃO'!$B:$B,0))="Buffer","B",IF(INDEX('PROJETO PERFURAÇÃO'!$P:$P,MATCH(MEDIÇÃO!R859,'PROJETO PERFURAÇÃO'!$B:$B,0))="Pre-Splitting","S"))),"")</f>
        <v/>
      </c>
      <c r="R859" s="14">
        <f t="shared" si="83"/>
        <v>1927</v>
      </c>
      <c r="S859" s="4" t="str">
        <f>IFERROR(INDEX('LEV R&amp;D'!$D:$D,MATCH(MEDIÇÃO!R859,'LEV R&amp;D'!$A:$A,0))-INDEX('PROJETO PERFURAÇÃO'!$AH:$AH,MATCH(MEDIÇÃO!R859,'PROJETO PERFURAÇÃO'!$B:$B,0)),"")</f>
        <v/>
      </c>
      <c r="T859" s="8" t="str">
        <f>IFERROR(INDEX('PROJETO PERFURAÇÃO'!$AN:$AN,MATCH(MEDIÇÃO!R859,'PROJETO PERFURAÇÃO'!$B:$B,0)),"")</f>
        <v/>
      </c>
      <c r="U859" s="3"/>
      <c r="V859" s="3"/>
    </row>
    <row r="860" spans="2:22" ht="45" customHeight="1">
      <c r="B860" s="3" t="str">
        <f>IFERROR(ROUND(INDEX('PROJETO PERFURAÇÃO'!$AB:$AB,MATCH(MEDIÇÃO!D860,'PROJETO PERFURAÇÃO'!$B:$B,0)),1)&amp;"''","")</f>
        <v/>
      </c>
      <c r="C860" s="3" t="str">
        <f>IFERROR(IF(INDEX('PROJETO PERFURAÇÃO'!$P:$P,MATCH(MEDIÇÃO!D860,'PROJETO PERFURAÇÃO'!$B:$B,0))="Production","P",IF(INDEX('PROJETO PERFURAÇÃO'!$P:$P,MATCH(MEDIÇÃO!D860,'PROJETO PERFURAÇÃO'!$B:$B,0))="Buffer","B",IF(INDEX('PROJETO PERFURAÇÃO'!$P:$P,MATCH(MEDIÇÃO!D860,'PROJETO PERFURAÇÃO'!$B:$B,0))="Pre-Splitting","S"))),"")</f>
        <v/>
      </c>
      <c r="D860" s="14">
        <f t="shared" si="81"/>
        <v>1882</v>
      </c>
      <c r="E860" s="4" t="str">
        <f>IFERROR(INDEX('LEV R&amp;D'!$D:$D,MATCH(MEDIÇÃO!D860,'LEV R&amp;D'!$A:$A,0))-INDEX('PROJETO PERFURAÇÃO'!$AH:$AH,MATCH(MEDIÇÃO!D860,'PROJETO PERFURAÇÃO'!$B:$B,0)),"")</f>
        <v/>
      </c>
      <c r="F860" s="8" t="str">
        <f>IFERROR(INDEX('PROJETO PERFURAÇÃO'!$AN:$AN,MATCH(MEDIÇÃO!D860,'PROJETO PERFURAÇÃO'!$B:$B,0)),"")</f>
        <v/>
      </c>
      <c r="G860" s="3"/>
      <c r="H860" s="3"/>
      <c r="I860" s="3" t="str">
        <f>IFERROR(ROUND(INDEX('PROJETO PERFURAÇÃO'!$AB:$AB,MATCH(MEDIÇÃO!K860,'PROJETO PERFURAÇÃO'!$B:$B,0)),1)&amp;"''","")</f>
        <v/>
      </c>
      <c r="J860" s="3" t="str">
        <f>IFERROR(IF(INDEX('PROJETO PERFURAÇÃO'!$P:$P,MATCH(MEDIÇÃO!K860,'PROJETO PERFURAÇÃO'!$B:$B,0))="Production","P",IF(INDEX('PROJETO PERFURAÇÃO'!$P:$P,MATCH(MEDIÇÃO!K860,'PROJETO PERFURAÇÃO'!$B:$B,0))="Buffer","B",IF(INDEX('PROJETO PERFURAÇÃO'!$P:$P,MATCH(MEDIÇÃO!K860,'PROJETO PERFURAÇÃO'!$B:$B,0))="Pre-Splitting","S"))),"")</f>
        <v/>
      </c>
      <c r="K860" s="14">
        <f t="shared" si="82"/>
        <v>1905</v>
      </c>
      <c r="L860" s="4" t="str">
        <f>IFERROR(INDEX('LEV R&amp;D'!$D:$D,MATCH(MEDIÇÃO!K860,'LEV R&amp;D'!$A:$A,0))-INDEX('PROJETO PERFURAÇÃO'!$AH:$AH,MATCH(MEDIÇÃO!K860,'PROJETO PERFURAÇÃO'!$B:$B,0)),"")</f>
        <v/>
      </c>
      <c r="M860" s="8" t="str">
        <f>IFERROR(INDEX('PROJETO PERFURAÇÃO'!$AN:$AN,MATCH(MEDIÇÃO!K860,'PROJETO PERFURAÇÃO'!$B:$B,0)),"")</f>
        <v/>
      </c>
      <c r="N860" s="3"/>
      <c r="O860" s="3"/>
      <c r="P860" s="3" t="str">
        <f>IFERROR(ROUND(INDEX('PROJETO PERFURAÇÃO'!$AB:$AB,MATCH(MEDIÇÃO!R860,'PROJETO PERFURAÇÃO'!$B:$B,0)),1)&amp;"''","")</f>
        <v/>
      </c>
      <c r="Q860" s="3" t="str">
        <f>IFERROR(IF(INDEX('PROJETO PERFURAÇÃO'!$P:$P,MATCH(MEDIÇÃO!R860,'PROJETO PERFURAÇÃO'!$B:$B,0))="Production","P",IF(INDEX('PROJETO PERFURAÇÃO'!$P:$P,MATCH(MEDIÇÃO!R860,'PROJETO PERFURAÇÃO'!$B:$B,0))="Buffer","B",IF(INDEX('PROJETO PERFURAÇÃO'!$P:$P,MATCH(MEDIÇÃO!R860,'PROJETO PERFURAÇÃO'!$B:$B,0))="Pre-Splitting","S"))),"")</f>
        <v/>
      </c>
      <c r="R860" s="14">
        <f t="shared" si="83"/>
        <v>1928</v>
      </c>
      <c r="S860" s="4" t="str">
        <f>IFERROR(INDEX('LEV R&amp;D'!$D:$D,MATCH(MEDIÇÃO!R860,'LEV R&amp;D'!$A:$A,0))-INDEX('PROJETO PERFURAÇÃO'!$AH:$AH,MATCH(MEDIÇÃO!R860,'PROJETO PERFURAÇÃO'!$B:$B,0)),"")</f>
        <v/>
      </c>
      <c r="T860" s="8" t="str">
        <f>IFERROR(INDEX('PROJETO PERFURAÇÃO'!$AN:$AN,MATCH(MEDIÇÃO!R860,'PROJETO PERFURAÇÃO'!$B:$B,0)),"")</f>
        <v/>
      </c>
      <c r="U860" s="3"/>
      <c r="V860" s="3"/>
    </row>
    <row r="861" spans="2:22" ht="45" customHeight="1">
      <c r="B861" s="3" t="str">
        <f>IFERROR(ROUND(INDEX('PROJETO PERFURAÇÃO'!$AB:$AB,MATCH(MEDIÇÃO!D861,'PROJETO PERFURAÇÃO'!$B:$B,0)),1)&amp;"''","")</f>
        <v/>
      </c>
      <c r="C861" s="3" t="str">
        <f>IFERROR(IF(INDEX('PROJETO PERFURAÇÃO'!$P:$P,MATCH(MEDIÇÃO!D861,'PROJETO PERFURAÇÃO'!$B:$B,0))="Production","P",IF(INDEX('PROJETO PERFURAÇÃO'!$P:$P,MATCH(MEDIÇÃO!D861,'PROJETO PERFURAÇÃO'!$B:$B,0))="Buffer","B",IF(INDEX('PROJETO PERFURAÇÃO'!$P:$P,MATCH(MEDIÇÃO!D861,'PROJETO PERFURAÇÃO'!$B:$B,0))="Pre-Splitting","S"))),"")</f>
        <v/>
      </c>
      <c r="D861" s="14">
        <f t="shared" si="81"/>
        <v>1883</v>
      </c>
      <c r="E861" s="4" t="str">
        <f>IFERROR(INDEX('LEV R&amp;D'!$D:$D,MATCH(MEDIÇÃO!D861,'LEV R&amp;D'!$A:$A,0))-INDEX('PROJETO PERFURAÇÃO'!$AH:$AH,MATCH(MEDIÇÃO!D861,'PROJETO PERFURAÇÃO'!$B:$B,0)),"")</f>
        <v/>
      </c>
      <c r="F861" s="8" t="str">
        <f>IFERROR(INDEX('PROJETO PERFURAÇÃO'!$AN:$AN,MATCH(MEDIÇÃO!D861,'PROJETO PERFURAÇÃO'!$B:$B,0)),"")</f>
        <v/>
      </c>
      <c r="G861" s="3"/>
      <c r="H861" s="3"/>
      <c r="I861" s="3" t="str">
        <f>IFERROR(ROUND(INDEX('PROJETO PERFURAÇÃO'!$AB:$AB,MATCH(MEDIÇÃO!K861,'PROJETO PERFURAÇÃO'!$B:$B,0)),1)&amp;"''","")</f>
        <v/>
      </c>
      <c r="J861" s="3" t="str">
        <f>IFERROR(IF(INDEX('PROJETO PERFURAÇÃO'!$P:$P,MATCH(MEDIÇÃO!K861,'PROJETO PERFURAÇÃO'!$B:$B,0))="Production","P",IF(INDEX('PROJETO PERFURAÇÃO'!$P:$P,MATCH(MEDIÇÃO!K861,'PROJETO PERFURAÇÃO'!$B:$B,0))="Buffer","B",IF(INDEX('PROJETO PERFURAÇÃO'!$P:$P,MATCH(MEDIÇÃO!K861,'PROJETO PERFURAÇÃO'!$B:$B,0))="Pre-Splitting","S"))),"")</f>
        <v/>
      </c>
      <c r="K861" s="14">
        <f t="shared" si="82"/>
        <v>1906</v>
      </c>
      <c r="L861" s="4" t="str">
        <f>IFERROR(INDEX('LEV R&amp;D'!$D:$D,MATCH(MEDIÇÃO!K861,'LEV R&amp;D'!$A:$A,0))-INDEX('PROJETO PERFURAÇÃO'!$AH:$AH,MATCH(MEDIÇÃO!K861,'PROJETO PERFURAÇÃO'!$B:$B,0)),"")</f>
        <v/>
      </c>
      <c r="M861" s="8" t="str">
        <f>IFERROR(INDEX('PROJETO PERFURAÇÃO'!$AN:$AN,MATCH(MEDIÇÃO!K861,'PROJETO PERFURAÇÃO'!$B:$B,0)),"")</f>
        <v/>
      </c>
      <c r="N861" s="3"/>
      <c r="O861" s="3"/>
      <c r="P861" s="3" t="str">
        <f>IFERROR(ROUND(INDEX('PROJETO PERFURAÇÃO'!$AB:$AB,MATCH(MEDIÇÃO!R861,'PROJETO PERFURAÇÃO'!$B:$B,0)),1)&amp;"''","")</f>
        <v/>
      </c>
      <c r="Q861" s="3" t="str">
        <f>IFERROR(IF(INDEX('PROJETO PERFURAÇÃO'!$P:$P,MATCH(MEDIÇÃO!R861,'PROJETO PERFURAÇÃO'!$B:$B,0))="Production","P",IF(INDEX('PROJETO PERFURAÇÃO'!$P:$P,MATCH(MEDIÇÃO!R861,'PROJETO PERFURAÇÃO'!$B:$B,0))="Buffer","B",IF(INDEX('PROJETO PERFURAÇÃO'!$P:$P,MATCH(MEDIÇÃO!R861,'PROJETO PERFURAÇÃO'!$B:$B,0))="Pre-Splitting","S"))),"")</f>
        <v/>
      </c>
      <c r="R861" s="14">
        <f t="shared" si="83"/>
        <v>1929</v>
      </c>
      <c r="S861" s="4" t="str">
        <f>IFERROR(INDEX('LEV R&amp;D'!$D:$D,MATCH(MEDIÇÃO!R861,'LEV R&amp;D'!$A:$A,0))-INDEX('PROJETO PERFURAÇÃO'!$AH:$AH,MATCH(MEDIÇÃO!R861,'PROJETO PERFURAÇÃO'!$B:$B,0)),"")</f>
        <v/>
      </c>
      <c r="T861" s="8" t="str">
        <f>IFERROR(INDEX('PROJETO PERFURAÇÃO'!$AN:$AN,MATCH(MEDIÇÃO!R861,'PROJETO PERFURAÇÃO'!$B:$B,0)),"")</f>
        <v/>
      </c>
      <c r="U861" s="3"/>
      <c r="V861" s="3"/>
    </row>
    <row r="862" spans="2:22" ht="45" customHeight="1">
      <c r="B862" s="3" t="str">
        <f>IFERROR(ROUND(INDEX('PROJETO PERFURAÇÃO'!$AB:$AB,MATCH(MEDIÇÃO!D862,'PROJETO PERFURAÇÃO'!$B:$B,0)),1)&amp;"''","")</f>
        <v/>
      </c>
      <c r="C862" s="3" t="str">
        <f>IFERROR(IF(INDEX('PROJETO PERFURAÇÃO'!$P:$P,MATCH(MEDIÇÃO!D862,'PROJETO PERFURAÇÃO'!$B:$B,0))="Production","P",IF(INDEX('PROJETO PERFURAÇÃO'!$P:$P,MATCH(MEDIÇÃO!D862,'PROJETO PERFURAÇÃO'!$B:$B,0))="Buffer","B",IF(INDEX('PROJETO PERFURAÇÃO'!$P:$P,MATCH(MEDIÇÃO!D862,'PROJETO PERFURAÇÃO'!$B:$B,0))="Pre-Splitting","S"))),"")</f>
        <v/>
      </c>
      <c r="D862" s="14">
        <f t="shared" si="81"/>
        <v>1884</v>
      </c>
      <c r="E862" s="4" t="str">
        <f>IFERROR(INDEX('LEV R&amp;D'!$D:$D,MATCH(MEDIÇÃO!D862,'LEV R&amp;D'!$A:$A,0))-INDEX('PROJETO PERFURAÇÃO'!$AH:$AH,MATCH(MEDIÇÃO!D862,'PROJETO PERFURAÇÃO'!$B:$B,0)),"")</f>
        <v/>
      </c>
      <c r="F862" s="8" t="str">
        <f>IFERROR(INDEX('PROJETO PERFURAÇÃO'!$AN:$AN,MATCH(MEDIÇÃO!D862,'PROJETO PERFURAÇÃO'!$B:$B,0)),"")</f>
        <v/>
      </c>
      <c r="G862" s="3"/>
      <c r="H862" s="3"/>
      <c r="I862" s="3" t="str">
        <f>IFERROR(ROUND(INDEX('PROJETO PERFURAÇÃO'!$AB:$AB,MATCH(MEDIÇÃO!K862,'PROJETO PERFURAÇÃO'!$B:$B,0)),1)&amp;"''","")</f>
        <v/>
      </c>
      <c r="J862" s="3" t="str">
        <f>IFERROR(IF(INDEX('PROJETO PERFURAÇÃO'!$P:$P,MATCH(MEDIÇÃO!K862,'PROJETO PERFURAÇÃO'!$B:$B,0))="Production","P",IF(INDEX('PROJETO PERFURAÇÃO'!$P:$P,MATCH(MEDIÇÃO!K862,'PROJETO PERFURAÇÃO'!$B:$B,0))="Buffer","B",IF(INDEX('PROJETO PERFURAÇÃO'!$P:$P,MATCH(MEDIÇÃO!K862,'PROJETO PERFURAÇÃO'!$B:$B,0))="Pre-Splitting","S"))),"")</f>
        <v/>
      </c>
      <c r="K862" s="14">
        <f t="shared" si="82"/>
        <v>1907</v>
      </c>
      <c r="L862" s="4" t="str">
        <f>IFERROR(INDEX('LEV R&amp;D'!$D:$D,MATCH(MEDIÇÃO!K862,'LEV R&amp;D'!$A:$A,0))-INDEX('PROJETO PERFURAÇÃO'!$AH:$AH,MATCH(MEDIÇÃO!K862,'PROJETO PERFURAÇÃO'!$B:$B,0)),"")</f>
        <v/>
      </c>
      <c r="M862" s="8" t="str">
        <f>IFERROR(INDEX('PROJETO PERFURAÇÃO'!$AN:$AN,MATCH(MEDIÇÃO!K862,'PROJETO PERFURAÇÃO'!$B:$B,0)),"")</f>
        <v/>
      </c>
      <c r="N862" s="3"/>
      <c r="O862" s="3"/>
      <c r="P862" s="3" t="str">
        <f>IFERROR(ROUND(INDEX('PROJETO PERFURAÇÃO'!$AB:$AB,MATCH(MEDIÇÃO!R862,'PROJETO PERFURAÇÃO'!$B:$B,0)),1)&amp;"''","")</f>
        <v/>
      </c>
      <c r="Q862" s="3" t="str">
        <f>IFERROR(IF(INDEX('PROJETO PERFURAÇÃO'!$P:$P,MATCH(MEDIÇÃO!R862,'PROJETO PERFURAÇÃO'!$B:$B,0))="Production","P",IF(INDEX('PROJETO PERFURAÇÃO'!$P:$P,MATCH(MEDIÇÃO!R862,'PROJETO PERFURAÇÃO'!$B:$B,0))="Buffer","B",IF(INDEX('PROJETO PERFURAÇÃO'!$P:$P,MATCH(MEDIÇÃO!R862,'PROJETO PERFURAÇÃO'!$B:$B,0))="Pre-Splitting","S"))),"")</f>
        <v/>
      </c>
      <c r="R862" s="14">
        <f t="shared" si="83"/>
        <v>1930</v>
      </c>
      <c r="S862" s="4" t="str">
        <f>IFERROR(INDEX('LEV R&amp;D'!$D:$D,MATCH(MEDIÇÃO!R862,'LEV R&amp;D'!$A:$A,0))-INDEX('PROJETO PERFURAÇÃO'!$AH:$AH,MATCH(MEDIÇÃO!R862,'PROJETO PERFURAÇÃO'!$B:$B,0)),"")</f>
        <v/>
      </c>
      <c r="T862" s="8" t="str">
        <f>IFERROR(INDEX('PROJETO PERFURAÇÃO'!$AN:$AN,MATCH(MEDIÇÃO!R862,'PROJETO PERFURAÇÃO'!$B:$B,0)),"")</f>
        <v/>
      </c>
      <c r="U862" s="3"/>
      <c r="V862" s="3"/>
    </row>
    <row r="863" spans="2:22" ht="45" customHeight="1">
      <c r="B863" s="3" t="str">
        <f>IFERROR(ROUND(INDEX('PROJETO PERFURAÇÃO'!$AB:$AB,MATCH(MEDIÇÃO!D863,'PROJETO PERFURAÇÃO'!$B:$B,0)),1)&amp;"''","")</f>
        <v/>
      </c>
      <c r="C863" s="3" t="str">
        <f>IFERROR(IF(INDEX('PROJETO PERFURAÇÃO'!$P:$P,MATCH(MEDIÇÃO!D863,'PROJETO PERFURAÇÃO'!$B:$B,0))="Production","P",IF(INDEX('PROJETO PERFURAÇÃO'!$P:$P,MATCH(MEDIÇÃO!D863,'PROJETO PERFURAÇÃO'!$B:$B,0))="Buffer","B",IF(INDEX('PROJETO PERFURAÇÃO'!$P:$P,MATCH(MEDIÇÃO!D863,'PROJETO PERFURAÇÃO'!$B:$B,0))="Pre-Splitting","S"))),"")</f>
        <v/>
      </c>
      <c r="D863" s="14">
        <f t="shared" si="81"/>
        <v>1885</v>
      </c>
      <c r="E863" s="4" t="str">
        <f>IFERROR(INDEX('LEV R&amp;D'!$D:$D,MATCH(MEDIÇÃO!D863,'LEV R&amp;D'!$A:$A,0))-INDEX('PROJETO PERFURAÇÃO'!$AH:$AH,MATCH(MEDIÇÃO!D863,'PROJETO PERFURAÇÃO'!$B:$B,0)),"")</f>
        <v/>
      </c>
      <c r="F863" s="8" t="str">
        <f>IFERROR(INDEX('PROJETO PERFURAÇÃO'!$AN:$AN,MATCH(MEDIÇÃO!D863,'PROJETO PERFURAÇÃO'!$B:$B,0)),"")</f>
        <v/>
      </c>
      <c r="G863" s="3"/>
      <c r="H863" s="3"/>
      <c r="I863" s="3" t="str">
        <f>IFERROR(ROUND(INDEX('PROJETO PERFURAÇÃO'!$AB:$AB,MATCH(MEDIÇÃO!K863,'PROJETO PERFURAÇÃO'!$B:$B,0)),1)&amp;"''","")</f>
        <v/>
      </c>
      <c r="J863" s="3" t="str">
        <f>IFERROR(IF(INDEX('PROJETO PERFURAÇÃO'!$P:$P,MATCH(MEDIÇÃO!K863,'PROJETO PERFURAÇÃO'!$B:$B,0))="Production","P",IF(INDEX('PROJETO PERFURAÇÃO'!$P:$P,MATCH(MEDIÇÃO!K863,'PROJETO PERFURAÇÃO'!$B:$B,0))="Buffer","B",IF(INDEX('PROJETO PERFURAÇÃO'!$P:$P,MATCH(MEDIÇÃO!K863,'PROJETO PERFURAÇÃO'!$B:$B,0))="Pre-Splitting","S"))),"")</f>
        <v/>
      </c>
      <c r="K863" s="14">
        <f t="shared" si="82"/>
        <v>1908</v>
      </c>
      <c r="L863" s="4" t="str">
        <f>IFERROR(INDEX('LEV R&amp;D'!$D:$D,MATCH(MEDIÇÃO!K863,'LEV R&amp;D'!$A:$A,0))-INDEX('PROJETO PERFURAÇÃO'!$AH:$AH,MATCH(MEDIÇÃO!K863,'PROJETO PERFURAÇÃO'!$B:$B,0)),"")</f>
        <v/>
      </c>
      <c r="M863" s="8" t="str">
        <f>IFERROR(INDEX('PROJETO PERFURAÇÃO'!$AN:$AN,MATCH(MEDIÇÃO!K863,'PROJETO PERFURAÇÃO'!$B:$B,0)),"")</f>
        <v/>
      </c>
      <c r="N863" s="3"/>
      <c r="O863" s="3"/>
      <c r="P863" s="3" t="str">
        <f>IFERROR(ROUND(INDEX('PROJETO PERFURAÇÃO'!$AB:$AB,MATCH(MEDIÇÃO!R863,'PROJETO PERFURAÇÃO'!$B:$B,0)),1)&amp;"''","")</f>
        <v/>
      </c>
      <c r="Q863" s="3" t="str">
        <f>IFERROR(IF(INDEX('PROJETO PERFURAÇÃO'!$P:$P,MATCH(MEDIÇÃO!R863,'PROJETO PERFURAÇÃO'!$B:$B,0))="Production","P",IF(INDEX('PROJETO PERFURAÇÃO'!$P:$P,MATCH(MEDIÇÃO!R863,'PROJETO PERFURAÇÃO'!$B:$B,0))="Buffer","B",IF(INDEX('PROJETO PERFURAÇÃO'!$P:$P,MATCH(MEDIÇÃO!R863,'PROJETO PERFURAÇÃO'!$B:$B,0))="Pre-Splitting","S"))),"")</f>
        <v/>
      </c>
      <c r="R863" s="14">
        <f t="shared" si="83"/>
        <v>1931</v>
      </c>
      <c r="S863" s="4" t="str">
        <f>IFERROR(INDEX('LEV R&amp;D'!$D:$D,MATCH(MEDIÇÃO!R863,'LEV R&amp;D'!$A:$A,0))-INDEX('PROJETO PERFURAÇÃO'!$AH:$AH,MATCH(MEDIÇÃO!R863,'PROJETO PERFURAÇÃO'!$B:$B,0)),"")</f>
        <v/>
      </c>
      <c r="T863" s="8" t="str">
        <f>IFERROR(INDEX('PROJETO PERFURAÇÃO'!$AN:$AN,MATCH(MEDIÇÃO!R863,'PROJETO PERFURAÇÃO'!$B:$B,0)),"")</f>
        <v/>
      </c>
      <c r="U863" s="3"/>
      <c r="V863" s="3"/>
    </row>
    <row r="864" spans="2:22" ht="45" customHeight="1">
      <c r="B864" s="3" t="str">
        <f>IFERROR(ROUND(INDEX('PROJETO PERFURAÇÃO'!$AB:$AB,MATCH(MEDIÇÃO!D864,'PROJETO PERFURAÇÃO'!$B:$B,0)),1)&amp;"''","")</f>
        <v/>
      </c>
      <c r="C864" s="3" t="str">
        <f>IFERROR(IF(INDEX('PROJETO PERFURAÇÃO'!$P:$P,MATCH(MEDIÇÃO!D864,'PROJETO PERFURAÇÃO'!$B:$B,0))="Production","P",IF(INDEX('PROJETO PERFURAÇÃO'!$P:$P,MATCH(MEDIÇÃO!D864,'PROJETO PERFURAÇÃO'!$B:$B,0))="Buffer","B",IF(INDEX('PROJETO PERFURAÇÃO'!$P:$P,MATCH(MEDIÇÃO!D864,'PROJETO PERFURAÇÃO'!$B:$B,0))="Pre-Splitting","S"))),"")</f>
        <v/>
      </c>
      <c r="D864" s="14">
        <f t="shared" si="81"/>
        <v>1886</v>
      </c>
      <c r="E864" s="4" t="str">
        <f>IFERROR(INDEX('LEV R&amp;D'!$D:$D,MATCH(MEDIÇÃO!D864,'LEV R&amp;D'!$A:$A,0))-INDEX('PROJETO PERFURAÇÃO'!$AH:$AH,MATCH(MEDIÇÃO!D864,'PROJETO PERFURAÇÃO'!$B:$B,0)),"")</f>
        <v/>
      </c>
      <c r="F864" s="8" t="str">
        <f>IFERROR(INDEX('PROJETO PERFURAÇÃO'!$AN:$AN,MATCH(MEDIÇÃO!D864,'PROJETO PERFURAÇÃO'!$B:$B,0)),"")</f>
        <v/>
      </c>
      <c r="G864" s="3"/>
      <c r="H864" s="3"/>
      <c r="I864" s="3" t="str">
        <f>IFERROR(ROUND(INDEX('PROJETO PERFURAÇÃO'!$AB:$AB,MATCH(MEDIÇÃO!K864,'PROJETO PERFURAÇÃO'!$B:$B,0)),1)&amp;"''","")</f>
        <v/>
      </c>
      <c r="J864" s="3" t="str">
        <f>IFERROR(IF(INDEX('PROJETO PERFURAÇÃO'!$P:$P,MATCH(MEDIÇÃO!K864,'PROJETO PERFURAÇÃO'!$B:$B,0))="Production","P",IF(INDEX('PROJETO PERFURAÇÃO'!$P:$P,MATCH(MEDIÇÃO!K864,'PROJETO PERFURAÇÃO'!$B:$B,0))="Buffer","B",IF(INDEX('PROJETO PERFURAÇÃO'!$P:$P,MATCH(MEDIÇÃO!K864,'PROJETO PERFURAÇÃO'!$B:$B,0))="Pre-Splitting","S"))),"")</f>
        <v/>
      </c>
      <c r="K864" s="14">
        <f>K863+1</f>
        <v>1909</v>
      </c>
      <c r="L864" s="4" t="str">
        <f>IFERROR(INDEX('LEV R&amp;D'!$D:$D,MATCH(MEDIÇÃO!K864,'LEV R&amp;D'!$A:$A,0))-INDEX('PROJETO PERFURAÇÃO'!$AH:$AH,MATCH(MEDIÇÃO!K864,'PROJETO PERFURAÇÃO'!$B:$B,0)),"")</f>
        <v/>
      </c>
      <c r="M864" s="8" t="str">
        <f>IFERROR(INDEX('PROJETO PERFURAÇÃO'!$AN:$AN,MATCH(MEDIÇÃO!K864,'PROJETO PERFURAÇÃO'!$B:$B,0)),"")</f>
        <v/>
      </c>
      <c r="N864" s="3"/>
      <c r="O864" s="3"/>
      <c r="P864" s="3" t="str">
        <f>IFERROR(ROUND(INDEX('PROJETO PERFURAÇÃO'!$AB:$AB,MATCH(MEDIÇÃO!R864,'PROJETO PERFURAÇÃO'!$B:$B,0)),1)&amp;"''","")</f>
        <v/>
      </c>
      <c r="Q864" s="3" t="str">
        <f>IFERROR(IF(INDEX('PROJETO PERFURAÇÃO'!$P:$P,MATCH(MEDIÇÃO!R864,'PROJETO PERFURAÇÃO'!$B:$B,0))="Production","P",IF(INDEX('PROJETO PERFURAÇÃO'!$P:$P,MATCH(MEDIÇÃO!R864,'PROJETO PERFURAÇÃO'!$B:$B,0))="Buffer","B",IF(INDEX('PROJETO PERFURAÇÃO'!$P:$P,MATCH(MEDIÇÃO!R864,'PROJETO PERFURAÇÃO'!$B:$B,0))="Pre-Splitting","S"))),"")</f>
        <v/>
      </c>
      <c r="R864" s="14">
        <f>R863+1</f>
        <v>1932</v>
      </c>
      <c r="S864" s="4" t="str">
        <f>IFERROR(INDEX('LEV R&amp;D'!$D:$D,MATCH(MEDIÇÃO!R864,'LEV R&amp;D'!$A:$A,0))-INDEX('PROJETO PERFURAÇÃO'!$AH:$AH,MATCH(MEDIÇÃO!R864,'PROJETO PERFURAÇÃO'!$B:$B,0)),"")</f>
        <v/>
      </c>
      <c r="T864" s="8" t="str">
        <f>IFERROR(INDEX('PROJETO PERFURAÇÃO'!$AN:$AN,MATCH(MEDIÇÃO!R864,'PROJETO PERFURAÇÃO'!$B:$B,0)),"")</f>
        <v/>
      </c>
      <c r="U864" s="3"/>
      <c r="V864" s="3"/>
    </row>
    <row r="865" spans="1:23" ht="30" customHeight="1">
      <c r="B865" s="1"/>
      <c r="C865" s="1"/>
      <c r="D865" s="15"/>
      <c r="E865" s="2"/>
      <c r="F865" s="16"/>
      <c r="G865" s="1"/>
      <c r="H865" s="1"/>
      <c r="I865" s="1"/>
      <c r="J865" s="1"/>
      <c r="K865" s="15"/>
      <c r="L865" s="2"/>
      <c r="M865" s="16"/>
      <c r="N865" s="1"/>
      <c r="O865" s="1"/>
      <c r="P865" s="1"/>
      <c r="Q865" s="1"/>
      <c r="R865" s="15"/>
      <c r="S865" s="2"/>
      <c r="T865" s="16"/>
      <c r="U865" s="1"/>
      <c r="V865" s="1"/>
    </row>
    <row r="866" spans="1:23" ht="30" customHeight="1">
      <c r="C866" s="20"/>
      <c r="D866" s="20"/>
      <c r="E866" s="20"/>
      <c r="F866" s="20"/>
      <c r="G866" s="20"/>
      <c r="H866" s="20"/>
      <c r="I866" s="20"/>
      <c r="J866" s="20"/>
      <c r="K866" s="20"/>
      <c r="M866" s="20"/>
      <c r="N866" s="20"/>
      <c r="O866" s="20"/>
      <c r="P866" s="20"/>
      <c r="Q866" s="20"/>
      <c r="R866" s="20"/>
      <c r="S866" s="20"/>
      <c r="T866" s="20"/>
      <c r="U866" s="20"/>
    </row>
    <row r="867" spans="1:23" ht="30" customHeight="1">
      <c r="C867" s="21" t="s">
        <v>40</v>
      </c>
      <c r="D867" s="21"/>
      <c r="E867" s="21"/>
      <c r="F867" s="21"/>
      <c r="G867" s="21"/>
      <c r="H867" s="21"/>
      <c r="I867" s="21"/>
      <c r="J867" s="21"/>
      <c r="K867" s="21"/>
      <c r="L867" s="9"/>
      <c r="M867" s="21" t="s">
        <v>40</v>
      </c>
      <c r="N867" s="21"/>
      <c r="O867" s="21"/>
      <c r="P867" s="21"/>
      <c r="Q867" s="21"/>
      <c r="R867" s="21"/>
      <c r="S867" s="21"/>
      <c r="T867" s="21"/>
      <c r="U867" s="21"/>
      <c r="V867" s="9"/>
    </row>
    <row r="868" spans="1:23" ht="30" customHeight="1">
      <c r="D868" s="9"/>
      <c r="E868" s="9"/>
      <c r="F868" s="9"/>
      <c r="G868" s="9"/>
      <c r="H868" s="9"/>
      <c r="I868" s="9"/>
      <c r="J868" s="9"/>
      <c r="K868" s="9"/>
      <c r="L868" s="9"/>
      <c r="M868" s="9"/>
      <c r="N868" s="9"/>
      <c r="Q868" s="9"/>
      <c r="R868" s="9"/>
      <c r="S868" s="9"/>
      <c r="T868" s="9"/>
      <c r="U868" s="9"/>
      <c r="V868" s="9"/>
    </row>
    <row r="869" spans="1:23" ht="30" customHeight="1">
      <c r="B869" s="19" t="str">
        <f>'PROJETO PERFURAÇÃO'!$C$2&amp;" - "&amp;'PROJETO PERFURAÇÃO'!$H$2</f>
        <v>LIB037 - PP0370626</v>
      </c>
      <c r="C869" s="19"/>
      <c r="D869" s="19"/>
      <c r="E869" s="19"/>
      <c r="F869" s="19"/>
      <c r="G869" s="19"/>
      <c r="H869" s="19"/>
      <c r="I869" s="11" t="s">
        <v>34</v>
      </c>
      <c r="J869" s="10" t="s">
        <v>37</v>
      </c>
    </row>
    <row r="870" spans="1:23" ht="30" customHeight="1">
      <c r="B870" s="19"/>
      <c r="C870" s="19"/>
      <c r="D870" s="19"/>
      <c r="E870" s="19"/>
      <c r="F870" s="19"/>
      <c r="G870" s="19"/>
      <c r="H870" s="19"/>
      <c r="I870" s="12" t="s">
        <v>35</v>
      </c>
      <c r="J870" s="10" t="s">
        <v>38</v>
      </c>
      <c r="K870" s="9"/>
      <c r="L870" s="9"/>
      <c r="M870" s="9"/>
      <c r="N870" s="9"/>
      <c r="O870" s="9"/>
      <c r="P870" s="9"/>
      <c r="Q870" s="9"/>
      <c r="R870" s="9"/>
      <c r="S870" s="9"/>
      <c r="T870" s="9"/>
      <c r="U870" s="9"/>
      <c r="V870" s="9"/>
    </row>
    <row r="871" spans="1:23" ht="30" customHeight="1">
      <c r="B871" s="19"/>
      <c r="C871" s="19"/>
      <c r="D871" s="19"/>
      <c r="E871" s="19"/>
      <c r="F871" s="19"/>
      <c r="G871" s="19"/>
      <c r="H871" s="19"/>
      <c r="I871" s="13" t="s">
        <v>36</v>
      </c>
      <c r="J871" s="10" t="s">
        <v>39</v>
      </c>
    </row>
    <row r="872" spans="1:23" ht="30" customHeight="1">
      <c r="A872" s="1"/>
      <c r="B872" s="6" t="s">
        <v>33</v>
      </c>
      <c r="C872" s="6" t="s">
        <v>13</v>
      </c>
      <c r="D872" s="7" t="s">
        <v>1</v>
      </c>
      <c r="E872" s="7" t="s">
        <v>29</v>
      </c>
      <c r="F872" s="7" t="s">
        <v>30</v>
      </c>
      <c r="G872" s="7" t="s">
        <v>31</v>
      </c>
      <c r="H872" s="7" t="s">
        <v>32</v>
      </c>
      <c r="I872" s="6" t="s">
        <v>33</v>
      </c>
      <c r="J872" s="6" t="s">
        <v>13</v>
      </c>
      <c r="K872" s="7" t="s">
        <v>1</v>
      </c>
      <c r="L872" s="7" t="s">
        <v>29</v>
      </c>
      <c r="M872" s="7" t="s">
        <v>30</v>
      </c>
      <c r="N872" s="7" t="s">
        <v>31</v>
      </c>
      <c r="O872" s="7" t="s">
        <v>32</v>
      </c>
      <c r="P872" s="6" t="s">
        <v>33</v>
      </c>
      <c r="Q872" s="6" t="s">
        <v>13</v>
      </c>
      <c r="R872" s="7" t="s">
        <v>1</v>
      </c>
      <c r="S872" s="7" t="s">
        <v>29</v>
      </c>
      <c r="T872" s="7" t="s">
        <v>30</v>
      </c>
      <c r="U872" s="7" t="s">
        <v>31</v>
      </c>
      <c r="V872" s="7" t="s">
        <v>32</v>
      </c>
      <c r="W872" s="1"/>
    </row>
    <row r="873" spans="1:23" ht="45" customHeight="1">
      <c r="B873" s="3" t="str">
        <f>IFERROR(ROUND(INDEX('PROJETO PERFURAÇÃO'!$AB:$AB,MATCH(MEDIÇÃO!D873,'PROJETO PERFURAÇÃO'!$B:$B,0)),1)&amp;"''","")</f>
        <v/>
      </c>
      <c r="C873" s="3" t="str">
        <f>IFERROR(IF(INDEX('PROJETO PERFURAÇÃO'!$P:$P,MATCH(MEDIÇÃO!D873,'PROJETO PERFURAÇÃO'!$B:$B,0))="Production","P",IF(INDEX('PROJETO PERFURAÇÃO'!$P:$P,MATCH(MEDIÇÃO!D873,'PROJETO PERFURAÇÃO'!$B:$B,0))="Buffer","B",IF(INDEX('PROJETO PERFURAÇÃO'!$P:$P,MATCH(MEDIÇÃO!D873,'PROJETO PERFURAÇÃO'!$B:$B,0))="Pre-Splitting","S"))),"")</f>
        <v/>
      </c>
      <c r="D873" s="14">
        <f>R864+1</f>
        <v>1933</v>
      </c>
      <c r="E873" s="4" t="str">
        <f>IFERROR(INDEX('LEV R&amp;D'!$D:$D,MATCH(MEDIÇÃO!D873,'LEV R&amp;D'!$A:$A,0))-INDEX('PROJETO PERFURAÇÃO'!$AH:$AH,MATCH(MEDIÇÃO!D873,'PROJETO PERFURAÇÃO'!$B:$B,0)),"")</f>
        <v/>
      </c>
      <c r="F873" s="8" t="str">
        <f>IFERROR(INDEX('PROJETO PERFURAÇÃO'!$AN:$AN,MATCH(MEDIÇÃO!D873,'PROJETO PERFURAÇÃO'!$B:$B,0)),"")</f>
        <v/>
      </c>
      <c r="G873" s="3"/>
      <c r="H873" s="3"/>
      <c r="I873" s="3" t="str">
        <f>IFERROR(ROUND(INDEX('PROJETO PERFURAÇÃO'!$AB:$AB,MATCH(MEDIÇÃO!K873,'PROJETO PERFURAÇÃO'!$B:$B,0)),1)&amp;"''","")</f>
        <v/>
      </c>
      <c r="J873" s="3" t="str">
        <f>IFERROR(IF(INDEX('PROJETO PERFURAÇÃO'!$P:$P,MATCH(MEDIÇÃO!K873,'PROJETO PERFURAÇÃO'!$B:$B,0))="Production","P",IF(INDEX('PROJETO PERFURAÇÃO'!$P:$P,MATCH(MEDIÇÃO!K873,'PROJETO PERFURAÇÃO'!$B:$B,0))="Buffer","B",IF(INDEX('PROJETO PERFURAÇÃO'!$P:$P,MATCH(MEDIÇÃO!K873,'PROJETO PERFURAÇÃO'!$B:$B,0))="Pre-Splitting","S"))),"")</f>
        <v/>
      </c>
      <c r="K873" s="14">
        <f>D895+1</f>
        <v>1956</v>
      </c>
      <c r="L873" s="4" t="str">
        <f>IFERROR(INDEX('LEV R&amp;D'!$D:$D,MATCH(MEDIÇÃO!K873,'LEV R&amp;D'!$A:$A,0))-INDEX('PROJETO PERFURAÇÃO'!$AH:$AH,MATCH(MEDIÇÃO!K873,'PROJETO PERFURAÇÃO'!$B:$B,0)),"")</f>
        <v/>
      </c>
      <c r="M873" s="8" t="str">
        <f>IFERROR(INDEX('PROJETO PERFURAÇÃO'!$AN:$AN,MATCH(MEDIÇÃO!K873,'PROJETO PERFURAÇÃO'!$B:$B,0)),"")</f>
        <v/>
      </c>
      <c r="N873" s="3"/>
      <c r="O873" s="3"/>
      <c r="P873" s="3" t="str">
        <f>IFERROR(ROUND(INDEX('PROJETO PERFURAÇÃO'!$AB:$AB,MATCH(MEDIÇÃO!R873,'PROJETO PERFURAÇÃO'!$B:$B,0)),1)&amp;"''","")</f>
        <v/>
      </c>
      <c r="Q873" s="3" t="str">
        <f>IFERROR(IF(INDEX('PROJETO PERFURAÇÃO'!$P:$P,MATCH(MEDIÇÃO!R873,'PROJETO PERFURAÇÃO'!$B:$B,0))="Production","P",IF(INDEX('PROJETO PERFURAÇÃO'!$P:$P,MATCH(MEDIÇÃO!R873,'PROJETO PERFURAÇÃO'!$B:$B,0))="Buffer","B",IF(INDEX('PROJETO PERFURAÇÃO'!$P:$P,MATCH(MEDIÇÃO!R873,'PROJETO PERFURAÇÃO'!$B:$B,0))="Pre-Splitting","S"))),"")</f>
        <v/>
      </c>
      <c r="R873" s="14">
        <f>K895+1</f>
        <v>1979</v>
      </c>
      <c r="S873" s="4" t="str">
        <f>IFERROR(INDEX('LEV R&amp;D'!$D:$D,MATCH(MEDIÇÃO!R873,'LEV R&amp;D'!$A:$A,0))-INDEX('PROJETO PERFURAÇÃO'!$AH:$AH,MATCH(MEDIÇÃO!R873,'PROJETO PERFURAÇÃO'!$B:$B,0)),"")</f>
        <v/>
      </c>
      <c r="T873" s="8" t="str">
        <f>IFERROR(INDEX('PROJETO PERFURAÇÃO'!$AN:$AN,MATCH(MEDIÇÃO!R873,'PROJETO PERFURAÇÃO'!$B:$B,0)),"")</f>
        <v/>
      </c>
      <c r="U873" s="3"/>
      <c r="V873" s="3"/>
    </row>
    <row r="874" spans="1:23" ht="45" customHeight="1">
      <c r="B874" s="3" t="str">
        <f>IFERROR(ROUND(INDEX('PROJETO PERFURAÇÃO'!$AB:$AB,MATCH(MEDIÇÃO!D874,'PROJETO PERFURAÇÃO'!$B:$B,0)),1)&amp;"''","")</f>
        <v/>
      </c>
      <c r="C874" s="3" t="str">
        <f>IFERROR(IF(INDEX('PROJETO PERFURAÇÃO'!$P:$P,MATCH(MEDIÇÃO!D874,'PROJETO PERFURAÇÃO'!$B:$B,0))="Production","P",IF(INDEX('PROJETO PERFURAÇÃO'!$P:$P,MATCH(MEDIÇÃO!D874,'PROJETO PERFURAÇÃO'!$B:$B,0))="Buffer","B",IF(INDEX('PROJETO PERFURAÇÃO'!$P:$P,MATCH(MEDIÇÃO!D874,'PROJETO PERFURAÇÃO'!$B:$B,0))="Pre-Splitting","S"))),"")</f>
        <v/>
      </c>
      <c r="D874" s="14">
        <f>D873+1</f>
        <v>1934</v>
      </c>
      <c r="E874" s="4" t="str">
        <f>IFERROR(INDEX('LEV R&amp;D'!$D:$D,MATCH(MEDIÇÃO!D874,'LEV R&amp;D'!$A:$A,0))-INDEX('PROJETO PERFURAÇÃO'!$AH:$AH,MATCH(MEDIÇÃO!D874,'PROJETO PERFURAÇÃO'!$B:$B,0)),"")</f>
        <v/>
      </c>
      <c r="F874" s="8" t="str">
        <f>IFERROR(INDEX('PROJETO PERFURAÇÃO'!$AN:$AN,MATCH(MEDIÇÃO!D874,'PROJETO PERFURAÇÃO'!$B:$B,0)),"")</f>
        <v/>
      </c>
      <c r="G874" s="3"/>
      <c r="H874" s="3"/>
      <c r="I874" s="3" t="str">
        <f>IFERROR(ROUND(INDEX('PROJETO PERFURAÇÃO'!$AB:$AB,MATCH(MEDIÇÃO!K874,'PROJETO PERFURAÇÃO'!$B:$B,0)),1)&amp;"''","")</f>
        <v/>
      </c>
      <c r="J874" s="3" t="str">
        <f>IFERROR(IF(INDEX('PROJETO PERFURAÇÃO'!$P:$P,MATCH(MEDIÇÃO!K874,'PROJETO PERFURAÇÃO'!$B:$B,0))="Production","P",IF(INDEX('PROJETO PERFURAÇÃO'!$P:$P,MATCH(MEDIÇÃO!K874,'PROJETO PERFURAÇÃO'!$B:$B,0))="Buffer","B",IF(INDEX('PROJETO PERFURAÇÃO'!$P:$P,MATCH(MEDIÇÃO!K874,'PROJETO PERFURAÇÃO'!$B:$B,0))="Pre-Splitting","S"))),"")</f>
        <v/>
      </c>
      <c r="K874" s="14">
        <f>K873+1</f>
        <v>1957</v>
      </c>
      <c r="L874" s="4" t="str">
        <f>IFERROR(INDEX('LEV R&amp;D'!$D:$D,MATCH(MEDIÇÃO!K874,'LEV R&amp;D'!$A:$A,0))-INDEX('PROJETO PERFURAÇÃO'!$AH:$AH,MATCH(MEDIÇÃO!K874,'PROJETO PERFURAÇÃO'!$B:$B,0)),"")</f>
        <v/>
      </c>
      <c r="M874" s="8" t="str">
        <f>IFERROR(INDEX('PROJETO PERFURAÇÃO'!$AN:$AN,MATCH(MEDIÇÃO!K874,'PROJETO PERFURAÇÃO'!$B:$B,0)),"")</f>
        <v/>
      </c>
      <c r="N874" s="3"/>
      <c r="O874" s="3"/>
      <c r="P874" s="3" t="str">
        <f>IFERROR(ROUND(INDEX('PROJETO PERFURAÇÃO'!$AB:$AB,MATCH(MEDIÇÃO!R874,'PROJETO PERFURAÇÃO'!$B:$B,0)),1)&amp;"''","")</f>
        <v/>
      </c>
      <c r="Q874" s="3" t="str">
        <f>IFERROR(IF(INDEX('PROJETO PERFURAÇÃO'!$P:$P,MATCH(MEDIÇÃO!R874,'PROJETO PERFURAÇÃO'!$B:$B,0))="Production","P",IF(INDEX('PROJETO PERFURAÇÃO'!$P:$P,MATCH(MEDIÇÃO!R874,'PROJETO PERFURAÇÃO'!$B:$B,0))="Buffer","B",IF(INDEX('PROJETO PERFURAÇÃO'!$P:$P,MATCH(MEDIÇÃO!R874,'PROJETO PERFURAÇÃO'!$B:$B,0))="Pre-Splitting","S"))),"")</f>
        <v/>
      </c>
      <c r="R874" s="14">
        <f>R873+1</f>
        <v>1980</v>
      </c>
      <c r="S874" s="4" t="str">
        <f>IFERROR(INDEX('LEV R&amp;D'!$D:$D,MATCH(MEDIÇÃO!R874,'LEV R&amp;D'!$A:$A,0))-INDEX('PROJETO PERFURAÇÃO'!$AH:$AH,MATCH(MEDIÇÃO!R874,'PROJETO PERFURAÇÃO'!$B:$B,0)),"")</f>
        <v/>
      </c>
      <c r="T874" s="8" t="str">
        <f>IFERROR(INDEX('PROJETO PERFURAÇÃO'!$AN:$AN,MATCH(MEDIÇÃO!R874,'PROJETO PERFURAÇÃO'!$B:$B,0)),"")</f>
        <v/>
      </c>
      <c r="U874" s="3"/>
      <c r="V874" s="3"/>
    </row>
    <row r="875" spans="1:23" ht="45" customHeight="1">
      <c r="B875" s="3" t="str">
        <f>IFERROR(ROUND(INDEX('PROJETO PERFURAÇÃO'!$AB:$AB,MATCH(MEDIÇÃO!D875,'PROJETO PERFURAÇÃO'!$B:$B,0)),1)&amp;"''","")</f>
        <v/>
      </c>
      <c r="C875" s="3" t="str">
        <f>IFERROR(IF(INDEX('PROJETO PERFURAÇÃO'!$P:$P,MATCH(MEDIÇÃO!D875,'PROJETO PERFURAÇÃO'!$B:$B,0))="Production","P",IF(INDEX('PROJETO PERFURAÇÃO'!$P:$P,MATCH(MEDIÇÃO!D875,'PROJETO PERFURAÇÃO'!$B:$B,0))="Buffer","B",IF(INDEX('PROJETO PERFURAÇÃO'!$P:$P,MATCH(MEDIÇÃO!D875,'PROJETO PERFURAÇÃO'!$B:$B,0))="Pre-Splitting","S"))),"")</f>
        <v/>
      </c>
      <c r="D875" s="14">
        <f t="shared" ref="D875:D895" si="84">D874+1</f>
        <v>1935</v>
      </c>
      <c r="E875" s="4" t="str">
        <f>IFERROR(INDEX('LEV R&amp;D'!$D:$D,MATCH(MEDIÇÃO!D875,'LEV R&amp;D'!$A:$A,0))-INDEX('PROJETO PERFURAÇÃO'!$AH:$AH,MATCH(MEDIÇÃO!D875,'PROJETO PERFURAÇÃO'!$B:$B,0)),"")</f>
        <v/>
      </c>
      <c r="F875" s="8" t="str">
        <f>IFERROR(INDEX('PROJETO PERFURAÇÃO'!$AN:$AN,MATCH(MEDIÇÃO!D875,'PROJETO PERFURAÇÃO'!$B:$B,0)),"")</f>
        <v/>
      </c>
      <c r="G875" s="3"/>
      <c r="H875" s="3"/>
      <c r="I875" s="3" t="str">
        <f>IFERROR(ROUND(INDEX('PROJETO PERFURAÇÃO'!$AB:$AB,MATCH(MEDIÇÃO!K875,'PROJETO PERFURAÇÃO'!$B:$B,0)),1)&amp;"''","")</f>
        <v/>
      </c>
      <c r="J875" s="3" t="str">
        <f>IFERROR(IF(INDEX('PROJETO PERFURAÇÃO'!$P:$P,MATCH(MEDIÇÃO!K875,'PROJETO PERFURAÇÃO'!$B:$B,0))="Production","P",IF(INDEX('PROJETO PERFURAÇÃO'!$P:$P,MATCH(MEDIÇÃO!K875,'PROJETO PERFURAÇÃO'!$B:$B,0))="Buffer","B",IF(INDEX('PROJETO PERFURAÇÃO'!$P:$P,MATCH(MEDIÇÃO!K875,'PROJETO PERFURAÇÃO'!$B:$B,0))="Pre-Splitting","S"))),"")</f>
        <v/>
      </c>
      <c r="K875" s="14">
        <f t="shared" ref="K875:K894" si="85">K874+1</f>
        <v>1958</v>
      </c>
      <c r="L875" s="4" t="str">
        <f>IFERROR(INDEX('LEV R&amp;D'!$D:$D,MATCH(MEDIÇÃO!K875,'LEV R&amp;D'!$A:$A,0))-INDEX('PROJETO PERFURAÇÃO'!$AH:$AH,MATCH(MEDIÇÃO!K875,'PROJETO PERFURAÇÃO'!$B:$B,0)),"")</f>
        <v/>
      </c>
      <c r="M875" s="8" t="str">
        <f>IFERROR(INDEX('PROJETO PERFURAÇÃO'!$AN:$AN,MATCH(MEDIÇÃO!K875,'PROJETO PERFURAÇÃO'!$B:$B,0)),"")</f>
        <v/>
      </c>
      <c r="N875" s="3"/>
      <c r="O875" s="3"/>
      <c r="P875" s="3" t="str">
        <f>IFERROR(ROUND(INDEX('PROJETO PERFURAÇÃO'!$AB:$AB,MATCH(MEDIÇÃO!R875,'PROJETO PERFURAÇÃO'!$B:$B,0)),1)&amp;"''","")</f>
        <v/>
      </c>
      <c r="Q875" s="3" t="str">
        <f>IFERROR(IF(INDEX('PROJETO PERFURAÇÃO'!$P:$P,MATCH(MEDIÇÃO!R875,'PROJETO PERFURAÇÃO'!$B:$B,0))="Production","P",IF(INDEX('PROJETO PERFURAÇÃO'!$P:$P,MATCH(MEDIÇÃO!R875,'PROJETO PERFURAÇÃO'!$B:$B,0))="Buffer","B",IF(INDEX('PROJETO PERFURAÇÃO'!$P:$P,MATCH(MEDIÇÃO!R875,'PROJETO PERFURAÇÃO'!$B:$B,0))="Pre-Splitting","S"))),"")</f>
        <v/>
      </c>
      <c r="R875" s="14">
        <f t="shared" ref="R875:R894" si="86">R874+1</f>
        <v>1981</v>
      </c>
      <c r="S875" s="4" t="str">
        <f>IFERROR(INDEX('LEV R&amp;D'!$D:$D,MATCH(MEDIÇÃO!R875,'LEV R&amp;D'!$A:$A,0))-INDEX('PROJETO PERFURAÇÃO'!$AH:$AH,MATCH(MEDIÇÃO!R875,'PROJETO PERFURAÇÃO'!$B:$B,0)),"")</f>
        <v/>
      </c>
      <c r="T875" s="8" t="str">
        <f>IFERROR(INDEX('PROJETO PERFURAÇÃO'!$AN:$AN,MATCH(MEDIÇÃO!R875,'PROJETO PERFURAÇÃO'!$B:$B,0)),"")</f>
        <v/>
      </c>
      <c r="U875" s="3"/>
      <c r="V875" s="3"/>
    </row>
    <row r="876" spans="1:23" ht="45" customHeight="1">
      <c r="B876" s="3" t="str">
        <f>IFERROR(ROUND(INDEX('PROJETO PERFURAÇÃO'!$AB:$AB,MATCH(MEDIÇÃO!D876,'PROJETO PERFURAÇÃO'!$B:$B,0)),1)&amp;"''","")</f>
        <v/>
      </c>
      <c r="C876" s="3" t="str">
        <f>IFERROR(IF(INDEX('PROJETO PERFURAÇÃO'!$P:$P,MATCH(MEDIÇÃO!D876,'PROJETO PERFURAÇÃO'!$B:$B,0))="Production","P",IF(INDEX('PROJETO PERFURAÇÃO'!$P:$P,MATCH(MEDIÇÃO!D876,'PROJETO PERFURAÇÃO'!$B:$B,0))="Buffer","B",IF(INDEX('PROJETO PERFURAÇÃO'!$P:$P,MATCH(MEDIÇÃO!D876,'PROJETO PERFURAÇÃO'!$B:$B,0))="Pre-Splitting","S"))),"")</f>
        <v/>
      </c>
      <c r="D876" s="14">
        <f t="shared" si="84"/>
        <v>1936</v>
      </c>
      <c r="E876" s="4" t="str">
        <f>IFERROR(INDEX('LEV R&amp;D'!$D:$D,MATCH(MEDIÇÃO!D876,'LEV R&amp;D'!$A:$A,0))-INDEX('PROJETO PERFURAÇÃO'!$AH:$AH,MATCH(MEDIÇÃO!D876,'PROJETO PERFURAÇÃO'!$B:$B,0)),"")</f>
        <v/>
      </c>
      <c r="F876" s="8" t="str">
        <f>IFERROR(INDEX('PROJETO PERFURAÇÃO'!$AN:$AN,MATCH(MEDIÇÃO!D876,'PROJETO PERFURAÇÃO'!$B:$B,0)),"")</f>
        <v/>
      </c>
      <c r="G876" s="3"/>
      <c r="H876" s="3"/>
      <c r="I876" s="3" t="str">
        <f>IFERROR(ROUND(INDEX('PROJETO PERFURAÇÃO'!$AB:$AB,MATCH(MEDIÇÃO!K876,'PROJETO PERFURAÇÃO'!$B:$B,0)),1)&amp;"''","")</f>
        <v/>
      </c>
      <c r="J876" s="3" t="str">
        <f>IFERROR(IF(INDEX('PROJETO PERFURAÇÃO'!$P:$P,MATCH(MEDIÇÃO!K876,'PROJETO PERFURAÇÃO'!$B:$B,0))="Production","P",IF(INDEX('PROJETO PERFURAÇÃO'!$P:$P,MATCH(MEDIÇÃO!K876,'PROJETO PERFURAÇÃO'!$B:$B,0))="Buffer","B",IF(INDEX('PROJETO PERFURAÇÃO'!$P:$P,MATCH(MEDIÇÃO!K876,'PROJETO PERFURAÇÃO'!$B:$B,0))="Pre-Splitting","S"))),"")</f>
        <v/>
      </c>
      <c r="K876" s="14">
        <f t="shared" si="85"/>
        <v>1959</v>
      </c>
      <c r="L876" s="4" t="str">
        <f>IFERROR(INDEX('LEV R&amp;D'!$D:$D,MATCH(MEDIÇÃO!K876,'LEV R&amp;D'!$A:$A,0))-INDEX('PROJETO PERFURAÇÃO'!$AH:$AH,MATCH(MEDIÇÃO!K876,'PROJETO PERFURAÇÃO'!$B:$B,0)),"")</f>
        <v/>
      </c>
      <c r="M876" s="8" t="str">
        <f>IFERROR(INDEX('PROJETO PERFURAÇÃO'!$AN:$AN,MATCH(MEDIÇÃO!K876,'PROJETO PERFURAÇÃO'!$B:$B,0)),"")</f>
        <v/>
      </c>
      <c r="N876" s="3"/>
      <c r="O876" s="3"/>
      <c r="P876" s="3" t="str">
        <f>IFERROR(ROUND(INDEX('PROJETO PERFURAÇÃO'!$AB:$AB,MATCH(MEDIÇÃO!R876,'PROJETO PERFURAÇÃO'!$B:$B,0)),1)&amp;"''","")</f>
        <v/>
      </c>
      <c r="Q876" s="3" t="str">
        <f>IFERROR(IF(INDEX('PROJETO PERFURAÇÃO'!$P:$P,MATCH(MEDIÇÃO!R876,'PROJETO PERFURAÇÃO'!$B:$B,0))="Production","P",IF(INDEX('PROJETO PERFURAÇÃO'!$P:$P,MATCH(MEDIÇÃO!R876,'PROJETO PERFURAÇÃO'!$B:$B,0))="Buffer","B",IF(INDEX('PROJETO PERFURAÇÃO'!$P:$P,MATCH(MEDIÇÃO!R876,'PROJETO PERFURAÇÃO'!$B:$B,0))="Pre-Splitting","S"))),"")</f>
        <v/>
      </c>
      <c r="R876" s="14">
        <f t="shared" si="86"/>
        <v>1982</v>
      </c>
      <c r="S876" s="4" t="str">
        <f>IFERROR(INDEX('LEV R&amp;D'!$D:$D,MATCH(MEDIÇÃO!R876,'LEV R&amp;D'!$A:$A,0))-INDEX('PROJETO PERFURAÇÃO'!$AH:$AH,MATCH(MEDIÇÃO!R876,'PROJETO PERFURAÇÃO'!$B:$B,0)),"")</f>
        <v/>
      </c>
      <c r="T876" s="8" t="str">
        <f>IFERROR(INDEX('PROJETO PERFURAÇÃO'!$AN:$AN,MATCH(MEDIÇÃO!R876,'PROJETO PERFURAÇÃO'!$B:$B,0)),"")</f>
        <v/>
      </c>
      <c r="U876" s="3"/>
      <c r="V876" s="3"/>
    </row>
    <row r="877" spans="1:23" ht="45" customHeight="1">
      <c r="B877" s="3" t="str">
        <f>IFERROR(ROUND(INDEX('PROJETO PERFURAÇÃO'!$AB:$AB,MATCH(MEDIÇÃO!D877,'PROJETO PERFURAÇÃO'!$B:$B,0)),1)&amp;"''","")</f>
        <v/>
      </c>
      <c r="C877" s="3" t="str">
        <f>IFERROR(IF(INDEX('PROJETO PERFURAÇÃO'!$P:$P,MATCH(MEDIÇÃO!D877,'PROJETO PERFURAÇÃO'!$B:$B,0))="Production","P",IF(INDEX('PROJETO PERFURAÇÃO'!$P:$P,MATCH(MEDIÇÃO!D877,'PROJETO PERFURAÇÃO'!$B:$B,0))="Buffer","B",IF(INDEX('PROJETO PERFURAÇÃO'!$P:$P,MATCH(MEDIÇÃO!D877,'PROJETO PERFURAÇÃO'!$B:$B,0))="Pre-Splitting","S"))),"")</f>
        <v/>
      </c>
      <c r="D877" s="14">
        <f t="shared" si="84"/>
        <v>1937</v>
      </c>
      <c r="E877" s="4" t="str">
        <f>IFERROR(INDEX('LEV R&amp;D'!$D:$D,MATCH(MEDIÇÃO!D877,'LEV R&amp;D'!$A:$A,0))-INDEX('PROJETO PERFURAÇÃO'!$AH:$AH,MATCH(MEDIÇÃO!D877,'PROJETO PERFURAÇÃO'!$B:$B,0)),"")</f>
        <v/>
      </c>
      <c r="F877" s="8" t="str">
        <f>IFERROR(INDEX('PROJETO PERFURAÇÃO'!$AN:$AN,MATCH(MEDIÇÃO!D877,'PROJETO PERFURAÇÃO'!$B:$B,0)),"")</f>
        <v/>
      </c>
      <c r="G877" s="3"/>
      <c r="H877" s="3"/>
      <c r="I877" s="3" t="str">
        <f>IFERROR(ROUND(INDEX('PROJETO PERFURAÇÃO'!$AB:$AB,MATCH(MEDIÇÃO!K877,'PROJETO PERFURAÇÃO'!$B:$B,0)),1)&amp;"''","")</f>
        <v/>
      </c>
      <c r="J877" s="3" t="str">
        <f>IFERROR(IF(INDEX('PROJETO PERFURAÇÃO'!$P:$P,MATCH(MEDIÇÃO!K877,'PROJETO PERFURAÇÃO'!$B:$B,0))="Production","P",IF(INDEX('PROJETO PERFURAÇÃO'!$P:$P,MATCH(MEDIÇÃO!K877,'PROJETO PERFURAÇÃO'!$B:$B,0))="Buffer","B",IF(INDEX('PROJETO PERFURAÇÃO'!$P:$P,MATCH(MEDIÇÃO!K877,'PROJETO PERFURAÇÃO'!$B:$B,0))="Pre-Splitting","S"))),"")</f>
        <v/>
      </c>
      <c r="K877" s="14">
        <f t="shared" si="85"/>
        <v>1960</v>
      </c>
      <c r="L877" s="4" t="str">
        <f>IFERROR(INDEX('LEV R&amp;D'!$D:$D,MATCH(MEDIÇÃO!K877,'LEV R&amp;D'!$A:$A,0))-INDEX('PROJETO PERFURAÇÃO'!$AH:$AH,MATCH(MEDIÇÃO!K877,'PROJETO PERFURAÇÃO'!$B:$B,0)),"")</f>
        <v/>
      </c>
      <c r="M877" s="8" t="str">
        <f>IFERROR(INDEX('PROJETO PERFURAÇÃO'!$AN:$AN,MATCH(MEDIÇÃO!K877,'PROJETO PERFURAÇÃO'!$B:$B,0)),"")</f>
        <v/>
      </c>
      <c r="N877" s="3"/>
      <c r="O877" s="3"/>
      <c r="P877" s="3" t="str">
        <f>IFERROR(ROUND(INDEX('PROJETO PERFURAÇÃO'!$AB:$AB,MATCH(MEDIÇÃO!R877,'PROJETO PERFURAÇÃO'!$B:$B,0)),1)&amp;"''","")</f>
        <v/>
      </c>
      <c r="Q877" s="3" t="str">
        <f>IFERROR(IF(INDEX('PROJETO PERFURAÇÃO'!$P:$P,MATCH(MEDIÇÃO!R877,'PROJETO PERFURAÇÃO'!$B:$B,0))="Production","P",IF(INDEX('PROJETO PERFURAÇÃO'!$P:$P,MATCH(MEDIÇÃO!R877,'PROJETO PERFURAÇÃO'!$B:$B,0))="Buffer","B",IF(INDEX('PROJETO PERFURAÇÃO'!$P:$P,MATCH(MEDIÇÃO!R877,'PROJETO PERFURAÇÃO'!$B:$B,0))="Pre-Splitting","S"))),"")</f>
        <v/>
      </c>
      <c r="R877" s="14">
        <f t="shared" si="86"/>
        <v>1983</v>
      </c>
      <c r="S877" s="4" t="str">
        <f>IFERROR(INDEX('LEV R&amp;D'!$D:$D,MATCH(MEDIÇÃO!R877,'LEV R&amp;D'!$A:$A,0))-INDEX('PROJETO PERFURAÇÃO'!$AH:$AH,MATCH(MEDIÇÃO!R877,'PROJETO PERFURAÇÃO'!$B:$B,0)),"")</f>
        <v/>
      </c>
      <c r="T877" s="8" t="str">
        <f>IFERROR(INDEX('PROJETO PERFURAÇÃO'!$AN:$AN,MATCH(MEDIÇÃO!R877,'PROJETO PERFURAÇÃO'!$B:$B,0)),"")</f>
        <v/>
      </c>
      <c r="U877" s="3"/>
      <c r="V877" s="3"/>
    </row>
    <row r="878" spans="1:23" ht="45" customHeight="1">
      <c r="B878" s="3" t="str">
        <f>IFERROR(ROUND(INDEX('PROJETO PERFURAÇÃO'!$AB:$AB,MATCH(MEDIÇÃO!D878,'PROJETO PERFURAÇÃO'!$B:$B,0)),1)&amp;"''","")</f>
        <v/>
      </c>
      <c r="C878" s="3" t="str">
        <f>IFERROR(IF(INDEX('PROJETO PERFURAÇÃO'!$P:$P,MATCH(MEDIÇÃO!D878,'PROJETO PERFURAÇÃO'!$B:$B,0))="Production","P",IF(INDEX('PROJETO PERFURAÇÃO'!$P:$P,MATCH(MEDIÇÃO!D878,'PROJETO PERFURAÇÃO'!$B:$B,0))="Buffer","B",IF(INDEX('PROJETO PERFURAÇÃO'!$P:$P,MATCH(MEDIÇÃO!D878,'PROJETO PERFURAÇÃO'!$B:$B,0))="Pre-Splitting","S"))),"")</f>
        <v/>
      </c>
      <c r="D878" s="14">
        <f t="shared" si="84"/>
        <v>1938</v>
      </c>
      <c r="E878" s="4" t="str">
        <f>IFERROR(INDEX('LEV R&amp;D'!$D:$D,MATCH(MEDIÇÃO!D878,'LEV R&amp;D'!$A:$A,0))-INDEX('PROJETO PERFURAÇÃO'!$AH:$AH,MATCH(MEDIÇÃO!D878,'PROJETO PERFURAÇÃO'!$B:$B,0)),"")</f>
        <v/>
      </c>
      <c r="F878" s="8" t="str">
        <f>IFERROR(INDEX('PROJETO PERFURAÇÃO'!$AN:$AN,MATCH(MEDIÇÃO!D878,'PROJETO PERFURAÇÃO'!$B:$B,0)),"")</f>
        <v/>
      </c>
      <c r="G878" s="3"/>
      <c r="H878" s="3"/>
      <c r="I878" s="3" t="str">
        <f>IFERROR(ROUND(INDEX('PROJETO PERFURAÇÃO'!$AB:$AB,MATCH(MEDIÇÃO!K878,'PROJETO PERFURAÇÃO'!$B:$B,0)),1)&amp;"''","")</f>
        <v/>
      </c>
      <c r="J878" s="3" t="str">
        <f>IFERROR(IF(INDEX('PROJETO PERFURAÇÃO'!$P:$P,MATCH(MEDIÇÃO!K878,'PROJETO PERFURAÇÃO'!$B:$B,0))="Production","P",IF(INDEX('PROJETO PERFURAÇÃO'!$P:$P,MATCH(MEDIÇÃO!K878,'PROJETO PERFURAÇÃO'!$B:$B,0))="Buffer","B",IF(INDEX('PROJETO PERFURAÇÃO'!$P:$P,MATCH(MEDIÇÃO!K878,'PROJETO PERFURAÇÃO'!$B:$B,0))="Pre-Splitting","S"))),"")</f>
        <v/>
      </c>
      <c r="K878" s="14">
        <f t="shared" si="85"/>
        <v>1961</v>
      </c>
      <c r="L878" s="4" t="str">
        <f>IFERROR(INDEX('LEV R&amp;D'!$D:$D,MATCH(MEDIÇÃO!K878,'LEV R&amp;D'!$A:$A,0))-INDEX('PROJETO PERFURAÇÃO'!$AH:$AH,MATCH(MEDIÇÃO!K878,'PROJETO PERFURAÇÃO'!$B:$B,0)),"")</f>
        <v/>
      </c>
      <c r="M878" s="8" t="str">
        <f>IFERROR(INDEX('PROJETO PERFURAÇÃO'!$AN:$AN,MATCH(MEDIÇÃO!K878,'PROJETO PERFURAÇÃO'!$B:$B,0)),"")</f>
        <v/>
      </c>
      <c r="N878" s="3"/>
      <c r="O878" s="3"/>
      <c r="P878" s="3" t="str">
        <f>IFERROR(ROUND(INDEX('PROJETO PERFURAÇÃO'!$AB:$AB,MATCH(MEDIÇÃO!R878,'PROJETO PERFURAÇÃO'!$B:$B,0)),1)&amp;"''","")</f>
        <v/>
      </c>
      <c r="Q878" s="3" t="str">
        <f>IFERROR(IF(INDEX('PROJETO PERFURAÇÃO'!$P:$P,MATCH(MEDIÇÃO!R878,'PROJETO PERFURAÇÃO'!$B:$B,0))="Production","P",IF(INDEX('PROJETO PERFURAÇÃO'!$P:$P,MATCH(MEDIÇÃO!R878,'PROJETO PERFURAÇÃO'!$B:$B,0))="Buffer","B",IF(INDEX('PROJETO PERFURAÇÃO'!$P:$P,MATCH(MEDIÇÃO!R878,'PROJETO PERFURAÇÃO'!$B:$B,0))="Pre-Splitting","S"))),"")</f>
        <v/>
      </c>
      <c r="R878" s="14">
        <f t="shared" si="86"/>
        <v>1984</v>
      </c>
      <c r="S878" s="4" t="str">
        <f>IFERROR(INDEX('LEV R&amp;D'!$D:$D,MATCH(MEDIÇÃO!R878,'LEV R&amp;D'!$A:$A,0))-INDEX('PROJETO PERFURAÇÃO'!$AH:$AH,MATCH(MEDIÇÃO!R878,'PROJETO PERFURAÇÃO'!$B:$B,0)),"")</f>
        <v/>
      </c>
      <c r="T878" s="8" t="str">
        <f>IFERROR(INDEX('PROJETO PERFURAÇÃO'!$AN:$AN,MATCH(MEDIÇÃO!R878,'PROJETO PERFURAÇÃO'!$B:$B,0)),"")</f>
        <v/>
      </c>
      <c r="U878" s="3"/>
      <c r="V878" s="3"/>
    </row>
    <row r="879" spans="1:23" ht="45" customHeight="1">
      <c r="B879" s="3" t="str">
        <f>IFERROR(ROUND(INDEX('PROJETO PERFURAÇÃO'!$AB:$AB,MATCH(MEDIÇÃO!D879,'PROJETO PERFURAÇÃO'!$B:$B,0)),1)&amp;"''","")</f>
        <v/>
      </c>
      <c r="C879" s="3" t="str">
        <f>IFERROR(IF(INDEX('PROJETO PERFURAÇÃO'!$P:$P,MATCH(MEDIÇÃO!D879,'PROJETO PERFURAÇÃO'!$B:$B,0))="Production","P",IF(INDEX('PROJETO PERFURAÇÃO'!$P:$P,MATCH(MEDIÇÃO!D879,'PROJETO PERFURAÇÃO'!$B:$B,0))="Buffer","B",IF(INDEX('PROJETO PERFURAÇÃO'!$P:$P,MATCH(MEDIÇÃO!D879,'PROJETO PERFURAÇÃO'!$B:$B,0))="Pre-Splitting","S"))),"")</f>
        <v/>
      </c>
      <c r="D879" s="14">
        <f t="shared" si="84"/>
        <v>1939</v>
      </c>
      <c r="E879" s="4" t="str">
        <f>IFERROR(INDEX('LEV R&amp;D'!$D:$D,MATCH(MEDIÇÃO!D879,'LEV R&amp;D'!$A:$A,0))-INDEX('PROJETO PERFURAÇÃO'!$AH:$AH,MATCH(MEDIÇÃO!D879,'PROJETO PERFURAÇÃO'!$B:$B,0)),"")</f>
        <v/>
      </c>
      <c r="F879" s="8" t="str">
        <f>IFERROR(INDEX('PROJETO PERFURAÇÃO'!$AN:$AN,MATCH(MEDIÇÃO!D879,'PROJETO PERFURAÇÃO'!$B:$B,0)),"")</f>
        <v/>
      </c>
      <c r="G879" s="3"/>
      <c r="H879" s="3"/>
      <c r="I879" s="3" t="str">
        <f>IFERROR(ROUND(INDEX('PROJETO PERFURAÇÃO'!$AB:$AB,MATCH(MEDIÇÃO!K879,'PROJETO PERFURAÇÃO'!$B:$B,0)),1)&amp;"''","")</f>
        <v/>
      </c>
      <c r="J879" s="3" t="str">
        <f>IFERROR(IF(INDEX('PROJETO PERFURAÇÃO'!$P:$P,MATCH(MEDIÇÃO!K879,'PROJETO PERFURAÇÃO'!$B:$B,0))="Production","P",IF(INDEX('PROJETO PERFURAÇÃO'!$P:$P,MATCH(MEDIÇÃO!K879,'PROJETO PERFURAÇÃO'!$B:$B,0))="Buffer","B",IF(INDEX('PROJETO PERFURAÇÃO'!$P:$P,MATCH(MEDIÇÃO!K879,'PROJETO PERFURAÇÃO'!$B:$B,0))="Pre-Splitting","S"))),"")</f>
        <v/>
      </c>
      <c r="K879" s="14">
        <f t="shared" si="85"/>
        <v>1962</v>
      </c>
      <c r="L879" s="4" t="str">
        <f>IFERROR(INDEX('LEV R&amp;D'!$D:$D,MATCH(MEDIÇÃO!K879,'LEV R&amp;D'!$A:$A,0))-INDEX('PROJETO PERFURAÇÃO'!$AH:$AH,MATCH(MEDIÇÃO!K879,'PROJETO PERFURAÇÃO'!$B:$B,0)),"")</f>
        <v/>
      </c>
      <c r="M879" s="8" t="str">
        <f>IFERROR(INDEX('PROJETO PERFURAÇÃO'!$AN:$AN,MATCH(MEDIÇÃO!K879,'PROJETO PERFURAÇÃO'!$B:$B,0)),"")</f>
        <v/>
      </c>
      <c r="N879" s="3"/>
      <c r="O879" s="3"/>
      <c r="P879" s="3" t="str">
        <f>IFERROR(ROUND(INDEX('PROJETO PERFURAÇÃO'!$AB:$AB,MATCH(MEDIÇÃO!R879,'PROJETO PERFURAÇÃO'!$B:$B,0)),1)&amp;"''","")</f>
        <v/>
      </c>
      <c r="Q879" s="3" t="str">
        <f>IFERROR(IF(INDEX('PROJETO PERFURAÇÃO'!$P:$P,MATCH(MEDIÇÃO!R879,'PROJETO PERFURAÇÃO'!$B:$B,0))="Production","P",IF(INDEX('PROJETO PERFURAÇÃO'!$P:$P,MATCH(MEDIÇÃO!R879,'PROJETO PERFURAÇÃO'!$B:$B,0))="Buffer","B",IF(INDEX('PROJETO PERFURAÇÃO'!$P:$P,MATCH(MEDIÇÃO!R879,'PROJETO PERFURAÇÃO'!$B:$B,0))="Pre-Splitting","S"))),"")</f>
        <v/>
      </c>
      <c r="R879" s="14">
        <f t="shared" si="86"/>
        <v>1985</v>
      </c>
      <c r="S879" s="4" t="str">
        <f>IFERROR(INDEX('LEV R&amp;D'!$D:$D,MATCH(MEDIÇÃO!R879,'LEV R&amp;D'!$A:$A,0))-INDEX('PROJETO PERFURAÇÃO'!$AH:$AH,MATCH(MEDIÇÃO!R879,'PROJETO PERFURAÇÃO'!$B:$B,0)),"")</f>
        <v/>
      </c>
      <c r="T879" s="8" t="str">
        <f>IFERROR(INDEX('PROJETO PERFURAÇÃO'!$AN:$AN,MATCH(MEDIÇÃO!R879,'PROJETO PERFURAÇÃO'!$B:$B,0)),"")</f>
        <v/>
      </c>
      <c r="U879" s="3"/>
      <c r="V879" s="3"/>
    </row>
    <row r="880" spans="1:23" ht="45" customHeight="1">
      <c r="B880" s="3" t="str">
        <f>IFERROR(ROUND(INDEX('PROJETO PERFURAÇÃO'!$AB:$AB,MATCH(MEDIÇÃO!D880,'PROJETO PERFURAÇÃO'!$B:$B,0)),1)&amp;"''","")</f>
        <v/>
      </c>
      <c r="C880" s="3" t="str">
        <f>IFERROR(IF(INDEX('PROJETO PERFURAÇÃO'!$P:$P,MATCH(MEDIÇÃO!D880,'PROJETO PERFURAÇÃO'!$B:$B,0))="Production","P",IF(INDEX('PROJETO PERFURAÇÃO'!$P:$P,MATCH(MEDIÇÃO!D880,'PROJETO PERFURAÇÃO'!$B:$B,0))="Buffer","B",IF(INDEX('PROJETO PERFURAÇÃO'!$P:$P,MATCH(MEDIÇÃO!D880,'PROJETO PERFURAÇÃO'!$B:$B,0))="Pre-Splitting","S"))),"")</f>
        <v/>
      </c>
      <c r="D880" s="14">
        <f t="shared" si="84"/>
        <v>1940</v>
      </c>
      <c r="E880" s="4" t="str">
        <f>IFERROR(INDEX('LEV R&amp;D'!$D:$D,MATCH(MEDIÇÃO!D880,'LEV R&amp;D'!$A:$A,0))-INDEX('PROJETO PERFURAÇÃO'!$AH:$AH,MATCH(MEDIÇÃO!D880,'PROJETO PERFURAÇÃO'!$B:$B,0)),"")</f>
        <v/>
      </c>
      <c r="F880" s="8" t="str">
        <f>IFERROR(INDEX('PROJETO PERFURAÇÃO'!$AN:$AN,MATCH(MEDIÇÃO!D880,'PROJETO PERFURAÇÃO'!$B:$B,0)),"")</f>
        <v/>
      </c>
      <c r="G880" s="3"/>
      <c r="H880" s="3"/>
      <c r="I880" s="3" t="str">
        <f>IFERROR(ROUND(INDEX('PROJETO PERFURAÇÃO'!$AB:$AB,MATCH(MEDIÇÃO!K880,'PROJETO PERFURAÇÃO'!$B:$B,0)),1)&amp;"''","")</f>
        <v/>
      </c>
      <c r="J880" s="3" t="str">
        <f>IFERROR(IF(INDEX('PROJETO PERFURAÇÃO'!$P:$P,MATCH(MEDIÇÃO!K880,'PROJETO PERFURAÇÃO'!$B:$B,0))="Production","P",IF(INDEX('PROJETO PERFURAÇÃO'!$P:$P,MATCH(MEDIÇÃO!K880,'PROJETO PERFURAÇÃO'!$B:$B,0))="Buffer","B",IF(INDEX('PROJETO PERFURAÇÃO'!$P:$P,MATCH(MEDIÇÃO!K880,'PROJETO PERFURAÇÃO'!$B:$B,0))="Pre-Splitting","S"))),"")</f>
        <v/>
      </c>
      <c r="K880" s="14">
        <f t="shared" si="85"/>
        <v>1963</v>
      </c>
      <c r="L880" s="4" t="str">
        <f>IFERROR(INDEX('LEV R&amp;D'!$D:$D,MATCH(MEDIÇÃO!K880,'LEV R&amp;D'!$A:$A,0))-INDEX('PROJETO PERFURAÇÃO'!$AH:$AH,MATCH(MEDIÇÃO!K880,'PROJETO PERFURAÇÃO'!$B:$B,0)),"")</f>
        <v/>
      </c>
      <c r="M880" s="8" t="str">
        <f>IFERROR(INDEX('PROJETO PERFURAÇÃO'!$AN:$AN,MATCH(MEDIÇÃO!K880,'PROJETO PERFURAÇÃO'!$B:$B,0)),"")</f>
        <v/>
      </c>
      <c r="N880" s="3"/>
      <c r="O880" s="3"/>
      <c r="P880" s="3" t="str">
        <f>IFERROR(ROUND(INDEX('PROJETO PERFURAÇÃO'!$AB:$AB,MATCH(MEDIÇÃO!R880,'PROJETO PERFURAÇÃO'!$B:$B,0)),1)&amp;"''","")</f>
        <v/>
      </c>
      <c r="Q880" s="3" t="str">
        <f>IFERROR(IF(INDEX('PROJETO PERFURAÇÃO'!$P:$P,MATCH(MEDIÇÃO!R880,'PROJETO PERFURAÇÃO'!$B:$B,0))="Production","P",IF(INDEX('PROJETO PERFURAÇÃO'!$P:$P,MATCH(MEDIÇÃO!R880,'PROJETO PERFURAÇÃO'!$B:$B,0))="Buffer","B",IF(INDEX('PROJETO PERFURAÇÃO'!$P:$P,MATCH(MEDIÇÃO!R880,'PROJETO PERFURAÇÃO'!$B:$B,0))="Pre-Splitting","S"))),"")</f>
        <v/>
      </c>
      <c r="R880" s="14">
        <f t="shared" si="86"/>
        <v>1986</v>
      </c>
      <c r="S880" s="4" t="str">
        <f>IFERROR(INDEX('LEV R&amp;D'!$D:$D,MATCH(MEDIÇÃO!R880,'LEV R&amp;D'!$A:$A,0))-INDEX('PROJETO PERFURAÇÃO'!$AH:$AH,MATCH(MEDIÇÃO!R880,'PROJETO PERFURAÇÃO'!$B:$B,0)),"")</f>
        <v/>
      </c>
      <c r="T880" s="8" t="str">
        <f>IFERROR(INDEX('PROJETO PERFURAÇÃO'!$AN:$AN,MATCH(MEDIÇÃO!R880,'PROJETO PERFURAÇÃO'!$B:$B,0)),"")</f>
        <v/>
      </c>
      <c r="U880" s="3"/>
      <c r="V880" s="3"/>
    </row>
    <row r="881" spans="2:22" ht="45" customHeight="1">
      <c r="B881" s="3" t="str">
        <f>IFERROR(ROUND(INDEX('PROJETO PERFURAÇÃO'!$AB:$AB,MATCH(MEDIÇÃO!D881,'PROJETO PERFURAÇÃO'!$B:$B,0)),1)&amp;"''","")</f>
        <v/>
      </c>
      <c r="C881" s="3" t="str">
        <f>IFERROR(IF(INDEX('PROJETO PERFURAÇÃO'!$P:$P,MATCH(MEDIÇÃO!D881,'PROJETO PERFURAÇÃO'!$B:$B,0))="Production","P",IF(INDEX('PROJETO PERFURAÇÃO'!$P:$P,MATCH(MEDIÇÃO!D881,'PROJETO PERFURAÇÃO'!$B:$B,0))="Buffer","B",IF(INDEX('PROJETO PERFURAÇÃO'!$P:$P,MATCH(MEDIÇÃO!D881,'PROJETO PERFURAÇÃO'!$B:$B,0))="Pre-Splitting","S"))),"")</f>
        <v/>
      </c>
      <c r="D881" s="14">
        <f t="shared" si="84"/>
        <v>1941</v>
      </c>
      <c r="E881" s="4" t="str">
        <f>IFERROR(INDEX('LEV R&amp;D'!$D:$D,MATCH(MEDIÇÃO!D881,'LEV R&amp;D'!$A:$A,0))-INDEX('PROJETO PERFURAÇÃO'!$AH:$AH,MATCH(MEDIÇÃO!D881,'PROJETO PERFURAÇÃO'!$B:$B,0)),"")</f>
        <v/>
      </c>
      <c r="F881" s="8" t="str">
        <f>IFERROR(INDEX('PROJETO PERFURAÇÃO'!$AN:$AN,MATCH(MEDIÇÃO!D881,'PROJETO PERFURAÇÃO'!$B:$B,0)),"")</f>
        <v/>
      </c>
      <c r="G881" s="3"/>
      <c r="H881" s="3"/>
      <c r="I881" s="3" t="str">
        <f>IFERROR(ROUND(INDEX('PROJETO PERFURAÇÃO'!$AB:$AB,MATCH(MEDIÇÃO!K881,'PROJETO PERFURAÇÃO'!$B:$B,0)),1)&amp;"''","")</f>
        <v/>
      </c>
      <c r="J881" s="3" t="str">
        <f>IFERROR(IF(INDEX('PROJETO PERFURAÇÃO'!$P:$P,MATCH(MEDIÇÃO!K881,'PROJETO PERFURAÇÃO'!$B:$B,0))="Production","P",IF(INDEX('PROJETO PERFURAÇÃO'!$P:$P,MATCH(MEDIÇÃO!K881,'PROJETO PERFURAÇÃO'!$B:$B,0))="Buffer","B",IF(INDEX('PROJETO PERFURAÇÃO'!$P:$P,MATCH(MEDIÇÃO!K881,'PROJETO PERFURAÇÃO'!$B:$B,0))="Pre-Splitting","S"))),"")</f>
        <v/>
      </c>
      <c r="K881" s="14">
        <f t="shared" si="85"/>
        <v>1964</v>
      </c>
      <c r="L881" s="4" t="str">
        <f>IFERROR(INDEX('LEV R&amp;D'!$D:$D,MATCH(MEDIÇÃO!K881,'LEV R&amp;D'!$A:$A,0))-INDEX('PROJETO PERFURAÇÃO'!$AH:$AH,MATCH(MEDIÇÃO!K881,'PROJETO PERFURAÇÃO'!$B:$B,0)),"")</f>
        <v/>
      </c>
      <c r="M881" s="8" t="str">
        <f>IFERROR(INDEX('PROJETO PERFURAÇÃO'!$AN:$AN,MATCH(MEDIÇÃO!K881,'PROJETO PERFURAÇÃO'!$B:$B,0)),"")</f>
        <v/>
      </c>
      <c r="N881" s="3"/>
      <c r="O881" s="3"/>
      <c r="P881" s="3" t="str">
        <f>IFERROR(ROUND(INDEX('PROJETO PERFURAÇÃO'!$AB:$AB,MATCH(MEDIÇÃO!R881,'PROJETO PERFURAÇÃO'!$B:$B,0)),1)&amp;"''","")</f>
        <v/>
      </c>
      <c r="Q881" s="3" t="str">
        <f>IFERROR(IF(INDEX('PROJETO PERFURAÇÃO'!$P:$P,MATCH(MEDIÇÃO!R881,'PROJETO PERFURAÇÃO'!$B:$B,0))="Production","P",IF(INDEX('PROJETO PERFURAÇÃO'!$P:$P,MATCH(MEDIÇÃO!R881,'PROJETO PERFURAÇÃO'!$B:$B,0))="Buffer","B",IF(INDEX('PROJETO PERFURAÇÃO'!$P:$P,MATCH(MEDIÇÃO!R881,'PROJETO PERFURAÇÃO'!$B:$B,0))="Pre-Splitting","S"))),"")</f>
        <v/>
      </c>
      <c r="R881" s="14">
        <f t="shared" si="86"/>
        <v>1987</v>
      </c>
      <c r="S881" s="4" t="str">
        <f>IFERROR(INDEX('LEV R&amp;D'!$D:$D,MATCH(MEDIÇÃO!R881,'LEV R&amp;D'!$A:$A,0))-INDEX('PROJETO PERFURAÇÃO'!$AH:$AH,MATCH(MEDIÇÃO!R881,'PROJETO PERFURAÇÃO'!$B:$B,0)),"")</f>
        <v/>
      </c>
      <c r="T881" s="8" t="str">
        <f>IFERROR(INDEX('PROJETO PERFURAÇÃO'!$AN:$AN,MATCH(MEDIÇÃO!R881,'PROJETO PERFURAÇÃO'!$B:$B,0)),"")</f>
        <v/>
      </c>
      <c r="U881" s="3"/>
      <c r="V881" s="3"/>
    </row>
    <row r="882" spans="2:22" ht="45" customHeight="1">
      <c r="B882" s="3" t="str">
        <f>IFERROR(ROUND(INDEX('PROJETO PERFURAÇÃO'!$AB:$AB,MATCH(MEDIÇÃO!D882,'PROJETO PERFURAÇÃO'!$B:$B,0)),1)&amp;"''","")</f>
        <v/>
      </c>
      <c r="C882" s="3" t="str">
        <f>IFERROR(IF(INDEX('PROJETO PERFURAÇÃO'!$P:$P,MATCH(MEDIÇÃO!D882,'PROJETO PERFURAÇÃO'!$B:$B,0))="Production","P",IF(INDEX('PROJETO PERFURAÇÃO'!$P:$P,MATCH(MEDIÇÃO!D882,'PROJETO PERFURAÇÃO'!$B:$B,0))="Buffer","B",IF(INDEX('PROJETO PERFURAÇÃO'!$P:$P,MATCH(MEDIÇÃO!D882,'PROJETO PERFURAÇÃO'!$B:$B,0))="Pre-Splitting","S"))),"")</f>
        <v/>
      </c>
      <c r="D882" s="14">
        <f t="shared" si="84"/>
        <v>1942</v>
      </c>
      <c r="E882" s="4" t="str">
        <f>IFERROR(INDEX('LEV R&amp;D'!$D:$D,MATCH(MEDIÇÃO!D882,'LEV R&amp;D'!$A:$A,0))-INDEX('PROJETO PERFURAÇÃO'!$AH:$AH,MATCH(MEDIÇÃO!D882,'PROJETO PERFURAÇÃO'!$B:$B,0)),"")</f>
        <v/>
      </c>
      <c r="F882" s="8" t="str">
        <f>IFERROR(INDEX('PROJETO PERFURAÇÃO'!$AN:$AN,MATCH(MEDIÇÃO!D882,'PROJETO PERFURAÇÃO'!$B:$B,0)),"")</f>
        <v/>
      </c>
      <c r="G882" s="3"/>
      <c r="H882" s="3"/>
      <c r="I882" s="3" t="str">
        <f>IFERROR(ROUND(INDEX('PROJETO PERFURAÇÃO'!$AB:$AB,MATCH(MEDIÇÃO!K882,'PROJETO PERFURAÇÃO'!$B:$B,0)),1)&amp;"''","")</f>
        <v/>
      </c>
      <c r="J882" s="3" t="str">
        <f>IFERROR(IF(INDEX('PROJETO PERFURAÇÃO'!$P:$P,MATCH(MEDIÇÃO!K882,'PROJETO PERFURAÇÃO'!$B:$B,0))="Production","P",IF(INDEX('PROJETO PERFURAÇÃO'!$P:$P,MATCH(MEDIÇÃO!K882,'PROJETO PERFURAÇÃO'!$B:$B,0))="Buffer","B",IF(INDEX('PROJETO PERFURAÇÃO'!$P:$P,MATCH(MEDIÇÃO!K882,'PROJETO PERFURAÇÃO'!$B:$B,0))="Pre-Splitting","S"))),"")</f>
        <v/>
      </c>
      <c r="K882" s="14">
        <f t="shared" si="85"/>
        <v>1965</v>
      </c>
      <c r="L882" s="4" t="str">
        <f>IFERROR(INDEX('LEV R&amp;D'!$D:$D,MATCH(MEDIÇÃO!K882,'LEV R&amp;D'!$A:$A,0))-INDEX('PROJETO PERFURAÇÃO'!$AH:$AH,MATCH(MEDIÇÃO!K882,'PROJETO PERFURAÇÃO'!$B:$B,0)),"")</f>
        <v/>
      </c>
      <c r="M882" s="8" t="str">
        <f>IFERROR(INDEX('PROJETO PERFURAÇÃO'!$AN:$AN,MATCH(MEDIÇÃO!K882,'PROJETO PERFURAÇÃO'!$B:$B,0)),"")</f>
        <v/>
      </c>
      <c r="N882" s="3"/>
      <c r="O882" s="3"/>
      <c r="P882" s="3" t="str">
        <f>IFERROR(ROUND(INDEX('PROJETO PERFURAÇÃO'!$AB:$AB,MATCH(MEDIÇÃO!R882,'PROJETO PERFURAÇÃO'!$B:$B,0)),1)&amp;"''","")</f>
        <v/>
      </c>
      <c r="Q882" s="3" t="str">
        <f>IFERROR(IF(INDEX('PROJETO PERFURAÇÃO'!$P:$P,MATCH(MEDIÇÃO!R882,'PROJETO PERFURAÇÃO'!$B:$B,0))="Production","P",IF(INDEX('PROJETO PERFURAÇÃO'!$P:$P,MATCH(MEDIÇÃO!R882,'PROJETO PERFURAÇÃO'!$B:$B,0))="Buffer","B",IF(INDEX('PROJETO PERFURAÇÃO'!$P:$P,MATCH(MEDIÇÃO!R882,'PROJETO PERFURAÇÃO'!$B:$B,0))="Pre-Splitting","S"))),"")</f>
        <v/>
      </c>
      <c r="R882" s="14">
        <f t="shared" si="86"/>
        <v>1988</v>
      </c>
      <c r="S882" s="4" t="str">
        <f>IFERROR(INDEX('LEV R&amp;D'!$D:$D,MATCH(MEDIÇÃO!R882,'LEV R&amp;D'!$A:$A,0))-INDEX('PROJETO PERFURAÇÃO'!$AH:$AH,MATCH(MEDIÇÃO!R882,'PROJETO PERFURAÇÃO'!$B:$B,0)),"")</f>
        <v/>
      </c>
      <c r="T882" s="8" t="str">
        <f>IFERROR(INDEX('PROJETO PERFURAÇÃO'!$AN:$AN,MATCH(MEDIÇÃO!R882,'PROJETO PERFURAÇÃO'!$B:$B,0)),"")</f>
        <v/>
      </c>
      <c r="U882" s="3"/>
      <c r="V882" s="3"/>
    </row>
    <row r="883" spans="2:22" ht="45" customHeight="1">
      <c r="B883" s="3" t="str">
        <f>IFERROR(ROUND(INDEX('PROJETO PERFURAÇÃO'!$AB:$AB,MATCH(MEDIÇÃO!D883,'PROJETO PERFURAÇÃO'!$B:$B,0)),1)&amp;"''","")</f>
        <v/>
      </c>
      <c r="C883" s="3" t="str">
        <f>IFERROR(IF(INDEX('PROJETO PERFURAÇÃO'!$P:$P,MATCH(MEDIÇÃO!D883,'PROJETO PERFURAÇÃO'!$B:$B,0))="Production","P",IF(INDEX('PROJETO PERFURAÇÃO'!$P:$P,MATCH(MEDIÇÃO!D883,'PROJETO PERFURAÇÃO'!$B:$B,0))="Buffer","B",IF(INDEX('PROJETO PERFURAÇÃO'!$P:$P,MATCH(MEDIÇÃO!D883,'PROJETO PERFURAÇÃO'!$B:$B,0))="Pre-Splitting","S"))),"")</f>
        <v/>
      </c>
      <c r="D883" s="14">
        <f t="shared" si="84"/>
        <v>1943</v>
      </c>
      <c r="E883" s="4" t="str">
        <f>IFERROR(INDEX('LEV R&amp;D'!$D:$D,MATCH(MEDIÇÃO!D883,'LEV R&amp;D'!$A:$A,0))-INDEX('PROJETO PERFURAÇÃO'!$AH:$AH,MATCH(MEDIÇÃO!D883,'PROJETO PERFURAÇÃO'!$B:$B,0)),"")</f>
        <v/>
      </c>
      <c r="F883" s="8" t="str">
        <f>IFERROR(INDEX('PROJETO PERFURAÇÃO'!$AN:$AN,MATCH(MEDIÇÃO!D883,'PROJETO PERFURAÇÃO'!$B:$B,0)),"")</f>
        <v/>
      </c>
      <c r="G883" s="3"/>
      <c r="H883" s="3"/>
      <c r="I883" s="3" t="str">
        <f>IFERROR(ROUND(INDEX('PROJETO PERFURAÇÃO'!$AB:$AB,MATCH(MEDIÇÃO!K883,'PROJETO PERFURAÇÃO'!$B:$B,0)),1)&amp;"''","")</f>
        <v/>
      </c>
      <c r="J883" s="3" t="str">
        <f>IFERROR(IF(INDEX('PROJETO PERFURAÇÃO'!$P:$P,MATCH(MEDIÇÃO!K883,'PROJETO PERFURAÇÃO'!$B:$B,0))="Production","P",IF(INDEX('PROJETO PERFURAÇÃO'!$P:$P,MATCH(MEDIÇÃO!K883,'PROJETO PERFURAÇÃO'!$B:$B,0))="Buffer","B",IF(INDEX('PROJETO PERFURAÇÃO'!$P:$P,MATCH(MEDIÇÃO!K883,'PROJETO PERFURAÇÃO'!$B:$B,0))="Pre-Splitting","S"))),"")</f>
        <v/>
      </c>
      <c r="K883" s="14">
        <f t="shared" si="85"/>
        <v>1966</v>
      </c>
      <c r="L883" s="4" t="str">
        <f>IFERROR(INDEX('LEV R&amp;D'!$D:$D,MATCH(MEDIÇÃO!K883,'LEV R&amp;D'!$A:$A,0))-INDEX('PROJETO PERFURAÇÃO'!$AH:$AH,MATCH(MEDIÇÃO!K883,'PROJETO PERFURAÇÃO'!$B:$B,0)),"")</f>
        <v/>
      </c>
      <c r="M883" s="8" t="str">
        <f>IFERROR(INDEX('PROJETO PERFURAÇÃO'!$AN:$AN,MATCH(MEDIÇÃO!K883,'PROJETO PERFURAÇÃO'!$B:$B,0)),"")</f>
        <v/>
      </c>
      <c r="N883" s="3"/>
      <c r="O883" s="3"/>
      <c r="P883" s="3" t="str">
        <f>IFERROR(ROUND(INDEX('PROJETO PERFURAÇÃO'!$AB:$AB,MATCH(MEDIÇÃO!R883,'PROJETO PERFURAÇÃO'!$B:$B,0)),1)&amp;"''","")</f>
        <v/>
      </c>
      <c r="Q883" s="3" t="str">
        <f>IFERROR(IF(INDEX('PROJETO PERFURAÇÃO'!$P:$P,MATCH(MEDIÇÃO!R883,'PROJETO PERFURAÇÃO'!$B:$B,0))="Production","P",IF(INDEX('PROJETO PERFURAÇÃO'!$P:$P,MATCH(MEDIÇÃO!R883,'PROJETO PERFURAÇÃO'!$B:$B,0))="Buffer","B",IF(INDEX('PROJETO PERFURAÇÃO'!$P:$P,MATCH(MEDIÇÃO!R883,'PROJETO PERFURAÇÃO'!$B:$B,0))="Pre-Splitting","S"))),"")</f>
        <v/>
      </c>
      <c r="R883" s="14">
        <f t="shared" si="86"/>
        <v>1989</v>
      </c>
      <c r="S883" s="4" t="str">
        <f>IFERROR(INDEX('LEV R&amp;D'!$D:$D,MATCH(MEDIÇÃO!R883,'LEV R&amp;D'!$A:$A,0))-INDEX('PROJETO PERFURAÇÃO'!$AH:$AH,MATCH(MEDIÇÃO!R883,'PROJETO PERFURAÇÃO'!$B:$B,0)),"")</f>
        <v/>
      </c>
      <c r="T883" s="8" t="str">
        <f>IFERROR(INDEX('PROJETO PERFURAÇÃO'!$AN:$AN,MATCH(MEDIÇÃO!R883,'PROJETO PERFURAÇÃO'!$B:$B,0)),"")</f>
        <v/>
      </c>
      <c r="U883" s="3"/>
      <c r="V883" s="3"/>
    </row>
    <row r="884" spans="2:22" ht="45" customHeight="1">
      <c r="B884" s="3" t="str">
        <f>IFERROR(ROUND(INDEX('PROJETO PERFURAÇÃO'!$AB:$AB,MATCH(MEDIÇÃO!D884,'PROJETO PERFURAÇÃO'!$B:$B,0)),1)&amp;"''","")</f>
        <v/>
      </c>
      <c r="C884" s="3" t="str">
        <f>IFERROR(IF(INDEX('PROJETO PERFURAÇÃO'!$P:$P,MATCH(MEDIÇÃO!D884,'PROJETO PERFURAÇÃO'!$B:$B,0))="Production","P",IF(INDEX('PROJETO PERFURAÇÃO'!$P:$P,MATCH(MEDIÇÃO!D884,'PROJETO PERFURAÇÃO'!$B:$B,0))="Buffer","B",IF(INDEX('PROJETO PERFURAÇÃO'!$P:$P,MATCH(MEDIÇÃO!D884,'PROJETO PERFURAÇÃO'!$B:$B,0))="Pre-Splitting","S"))),"")</f>
        <v/>
      </c>
      <c r="D884" s="14">
        <f t="shared" si="84"/>
        <v>1944</v>
      </c>
      <c r="E884" s="4" t="str">
        <f>IFERROR(INDEX('LEV R&amp;D'!$D:$D,MATCH(MEDIÇÃO!D884,'LEV R&amp;D'!$A:$A,0))-INDEX('PROJETO PERFURAÇÃO'!$AH:$AH,MATCH(MEDIÇÃO!D884,'PROJETO PERFURAÇÃO'!$B:$B,0)),"")</f>
        <v/>
      </c>
      <c r="F884" s="8" t="str">
        <f>IFERROR(INDEX('PROJETO PERFURAÇÃO'!$AN:$AN,MATCH(MEDIÇÃO!D884,'PROJETO PERFURAÇÃO'!$B:$B,0)),"")</f>
        <v/>
      </c>
      <c r="G884" s="3"/>
      <c r="H884" s="3"/>
      <c r="I884" s="3" t="str">
        <f>IFERROR(ROUND(INDEX('PROJETO PERFURAÇÃO'!$AB:$AB,MATCH(MEDIÇÃO!K884,'PROJETO PERFURAÇÃO'!$B:$B,0)),1)&amp;"''","")</f>
        <v/>
      </c>
      <c r="J884" s="3" t="str">
        <f>IFERROR(IF(INDEX('PROJETO PERFURAÇÃO'!$P:$P,MATCH(MEDIÇÃO!K884,'PROJETO PERFURAÇÃO'!$B:$B,0))="Production","P",IF(INDEX('PROJETO PERFURAÇÃO'!$P:$P,MATCH(MEDIÇÃO!K884,'PROJETO PERFURAÇÃO'!$B:$B,0))="Buffer","B",IF(INDEX('PROJETO PERFURAÇÃO'!$P:$P,MATCH(MEDIÇÃO!K884,'PROJETO PERFURAÇÃO'!$B:$B,0))="Pre-Splitting","S"))),"")</f>
        <v/>
      </c>
      <c r="K884" s="14">
        <f t="shared" si="85"/>
        <v>1967</v>
      </c>
      <c r="L884" s="4" t="str">
        <f>IFERROR(INDEX('LEV R&amp;D'!$D:$D,MATCH(MEDIÇÃO!K884,'LEV R&amp;D'!$A:$A,0))-INDEX('PROJETO PERFURAÇÃO'!$AH:$AH,MATCH(MEDIÇÃO!K884,'PROJETO PERFURAÇÃO'!$B:$B,0)),"")</f>
        <v/>
      </c>
      <c r="M884" s="8" t="str">
        <f>IFERROR(INDEX('PROJETO PERFURAÇÃO'!$AN:$AN,MATCH(MEDIÇÃO!K884,'PROJETO PERFURAÇÃO'!$B:$B,0)),"")</f>
        <v/>
      </c>
      <c r="N884" s="3"/>
      <c r="O884" s="3"/>
      <c r="P884" s="3" t="str">
        <f>IFERROR(ROUND(INDEX('PROJETO PERFURAÇÃO'!$AB:$AB,MATCH(MEDIÇÃO!R884,'PROJETO PERFURAÇÃO'!$B:$B,0)),1)&amp;"''","")</f>
        <v/>
      </c>
      <c r="Q884" s="3" t="str">
        <f>IFERROR(IF(INDEX('PROJETO PERFURAÇÃO'!$P:$P,MATCH(MEDIÇÃO!R884,'PROJETO PERFURAÇÃO'!$B:$B,0))="Production","P",IF(INDEX('PROJETO PERFURAÇÃO'!$P:$P,MATCH(MEDIÇÃO!R884,'PROJETO PERFURAÇÃO'!$B:$B,0))="Buffer","B",IF(INDEX('PROJETO PERFURAÇÃO'!$P:$P,MATCH(MEDIÇÃO!R884,'PROJETO PERFURAÇÃO'!$B:$B,0))="Pre-Splitting","S"))),"")</f>
        <v/>
      </c>
      <c r="R884" s="14">
        <f t="shared" si="86"/>
        <v>1990</v>
      </c>
      <c r="S884" s="4" t="str">
        <f>IFERROR(INDEX('LEV R&amp;D'!$D:$D,MATCH(MEDIÇÃO!R884,'LEV R&amp;D'!$A:$A,0))-INDEX('PROJETO PERFURAÇÃO'!$AH:$AH,MATCH(MEDIÇÃO!R884,'PROJETO PERFURAÇÃO'!$B:$B,0)),"")</f>
        <v/>
      </c>
      <c r="T884" s="8" t="str">
        <f>IFERROR(INDEX('PROJETO PERFURAÇÃO'!$AN:$AN,MATCH(MEDIÇÃO!R884,'PROJETO PERFURAÇÃO'!$B:$B,0)),"")</f>
        <v/>
      </c>
      <c r="U884" s="3"/>
      <c r="V884" s="3"/>
    </row>
    <row r="885" spans="2:22" ht="45" customHeight="1">
      <c r="B885" s="3" t="str">
        <f>IFERROR(ROUND(INDEX('PROJETO PERFURAÇÃO'!$AB:$AB,MATCH(MEDIÇÃO!D885,'PROJETO PERFURAÇÃO'!$B:$B,0)),1)&amp;"''","")</f>
        <v/>
      </c>
      <c r="C885" s="3" t="str">
        <f>IFERROR(IF(INDEX('PROJETO PERFURAÇÃO'!$P:$P,MATCH(MEDIÇÃO!D885,'PROJETO PERFURAÇÃO'!$B:$B,0))="Production","P",IF(INDEX('PROJETO PERFURAÇÃO'!$P:$P,MATCH(MEDIÇÃO!D885,'PROJETO PERFURAÇÃO'!$B:$B,0))="Buffer","B",IF(INDEX('PROJETO PERFURAÇÃO'!$P:$P,MATCH(MEDIÇÃO!D885,'PROJETO PERFURAÇÃO'!$B:$B,0))="Pre-Splitting","S"))),"")</f>
        <v/>
      </c>
      <c r="D885" s="14">
        <f t="shared" si="84"/>
        <v>1945</v>
      </c>
      <c r="E885" s="4" t="str">
        <f>IFERROR(INDEX('LEV R&amp;D'!$D:$D,MATCH(MEDIÇÃO!D885,'LEV R&amp;D'!$A:$A,0))-INDEX('PROJETO PERFURAÇÃO'!$AH:$AH,MATCH(MEDIÇÃO!D885,'PROJETO PERFURAÇÃO'!$B:$B,0)),"")</f>
        <v/>
      </c>
      <c r="F885" s="8" t="str">
        <f>IFERROR(INDEX('PROJETO PERFURAÇÃO'!$AN:$AN,MATCH(MEDIÇÃO!D885,'PROJETO PERFURAÇÃO'!$B:$B,0)),"")</f>
        <v/>
      </c>
      <c r="G885" s="3"/>
      <c r="H885" s="3"/>
      <c r="I885" s="3" t="str">
        <f>IFERROR(ROUND(INDEX('PROJETO PERFURAÇÃO'!$AB:$AB,MATCH(MEDIÇÃO!K885,'PROJETO PERFURAÇÃO'!$B:$B,0)),1)&amp;"''","")</f>
        <v/>
      </c>
      <c r="J885" s="3" t="str">
        <f>IFERROR(IF(INDEX('PROJETO PERFURAÇÃO'!$P:$P,MATCH(MEDIÇÃO!K885,'PROJETO PERFURAÇÃO'!$B:$B,0))="Production","P",IF(INDEX('PROJETO PERFURAÇÃO'!$P:$P,MATCH(MEDIÇÃO!K885,'PROJETO PERFURAÇÃO'!$B:$B,0))="Buffer","B",IF(INDEX('PROJETO PERFURAÇÃO'!$P:$P,MATCH(MEDIÇÃO!K885,'PROJETO PERFURAÇÃO'!$B:$B,0))="Pre-Splitting","S"))),"")</f>
        <v/>
      </c>
      <c r="K885" s="14">
        <f t="shared" si="85"/>
        <v>1968</v>
      </c>
      <c r="L885" s="4" t="str">
        <f>IFERROR(INDEX('LEV R&amp;D'!$D:$D,MATCH(MEDIÇÃO!K885,'LEV R&amp;D'!$A:$A,0))-INDEX('PROJETO PERFURAÇÃO'!$AH:$AH,MATCH(MEDIÇÃO!K885,'PROJETO PERFURAÇÃO'!$B:$B,0)),"")</f>
        <v/>
      </c>
      <c r="M885" s="8" t="str">
        <f>IFERROR(INDEX('PROJETO PERFURAÇÃO'!$AN:$AN,MATCH(MEDIÇÃO!K885,'PROJETO PERFURAÇÃO'!$B:$B,0)),"")</f>
        <v/>
      </c>
      <c r="N885" s="3"/>
      <c r="O885" s="3"/>
      <c r="P885" s="3" t="str">
        <f>IFERROR(ROUND(INDEX('PROJETO PERFURAÇÃO'!$AB:$AB,MATCH(MEDIÇÃO!R885,'PROJETO PERFURAÇÃO'!$B:$B,0)),1)&amp;"''","")</f>
        <v/>
      </c>
      <c r="Q885" s="3" t="str">
        <f>IFERROR(IF(INDEX('PROJETO PERFURAÇÃO'!$P:$P,MATCH(MEDIÇÃO!R885,'PROJETO PERFURAÇÃO'!$B:$B,0))="Production","P",IF(INDEX('PROJETO PERFURAÇÃO'!$P:$P,MATCH(MEDIÇÃO!R885,'PROJETO PERFURAÇÃO'!$B:$B,0))="Buffer","B",IF(INDEX('PROJETO PERFURAÇÃO'!$P:$P,MATCH(MEDIÇÃO!R885,'PROJETO PERFURAÇÃO'!$B:$B,0))="Pre-Splitting","S"))),"")</f>
        <v/>
      </c>
      <c r="R885" s="14">
        <f t="shared" si="86"/>
        <v>1991</v>
      </c>
      <c r="S885" s="4" t="str">
        <f>IFERROR(INDEX('LEV R&amp;D'!$D:$D,MATCH(MEDIÇÃO!R885,'LEV R&amp;D'!$A:$A,0))-INDEX('PROJETO PERFURAÇÃO'!$AH:$AH,MATCH(MEDIÇÃO!R885,'PROJETO PERFURAÇÃO'!$B:$B,0)),"")</f>
        <v/>
      </c>
      <c r="T885" s="8" t="str">
        <f>IFERROR(INDEX('PROJETO PERFURAÇÃO'!$AN:$AN,MATCH(MEDIÇÃO!R885,'PROJETO PERFURAÇÃO'!$B:$B,0)),"")</f>
        <v/>
      </c>
      <c r="U885" s="3"/>
      <c r="V885" s="3"/>
    </row>
    <row r="886" spans="2:22" ht="45" customHeight="1">
      <c r="B886" s="3" t="str">
        <f>IFERROR(ROUND(INDEX('PROJETO PERFURAÇÃO'!$AB:$AB,MATCH(MEDIÇÃO!D886,'PROJETO PERFURAÇÃO'!$B:$B,0)),1)&amp;"''","")</f>
        <v/>
      </c>
      <c r="C886" s="3" t="str">
        <f>IFERROR(IF(INDEX('PROJETO PERFURAÇÃO'!$P:$P,MATCH(MEDIÇÃO!D886,'PROJETO PERFURAÇÃO'!$B:$B,0))="Production","P",IF(INDEX('PROJETO PERFURAÇÃO'!$P:$P,MATCH(MEDIÇÃO!D886,'PROJETO PERFURAÇÃO'!$B:$B,0))="Buffer","B",IF(INDEX('PROJETO PERFURAÇÃO'!$P:$P,MATCH(MEDIÇÃO!D886,'PROJETO PERFURAÇÃO'!$B:$B,0))="Pre-Splitting","S"))),"")</f>
        <v/>
      </c>
      <c r="D886" s="14">
        <f t="shared" si="84"/>
        <v>1946</v>
      </c>
      <c r="E886" s="4" t="str">
        <f>IFERROR(INDEX('LEV R&amp;D'!$D:$D,MATCH(MEDIÇÃO!D886,'LEV R&amp;D'!$A:$A,0))-INDEX('PROJETO PERFURAÇÃO'!$AH:$AH,MATCH(MEDIÇÃO!D886,'PROJETO PERFURAÇÃO'!$B:$B,0)),"")</f>
        <v/>
      </c>
      <c r="F886" s="8" t="str">
        <f>IFERROR(INDEX('PROJETO PERFURAÇÃO'!$AN:$AN,MATCH(MEDIÇÃO!D886,'PROJETO PERFURAÇÃO'!$B:$B,0)),"")</f>
        <v/>
      </c>
      <c r="G886" s="3"/>
      <c r="H886" s="3"/>
      <c r="I886" s="3" t="str">
        <f>IFERROR(ROUND(INDEX('PROJETO PERFURAÇÃO'!$AB:$AB,MATCH(MEDIÇÃO!K886,'PROJETO PERFURAÇÃO'!$B:$B,0)),1)&amp;"''","")</f>
        <v/>
      </c>
      <c r="J886" s="3" t="str">
        <f>IFERROR(IF(INDEX('PROJETO PERFURAÇÃO'!$P:$P,MATCH(MEDIÇÃO!K886,'PROJETO PERFURAÇÃO'!$B:$B,0))="Production","P",IF(INDEX('PROJETO PERFURAÇÃO'!$P:$P,MATCH(MEDIÇÃO!K886,'PROJETO PERFURAÇÃO'!$B:$B,0))="Buffer","B",IF(INDEX('PROJETO PERFURAÇÃO'!$P:$P,MATCH(MEDIÇÃO!K886,'PROJETO PERFURAÇÃO'!$B:$B,0))="Pre-Splitting","S"))),"")</f>
        <v/>
      </c>
      <c r="K886" s="14">
        <f t="shared" si="85"/>
        <v>1969</v>
      </c>
      <c r="L886" s="4" t="str">
        <f>IFERROR(INDEX('LEV R&amp;D'!$D:$D,MATCH(MEDIÇÃO!K886,'LEV R&amp;D'!$A:$A,0))-INDEX('PROJETO PERFURAÇÃO'!$AH:$AH,MATCH(MEDIÇÃO!K886,'PROJETO PERFURAÇÃO'!$B:$B,0)),"")</f>
        <v/>
      </c>
      <c r="M886" s="8" t="str">
        <f>IFERROR(INDEX('PROJETO PERFURAÇÃO'!$AN:$AN,MATCH(MEDIÇÃO!K886,'PROJETO PERFURAÇÃO'!$B:$B,0)),"")</f>
        <v/>
      </c>
      <c r="N886" s="3"/>
      <c r="O886" s="3"/>
      <c r="P886" s="3" t="str">
        <f>IFERROR(ROUND(INDEX('PROJETO PERFURAÇÃO'!$AB:$AB,MATCH(MEDIÇÃO!R886,'PROJETO PERFURAÇÃO'!$B:$B,0)),1)&amp;"''","")</f>
        <v/>
      </c>
      <c r="Q886" s="3" t="str">
        <f>IFERROR(IF(INDEX('PROJETO PERFURAÇÃO'!$P:$P,MATCH(MEDIÇÃO!R886,'PROJETO PERFURAÇÃO'!$B:$B,0))="Production","P",IF(INDEX('PROJETO PERFURAÇÃO'!$P:$P,MATCH(MEDIÇÃO!R886,'PROJETO PERFURAÇÃO'!$B:$B,0))="Buffer","B",IF(INDEX('PROJETO PERFURAÇÃO'!$P:$P,MATCH(MEDIÇÃO!R886,'PROJETO PERFURAÇÃO'!$B:$B,0))="Pre-Splitting","S"))),"")</f>
        <v/>
      </c>
      <c r="R886" s="14">
        <f t="shared" si="86"/>
        <v>1992</v>
      </c>
      <c r="S886" s="4" t="str">
        <f>IFERROR(INDEX('LEV R&amp;D'!$D:$D,MATCH(MEDIÇÃO!R886,'LEV R&amp;D'!$A:$A,0))-INDEX('PROJETO PERFURAÇÃO'!$AH:$AH,MATCH(MEDIÇÃO!R886,'PROJETO PERFURAÇÃO'!$B:$B,0)),"")</f>
        <v/>
      </c>
      <c r="T886" s="8" t="str">
        <f>IFERROR(INDEX('PROJETO PERFURAÇÃO'!$AN:$AN,MATCH(MEDIÇÃO!R886,'PROJETO PERFURAÇÃO'!$B:$B,0)),"")</f>
        <v/>
      </c>
      <c r="U886" s="3"/>
      <c r="V886" s="3"/>
    </row>
    <row r="887" spans="2:22" ht="45" customHeight="1">
      <c r="B887" s="3" t="str">
        <f>IFERROR(ROUND(INDEX('PROJETO PERFURAÇÃO'!$AB:$AB,MATCH(MEDIÇÃO!D887,'PROJETO PERFURAÇÃO'!$B:$B,0)),1)&amp;"''","")</f>
        <v/>
      </c>
      <c r="C887" s="3" t="str">
        <f>IFERROR(IF(INDEX('PROJETO PERFURAÇÃO'!$P:$P,MATCH(MEDIÇÃO!D887,'PROJETO PERFURAÇÃO'!$B:$B,0))="Production","P",IF(INDEX('PROJETO PERFURAÇÃO'!$P:$P,MATCH(MEDIÇÃO!D887,'PROJETO PERFURAÇÃO'!$B:$B,0))="Buffer","B",IF(INDEX('PROJETO PERFURAÇÃO'!$P:$P,MATCH(MEDIÇÃO!D887,'PROJETO PERFURAÇÃO'!$B:$B,0))="Pre-Splitting","S"))),"")</f>
        <v/>
      </c>
      <c r="D887" s="14">
        <f t="shared" si="84"/>
        <v>1947</v>
      </c>
      <c r="E887" s="4" t="str">
        <f>IFERROR(INDEX('LEV R&amp;D'!$D:$D,MATCH(MEDIÇÃO!D887,'LEV R&amp;D'!$A:$A,0))-INDEX('PROJETO PERFURAÇÃO'!$AH:$AH,MATCH(MEDIÇÃO!D887,'PROJETO PERFURAÇÃO'!$B:$B,0)),"")</f>
        <v/>
      </c>
      <c r="F887" s="8" t="str">
        <f>IFERROR(INDEX('PROJETO PERFURAÇÃO'!$AN:$AN,MATCH(MEDIÇÃO!D887,'PROJETO PERFURAÇÃO'!$B:$B,0)),"")</f>
        <v/>
      </c>
      <c r="G887" s="3"/>
      <c r="H887" s="3"/>
      <c r="I887" s="3" t="str">
        <f>IFERROR(ROUND(INDEX('PROJETO PERFURAÇÃO'!$AB:$AB,MATCH(MEDIÇÃO!K887,'PROJETO PERFURAÇÃO'!$B:$B,0)),1)&amp;"''","")</f>
        <v/>
      </c>
      <c r="J887" s="3" t="str">
        <f>IFERROR(IF(INDEX('PROJETO PERFURAÇÃO'!$P:$P,MATCH(MEDIÇÃO!K887,'PROJETO PERFURAÇÃO'!$B:$B,0))="Production","P",IF(INDEX('PROJETO PERFURAÇÃO'!$P:$P,MATCH(MEDIÇÃO!K887,'PROJETO PERFURAÇÃO'!$B:$B,0))="Buffer","B",IF(INDEX('PROJETO PERFURAÇÃO'!$P:$P,MATCH(MEDIÇÃO!K887,'PROJETO PERFURAÇÃO'!$B:$B,0))="Pre-Splitting","S"))),"")</f>
        <v/>
      </c>
      <c r="K887" s="14">
        <f t="shared" si="85"/>
        <v>1970</v>
      </c>
      <c r="L887" s="4" t="str">
        <f>IFERROR(INDEX('LEV R&amp;D'!$D:$D,MATCH(MEDIÇÃO!K887,'LEV R&amp;D'!$A:$A,0))-INDEX('PROJETO PERFURAÇÃO'!$AH:$AH,MATCH(MEDIÇÃO!K887,'PROJETO PERFURAÇÃO'!$B:$B,0)),"")</f>
        <v/>
      </c>
      <c r="M887" s="8" t="str">
        <f>IFERROR(INDEX('PROJETO PERFURAÇÃO'!$AN:$AN,MATCH(MEDIÇÃO!K887,'PROJETO PERFURAÇÃO'!$B:$B,0)),"")</f>
        <v/>
      </c>
      <c r="N887" s="3"/>
      <c r="O887" s="3"/>
      <c r="P887" s="3" t="str">
        <f>IFERROR(ROUND(INDEX('PROJETO PERFURAÇÃO'!$AB:$AB,MATCH(MEDIÇÃO!R887,'PROJETO PERFURAÇÃO'!$B:$B,0)),1)&amp;"''","")</f>
        <v/>
      </c>
      <c r="Q887" s="3" t="str">
        <f>IFERROR(IF(INDEX('PROJETO PERFURAÇÃO'!$P:$P,MATCH(MEDIÇÃO!R887,'PROJETO PERFURAÇÃO'!$B:$B,0))="Production","P",IF(INDEX('PROJETO PERFURAÇÃO'!$P:$P,MATCH(MEDIÇÃO!R887,'PROJETO PERFURAÇÃO'!$B:$B,0))="Buffer","B",IF(INDEX('PROJETO PERFURAÇÃO'!$P:$P,MATCH(MEDIÇÃO!R887,'PROJETO PERFURAÇÃO'!$B:$B,0))="Pre-Splitting","S"))),"")</f>
        <v/>
      </c>
      <c r="R887" s="14">
        <f t="shared" si="86"/>
        <v>1993</v>
      </c>
      <c r="S887" s="4" t="str">
        <f>IFERROR(INDEX('LEV R&amp;D'!$D:$D,MATCH(MEDIÇÃO!R887,'LEV R&amp;D'!$A:$A,0))-INDEX('PROJETO PERFURAÇÃO'!$AH:$AH,MATCH(MEDIÇÃO!R887,'PROJETO PERFURAÇÃO'!$B:$B,0)),"")</f>
        <v/>
      </c>
      <c r="T887" s="8" t="str">
        <f>IFERROR(INDEX('PROJETO PERFURAÇÃO'!$AN:$AN,MATCH(MEDIÇÃO!R887,'PROJETO PERFURAÇÃO'!$B:$B,0)),"")</f>
        <v/>
      </c>
      <c r="U887" s="3"/>
      <c r="V887" s="3"/>
    </row>
    <row r="888" spans="2:22" ht="45" customHeight="1">
      <c r="B888" s="3" t="str">
        <f>IFERROR(ROUND(INDEX('PROJETO PERFURAÇÃO'!$AB:$AB,MATCH(MEDIÇÃO!D888,'PROJETO PERFURAÇÃO'!$B:$B,0)),1)&amp;"''","")</f>
        <v/>
      </c>
      <c r="C888" s="3" t="str">
        <f>IFERROR(IF(INDEX('PROJETO PERFURAÇÃO'!$P:$P,MATCH(MEDIÇÃO!D888,'PROJETO PERFURAÇÃO'!$B:$B,0))="Production","P",IF(INDEX('PROJETO PERFURAÇÃO'!$P:$P,MATCH(MEDIÇÃO!D888,'PROJETO PERFURAÇÃO'!$B:$B,0))="Buffer","B",IF(INDEX('PROJETO PERFURAÇÃO'!$P:$P,MATCH(MEDIÇÃO!D888,'PROJETO PERFURAÇÃO'!$B:$B,0))="Pre-Splitting","S"))),"")</f>
        <v/>
      </c>
      <c r="D888" s="14">
        <f t="shared" si="84"/>
        <v>1948</v>
      </c>
      <c r="E888" s="4" t="str">
        <f>IFERROR(INDEX('LEV R&amp;D'!$D:$D,MATCH(MEDIÇÃO!D888,'LEV R&amp;D'!$A:$A,0))-INDEX('PROJETO PERFURAÇÃO'!$AH:$AH,MATCH(MEDIÇÃO!D888,'PROJETO PERFURAÇÃO'!$B:$B,0)),"")</f>
        <v/>
      </c>
      <c r="F888" s="8" t="str">
        <f>IFERROR(INDEX('PROJETO PERFURAÇÃO'!$AN:$AN,MATCH(MEDIÇÃO!D888,'PROJETO PERFURAÇÃO'!$B:$B,0)),"")</f>
        <v/>
      </c>
      <c r="G888" s="3"/>
      <c r="H888" s="3"/>
      <c r="I888" s="3" t="str">
        <f>IFERROR(ROUND(INDEX('PROJETO PERFURAÇÃO'!$AB:$AB,MATCH(MEDIÇÃO!K888,'PROJETO PERFURAÇÃO'!$B:$B,0)),1)&amp;"''","")</f>
        <v/>
      </c>
      <c r="J888" s="3" t="str">
        <f>IFERROR(IF(INDEX('PROJETO PERFURAÇÃO'!$P:$P,MATCH(MEDIÇÃO!K888,'PROJETO PERFURAÇÃO'!$B:$B,0))="Production","P",IF(INDEX('PROJETO PERFURAÇÃO'!$P:$P,MATCH(MEDIÇÃO!K888,'PROJETO PERFURAÇÃO'!$B:$B,0))="Buffer","B",IF(INDEX('PROJETO PERFURAÇÃO'!$P:$P,MATCH(MEDIÇÃO!K888,'PROJETO PERFURAÇÃO'!$B:$B,0))="Pre-Splitting","S"))),"")</f>
        <v/>
      </c>
      <c r="K888" s="14">
        <f t="shared" si="85"/>
        <v>1971</v>
      </c>
      <c r="L888" s="4" t="str">
        <f>IFERROR(INDEX('LEV R&amp;D'!$D:$D,MATCH(MEDIÇÃO!K888,'LEV R&amp;D'!$A:$A,0))-INDEX('PROJETO PERFURAÇÃO'!$AH:$AH,MATCH(MEDIÇÃO!K888,'PROJETO PERFURAÇÃO'!$B:$B,0)),"")</f>
        <v/>
      </c>
      <c r="M888" s="8" t="str">
        <f>IFERROR(INDEX('PROJETO PERFURAÇÃO'!$AN:$AN,MATCH(MEDIÇÃO!K888,'PROJETO PERFURAÇÃO'!$B:$B,0)),"")</f>
        <v/>
      </c>
      <c r="N888" s="3"/>
      <c r="O888" s="3"/>
      <c r="P888" s="3" t="str">
        <f>IFERROR(ROUND(INDEX('PROJETO PERFURAÇÃO'!$AB:$AB,MATCH(MEDIÇÃO!R888,'PROJETO PERFURAÇÃO'!$B:$B,0)),1)&amp;"''","")</f>
        <v/>
      </c>
      <c r="Q888" s="3" t="str">
        <f>IFERROR(IF(INDEX('PROJETO PERFURAÇÃO'!$P:$P,MATCH(MEDIÇÃO!R888,'PROJETO PERFURAÇÃO'!$B:$B,0))="Production","P",IF(INDEX('PROJETO PERFURAÇÃO'!$P:$P,MATCH(MEDIÇÃO!R888,'PROJETO PERFURAÇÃO'!$B:$B,0))="Buffer","B",IF(INDEX('PROJETO PERFURAÇÃO'!$P:$P,MATCH(MEDIÇÃO!R888,'PROJETO PERFURAÇÃO'!$B:$B,0))="Pre-Splitting","S"))),"")</f>
        <v/>
      </c>
      <c r="R888" s="14">
        <f t="shared" si="86"/>
        <v>1994</v>
      </c>
      <c r="S888" s="4" t="str">
        <f>IFERROR(INDEX('LEV R&amp;D'!$D:$D,MATCH(MEDIÇÃO!R888,'LEV R&amp;D'!$A:$A,0))-INDEX('PROJETO PERFURAÇÃO'!$AH:$AH,MATCH(MEDIÇÃO!R888,'PROJETO PERFURAÇÃO'!$B:$B,0)),"")</f>
        <v/>
      </c>
      <c r="T888" s="8" t="str">
        <f>IFERROR(INDEX('PROJETO PERFURAÇÃO'!$AN:$AN,MATCH(MEDIÇÃO!R888,'PROJETO PERFURAÇÃO'!$B:$B,0)),"")</f>
        <v/>
      </c>
      <c r="U888" s="3"/>
      <c r="V888" s="3"/>
    </row>
    <row r="889" spans="2:22" ht="45" customHeight="1">
      <c r="B889" s="3" t="str">
        <f>IFERROR(ROUND(INDEX('PROJETO PERFURAÇÃO'!$AB:$AB,MATCH(MEDIÇÃO!D889,'PROJETO PERFURAÇÃO'!$B:$B,0)),1)&amp;"''","")</f>
        <v/>
      </c>
      <c r="C889" s="3" t="str">
        <f>IFERROR(IF(INDEX('PROJETO PERFURAÇÃO'!$P:$P,MATCH(MEDIÇÃO!D889,'PROJETO PERFURAÇÃO'!$B:$B,0))="Production","P",IF(INDEX('PROJETO PERFURAÇÃO'!$P:$P,MATCH(MEDIÇÃO!D889,'PROJETO PERFURAÇÃO'!$B:$B,0))="Buffer","B",IF(INDEX('PROJETO PERFURAÇÃO'!$P:$P,MATCH(MEDIÇÃO!D889,'PROJETO PERFURAÇÃO'!$B:$B,0))="Pre-Splitting","S"))),"")</f>
        <v/>
      </c>
      <c r="D889" s="14">
        <f t="shared" si="84"/>
        <v>1949</v>
      </c>
      <c r="E889" s="4" t="str">
        <f>IFERROR(INDEX('LEV R&amp;D'!$D:$D,MATCH(MEDIÇÃO!D889,'LEV R&amp;D'!$A:$A,0))-INDEX('PROJETO PERFURAÇÃO'!$AH:$AH,MATCH(MEDIÇÃO!D889,'PROJETO PERFURAÇÃO'!$B:$B,0)),"")</f>
        <v/>
      </c>
      <c r="F889" s="8" t="str">
        <f>IFERROR(INDEX('PROJETO PERFURAÇÃO'!$AN:$AN,MATCH(MEDIÇÃO!D889,'PROJETO PERFURAÇÃO'!$B:$B,0)),"")</f>
        <v/>
      </c>
      <c r="G889" s="3"/>
      <c r="H889" s="3"/>
      <c r="I889" s="3" t="str">
        <f>IFERROR(ROUND(INDEX('PROJETO PERFURAÇÃO'!$AB:$AB,MATCH(MEDIÇÃO!K889,'PROJETO PERFURAÇÃO'!$B:$B,0)),1)&amp;"''","")</f>
        <v/>
      </c>
      <c r="J889" s="3" t="str">
        <f>IFERROR(IF(INDEX('PROJETO PERFURAÇÃO'!$P:$P,MATCH(MEDIÇÃO!K889,'PROJETO PERFURAÇÃO'!$B:$B,0))="Production","P",IF(INDEX('PROJETO PERFURAÇÃO'!$P:$P,MATCH(MEDIÇÃO!K889,'PROJETO PERFURAÇÃO'!$B:$B,0))="Buffer","B",IF(INDEX('PROJETO PERFURAÇÃO'!$P:$P,MATCH(MEDIÇÃO!K889,'PROJETO PERFURAÇÃO'!$B:$B,0))="Pre-Splitting","S"))),"")</f>
        <v/>
      </c>
      <c r="K889" s="14">
        <f t="shared" si="85"/>
        <v>1972</v>
      </c>
      <c r="L889" s="4" t="str">
        <f>IFERROR(INDEX('LEV R&amp;D'!$D:$D,MATCH(MEDIÇÃO!K889,'LEV R&amp;D'!$A:$A,0))-INDEX('PROJETO PERFURAÇÃO'!$AH:$AH,MATCH(MEDIÇÃO!K889,'PROJETO PERFURAÇÃO'!$B:$B,0)),"")</f>
        <v/>
      </c>
      <c r="M889" s="8" t="str">
        <f>IFERROR(INDEX('PROJETO PERFURAÇÃO'!$AN:$AN,MATCH(MEDIÇÃO!K889,'PROJETO PERFURAÇÃO'!$B:$B,0)),"")</f>
        <v/>
      </c>
      <c r="N889" s="3"/>
      <c r="O889" s="3"/>
      <c r="P889" s="3" t="str">
        <f>IFERROR(ROUND(INDEX('PROJETO PERFURAÇÃO'!$AB:$AB,MATCH(MEDIÇÃO!R889,'PROJETO PERFURAÇÃO'!$B:$B,0)),1)&amp;"''","")</f>
        <v/>
      </c>
      <c r="Q889" s="3" t="str">
        <f>IFERROR(IF(INDEX('PROJETO PERFURAÇÃO'!$P:$P,MATCH(MEDIÇÃO!R889,'PROJETO PERFURAÇÃO'!$B:$B,0))="Production","P",IF(INDEX('PROJETO PERFURAÇÃO'!$P:$P,MATCH(MEDIÇÃO!R889,'PROJETO PERFURAÇÃO'!$B:$B,0))="Buffer","B",IF(INDEX('PROJETO PERFURAÇÃO'!$P:$P,MATCH(MEDIÇÃO!R889,'PROJETO PERFURAÇÃO'!$B:$B,0))="Pre-Splitting","S"))),"")</f>
        <v/>
      </c>
      <c r="R889" s="14">
        <f t="shared" si="86"/>
        <v>1995</v>
      </c>
      <c r="S889" s="4" t="str">
        <f>IFERROR(INDEX('LEV R&amp;D'!$D:$D,MATCH(MEDIÇÃO!R889,'LEV R&amp;D'!$A:$A,0))-INDEX('PROJETO PERFURAÇÃO'!$AH:$AH,MATCH(MEDIÇÃO!R889,'PROJETO PERFURAÇÃO'!$B:$B,0)),"")</f>
        <v/>
      </c>
      <c r="T889" s="8" t="str">
        <f>IFERROR(INDEX('PROJETO PERFURAÇÃO'!$AN:$AN,MATCH(MEDIÇÃO!R889,'PROJETO PERFURAÇÃO'!$B:$B,0)),"")</f>
        <v/>
      </c>
      <c r="U889" s="3"/>
      <c r="V889" s="3"/>
    </row>
    <row r="890" spans="2:22" ht="45" customHeight="1">
      <c r="B890" s="3" t="str">
        <f>IFERROR(ROUND(INDEX('PROJETO PERFURAÇÃO'!$AB:$AB,MATCH(MEDIÇÃO!D890,'PROJETO PERFURAÇÃO'!$B:$B,0)),1)&amp;"''","")</f>
        <v/>
      </c>
      <c r="C890" s="3" t="str">
        <f>IFERROR(IF(INDEX('PROJETO PERFURAÇÃO'!$P:$P,MATCH(MEDIÇÃO!D890,'PROJETO PERFURAÇÃO'!$B:$B,0))="Production","P",IF(INDEX('PROJETO PERFURAÇÃO'!$P:$P,MATCH(MEDIÇÃO!D890,'PROJETO PERFURAÇÃO'!$B:$B,0))="Buffer","B",IF(INDEX('PROJETO PERFURAÇÃO'!$P:$P,MATCH(MEDIÇÃO!D890,'PROJETO PERFURAÇÃO'!$B:$B,0))="Pre-Splitting","S"))),"")</f>
        <v/>
      </c>
      <c r="D890" s="14">
        <f t="shared" si="84"/>
        <v>1950</v>
      </c>
      <c r="E890" s="4" t="str">
        <f>IFERROR(INDEX('LEV R&amp;D'!$D:$D,MATCH(MEDIÇÃO!D890,'LEV R&amp;D'!$A:$A,0))-INDEX('PROJETO PERFURAÇÃO'!$AH:$AH,MATCH(MEDIÇÃO!D890,'PROJETO PERFURAÇÃO'!$B:$B,0)),"")</f>
        <v/>
      </c>
      <c r="F890" s="8" t="str">
        <f>IFERROR(INDEX('PROJETO PERFURAÇÃO'!$AN:$AN,MATCH(MEDIÇÃO!D890,'PROJETO PERFURAÇÃO'!$B:$B,0)),"")</f>
        <v/>
      </c>
      <c r="G890" s="3"/>
      <c r="H890" s="3"/>
      <c r="I890" s="3" t="str">
        <f>IFERROR(ROUND(INDEX('PROJETO PERFURAÇÃO'!$AB:$AB,MATCH(MEDIÇÃO!K890,'PROJETO PERFURAÇÃO'!$B:$B,0)),1)&amp;"''","")</f>
        <v/>
      </c>
      <c r="J890" s="3" t="str">
        <f>IFERROR(IF(INDEX('PROJETO PERFURAÇÃO'!$P:$P,MATCH(MEDIÇÃO!K890,'PROJETO PERFURAÇÃO'!$B:$B,0))="Production","P",IF(INDEX('PROJETO PERFURAÇÃO'!$P:$P,MATCH(MEDIÇÃO!K890,'PROJETO PERFURAÇÃO'!$B:$B,0))="Buffer","B",IF(INDEX('PROJETO PERFURAÇÃO'!$P:$P,MATCH(MEDIÇÃO!K890,'PROJETO PERFURAÇÃO'!$B:$B,0))="Pre-Splitting","S"))),"")</f>
        <v/>
      </c>
      <c r="K890" s="14">
        <f t="shared" si="85"/>
        <v>1973</v>
      </c>
      <c r="L890" s="4" t="str">
        <f>IFERROR(INDEX('LEV R&amp;D'!$D:$D,MATCH(MEDIÇÃO!K890,'LEV R&amp;D'!$A:$A,0))-INDEX('PROJETO PERFURAÇÃO'!$AH:$AH,MATCH(MEDIÇÃO!K890,'PROJETO PERFURAÇÃO'!$B:$B,0)),"")</f>
        <v/>
      </c>
      <c r="M890" s="8" t="str">
        <f>IFERROR(INDEX('PROJETO PERFURAÇÃO'!$AN:$AN,MATCH(MEDIÇÃO!K890,'PROJETO PERFURAÇÃO'!$B:$B,0)),"")</f>
        <v/>
      </c>
      <c r="N890" s="3"/>
      <c r="O890" s="3"/>
      <c r="P890" s="3" t="str">
        <f>IFERROR(ROUND(INDEX('PROJETO PERFURAÇÃO'!$AB:$AB,MATCH(MEDIÇÃO!R890,'PROJETO PERFURAÇÃO'!$B:$B,0)),1)&amp;"''","")</f>
        <v/>
      </c>
      <c r="Q890" s="3" t="str">
        <f>IFERROR(IF(INDEX('PROJETO PERFURAÇÃO'!$P:$P,MATCH(MEDIÇÃO!R890,'PROJETO PERFURAÇÃO'!$B:$B,0))="Production","P",IF(INDEX('PROJETO PERFURAÇÃO'!$P:$P,MATCH(MEDIÇÃO!R890,'PROJETO PERFURAÇÃO'!$B:$B,0))="Buffer","B",IF(INDEX('PROJETO PERFURAÇÃO'!$P:$P,MATCH(MEDIÇÃO!R890,'PROJETO PERFURAÇÃO'!$B:$B,0))="Pre-Splitting","S"))),"")</f>
        <v/>
      </c>
      <c r="R890" s="14">
        <f t="shared" si="86"/>
        <v>1996</v>
      </c>
      <c r="S890" s="4" t="str">
        <f>IFERROR(INDEX('LEV R&amp;D'!$D:$D,MATCH(MEDIÇÃO!R890,'LEV R&amp;D'!$A:$A,0))-INDEX('PROJETO PERFURAÇÃO'!$AH:$AH,MATCH(MEDIÇÃO!R890,'PROJETO PERFURAÇÃO'!$B:$B,0)),"")</f>
        <v/>
      </c>
      <c r="T890" s="8" t="str">
        <f>IFERROR(INDEX('PROJETO PERFURAÇÃO'!$AN:$AN,MATCH(MEDIÇÃO!R890,'PROJETO PERFURAÇÃO'!$B:$B,0)),"")</f>
        <v/>
      </c>
      <c r="U890" s="3"/>
      <c r="V890" s="3"/>
    </row>
    <row r="891" spans="2:22" ht="45" customHeight="1">
      <c r="B891" s="3" t="str">
        <f>IFERROR(ROUND(INDEX('PROJETO PERFURAÇÃO'!$AB:$AB,MATCH(MEDIÇÃO!D891,'PROJETO PERFURAÇÃO'!$B:$B,0)),1)&amp;"''","")</f>
        <v/>
      </c>
      <c r="C891" s="3" t="str">
        <f>IFERROR(IF(INDEX('PROJETO PERFURAÇÃO'!$P:$P,MATCH(MEDIÇÃO!D891,'PROJETO PERFURAÇÃO'!$B:$B,0))="Production","P",IF(INDEX('PROJETO PERFURAÇÃO'!$P:$P,MATCH(MEDIÇÃO!D891,'PROJETO PERFURAÇÃO'!$B:$B,0))="Buffer","B",IF(INDEX('PROJETO PERFURAÇÃO'!$P:$P,MATCH(MEDIÇÃO!D891,'PROJETO PERFURAÇÃO'!$B:$B,0))="Pre-Splitting","S"))),"")</f>
        <v/>
      </c>
      <c r="D891" s="14">
        <f t="shared" si="84"/>
        <v>1951</v>
      </c>
      <c r="E891" s="4" t="str">
        <f>IFERROR(INDEX('LEV R&amp;D'!$D:$D,MATCH(MEDIÇÃO!D891,'LEV R&amp;D'!$A:$A,0))-INDEX('PROJETO PERFURAÇÃO'!$AH:$AH,MATCH(MEDIÇÃO!D891,'PROJETO PERFURAÇÃO'!$B:$B,0)),"")</f>
        <v/>
      </c>
      <c r="F891" s="8" t="str">
        <f>IFERROR(INDEX('PROJETO PERFURAÇÃO'!$AN:$AN,MATCH(MEDIÇÃO!D891,'PROJETO PERFURAÇÃO'!$B:$B,0)),"")</f>
        <v/>
      </c>
      <c r="G891" s="3"/>
      <c r="H891" s="3"/>
      <c r="I891" s="3" t="str">
        <f>IFERROR(ROUND(INDEX('PROJETO PERFURAÇÃO'!$AB:$AB,MATCH(MEDIÇÃO!K891,'PROJETO PERFURAÇÃO'!$B:$B,0)),1)&amp;"''","")</f>
        <v/>
      </c>
      <c r="J891" s="3" t="str">
        <f>IFERROR(IF(INDEX('PROJETO PERFURAÇÃO'!$P:$P,MATCH(MEDIÇÃO!K891,'PROJETO PERFURAÇÃO'!$B:$B,0))="Production","P",IF(INDEX('PROJETO PERFURAÇÃO'!$P:$P,MATCH(MEDIÇÃO!K891,'PROJETO PERFURAÇÃO'!$B:$B,0))="Buffer","B",IF(INDEX('PROJETO PERFURAÇÃO'!$P:$P,MATCH(MEDIÇÃO!K891,'PROJETO PERFURAÇÃO'!$B:$B,0))="Pre-Splitting","S"))),"")</f>
        <v/>
      </c>
      <c r="K891" s="14">
        <f t="shared" si="85"/>
        <v>1974</v>
      </c>
      <c r="L891" s="4" t="str">
        <f>IFERROR(INDEX('LEV R&amp;D'!$D:$D,MATCH(MEDIÇÃO!K891,'LEV R&amp;D'!$A:$A,0))-INDEX('PROJETO PERFURAÇÃO'!$AH:$AH,MATCH(MEDIÇÃO!K891,'PROJETO PERFURAÇÃO'!$B:$B,0)),"")</f>
        <v/>
      </c>
      <c r="M891" s="8" t="str">
        <f>IFERROR(INDEX('PROJETO PERFURAÇÃO'!$AN:$AN,MATCH(MEDIÇÃO!K891,'PROJETO PERFURAÇÃO'!$B:$B,0)),"")</f>
        <v/>
      </c>
      <c r="N891" s="3"/>
      <c r="O891" s="3"/>
      <c r="P891" s="3" t="str">
        <f>IFERROR(ROUND(INDEX('PROJETO PERFURAÇÃO'!$AB:$AB,MATCH(MEDIÇÃO!R891,'PROJETO PERFURAÇÃO'!$B:$B,0)),1)&amp;"''","")</f>
        <v/>
      </c>
      <c r="Q891" s="3" t="str">
        <f>IFERROR(IF(INDEX('PROJETO PERFURAÇÃO'!$P:$P,MATCH(MEDIÇÃO!R891,'PROJETO PERFURAÇÃO'!$B:$B,0))="Production","P",IF(INDEX('PROJETO PERFURAÇÃO'!$P:$P,MATCH(MEDIÇÃO!R891,'PROJETO PERFURAÇÃO'!$B:$B,0))="Buffer","B",IF(INDEX('PROJETO PERFURAÇÃO'!$P:$P,MATCH(MEDIÇÃO!R891,'PROJETO PERFURAÇÃO'!$B:$B,0))="Pre-Splitting","S"))),"")</f>
        <v/>
      </c>
      <c r="R891" s="14">
        <f t="shared" si="86"/>
        <v>1997</v>
      </c>
      <c r="S891" s="4" t="str">
        <f>IFERROR(INDEX('LEV R&amp;D'!$D:$D,MATCH(MEDIÇÃO!R891,'LEV R&amp;D'!$A:$A,0))-INDEX('PROJETO PERFURAÇÃO'!$AH:$AH,MATCH(MEDIÇÃO!R891,'PROJETO PERFURAÇÃO'!$B:$B,0)),"")</f>
        <v/>
      </c>
      <c r="T891" s="8" t="str">
        <f>IFERROR(INDEX('PROJETO PERFURAÇÃO'!$AN:$AN,MATCH(MEDIÇÃO!R891,'PROJETO PERFURAÇÃO'!$B:$B,0)),"")</f>
        <v/>
      </c>
      <c r="U891" s="3"/>
      <c r="V891" s="3"/>
    </row>
    <row r="892" spans="2:22" ht="45" customHeight="1">
      <c r="B892" s="3" t="str">
        <f>IFERROR(ROUND(INDEX('PROJETO PERFURAÇÃO'!$AB:$AB,MATCH(MEDIÇÃO!D892,'PROJETO PERFURAÇÃO'!$B:$B,0)),1)&amp;"''","")</f>
        <v/>
      </c>
      <c r="C892" s="3" t="str">
        <f>IFERROR(IF(INDEX('PROJETO PERFURAÇÃO'!$P:$P,MATCH(MEDIÇÃO!D892,'PROJETO PERFURAÇÃO'!$B:$B,0))="Production","P",IF(INDEX('PROJETO PERFURAÇÃO'!$P:$P,MATCH(MEDIÇÃO!D892,'PROJETO PERFURAÇÃO'!$B:$B,0))="Buffer","B",IF(INDEX('PROJETO PERFURAÇÃO'!$P:$P,MATCH(MEDIÇÃO!D892,'PROJETO PERFURAÇÃO'!$B:$B,0))="Pre-Splitting","S"))),"")</f>
        <v/>
      </c>
      <c r="D892" s="14">
        <f t="shared" si="84"/>
        <v>1952</v>
      </c>
      <c r="E892" s="4" t="str">
        <f>IFERROR(INDEX('LEV R&amp;D'!$D:$D,MATCH(MEDIÇÃO!D892,'LEV R&amp;D'!$A:$A,0))-INDEX('PROJETO PERFURAÇÃO'!$AH:$AH,MATCH(MEDIÇÃO!D892,'PROJETO PERFURAÇÃO'!$B:$B,0)),"")</f>
        <v/>
      </c>
      <c r="F892" s="8" t="str">
        <f>IFERROR(INDEX('PROJETO PERFURAÇÃO'!$AN:$AN,MATCH(MEDIÇÃO!D892,'PROJETO PERFURAÇÃO'!$B:$B,0)),"")</f>
        <v/>
      </c>
      <c r="G892" s="3"/>
      <c r="H892" s="3"/>
      <c r="I892" s="3" t="str">
        <f>IFERROR(ROUND(INDEX('PROJETO PERFURAÇÃO'!$AB:$AB,MATCH(MEDIÇÃO!K892,'PROJETO PERFURAÇÃO'!$B:$B,0)),1)&amp;"''","")</f>
        <v/>
      </c>
      <c r="J892" s="3" t="str">
        <f>IFERROR(IF(INDEX('PROJETO PERFURAÇÃO'!$P:$P,MATCH(MEDIÇÃO!K892,'PROJETO PERFURAÇÃO'!$B:$B,0))="Production","P",IF(INDEX('PROJETO PERFURAÇÃO'!$P:$P,MATCH(MEDIÇÃO!K892,'PROJETO PERFURAÇÃO'!$B:$B,0))="Buffer","B",IF(INDEX('PROJETO PERFURAÇÃO'!$P:$P,MATCH(MEDIÇÃO!K892,'PROJETO PERFURAÇÃO'!$B:$B,0))="Pre-Splitting","S"))),"")</f>
        <v/>
      </c>
      <c r="K892" s="14">
        <f t="shared" si="85"/>
        <v>1975</v>
      </c>
      <c r="L892" s="4" t="str">
        <f>IFERROR(INDEX('LEV R&amp;D'!$D:$D,MATCH(MEDIÇÃO!K892,'LEV R&amp;D'!$A:$A,0))-INDEX('PROJETO PERFURAÇÃO'!$AH:$AH,MATCH(MEDIÇÃO!K892,'PROJETO PERFURAÇÃO'!$B:$B,0)),"")</f>
        <v/>
      </c>
      <c r="M892" s="8" t="str">
        <f>IFERROR(INDEX('PROJETO PERFURAÇÃO'!$AN:$AN,MATCH(MEDIÇÃO!K892,'PROJETO PERFURAÇÃO'!$B:$B,0)),"")</f>
        <v/>
      </c>
      <c r="N892" s="3"/>
      <c r="O892" s="3"/>
      <c r="P892" s="3" t="str">
        <f>IFERROR(ROUND(INDEX('PROJETO PERFURAÇÃO'!$AB:$AB,MATCH(MEDIÇÃO!R892,'PROJETO PERFURAÇÃO'!$B:$B,0)),1)&amp;"''","")</f>
        <v/>
      </c>
      <c r="Q892" s="3" t="str">
        <f>IFERROR(IF(INDEX('PROJETO PERFURAÇÃO'!$P:$P,MATCH(MEDIÇÃO!R892,'PROJETO PERFURAÇÃO'!$B:$B,0))="Production","P",IF(INDEX('PROJETO PERFURAÇÃO'!$P:$P,MATCH(MEDIÇÃO!R892,'PROJETO PERFURAÇÃO'!$B:$B,0))="Buffer","B",IF(INDEX('PROJETO PERFURAÇÃO'!$P:$P,MATCH(MEDIÇÃO!R892,'PROJETO PERFURAÇÃO'!$B:$B,0))="Pre-Splitting","S"))),"")</f>
        <v/>
      </c>
      <c r="R892" s="14">
        <f t="shared" si="86"/>
        <v>1998</v>
      </c>
      <c r="S892" s="4" t="str">
        <f>IFERROR(INDEX('LEV R&amp;D'!$D:$D,MATCH(MEDIÇÃO!R892,'LEV R&amp;D'!$A:$A,0))-INDEX('PROJETO PERFURAÇÃO'!$AH:$AH,MATCH(MEDIÇÃO!R892,'PROJETO PERFURAÇÃO'!$B:$B,0)),"")</f>
        <v/>
      </c>
      <c r="T892" s="8" t="str">
        <f>IFERROR(INDEX('PROJETO PERFURAÇÃO'!$AN:$AN,MATCH(MEDIÇÃO!R892,'PROJETO PERFURAÇÃO'!$B:$B,0)),"")</f>
        <v/>
      </c>
      <c r="U892" s="3"/>
      <c r="V892" s="3"/>
    </row>
    <row r="893" spans="2:22" ht="45" customHeight="1">
      <c r="B893" s="3" t="str">
        <f>IFERROR(ROUND(INDEX('PROJETO PERFURAÇÃO'!$AB:$AB,MATCH(MEDIÇÃO!D893,'PROJETO PERFURAÇÃO'!$B:$B,0)),1)&amp;"''","")</f>
        <v/>
      </c>
      <c r="C893" s="3" t="str">
        <f>IFERROR(IF(INDEX('PROJETO PERFURAÇÃO'!$P:$P,MATCH(MEDIÇÃO!D893,'PROJETO PERFURAÇÃO'!$B:$B,0))="Production","P",IF(INDEX('PROJETO PERFURAÇÃO'!$P:$P,MATCH(MEDIÇÃO!D893,'PROJETO PERFURAÇÃO'!$B:$B,0))="Buffer","B",IF(INDEX('PROJETO PERFURAÇÃO'!$P:$P,MATCH(MEDIÇÃO!D893,'PROJETO PERFURAÇÃO'!$B:$B,0))="Pre-Splitting","S"))),"")</f>
        <v/>
      </c>
      <c r="D893" s="14">
        <f t="shared" si="84"/>
        <v>1953</v>
      </c>
      <c r="E893" s="4" t="str">
        <f>IFERROR(INDEX('LEV R&amp;D'!$D:$D,MATCH(MEDIÇÃO!D893,'LEV R&amp;D'!$A:$A,0))-INDEX('PROJETO PERFURAÇÃO'!$AH:$AH,MATCH(MEDIÇÃO!D893,'PROJETO PERFURAÇÃO'!$B:$B,0)),"")</f>
        <v/>
      </c>
      <c r="F893" s="8" t="str">
        <f>IFERROR(INDEX('PROJETO PERFURAÇÃO'!$AN:$AN,MATCH(MEDIÇÃO!D893,'PROJETO PERFURAÇÃO'!$B:$B,0)),"")</f>
        <v/>
      </c>
      <c r="G893" s="3"/>
      <c r="H893" s="3"/>
      <c r="I893" s="3" t="str">
        <f>IFERROR(ROUND(INDEX('PROJETO PERFURAÇÃO'!$AB:$AB,MATCH(MEDIÇÃO!K893,'PROJETO PERFURAÇÃO'!$B:$B,0)),1)&amp;"''","")</f>
        <v/>
      </c>
      <c r="J893" s="3" t="str">
        <f>IFERROR(IF(INDEX('PROJETO PERFURAÇÃO'!$P:$P,MATCH(MEDIÇÃO!K893,'PROJETO PERFURAÇÃO'!$B:$B,0))="Production","P",IF(INDEX('PROJETO PERFURAÇÃO'!$P:$P,MATCH(MEDIÇÃO!K893,'PROJETO PERFURAÇÃO'!$B:$B,0))="Buffer","B",IF(INDEX('PROJETO PERFURAÇÃO'!$P:$P,MATCH(MEDIÇÃO!K893,'PROJETO PERFURAÇÃO'!$B:$B,0))="Pre-Splitting","S"))),"")</f>
        <v/>
      </c>
      <c r="K893" s="14">
        <f t="shared" si="85"/>
        <v>1976</v>
      </c>
      <c r="L893" s="4" t="str">
        <f>IFERROR(INDEX('LEV R&amp;D'!$D:$D,MATCH(MEDIÇÃO!K893,'LEV R&amp;D'!$A:$A,0))-INDEX('PROJETO PERFURAÇÃO'!$AH:$AH,MATCH(MEDIÇÃO!K893,'PROJETO PERFURAÇÃO'!$B:$B,0)),"")</f>
        <v/>
      </c>
      <c r="M893" s="8" t="str">
        <f>IFERROR(INDEX('PROJETO PERFURAÇÃO'!$AN:$AN,MATCH(MEDIÇÃO!K893,'PROJETO PERFURAÇÃO'!$B:$B,0)),"")</f>
        <v/>
      </c>
      <c r="N893" s="3"/>
      <c r="O893" s="3"/>
      <c r="P893" s="3" t="str">
        <f>IFERROR(ROUND(INDEX('PROJETO PERFURAÇÃO'!$AB:$AB,MATCH(MEDIÇÃO!R893,'PROJETO PERFURAÇÃO'!$B:$B,0)),1)&amp;"''","")</f>
        <v/>
      </c>
      <c r="Q893" s="3" t="str">
        <f>IFERROR(IF(INDEX('PROJETO PERFURAÇÃO'!$P:$P,MATCH(MEDIÇÃO!R893,'PROJETO PERFURAÇÃO'!$B:$B,0))="Production","P",IF(INDEX('PROJETO PERFURAÇÃO'!$P:$P,MATCH(MEDIÇÃO!R893,'PROJETO PERFURAÇÃO'!$B:$B,0))="Buffer","B",IF(INDEX('PROJETO PERFURAÇÃO'!$P:$P,MATCH(MEDIÇÃO!R893,'PROJETO PERFURAÇÃO'!$B:$B,0))="Pre-Splitting","S"))),"")</f>
        <v/>
      </c>
      <c r="R893" s="14">
        <f t="shared" si="86"/>
        <v>1999</v>
      </c>
      <c r="S893" s="4" t="str">
        <f>IFERROR(INDEX('LEV R&amp;D'!$D:$D,MATCH(MEDIÇÃO!R893,'LEV R&amp;D'!$A:$A,0))-INDEX('PROJETO PERFURAÇÃO'!$AH:$AH,MATCH(MEDIÇÃO!R893,'PROJETO PERFURAÇÃO'!$B:$B,0)),"")</f>
        <v/>
      </c>
      <c r="T893" s="8" t="str">
        <f>IFERROR(INDEX('PROJETO PERFURAÇÃO'!$AN:$AN,MATCH(MEDIÇÃO!R893,'PROJETO PERFURAÇÃO'!$B:$B,0)),"")</f>
        <v/>
      </c>
      <c r="U893" s="3"/>
      <c r="V893" s="3"/>
    </row>
    <row r="894" spans="2:22" ht="45" customHeight="1">
      <c r="B894" s="3" t="str">
        <f>IFERROR(ROUND(INDEX('PROJETO PERFURAÇÃO'!$AB:$AB,MATCH(MEDIÇÃO!D894,'PROJETO PERFURAÇÃO'!$B:$B,0)),1)&amp;"''","")</f>
        <v/>
      </c>
      <c r="C894" s="3" t="str">
        <f>IFERROR(IF(INDEX('PROJETO PERFURAÇÃO'!$P:$P,MATCH(MEDIÇÃO!D894,'PROJETO PERFURAÇÃO'!$B:$B,0))="Production","P",IF(INDEX('PROJETO PERFURAÇÃO'!$P:$P,MATCH(MEDIÇÃO!D894,'PROJETO PERFURAÇÃO'!$B:$B,0))="Buffer","B",IF(INDEX('PROJETO PERFURAÇÃO'!$P:$P,MATCH(MEDIÇÃO!D894,'PROJETO PERFURAÇÃO'!$B:$B,0))="Pre-Splitting","S"))),"")</f>
        <v/>
      </c>
      <c r="D894" s="14">
        <f t="shared" si="84"/>
        <v>1954</v>
      </c>
      <c r="E894" s="4" t="str">
        <f>IFERROR(INDEX('LEV R&amp;D'!$D:$D,MATCH(MEDIÇÃO!D894,'LEV R&amp;D'!$A:$A,0))-INDEX('PROJETO PERFURAÇÃO'!$AH:$AH,MATCH(MEDIÇÃO!D894,'PROJETO PERFURAÇÃO'!$B:$B,0)),"")</f>
        <v/>
      </c>
      <c r="F894" s="8" t="str">
        <f>IFERROR(INDEX('PROJETO PERFURAÇÃO'!$AN:$AN,MATCH(MEDIÇÃO!D894,'PROJETO PERFURAÇÃO'!$B:$B,0)),"")</f>
        <v/>
      </c>
      <c r="G894" s="3"/>
      <c r="H894" s="3"/>
      <c r="I894" s="3" t="str">
        <f>IFERROR(ROUND(INDEX('PROJETO PERFURAÇÃO'!$AB:$AB,MATCH(MEDIÇÃO!K894,'PROJETO PERFURAÇÃO'!$B:$B,0)),1)&amp;"''","")</f>
        <v/>
      </c>
      <c r="J894" s="3" t="str">
        <f>IFERROR(IF(INDEX('PROJETO PERFURAÇÃO'!$P:$P,MATCH(MEDIÇÃO!K894,'PROJETO PERFURAÇÃO'!$B:$B,0))="Production","P",IF(INDEX('PROJETO PERFURAÇÃO'!$P:$P,MATCH(MEDIÇÃO!K894,'PROJETO PERFURAÇÃO'!$B:$B,0))="Buffer","B",IF(INDEX('PROJETO PERFURAÇÃO'!$P:$P,MATCH(MEDIÇÃO!K894,'PROJETO PERFURAÇÃO'!$B:$B,0))="Pre-Splitting","S"))),"")</f>
        <v/>
      </c>
      <c r="K894" s="14">
        <f t="shared" si="85"/>
        <v>1977</v>
      </c>
      <c r="L894" s="4" t="str">
        <f>IFERROR(INDEX('LEV R&amp;D'!$D:$D,MATCH(MEDIÇÃO!K894,'LEV R&amp;D'!$A:$A,0))-INDEX('PROJETO PERFURAÇÃO'!$AH:$AH,MATCH(MEDIÇÃO!K894,'PROJETO PERFURAÇÃO'!$B:$B,0)),"")</f>
        <v/>
      </c>
      <c r="M894" s="8" t="str">
        <f>IFERROR(INDEX('PROJETO PERFURAÇÃO'!$AN:$AN,MATCH(MEDIÇÃO!K894,'PROJETO PERFURAÇÃO'!$B:$B,0)),"")</f>
        <v/>
      </c>
      <c r="N894" s="3"/>
      <c r="O894" s="3"/>
      <c r="P894" s="3" t="str">
        <f>IFERROR(ROUND(INDEX('PROJETO PERFURAÇÃO'!$AB:$AB,MATCH(MEDIÇÃO!R894,'PROJETO PERFURAÇÃO'!$B:$B,0)),1)&amp;"''","")</f>
        <v/>
      </c>
      <c r="Q894" s="3" t="str">
        <f>IFERROR(IF(INDEX('PROJETO PERFURAÇÃO'!$P:$P,MATCH(MEDIÇÃO!R894,'PROJETO PERFURAÇÃO'!$B:$B,0))="Production","P",IF(INDEX('PROJETO PERFURAÇÃO'!$P:$P,MATCH(MEDIÇÃO!R894,'PROJETO PERFURAÇÃO'!$B:$B,0))="Buffer","B",IF(INDEX('PROJETO PERFURAÇÃO'!$P:$P,MATCH(MEDIÇÃO!R894,'PROJETO PERFURAÇÃO'!$B:$B,0))="Pre-Splitting","S"))),"")</f>
        <v/>
      </c>
      <c r="R894" s="14">
        <f t="shared" si="86"/>
        <v>2000</v>
      </c>
      <c r="S894" s="4" t="str">
        <f>IFERROR(INDEX('LEV R&amp;D'!$D:$D,MATCH(MEDIÇÃO!R894,'LEV R&amp;D'!$A:$A,0))-INDEX('PROJETO PERFURAÇÃO'!$AH:$AH,MATCH(MEDIÇÃO!R894,'PROJETO PERFURAÇÃO'!$B:$B,0)),"")</f>
        <v/>
      </c>
      <c r="T894" s="8" t="str">
        <f>IFERROR(INDEX('PROJETO PERFURAÇÃO'!$AN:$AN,MATCH(MEDIÇÃO!R894,'PROJETO PERFURAÇÃO'!$B:$B,0)),"")</f>
        <v/>
      </c>
      <c r="U894" s="3"/>
      <c r="V894" s="3"/>
    </row>
    <row r="895" spans="2:22" ht="45" customHeight="1">
      <c r="B895" s="3" t="str">
        <f>IFERROR(ROUND(INDEX('PROJETO PERFURAÇÃO'!$AB:$AB,MATCH(MEDIÇÃO!D895,'PROJETO PERFURAÇÃO'!$B:$B,0)),1)&amp;"''","")</f>
        <v/>
      </c>
      <c r="C895" s="3" t="str">
        <f>IFERROR(IF(INDEX('PROJETO PERFURAÇÃO'!$P:$P,MATCH(MEDIÇÃO!D895,'PROJETO PERFURAÇÃO'!$B:$B,0))="Production","P",IF(INDEX('PROJETO PERFURAÇÃO'!$P:$P,MATCH(MEDIÇÃO!D895,'PROJETO PERFURAÇÃO'!$B:$B,0))="Buffer","B",IF(INDEX('PROJETO PERFURAÇÃO'!$P:$P,MATCH(MEDIÇÃO!D895,'PROJETO PERFURAÇÃO'!$B:$B,0))="Pre-Splitting","S"))),"")</f>
        <v/>
      </c>
      <c r="D895" s="14">
        <f t="shared" si="84"/>
        <v>1955</v>
      </c>
      <c r="E895" s="4" t="str">
        <f>IFERROR(INDEX('LEV R&amp;D'!$D:$D,MATCH(MEDIÇÃO!D895,'LEV R&amp;D'!$A:$A,0))-INDEX('PROJETO PERFURAÇÃO'!$AH:$AH,MATCH(MEDIÇÃO!D895,'PROJETO PERFURAÇÃO'!$B:$B,0)),"")</f>
        <v/>
      </c>
      <c r="F895" s="8" t="str">
        <f>IFERROR(INDEX('PROJETO PERFURAÇÃO'!$AN:$AN,MATCH(MEDIÇÃO!D895,'PROJETO PERFURAÇÃO'!$B:$B,0)),"")</f>
        <v/>
      </c>
      <c r="G895" s="3"/>
      <c r="H895" s="3"/>
      <c r="I895" s="3" t="str">
        <f>IFERROR(ROUND(INDEX('PROJETO PERFURAÇÃO'!$AB:$AB,MATCH(MEDIÇÃO!K895,'PROJETO PERFURAÇÃO'!$B:$B,0)),1)&amp;"''","")</f>
        <v/>
      </c>
      <c r="J895" s="3" t="str">
        <f>IFERROR(IF(INDEX('PROJETO PERFURAÇÃO'!$P:$P,MATCH(MEDIÇÃO!K895,'PROJETO PERFURAÇÃO'!$B:$B,0))="Production","P",IF(INDEX('PROJETO PERFURAÇÃO'!$P:$P,MATCH(MEDIÇÃO!K895,'PROJETO PERFURAÇÃO'!$B:$B,0))="Buffer","B",IF(INDEX('PROJETO PERFURAÇÃO'!$P:$P,MATCH(MEDIÇÃO!K895,'PROJETO PERFURAÇÃO'!$B:$B,0))="Pre-Splitting","S"))),"")</f>
        <v/>
      </c>
      <c r="K895" s="14">
        <f>K894+1</f>
        <v>1978</v>
      </c>
      <c r="L895" s="4" t="str">
        <f>IFERROR(INDEX('LEV R&amp;D'!$D:$D,MATCH(MEDIÇÃO!K895,'LEV R&amp;D'!$A:$A,0))-INDEX('PROJETO PERFURAÇÃO'!$AH:$AH,MATCH(MEDIÇÃO!K895,'PROJETO PERFURAÇÃO'!$B:$B,0)),"")</f>
        <v/>
      </c>
      <c r="M895" s="8" t="str">
        <f>IFERROR(INDEX('PROJETO PERFURAÇÃO'!$AN:$AN,MATCH(MEDIÇÃO!K895,'PROJETO PERFURAÇÃO'!$B:$B,0)),"")</f>
        <v/>
      </c>
      <c r="N895" s="3"/>
      <c r="O895" s="3"/>
      <c r="P895" s="3" t="str">
        <f>IFERROR(ROUND(INDEX('PROJETO PERFURAÇÃO'!$AB:$AB,MATCH(MEDIÇÃO!R895,'PROJETO PERFURAÇÃO'!$B:$B,0)),1)&amp;"''","")</f>
        <v/>
      </c>
      <c r="Q895" s="3" t="str">
        <f>IFERROR(IF(INDEX('PROJETO PERFURAÇÃO'!$P:$P,MATCH(MEDIÇÃO!R895,'PROJETO PERFURAÇÃO'!$B:$B,0))="Production","P",IF(INDEX('PROJETO PERFURAÇÃO'!$P:$P,MATCH(MEDIÇÃO!R895,'PROJETO PERFURAÇÃO'!$B:$B,0))="Buffer","B",IF(INDEX('PROJETO PERFURAÇÃO'!$P:$P,MATCH(MEDIÇÃO!R895,'PROJETO PERFURAÇÃO'!$B:$B,0))="Pre-Splitting","S"))),"")</f>
        <v/>
      </c>
      <c r="R895" s="14">
        <f>R894+1</f>
        <v>2001</v>
      </c>
      <c r="S895" s="4" t="str">
        <f>IFERROR(INDEX('LEV R&amp;D'!$D:$D,MATCH(MEDIÇÃO!R895,'LEV R&amp;D'!$A:$A,0))-INDEX('PROJETO PERFURAÇÃO'!$AH:$AH,MATCH(MEDIÇÃO!R895,'PROJETO PERFURAÇÃO'!$B:$B,0)),"")</f>
        <v/>
      </c>
      <c r="T895" s="8" t="str">
        <f>IFERROR(INDEX('PROJETO PERFURAÇÃO'!$AN:$AN,MATCH(MEDIÇÃO!R895,'PROJETO PERFURAÇÃO'!$B:$B,0)),"")</f>
        <v/>
      </c>
      <c r="U895" s="3"/>
      <c r="V895" s="3"/>
    </row>
    <row r="896" spans="2:22" ht="30" customHeight="1">
      <c r="B896" s="1"/>
      <c r="C896" s="1"/>
      <c r="D896" s="15"/>
      <c r="E896" s="2"/>
      <c r="F896" s="16"/>
      <c r="G896" s="1"/>
      <c r="H896" s="1"/>
      <c r="I896" s="1"/>
      <c r="J896" s="1"/>
      <c r="K896" s="15"/>
      <c r="L896" s="2"/>
      <c r="M896" s="16"/>
      <c r="N896" s="1"/>
      <c r="O896" s="1"/>
      <c r="P896" s="1"/>
      <c r="Q896" s="1"/>
      <c r="R896" s="15"/>
      <c r="S896" s="2"/>
      <c r="T896" s="16"/>
      <c r="U896" s="1"/>
      <c r="V896" s="1"/>
    </row>
    <row r="897" spans="1:23" ht="30" customHeight="1">
      <c r="C897" s="20"/>
      <c r="D897" s="20"/>
      <c r="E897" s="20"/>
      <c r="F897" s="20"/>
      <c r="G897" s="20"/>
      <c r="H897" s="20"/>
      <c r="I897" s="20"/>
      <c r="J897" s="20"/>
      <c r="K897" s="20"/>
      <c r="M897" s="20"/>
      <c r="N897" s="20"/>
      <c r="O897" s="20"/>
      <c r="P897" s="20"/>
      <c r="Q897" s="20"/>
      <c r="R897" s="20"/>
      <c r="S897" s="20"/>
      <c r="T897" s="20"/>
      <c r="U897" s="20"/>
    </row>
    <row r="898" spans="1:23" ht="30" customHeight="1">
      <c r="C898" s="21" t="s">
        <v>40</v>
      </c>
      <c r="D898" s="21"/>
      <c r="E898" s="21"/>
      <c r="F898" s="21"/>
      <c r="G898" s="21"/>
      <c r="H898" s="21"/>
      <c r="I898" s="21"/>
      <c r="J898" s="21"/>
      <c r="K898" s="21"/>
      <c r="L898" s="9"/>
      <c r="M898" s="21" t="s">
        <v>40</v>
      </c>
      <c r="N898" s="21"/>
      <c r="O898" s="21"/>
      <c r="P898" s="21"/>
      <c r="Q898" s="21"/>
      <c r="R898" s="21"/>
      <c r="S898" s="21"/>
      <c r="T898" s="21"/>
      <c r="U898" s="21"/>
      <c r="V898" s="9"/>
    </row>
    <row r="899" spans="1:23" ht="30" customHeight="1">
      <c r="D899" s="9"/>
      <c r="E899" s="9"/>
      <c r="F899" s="9"/>
      <c r="G899" s="9"/>
      <c r="H899" s="9"/>
      <c r="I899" s="9"/>
      <c r="J899" s="9"/>
      <c r="K899" s="9"/>
      <c r="L899" s="9"/>
      <c r="M899" s="9"/>
      <c r="N899" s="9"/>
      <c r="Q899" s="9"/>
      <c r="R899" s="9"/>
      <c r="S899" s="9"/>
      <c r="T899" s="9"/>
      <c r="U899" s="9"/>
      <c r="V899" s="9"/>
    </row>
    <row r="900" spans="1:23" ht="30" customHeight="1">
      <c r="B900" s="19" t="str">
        <f>'PROJETO PERFURAÇÃO'!$C$2&amp;" - "&amp;'PROJETO PERFURAÇÃO'!$H$2</f>
        <v>LIB037 - PP0370626</v>
      </c>
      <c r="C900" s="19"/>
      <c r="D900" s="19"/>
      <c r="E900" s="19"/>
      <c r="F900" s="19"/>
      <c r="G900" s="19"/>
      <c r="H900" s="19"/>
      <c r="I900" s="11" t="s">
        <v>34</v>
      </c>
      <c r="J900" s="10" t="s">
        <v>37</v>
      </c>
    </row>
    <row r="901" spans="1:23" ht="30" customHeight="1">
      <c r="B901" s="19"/>
      <c r="C901" s="19"/>
      <c r="D901" s="19"/>
      <c r="E901" s="19"/>
      <c r="F901" s="19"/>
      <c r="G901" s="19"/>
      <c r="H901" s="19"/>
      <c r="I901" s="12" t="s">
        <v>35</v>
      </c>
      <c r="J901" s="10" t="s">
        <v>38</v>
      </c>
      <c r="K901" s="9"/>
      <c r="L901" s="9"/>
      <c r="M901" s="9"/>
      <c r="N901" s="9"/>
      <c r="O901" s="9"/>
      <c r="P901" s="9"/>
      <c r="Q901" s="9"/>
      <c r="R901" s="9"/>
      <c r="S901" s="9"/>
      <c r="T901" s="9"/>
      <c r="U901" s="9"/>
      <c r="V901" s="9"/>
    </row>
    <row r="902" spans="1:23" ht="30" customHeight="1">
      <c r="B902" s="19"/>
      <c r="C902" s="19"/>
      <c r="D902" s="19"/>
      <c r="E902" s="19"/>
      <c r="F902" s="19"/>
      <c r="G902" s="19"/>
      <c r="H902" s="19"/>
      <c r="I902" s="13" t="s">
        <v>36</v>
      </c>
      <c r="J902" s="10" t="s">
        <v>39</v>
      </c>
    </row>
    <row r="903" spans="1:23" ht="30" customHeight="1">
      <c r="A903" s="1"/>
      <c r="B903" s="6" t="s">
        <v>33</v>
      </c>
      <c r="C903" s="6" t="s">
        <v>13</v>
      </c>
      <c r="D903" s="7" t="s">
        <v>1</v>
      </c>
      <c r="E903" s="7" t="s">
        <v>29</v>
      </c>
      <c r="F903" s="7" t="s">
        <v>30</v>
      </c>
      <c r="G903" s="7" t="s">
        <v>31</v>
      </c>
      <c r="H903" s="7" t="s">
        <v>32</v>
      </c>
      <c r="I903" s="6" t="s">
        <v>33</v>
      </c>
      <c r="J903" s="6" t="s">
        <v>13</v>
      </c>
      <c r="K903" s="7" t="s">
        <v>1</v>
      </c>
      <c r="L903" s="7" t="s">
        <v>29</v>
      </c>
      <c r="M903" s="7" t="s">
        <v>30</v>
      </c>
      <c r="N903" s="7" t="s">
        <v>31</v>
      </c>
      <c r="O903" s="7" t="s">
        <v>32</v>
      </c>
      <c r="P903" s="6" t="s">
        <v>33</v>
      </c>
      <c r="Q903" s="6" t="s">
        <v>13</v>
      </c>
      <c r="R903" s="7" t="s">
        <v>1</v>
      </c>
      <c r="S903" s="7" t="s">
        <v>29</v>
      </c>
      <c r="T903" s="7" t="s">
        <v>30</v>
      </c>
      <c r="U903" s="7" t="s">
        <v>31</v>
      </c>
      <c r="V903" s="7" t="s">
        <v>32</v>
      </c>
      <c r="W903" s="1"/>
    </row>
    <row r="904" spans="1:23" ht="45" customHeight="1">
      <c r="B904" s="3" t="str">
        <f>IFERROR(ROUND(INDEX('PROJETO PERFURAÇÃO'!$AB:$AB,MATCH(MEDIÇÃO!D904,'PROJETO PERFURAÇÃO'!$B:$B,0)),1)&amp;"''","")</f>
        <v/>
      </c>
      <c r="C904" s="3" t="str">
        <f>IFERROR(IF(INDEX('PROJETO PERFURAÇÃO'!$P:$P,MATCH(MEDIÇÃO!D904,'PROJETO PERFURAÇÃO'!$B:$B,0))="Production","P",IF(INDEX('PROJETO PERFURAÇÃO'!$P:$P,MATCH(MEDIÇÃO!D904,'PROJETO PERFURAÇÃO'!$B:$B,0))="Buffer","B",IF(INDEX('PROJETO PERFURAÇÃO'!$P:$P,MATCH(MEDIÇÃO!D904,'PROJETO PERFURAÇÃO'!$B:$B,0))="Pre-Splitting","S"))),"")</f>
        <v/>
      </c>
      <c r="D904" s="14">
        <f>R895+1</f>
        <v>2002</v>
      </c>
      <c r="E904" s="4" t="str">
        <f>IFERROR(INDEX('LEV R&amp;D'!$D:$D,MATCH(MEDIÇÃO!D904,'LEV R&amp;D'!$A:$A,0))-INDEX('PROJETO PERFURAÇÃO'!$AH:$AH,MATCH(MEDIÇÃO!D904,'PROJETO PERFURAÇÃO'!$B:$B,0)),"")</f>
        <v/>
      </c>
      <c r="F904" s="8" t="str">
        <f>IFERROR(INDEX('PROJETO PERFURAÇÃO'!$AN:$AN,MATCH(MEDIÇÃO!D904,'PROJETO PERFURAÇÃO'!$B:$B,0)),"")</f>
        <v/>
      </c>
      <c r="G904" s="3"/>
      <c r="H904" s="3"/>
      <c r="I904" s="3" t="str">
        <f>IFERROR(ROUND(INDEX('PROJETO PERFURAÇÃO'!$AB:$AB,MATCH(MEDIÇÃO!K904,'PROJETO PERFURAÇÃO'!$B:$B,0)),1)&amp;"''","")</f>
        <v/>
      </c>
      <c r="J904" s="3" t="str">
        <f>IFERROR(IF(INDEX('PROJETO PERFURAÇÃO'!$P:$P,MATCH(MEDIÇÃO!K904,'PROJETO PERFURAÇÃO'!$B:$B,0))="Production","P",IF(INDEX('PROJETO PERFURAÇÃO'!$P:$P,MATCH(MEDIÇÃO!K904,'PROJETO PERFURAÇÃO'!$B:$B,0))="Buffer","B",IF(INDEX('PROJETO PERFURAÇÃO'!$P:$P,MATCH(MEDIÇÃO!K904,'PROJETO PERFURAÇÃO'!$B:$B,0))="Pre-Splitting","S"))),"")</f>
        <v/>
      </c>
      <c r="K904" s="14">
        <f>D926+1</f>
        <v>2025</v>
      </c>
      <c r="L904" s="4" t="str">
        <f>IFERROR(INDEX('LEV R&amp;D'!$D:$D,MATCH(MEDIÇÃO!K904,'LEV R&amp;D'!$A:$A,0))-INDEX('PROJETO PERFURAÇÃO'!$AH:$AH,MATCH(MEDIÇÃO!K904,'PROJETO PERFURAÇÃO'!$B:$B,0)),"")</f>
        <v/>
      </c>
      <c r="M904" s="8" t="str">
        <f>IFERROR(INDEX('PROJETO PERFURAÇÃO'!$AN:$AN,MATCH(MEDIÇÃO!K904,'PROJETO PERFURAÇÃO'!$B:$B,0)),"")</f>
        <v/>
      </c>
      <c r="N904" s="3"/>
      <c r="O904" s="3"/>
      <c r="P904" s="3" t="str">
        <f>IFERROR(ROUND(INDEX('PROJETO PERFURAÇÃO'!$AB:$AB,MATCH(MEDIÇÃO!R904,'PROJETO PERFURAÇÃO'!$B:$B,0)),1)&amp;"''","")</f>
        <v/>
      </c>
      <c r="Q904" s="3" t="str">
        <f>IFERROR(IF(INDEX('PROJETO PERFURAÇÃO'!$P:$P,MATCH(MEDIÇÃO!R904,'PROJETO PERFURAÇÃO'!$B:$B,0))="Production","P",IF(INDEX('PROJETO PERFURAÇÃO'!$P:$P,MATCH(MEDIÇÃO!R904,'PROJETO PERFURAÇÃO'!$B:$B,0))="Buffer","B",IF(INDEX('PROJETO PERFURAÇÃO'!$P:$P,MATCH(MEDIÇÃO!R904,'PROJETO PERFURAÇÃO'!$B:$B,0))="Pre-Splitting","S"))),"")</f>
        <v/>
      </c>
      <c r="R904" s="14">
        <f>K926+1</f>
        <v>2048</v>
      </c>
      <c r="S904" s="4" t="str">
        <f>IFERROR(INDEX('LEV R&amp;D'!$D:$D,MATCH(MEDIÇÃO!R904,'LEV R&amp;D'!$A:$A,0))-INDEX('PROJETO PERFURAÇÃO'!$AH:$AH,MATCH(MEDIÇÃO!R904,'PROJETO PERFURAÇÃO'!$B:$B,0)),"")</f>
        <v/>
      </c>
      <c r="T904" s="8" t="str">
        <f>IFERROR(INDEX('PROJETO PERFURAÇÃO'!$AN:$AN,MATCH(MEDIÇÃO!R904,'PROJETO PERFURAÇÃO'!$B:$B,0)),"")</f>
        <v/>
      </c>
      <c r="U904" s="3"/>
      <c r="V904" s="3"/>
    </row>
    <row r="905" spans="1:23" ht="45" customHeight="1">
      <c r="B905" s="3" t="str">
        <f>IFERROR(ROUND(INDEX('PROJETO PERFURAÇÃO'!$AB:$AB,MATCH(MEDIÇÃO!D905,'PROJETO PERFURAÇÃO'!$B:$B,0)),1)&amp;"''","")</f>
        <v/>
      </c>
      <c r="C905" s="3" t="str">
        <f>IFERROR(IF(INDEX('PROJETO PERFURAÇÃO'!$P:$P,MATCH(MEDIÇÃO!D905,'PROJETO PERFURAÇÃO'!$B:$B,0))="Production","P",IF(INDEX('PROJETO PERFURAÇÃO'!$P:$P,MATCH(MEDIÇÃO!D905,'PROJETO PERFURAÇÃO'!$B:$B,0))="Buffer","B",IF(INDEX('PROJETO PERFURAÇÃO'!$P:$P,MATCH(MEDIÇÃO!D905,'PROJETO PERFURAÇÃO'!$B:$B,0))="Pre-Splitting","S"))),"")</f>
        <v/>
      </c>
      <c r="D905" s="14">
        <f>D904+1</f>
        <v>2003</v>
      </c>
      <c r="E905" s="4" t="str">
        <f>IFERROR(INDEX('LEV R&amp;D'!$D:$D,MATCH(MEDIÇÃO!D905,'LEV R&amp;D'!$A:$A,0))-INDEX('PROJETO PERFURAÇÃO'!$AH:$AH,MATCH(MEDIÇÃO!D905,'PROJETO PERFURAÇÃO'!$B:$B,0)),"")</f>
        <v/>
      </c>
      <c r="F905" s="8" t="str">
        <f>IFERROR(INDEX('PROJETO PERFURAÇÃO'!$AN:$AN,MATCH(MEDIÇÃO!D905,'PROJETO PERFURAÇÃO'!$B:$B,0)),"")</f>
        <v/>
      </c>
      <c r="G905" s="3"/>
      <c r="H905" s="3"/>
      <c r="I905" s="3" t="str">
        <f>IFERROR(ROUND(INDEX('PROJETO PERFURAÇÃO'!$AB:$AB,MATCH(MEDIÇÃO!K905,'PROJETO PERFURAÇÃO'!$B:$B,0)),1)&amp;"''","")</f>
        <v/>
      </c>
      <c r="J905" s="3" t="str">
        <f>IFERROR(IF(INDEX('PROJETO PERFURAÇÃO'!$P:$P,MATCH(MEDIÇÃO!K905,'PROJETO PERFURAÇÃO'!$B:$B,0))="Production","P",IF(INDEX('PROJETO PERFURAÇÃO'!$P:$P,MATCH(MEDIÇÃO!K905,'PROJETO PERFURAÇÃO'!$B:$B,0))="Buffer","B",IF(INDEX('PROJETO PERFURAÇÃO'!$P:$P,MATCH(MEDIÇÃO!K905,'PROJETO PERFURAÇÃO'!$B:$B,0))="Pre-Splitting","S"))),"")</f>
        <v/>
      </c>
      <c r="K905" s="14">
        <f>K904+1</f>
        <v>2026</v>
      </c>
      <c r="L905" s="4" t="str">
        <f>IFERROR(INDEX('LEV R&amp;D'!$D:$D,MATCH(MEDIÇÃO!K905,'LEV R&amp;D'!$A:$A,0))-INDEX('PROJETO PERFURAÇÃO'!$AH:$AH,MATCH(MEDIÇÃO!K905,'PROJETO PERFURAÇÃO'!$B:$B,0)),"")</f>
        <v/>
      </c>
      <c r="M905" s="8" t="str">
        <f>IFERROR(INDEX('PROJETO PERFURAÇÃO'!$AN:$AN,MATCH(MEDIÇÃO!K905,'PROJETO PERFURAÇÃO'!$B:$B,0)),"")</f>
        <v/>
      </c>
      <c r="N905" s="3"/>
      <c r="O905" s="3"/>
      <c r="P905" s="3" t="str">
        <f>IFERROR(ROUND(INDEX('PROJETO PERFURAÇÃO'!$AB:$AB,MATCH(MEDIÇÃO!R905,'PROJETO PERFURAÇÃO'!$B:$B,0)),1)&amp;"''","")</f>
        <v/>
      </c>
      <c r="Q905" s="3" t="str">
        <f>IFERROR(IF(INDEX('PROJETO PERFURAÇÃO'!$P:$P,MATCH(MEDIÇÃO!R905,'PROJETO PERFURAÇÃO'!$B:$B,0))="Production","P",IF(INDEX('PROJETO PERFURAÇÃO'!$P:$P,MATCH(MEDIÇÃO!R905,'PROJETO PERFURAÇÃO'!$B:$B,0))="Buffer","B",IF(INDEX('PROJETO PERFURAÇÃO'!$P:$P,MATCH(MEDIÇÃO!R905,'PROJETO PERFURAÇÃO'!$B:$B,0))="Pre-Splitting","S"))),"")</f>
        <v/>
      </c>
      <c r="R905" s="14">
        <f>R904+1</f>
        <v>2049</v>
      </c>
      <c r="S905" s="4" t="str">
        <f>IFERROR(INDEX('LEV R&amp;D'!$D:$D,MATCH(MEDIÇÃO!R905,'LEV R&amp;D'!$A:$A,0))-INDEX('PROJETO PERFURAÇÃO'!$AH:$AH,MATCH(MEDIÇÃO!R905,'PROJETO PERFURAÇÃO'!$B:$B,0)),"")</f>
        <v/>
      </c>
      <c r="T905" s="8" t="str">
        <f>IFERROR(INDEX('PROJETO PERFURAÇÃO'!$AN:$AN,MATCH(MEDIÇÃO!R905,'PROJETO PERFURAÇÃO'!$B:$B,0)),"")</f>
        <v/>
      </c>
      <c r="U905" s="3"/>
      <c r="V905" s="3"/>
    </row>
    <row r="906" spans="1:23" ht="45" customHeight="1">
      <c r="B906" s="3" t="str">
        <f>IFERROR(ROUND(INDEX('PROJETO PERFURAÇÃO'!$AB:$AB,MATCH(MEDIÇÃO!D906,'PROJETO PERFURAÇÃO'!$B:$B,0)),1)&amp;"''","")</f>
        <v/>
      </c>
      <c r="C906" s="3" t="str">
        <f>IFERROR(IF(INDEX('PROJETO PERFURAÇÃO'!$P:$P,MATCH(MEDIÇÃO!D906,'PROJETO PERFURAÇÃO'!$B:$B,0))="Production","P",IF(INDEX('PROJETO PERFURAÇÃO'!$P:$P,MATCH(MEDIÇÃO!D906,'PROJETO PERFURAÇÃO'!$B:$B,0))="Buffer","B",IF(INDEX('PROJETO PERFURAÇÃO'!$P:$P,MATCH(MEDIÇÃO!D906,'PROJETO PERFURAÇÃO'!$B:$B,0))="Pre-Splitting","S"))),"")</f>
        <v/>
      </c>
      <c r="D906" s="14">
        <f t="shared" ref="D906:D926" si="87">D905+1</f>
        <v>2004</v>
      </c>
      <c r="E906" s="4" t="str">
        <f>IFERROR(INDEX('LEV R&amp;D'!$D:$D,MATCH(MEDIÇÃO!D906,'LEV R&amp;D'!$A:$A,0))-INDEX('PROJETO PERFURAÇÃO'!$AH:$AH,MATCH(MEDIÇÃO!D906,'PROJETO PERFURAÇÃO'!$B:$B,0)),"")</f>
        <v/>
      </c>
      <c r="F906" s="8" t="str">
        <f>IFERROR(INDEX('PROJETO PERFURAÇÃO'!$AN:$AN,MATCH(MEDIÇÃO!D906,'PROJETO PERFURAÇÃO'!$B:$B,0)),"")</f>
        <v/>
      </c>
      <c r="G906" s="3"/>
      <c r="H906" s="3"/>
      <c r="I906" s="3" t="str">
        <f>IFERROR(ROUND(INDEX('PROJETO PERFURAÇÃO'!$AB:$AB,MATCH(MEDIÇÃO!K906,'PROJETO PERFURAÇÃO'!$B:$B,0)),1)&amp;"''","")</f>
        <v/>
      </c>
      <c r="J906" s="3" t="str">
        <f>IFERROR(IF(INDEX('PROJETO PERFURAÇÃO'!$P:$P,MATCH(MEDIÇÃO!K906,'PROJETO PERFURAÇÃO'!$B:$B,0))="Production","P",IF(INDEX('PROJETO PERFURAÇÃO'!$P:$P,MATCH(MEDIÇÃO!K906,'PROJETO PERFURAÇÃO'!$B:$B,0))="Buffer","B",IF(INDEX('PROJETO PERFURAÇÃO'!$P:$P,MATCH(MEDIÇÃO!K906,'PROJETO PERFURAÇÃO'!$B:$B,0))="Pre-Splitting","S"))),"")</f>
        <v/>
      </c>
      <c r="K906" s="14">
        <f t="shared" ref="K906:K925" si="88">K905+1</f>
        <v>2027</v>
      </c>
      <c r="L906" s="4" t="str">
        <f>IFERROR(INDEX('LEV R&amp;D'!$D:$D,MATCH(MEDIÇÃO!K906,'LEV R&amp;D'!$A:$A,0))-INDEX('PROJETO PERFURAÇÃO'!$AH:$AH,MATCH(MEDIÇÃO!K906,'PROJETO PERFURAÇÃO'!$B:$B,0)),"")</f>
        <v/>
      </c>
      <c r="M906" s="8" t="str">
        <f>IFERROR(INDEX('PROJETO PERFURAÇÃO'!$AN:$AN,MATCH(MEDIÇÃO!K906,'PROJETO PERFURAÇÃO'!$B:$B,0)),"")</f>
        <v/>
      </c>
      <c r="N906" s="3"/>
      <c r="O906" s="3"/>
      <c r="P906" s="3" t="str">
        <f>IFERROR(ROUND(INDEX('PROJETO PERFURAÇÃO'!$AB:$AB,MATCH(MEDIÇÃO!R906,'PROJETO PERFURAÇÃO'!$B:$B,0)),1)&amp;"''","")</f>
        <v/>
      </c>
      <c r="Q906" s="3" t="str">
        <f>IFERROR(IF(INDEX('PROJETO PERFURAÇÃO'!$P:$P,MATCH(MEDIÇÃO!R906,'PROJETO PERFURAÇÃO'!$B:$B,0))="Production","P",IF(INDEX('PROJETO PERFURAÇÃO'!$P:$P,MATCH(MEDIÇÃO!R906,'PROJETO PERFURAÇÃO'!$B:$B,0))="Buffer","B",IF(INDEX('PROJETO PERFURAÇÃO'!$P:$P,MATCH(MEDIÇÃO!R906,'PROJETO PERFURAÇÃO'!$B:$B,0))="Pre-Splitting","S"))),"")</f>
        <v/>
      </c>
      <c r="R906" s="14">
        <f t="shared" ref="R906:R925" si="89">R905+1</f>
        <v>2050</v>
      </c>
      <c r="S906" s="4" t="str">
        <f>IFERROR(INDEX('LEV R&amp;D'!$D:$D,MATCH(MEDIÇÃO!R906,'LEV R&amp;D'!$A:$A,0))-INDEX('PROJETO PERFURAÇÃO'!$AH:$AH,MATCH(MEDIÇÃO!R906,'PROJETO PERFURAÇÃO'!$B:$B,0)),"")</f>
        <v/>
      </c>
      <c r="T906" s="8" t="str">
        <f>IFERROR(INDEX('PROJETO PERFURAÇÃO'!$AN:$AN,MATCH(MEDIÇÃO!R906,'PROJETO PERFURAÇÃO'!$B:$B,0)),"")</f>
        <v/>
      </c>
      <c r="U906" s="3"/>
      <c r="V906" s="3"/>
    </row>
    <row r="907" spans="1:23" ht="45" customHeight="1">
      <c r="B907" s="3" t="str">
        <f>IFERROR(ROUND(INDEX('PROJETO PERFURAÇÃO'!$AB:$AB,MATCH(MEDIÇÃO!D907,'PROJETO PERFURAÇÃO'!$B:$B,0)),1)&amp;"''","")</f>
        <v/>
      </c>
      <c r="C907" s="3" t="str">
        <f>IFERROR(IF(INDEX('PROJETO PERFURAÇÃO'!$P:$P,MATCH(MEDIÇÃO!D907,'PROJETO PERFURAÇÃO'!$B:$B,0))="Production","P",IF(INDEX('PROJETO PERFURAÇÃO'!$P:$P,MATCH(MEDIÇÃO!D907,'PROJETO PERFURAÇÃO'!$B:$B,0))="Buffer","B",IF(INDEX('PROJETO PERFURAÇÃO'!$P:$P,MATCH(MEDIÇÃO!D907,'PROJETO PERFURAÇÃO'!$B:$B,0))="Pre-Splitting","S"))),"")</f>
        <v/>
      </c>
      <c r="D907" s="14">
        <f t="shared" si="87"/>
        <v>2005</v>
      </c>
      <c r="E907" s="4" t="str">
        <f>IFERROR(INDEX('LEV R&amp;D'!$D:$D,MATCH(MEDIÇÃO!D907,'LEV R&amp;D'!$A:$A,0))-INDEX('PROJETO PERFURAÇÃO'!$AH:$AH,MATCH(MEDIÇÃO!D907,'PROJETO PERFURAÇÃO'!$B:$B,0)),"")</f>
        <v/>
      </c>
      <c r="F907" s="8" t="str">
        <f>IFERROR(INDEX('PROJETO PERFURAÇÃO'!$AN:$AN,MATCH(MEDIÇÃO!D907,'PROJETO PERFURAÇÃO'!$B:$B,0)),"")</f>
        <v/>
      </c>
      <c r="G907" s="3"/>
      <c r="H907" s="3"/>
      <c r="I907" s="3" t="str">
        <f>IFERROR(ROUND(INDEX('PROJETO PERFURAÇÃO'!$AB:$AB,MATCH(MEDIÇÃO!K907,'PROJETO PERFURAÇÃO'!$B:$B,0)),1)&amp;"''","")</f>
        <v/>
      </c>
      <c r="J907" s="3" t="str">
        <f>IFERROR(IF(INDEX('PROJETO PERFURAÇÃO'!$P:$P,MATCH(MEDIÇÃO!K907,'PROJETO PERFURAÇÃO'!$B:$B,0))="Production","P",IF(INDEX('PROJETO PERFURAÇÃO'!$P:$P,MATCH(MEDIÇÃO!K907,'PROJETO PERFURAÇÃO'!$B:$B,0))="Buffer","B",IF(INDEX('PROJETO PERFURAÇÃO'!$P:$P,MATCH(MEDIÇÃO!K907,'PROJETO PERFURAÇÃO'!$B:$B,0))="Pre-Splitting","S"))),"")</f>
        <v/>
      </c>
      <c r="K907" s="14">
        <f t="shared" si="88"/>
        <v>2028</v>
      </c>
      <c r="L907" s="4" t="str">
        <f>IFERROR(INDEX('LEV R&amp;D'!$D:$D,MATCH(MEDIÇÃO!K907,'LEV R&amp;D'!$A:$A,0))-INDEX('PROJETO PERFURAÇÃO'!$AH:$AH,MATCH(MEDIÇÃO!K907,'PROJETO PERFURAÇÃO'!$B:$B,0)),"")</f>
        <v/>
      </c>
      <c r="M907" s="8" t="str">
        <f>IFERROR(INDEX('PROJETO PERFURAÇÃO'!$AN:$AN,MATCH(MEDIÇÃO!K907,'PROJETO PERFURAÇÃO'!$B:$B,0)),"")</f>
        <v/>
      </c>
      <c r="N907" s="3"/>
      <c r="O907" s="3"/>
      <c r="P907" s="3" t="str">
        <f>IFERROR(ROUND(INDEX('PROJETO PERFURAÇÃO'!$AB:$AB,MATCH(MEDIÇÃO!R907,'PROJETO PERFURAÇÃO'!$B:$B,0)),1)&amp;"''","")</f>
        <v/>
      </c>
      <c r="Q907" s="3" t="str">
        <f>IFERROR(IF(INDEX('PROJETO PERFURAÇÃO'!$P:$P,MATCH(MEDIÇÃO!R907,'PROJETO PERFURAÇÃO'!$B:$B,0))="Production","P",IF(INDEX('PROJETO PERFURAÇÃO'!$P:$P,MATCH(MEDIÇÃO!R907,'PROJETO PERFURAÇÃO'!$B:$B,0))="Buffer","B",IF(INDEX('PROJETO PERFURAÇÃO'!$P:$P,MATCH(MEDIÇÃO!R907,'PROJETO PERFURAÇÃO'!$B:$B,0))="Pre-Splitting","S"))),"")</f>
        <v/>
      </c>
      <c r="R907" s="14">
        <f t="shared" si="89"/>
        <v>2051</v>
      </c>
      <c r="S907" s="4" t="str">
        <f>IFERROR(INDEX('LEV R&amp;D'!$D:$D,MATCH(MEDIÇÃO!R907,'LEV R&amp;D'!$A:$A,0))-INDEX('PROJETO PERFURAÇÃO'!$AH:$AH,MATCH(MEDIÇÃO!R907,'PROJETO PERFURAÇÃO'!$B:$B,0)),"")</f>
        <v/>
      </c>
      <c r="T907" s="8" t="str">
        <f>IFERROR(INDEX('PROJETO PERFURAÇÃO'!$AN:$AN,MATCH(MEDIÇÃO!R907,'PROJETO PERFURAÇÃO'!$B:$B,0)),"")</f>
        <v/>
      </c>
      <c r="U907" s="3"/>
      <c r="V907" s="3"/>
    </row>
    <row r="908" spans="1:23" ht="45" customHeight="1">
      <c r="B908" s="3" t="str">
        <f>IFERROR(ROUND(INDEX('PROJETO PERFURAÇÃO'!$AB:$AB,MATCH(MEDIÇÃO!D908,'PROJETO PERFURAÇÃO'!$B:$B,0)),1)&amp;"''","")</f>
        <v/>
      </c>
      <c r="C908" s="3" t="str">
        <f>IFERROR(IF(INDEX('PROJETO PERFURAÇÃO'!$P:$P,MATCH(MEDIÇÃO!D908,'PROJETO PERFURAÇÃO'!$B:$B,0))="Production","P",IF(INDEX('PROJETO PERFURAÇÃO'!$P:$P,MATCH(MEDIÇÃO!D908,'PROJETO PERFURAÇÃO'!$B:$B,0))="Buffer","B",IF(INDEX('PROJETO PERFURAÇÃO'!$P:$P,MATCH(MEDIÇÃO!D908,'PROJETO PERFURAÇÃO'!$B:$B,0))="Pre-Splitting","S"))),"")</f>
        <v/>
      </c>
      <c r="D908" s="14">
        <f t="shared" si="87"/>
        <v>2006</v>
      </c>
      <c r="E908" s="4" t="str">
        <f>IFERROR(INDEX('LEV R&amp;D'!$D:$D,MATCH(MEDIÇÃO!D908,'LEV R&amp;D'!$A:$A,0))-INDEX('PROJETO PERFURAÇÃO'!$AH:$AH,MATCH(MEDIÇÃO!D908,'PROJETO PERFURAÇÃO'!$B:$B,0)),"")</f>
        <v/>
      </c>
      <c r="F908" s="8" t="str">
        <f>IFERROR(INDEX('PROJETO PERFURAÇÃO'!$AN:$AN,MATCH(MEDIÇÃO!D908,'PROJETO PERFURAÇÃO'!$B:$B,0)),"")</f>
        <v/>
      </c>
      <c r="G908" s="3"/>
      <c r="H908" s="3"/>
      <c r="I908" s="3" t="str">
        <f>IFERROR(ROUND(INDEX('PROJETO PERFURAÇÃO'!$AB:$AB,MATCH(MEDIÇÃO!K908,'PROJETO PERFURAÇÃO'!$B:$B,0)),1)&amp;"''","")</f>
        <v/>
      </c>
      <c r="J908" s="3" t="str">
        <f>IFERROR(IF(INDEX('PROJETO PERFURAÇÃO'!$P:$P,MATCH(MEDIÇÃO!K908,'PROJETO PERFURAÇÃO'!$B:$B,0))="Production","P",IF(INDEX('PROJETO PERFURAÇÃO'!$P:$P,MATCH(MEDIÇÃO!K908,'PROJETO PERFURAÇÃO'!$B:$B,0))="Buffer","B",IF(INDEX('PROJETO PERFURAÇÃO'!$P:$P,MATCH(MEDIÇÃO!K908,'PROJETO PERFURAÇÃO'!$B:$B,0))="Pre-Splitting","S"))),"")</f>
        <v/>
      </c>
      <c r="K908" s="14">
        <f t="shared" si="88"/>
        <v>2029</v>
      </c>
      <c r="L908" s="4" t="str">
        <f>IFERROR(INDEX('LEV R&amp;D'!$D:$D,MATCH(MEDIÇÃO!K908,'LEV R&amp;D'!$A:$A,0))-INDEX('PROJETO PERFURAÇÃO'!$AH:$AH,MATCH(MEDIÇÃO!K908,'PROJETO PERFURAÇÃO'!$B:$B,0)),"")</f>
        <v/>
      </c>
      <c r="M908" s="8" t="str">
        <f>IFERROR(INDEX('PROJETO PERFURAÇÃO'!$AN:$AN,MATCH(MEDIÇÃO!K908,'PROJETO PERFURAÇÃO'!$B:$B,0)),"")</f>
        <v/>
      </c>
      <c r="N908" s="3"/>
      <c r="O908" s="3"/>
      <c r="P908" s="3" t="str">
        <f>IFERROR(ROUND(INDEX('PROJETO PERFURAÇÃO'!$AB:$AB,MATCH(MEDIÇÃO!R908,'PROJETO PERFURAÇÃO'!$B:$B,0)),1)&amp;"''","")</f>
        <v/>
      </c>
      <c r="Q908" s="3" t="str">
        <f>IFERROR(IF(INDEX('PROJETO PERFURAÇÃO'!$P:$P,MATCH(MEDIÇÃO!R908,'PROJETO PERFURAÇÃO'!$B:$B,0))="Production","P",IF(INDEX('PROJETO PERFURAÇÃO'!$P:$P,MATCH(MEDIÇÃO!R908,'PROJETO PERFURAÇÃO'!$B:$B,0))="Buffer","B",IF(INDEX('PROJETO PERFURAÇÃO'!$P:$P,MATCH(MEDIÇÃO!R908,'PROJETO PERFURAÇÃO'!$B:$B,0))="Pre-Splitting","S"))),"")</f>
        <v/>
      </c>
      <c r="R908" s="14">
        <f t="shared" si="89"/>
        <v>2052</v>
      </c>
      <c r="S908" s="4" t="str">
        <f>IFERROR(INDEX('LEV R&amp;D'!$D:$D,MATCH(MEDIÇÃO!R908,'LEV R&amp;D'!$A:$A,0))-INDEX('PROJETO PERFURAÇÃO'!$AH:$AH,MATCH(MEDIÇÃO!R908,'PROJETO PERFURAÇÃO'!$B:$B,0)),"")</f>
        <v/>
      </c>
      <c r="T908" s="8" t="str">
        <f>IFERROR(INDEX('PROJETO PERFURAÇÃO'!$AN:$AN,MATCH(MEDIÇÃO!R908,'PROJETO PERFURAÇÃO'!$B:$B,0)),"")</f>
        <v/>
      </c>
      <c r="U908" s="3"/>
      <c r="V908" s="3"/>
    </row>
    <row r="909" spans="1:23" ht="45" customHeight="1">
      <c r="B909" s="3" t="str">
        <f>IFERROR(ROUND(INDEX('PROJETO PERFURAÇÃO'!$AB:$AB,MATCH(MEDIÇÃO!D909,'PROJETO PERFURAÇÃO'!$B:$B,0)),1)&amp;"''","")</f>
        <v/>
      </c>
      <c r="C909" s="3" t="str">
        <f>IFERROR(IF(INDEX('PROJETO PERFURAÇÃO'!$P:$P,MATCH(MEDIÇÃO!D909,'PROJETO PERFURAÇÃO'!$B:$B,0))="Production","P",IF(INDEX('PROJETO PERFURAÇÃO'!$P:$P,MATCH(MEDIÇÃO!D909,'PROJETO PERFURAÇÃO'!$B:$B,0))="Buffer","B",IF(INDEX('PROJETO PERFURAÇÃO'!$P:$P,MATCH(MEDIÇÃO!D909,'PROJETO PERFURAÇÃO'!$B:$B,0))="Pre-Splitting","S"))),"")</f>
        <v/>
      </c>
      <c r="D909" s="14">
        <f t="shared" si="87"/>
        <v>2007</v>
      </c>
      <c r="E909" s="4" t="str">
        <f>IFERROR(INDEX('LEV R&amp;D'!$D:$D,MATCH(MEDIÇÃO!D909,'LEV R&amp;D'!$A:$A,0))-INDEX('PROJETO PERFURAÇÃO'!$AH:$AH,MATCH(MEDIÇÃO!D909,'PROJETO PERFURAÇÃO'!$B:$B,0)),"")</f>
        <v/>
      </c>
      <c r="F909" s="8" t="str">
        <f>IFERROR(INDEX('PROJETO PERFURAÇÃO'!$AN:$AN,MATCH(MEDIÇÃO!D909,'PROJETO PERFURAÇÃO'!$B:$B,0)),"")</f>
        <v/>
      </c>
      <c r="G909" s="3"/>
      <c r="H909" s="3"/>
      <c r="I909" s="3" t="str">
        <f>IFERROR(ROUND(INDEX('PROJETO PERFURAÇÃO'!$AB:$AB,MATCH(MEDIÇÃO!K909,'PROJETO PERFURAÇÃO'!$B:$B,0)),1)&amp;"''","")</f>
        <v/>
      </c>
      <c r="J909" s="3" t="str">
        <f>IFERROR(IF(INDEX('PROJETO PERFURAÇÃO'!$P:$P,MATCH(MEDIÇÃO!K909,'PROJETO PERFURAÇÃO'!$B:$B,0))="Production","P",IF(INDEX('PROJETO PERFURAÇÃO'!$P:$P,MATCH(MEDIÇÃO!K909,'PROJETO PERFURAÇÃO'!$B:$B,0))="Buffer","B",IF(INDEX('PROJETO PERFURAÇÃO'!$P:$P,MATCH(MEDIÇÃO!K909,'PROJETO PERFURAÇÃO'!$B:$B,0))="Pre-Splitting","S"))),"")</f>
        <v/>
      </c>
      <c r="K909" s="14">
        <f t="shared" si="88"/>
        <v>2030</v>
      </c>
      <c r="L909" s="4" t="str">
        <f>IFERROR(INDEX('LEV R&amp;D'!$D:$D,MATCH(MEDIÇÃO!K909,'LEV R&amp;D'!$A:$A,0))-INDEX('PROJETO PERFURAÇÃO'!$AH:$AH,MATCH(MEDIÇÃO!K909,'PROJETO PERFURAÇÃO'!$B:$B,0)),"")</f>
        <v/>
      </c>
      <c r="M909" s="8" t="str">
        <f>IFERROR(INDEX('PROJETO PERFURAÇÃO'!$AN:$AN,MATCH(MEDIÇÃO!K909,'PROJETO PERFURAÇÃO'!$B:$B,0)),"")</f>
        <v/>
      </c>
      <c r="N909" s="3"/>
      <c r="O909" s="3"/>
      <c r="P909" s="3" t="str">
        <f>IFERROR(ROUND(INDEX('PROJETO PERFURAÇÃO'!$AB:$AB,MATCH(MEDIÇÃO!R909,'PROJETO PERFURAÇÃO'!$B:$B,0)),1)&amp;"''","")</f>
        <v/>
      </c>
      <c r="Q909" s="3" t="str">
        <f>IFERROR(IF(INDEX('PROJETO PERFURAÇÃO'!$P:$P,MATCH(MEDIÇÃO!R909,'PROJETO PERFURAÇÃO'!$B:$B,0))="Production","P",IF(INDEX('PROJETO PERFURAÇÃO'!$P:$P,MATCH(MEDIÇÃO!R909,'PROJETO PERFURAÇÃO'!$B:$B,0))="Buffer","B",IF(INDEX('PROJETO PERFURAÇÃO'!$P:$P,MATCH(MEDIÇÃO!R909,'PROJETO PERFURAÇÃO'!$B:$B,0))="Pre-Splitting","S"))),"")</f>
        <v/>
      </c>
      <c r="R909" s="14">
        <f t="shared" si="89"/>
        <v>2053</v>
      </c>
      <c r="S909" s="4" t="str">
        <f>IFERROR(INDEX('LEV R&amp;D'!$D:$D,MATCH(MEDIÇÃO!R909,'LEV R&amp;D'!$A:$A,0))-INDEX('PROJETO PERFURAÇÃO'!$AH:$AH,MATCH(MEDIÇÃO!R909,'PROJETO PERFURAÇÃO'!$B:$B,0)),"")</f>
        <v/>
      </c>
      <c r="T909" s="8" t="str">
        <f>IFERROR(INDEX('PROJETO PERFURAÇÃO'!$AN:$AN,MATCH(MEDIÇÃO!R909,'PROJETO PERFURAÇÃO'!$B:$B,0)),"")</f>
        <v/>
      </c>
      <c r="U909" s="3"/>
      <c r="V909" s="3"/>
    </row>
    <row r="910" spans="1:23" ht="45" customHeight="1">
      <c r="B910" s="3" t="str">
        <f>IFERROR(ROUND(INDEX('PROJETO PERFURAÇÃO'!$AB:$AB,MATCH(MEDIÇÃO!D910,'PROJETO PERFURAÇÃO'!$B:$B,0)),1)&amp;"''","")</f>
        <v/>
      </c>
      <c r="C910" s="3" t="str">
        <f>IFERROR(IF(INDEX('PROJETO PERFURAÇÃO'!$P:$P,MATCH(MEDIÇÃO!D910,'PROJETO PERFURAÇÃO'!$B:$B,0))="Production","P",IF(INDEX('PROJETO PERFURAÇÃO'!$P:$P,MATCH(MEDIÇÃO!D910,'PROJETO PERFURAÇÃO'!$B:$B,0))="Buffer","B",IF(INDEX('PROJETO PERFURAÇÃO'!$P:$P,MATCH(MEDIÇÃO!D910,'PROJETO PERFURAÇÃO'!$B:$B,0))="Pre-Splitting","S"))),"")</f>
        <v/>
      </c>
      <c r="D910" s="14">
        <f t="shared" si="87"/>
        <v>2008</v>
      </c>
      <c r="E910" s="4" t="str">
        <f>IFERROR(INDEX('LEV R&amp;D'!$D:$D,MATCH(MEDIÇÃO!D910,'LEV R&amp;D'!$A:$A,0))-INDEX('PROJETO PERFURAÇÃO'!$AH:$AH,MATCH(MEDIÇÃO!D910,'PROJETO PERFURAÇÃO'!$B:$B,0)),"")</f>
        <v/>
      </c>
      <c r="F910" s="8" t="str">
        <f>IFERROR(INDEX('PROJETO PERFURAÇÃO'!$AN:$AN,MATCH(MEDIÇÃO!D910,'PROJETO PERFURAÇÃO'!$B:$B,0)),"")</f>
        <v/>
      </c>
      <c r="G910" s="3"/>
      <c r="H910" s="3"/>
      <c r="I910" s="3" t="str">
        <f>IFERROR(ROUND(INDEX('PROJETO PERFURAÇÃO'!$AB:$AB,MATCH(MEDIÇÃO!K910,'PROJETO PERFURAÇÃO'!$B:$B,0)),1)&amp;"''","")</f>
        <v/>
      </c>
      <c r="J910" s="3" t="str">
        <f>IFERROR(IF(INDEX('PROJETO PERFURAÇÃO'!$P:$P,MATCH(MEDIÇÃO!K910,'PROJETO PERFURAÇÃO'!$B:$B,0))="Production","P",IF(INDEX('PROJETO PERFURAÇÃO'!$P:$P,MATCH(MEDIÇÃO!K910,'PROJETO PERFURAÇÃO'!$B:$B,0))="Buffer","B",IF(INDEX('PROJETO PERFURAÇÃO'!$P:$P,MATCH(MEDIÇÃO!K910,'PROJETO PERFURAÇÃO'!$B:$B,0))="Pre-Splitting","S"))),"")</f>
        <v/>
      </c>
      <c r="K910" s="14">
        <f t="shared" si="88"/>
        <v>2031</v>
      </c>
      <c r="L910" s="4" t="str">
        <f>IFERROR(INDEX('LEV R&amp;D'!$D:$D,MATCH(MEDIÇÃO!K910,'LEV R&amp;D'!$A:$A,0))-INDEX('PROJETO PERFURAÇÃO'!$AH:$AH,MATCH(MEDIÇÃO!K910,'PROJETO PERFURAÇÃO'!$B:$B,0)),"")</f>
        <v/>
      </c>
      <c r="M910" s="8" t="str">
        <f>IFERROR(INDEX('PROJETO PERFURAÇÃO'!$AN:$AN,MATCH(MEDIÇÃO!K910,'PROJETO PERFURAÇÃO'!$B:$B,0)),"")</f>
        <v/>
      </c>
      <c r="N910" s="3"/>
      <c r="O910" s="3"/>
      <c r="P910" s="3" t="str">
        <f>IFERROR(ROUND(INDEX('PROJETO PERFURAÇÃO'!$AB:$AB,MATCH(MEDIÇÃO!R910,'PROJETO PERFURAÇÃO'!$B:$B,0)),1)&amp;"''","")</f>
        <v/>
      </c>
      <c r="Q910" s="3" t="str">
        <f>IFERROR(IF(INDEX('PROJETO PERFURAÇÃO'!$P:$P,MATCH(MEDIÇÃO!R910,'PROJETO PERFURAÇÃO'!$B:$B,0))="Production","P",IF(INDEX('PROJETO PERFURAÇÃO'!$P:$P,MATCH(MEDIÇÃO!R910,'PROJETO PERFURAÇÃO'!$B:$B,0))="Buffer","B",IF(INDEX('PROJETO PERFURAÇÃO'!$P:$P,MATCH(MEDIÇÃO!R910,'PROJETO PERFURAÇÃO'!$B:$B,0))="Pre-Splitting","S"))),"")</f>
        <v/>
      </c>
      <c r="R910" s="14">
        <f t="shared" si="89"/>
        <v>2054</v>
      </c>
      <c r="S910" s="4" t="str">
        <f>IFERROR(INDEX('LEV R&amp;D'!$D:$D,MATCH(MEDIÇÃO!R910,'LEV R&amp;D'!$A:$A,0))-INDEX('PROJETO PERFURAÇÃO'!$AH:$AH,MATCH(MEDIÇÃO!R910,'PROJETO PERFURAÇÃO'!$B:$B,0)),"")</f>
        <v/>
      </c>
      <c r="T910" s="8" t="str">
        <f>IFERROR(INDEX('PROJETO PERFURAÇÃO'!$AN:$AN,MATCH(MEDIÇÃO!R910,'PROJETO PERFURAÇÃO'!$B:$B,0)),"")</f>
        <v/>
      </c>
      <c r="U910" s="3"/>
      <c r="V910" s="3"/>
    </row>
    <row r="911" spans="1:23" ht="45" customHeight="1">
      <c r="B911" s="3" t="str">
        <f>IFERROR(ROUND(INDEX('PROJETO PERFURAÇÃO'!$AB:$AB,MATCH(MEDIÇÃO!D911,'PROJETO PERFURAÇÃO'!$B:$B,0)),1)&amp;"''","")</f>
        <v/>
      </c>
      <c r="C911" s="3" t="str">
        <f>IFERROR(IF(INDEX('PROJETO PERFURAÇÃO'!$P:$P,MATCH(MEDIÇÃO!D911,'PROJETO PERFURAÇÃO'!$B:$B,0))="Production","P",IF(INDEX('PROJETO PERFURAÇÃO'!$P:$P,MATCH(MEDIÇÃO!D911,'PROJETO PERFURAÇÃO'!$B:$B,0))="Buffer","B",IF(INDEX('PROJETO PERFURAÇÃO'!$P:$P,MATCH(MEDIÇÃO!D911,'PROJETO PERFURAÇÃO'!$B:$B,0))="Pre-Splitting","S"))),"")</f>
        <v/>
      </c>
      <c r="D911" s="14">
        <f t="shared" si="87"/>
        <v>2009</v>
      </c>
      <c r="E911" s="4" t="str">
        <f>IFERROR(INDEX('LEV R&amp;D'!$D:$D,MATCH(MEDIÇÃO!D911,'LEV R&amp;D'!$A:$A,0))-INDEX('PROJETO PERFURAÇÃO'!$AH:$AH,MATCH(MEDIÇÃO!D911,'PROJETO PERFURAÇÃO'!$B:$B,0)),"")</f>
        <v/>
      </c>
      <c r="F911" s="8" t="str">
        <f>IFERROR(INDEX('PROJETO PERFURAÇÃO'!$AN:$AN,MATCH(MEDIÇÃO!D911,'PROJETO PERFURAÇÃO'!$B:$B,0)),"")</f>
        <v/>
      </c>
      <c r="G911" s="3"/>
      <c r="H911" s="3"/>
      <c r="I911" s="3" t="str">
        <f>IFERROR(ROUND(INDEX('PROJETO PERFURAÇÃO'!$AB:$AB,MATCH(MEDIÇÃO!K911,'PROJETO PERFURAÇÃO'!$B:$B,0)),1)&amp;"''","")</f>
        <v/>
      </c>
      <c r="J911" s="3" t="str">
        <f>IFERROR(IF(INDEX('PROJETO PERFURAÇÃO'!$P:$P,MATCH(MEDIÇÃO!K911,'PROJETO PERFURAÇÃO'!$B:$B,0))="Production","P",IF(INDEX('PROJETO PERFURAÇÃO'!$P:$P,MATCH(MEDIÇÃO!K911,'PROJETO PERFURAÇÃO'!$B:$B,0))="Buffer","B",IF(INDEX('PROJETO PERFURAÇÃO'!$P:$P,MATCH(MEDIÇÃO!K911,'PROJETO PERFURAÇÃO'!$B:$B,0))="Pre-Splitting","S"))),"")</f>
        <v/>
      </c>
      <c r="K911" s="14">
        <f t="shared" si="88"/>
        <v>2032</v>
      </c>
      <c r="L911" s="4" t="str">
        <f>IFERROR(INDEX('LEV R&amp;D'!$D:$D,MATCH(MEDIÇÃO!K911,'LEV R&amp;D'!$A:$A,0))-INDEX('PROJETO PERFURAÇÃO'!$AH:$AH,MATCH(MEDIÇÃO!K911,'PROJETO PERFURAÇÃO'!$B:$B,0)),"")</f>
        <v/>
      </c>
      <c r="M911" s="8" t="str">
        <f>IFERROR(INDEX('PROJETO PERFURAÇÃO'!$AN:$AN,MATCH(MEDIÇÃO!K911,'PROJETO PERFURAÇÃO'!$B:$B,0)),"")</f>
        <v/>
      </c>
      <c r="N911" s="3"/>
      <c r="O911" s="3"/>
      <c r="P911" s="3" t="str">
        <f>IFERROR(ROUND(INDEX('PROJETO PERFURAÇÃO'!$AB:$AB,MATCH(MEDIÇÃO!R911,'PROJETO PERFURAÇÃO'!$B:$B,0)),1)&amp;"''","")</f>
        <v/>
      </c>
      <c r="Q911" s="3" t="str">
        <f>IFERROR(IF(INDEX('PROJETO PERFURAÇÃO'!$P:$P,MATCH(MEDIÇÃO!R911,'PROJETO PERFURAÇÃO'!$B:$B,0))="Production","P",IF(INDEX('PROJETO PERFURAÇÃO'!$P:$P,MATCH(MEDIÇÃO!R911,'PROJETO PERFURAÇÃO'!$B:$B,0))="Buffer","B",IF(INDEX('PROJETO PERFURAÇÃO'!$P:$P,MATCH(MEDIÇÃO!R911,'PROJETO PERFURAÇÃO'!$B:$B,0))="Pre-Splitting","S"))),"")</f>
        <v/>
      </c>
      <c r="R911" s="14">
        <f t="shared" si="89"/>
        <v>2055</v>
      </c>
      <c r="S911" s="4" t="str">
        <f>IFERROR(INDEX('LEV R&amp;D'!$D:$D,MATCH(MEDIÇÃO!R911,'LEV R&amp;D'!$A:$A,0))-INDEX('PROJETO PERFURAÇÃO'!$AH:$AH,MATCH(MEDIÇÃO!R911,'PROJETO PERFURAÇÃO'!$B:$B,0)),"")</f>
        <v/>
      </c>
      <c r="T911" s="8" t="str">
        <f>IFERROR(INDEX('PROJETO PERFURAÇÃO'!$AN:$AN,MATCH(MEDIÇÃO!R911,'PROJETO PERFURAÇÃO'!$B:$B,0)),"")</f>
        <v/>
      </c>
      <c r="U911" s="3"/>
      <c r="V911" s="3"/>
    </row>
    <row r="912" spans="1:23" ht="45" customHeight="1">
      <c r="B912" s="3" t="str">
        <f>IFERROR(ROUND(INDEX('PROJETO PERFURAÇÃO'!$AB:$AB,MATCH(MEDIÇÃO!D912,'PROJETO PERFURAÇÃO'!$B:$B,0)),1)&amp;"''","")</f>
        <v/>
      </c>
      <c r="C912" s="3" t="str">
        <f>IFERROR(IF(INDEX('PROJETO PERFURAÇÃO'!$P:$P,MATCH(MEDIÇÃO!D912,'PROJETO PERFURAÇÃO'!$B:$B,0))="Production","P",IF(INDEX('PROJETO PERFURAÇÃO'!$P:$P,MATCH(MEDIÇÃO!D912,'PROJETO PERFURAÇÃO'!$B:$B,0))="Buffer","B",IF(INDEX('PROJETO PERFURAÇÃO'!$P:$P,MATCH(MEDIÇÃO!D912,'PROJETO PERFURAÇÃO'!$B:$B,0))="Pre-Splitting","S"))),"")</f>
        <v/>
      </c>
      <c r="D912" s="14">
        <f t="shared" si="87"/>
        <v>2010</v>
      </c>
      <c r="E912" s="4" t="str">
        <f>IFERROR(INDEX('LEV R&amp;D'!$D:$D,MATCH(MEDIÇÃO!D912,'LEV R&amp;D'!$A:$A,0))-INDEX('PROJETO PERFURAÇÃO'!$AH:$AH,MATCH(MEDIÇÃO!D912,'PROJETO PERFURAÇÃO'!$B:$B,0)),"")</f>
        <v/>
      </c>
      <c r="F912" s="8" t="str">
        <f>IFERROR(INDEX('PROJETO PERFURAÇÃO'!$AN:$AN,MATCH(MEDIÇÃO!D912,'PROJETO PERFURAÇÃO'!$B:$B,0)),"")</f>
        <v/>
      </c>
      <c r="G912" s="3"/>
      <c r="H912" s="3"/>
      <c r="I912" s="3" t="str">
        <f>IFERROR(ROUND(INDEX('PROJETO PERFURAÇÃO'!$AB:$AB,MATCH(MEDIÇÃO!K912,'PROJETO PERFURAÇÃO'!$B:$B,0)),1)&amp;"''","")</f>
        <v/>
      </c>
      <c r="J912" s="3" t="str">
        <f>IFERROR(IF(INDEX('PROJETO PERFURAÇÃO'!$P:$P,MATCH(MEDIÇÃO!K912,'PROJETO PERFURAÇÃO'!$B:$B,0))="Production","P",IF(INDEX('PROJETO PERFURAÇÃO'!$P:$P,MATCH(MEDIÇÃO!K912,'PROJETO PERFURAÇÃO'!$B:$B,0))="Buffer","B",IF(INDEX('PROJETO PERFURAÇÃO'!$P:$P,MATCH(MEDIÇÃO!K912,'PROJETO PERFURAÇÃO'!$B:$B,0))="Pre-Splitting","S"))),"")</f>
        <v/>
      </c>
      <c r="K912" s="14">
        <f t="shared" si="88"/>
        <v>2033</v>
      </c>
      <c r="L912" s="4" t="str">
        <f>IFERROR(INDEX('LEV R&amp;D'!$D:$D,MATCH(MEDIÇÃO!K912,'LEV R&amp;D'!$A:$A,0))-INDEX('PROJETO PERFURAÇÃO'!$AH:$AH,MATCH(MEDIÇÃO!K912,'PROJETO PERFURAÇÃO'!$B:$B,0)),"")</f>
        <v/>
      </c>
      <c r="M912" s="8" t="str">
        <f>IFERROR(INDEX('PROJETO PERFURAÇÃO'!$AN:$AN,MATCH(MEDIÇÃO!K912,'PROJETO PERFURAÇÃO'!$B:$B,0)),"")</f>
        <v/>
      </c>
      <c r="N912" s="3"/>
      <c r="O912" s="3"/>
      <c r="P912" s="3" t="str">
        <f>IFERROR(ROUND(INDEX('PROJETO PERFURAÇÃO'!$AB:$AB,MATCH(MEDIÇÃO!R912,'PROJETO PERFURAÇÃO'!$B:$B,0)),1)&amp;"''","")</f>
        <v/>
      </c>
      <c r="Q912" s="3" t="str">
        <f>IFERROR(IF(INDEX('PROJETO PERFURAÇÃO'!$P:$P,MATCH(MEDIÇÃO!R912,'PROJETO PERFURAÇÃO'!$B:$B,0))="Production","P",IF(INDEX('PROJETO PERFURAÇÃO'!$P:$P,MATCH(MEDIÇÃO!R912,'PROJETO PERFURAÇÃO'!$B:$B,0))="Buffer","B",IF(INDEX('PROJETO PERFURAÇÃO'!$P:$P,MATCH(MEDIÇÃO!R912,'PROJETO PERFURAÇÃO'!$B:$B,0))="Pre-Splitting","S"))),"")</f>
        <v/>
      </c>
      <c r="R912" s="14">
        <f t="shared" si="89"/>
        <v>2056</v>
      </c>
      <c r="S912" s="4" t="str">
        <f>IFERROR(INDEX('LEV R&amp;D'!$D:$D,MATCH(MEDIÇÃO!R912,'LEV R&amp;D'!$A:$A,0))-INDEX('PROJETO PERFURAÇÃO'!$AH:$AH,MATCH(MEDIÇÃO!R912,'PROJETO PERFURAÇÃO'!$B:$B,0)),"")</f>
        <v/>
      </c>
      <c r="T912" s="8" t="str">
        <f>IFERROR(INDEX('PROJETO PERFURAÇÃO'!$AN:$AN,MATCH(MEDIÇÃO!R912,'PROJETO PERFURAÇÃO'!$B:$B,0)),"")</f>
        <v/>
      </c>
      <c r="U912" s="3"/>
      <c r="V912" s="3"/>
    </row>
    <row r="913" spans="2:22" ht="45" customHeight="1">
      <c r="B913" s="3" t="str">
        <f>IFERROR(ROUND(INDEX('PROJETO PERFURAÇÃO'!$AB:$AB,MATCH(MEDIÇÃO!D913,'PROJETO PERFURAÇÃO'!$B:$B,0)),1)&amp;"''","")</f>
        <v/>
      </c>
      <c r="C913" s="3" t="str">
        <f>IFERROR(IF(INDEX('PROJETO PERFURAÇÃO'!$P:$P,MATCH(MEDIÇÃO!D913,'PROJETO PERFURAÇÃO'!$B:$B,0))="Production","P",IF(INDEX('PROJETO PERFURAÇÃO'!$P:$P,MATCH(MEDIÇÃO!D913,'PROJETO PERFURAÇÃO'!$B:$B,0))="Buffer","B",IF(INDEX('PROJETO PERFURAÇÃO'!$P:$P,MATCH(MEDIÇÃO!D913,'PROJETO PERFURAÇÃO'!$B:$B,0))="Pre-Splitting","S"))),"")</f>
        <v/>
      </c>
      <c r="D913" s="14">
        <f t="shared" si="87"/>
        <v>2011</v>
      </c>
      <c r="E913" s="4" t="str">
        <f>IFERROR(INDEX('LEV R&amp;D'!$D:$D,MATCH(MEDIÇÃO!D913,'LEV R&amp;D'!$A:$A,0))-INDEX('PROJETO PERFURAÇÃO'!$AH:$AH,MATCH(MEDIÇÃO!D913,'PROJETO PERFURAÇÃO'!$B:$B,0)),"")</f>
        <v/>
      </c>
      <c r="F913" s="8" t="str">
        <f>IFERROR(INDEX('PROJETO PERFURAÇÃO'!$AN:$AN,MATCH(MEDIÇÃO!D913,'PROJETO PERFURAÇÃO'!$B:$B,0)),"")</f>
        <v/>
      </c>
      <c r="G913" s="3"/>
      <c r="H913" s="3"/>
      <c r="I913" s="3" t="str">
        <f>IFERROR(ROUND(INDEX('PROJETO PERFURAÇÃO'!$AB:$AB,MATCH(MEDIÇÃO!K913,'PROJETO PERFURAÇÃO'!$B:$B,0)),1)&amp;"''","")</f>
        <v/>
      </c>
      <c r="J913" s="3" t="str">
        <f>IFERROR(IF(INDEX('PROJETO PERFURAÇÃO'!$P:$P,MATCH(MEDIÇÃO!K913,'PROJETO PERFURAÇÃO'!$B:$B,0))="Production","P",IF(INDEX('PROJETO PERFURAÇÃO'!$P:$P,MATCH(MEDIÇÃO!K913,'PROJETO PERFURAÇÃO'!$B:$B,0))="Buffer","B",IF(INDEX('PROJETO PERFURAÇÃO'!$P:$P,MATCH(MEDIÇÃO!K913,'PROJETO PERFURAÇÃO'!$B:$B,0))="Pre-Splitting","S"))),"")</f>
        <v/>
      </c>
      <c r="K913" s="14">
        <f t="shared" si="88"/>
        <v>2034</v>
      </c>
      <c r="L913" s="4" t="str">
        <f>IFERROR(INDEX('LEV R&amp;D'!$D:$D,MATCH(MEDIÇÃO!K913,'LEV R&amp;D'!$A:$A,0))-INDEX('PROJETO PERFURAÇÃO'!$AH:$AH,MATCH(MEDIÇÃO!K913,'PROJETO PERFURAÇÃO'!$B:$B,0)),"")</f>
        <v/>
      </c>
      <c r="M913" s="8" t="str">
        <f>IFERROR(INDEX('PROJETO PERFURAÇÃO'!$AN:$AN,MATCH(MEDIÇÃO!K913,'PROJETO PERFURAÇÃO'!$B:$B,0)),"")</f>
        <v/>
      </c>
      <c r="N913" s="3"/>
      <c r="O913" s="3"/>
      <c r="P913" s="3" t="str">
        <f>IFERROR(ROUND(INDEX('PROJETO PERFURAÇÃO'!$AB:$AB,MATCH(MEDIÇÃO!R913,'PROJETO PERFURAÇÃO'!$B:$B,0)),1)&amp;"''","")</f>
        <v/>
      </c>
      <c r="Q913" s="3" t="str">
        <f>IFERROR(IF(INDEX('PROJETO PERFURAÇÃO'!$P:$P,MATCH(MEDIÇÃO!R913,'PROJETO PERFURAÇÃO'!$B:$B,0))="Production","P",IF(INDEX('PROJETO PERFURAÇÃO'!$P:$P,MATCH(MEDIÇÃO!R913,'PROJETO PERFURAÇÃO'!$B:$B,0))="Buffer","B",IF(INDEX('PROJETO PERFURAÇÃO'!$P:$P,MATCH(MEDIÇÃO!R913,'PROJETO PERFURAÇÃO'!$B:$B,0))="Pre-Splitting","S"))),"")</f>
        <v/>
      </c>
      <c r="R913" s="14">
        <f t="shared" si="89"/>
        <v>2057</v>
      </c>
      <c r="S913" s="4" t="str">
        <f>IFERROR(INDEX('LEV R&amp;D'!$D:$D,MATCH(MEDIÇÃO!R913,'LEV R&amp;D'!$A:$A,0))-INDEX('PROJETO PERFURAÇÃO'!$AH:$AH,MATCH(MEDIÇÃO!R913,'PROJETO PERFURAÇÃO'!$B:$B,0)),"")</f>
        <v/>
      </c>
      <c r="T913" s="8" t="str">
        <f>IFERROR(INDEX('PROJETO PERFURAÇÃO'!$AN:$AN,MATCH(MEDIÇÃO!R913,'PROJETO PERFURAÇÃO'!$B:$B,0)),"")</f>
        <v/>
      </c>
      <c r="U913" s="3"/>
      <c r="V913" s="3"/>
    </row>
    <row r="914" spans="2:22" ht="45" customHeight="1">
      <c r="B914" s="3" t="str">
        <f>IFERROR(ROUND(INDEX('PROJETO PERFURAÇÃO'!$AB:$AB,MATCH(MEDIÇÃO!D914,'PROJETO PERFURAÇÃO'!$B:$B,0)),1)&amp;"''","")</f>
        <v/>
      </c>
      <c r="C914" s="3" t="str">
        <f>IFERROR(IF(INDEX('PROJETO PERFURAÇÃO'!$P:$P,MATCH(MEDIÇÃO!D914,'PROJETO PERFURAÇÃO'!$B:$B,0))="Production","P",IF(INDEX('PROJETO PERFURAÇÃO'!$P:$P,MATCH(MEDIÇÃO!D914,'PROJETO PERFURAÇÃO'!$B:$B,0))="Buffer","B",IF(INDEX('PROJETO PERFURAÇÃO'!$P:$P,MATCH(MEDIÇÃO!D914,'PROJETO PERFURAÇÃO'!$B:$B,0))="Pre-Splitting","S"))),"")</f>
        <v/>
      </c>
      <c r="D914" s="14">
        <f t="shared" si="87"/>
        <v>2012</v>
      </c>
      <c r="E914" s="4" t="str">
        <f>IFERROR(INDEX('LEV R&amp;D'!$D:$D,MATCH(MEDIÇÃO!D914,'LEV R&amp;D'!$A:$A,0))-INDEX('PROJETO PERFURAÇÃO'!$AH:$AH,MATCH(MEDIÇÃO!D914,'PROJETO PERFURAÇÃO'!$B:$B,0)),"")</f>
        <v/>
      </c>
      <c r="F914" s="8" t="str">
        <f>IFERROR(INDEX('PROJETO PERFURAÇÃO'!$AN:$AN,MATCH(MEDIÇÃO!D914,'PROJETO PERFURAÇÃO'!$B:$B,0)),"")</f>
        <v/>
      </c>
      <c r="G914" s="3"/>
      <c r="H914" s="3"/>
      <c r="I914" s="3" t="str">
        <f>IFERROR(ROUND(INDEX('PROJETO PERFURAÇÃO'!$AB:$AB,MATCH(MEDIÇÃO!K914,'PROJETO PERFURAÇÃO'!$B:$B,0)),1)&amp;"''","")</f>
        <v/>
      </c>
      <c r="J914" s="3" t="str">
        <f>IFERROR(IF(INDEX('PROJETO PERFURAÇÃO'!$P:$P,MATCH(MEDIÇÃO!K914,'PROJETO PERFURAÇÃO'!$B:$B,0))="Production","P",IF(INDEX('PROJETO PERFURAÇÃO'!$P:$P,MATCH(MEDIÇÃO!K914,'PROJETO PERFURAÇÃO'!$B:$B,0))="Buffer","B",IF(INDEX('PROJETO PERFURAÇÃO'!$P:$P,MATCH(MEDIÇÃO!K914,'PROJETO PERFURAÇÃO'!$B:$B,0))="Pre-Splitting","S"))),"")</f>
        <v/>
      </c>
      <c r="K914" s="14">
        <f t="shared" si="88"/>
        <v>2035</v>
      </c>
      <c r="L914" s="4" t="str">
        <f>IFERROR(INDEX('LEV R&amp;D'!$D:$D,MATCH(MEDIÇÃO!K914,'LEV R&amp;D'!$A:$A,0))-INDEX('PROJETO PERFURAÇÃO'!$AH:$AH,MATCH(MEDIÇÃO!K914,'PROJETO PERFURAÇÃO'!$B:$B,0)),"")</f>
        <v/>
      </c>
      <c r="M914" s="8" t="str">
        <f>IFERROR(INDEX('PROJETO PERFURAÇÃO'!$AN:$AN,MATCH(MEDIÇÃO!K914,'PROJETO PERFURAÇÃO'!$B:$B,0)),"")</f>
        <v/>
      </c>
      <c r="N914" s="3"/>
      <c r="O914" s="3"/>
      <c r="P914" s="3" t="str">
        <f>IFERROR(ROUND(INDEX('PROJETO PERFURAÇÃO'!$AB:$AB,MATCH(MEDIÇÃO!R914,'PROJETO PERFURAÇÃO'!$B:$B,0)),1)&amp;"''","")</f>
        <v/>
      </c>
      <c r="Q914" s="3" t="str">
        <f>IFERROR(IF(INDEX('PROJETO PERFURAÇÃO'!$P:$P,MATCH(MEDIÇÃO!R914,'PROJETO PERFURAÇÃO'!$B:$B,0))="Production","P",IF(INDEX('PROJETO PERFURAÇÃO'!$P:$P,MATCH(MEDIÇÃO!R914,'PROJETO PERFURAÇÃO'!$B:$B,0))="Buffer","B",IF(INDEX('PROJETO PERFURAÇÃO'!$P:$P,MATCH(MEDIÇÃO!R914,'PROJETO PERFURAÇÃO'!$B:$B,0))="Pre-Splitting","S"))),"")</f>
        <v/>
      </c>
      <c r="R914" s="14">
        <f t="shared" si="89"/>
        <v>2058</v>
      </c>
      <c r="S914" s="4" t="str">
        <f>IFERROR(INDEX('LEV R&amp;D'!$D:$D,MATCH(MEDIÇÃO!R914,'LEV R&amp;D'!$A:$A,0))-INDEX('PROJETO PERFURAÇÃO'!$AH:$AH,MATCH(MEDIÇÃO!R914,'PROJETO PERFURAÇÃO'!$B:$B,0)),"")</f>
        <v/>
      </c>
      <c r="T914" s="8" t="str">
        <f>IFERROR(INDEX('PROJETO PERFURAÇÃO'!$AN:$AN,MATCH(MEDIÇÃO!R914,'PROJETO PERFURAÇÃO'!$B:$B,0)),"")</f>
        <v/>
      </c>
      <c r="U914" s="3"/>
      <c r="V914" s="3"/>
    </row>
    <row r="915" spans="2:22" ht="45" customHeight="1">
      <c r="B915" s="3" t="str">
        <f>IFERROR(ROUND(INDEX('PROJETO PERFURAÇÃO'!$AB:$AB,MATCH(MEDIÇÃO!D915,'PROJETO PERFURAÇÃO'!$B:$B,0)),1)&amp;"''","")</f>
        <v/>
      </c>
      <c r="C915" s="3" t="str">
        <f>IFERROR(IF(INDEX('PROJETO PERFURAÇÃO'!$P:$P,MATCH(MEDIÇÃO!D915,'PROJETO PERFURAÇÃO'!$B:$B,0))="Production","P",IF(INDEX('PROJETO PERFURAÇÃO'!$P:$P,MATCH(MEDIÇÃO!D915,'PROJETO PERFURAÇÃO'!$B:$B,0))="Buffer","B",IF(INDEX('PROJETO PERFURAÇÃO'!$P:$P,MATCH(MEDIÇÃO!D915,'PROJETO PERFURAÇÃO'!$B:$B,0))="Pre-Splitting","S"))),"")</f>
        <v/>
      </c>
      <c r="D915" s="14">
        <f t="shared" si="87"/>
        <v>2013</v>
      </c>
      <c r="E915" s="4" t="str">
        <f>IFERROR(INDEX('LEV R&amp;D'!$D:$D,MATCH(MEDIÇÃO!D915,'LEV R&amp;D'!$A:$A,0))-INDEX('PROJETO PERFURAÇÃO'!$AH:$AH,MATCH(MEDIÇÃO!D915,'PROJETO PERFURAÇÃO'!$B:$B,0)),"")</f>
        <v/>
      </c>
      <c r="F915" s="8" t="str">
        <f>IFERROR(INDEX('PROJETO PERFURAÇÃO'!$AN:$AN,MATCH(MEDIÇÃO!D915,'PROJETO PERFURAÇÃO'!$B:$B,0)),"")</f>
        <v/>
      </c>
      <c r="G915" s="3"/>
      <c r="H915" s="3"/>
      <c r="I915" s="3" t="str">
        <f>IFERROR(ROUND(INDEX('PROJETO PERFURAÇÃO'!$AB:$AB,MATCH(MEDIÇÃO!K915,'PROJETO PERFURAÇÃO'!$B:$B,0)),1)&amp;"''","")</f>
        <v/>
      </c>
      <c r="J915" s="3" t="str">
        <f>IFERROR(IF(INDEX('PROJETO PERFURAÇÃO'!$P:$P,MATCH(MEDIÇÃO!K915,'PROJETO PERFURAÇÃO'!$B:$B,0))="Production","P",IF(INDEX('PROJETO PERFURAÇÃO'!$P:$P,MATCH(MEDIÇÃO!K915,'PROJETO PERFURAÇÃO'!$B:$B,0))="Buffer","B",IF(INDEX('PROJETO PERFURAÇÃO'!$P:$P,MATCH(MEDIÇÃO!K915,'PROJETO PERFURAÇÃO'!$B:$B,0))="Pre-Splitting","S"))),"")</f>
        <v/>
      </c>
      <c r="K915" s="14">
        <f t="shared" si="88"/>
        <v>2036</v>
      </c>
      <c r="L915" s="4" t="str">
        <f>IFERROR(INDEX('LEV R&amp;D'!$D:$D,MATCH(MEDIÇÃO!K915,'LEV R&amp;D'!$A:$A,0))-INDEX('PROJETO PERFURAÇÃO'!$AH:$AH,MATCH(MEDIÇÃO!K915,'PROJETO PERFURAÇÃO'!$B:$B,0)),"")</f>
        <v/>
      </c>
      <c r="M915" s="8" t="str">
        <f>IFERROR(INDEX('PROJETO PERFURAÇÃO'!$AN:$AN,MATCH(MEDIÇÃO!K915,'PROJETO PERFURAÇÃO'!$B:$B,0)),"")</f>
        <v/>
      </c>
      <c r="N915" s="3"/>
      <c r="O915" s="3"/>
      <c r="P915" s="3" t="str">
        <f>IFERROR(ROUND(INDEX('PROJETO PERFURAÇÃO'!$AB:$AB,MATCH(MEDIÇÃO!R915,'PROJETO PERFURAÇÃO'!$B:$B,0)),1)&amp;"''","")</f>
        <v/>
      </c>
      <c r="Q915" s="3" t="str">
        <f>IFERROR(IF(INDEX('PROJETO PERFURAÇÃO'!$P:$P,MATCH(MEDIÇÃO!R915,'PROJETO PERFURAÇÃO'!$B:$B,0))="Production","P",IF(INDEX('PROJETO PERFURAÇÃO'!$P:$P,MATCH(MEDIÇÃO!R915,'PROJETO PERFURAÇÃO'!$B:$B,0))="Buffer","B",IF(INDEX('PROJETO PERFURAÇÃO'!$P:$P,MATCH(MEDIÇÃO!R915,'PROJETO PERFURAÇÃO'!$B:$B,0))="Pre-Splitting","S"))),"")</f>
        <v/>
      </c>
      <c r="R915" s="14">
        <f t="shared" si="89"/>
        <v>2059</v>
      </c>
      <c r="S915" s="4" t="str">
        <f>IFERROR(INDEX('LEV R&amp;D'!$D:$D,MATCH(MEDIÇÃO!R915,'LEV R&amp;D'!$A:$A,0))-INDEX('PROJETO PERFURAÇÃO'!$AH:$AH,MATCH(MEDIÇÃO!R915,'PROJETO PERFURAÇÃO'!$B:$B,0)),"")</f>
        <v/>
      </c>
      <c r="T915" s="8" t="str">
        <f>IFERROR(INDEX('PROJETO PERFURAÇÃO'!$AN:$AN,MATCH(MEDIÇÃO!R915,'PROJETO PERFURAÇÃO'!$B:$B,0)),"")</f>
        <v/>
      </c>
      <c r="U915" s="3"/>
      <c r="V915" s="3"/>
    </row>
    <row r="916" spans="2:22" ht="45" customHeight="1">
      <c r="B916" s="3" t="str">
        <f>IFERROR(ROUND(INDEX('PROJETO PERFURAÇÃO'!$AB:$AB,MATCH(MEDIÇÃO!D916,'PROJETO PERFURAÇÃO'!$B:$B,0)),1)&amp;"''","")</f>
        <v/>
      </c>
      <c r="C916" s="3" t="str">
        <f>IFERROR(IF(INDEX('PROJETO PERFURAÇÃO'!$P:$P,MATCH(MEDIÇÃO!D916,'PROJETO PERFURAÇÃO'!$B:$B,0))="Production","P",IF(INDEX('PROJETO PERFURAÇÃO'!$P:$P,MATCH(MEDIÇÃO!D916,'PROJETO PERFURAÇÃO'!$B:$B,0))="Buffer","B",IF(INDEX('PROJETO PERFURAÇÃO'!$P:$P,MATCH(MEDIÇÃO!D916,'PROJETO PERFURAÇÃO'!$B:$B,0))="Pre-Splitting","S"))),"")</f>
        <v/>
      </c>
      <c r="D916" s="14">
        <f t="shared" si="87"/>
        <v>2014</v>
      </c>
      <c r="E916" s="4" t="str">
        <f>IFERROR(INDEX('LEV R&amp;D'!$D:$D,MATCH(MEDIÇÃO!D916,'LEV R&amp;D'!$A:$A,0))-INDEX('PROJETO PERFURAÇÃO'!$AH:$AH,MATCH(MEDIÇÃO!D916,'PROJETO PERFURAÇÃO'!$B:$B,0)),"")</f>
        <v/>
      </c>
      <c r="F916" s="8" t="str">
        <f>IFERROR(INDEX('PROJETO PERFURAÇÃO'!$AN:$AN,MATCH(MEDIÇÃO!D916,'PROJETO PERFURAÇÃO'!$B:$B,0)),"")</f>
        <v/>
      </c>
      <c r="G916" s="3"/>
      <c r="H916" s="3"/>
      <c r="I916" s="3" t="str">
        <f>IFERROR(ROUND(INDEX('PROJETO PERFURAÇÃO'!$AB:$AB,MATCH(MEDIÇÃO!K916,'PROJETO PERFURAÇÃO'!$B:$B,0)),1)&amp;"''","")</f>
        <v/>
      </c>
      <c r="J916" s="3" t="str">
        <f>IFERROR(IF(INDEX('PROJETO PERFURAÇÃO'!$P:$P,MATCH(MEDIÇÃO!K916,'PROJETO PERFURAÇÃO'!$B:$B,0))="Production","P",IF(INDEX('PROJETO PERFURAÇÃO'!$P:$P,MATCH(MEDIÇÃO!K916,'PROJETO PERFURAÇÃO'!$B:$B,0))="Buffer","B",IF(INDEX('PROJETO PERFURAÇÃO'!$P:$P,MATCH(MEDIÇÃO!K916,'PROJETO PERFURAÇÃO'!$B:$B,0))="Pre-Splitting","S"))),"")</f>
        <v/>
      </c>
      <c r="K916" s="14">
        <f t="shared" si="88"/>
        <v>2037</v>
      </c>
      <c r="L916" s="4" t="str">
        <f>IFERROR(INDEX('LEV R&amp;D'!$D:$D,MATCH(MEDIÇÃO!K916,'LEV R&amp;D'!$A:$A,0))-INDEX('PROJETO PERFURAÇÃO'!$AH:$AH,MATCH(MEDIÇÃO!K916,'PROJETO PERFURAÇÃO'!$B:$B,0)),"")</f>
        <v/>
      </c>
      <c r="M916" s="8" t="str">
        <f>IFERROR(INDEX('PROJETO PERFURAÇÃO'!$AN:$AN,MATCH(MEDIÇÃO!K916,'PROJETO PERFURAÇÃO'!$B:$B,0)),"")</f>
        <v/>
      </c>
      <c r="N916" s="3"/>
      <c r="O916" s="3"/>
      <c r="P916" s="3" t="str">
        <f>IFERROR(ROUND(INDEX('PROJETO PERFURAÇÃO'!$AB:$AB,MATCH(MEDIÇÃO!R916,'PROJETO PERFURAÇÃO'!$B:$B,0)),1)&amp;"''","")</f>
        <v/>
      </c>
      <c r="Q916" s="3" t="str">
        <f>IFERROR(IF(INDEX('PROJETO PERFURAÇÃO'!$P:$P,MATCH(MEDIÇÃO!R916,'PROJETO PERFURAÇÃO'!$B:$B,0))="Production","P",IF(INDEX('PROJETO PERFURAÇÃO'!$P:$P,MATCH(MEDIÇÃO!R916,'PROJETO PERFURAÇÃO'!$B:$B,0))="Buffer","B",IF(INDEX('PROJETO PERFURAÇÃO'!$P:$P,MATCH(MEDIÇÃO!R916,'PROJETO PERFURAÇÃO'!$B:$B,0))="Pre-Splitting","S"))),"")</f>
        <v/>
      </c>
      <c r="R916" s="14">
        <f t="shared" si="89"/>
        <v>2060</v>
      </c>
      <c r="S916" s="4" t="str">
        <f>IFERROR(INDEX('LEV R&amp;D'!$D:$D,MATCH(MEDIÇÃO!R916,'LEV R&amp;D'!$A:$A,0))-INDEX('PROJETO PERFURAÇÃO'!$AH:$AH,MATCH(MEDIÇÃO!R916,'PROJETO PERFURAÇÃO'!$B:$B,0)),"")</f>
        <v/>
      </c>
      <c r="T916" s="8" t="str">
        <f>IFERROR(INDEX('PROJETO PERFURAÇÃO'!$AN:$AN,MATCH(MEDIÇÃO!R916,'PROJETO PERFURAÇÃO'!$B:$B,0)),"")</f>
        <v/>
      </c>
      <c r="U916" s="3"/>
      <c r="V916" s="3"/>
    </row>
    <row r="917" spans="2:22" ht="45" customHeight="1">
      <c r="B917" s="3" t="str">
        <f>IFERROR(ROUND(INDEX('PROJETO PERFURAÇÃO'!$AB:$AB,MATCH(MEDIÇÃO!D917,'PROJETO PERFURAÇÃO'!$B:$B,0)),1)&amp;"''","")</f>
        <v/>
      </c>
      <c r="C917" s="3" t="str">
        <f>IFERROR(IF(INDEX('PROJETO PERFURAÇÃO'!$P:$P,MATCH(MEDIÇÃO!D917,'PROJETO PERFURAÇÃO'!$B:$B,0))="Production","P",IF(INDEX('PROJETO PERFURAÇÃO'!$P:$P,MATCH(MEDIÇÃO!D917,'PROJETO PERFURAÇÃO'!$B:$B,0))="Buffer","B",IF(INDEX('PROJETO PERFURAÇÃO'!$P:$P,MATCH(MEDIÇÃO!D917,'PROJETO PERFURAÇÃO'!$B:$B,0))="Pre-Splitting","S"))),"")</f>
        <v/>
      </c>
      <c r="D917" s="14">
        <f t="shared" si="87"/>
        <v>2015</v>
      </c>
      <c r="E917" s="4" t="str">
        <f>IFERROR(INDEX('LEV R&amp;D'!$D:$D,MATCH(MEDIÇÃO!D917,'LEV R&amp;D'!$A:$A,0))-INDEX('PROJETO PERFURAÇÃO'!$AH:$AH,MATCH(MEDIÇÃO!D917,'PROJETO PERFURAÇÃO'!$B:$B,0)),"")</f>
        <v/>
      </c>
      <c r="F917" s="8" t="str">
        <f>IFERROR(INDEX('PROJETO PERFURAÇÃO'!$AN:$AN,MATCH(MEDIÇÃO!D917,'PROJETO PERFURAÇÃO'!$B:$B,0)),"")</f>
        <v/>
      </c>
      <c r="G917" s="3"/>
      <c r="H917" s="3"/>
      <c r="I917" s="3" t="str">
        <f>IFERROR(ROUND(INDEX('PROJETO PERFURAÇÃO'!$AB:$AB,MATCH(MEDIÇÃO!K917,'PROJETO PERFURAÇÃO'!$B:$B,0)),1)&amp;"''","")</f>
        <v/>
      </c>
      <c r="J917" s="3" t="str">
        <f>IFERROR(IF(INDEX('PROJETO PERFURAÇÃO'!$P:$P,MATCH(MEDIÇÃO!K917,'PROJETO PERFURAÇÃO'!$B:$B,0))="Production","P",IF(INDEX('PROJETO PERFURAÇÃO'!$P:$P,MATCH(MEDIÇÃO!K917,'PROJETO PERFURAÇÃO'!$B:$B,0))="Buffer","B",IF(INDEX('PROJETO PERFURAÇÃO'!$P:$P,MATCH(MEDIÇÃO!K917,'PROJETO PERFURAÇÃO'!$B:$B,0))="Pre-Splitting","S"))),"")</f>
        <v/>
      </c>
      <c r="K917" s="14">
        <f t="shared" si="88"/>
        <v>2038</v>
      </c>
      <c r="L917" s="4" t="str">
        <f>IFERROR(INDEX('LEV R&amp;D'!$D:$D,MATCH(MEDIÇÃO!K917,'LEV R&amp;D'!$A:$A,0))-INDEX('PROJETO PERFURAÇÃO'!$AH:$AH,MATCH(MEDIÇÃO!K917,'PROJETO PERFURAÇÃO'!$B:$B,0)),"")</f>
        <v/>
      </c>
      <c r="M917" s="8" t="str">
        <f>IFERROR(INDEX('PROJETO PERFURAÇÃO'!$AN:$AN,MATCH(MEDIÇÃO!K917,'PROJETO PERFURAÇÃO'!$B:$B,0)),"")</f>
        <v/>
      </c>
      <c r="N917" s="3"/>
      <c r="O917" s="3"/>
      <c r="P917" s="3" t="str">
        <f>IFERROR(ROUND(INDEX('PROJETO PERFURAÇÃO'!$AB:$AB,MATCH(MEDIÇÃO!R917,'PROJETO PERFURAÇÃO'!$B:$B,0)),1)&amp;"''","")</f>
        <v/>
      </c>
      <c r="Q917" s="3" t="str">
        <f>IFERROR(IF(INDEX('PROJETO PERFURAÇÃO'!$P:$P,MATCH(MEDIÇÃO!R917,'PROJETO PERFURAÇÃO'!$B:$B,0))="Production","P",IF(INDEX('PROJETO PERFURAÇÃO'!$P:$P,MATCH(MEDIÇÃO!R917,'PROJETO PERFURAÇÃO'!$B:$B,0))="Buffer","B",IF(INDEX('PROJETO PERFURAÇÃO'!$P:$P,MATCH(MEDIÇÃO!R917,'PROJETO PERFURAÇÃO'!$B:$B,0))="Pre-Splitting","S"))),"")</f>
        <v/>
      </c>
      <c r="R917" s="14">
        <f t="shared" si="89"/>
        <v>2061</v>
      </c>
      <c r="S917" s="4" t="str">
        <f>IFERROR(INDEX('LEV R&amp;D'!$D:$D,MATCH(MEDIÇÃO!R917,'LEV R&amp;D'!$A:$A,0))-INDEX('PROJETO PERFURAÇÃO'!$AH:$AH,MATCH(MEDIÇÃO!R917,'PROJETO PERFURAÇÃO'!$B:$B,0)),"")</f>
        <v/>
      </c>
      <c r="T917" s="8" t="str">
        <f>IFERROR(INDEX('PROJETO PERFURAÇÃO'!$AN:$AN,MATCH(MEDIÇÃO!R917,'PROJETO PERFURAÇÃO'!$B:$B,0)),"")</f>
        <v/>
      </c>
      <c r="U917" s="3"/>
      <c r="V917" s="3"/>
    </row>
    <row r="918" spans="2:22" ht="45" customHeight="1">
      <c r="B918" s="3" t="str">
        <f>IFERROR(ROUND(INDEX('PROJETO PERFURAÇÃO'!$AB:$AB,MATCH(MEDIÇÃO!D918,'PROJETO PERFURAÇÃO'!$B:$B,0)),1)&amp;"''","")</f>
        <v/>
      </c>
      <c r="C918" s="3" t="str">
        <f>IFERROR(IF(INDEX('PROJETO PERFURAÇÃO'!$P:$P,MATCH(MEDIÇÃO!D918,'PROJETO PERFURAÇÃO'!$B:$B,0))="Production","P",IF(INDEX('PROJETO PERFURAÇÃO'!$P:$P,MATCH(MEDIÇÃO!D918,'PROJETO PERFURAÇÃO'!$B:$B,0))="Buffer","B",IF(INDEX('PROJETO PERFURAÇÃO'!$P:$P,MATCH(MEDIÇÃO!D918,'PROJETO PERFURAÇÃO'!$B:$B,0))="Pre-Splitting","S"))),"")</f>
        <v/>
      </c>
      <c r="D918" s="14">
        <f t="shared" si="87"/>
        <v>2016</v>
      </c>
      <c r="E918" s="4" t="str">
        <f>IFERROR(INDEX('LEV R&amp;D'!$D:$D,MATCH(MEDIÇÃO!D918,'LEV R&amp;D'!$A:$A,0))-INDEX('PROJETO PERFURAÇÃO'!$AH:$AH,MATCH(MEDIÇÃO!D918,'PROJETO PERFURAÇÃO'!$B:$B,0)),"")</f>
        <v/>
      </c>
      <c r="F918" s="8" t="str">
        <f>IFERROR(INDEX('PROJETO PERFURAÇÃO'!$AN:$AN,MATCH(MEDIÇÃO!D918,'PROJETO PERFURAÇÃO'!$B:$B,0)),"")</f>
        <v/>
      </c>
      <c r="G918" s="3"/>
      <c r="H918" s="3"/>
      <c r="I918" s="3" t="str">
        <f>IFERROR(ROUND(INDEX('PROJETO PERFURAÇÃO'!$AB:$AB,MATCH(MEDIÇÃO!K918,'PROJETO PERFURAÇÃO'!$B:$B,0)),1)&amp;"''","")</f>
        <v/>
      </c>
      <c r="J918" s="3" t="str">
        <f>IFERROR(IF(INDEX('PROJETO PERFURAÇÃO'!$P:$P,MATCH(MEDIÇÃO!K918,'PROJETO PERFURAÇÃO'!$B:$B,0))="Production","P",IF(INDEX('PROJETO PERFURAÇÃO'!$P:$P,MATCH(MEDIÇÃO!K918,'PROJETO PERFURAÇÃO'!$B:$B,0))="Buffer","B",IF(INDEX('PROJETO PERFURAÇÃO'!$P:$P,MATCH(MEDIÇÃO!K918,'PROJETO PERFURAÇÃO'!$B:$B,0))="Pre-Splitting","S"))),"")</f>
        <v/>
      </c>
      <c r="K918" s="14">
        <f t="shared" si="88"/>
        <v>2039</v>
      </c>
      <c r="L918" s="4" t="str">
        <f>IFERROR(INDEX('LEV R&amp;D'!$D:$D,MATCH(MEDIÇÃO!K918,'LEV R&amp;D'!$A:$A,0))-INDEX('PROJETO PERFURAÇÃO'!$AH:$AH,MATCH(MEDIÇÃO!K918,'PROJETO PERFURAÇÃO'!$B:$B,0)),"")</f>
        <v/>
      </c>
      <c r="M918" s="8" t="str">
        <f>IFERROR(INDEX('PROJETO PERFURAÇÃO'!$AN:$AN,MATCH(MEDIÇÃO!K918,'PROJETO PERFURAÇÃO'!$B:$B,0)),"")</f>
        <v/>
      </c>
      <c r="N918" s="3"/>
      <c r="O918" s="3"/>
      <c r="P918" s="3" t="str">
        <f>IFERROR(ROUND(INDEX('PROJETO PERFURAÇÃO'!$AB:$AB,MATCH(MEDIÇÃO!R918,'PROJETO PERFURAÇÃO'!$B:$B,0)),1)&amp;"''","")</f>
        <v/>
      </c>
      <c r="Q918" s="3" t="str">
        <f>IFERROR(IF(INDEX('PROJETO PERFURAÇÃO'!$P:$P,MATCH(MEDIÇÃO!R918,'PROJETO PERFURAÇÃO'!$B:$B,0))="Production","P",IF(INDEX('PROJETO PERFURAÇÃO'!$P:$P,MATCH(MEDIÇÃO!R918,'PROJETO PERFURAÇÃO'!$B:$B,0))="Buffer","B",IF(INDEX('PROJETO PERFURAÇÃO'!$P:$P,MATCH(MEDIÇÃO!R918,'PROJETO PERFURAÇÃO'!$B:$B,0))="Pre-Splitting","S"))),"")</f>
        <v/>
      </c>
      <c r="R918" s="14">
        <f t="shared" si="89"/>
        <v>2062</v>
      </c>
      <c r="S918" s="4" t="str">
        <f>IFERROR(INDEX('LEV R&amp;D'!$D:$D,MATCH(MEDIÇÃO!R918,'LEV R&amp;D'!$A:$A,0))-INDEX('PROJETO PERFURAÇÃO'!$AH:$AH,MATCH(MEDIÇÃO!R918,'PROJETO PERFURAÇÃO'!$B:$B,0)),"")</f>
        <v/>
      </c>
      <c r="T918" s="8" t="str">
        <f>IFERROR(INDEX('PROJETO PERFURAÇÃO'!$AN:$AN,MATCH(MEDIÇÃO!R918,'PROJETO PERFURAÇÃO'!$B:$B,0)),"")</f>
        <v/>
      </c>
      <c r="U918" s="3"/>
      <c r="V918" s="3"/>
    </row>
    <row r="919" spans="2:22" ht="45" customHeight="1">
      <c r="B919" s="3" t="str">
        <f>IFERROR(ROUND(INDEX('PROJETO PERFURAÇÃO'!$AB:$AB,MATCH(MEDIÇÃO!D919,'PROJETO PERFURAÇÃO'!$B:$B,0)),1)&amp;"''","")</f>
        <v/>
      </c>
      <c r="C919" s="3" t="str">
        <f>IFERROR(IF(INDEX('PROJETO PERFURAÇÃO'!$P:$P,MATCH(MEDIÇÃO!D919,'PROJETO PERFURAÇÃO'!$B:$B,0))="Production","P",IF(INDEX('PROJETO PERFURAÇÃO'!$P:$P,MATCH(MEDIÇÃO!D919,'PROJETO PERFURAÇÃO'!$B:$B,0))="Buffer","B",IF(INDEX('PROJETO PERFURAÇÃO'!$P:$P,MATCH(MEDIÇÃO!D919,'PROJETO PERFURAÇÃO'!$B:$B,0))="Pre-Splitting","S"))),"")</f>
        <v/>
      </c>
      <c r="D919" s="14">
        <f t="shared" si="87"/>
        <v>2017</v>
      </c>
      <c r="E919" s="4" t="str">
        <f>IFERROR(INDEX('LEV R&amp;D'!$D:$D,MATCH(MEDIÇÃO!D919,'LEV R&amp;D'!$A:$A,0))-INDEX('PROJETO PERFURAÇÃO'!$AH:$AH,MATCH(MEDIÇÃO!D919,'PROJETO PERFURAÇÃO'!$B:$B,0)),"")</f>
        <v/>
      </c>
      <c r="F919" s="8" t="str">
        <f>IFERROR(INDEX('PROJETO PERFURAÇÃO'!$AN:$AN,MATCH(MEDIÇÃO!D919,'PROJETO PERFURAÇÃO'!$B:$B,0)),"")</f>
        <v/>
      </c>
      <c r="G919" s="3"/>
      <c r="H919" s="3"/>
      <c r="I919" s="3" t="str">
        <f>IFERROR(ROUND(INDEX('PROJETO PERFURAÇÃO'!$AB:$AB,MATCH(MEDIÇÃO!K919,'PROJETO PERFURAÇÃO'!$B:$B,0)),1)&amp;"''","")</f>
        <v/>
      </c>
      <c r="J919" s="3" t="str">
        <f>IFERROR(IF(INDEX('PROJETO PERFURAÇÃO'!$P:$P,MATCH(MEDIÇÃO!K919,'PROJETO PERFURAÇÃO'!$B:$B,0))="Production","P",IF(INDEX('PROJETO PERFURAÇÃO'!$P:$P,MATCH(MEDIÇÃO!K919,'PROJETO PERFURAÇÃO'!$B:$B,0))="Buffer","B",IF(INDEX('PROJETO PERFURAÇÃO'!$P:$P,MATCH(MEDIÇÃO!K919,'PROJETO PERFURAÇÃO'!$B:$B,0))="Pre-Splitting","S"))),"")</f>
        <v/>
      </c>
      <c r="K919" s="14">
        <f t="shared" si="88"/>
        <v>2040</v>
      </c>
      <c r="L919" s="4" t="str">
        <f>IFERROR(INDEX('LEV R&amp;D'!$D:$D,MATCH(MEDIÇÃO!K919,'LEV R&amp;D'!$A:$A,0))-INDEX('PROJETO PERFURAÇÃO'!$AH:$AH,MATCH(MEDIÇÃO!K919,'PROJETO PERFURAÇÃO'!$B:$B,0)),"")</f>
        <v/>
      </c>
      <c r="M919" s="8" t="str">
        <f>IFERROR(INDEX('PROJETO PERFURAÇÃO'!$AN:$AN,MATCH(MEDIÇÃO!K919,'PROJETO PERFURAÇÃO'!$B:$B,0)),"")</f>
        <v/>
      </c>
      <c r="N919" s="3"/>
      <c r="O919" s="3"/>
      <c r="P919" s="3" t="str">
        <f>IFERROR(ROUND(INDEX('PROJETO PERFURAÇÃO'!$AB:$AB,MATCH(MEDIÇÃO!R919,'PROJETO PERFURAÇÃO'!$B:$B,0)),1)&amp;"''","")</f>
        <v/>
      </c>
      <c r="Q919" s="3" t="str">
        <f>IFERROR(IF(INDEX('PROJETO PERFURAÇÃO'!$P:$P,MATCH(MEDIÇÃO!R919,'PROJETO PERFURAÇÃO'!$B:$B,0))="Production","P",IF(INDEX('PROJETO PERFURAÇÃO'!$P:$P,MATCH(MEDIÇÃO!R919,'PROJETO PERFURAÇÃO'!$B:$B,0))="Buffer","B",IF(INDEX('PROJETO PERFURAÇÃO'!$P:$P,MATCH(MEDIÇÃO!R919,'PROJETO PERFURAÇÃO'!$B:$B,0))="Pre-Splitting","S"))),"")</f>
        <v/>
      </c>
      <c r="R919" s="14">
        <f t="shared" si="89"/>
        <v>2063</v>
      </c>
      <c r="S919" s="4" t="str">
        <f>IFERROR(INDEX('LEV R&amp;D'!$D:$D,MATCH(MEDIÇÃO!R919,'LEV R&amp;D'!$A:$A,0))-INDEX('PROJETO PERFURAÇÃO'!$AH:$AH,MATCH(MEDIÇÃO!R919,'PROJETO PERFURAÇÃO'!$B:$B,0)),"")</f>
        <v/>
      </c>
      <c r="T919" s="8" t="str">
        <f>IFERROR(INDEX('PROJETO PERFURAÇÃO'!$AN:$AN,MATCH(MEDIÇÃO!R919,'PROJETO PERFURAÇÃO'!$B:$B,0)),"")</f>
        <v/>
      </c>
      <c r="U919" s="3"/>
      <c r="V919" s="3"/>
    </row>
    <row r="920" spans="2:22" ht="45" customHeight="1">
      <c r="B920" s="3" t="str">
        <f>IFERROR(ROUND(INDEX('PROJETO PERFURAÇÃO'!$AB:$AB,MATCH(MEDIÇÃO!D920,'PROJETO PERFURAÇÃO'!$B:$B,0)),1)&amp;"''","")</f>
        <v/>
      </c>
      <c r="C920" s="3" t="str">
        <f>IFERROR(IF(INDEX('PROJETO PERFURAÇÃO'!$P:$P,MATCH(MEDIÇÃO!D920,'PROJETO PERFURAÇÃO'!$B:$B,0))="Production","P",IF(INDEX('PROJETO PERFURAÇÃO'!$P:$P,MATCH(MEDIÇÃO!D920,'PROJETO PERFURAÇÃO'!$B:$B,0))="Buffer","B",IF(INDEX('PROJETO PERFURAÇÃO'!$P:$P,MATCH(MEDIÇÃO!D920,'PROJETO PERFURAÇÃO'!$B:$B,0))="Pre-Splitting","S"))),"")</f>
        <v/>
      </c>
      <c r="D920" s="14">
        <f t="shared" si="87"/>
        <v>2018</v>
      </c>
      <c r="E920" s="4" t="str">
        <f>IFERROR(INDEX('LEV R&amp;D'!$D:$D,MATCH(MEDIÇÃO!D920,'LEV R&amp;D'!$A:$A,0))-INDEX('PROJETO PERFURAÇÃO'!$AH:$AH,MATCH(MEDIÇÃO!D920,'PROJETO PERFURAÇÃO'!$B:$B,0)),"")</f>
        <v/>
      </c>
      <c r="F920" s="8" t="str">
        <f>IFERROR(INDEX('PROJETO PERFURAÇÃO'!$AN:$AN,MATCH(MEDIÇÃO!D920,'PROJETO PERFURAÇÃO'!$B:$B,0)),"")</f>
        <v/>
      </c>
      <c r="G920" s="3"/>
      <c r="H920" s="3"/>
      <c r="I920" s="3" t="str">
        <f>IFERROR(ROUND(INDEX('PROJETO PERFURAÇÃO'!$AB:$AB,MATCH(MEDIÇÃO!K920,'PROJETO PERFURAÇÃO'!$B:$B,0)),1)&amp;"''","")</f>
        <v/>
      </c>
      <c r="J920" s="3" t="str">
        <f>IFERROR(IF(INDEX('PROJETO PERFURAÇÃO'!$P:$P,MATCH(MEDIÇÃO!K920,'PROJETO PERFURAÇÃO'!$B:$B,0))="Production","P",IF(INDEX('PROJETO PERFURAÇÃO'!$P:$P,MATCH(MEDIÇÃO!K920,'PROJETO PERFURAÇÃO'!$B:$B,0))="Buffer","B",IF(INDEX('PROJETO PERFURAÇÃO'!$P:$P,MATCH(MEDIÇÃO!K920,'PROJETO PERFURAÇÃO'!$B:$B,0))="Pre-Splitting","S"))),"")</f>
        <v/>
      </c>
      <c r="K920" s="14">
        <f t="shared" si="88"/>
        <v>2041</v>
      </c>
      <c r="L920" s="4" t="str">
        <f>IFERROR(INDEX('LEV R&amp;D'!$D:$D,MATCH(MEDIÇÃO!K920,'LEV R&amp;D'!$A:$A,0))-INDEX('PROJETO PERFURAÇÃO'!$AH:$AH,MATCH(MEDIÇÃO!K920,'PROJETO PERFURAÇÃO'!$B:$B,0)),"")</f>
        <v/>
      </c>
      <c r="M920" s="8" t="str">
        <f>IFERROR(INDEX('PROJETO PERFURAÇÃO'!$AN:$AN,MATCH(MEDIÇÃO!K920,'PROJETO PERFURAÇÃO'!$B:$B,0)),"")</f>
        <v/>
      </c>
      <c r="N920" s="3"/>
      <c r="O920" s="3"/>
      <c r="P920" s="3" t="str">
        <f>IFERROR(ROUND(INDEX('PROJETO PERFURAÇÃO'!$AB:$AB,MATCH(MEDIÇÃO!R920,'PROJETO PERFURAÇÃO'!$B:$B,0)),1)&amp;"''","")</f>
        <v/>
      </c>
      <c r="Q920" s="3" t="str">
        <f>IFERROR(IF(INDEX('PROJETO PERFURAÇÃO'!$P:$P,MATCH(MEDIÇÃO!R920,'PROJETO PERFURAÇÃO'!$B:$B,0))="Production","P",IF(INDEX('PROJETO PERFURAÇÃO'!$P:$P,MATCH(MEDIÇÃO!R920,'PROJETO PERFURAÇÃO'!$B:$B,0))="Buffer","B",IF(INDEX('PROJETO PERFURAÇÃO'!$P:$P,MATCH(MEDIÇÃO!R920,'PROJETO PERFURAÇÃO'!$B:$B,0))="Pre-Splitting","S"))),"")</f>
        <v/>
      </c>
      <c r="R920" s="14">
        <f t="shared" si="89"/>
        <v>2064</v>
      </c>
      <c r="S920" s="4" t="str">
        <f>IFERROR(INDEX('LEV R&amp;D'!$D:$D,MATCH(MEDIÇÃO!R920,'LEV R&amp;D'!$A:$A,0))-INDEX('PROJETO PERFURAÇÃO'!$AH:$AH,MATCH(MEDIÇÃO!R920,'PROJETO PERFURAÇÃO'!$B:$B,0)),"")</f>
        <v/>
      </c>
      <c r="T920" s="8" t="str">
        <f>IFERROR(INDEX('PROJETO PERFURAÇÃO'!$AN:$AN,MATCH(MEDIÇÃO!R920,'PROJETO PERFURAÇÃO'!$B:$B,0)),"")</f>
        <v/>
      </c>
      <c r="U920" s="3"/>
      <c r="V920" s="3"/>
    </row>
    <row r="921" spans="2:22" ht="45" customHeight="1">
      <c r="B921" s="3" t="str">
        <f>IFERROR(ROUND(INDEX('PROJETO PERFURAÇÃO'!$AB:$AB,MATCH(MEDIÇÃO!D921,'PROJETO PERFURAÇÃO'!$B:$B,0)),1)&amp;"''","")</f>
        <v/>
      </c>
      <c r="C921" s="3" t="str">
        <f>IFERROR(IF(INDEX('PROJETO PERFURAÇÃO'!$P:$P,MATCH(MEDIÇÃO!D921,'PROJETO PERFURAÇÃO'!$B:$B,0))="Production","P",IF(INDEX('PROJETO PERFURAÇÃO'!$P:$P,MATCH(MEDIÇÃO!D921,'PROJETO PERFURAÇÃO'!$B:$B,0))="Buffer","B",IF(INDEX('PROJETO PERFURAÇÃO'!$P:$P,MATCH(MEDIÇÃO!D921,'PROJETO PERFURAÇÃO'!$B:$B,0))="Pre-Splitting","S"))),"")</f>
        <v/>
      </c>
      <c r="D921" s="14">
        <f t="shared" si="87"/>
        <v>2019</v>
      </c>
      <c r="E921" s="4" t="str">
        <f>IFERROR(INDEX('LEV R&amp;D'!$D:$D,MATCH(MEDIÇÃO!D921,'LEV R&amp;D'!$A:$A,0))-INDEX('PROJETO PERFURAÇÃO'!$AH:$AH,MATCH(MEDIÇÃO!D921,'PROJETO PERFURAÇÃO'!$B:$B,0)),"")</f>
        <v/>
      </c>
      <c r="F921" s="8" t="str">
        <f>IFERROR(INDEX('PROJETO PERFURAÇÃO'!$AN:$AN,MATCH(MEDIÇÃO!D921,'PROJETO PERFURAÇÃO'!$B:$B,0)),"")</f>
        <v/>
      </c>
      <c r="G921" s="3"/>
      <c r="H921" s="3"/>
      <c r="I921" s="3" t="str">
        <f>IFERROR(ROUND(INDEX('PROJETO PERFURAÇÃO'!$AB:$AB,MATCH(MEDIÇÃO!K921,'PROJETO PERFURAÇÃO'!$B:$B,0)),1)&amp;"''","")</f>
        <v/>
      </c>
      <c r="J921" s="3" t="str">
        <f>IFERROR(IF(INDEX('PROJETO PERFURAÇÃO'!$P:$P,MATCH(MEDIÇÃO!K921,'PROJETO PERFURAÇÃO'!$B:$B,0))="Production","P",IF(INDEX('PROJETO PERFURAÇÃO'!$P:$P,MATCH(MEDIÇÃO!K921,'PROJETO PERFURAÇÃO'!$B:$B,0))="Buffer","B",IF(INDEX('PROJETO PERFURAÇÃO'!$P:$P,MATCH(MEDIÇÃO!K921,'PROJETO PERFURAÇÃO'!$B:$B,0))="Pre-Splitting","S"))),"")</f>
        <v/>
      </c>
      <c r="K921" s="14">
        <f t="shared" si="88"/>
        <v>2042</v>
      </c>
      <c r="L921" s="4" t="str">
        <f>IFERROR(INDEX('LEV R&amp;D'!$D:$D,MATCH(MEDIÇÃO!K921,'LEV R&amp;D'!$A:$A,0))-INDEX('PROJETO PERFURAÇÃO'!$AH:$AH,MATCH(MEDIÇÃO!K921,'PROJETO PERFURAÇÃO'!$B:$B,0)),"")</f>
        <v/>
      </c>
      <c r="M921" s="8" t="str">
        <f>IFERROR(INDEX('PROJETO PERFURAÇÃO'!$AN:$AN,MATCH(MEDIÇÃO!K921,'PROJETO PERFURAÇÃO'!$B:$B,0)),"")</f>
        <v/>
      </c>
      <c r="N921" s="3"/>
      <c r="O921" s="3"/>
      <c r="P921" s="3" t="str">
        <f>IFERROR(ROUND(INDEX('PROJETO PERFURAÇÃO'!$AB:$AB,MATCH(MEDIÇÃO!R921,'PROJETO PERFURAÇÃO'!$B:$B,0)),1)&amp;"''","")</f>
        <v/>
      </c>
      <c r="Q921" s="3" t="str">
        <f>IFERROR(IF(INDEX('PROJETO PERFURAÇÃO'!$P:$P,MATCH(MEDIÇÃO!R921,'PROJETO PERFURAÇÃO'!$B:$B,0))="Production","P",IF(INDEX('PROJETO PERFURAÇÃO'!$P:$P,MATCH(MEDIÇÃO!R921,'PROJETO PERFURAÇÃO'!$B:$B,0))="Buffer","B",IF(INDEX('PROJETO PERFURAÇÃO'!$P:$P,MATCH(MEDIÇÃO!R921,'PROJETO PERFURAÇÃO'!$B:$B,0))="Pre-Splitting","S"))),"")</f>
        <v/>
      </c>
      <c r="R921" s="14">
        <f t="shared" si="89"/>
        <v>2065</v>
      </c>
      <c r="S921" s="4" t="str">
        <f>IFERROR(INDEX('LEV R&amp;D'!$D:$D,MATCH(MEDIÇÃO!R921,'LEV R&amp;D'!$A:$A,0))-INDEX('PROJETO PERFURAÇÃO'!$AH:$AH,MATCH(MEDIÇÃO!R921,'PROJETO PERFURAÇÃO'!$B:$B,0)),"")</f>
        <v/>
      </c>
      <c r="T921" s="8" t="str">
        <f>IFERROR(INDEX('PROJETO PERFURAÇÃO'!$AN:$AN,MATCH(MEDIÇÃO!R921,'PROJETO PERFURAÇÃO'!$B:$B,0)),"")</f>
        <v/>
      </c>
      <c r="U921" s="3"/>
      <c r="V921" s="3"/>
    </row>
    <row r="922" spans="2:22" ht="45" customHeight="1">
      <c r="B922" s="3" t="str">
        <f>IFERROR(ROUND(INDEX('PROJETO PERFURAÇÃO'!$AB:$AB,MATCH(MEDIÇÃO!D922,'PROJETO PERFURAÇÃO'!$B:$B,0)),1)&amp;"''","")</f>
        <v/>
      </c>
      <c r="C922" s="3" t="str">
        <f>IFERROR(IF(INDEX('PROJETO PERFURAÇÃO'!$P:$P,MATCH(MEDIÇÃO!D922,'PROJETO PERFURAÇÃO'!$B:$B,0))="Production","P",IF(INDEX('PROJETO PERFURAÇÃO'!$P:$P,MATCH(MEDIÇÃO!D922,'PROJETO PERFURAÇÃO'!$B:$B,0))="Buffer","B",IF(INDEX('PROJETO PERFURAÇÃO'!$P:$P,MATCH(MEDIÇÃO!D922,'PROJETO PERFURAÇÃO'!$B:$B,0))="Pre-Splitting","S"))),"")</f>
        <v/>
      </c>
      <c r="D922" s="14">
        <f t="shared" si="87"/>
        <v>2020</v>
      </c>
      <c r="E922" s="4" t="str">
        <f>IFERROR(INDEX('LEV R&amp;D'!$D:$D,MATCH(MEDIÇÃO!D922,'LEV R&amp;D'!$A:$A,0))-INDEX('PROJETO PERFURAÇÃO'!$AH:$AH,MATCH(MEDIÇÃO!D922,'PROJETO PERFURAÇÃO'!$B:$B,0)),"")</f>
        <v/>
      </c>
      <c r="F922" s="8" t="str">
        <f>IFERROR(INDEX('PROJETO PERFURAÇÃO'!$AN:$AN,MATCH(MEDIÇÃO!D922,'PROJETO PERFURAÇÃO'!$B:$B,0)),"")</f>
        <v/>
      </c>
      <c r="G922" s="3"/>
      <c r="H922" s="3"/>
      <c r="I922" s="3" t="str">
        <f>IFERROR(ROUND(INDEX('PROJETO PERFURAÇÃO'!$AB:$AB,MATCH(MEDIÇÃO!K922,'PROJETO PERFURAÇÃO'!$B:$B,0)),1)&amp;"''","")</f>
        <v/>
      </c>
      <c r="J922" s="3" t="str">
        <f>IFERROR(IF(INDEX('PROJETO PERFURAÇÃO'!$P:$P,MATCH(MEDIÇÃO!K922,'PROJETO PERFURAÇÃO'!$B:$B,0))="Production","P",IF(INDEX('PROJETO PERFURAÇÃO'!$P:$P,MATCH(MEDIÇÃO!K922,'PROJETO PERFURAÇÃO'!$B:$B,0))="Buffer","B",IF(INDEX('PROJETO PERFURAÇÃO'!$P:$P,MATCH(MEDIÇÃO!K922,'PROJETO PERFURAÇÃO'!$B:$B,0))="Pre-Splitting","S"))),"")</f>
        <v/>
      </c>
      <c r="K922" s="14">
        <f t="shared" si="88"/>
        <v>2043</v>
      </c>
      <c r="L922" s="4" t="str">
        <f>IFERROR(INDEX('LEV R&amp;D'!$D:$D,MATCH(MEDIÇÃO!K922,'LEV R&amp;D'!$A:$A,0))-INDEX('PROJETO PERFURAÇÃO'!$AH:$AH,MATCH(MEDIÇÃO!K922,'PROJETO PERFURAÇÃO'!$B:$B,0)),"")</f>
        <v/>
      </c>
      <c r="M922" s="8" t="str">
        <f>IFERROR(INDEX('PROJETO PERFURAÇÃO'!$AN:$AN,MATCH(MEDIÇÃO!K922,'PROJETO PERFURAÇÃO'!$B:$B,0)),"")</f>
        <v/>
      </c>
      <c r="N922" s="3"/>
      <c r="O922" s="3"/>
      <c r="P922" s="3" t="str">
        <f>IFERROR(ROUND(INDEX('PROJETO PERFURAÇÃO'!$AB:$AB,MATCH(MEDIÇÃO!R922,'PROJETO PERFURAÇÃO'!$B:$B,0)),1)&amp;"''","")</f>
        <v/>
      </c>
      <c r="Q922" s="3" t="str">
        <f>IFERROR(IF(INDEX('PROJETO PERFURAÇÃO'!$P:$P,MATCH(MEDIÇÃO!R922,'PROJETO PERFURAÇÃO'!$B:$B,0))="Production","P",IF(INDEX('PROJETO PERFURAÇÃO'!$P:$P,MATCH(MEDIÇÃO!R922,'PROJETO PERFURAÇÃO'!$B:$B,0))="Buffer","B",IF(INDEX('PROJETO PERFURAÇÃO'!$P:$P,MATCH(MEDIÇÃO!R922,'PROJETO PERFURAÇÃO'!$B:$B,0))="Pre-Splitting","S"))),"")</f>
        <v/>
      </c>
      <c r="R922" s="14">
        <f t="shared" si="89"/>
        <v>2066</v>
      </c>
      <c r="S922" s="4" t="str">
        <f>IFERROR(INDEX('LEV R&amp;D'!$D:$D,MATCH(MEDIÇÃO!R922,'LEV R&amp;D'!$A:$A,0))-INDEX('PROJETO PERFURAÇÃO'!$AH:$AH,MATCH(MEDIÇÃO!R922,'PROJETO PERFURAÇÃO'!$B:$B,0)),"")</f>
        <v/>
      </c>
      <c r="T922" s="8" t="str">
        <f>IFERROR(INDEX('PROJETO PERFURAÇÃO'!$AN:$AN,MATCH(MEDIÇÃO!R922,'PROJETO PERFURAÇÃO'!$B:$B,0)),"")</f>
        <v/>
      </c>
      <c r="U922" s="3"/>
      <c r="V922" s="3"/>
    </row>
    <row r="923" spans="2:22" ht="45" customHeight="1">
      <c r="B923" s="3" t="str">
        <f>IFERROR(ROUND(INDEX('PROJETO PERFURAÇÃO'!$AB:$AB,MATCH(MEDIÇÃO!D923,'PROJETO PERFURAÇÃO'!$B:$B,0)),1)&amp;"''","")</f>
        <v/>
      </c>
      <c r="C923" s="3" t="str">
        <f>IFERROR(IF(INDEX('PROJETO PERFURAÇÃO'!$P:$P,MATCH(MEDIÇÃO!D923,'PROJETO PERFURAÇÃO'!$B:$B,0))="Production","P",IF(INDEX('PROJETO PERFURAÇÃO'!$P:$P,MATCH(MEDIÇÃO!D923,'PROJETO PERFURAÇÃO'!$B:$B,0))="Buffer","B",IF(INDEX('PROJETO PERFURAÇÃO'!$P:$P,MATCH(MEDIÇÃO!D923,'PROJETO PERFURAÇÃO'!$B:$B,0))="Pre-Splitting","S"))),"")</f>
        <v/>
      </c>
      <c r="D923" s="14">
        <f t="shared" si="87"/>
        <v>2021</v>
      </c>
      <c r="E923" s="4" t="str">
        <f>IFERROR(INDEX('LEV R&amp;D'!$D:$D,MATCH(MEDIÇÃO!D923,'LEV R&amp;D'!$A:$A,0))-INDEX('PROJETO PERFURAÇÃO'!$AH:$AH,MATCH(MEDIÇÃO!D923,'PROJETO PERFURAÇÃO'!$B:$B,0)),"")</f>
        <v/>
      </c>
      <c r="F923" s="8" t="str">
        <f>IFERROR(INDEX('PROJETO PERFURAÇÃO'!$AN:$AN,MATCH(MEDIÇÃO!D923,'PROJETO PERFURAÇÃO'!$B:$B,0)),"")</f>
        <v/>
      </c>
      <c r="G923" s="3"/>
      <c r="H923" s="3"/>
      <c r="I923" s="3" t="str">
        <f>IFERROR(ROUND(INDEX('PROJETO PERFURAÇÃO'!$AB:$AB,MATCH(MEDIÇÃO!K923,'PROJETO PERFURAÇÃO'!$B:$B,0)),1)&amp;"''","")</f>
        <v/>
      </c>
      <c r="J923" s="3" t="str">
        <f>IFERROR(IF(INDEX('PROJETO PERFURAÇÃO'!$P:$P,MATCH(MEDIÇÃO!K923,'PROJETO PERFURAÇÃO'!$B:$B,0))="Production","P",IF(INDEX('PROJETO PERFURAÇÃO'!$P:$P,MATCH(MEDIÇÃO!K923,'PROJETO PERFURAÇÃO'!$B:$B,0))="Buffer","B",IF(INDEX('PROJETO PERFURAÇÃO'!$P:$P,MATCH(MEDIÇÃO!K923,'PROJETO PERFURAÇÃO'!$B:$B,0))="Pre-Splitting","S"))),"")</f>
        <v/>
      </c>
      <c r="K923" s="14">
        <f t="shared" si="88"/>
        <v>2044</v>
      </c>
      <c r="L923" s="4" t="str">
        <f>IFERROR(INDEX('LEV R&amp;D'!$D:$D,MATCH(MEDIÇÃO!K923,'LEV R&amp;D'!$A:$A,0))-INDEX('PROJETO PERFURAÇÃO'!$AH:$AH,MATCH(MEDIÇÃO!K923,'PROJETO PERFURAÇÃO'!$B:$B,0)),"")</f>
        <v/>
      </c>
      <c r="M923" s="8" t="str">
        <f>IFERROR(INDEX('PROJETO PERFURAÇÃO'!$AN:$AN,MATCH(MEDIÇÃO!K923,'PROJETO PERFURAÇÃO'!$B:$B,0)),"")</f>
        <v/>
      </c>
      <c r="N923" s="3"/>
      <c r="O923" s="3"/>
      <c r="P923" s="3" t="str">
        <f>IFERROR(ROUND(INDEX('PROJETO PERFURAÇÃO'!$AB:$AB,MATCH(MEDIÇÃO!R923,'PROJETO PERFURAÇÃO'!$B:$B,0)),1)&amp;"''","")</f>
        <v/>
      </c>
      <c r="Q923" s="3" t="str">
        <f>IFERROR(IF(INDEX('PROJETO PERFURAÇÃO'!$P:$P,MATCH(MEDIÇÃO!R923,'PROJETO PERFURAÇÃO'!$B:$B,0))="Production","P",IF(INDEX('PROJETO PERFURAÇÃO'!$P:$P,MATCH(MEDIÇÃO!R923,'PROJETO PERFURAÇÃO'!$B:$B,0))="Buffer","B",IF(INDEX('PROJETO PERFURAÇÃO'!$P:$P,MATCH(MEDIÇÃO!R923,'PROJETO PERFURAÇÃO'!$B:$B,0))="Pre-Splitting","S"))),"")</f>
        <v/>
      </c>
      <c r="R923" s="14">
        <f t="shared" si="89"/>
        <v>2067</v>
      </c>
      <c r="S923" s="4" t="str">
        <f>IFERROR(INDEX('LEV R&amp;D'!$D:$D,MATCH(MEDIÇÃO!R923,'LEV R&amp;D'!$A:$A,0))-INDEX('PROJETO PERFURAÇÃO'!$AH:$AH,MATCH(MEDIÇÃO!R923,'PROJETO PERFURAÇÃO'!$B:$B,0)),"")</f>
        <v/>
      </c>
      <c r="T923" s="8" t="str">
        <f>IFERROR(INDEX('PROJETO PERFURAÇÃO'!$AN:$AN,MATCH(MEDIÇÃO!R923,'PROJETO PERFURAÇÃO'!$B:$B,0)),"")</f>
        <v/>
      </c>
      <c r="U923" s="3"/>
      <c r="V923" s="3"/>
    </row>
    <row r="924" spans="2:22" ht="45" customHeight="1">
      <c r="B924" s="3" t="str">
        <f>IFERROR(ROUND(INDEX('PROJETO PERFURAÇÃO'!$AB:$AB,MATCH(MEDIÇÃO!D924,'PROJETO PERFURAÇÃO'!$B:$B,0)),1)&amp;"''","")</f>
        <v/>
      </c>
      <c r="C924" s="3" t="str">
        <f>IFERROR(IF(INDEX('PROJETO PERFURAÇÃO'!$P:$P,MATCH(MEDIÇÃO!D924,'PROJETO PERFURAÇÃO'!$B:$B,0))="Production","P",IF(INDEX('PROJETO PERFURAÇÃO'!$P:$P,MATCH(MEDIÇÃO!D924,'PROJETO PERFURAÇÃO'!$B:$B,0))="Buffer","B",IF(INDEX('PROJETO PERFURAÇÃO'!$P:$P,MATCH(MEDIÇÃO!D924,'PROJETO PERFURAÇÃO'!$B:$B,0))="Pre-Splitting","S"))),"")</f>
        <v/>
      </c>
      <c r="D924" s="14">
        <f t="shared" si="87"/>
        <v>2022</v>
      </c>
      <c r="E924" s="4" t="str">
        <f>IFERROR(INDEX('LEV R&amp;D'!$D:$D,MATCH(MEDIÇÃO!D924,'LEV R&amp;D'!$A:$A,0))-INDEX('PROJETO PERFURAÇÃO'!$AH:$AH,MATCH(MEDIÇÃO!D924,'PROJETO PERFURAÇÃO'!$B:$B,0)),"")</f>
        <v/>
      </c>
      <c r="F924" s="8" t="str">
        <f>IFERROR(INDEX('PROJETO PERFURAÇÃO'!$AN:$AN,MATCH(MEDIÇÃO!D924,'PROJETO PERFURAÇÃO'!$B:$B,0)),"")</f>
        <v/>
      </c>
      <c r="G924" s="3"/>
      <c r="H924" s="3"/>
      <c r="I924" s="3" t="str">
        <f>IFERROR(ROUND(INDEX('PROJETO PERFURAÇÃO'!$AB:$AB,MATCH(MEDIÇÃO!K924,'PROJETO PERFURAÇÃO'!$B:$B,0)),1)&amp;"''","")</f>
        <v/>
      </c>
      <c r="J924" s="3" t="str">
        <f>IFERROR(IF(INDEX('PROJETO PERFURAÇÃO'!$P:$P,MATCH(MEDIÇÃO!K924,'PROJETO PERFURAÇÃO'!$B:$B,0))="Production","P",IF(INDEX('PROJETO PERFURAÇÃO'!$P:$P,MATCH(MEDIÇÃO!K924,'PROJETO PERFURAÇÃO'!$B:$B,0))="Buffer","B",IF(INDEX('PROJETO PERFURAÇÃO'!$P:$P,MATCH(MEDIÇÃO!K924,'PROJETO PERFURAÇÃO'!$B:$B,0))="Pre-Splitting","S"))),"")</f>
        <v/>
      </c>
      <c r="K924" s="14">
        <f t="shared" si="88"/>
        <v>2045</v>
      </c>
      <c r="L924" s="4" t="str">
        <f>IFERROR(INDEX('LEV R&amp;D'!$D:$D,MATCH(MEDIÇÃO!K924,'LEV R&amp;D'!$A:$A,0))-INDEX('PROJETO PERFURAÇÃO'!$AH:$AH,MATCH(MEDIÇÃO!K924,'PROJETO PERFURAÇÃO'!$B:$B,0)),"")</f>
        <v/>
      </c>
      <c r="M924" s="8" t="str">
        <f>IFERROR(INDEX('PROJETO PERFURAÇÃO'!$AN:$AN,MATCH(MEDIÇÃO!K924,'PROJETO PERFURAÇÃO'!$B:$B,0)),"")</f>
        <v/>
      </c>
      <c r="N924" s="3"/>
      <c r="O924" s="3"/>
      <c r="P924" s="3" t="str">
        <f>IFERROR(ROUND(INDEX('PROJETO PERFURAÇÃO'!$AB:$AB,MATCH(MEDIÇÃO!R924,'PROJETO PERFURAÇÃO'!$B:$B,0)),1)&amp;"''","")</f>
        <v/>
      </c>
      <c r="Q924" s="3" t="str">
        <f>IFERROR(IF(INDEX('PROJETO PERFURAÇÃO'!$P:$P,MATCH(MEDIÇÃO!R924,'PROJETO PERFURAÇÃO'!$B:$B,0))="Production","P",IF(INDEX('PROJETO PERFURAÇÃO'!$P:$P,MATCH(MEDIÇÃO!R924,'PROJETO PERFURAÇÃO'!$B:$B,0))="Buffer","B",IF(INDEX('PROJETO PERFURAÇÃO'!$P:$P,MATCH(MEDIÇÃO!R924,'PROJETO PERFURAÇÃO'!$B:$B,0))="Pre-Splitting","S"))),"")</f>
        <v/>
      </c>
      <c r="R924" s="14">
        <f t="shared" si="89"/>
        <v>2068</v>
      </c>
      <c r="S924" s="4" t="str">
        <f>IFERROR(INDEX('LEV R&amp;D'!$D:$D,MATCH(MEDIÇÃO!R924,'LEV R&amp;D'!$A:$A,0))-INDEX('PROJETO PERFURAÇÃO'!$AH:$AH,MATCH(MEDIÇÃO!R924,'PROJETO PERFURAÇÃO'!$B:$B,0)),"")</f>
        <v/>
      </c>
      <c r="T924" s="8" t="str">
        <f>IFERROR(INDEX('PROJETO PERFURAÇÃO'!$AN:$AN,MATCH(MEDIÇÃO!R924,'PROJETO PERFURAÇÃO'!$B:$B,0)),"")</f>
        <v/>
      </c>
      <c r="U924" s="3"/>
      <c r="V924" s="3"/>
    </row>
    <row r="925" spans="2:22" ht="45" customHeight="1">
      <c r="B925" s="3" t="str">
        <f>IFERROR(ROUND(INDEX('PROJETO PERFURAÇÃO'!$AB:$AB,MATCH(MEDIÇÃO!D925,'PROJETO PERFURAÇÃO'!$B:$B,0)),1)&amp;"''","")</f>
        <v/>
      </c>
      <c r="C925" s="3" t="str">
        <f>IFERROR(IF(INDEX('PROJETO PERFURAÇÃO'!$P:$P,MATCH(MEDIÇÃO!D925,'PROJETO PERFURAÇÃO'!$B:$B,0))="Production","P",IF(INDEX('PROJETO PERFURAÇÃO'!$P:$P,MATCH(MEDIÇÃO!D925,'PROJETO PERFURAÇÃO'!$B:$B,0))="Buffer","B",IF(INDEX('PROJETO PERFURAÇÃO'!$P:$P,MATCH(MEDIÇÃO!D925,'PROJETO PERFURAÇÃO'!$B:$B,0))="Pre-Splitting","S"))),"")</f>
        <v/>
      </c>
      <c r="D925" s="14">
        <f t="shared" si="87"/>
        <v>2023</v>
      </c>
      <c r="E925" s="4" t="str">
        <f>IFERROR(INDEX('LEV R&amp;D'!$D:$D,MATCH(MEDIÇÃO!D925,'LEV R&amp;D'!$A:$A,0))-INDEX('PROJETO PERFURAÇÃO'!$AH:$AH,MATCH(MEDIÇÃO!D925,'PROJETO PERFURAÇÃO'!$B:$B,0)),"")</f>
        <v/>
      </c>
      <c r="F925" s="8" t="str">
        <f>IFERROR(INDEX('PROJETO PERFURAÇÃO'!$AN:$AN,MATCH(MEDIÇÃO!D925,'PROJETO PERFURAÇÃO'!$B:$B,0)),"")</f>
        <v/>
      </c>
      <c r="G925" s="3"/>
      <c r="H925" s="3"/>
      <c r="I925" s="3" t="str">
        <f>IFERROR(ROUND(INDEX('PROJETO PERFURAÇÃO'!$AB:$AB,MATCH(MEDIÇÃO!K925,'PROJETO PERFURAÇÃO'!$B:$B,0)),1)&amp;"''","")</f>
        <v/>
      </c>
      <c r="J925" s="3" t="str">
        <f>IFERROR(IF(INDEX('PROJETO PERFURAÇÃO'!$P:$P,MATCH(MEDIÇÃO!K925,'PROJETO PERFURAÇÃO'!$B:$B,0))="Production","P",IF(INDEX('PROJETO PERFURAÇÃO'!$P:$P,MATCH(MEDIÇÃO!K925,'PROJETO PERFURAÇÃO'!$B:$B,0))="Buffer","B",IF(INDEX('PROJETO PERFURAÇÃO'!$P:$P,MATCH(MEDIÇÃO!K925,'PROJETO PERFURAÇÃO'!$B:$B,0))="Pre-Splitting","S"))),"")</f>
        <v/>
      </c>
      <c r="K925" s="14">
        <f t="shared" si="88"/>
        <v>2046</v>
      </c>
      <c r="L925" s="4" t="str">
        <f>IFERROR(INDEX('LEV R&amp;D'!$D:$D,MATCH(MEDIÇÃO!K925,'LEV R&amp;D'!$A:$A,0))-INDEX('PROJETO PERFURAÇÃO'!$AH:$AH,MATCH(MEDIÇÃO!K925,'PROJETO PERFURAÇÃO'!$B:$B,0)),"")</f>
        <v/>
      </c>
      <c r="M925" s="8" t="str">
        <f>IFERROR(INDEX('PROJETO PERFURAÇÃO'!$AN:$AN,MATCH(MEDIÇÃO!K925,'PROJETO PERFURAÇÃO'!$B:$B,0)),"")</f>
        <v/>
      </c>
      <c r="N925" s="3"/>
      <c r="O925" s="3"/>
      <c r="P925" s="3" t="str">
        <f>IFERROR(ROUND(INDEX('PROJETO PERFURAÇÃO'!$AB:$AB,MATCH(MEDIÇÃO!R925,'PROJETO PERFURAÇÃO'!$B:$B,0)),1)&amp;"''","")</f>
        <v/>
      </c>
      <c r="Q925" s="3" t="str">
        <f>IFERROR(IF(INDEX('PROJETO PERFURAÇÃO'!$P:$P,MATCH(MEDIÇÃO!R925,'PROJETO PERFURAÇÃO'!$B:$B,0))="Production","P",IF(INDEX('PROJETO PERFURAÇÃO'!$P:$P,MATCH(MEDIÇÃO!R925,'PROJETO PERFURAÇÃO'!$B:$B,0))="Buffer","B",IF(INDEX('PROJETO PERFURAÇÃO'!$P:$P,MATCH(MEDIÇÃO!R925,'PROJETO PERFURAÇÃO'!$B:$B,0))="Pre-Splitting","S"))),"")</f>
        <v/>
      </c>
      <c r="R925" s="14">
        <f t="shared" si="89"/>
        <v>2069</v>
      </c>
      <c r="S925" s="4" t="str">
        <f>IFERROR(INDEX('LEV R&amp;D'!$D:$D,MATCH(MEDIÇÃO!R925,'LEV R&amp;D'!$A:$A,0))-INDEX('PROJETO PERFURAÇÃO'!$AH:$AH,MATCH(MEDIÇÃO!R925,'PROJETO PERFURAÇÃO'!$B:$B,0)),"")</f>
        <v/>
      </c>
      <c r="T925" s="8" t="str">
        <f>IFERROR(INDEX('PROJETO PERFURAÇÃO'!$AN:$AN,MATCH(MEDIÇÃO!R925,'PROJETO PERFURAÇÃO'!$B:$B,0)),"")</f>
        <v/>
      </c>
      <c r="U925" s="3"/>
      <c r="V925" s="3"/>
    </row>
    <row r="926" spans="2:22" ht="45" customHeight="1">
      <c r="B926" s="3" t="str">
        <f>IFERROR(ROUND(INDEX('PROJETO PERFURAÇÃO'!$AB:$AB,MATCH(MEDIÇÃO!D926,'PROJETO PERFURAÇÃO'!$B:$B,0)),1)&amp;"''","")</f>
        <v/>
      </c>
      <c r="C926" s="3" t="str">
        <f>IFERROR(IF(INDEX('PROJETO PERFURAÇÃO'!$P:$P,MATCH(MEDIÇÃO!D926,'PROJETO PERFURAÇÃO'!$B:$B,0))="Production","P",IF(INDEX('PROJETO PERFURAÇÃO'!$P:$P,MATCH(MEDIÇÃO!D926,'PROJETO PERFURAÇÃO'!$B:$B,0))="Buffer","B",IF(INDEX('PROJETO PERFURAÇÃO'!$P:$P,MATCH(MEDIÇÃO!D926,'PROJETO PERFURAÇÃO'!$B:$B,0))="Pre-Splitting","S"))),"")</f>
        <v/>
      </c>
      <c r="D926" s="14">
        <f t="shared" si="87"/>
        <v>2024</v>
      </c>
      <c r="E926" s="4" t="str">
        <f>IFERROR(INDEX('LEV R&amp;D'!$D:$D,MATCH(MEDIÇÃO!D926,'LEV R&amp;D'!$A:$A,0))-INDEX('PROJETO PERFURAÇÃO'!$AH:$AH,MATCH(MEDIÇÃO!D926,'PROJETO PERFURAÇÃO'!$B:$B,0)),"")</f>
        <v/>
      </c>
      <c r="F926" s="8" t="str">
        <f>IFERROR(INDEX('PROJETO PERFURAÇÃO'!$AN:$AN,MATCH(MEDIÇÃO!D926,'PROJETO PERFURAÇÃO'!$B:$B,0)),"")</f>
        <v/>
      </c>
      <c r="G926" s="3"/>
      <c r="H926" s="3"/>
      <c r="I926" s="3" t="str">
        <f>IFERROR(ROUND(INDEX('PROJETO PERFURAÇÃO'!$AB:$AB,MATCH(MEDIÇÃO!K926,'PROJETO PERFURAÇÃO'!$B:$B,0)),1)&amp;"''","")</f>
        <v/>
      </c>
      <c r="J926" s="3" t="str">
        <f>IFERROR(IF(INDEX('PROJETO PERFURAÇÃO'!$P:$P,MATCH(MEDIÇÃO!K926,'PROJETO PERFURAÇÃO'!$B:$B,0))="Production","P",IF(INDEX('PROJETO PERFURAÇÃO'!$P:$P,MATCH(MEDIÇÃO!K926,'PROJETO PERFURAÇÃO'!$B:$B,0))="Buffer","B",IF(INDEX('PROJETO PERFURAÇÃO'!$P:$P,MATCH(MEDIÇÃO!K926,'PROJETO PERFURAÇÃO'!$B:$B,0))="Pre-Splitting","S"))),"")</f>
        <v/>
      </c>
      <c r="K926" s="14">
        <f>K925+1</f>
        <v>2047</v>
      </c>
      <c r="L926" s="4" t="str">
        <f>IFERROR(INDEX('LEV R&amp;D'!$D:$D,MATCH(MEDIÇÃO!K926,'LEV R&amp;D'!$A:$A,0))-INDEX('PROJETO PERFURAÇÃO'!$AH:$AH,MATCH(MEDIÇÃO!K926,'PROJETO PERFURAÇÃO'!$B:$B,0)),"")</f>
        <v/>
      </c>
      <c r="M926" s="8" t="str">
        <f>IFERROR(INDEX('PROJETO PERFURAÇÃO'!$AN:$AN,MATCH(MEDIÇÃO!K926,'PROJETO PERFURAÇÃO'!$B:$B,0)),"")</f>
        <v/>
      </c>
      <c r="N926" s="3"/>
      <c r="O926" s="3"/>
      <c r="P926" s="3" t="str">
        <f>IFERROR(ROUND(INDEX('PROJETO PERFURAÇÃO'!$AB:$AB,MATCH(MEDIÇÃO!R926,'PROJETO PERFURAÇÃO'!$B:$B,0)),1)&amp;"''","")</f>
        <v/>
      </c>
      <c r="Q926" s="3" t="str">
        <f>IFERROR(IF(INDEX('PROJETO PERFURAÇÃO'!$P:$P,MATCH(MEDIÇÃO!R926,'PROJETO PERFURAÇÃO'!$B:$B,0))="Production","P",IF(INDEX('PROJETO PERFURAÇÃO'!$P:$P,MATCH(MEDIÇÃO!R926,'PROJETO PERFURAÇÃO'!$B:$B,0))="Buffer","B",IF(INDEX('PROJETO PERFURAÇÃO'!$P:$P,MATCH(MEDIÇÃO!R926,'PROJETO PERFURAÇÃO'!$B:$B,0))="Pre-Splitting","S"))),"")</f>
        <v/>
      </c>
      <c r="R926" s="14">
        <f>R925+1</f>
        <v>2070</v>
      </c>
      <c r="S926" s="4" t="str">
        <f>IFERROR(INDEX('LEV R&amp;D'!$D:$D,MATCH(MEDIÇÃO!R926,'LEV R&amp;D'!$A:$A,0))-INDEX('PROJETO PERFURAÇÃO'!$AH:$AH,MATCH(MEDIÇÃO!R926,'PROJETO PERFURAÇÃO'!$B:$B,0)),"")</f>
        <v/>
      </c>
      <c r="T926" s="8" t="str">
        <f>IFERROR(INDEX('PROJETO PERFURAÇÃO'!$AN:$AN,MATCH(MEDIÇÃO!R926,'PROJETO PERFURAÇÃO'!$B:$B,0)),"")</f>
        <v/>
      </c>
      <c r="U926" s="3"/>
      <c r="V926" s="3"/>
    </row>
    <row r="927" spans="2:22" ht="30" customHeight="1">
      <c r="B927" s="1"/>
      <c r="C927" s="1"/>
      <c r="D927" s="15"/>
      <c r="E927" s="2"/>
      <c r="F927" s="16"/>
      <c r="G927" s="1"/>
      <c r="H927" s="1"/>
      <c r="I927" s="1"/>
      <c r="J927" s="1"/>
      <c r="K927" s="15"/>
      <c r="L927" s="2"/>
      <c r="M927" s="16"/>
      <c r="N927" s="1"/>
      <c r="O927" s="1"/>
      <c r="P927" s="1"/>
      <c r="Q927" s="1"/>
      <c r="R927" s="15"/>
      <c r="S927" s="2"/>
      <c r="T927" s="16"/>
      <c r="U927" s="1"/>
      <c r="V927" s="1"/>
    </row>
    <row r="928" spans="2:22" ht="30" customHeight="1">
      <c r="C928" s="20"/>
      <c r="D928" s="20"/>
      <c r="E928" s="20"/>
      <c r="F928" s="20"/>
      <c r="G928" s="20"/>
      <c r="H928" s="20"/>
      <c r="I928" s="20"/>
      <c r="J928" s="20"/>
      <c r="K928" s="20"/>
      <c r="M928" s="20"/>
      <c r="N928" s="20"/>
      <c r="O928" s="20"/>
      <c r="P928" s="20"/>
      <c r="Q928" s="20"/>
      <c r="R928" s="20"/>
      <c r="S928" s="20"/>
      <c r="T928" s="20"/>
      <c r="U928" s="20"/>
    </row>
    <row r="929" spans="1:23" ht="30" customHeight="1">
      <c r="C929" s="21" t="s">
        <v>40</v>
      </c>
      <c r="D929" s="21"/>
      <c r="E929" s="21"/>
      <c r="F929" s="21"/>
      <c r="G929" s="21"/>
      <c r="H929" s="21"/>
      <c r="I929" s="21"/>
      <c r="J929" s="21"/>
      <c r="K929" s="21"/>
      <c r="L929" s="9"/>
      <c r="M929" s="21" t="s">
        <v>40</v>
      </c>
      <c r="N929" s="21"/>
      <c r="O929" s="21"/>
      <c r="P929" s="21"/>
      <c r="Q929" s="21"/>
      <c r="R929" s="21"/>
      <c r="S929" s="21"/>
      <c r="T929" s="21"/>
      <c r="U929" s="21"/>
      <c r="V929" s="9"/>
    </row>
    <row r="930" spans="1:23" ht="30" customHeight="1">
      <c r="D930" s="9"/>
      <c r="E930" s="9"/>
      <c r="F930" s="9"/>
      <c r="G930" s="9"/>
      <c r="H930" s="9"/>
      <c r="I930" s="9"/>
      <c r="J930" s="9"/>
      <c r="K930" s="9"/>
      <c r="L930" s="9"/>
      <c r="M930" s="9"/>
      <c r="N930" s="9"/>
      <c r="Q930" s="9"/>
      <c r="R930" s="9"/>
      <c r="S930" s="9"/>
      <c r="T930" s="9"/>
      <c r="U930" s="9"/>
      <c r="V930" s="9"/>
    </row>
    <row r="931" spans="1:23" ht="30" customHeight="1">
      <c r="B931" s="19" t="str">
        <f>'PROJETO PERFURAÇÃO'!$C$2&amp;" - "&amp;'PROJETO PERFURAÇÃO'!$H$2</f>
        <v>LIB037 - PP0370626</v>
      </c>
      <c r="C931" s="19"/>
      <c r="D931" s="19"/>
      <c r="E931" s="19"/>
      <c r="F931" s="19"/>
      <c r="G931" s="19"/>
      <c r="H931" s="19"/>
      <c r="I931" s="11" t="s">
        <v>34</v>
      </c>
      <c r="J931" s="10" t="s">
        <v>37</v>
      </c>
    </row>
    <row r="932" spans="1:23" ht="30" customHeight="1">
      <c r="B932" s="19"/>
      <c r="C932" s="19"/>
      <c r="D932" s="19"/>
      <c r="E932" s="19"/>
      <c r="F932" s="19"/>
      <c r="G932" s="19"/>
      <c r="H932" s="19"/>
      <c r="I932" s="12" t="s">
        <v>35</v>
      </c>
      <c r="J932" s="10" t="s">
        <v>38</v>
      </c>
      <c r="K932" s="9"/>
      <c r="L932" s="9"/>
      <c r="M932" s="9"/>
      <c r="N932" s="9"/>
      <c r="O932" s="9"/>
      <c r="P932" s="9"/>
      <c r="Q932" s="9"/>
      <c r="R932" s="9"/>
      <c r="S932" s="9"/>
      <c r="T932" s="9"/>
      <c r="U932" s="9"/>
      <c r="V932" s="9"/>
    </row>
    <row r="933" spans="1:23" ht="30" customHeight="1">
      <c r="B933" s="19"/>
      <c r="C933" s="19"/>
      <c r="D933" s="19"/>
      <c r="E933" s="19"/>
      <c r="F933" s="19"/>
      <c r="G933" s="19"/>
      <c r="H933" s="19"/>
      <c r="I933" s="13" t="s">
        <v>36</v>
      </c>
      <c r="J933" s="10" t="s">
        <v>39</v>
      </c>
    </row>
    <row r="934" spans="1:23" ht="30" customHeight="1">
      <c r="A934" s="1"/>
      <c r="B934" s="6" t="s">
        <v>33</v>
      </c>
      <c r="C934" s="6" t="s">
        <v>13</v>
      </c>
      <c r="D934" s="7" t="s">
        <v>1</v>
      </c>
      <c r="E934" s="7" t="s">
        <v>29</v>
      </c>
      <c r="F934" s="7" t="s">
        <v>30</v>
      </c>
      <c r="G934" s="7" t="s">
        <v>31</v>
      </c>
      <c r="H934" s="7" t="s">
        <v>32</v>
      </c>
      <c r="I934" s="6" t="s">
        <v>33</v>
      </c>
      <c r="J934" s="6" t="s">
        <v>13</v>
      </c>
      <c r="K934" s="7" t="s">
        <v>1</v>
      </c>
      <c r="L934" s="7" t="s">
        <v>29</v>
      </c>
      <c r="M934" s="7" t="s">
        <v>30</v>
      </c>
      <c r="N934" s="7" t="s">
        <v>31</v>
      </c>
      <c r="O934" s="7" t="s">
        <v>32</v>
      </c>
      <c r="P934" s="6" t="s">
        <v>33</v>
      </c>
      <c r="Q934" s="6" t="s">
        <v>13</v>
      </c>
      <c r="R934" s="7" t="s">
        <v>1</v>
      </c>
      <c r="S934" s="7" t="s">
        <v>29</v>
      </c>
      <c r="T934" s="7" t="s">
        <v>30</v>
      </c>
      <c r="U934" s="7" t="s">
        <v>31</v>
      </c>
      <c r="V934" s="7" t="s">
        <v>32</v>
      </c>
      <c r="W934" s="1"/>
    </row>
    <row r="935" spans="1:23" ht="45" customHeight="1">
      <c r="B935" s="3" t="str">
        <f>IFERROR(ROUND(INDEX('PROJETO PERFURAÇÃO'!$AB:$AB,MATCH(MEDIÇÃO!D935,'PROJETO PERFURAÇÃO'!$B:$B,0)),1)&amp;"''","")</f>
        <v/>
      </c>
      <c r="C935" s="3" t="str">
        <f>IFERROR(IF(INDEX('PROJETO PERFURAÇÃO'!$P:$P,MATCH(MEDIÇÃO!D935,'PROJETO PERFURAÇÃO'!$B:$B,0))="Production","P",IF(INDEX('PROJETO PERFURAÇÃO'!$P:$P,MATCH(MEDIÇÃO!D935,'PROJETO PERFURAÇÃO'!$B:$B,0))="Buffer","B",IF(INDEX('PROJETO PERFURAÇÃO'!$P:$P,MATCH(MEDIÇÃO!D935,'PROJETO PERFURAÇÃO'!$B:$B,0))="Pre-Splitting","S"))),"")</f>
        <v/>
      </c>
      <c r="D935" s="14">
        <f>R926+1</f>
        <v>2071</v>
      </c>
      <c r="E935" s="4" t="str">
        <f>IFERROR(INDEX('LEV R&amp;D'!$D:$D,MATCH(MEDIÇÃO!D935,'LEV R&amp;D'!$A:$A,0))-INDEX('PROJETO PERFURAÇÃO'!$AH:$AH,MATCH(MEDIÇÃO!D935,'PROJETO PERFURAÇÃO'!$B:$B,0)),"")</f>
        <v/>
      </c>
      <c r="F935" s="8" t="str">
        <f>IFERROR(INDEX('PROJETO PERFURAÇÃO'!$AN:$AN,MATCH(MEDIÇÃO!D935,'PROJETO PERFURAÇÃO'!$B:$B,0)),"")</f>
        <v/>
      </c>
      <c r="G935" s="3"/>
      <c r="H935" s="3"/>
      <c r="I935" s="3" t="str">
        <f>IFERROR(ROUND(INDEX('PROJETO PERFURAÇÃO'!$AB:$AB,MATCH(MEDIÇÃO!K935,'PROJETO PERFURAÇÃO'!$B:$B,0)),1)&amp;"''","")</f>
        <v/>
      </c>
      <c r="J935" s="3" t="str">
        <f>IFERROR(IF(INDEX('PROJETO PERFURAÇÃO'!$P:$P,MATCH(MEDIÇÃO!K935,'PROJETO PERFURAÇÃO'!$B:$B,0))="Production","P",IF(INDEX('PROJETO PERFURAÇÃO'!$P:$P,MATCH(MEDIÇÃO!K935,'PROJETO PERFURAÇÃO'!$B:$B,0))="Buffer","B",IF(INDEX('PROJETO PERFURAÇÃO'!$P:$P,MATCH(MEDIÇÃO!K935,'PROJETO PERFURAÇÃO'!$B:$B,0))="Pre-Splitting","S"))),"")</f>
        <v/>
      </c>
      <c r="K935" s="14">
        <f>D957+1</f>
        <v>2094</v>
      </c>
      <c r="L935" s="4" t="str">
        <f>IFERROR(INDEX('LEV R&amp;D'!$D:$D,MATCH(MEDIÇÃO!K935,'LEV R&amp;D'!$A:$A,0))-INDEX('PROJETO PERFURAÇÃO'!$AH:$AH,MATCH(MEDIÇÃO!K935,'PROJETO PERFURAÇÃO'!$B:$B,0)),"")</f>
        <v/>
      </c>
      <c r="M935" s="8" t="str">
        <f>IFERROR(INDEX('PROJETO PERFURAÇÃO'!$AN:$AN,MATCH(MEDIÇÃO!K935,'PROJETO PERFURAÇÃO'!$B:$B,0)),"")</f>
        <v/>
      </c>
      <c r="N935" s="3"/>
      <c r="O935" s="3"/>
      <c r="P935" s="3" t="str">
        <f>IFERROR(ROUND(INDEX('PROJETO PERFURAÇÃO'!$AB:$AB,MATCH(MEDIÇÃO!R935,'PROJETO PERFURAÇÃO'!$B:$B,0)),1)&amp;"''","")</f>
        <v/>
      </c>
      <c r="Q935" s="3" t="str">
        <f>IFERROR(IF(INDEX('PROJETO PERFURAÇÃO'!$P:$P,MATCH(MEDIÇÃO!R935,'PROJETO PERFURAÇÃO'!$B:$B,0))="Production","P",IF(INDEX('PROJETO PERFURAÇÃO'!$P:$P,MATCH(MEDIÇÃO!R935,'PROJETO PERFURAÇÃO'!$B:$B,0))="Buffer","B",IF(INDEX('PROJETO PERFURAÇÃO'!$P:$P,MATCH(MEDIÇÃO!R935,'PROJETO PERFURAÇÃO'!$B:$B,0))="Pre-Splitting","S"))),"")</f>
        <v/>
      </c>
      <c r="R935" s="14">
        <f>K957+1</f>
        <v>2117</v>
      </c>
      <c r="S935" s="4" t="str">
        <f>IFERROR(INDEX('LEV R&amp;D'!$D:$D,MATCH(MEDIÇÃO!R935,'LEV R&amp;D'!$A:$A,0))-INDEX('PROJETO PERFURAÇÃO'!$AH:$AH,MATCH(MEDIÇÃO!R935,'PROJETO PERFURAÇÃO'!$B:$B,0)),"")</f>
        <v/>
      </c>
      <c r="T935" s="8" t="str">
        <f>IFERROR(INDEX('PROJETO PERFURAÇÃO'!$AN:$AN,MATCH(MEDIÇÃO!R935,'PROJETO PERFURAÇÃO'!$B:$B,0)),"")</f>
        <v/>
      </c>
      <c r="U935" s="3"/>
      <c r="V935" s="3"/>
    </row>
    <row r="936" spans="1:23" ht="45" customHeight="1">
      <c r="B936" s="3" t="str">
        <f>IFERROR(ROUND(INDEX('PROJETO PERFURAÇÃO'!$AB:$AB,MATCH(MEDIÇÃO!D936,'PROJETO PERFURAÇÃO'!$B:$B,0)),1)&amp;"''","")</f>
        <v/>
      </c>
      <c r="C936" s="3" t="str">
        <f>IFERROR(IF(INDEX('PROJETO PERFURAÇÃO'!$P:$P,MATCH(MEDIÇÃO!D936,'PROJETO PERFURAÇÃO'!$B:$B,0))="Production","P",IF(INDEX('PROJETO PERFURAÇÃO'!$P:$P,MATCH(MEDIÇÃO!D936,'PROJETO PERFURAÇÃO'!$B:$B,0))="Buffer","B",IF(INDEX('PROJETO PERFURAÇÃO'!$P:$P,MATCH(MEDIÇÃO!D936,'PROJETO PERFURAÇÃO'!$B:$B,0))="Pre-Splitting","S"))),"")</f>
        <v/>
      </c>
      <c r="D936" s="14">
        <f>D935+1</f>
        <v>2072</v>
      </c>
      <c r="E936" s="4" t="str">
        <f>IFERROR(INDEX('LEV R&amp;D'!$D:$D,MATCH(MEDIÇÃO!D936,'LEV R&amp;D'!$A:$A,0))-INDEX('PROJETO PERFURAÇÃO'!$AH:$AH,MATCH(MEDIÇÃO!D936,'PROJETO PERFURAÇÃO'!$B:$B,0)),"")</f>
        <v/>
      </c>
      <c r="F936" s="8" t="str">
        <f>IFERROR(INDEX('PROJETO PERFURAÇÃO'!$AN:$AN,MATCH(MEDIÇÃO!D936,'PROJETO PERFURAÇÃO'!$B:$B,0)),"")</f>
        <v/>
      </c>
      <c r="G936" s="3"/>
      <c r="H936" s="3"/>
      <c r="I936" s="3" t="str">
        <f>IFERROR(ROUND(INDEX('PROJETO PERFURAÇÃO'!$AB:$AB,MATCH(MEDIÇÃO!K936,'PROJETO PERFURAÇÃO'!$B:$B,0)),1)&amp;"''","")</f>
        <v/>
      </c>
      <c r="J936" s="3" t="str">
        <f>IFERROR(IF(INDEX('PROJETO PERFURAÇÃO'!$P:$P,MATCH(MEDIÇÃO!K936,'PROJETO PERFURAÇÃO'!$B:$B,0))="Production","P",IF(INDEX('PROJETO PERFURAÇÃO'!$P:$P,MATCH(MEDIÇÃO!K936,'PROJETO PERFURAÇÃO'!$B:$B,0))="Buffer","B",IF(INDEX('PROJETO PERFURAÇÃO'!$P:$P,MATCH(MEDIÇÃO!K936,'PROJETO PERFURAÇÃO'!$B:$B,0))="Pre-Splitting","S"))),"")</f>
        <v/>
      </c>
      <c r="K936" s="14">
        <f>K935+1</f>
        <v>2095</v>
      </c>
      <c r="L936" s="4" t="str">
        <f>IFERROR(INDEX('LEV R&amp;D'!$D:$D,MATCH(MEDIÇÃO!K936,'LEV R&amp;D'!$A:$A,0))-INDEX('PROJETO PERFURAÇÃO'!$AH:$AH,MATCH(MEDIÇÃO!K936,'PROJETO PERFURAÇÃO'!$B:$B,0)),"")</f>
        <v/>
      </c>
      <c r="M936" s="8" t="str">
        <f>IFERROR(INDEX('PROJETO PERFURAÇÃO'!$AN:$AN,MATCH(MEDIÇÃO!K936,'PROJETO PERFURAÇÃO'!$B:$B,0)),"")</f>
        <v/>
      </c>
      <c r="N936" s="3"/>
      <c r="O936" s="3"/>
      <c r="P936" s="3" t="str">
        <f>IFERROR(ROUND(INDEX('PROJETO PERFURAÇÃO'!$AB:$AB,MATCH(MEDIÇÃO!R936,'PROJETO PERFURAÇÃO'!$B:$B,0)),1)&amp;"''","")</f>
        <v/>
      </c>
      <c r="Q936" s="3" t="str">
        <f>IFERROR(IF(INDEX('PROJETO PERFURAÇÃO'!$P:$P,MATCH(MEDIÇÃO!R936,'PROJETO PERFURAÇÃO'!$B:$B,0))="Production","P",IF(INDEX('PROJETO PERFURAÇÃO'!$P:$P,MATCH(MEDIÇÃO!R936,'PROJETO PERFURAÇÃO'!$B:$B,0))="Buffer","B",IF(INDEX('PROJETO PERFURAÇÃO'!$P:$P,MATCH(MEDIÇÃO!R936,'PROJETO PERFURAÇÃO'!$B:$B,0))="Pre-Splitting","S"))),"")</f>
        <v/>
      </c>
      <c r="R936" s="14">
        <f>R935+1</f>
        <v>2118</v>
      </c>
      <c r="S936" s="4" t="str">
        <f>IFERROR(INDEX('LEV R&amp;D'!$D:$D,MATCH(MEDIÇÃO!R936,'LEV R&amp;D'!$A:$A,0))-INDEX('PROJETO PERFURAÇÃO'!$AH:$AH,MATCH(MEDIÇÃO!R936,'PROJETO PERFURAÇÃO'!$B:$B,0)),"")</f>
        <v/>
      </c>
      <c r="T936" s="8" t="str">
        <f>IFERROR(INDEX('PROJETO PERFURAÇÃO'!$AN:$AN,MATCH(MEDIÇÃO!R936,'PROJETO PERFURAÇÃO'!$B:$B,0)),"")</f>
        <v/>
      </c>
      <c r="U936" s="3"/>
      <c r="V936" s="3"/>
    </row>
    <row r="937" spans="1:23" ht="45" customHeight="1">
      <c r="B937" s="3" t="str">
        <f>IFERROR(ROUND(INDEX('PROJETO PERFURAÇÃO'!$AB:$AB,MATCH(MEDIÇÃO!D937,'PROJETO PERFURAÇÃO'!$B:$B,0)),1)&amp;"''","")</f>
        <v/>
      </c>
      <c r="C937" s="3" t="str">
        <f>IFERROR(IF(INDEX('PROJETO PERFURAÇÃO'!$P:$P,MATCH(MEDIÇÃO!D937,'PROJETO PERFURAÇÃO'!$B:$B,0))="Production","P",IF(INDEX('PROJETO PERFURAÇÃO'!$P:$P,MATCH(MEDIÇÃO!D937,'PROJETO PERFURAÇÃO'!$B:$B,0))="Buffer","B",IF(INDEX('PROJETO PERFURAÇÃO'!$P:$P,MATCH(MEDIÇÃO!D937,'PROJETO PERFURAÇÃO'!$B:$B,0))="Pre-Splitting","S"))),"")</f>
        <v/>
      </c>
      <c r="D937" s="14">
        <f t="shared" ref="D937:D957" si="90">D936+1</f>
        <v>2073</v>
      </c>
      <c r="E937" s="4" t="str">
        <f>IFERROR(INDEX('LEV R&amp;D'!$D:$D,MATCH(MEDIÇÃO!D937,'LEV R&amp;D'!$A:$A,0))-INDEX('PROJETO PERFURAÇÃO'!$AH:$AH,MATCH(MEDIÇÃO!D937,'PROJETO PERFURAÇÃO'!$B:$B,0)),"")</f>
        <v/>
      </c>
      <c r="F937" s="8" t="str">
        <f>IFERROR(INDEX('PROJETO PERFURAÇÃO'!$AN:$AN,MATCH(MEDIÇÃO!D937,'PROJETO PERFURAÇÃO'!$B:$B,0)),"")</f>
        <v/>
      </c>
      <c r="G937" s="3"/>
      <c r="H937" s="3"/>
      <c r="I937" s="3" t="str">
        <f>IFERROR(ROUND(INDEX('PROJETO PERFURAÇÃO'!$AB:$AB,MATCH(MEDIÇÃO!K937,'PROJETO PERFURAÇÃO'!$B:$B,0)),1)&amp;"''","")</f>
        <v/>
      </c>
      <c r="J937" s="3" t="str">
        <f>IFERROR(IF(INDEX('PROJETO PERFURAÇÃO'!$P:$P,MATCH(MEDIÇÃO!K937,'PROJETO PERFURAÇÃO'!$B:$B,0))="Production","P",IF(INDEX('PROJETO PERFURAÇÃO'!$P:$P,MATCH(MEDIÇÃO!K937,'PROJETO PERFURAÇÃO'!$B:$B,0))="Buffer","B",IF(INDEX('PROJETO PERFURAÇÃO'!$P:$P,MATCH(MEDIÇÃO!K937,'PROJETO PERFURAÇÃO'!$B:$B,0))="Pre-Splitting","S"))),"")</f>
        <v/>
      </c>
      <c r="K937" s="14">
        <f t="shared" ref="K937:K956" si="91">K936+1</f>
        <v>2096</v>
      </c>
      <c r="L937" s="4" t="str">
        <f>IFERROR(INDEX('LEV R&amp;D'!$D:$D,MATCH(MEDIÇÃO!K937,'LEV R&amp;D'!$A:$A,0))-INDEX('PROJETO PERFURAÇÃO'!$AH:$AH,MATCH(MEDIÇÃO!K937,'PROJETO PERFURAÇÃO'!$B:$B,0)),"")</f>
        <v/>
      </c>
      <c r="M937" s="8" t="str">
        <f>IFERROR(INDEX('PROJETO PERFURAÇÃO'!$AN:$AN,MATCH(MEDIÇÃO!K937,'PROJETO PERFURAÇÃO'!$B:$B,0)),"")</f>
        <v/>
      </c>
      <c r="N937" s="3"/>
      <c r="O937" s="3"/>
      <c r="P937" s="3" t="str">
        <f>IFERROR(ROUND(INDEX('PROJETO PERFURAÇÃO'!$AB:$AB,MATCH(MEDIÇÃO!R937,'PROJETO PERFURAÇÃO'!$B:$B,0)),1)&amp;"''","")</f>
        <v/>
      </c>
      <c r="Q937" s="3" t="str">
        <f>IFERROR(IF(INDEX('PROJETO PERFURAÇÃO'!$P:$P,MATCH(MEDIÇÃO!R937,'PROJETO PERFURAÇÃO'!$B:$B,0))="Production","P",IF(INDEX('PROJETO PERFURAÇÃO'!$P:$P,MATCH(MEDIÇÃO!R937,'PROJETO PERFURAÇÃO'!$B:$B,0))="Buffer","B",IF(INDEX('PROJETO PERFURAÇÃO'!$P:$P,MATCH(MEDIÇÃO!R937,'PROJETO PERFURAÇÃO'!$B:$B,0))="Pre-Splitting","S"))),"")</f>
        <v/>
      </c>
      <c r="R937" s="14">
        <f t="shared" ref="R937:R956" si="92">R936+1</f>
        <v>2119</v>
      </c>
      <c r="S937" s="4" t="str">
        <f>IFERROR(INDEX('LEV R&amp;D'!$D:$D,MATCH(MEDIÇÃO!R937,'LEV R&amp;D'!$A:$A,0))-INDEX('PROJETO PERFURAÇÃO'!$AH:$AH,MATCH(MEDIÇÃO!R937,'PROJETO PERFURAÇÃO'!$B:$B,0)),"")</f>
        <v/>
      </c>
      <c r="T937" s="8" t="str">
        <f>IFERROR(INDEX('PROJETO PERFURAÇÃO'!$AN:$AN,MATCH(MEDIÇÃO!R937,'PROJETO PERFURAÇÃO'!$B:$B,0)),"")</f>
        <v/>
      </c>
      <c r="U937" s="3"/>
      <c r="V937" s="3"/>
    </row>
    <row r="938" spans="1:23" ht="45" customHeight="1">
      <c r="B938" s="3" t="str">
        <f>IFERROR(ROUND(INDEX('PROJETO PERFURAÇÃO'!$AB:$AB,MATCH(MEDIÇÃO!D938,'PROJETO PERFURAÇÃO'!$B:$B,0)),1)&amp;"''","")</f>
        <v/>
      </c>
      <c r="C938" s="3" t="str">
        <f>IFERROR(IF(INDEX('PROJETO PERFURAÇÃO'!$P:$P,MATCH(MEDIÇÃO!D938,'PROJETO PERFURAÇÃO'!$B:$B,0))="Production","P",IF(INDEX('PROJETO PERFURAÇÃO'!$P:$P,MATCH(MEDIÇÃO!D938,'PROJETO PERFURAÇÃO'!$B:$B,0))="Buffer","B",IF(INDEX('PROJETO PERFURAÇÃO'!$P:$P,MATCH(MEDIÇÃO!D938,'PROJETO PERFURAÇÃO'!$B:$B,0))="Pre-Splitting","S"))),"")</f>
        <v/>
      </c>
      <c r="D938" s="14">
        <f t="shared" si="90"/>
        <v>2074</v>
      </c>
      <c r="E938" s="4" t="str">
        <f>IFERROR(INDEX('LEV R&amp;D'!$D:$D,MATCH(MEDIÇÃO!D938,'LEV R&amp;D'!$A:$A,0))-INDEX('PROJETO PERFURAÇÃO'!$AH:$AH,MATCH(MEDIÇÃO!D938,'PROJETO PERFURAÇÃO'!$B:$B,0)),"")</f>
        <v/>
      </c>
      <c r="F938" s="8" t="str">
        <f>IFERROR(INDEX('PROJETO PERFURAÇÃO'!$AN:$AN,MATCH(MEDIÇÃO!D938,'PROJETO PERFURAÇÃO'!$B:$B,0)),"")</f>
        <v/>
      </c>
      <c r="G938" s="3"/>
      <c r="H938" s="3"/>
      <c r="I938" s="3" t="str">
        <f>IFERROR(ROUND(INDEX('PROJETO PERFURAÇÃO'!$AB:$AB,MATCH(MEDIÇÃO!K938,'PROJETO PERFURAÇÃO'!$B:$B,0)),1)&amp;"''","")</f>
        <v/>
      </c>
      <c r="J938" s="3" t="str">
        <f>IFERROR(IF(INDEX('PROJETO PERFURAÇÃO'!$P:$P,MATCH(MEDIÇÃO!K938,'PROJETO PERFURAÇÃO'!$B:$B,0))="Production","P",IF(INDEX('PROJETO PERFURAÇÃO'!$P:$P,MATCH(MEDIÇÃO!K938,'PROJETO PERFURAÇÃO'!$B:$B,0))="Buffer","B",IF(INDEX('PROJETO PERFURAÇÃO'!$P:$P,MATCH(MEDIÇÃO!K938,'PROJETO PERFURAÇÃO'!$B:$B,0))="Pre-Splitting","S"))),"")</f>
        <v/>
      </c>
      <c r="K938" s="14">
        <f t="shared" si="91"/>
        <v>2097</v>
      </c>
      <c r="L938" s="4" t="str">
        <f>IFERROR(INDEX('LEV R&amp;D'!$D:$D,MATCH(MEDIÇÃO!K938,'LEV R&amp;D'!$A:$A,0))-INDEX('PROJETO PERFURAÇÃO'!$AH:$AH,MATCH(MEDIÇÃO!K938,'PROJETO PERFURAÇÃO'!$B:$B,0)),"")</f>
        <v/>
      </c>
      <c r="M938" s="8" t="str">
        <f>IFERROR(INDEX('PROJETO PERFURAÇÃO'!$AN:$AN,MATCH(MEDIÇÃO!K938,'PROJETO PERFURAÇÃO'!$B:$B,0)),"")</f>
        <v/>
      </c>
      <c r="N938" s="3"/>
      <c r="O938" s="3"/>
      <c r="P938" s="3" t="str">
        <f>IFERROR(ROUND(INDEX('PROJETO PERFURAÇÃO'!$AB:$AB,MATCH(MEDIÇÃO!R938,'PROJETO PERFURAÇÃO'!$B:$B,0)),1)&amp;"''","")</f>
        <v/>
      </c>
      <c r="Q938" s="3" t="str">
        <f>IFERROR(IF(INDEX('PROJETO PERFURAÇÃO'!$P:$P,MATCH(MEDIÇÃO!R938,'PROJETO PERFURAÇÃO'!$B:$B,0))="Production","P",IF(INDEX('PROJETO PERFURAÇÃO'!$P:$P,MATCH(MEDIÇÃO!R938,'PROJETO PERFURAÇÃO'!$B:$B,0))="Buffer","B",IF(INDEX('PROJETO PERFURAÇÃO'!$P:$P,MATCH(MEDIÇÃO!R938,'PROJETO PERFURAÇÃO'!$B:$B,0))="Pre-Splitting","S"))),"")</f>
        <v/>
      </c>
      <c r="R938" s="14">
        <f t="shared" si="92"/>
        <v>2120</v>
      </c>
      <c r="S938" s="4" t="str">
        <f>IFERROR(INDEX('LEV R&amp;D'!$D:$D,MATCH(MEDIÇÃO!R938,'LEV R&amp;D'!$A:$A,0))-INDEX('PROJETO PERFURAÇÃO'!$AH:$AH,MATCH(MEDIÇÃO!R938,'PROJETO PERFURAÇÃO'!$B:$B,0)),"")</f>
        <v/>
      </c>
      <c r="T938" s="8" t="str">
        <f>IFERROR(INDEX('PROJETO PERFURAÇÃO'!$AN:$AN,MATCH(MEDIÇÃO!R938,'PROJETO PERFURAÇÃO'!$B:$B,0)),"")</f>
        <v/>
      </c>
      <c r="U938" s="3"/>
      <c r="V938" s="3"/>
    </row>
    <row r="939" spans="1:23" ht="45" customHeight="1">
      <c r="B939" s="3" t="str">
        <f>IFERROR(ROUND(INDEX('PROJETO PERFURAÇÃO'!$AB:$AB,MATCH(MEDIÇÃO!D939,'PROJETO PERFURAÇÃO'!$B:$B,0)),1)&amp;"''","")</f>
        <v/>
      </c>
      <c r="C939" s="3" t="str">
        <f>IFERROR(IF(INDEX('PROJETO PERFURAÇÃO'!$P:$P,MATCH(MEDIÇÃO!D939,'PROJETO PERFURAÇÃO'!$B:$B,0))="Production","P",IF(INDEX('PROJETO PERFURAÇÃO'!$P:$P,MATCH(MEDIÇÃO!D939,'PROJETO PERFURAÇÃO'!$B:$B,0))="Buffer","B",IF(INDEX('PROJETO PERFURAÇÃO'!$P:$P,MATCH(MEDIÇÃO!D939,'PROJETO PERFURAÇÃO'!$B:$B,0))="Pre-Splitting","S"))),"")</f>
        <v/>
      </c>
      <c r="D939" s="14">
        <f t="shared" si="90"/>
        <v>2075</v>
      </c>
      <c r="E939" s="4" t="str">
        <f>IFERROR(INDEX('LEV R&amp;D'!$D:$D,MATCH(MEDIÇÃO!D939,'LEV R&amp;D'!$A:$A,0))-INDEX('PROJETO PERFURAÇÃO'!$AH:$AH,MATCH(MEDIÇÃO!D939,'PROJETO PERFURAÇÃO'!$B:$B,0)),"")</f>
        <v/>
      </c>
      <c r="F939" s="8" t="str">
        <f>IFERROR(INDEX('PROJETO PERFURAÇÃO'!$AN:$AN,MATCH(MEDIÇÃO!D939,'PROJETO PERFURAÇÃO'!$B:$B,0)),"")</f>
        <v/>
      </c>
      <c r="G939" s="3"/>
      <c r="H939" s="3"/>
      <c r="I939" s="3" t="str">
        <f>IFERROR(ROUND(INDEX('PROJETO PERFURAÇÃO'!$AB:$AB,MATCH(MEDIÇÃO!K939,'PROJETO PERFURAÇÃO'!$B:$B,0)),1)&amp;"''","")</f>
        <v/>
      </c>
      <c r="J939" s="3" t="str">
        <f>IFERROR(IF(INDEX('PROJETO PERFURAÇÃO'!$P:$P,MATCH(MEDIÇÃO!K939,'PROJETO PERFURAÇÃO'!$B:$B,0))="Production","P",IF(INDEX('PROJETO PERFURAÇÃO'!$P:$P,MATCH(MEDIÇÃO!K939,'PROJETO PERFURAÇÃO'!$B:$B,0))="Buffer","B",IF(INDEX('PROJETO PERFURAÇÃO'!$P:$P,MATCH(MEDIÇÃO!K939,'PROJETO PERFURAÇÃO'!$B:$B,0))="Pre-Splitting","S"))),"")</f>
        <v/>
      </c>
      <c r="K939" s="14">
        <f t="shared" si="91"/>
        <v>2098</v>
      </c>
      <c r="L939" s="4" t="str">
        <f>IFERROR(INDEX('LEV R&amp;D'!$D:$D,MATCH(MEDIÇÃO!K939,'LEV R&amp;D'!$A:$A,0))-INDEX('PROJETO PERFURAÇÃO'!$AH:$AH,MATCH(MEDIÇÃO!K939,'PROJETO PERFURAÇÃO'!$B:$B,0)),"")</f>
        <v/>
      </c>
      <c r="M939" s="8" t="str">
        <f>IFERROR(INDEX('PROJETO PERFURAÇÃO'!$AN:$AN,MATCH(MEDIÇÃO!K939,'PROJETO PERFURAÇÃO'!$B:$B,0)),"")</f>
        <v/>
      </c>
      <c r="N939" s="3"/>
      <c r="O939" s="3"/>
      <c r="P939" s="3" t="str">
        <f>IFERROR(ROUND(INDEX('PROJETO PERFURAÇÃO'!$AB:$AB,MATCH(MEDIÇÃO!R939,'PROJETO PERFURAÇÃO'!$B:$B,0)),1)&amp;"''","")</f>
        <v/>
      </c>
      <c r="Q939" s="3" t="str">
        <f>IFERROR(IF(INDEX('PROJETO PERFURAÇÃO'!$P:$P,MATCH(MEDIÇÃO!R939,'PROJETO PERFURAÇÃO'!$B:$B,0))="Production","P",IF(INDEX('PROJETO PERFURAÇÃO'!$P:$P,MATCH(MEDIÇÃO!R939,'PROJETO PERFURAÇÃO'!$B:$B,0))="Buffer","B",IF(INDEX('PROJETO PERFURAÇÃO'!$P:$P,MATCH(MEDIÇÃO!R939,'PROJETO PERFURAÇÃO'!$B:$B,0))="Pre-Splitting","S"))),"")</f>
        <v/>
      </c>
      <c r="R939" s="14">
        <f t="shared" si="92"/>
        <v>2121</v>
      </c>
      <c r="S939" s="4" t="str">
        <f>IFERROR(INDEX('LEV R&amp;D'!$D:$D,MATCH(MEDIÇÃO!R939,'LEV R&amp;D'!$A:$A,0))-INDEX('PROJETO PERFURAÇÃO'!$AH:$AH,MATCH(MEDIÇÃO!R939,'PROJETO PERFURAÇÃO'!$B:$B,0)),"")</f>
        <v/>
      </c>
      <c r="T939" s="8" t="str">
        <f>IFERROR(INDEX('PROJETO PERFURAÇÃO'!$AN:$AN,MATCH(MEDIÇÃO!R939,'PROJETO PERFURAÇÃO'!$B:$B,0)),"")</f>
        <v/>
      </c>
      <c r="U939" s="3"/>
      <c r="V939" s="3"/>
    </row>
    <row r="940" spans="1:23" ht="45" customHeight="1">
      <c r="B940" s="3" t="str">
        <f>IFERROR(ROUND(INDEX('PROJETO PERFURAÇÃO'!$AB:$AB,MATCH(MEDIÇÃO!D940,'PROJETO PERFURAÇÃO'!$B:$B,0)),1)&amp;"''","")</f>
        <v/>
      </c>
      <c r="C940" s="3" t="str">
        <f>IFERROR(IF(INDEX('PROJETO PERFURAÇÃO'!$P:$P,MATCH(MEDIÇÃO!D940,'PROJETO PERFURAÇÃO'!$B:$B,0))="Production","P",IF(INDEX('PROJETO PERFURAÇÃO'!$P:$P,MATCH(MEDIÇÃO!D940,'PROJETO PERFURAÇÃO'!$B:$B,0))="Buffer","B",IF(INDEX('PROJETO PERFURAÇÃO'!$P:$P,MATCH(MEDIÇÃO!D940,'PROJETO PERFURAÇÃO'!$B:$B,0))="Pre-Splitting","S"))),"")</f>
        <v/>
      </c>
      <c r="D940" s="14">
        <f t="shared" si="90"/>
        <v>2076</v>
      </c>
      <c r="E940" s="4" t="str">
        <f>IFERROR(INDEX('LEV R&amp;D'!$D:$D,MATCH(MEDIÇÃO!D940,'LEV R&amp;D'!$A:$A,0))-INDEX('PROJETO PERFURAÇÃO'!$AH:$AH,MATCH(MEDIÇÃO!D940,'PROJETO PERFURAÇÃO'!$B:$B,0)),"")</f>
        <v/>
      </c>
      <c r="F940" s="8" t="str">
        <f>IFERROR(INDEX('PROJETO PERFURAÇÃO'!$AN:$AN,MATCH(MEDIÇÃO!D940,'PROJETO PERFURAÇÃO'!$B:$B,0)),"")</f>
        <v/>
      </c>
      <c r="G940" s="3"/>
      <c r="H940" s="3"/>
      <c r="I940" s="3" t="str">
        <f>IFERROR(ROUND(INDEX('PROJETO PERFURAÇÃO'!$AB:$AB,MATCH(MEDIÇÃO!K940,'PROJETO PERFURAÇÃO'!$B:$B,0)),1)&amp;"''","")</f>
        <v/>
      </c>
      <c r="J940" s="3" t="str">
        <f>IFERROR(IF(INDEX('PROJETO PERFURAÇÃO'!$P:$P,MATCH(MEDIÇÃO!K940,'PROJETO PERFURAÇÃO'!$B:$B,0))="Production","P",IF(INDEX('PROJETO PERFURAÇÃO'!$P:$P,MATCH(MEDIÇÃO!K940,'PROJETO PERFURAÇÃO'!$B:$B,0))="Buffer","B",IF(INDEX('PROJETO PERFURAÇÃO'!$P:$P,MATCH(MEDIÇÃO!K940,'PROJETO PERFURAÇÃO'!$B:$B,0))="Pre-Splitting","S"))),"")</f>
        <v/>
      </c>
      <c r="K940" s="14">
        <f t="shared" si="91"/>
        <v>2099</v>
      </c>
      <c r="L940" s="4" t="str">
        <f>IFERROR(INDEX('LEV R&amp;D'!$D:$D,MATCH(MEDIÇÃO!K940,'LEV R&amp;D'!$A:$A,0))-INDEX('PROJETO PERFURAÇÃO'!$AH:$AH,MATCH(MEDIÇÃO!K940,'PROJETO PERFURAÇÃO'!$B:$B,0)),"")</f>
        <v/>
      </c>
      <c r="M940" s="8" t="str">
        <f>IFERROR(INDEX('PROJETO PERFURAÇÃO'!$AN:$AN,MATCH(MEDIÇÃO!K940,'PROJETO PERFURAÇÃO'!$B:$B,0)),"")</f>
        <v/>
      </c>
      <c r="N940" s="3"/>
      <c r="O940" s="3"/>
      <c r="P940" s="3" t="str">
        <f>IFERROR(ROUND(INDEX('PROJETO PERFURAÇÃO'!$AB:$AB,MATCH(MEDIÇÃO!R940,'PROJETO PERFURAÇÃO'!$B:$B,0)),1)&amp;"''","")</f>
        <v/>
      </c>
      <c r="Q940" s="3" t="str">
        <f>IFERROR(IF(INDEX('PROJETO PERFURAÇÃO'!$P:$P,MATCH(MEDIÇÃO!R940,'PROJETO PERFURAÇÃO'!$B:$B,0))="Production","P",IF(INDEX('PROJETO PERFURAÇÃO'!$P:$P,MATCH(MEDIÇÃO!R940,'PROJETO PERFURAÇÃO'!$B:$B,0))="Buffer","B",IF(INDEX('PROJETO PERFURAÇÃO'!$P:$P,MATCH(MEDIÇÃO!R940,'PROJETO PERFURAÇÃO'!$B:$B,0))="Pre-Splitting","S"))),"")</f>
        <v/>
      </c>
      <c r="R940" s="14">
        <f t="shared" si="92"/>
        <v>2122</v>
      </c>
      <c r="S940" s="4" t="str">
        <f>IFERROR(INDEX('LEV R&amp;D'!$D:$D,MATCH(MEDIÇÃO!R940,'LEV R&amp;D'!$A:$A,0))-INDEX('PROJETO PERFURAÇÃO'!$AH:$AH,MATCH(MEDIÇÃO!R940,'PROJETO PERFURAÇÃO'!$B:$B,0)),"")</f>
        <v/>
      </c>
      <c r="T940" s="8" t="str">
        <f>IFERROR(INDEX('PROJETO PERFURAÇÃO'!$AN:$AN,MATCH(MEDIÇÃO!R940,'PROJETO PERFURAÇÃO'!$B:$B,0)),"")</f>
        <v/>
      </c>
      <c r="U940" s="3"/>
      <c r="V940" s="3"/>
    </row>
    <row r="941" spans="1:23" ht="45" customHeight="1">
      <c r="B941" s="3" t="str">
        <f>IFERROR(ROUND(INDEX('PROJETO PERFURAÇÃO'!$AB:$AB,MATCH(MEDIÇÃO!D941,'PROJETO PERFURAÇÃO'!$B:$B,0)),1)&amp;"''","")</f>
        <v/>
      </c>
      <c r="C941" s="3" t="str">
        <f>IFERROR(IF(INDEX('PROJETO PERFURAÇÃO'!$P:$P,MATCH(MEDIÇÃO!D941,'PROJETO PERFURAÇÃO'!$B:$B,0))="Production","P",IF(INDEX('PROJETO PERFURAÇÃO'!$P:$P,MATCH(MEDIÇÃO!D941,'PROJETO PERFURAÇÃO'!$B:$B,0))="Buffer","B",IF(INDEX('PROJETO PERFURAÇÃO'!$P:$P,MATCH(MEDIÇÃO!D941,'PROJETO PERFURAÇÃO'!$B:$B,0))="Pre-Splitting","S"))),"")</f>
        <v/>
      </c>
      <c r="D941" s="14">
        <f t="shared" si="90"/>
        <v>2077</v>
      </c>
      <c r="E941" s="4" t="str">
        <f>IFERROR(INDEX('LEV R&amp;D'!$D:$D,MATCH(MEDIÇÃO!D941,'LEV R&amp;D'!$A:$A,0))-INDEX('PROJETO PERFURAÇÃO'!$AH:$AH,MATCH(MEDIÇÃO!D941,'PROJETO PERFURAÇÃO'!$B:$B,0)),"")</f>
        <v/>
      </c>
      <c r="F941" s="8" t="str">
        <f>IFERROR(INDEX('PROJETO PERFURAÇÃO'!$AN:$AN,MATCH(MEDIÇÃO!D941,'PROJETO PERFURAÇÃO'!$B:$B,0)),"")</f>
        <v/>
      </c>
      <c r="G941" s="3"/>
      <c r="H941" s="3"/>
      <c r="I941" s="3" t="str">
        <f>IFERROR(ROUND(INDEX('PROJETO PERFURAÇÃO'!$AB:$AB,MATCH(MEDIÇÃO!K941,'PROJETO PERFURAÇÃO'!$B:$B,0)),1)&amp;"''","")</f>
        <v/>
      </c>
      <c r="J941" s="3" t="str">
        <f>IFERROR(IF(INDEX('PROJETO PERFURAÇÃO'!$P:$P,MATCH(MEDIÇÃO!K941,'PROJETO PERFURAÇÃO'!$B:$B,0))="Production","P",IF(INDEX('PROJETO PERFURAÇÃO'!$P:$P,MATCH(MEDIÇÃO!K941,'PROJETO PERFURAÇÃO'!$B:$B,0))="Buffer","B",IF(INDEX('PROJETO PERFURAÇÃO'!$P:$P,MATCH(MEDIÇÃO!K941,'PROJETO PERFURAÇÃO'!$B:$B,0))="Pre-Splitting","S"))),"")</f>
        <v/>
      </c>
      <c r="K941" s="14">
        <f t="shared" si="91"/>
        <v>2100</v>
      </c>
      <c r="L941" s="4" t="str">
        <f>IFERROR(INDEX('LEV R&amp;D'!$D:$D,MATCH(MEDIÇÃO!K941,'LEV R&amp;D'!$A:$A,0))-INDEX('PROJETO PERFURAÇÃO'!$AH:$AH,MATCH(MEDIÇÃO!K941,'PROJETO PERFURAÇÃO'!$B:$B,0)),"")</f>
        <v/>
      </c>
      <c r="M941" s="8" t="str">
        <f>IFERROR(INDEX('PROJETO PERFURAÇÃO'!$AN:$AN,MATCH(MEDIÇÃO!K941,'PROJETO PERFURAÇÃO'!$B:$B,0)),"")</f>
        <v/>
      </c>
      <c r="N941" s="3"/>
      <c r="O941" s="3"/>
      <c r="P941" s="3" t="str">
        <f>IFERROR(ROUND(INDEX('PROJETO PERFURAÇÃO'!$AB:$AB,MATCH(MEDIÇÃO!R941,'PROJETO PERFURAÇÃO'!$B:$B,0)),1)&amp;"''","")</f>
        <v/>
      </c>
      <c r="Q941" s="3" t="str">
        <f>IFERROR(IF(INDEX('PROJETO PERFURAÇÃO'!$P:$P,MATCH(MEDIÇÃO!R941,'PROJETO PERFURAÇÃO'!$B:$B,0))="Production","P",IF(INDEX('PROJETO PERFURAÇÃO'!$P:$P,MATCH(MEDIÇÃO!R941,'PROJETO PERFURAÇÃO'!$B:$B,0))="Buffer","B",IF(INDEX('PROJETO PERFURAÇÃO'!$P:$P,MATCH(MEDIÇÃO!R941,'PROJETO PERFURAÇÃO'!$B:$B,0))="Pre-Splitting","S"))),"")</f>
        <v/>
      </c>
      <c r="R941" s="14">
        <f t="shared" si="92"/>
        <v>2123</v>
      </c>
      <c r="S941" s="4" t="str">
        <f>IFERROR(INDEX('LEV R&amp;D'!$D:$D,MATCH(MEDIÇÃO!R941,'LEV R&amp;D'!$A:$A,0))-INDEX('PROJETO PERFURAÇÃO'!$AH:$AH,MATCH(MEDIÇÃO!R941,'PROJETO PERFURAÇÃO'!$B:$B,0)),"")</f>
        <v/>
      </c>
      <c r="T941" s="8" t="str">
        <f>IFERROR(INDEX('PROJETO PERFURAÇÃO'!$AN:$AN,MATCH(MEDIÇÃO!R941,'PROJETO PERFURAÇÃO'!$B:$B,0)),"")</f>
        <v/>
      </c>
      <c r="U941" s="3"/>
      <c r="V941" s="3"/>
    </row>
    <row r="942" spans="1:23" ht="45" customHeight="1">
      <c r="B942" s="3" t="str">
        <f>IFERROR(ROUND(INDEX('PROJETO PERFURAÇÃO'!$AB:$AB,MATCH(MEDIÇÃO!D942,'PROJETO PERFURAÇÃO'!$B:$B,0)),1)&amp;"''","")</f>
        <v/>
      </c>
      <c r="C942" s="3" t="str">
        <f>IFERROR(IF(INDEX('PROJETO PERFURAÇÃO'!$P:$P,MATCH(MEDIÇÃO!D942,'PROJETO PERFURAÇÃO'!$B:$B,0))="Production","P",IF(INDEX('PROJETO PERFURAÇÃO'!$P:$P,MATCH(MEDIÇÃO!D942,'PROJETO PERFURAÇÃO'!$B:$B,0))="Buffer","B",IF(INDEX('PROJETO PERFURAÇÃO'!$P:$P,MATCH(MEDIÇÃO!D942,'PROJETO PERFURAÇÃO'!$B:$B,0))="Pre-Splitting","S"))),"")</f>
        <v/>
      </c>
      <c r="D942" s="14">
        <f t="shared" si="90"/>
        <v>2078</v>
      </c>
      <c r="E942" s="4" t="str">
        <f>IFERROR(INDEX('LEV R&amp;D'!$D:$D,MATCH(MEDIÇÃO!D942,'LEV R&amp;D'!$A:$A,0))-INDEX('PROJETO PERFURAÇÃO'!$AH:$AH,MATCH(MEDIÇÃO!D942,'PROJETO PERFURAÇÃO'!$B:$B,0)),"")</f>
        <v/>
      </c>
      <c r="F942" s="8" t="str">
        <f>IFERROR(INDEX('PROJETO PERFURAÇÃO'!$AN:$AN,MATCH(MEDIÇÃO!D942,'PROJETO PERFURAÇÃO'!$B:$B,0)),"")</f>
        <v/>
      </c>
      <c r="G942" s="3"/>
      <c r="H942" s="3"/>
      <c r="I942" s="3" t="str">
        <f>IFERROR(ROUND(INDEX('PROJETO PERFURAÇÃO'!$AB:$AB,MATCH(MEDIÇÃO!K942,'PROJETO PERFURAÇÃO'!$B:$B,0)),1)&amp;"''","")</f>
        <v/>
      </c>
      <c r="J942" s="3" t="str">
        <f>IFERROR(IF(INDEX('PROJETO PERFURAÇÃO'!$P:$P,MATCH(MEDIÇÃO!K942,'PROJETO PERFURAÇÃO'!$B:$B,0))="Production","P",IF(INDEX('PROJETO PERFURAÇÃO'!$P:$P,MATCH(MEDIÇÃO!K942,'PROJETO PERFURAÇÃO'!$B:$B,0))="Buffer","B",IF(INDEX('PROJETO PERFURAÇÃO'!$P:$P,MATCH(MEDIÇÃO!K942,'PROJETO PERFURAÇÃO'!$B:$B,0))="Pre-Splitting","S"))),"")</f>
        <v/>
      </c>
      <c r="K942" s="14">
        <f t="shared" si="91"/>
        <v>2101</v>
      </c>
      <c r="L942" s="4" t="str">
        <f>IFERROR(INDEX('LEV R&amp;D'!$D:$D,MATCH(MEDIÇÃO!K942,'LEV R&amp;D'!$A:$A,0))-INDEX('PROJETO PERFURAÇÃO'!$AH:$AH,MATCH(MEDIÇÃO!K942,'PROJETO PERFURAÇÃO'!$B:$B,0)),"")</f>
        <v/>
      </c>
      <c r="M942" s="8" t="str">
        <f>IFERROR(INDEX('PROJETO PERFURAÇÃO'!$AN:$AN,MATCH(MEDIÇÃO!K942,'PROJETO PERFURAÇÃO'!$B:$B,0)),"")</f>
        <v/>
      </c>
      <c r="N942" s="3"/>
      <c r="O942" s="3"/>
      <c r="P942" s="3" t="str">
        <f>IFERROR(ROUND(INDEX('PROJETO PERFURAÇÃO'!$AB:$AB,MATCH(MEDIÇÃO!R942,'PROJETO PERFURAÇÃO'!$B:$B,0)),1)&amp;"''","")</f>
        <v/>
      </c>
      <c r="Q942" s="3" t="str">
        <f>IFERROR(IF(INDEX('PROJETO PERFURAÇÃO'!$P:$P,MATCH(MEDIÇÃO!R942,'PROJETO PERFURAÇÃO'!$B:$B,0))="Production","P",IF(INDEX('PROJETO PERFURAÇÃO'!$P:$P,MATCH(MEDIÇÃO!R942,'PROJETO PERFURAÇÃO'!$B:$B,0))="Buffer","B",IF(INDEX('PROJETO PERFURAÇÃO'!$P:$P,MATCH(MEDIÇÃO!R942,'PROJETO PERFURAÇÃO'!$B:$B,0))="Pre-Splitting","S"))),"")</f>
        <v/>
      </c>
      <c r="R942" s="14">
        <f t="shared" si="92"/>
        <v>2124</v>
      </c>
      <c r="S942" s="4" t="str">
        <f>IFERROR(INDEX('LEV R&amp;D'!$D:$D,MATCH(MEDIÇÃO!R942,'LEV R&amp;D'!$A:$A,0))-INDEX('PROJETO PERFURAÇÃO'!$AH:$AH,MATCH(MEDIÇÃO!R942,'PROJETO PERFURAÇÃO'!$B:$B,0)),"")</f>
        <v/>
      </c>
      <c r="T942" s="8" t="str">
        <f>IFERROR(INDEX('PROJETO PERFURAÇÃO'!$AN:$AN,MATCH(MEDIÇÃO!R942,'PROJETO PERFURAÇÃO'!$B:$B,0)),"")</f>
        <v/>
      </c>
      <c r="U942" s="3"/>
      <c r="V942" s="3"/>
    </row>
    <row r="943" spans="1:23" ht="45" customHeight="1">
      <c r="B943" s="3" t="str">
        <f>IFERROR(ROUND(INDEX('PROJETO PERFURAÇÃO'!$AB:$AB,MATCH(MEDIÇÃO!D943,'PROJETO PERFURAÇÃO'!$B:$B,0)),1)&amp;"''","")</f>
        <v/>
      </c>
      <c r="C943" s="3" t="str">
        <f>IFERROR(IF(INDEX('PROJETO PERFURAÇÃO'!$P:$P,MATCH(MEDIÇÃO!D943,'PROJETO PERFURAÇÃO'!$B:$B,0))="Production","P",IF(INDEX('PROJETO PERFURAÇÃO'!$P:$P,MATCH(MEDIÇÃO!D943,'PROJETO PERFURAÇÃO'!$B:$B,0))="Buffer","B",IF(INDEX('PROJETO PERFURAÇÃO'!$P:$P,MATCH(MEDIÇÃO!D943,'PROJETO PERFURAÇÃO'!$B:$B,0))="Pre-Splitting","S"))),"")</f>
        <v/>
      </c>
      <c r="D943" s="14">
        <f t="shared" si="90"/>
        <v>2079</v>
      </c>
      <c r="E943" s="4" t="str">
        <f>IFERROR(INDEX('LEV R&amp;D'!$D:$D,MATCH(MEDIÇÃO!D943,'LEV R&amp;D'!$A:$A,0))-INDEX('PROJETO PERFURAÇÃO'!$AH:$AH,MATCH(MEDIÇÃO!D943,'PROJETO PERFURAÇÃO'!$B:$B,0)),"")</f>
        <v/>
      </c>
      <c r="F943" s="8" t="str">
        <f>IFERROR(INDEX('PROJETO PERFURAÇÃO'!$AN:$AN,MATCH(MEDIÇÃO!D943,'PROJETO PERFURAÇÃO'!$B:$B,0)),"")</f>
        <v/>
      </c>
      <c r="G943" s="3"/>
      <c r="H943" s="3"/>
      <c r="I943" s="3" t="str">
        <f>IFERROR(ROUND(INDEX('PROJETO PERFURAÇÃO'!$AB:$AB,MATCH(MEDIÇÃO!K943,'PROJETO PERFURAÇÃO'!$B:$B,0)),1)&amp;"''","")</f>
        <v/>
      </c>
      <c r="J943" s="3" t="str">
        <f>IFERROR(IF(INDEX('PROJETO PERFURAÇÃO'!$P:$P,MATCH(MEDIÇÃO!K943,'PROJETO PERFURAÇÃO'!$B:$B,0))="Production","P",IF(INDEX('PROJETO PERFURAÇÃO'!$P:$P,MATCH(MEDIÇÃO!K943,'PROJETO PERFURAÇÃO'!$B:$B,0))="Buffer","B",IF(INDEX('PROJETO PERFURAÇÃO'!$P:$P,MATCH(MEDIÇÃO!K943,'PROJETO PERFURAÇÃO'!$B:$B,0))="Pre-Splitting","S"))),"")</f>
        <v/>
      </c>
      <c r="K943" s="14">
        <f t="shared" si="91"/>
        <v>2102</v>
      </c>
      <c r="L943" s="4" t="str">
        <f>IFERROR(INDEX('LEV R&amp;D'!$D:$D,MATCH(MEDIÇÃO!K943,'LEV R&amp;D'!$A:$A,0))-INDEX('PROJETO PERFURAÇÃO'!$AH:$AH,MATCH(MEDIÇÃO!K943,'PROJETO PERFURAÇÃO'!$B:$B,0)),"")</f>
        <v/>
      </c>
      <c r="M943" s="8" t="str">
        <f>IFERROR(INDEX('PROJETO PERFURAÇÃO'!$AN:$AN,MATCH(MEDIÇÃO!K943,'PROJETO PERFURAÇÃO'!$B:$B,0)),"")</f>
        <v/>
      </c>
      <c r="N943" s="3"/>
      <c r="O943" s="3"/>
      <c r="P943" s="3" t="str">
        <f>IFERROR(ROUND(INDEX('PROJETO PERFURAÇÃO'!$AB:$AB,MATCH(MEDIÇÃO!R943,'PROJETO PERFURAÇÃO'!$B:$B,0)),1)&amp;"''","")</f>
        <v/>
      </c>
      <c r="Q943" s="3" t="str">
        <f>IFERROR(IF(INDEX('PROJETO PERFURAÇÃO'!$P:$P,MATCH(MEDIÇÃO!R943,'PROJETO PERFURAÇÃO'!$B:$B,0))="Production","P",IF(INDEX('PROJETO PERFURAÇÃO'!$P:$P,MATCH(MEDIÇÃO!R943,'PROJETO PERFURAÇÃO'!$B:$B,0))="Buffer","B",IF(INDEX('PROJETO PERFURAÇÃO'!$P:$P,MATCH(MEDIÇÃO!R943,'PROJETO PERFURAÇÃO'!$B:$B,0))="Pre-Splitting","S"))),"")</f>
        <v/>
      </c>
      <c r="R943" s="14">
        <f t="shared" si="92"/>
        <v>2125</v>
      </c>
      <c r="S943" s="4" t="str">
        <f>IFERROR(INDEX('LEV R&amp;D'!$D:$D,MATCH(MEDIÇÃO!R943,'LEV R&amp;D'!$A:$A,0))-INDEX('PROJETO PERFURAÇÃO'!$AH:$AH,MATCH(MEDIÇÃO!R943,'PROJETO PERFURAÇÃO'!$B:$B,0)),"")</f>
        <v/>
      </c>
      <c r="T943" s="8" t="str">
        <f>IFERROR(INDEX('PROJETO PERFURAÇÃO'!$AN:$AN,MATCH(MEDIÇÃO!R943,'PROJETO PERFURAÇÃO'!$B:$B,0)),"")</f>
        <v/>
      </c>
      <c r="U943" s="3"/>
      <c r="V943" s="3"/>
    </row>
    <row r="944" spans="1:23" ht="45" customHeight="1">
      <c r="B944" s="3" t="str">
        <f>IFERROR(ROUND(INDEX('PROJETO PERFURAÇÃO'!$AB:$AB,MATCH(MEDIÇÃO!D944,'PROJETO PERFURAÇÃO'!$B:$B,0)),1)&amp;"''","")</f>
        <v/>
      </c>
      <c r="C944" s="3" t="str">
        <f>IFERROR(IF(INDEX('PROJETO PERFURAÇÃO'!$P:$P,MATCH(MEDIÇÃO!D944,'PROJETO PERFURAÇÃO'!$B:$B,0))="Production","P",IF(INDEX('PROJETO PERFURAÇÃO'!$P:$P,MATCH(MEDIÇÃO!D944,'PROJETO PERFURAÇÃO'!$B:$B,0))="Buffer","B",IF(INDEX('PROJETO PERFURAÇÃO'!$P:$P,MATCH(MEDIÇÃO!D944,'PROJETO PERFURAÇÃO'!$B:$B,0))="Pre-Splitting","S"))),"")</f>
        <v/>
      </c>
      <c r="D944" s="14">
        <f t="shared" si="90"/>
        <v>2080</v>
      </c>
      <c r="E944" s="4" t="str">
        <f>IFERROR(INDEX('LEV R&amp;D'!$D:$D,MATCH(MEDIÇÃO!D944,'LEV R&amp;D'!$A:$A,0))-INDEX('PROJETO PERFURAÇÃO'!$AH:$AH,MATCH(MEDIÇÃO!D944,'PROJETO PERFURAÇÃO'!$B:$B,0)),"")</f>
        <v/>
      </c>
      <c r="F944" s="8" t="str">
        <f>IFERROR(INDEX('PROJETO PERFURAÇÃO'!$AN:$AN,MATCH(MEDIÇÃO!D944,'PROJETO PERFURAÇÃO'!$B:$B,0)),"")</f>
        <v/>
      </c>
      <c r="G944" s="3"/>
      <c r="H944" s="3"/>
      <c r="I944" s="3" t="str">
        <f>IFERROR(ROUND(INDEX('PROJETO PERFURAÇÃO'!$AB:$AB,MATCH(MEDIÇÃO!K944,'PROJETO PERFURAÇÃO'!$B:$B,0)),1)&amp;"''","")</f>
        <v/>
      </c>
      <c r="J944" s="3" t="str">
        <f>IFERROR(IF(INDEX('PROJETO PERFURAÇÃO'!$P:$P,MATCH(MEDIÇÃO!K944,'PROJETO PERFURAÇÃO'!$B:$B,0))="Production","P",IF(INDEX('PROJETO PERFURAÇÃO'!$P:$P,MATCH(MEDIÇÃO!K944,'PROJETO PERFURAÇÃO'!$B:$B,0))="Buffer","B",IF(INDEX('PROJETO PERFURAÇÃO'!$P:$P,MATCH(MEDIÇÃO!K944,'PROJETO PERFURAÇÃO'!$B:$B,0))="Pre-Splitting","S"))),"")</f>
        <v/>
      </c>
      <c r="K944" s="14">
        <f t="shared" si="91"/>
        <v>2103</v>
      </c>
      <c r="L944" s="4" t="str">
        <f>IFERROR(INDEX('LEV R&amp;D'!$D:$D,MATCH(MEDIÇÃO!K944,'LEV R&amp;D'!$A:$A,0))-INDEX('PROJETO PERFURAÇÃO'!$AH:$AH,MATCH(MEDIÇÃO!K944,'PROJETO PERFURAÇÃO'!$B:$B,0)),"")</f>
        <v/>
      </c>
      <c r="M944" s="8" t="str">
        <f>IFERROR(INDEX('PROJETO PERFURAÇÃO'!$AN:$AN,MATCH(MEDIÇÃO!K944,'PROJETO PERFURAÇÃO'!$B:$B,0)),"")</f>
        <v/>
      </c>
      <c r="N944" s="3"/>
      <c r="O944" s="3"/>
      <c r="P944" s="3" t="str">
        <f>IFERROR(ROUND(INDEX('PROJETO PERFURAÇÃO'!$AB:$AB,MATCH(MEDIÇÃO!R944,'PROJETO PERFURAÇÃO'!$B:$B,0)),1)&amp;"''","")</f>
        <v/>
      </c>
      <c r="Q944" s="3" t="str">
        <f>IFERROR(IF(INDEX('PROJETO PERFURAÇÃO'!$P:$P,MATCH(MEDIÇÃO!R944,'PROJETO PERFURAÇÃO'!$B:$B,0))="Production","P",IF(INDEX('PROJETO PERFURAÇÃO'!$P:$P,MATCH(MEDIÇÃO!R944,'PROJETO PERFURAÇÃO'!$B:$B,0))="Buffer","B",IF(INDEX('PROJETO PERFURAÇÃO'!$P:$P,MATCH(MEDIÇÃO!R944,'PROJETO PERFURAÇÃO'!$B:$B,0))="Pre-Splitting","S"))),"")</f>
        <v/>
      </c>
      <c r="R944" s="14">
        <f t="shared" si="92"/>
        <v>2126</v>
      </c>
      <c r="S944" s="4" t="str">
        <f>IFERROR(INDEX('LEV R&amp;D'!$D:$D,MATCH(MEDIÇÃO!R944,'LEV R&amp;D'!$A:$A,0))-INDEX('PROJETO PERFURAÇÃO'!$AH:$AH,MATCH(MEDIÇÃO!R944,'PROJETO PERFURAÇÃO'!$B:$B,0)),"")</f>
        <v/>
      </c>
      <c r="T944" s="8" t="str">
        <f>IFERROR(INDEX('PROJETO PERFURAÇÃO'!$AN:$AN,MATCH(MEDIÇÃO!R944,'PROJETO PERFURAÇÃO'!$B:$B,0)),"")</f>
        <v/>
      </c>
      <c r="U944" s="3"/>
      <c r="V944" s="3"/>
    </row>
    <row r="945" spans="2:22" ht="45" customHeight="1">
      <c r="B945" s="3" t="str">
        <f>IFERROR(ROUND(INDEX('PROJETO PERFURAÇÃO'!$AB:$AB,MATCH(MEDIÇÃO!D945,'PROJETO PERFURAÇÃO'!$B:$B,0)),1)&amp;"''","")</f>
        <v/>
      </c>
      <c r="C945" s="3" t="str">
        <f>IFERROR(IF(INDEX('PROJETO PERFURAÇÃO'!$P:$P,MATCH(MEDIÇÃO!D945,'PROJETO PERFURAÇÃO'!$B:$B,0))="Production","P",IF(INDEX('PROJETO PERFURAÇÃO'!$P:$P,MATCH(MEDIÇÃO!D945,'PROJETO PERFURAÇÃO'!$B:$B,0))="Buffer","B",IF(INDEX('PROJETO PERFURAÇÃO'!$P:$P,MATCH(MEDIÇÃO!D945,'PROJETO PERFURAÇÃO'!$B:$B,0))="Pre-Splitting","S"))),"")</f>
        <v/>
      </c>
      <c r="D945" s="14">
        <f t="shared" si="90"/>
        <v>2081</v>
      </c>
      <c r="E945" s="4" t="str">
        <f>IFERROR(INDEX('LEV R&amp;D'!$D:$D,MATCH(MEDIÇÃO!D945,'LEV R&amp;D'!$A:$A,0))-INDEX('PROJETO PERFURAÇÃO'!$AH:$AH,MATCH(MEDIÇÃO!D945,'PROJETO PERFURAÇÃO'!$B:$B,0)),"")</f>
        <v/>
      </c>
      <c r="F945" s="8" t="str">
        <f>IFERROR(INDEX('PROJETO PERFURAÇÃO'!$AN:$AN,MATCH(MEDIÇÃO!D945,'PROJETO PERFURAÇÃO'!$B:$B,0)),"")</f>
        <v/>
      </c>
      <c r="G945" s="3"/>
      <c r="H945" s="3"/>
      <c r="I945" s="3" t="str">
        <f>IFERROR(ROUND(INDEX('PROJETO PERFURAÇÃO'!$AB:$AB,MATCH(MEDIÇÃO!K945,'PROJETO PERFURAÇÃO'!$B:$B,0)),1)&amp;"''","")</f>
        <v/>
      </c>
      <c r="J945" s="3" t="str">
        <f>IFERROR(IF(INDEX('PROJETO PERFURAÇÃO'!$P:$P,MATCH(MEDIÇÃO!K945,'PROJETO PERFURAÇÃO'!$B:$B,0))="Production","P",IF(INDEX('PROJETO PERFURAÇÃO'!$P:$P,MATCH(MEDIÇÃO!K945,'PROJETO PERFURAÇÃO'!$B:$B,0))="Buffer","B",IF(INDEX('PROJETO PERFURAÇÃO'!$P:$P,MATCH(MEDIÇÃO!K945,'PROJETO PERFURAÇÃO'!$B:$B,0))="Pre-Splitting","S"))),"")</f>
        <v/>
      </c>
      <c r="K945" s="14">
        <f t="shared" si="91"/>
        <v>2104</v>
      </c>
      <c r="L945" s="4" t="str">
        <f>IFERROR(INDEX('LEV R&amp;D'!$D:$D,MATCH(MEDIÇÃO!K945,'LEV R&amp;D'!$A:$A,0))-INDEX('PROJETO PERFURAÇÃO'!$AH:$AH,MATCH(MEDIÇÃO!K945,'PROJETO PERFURAÇÃO'!$B:$B,0)),"")</f>
        <v/>
      </c>
      <c r="M945" s="8" t="str">
        <f>IFERROR(INDEX('PROJETO PERFURAÇÃO'!$AN:$AN,MATCH(MEDIÇÃO!K945,'PROJETO PERFURAÇÃO'!$B:$B,0)),"")</f>
        <v/>
      </c>
      <c r="N945" s="3"/>
      <c r="O945" s="3"/>
      <c r="P945" s="3" t="str">
        <f>IFERROR(ROUND(INDEX('PROJETO PERFURAÇÃO'!$AB:$AB,MATCH(MEDIÇÃO!R945,'PROJETO PERFURAÇÃO'!$B:$B,0)),1)&amp;"''","")</f>
        <v/>
      </c>
      <c r="Q945" s="3" t="str">
        <f>IFERROR(IF(INDEX('PROJETO PERFURAÇÃO'!$P:$P,MATCH(MEDIÇÃO!R945,'PROJETO PERFURAÇÃO'!$B:$B,0))="Production","P",IF(INDEX('PROJETO PERFURAÇÃO'!$P:$P,MATCH(MEDIÇÃO!R945,'PROJETO PERFURAÇÃO'!$B:$B,0))="Buffer","B",IF(INDEX('PROJETO PERFURAÇÃO'!$P:$P,MATCH(MEDIÇÃO!R945,'PROJETO PERFURAÇÃO'!$B:$B,0))="Pre-Splitting","S"))),"")</f>
        <v/>
      </c>
      <c r="R945" s="14">
        <f t="shared" si="92"/>
        <v>2127</v>
      </c>
      <c r="S945" s="4" t="str">
        <f>IFERROR(INDEX('LEV R&amp;D'!$D:$D,MATCH(MEDIÇÃO!R945,'LEV R&amp;D'!$A:$A,0))-INDEX('PROJETO PERFURAÇÃO'!$AH:$AH,MATCH(MEDIÇÃO!R945,'PROJETO PERFURAÇÃO'!$B:$B,0)),"")</f>
        <v/>
      </c>
      <c r="T945" s="8" t="str">
        <f>IFERROR(INDEX('PROJETO PERFURAÇÃO'!$AN:$AN,MATCH(MEDIÇÃO!R945,'PROJETO PERFURAÇÃO'!$B:$B,0)),"")</f>
        <v/>
      </c>
      <c r="U945" s="3"/>
      <c r="V945" s="3"/>
    </row>
    <row r="946" spans="2:22" ht="45" customHeight="1">
      <c r="B946" s="3" t="str">
        <f>IFERROR(ROUND(INDEX('PROJETO PERFURAÇÃO'!$AB:$AB,MATCH(MEDIÇÃO!D946,'PROJETO PERFURAÇÃO'!$B:$B,0)),1)&amp;"''","")</f>
        <v/>
      </c>
      <c r="C946" s="3" t="str">
        <f>IFERROR(IF(INDEX('PROJETO PERFURAÇÃO'!$P:$P,MATCH(MEDIÇÃO!D946,'PROJETO PERFURAÇÃO'!$B:$B,0))="Production","P",IF(INDEX('PROJETO PERFURAÇÃO'!$P:$P,MATCH(MEDIÇÃO!D946,'PROJETO PERFURAÇÃO'!$B:$B,0))="Buffer","B",IF(INDEX('PROJETO PERFURAÇÃO'!$P:$P,MATCH(MEDIÇÃO!D946,'PROJETO PERFURAÇÃO'!$B:$B,0))="Pre-Splitting","S"))),"")</f>
        <v/>
      </c>
      <c r="D946" s="14">
        <f t="shared" si="90"/>
        <v>2082</v>
      </c>
      <c r="E946" s="4" t="str">
        <f>IFERROR(INDEX('LEV R&amp;D'!$D:$D,MATCH(MEDIÇÃO!D946,'LEV R&amp;D'!$A:$A,0))-INDEX('PROJETO PERFURAÇÃO'!$AH:$AH,MATCH(MEDIÇÃO!D946,'PROJETO PERFURAÇÃO'!$B:$B,0)),"")</f>
        <v/>
      </c>
      <c r="F946" s="8" t="str">
        <f>IFERROR(INDEX('PROJETO PERFURAÇÃO'!$AN:$AN,MATCH(MEDIÇÃO!D946,'PROJETO PERFURAÇÃO'!$B:$B,0)),"")</f>
        <v/>
      </c>
      <c r="G946" s="3"/>
      <c r="H946" s="3"/>
      <c r="I946" s="3" t="str">
        <f>IFERROR(ROUND(INDEX('PROJETO PERFURAÇÃO'!$AB:$AB,MATCH(MEDIÇÃO!K946,'PROJETO PERFURAÇÃO'!$B:$B,0)),1)&amp;"''","")</f>
        <v/>
      </c>
      <c r="J946" s="3" t="str">
        <f>IFERROR(IF(INDEX('PROJETO PERFURAÇÃO'!$P:$P,MATCH(MEDIÇÃO!K946,'PROJETO PERFURAÇÃO'!$B:$B,0))="Production","P",IF(INDEX('PROJETO PERFURAÇÃO'!$P:$P,MATCH(MEDIÇÃO!K946,'PROJETO PERFURAÇÃO'!$B:$B,0))="Buffer","B",IF(INDEX('PROJETO PERFURAÇÃO'!$P:$P,MATCH(MEDIÇÃO!K946,'PROJETO PERFURAÇÃO'!$B:$B,0))="Pre-Splitting","S"))),"")</f>
        <v/>
      </c>
      <c r="K946" s="14">
        <f t="shared" si="91"/>
        <v>2105</v>
      </c>
      <c r="L946" s="4" t="str">
        <f>IFERROR(INDEX('LEV R&amp;D'!$D:$D,MATCH(MEDIÇÃO!K946,'LEV R&amp;D'!$A:$A,0))-INDEX('PROJETO PERFURAÇÃO'!$AH:$AH,MATCH(MEDIÇÃO!K946,'PROJETO PERFURAÇÃO'!$B:$B,0)),"")</f>
        <v/>
      </c>
      <c r="M946" s="8" t="str">
        <f>IFERROR(INDEX('PROJETO PERFURAÇÃO'!$AN:$AN,MATCH(MEDIÇÃO!K946,'PROJETO PERFURAÇÃO'!$B:$B,0)),"")</f>
        <v/>
      </c>
      <c r="N946" s="3"/>
      <c r="O946" s="3"/>
      <c r="P946" s="3" t="str">
        <f>IFERROR(ROUND(INDEX('PROJETO PERFURAÇÃO'!$AB:$AB,MATCH(MEDIÇÃO!R946,'PROJETO PERFURAÇÃO'!$B:$B,0)),1)&amp;"''","")</f>
        <v/>
      </c>
      <c r="Q946" s="3" t="str">
        <f>IFERROR(IF(INDEX('PROJETO PERFURAÇÃO'!$P:$P,MATCH(MEDIÇÃO!R946,'PROJETO PERFURAÇÃO'!$B:$B,0))="Production","P",IF(INDEX('PROJETO PERFURAÇÃO'!$P:$P,MATCH(MEDIÇÃO!R946,'PROJETO PERFURAÇÃO'!$B:$B,0))="Buffer","B",IF(INDEX('PROJETO PERFURAÇÃO'!$P:$P,MATCH(MEDIÇÃO!R946,'PROJETO PERFURAÇÃO'!$B:$B,0))="Pre-Splitting","S"))),"")</f>
        <v/>
      </c>
      <c r="R946" s="14">
        <f t="shared" si="92"/>
        <v>2128</v>
      </c>
      <c r="S946" s="4" t="str">
        <f>IFERROR(INDEX('LEV R&amp;D'!$D:$D,MATCH(MEDIÇÃO!R946,'LEV R&amp;D'!$A:$A,0))-INDEX('PROJETO PERFURAÇÃO'!$AH:$AH,MATCH(MEDIÇÃO!R946,'PROJETO PERFURAÇÃO'!$B:$B,0)),"")</f>
        <v/>
      </c>
      <c r="T946" s="8" t="str">
        <f>IFERROR(INDEX('PROJETO PERFURAÇÃO'!$AN:$AN,MATCH(MEDIÇÃO!R946,'PROJETO PERFURAÇÃO'!$B:$B,0)),"")</f>
        <v/>
      </c>
      <c r="U946" s="3"/>
      <c r="V946" s="3"/>
    </row>
    <row r="947" spans="2:22" ht="45" customHeight="1">
      <c r="B947" s="3" t="str">
        <f>IFERROR(ROUND(INDEX('PROJETO PERFURAÇÃO'!$AB:$AB,MATCH(MEDIÇÃO!D947,'PROJETO PERFURAÇÃO'!$B:$B,0)),1)&amp;"''","")</f>
        <v/>
      </c>
      <c r="C947" s="3" t="str">
        <f>IFERROR(IF(INDEX('PROJETO PERFURAÇÃO'!$P:$P,MATCH(MEDIÇÃO!D947,'PROJETO PERFURAÇÃO'!$B:$B,0))="Production","P",IF(INDEX('PROJETO PERFURAÇÃO'!$P:$P,MATCH(MEDIÇÃO!D947,'PROJETO PERFURAÇÃO'!$B:$B,0))="Buffer","B",IF(INDEX('PROJETO PERFURAÇÃO'!$P:$P,MATCH(MEDIÇÃO!D947,'PROJETO PERFURAÇÃO'!$B:$B,0))="Pre-Splitting","S"))),"")</f>
        <v/>
      </c>
      <c r="D947" s="14">
        <f t="shared" si="90"/>
        <v>2083</v>
      </c>
      <c r="E947" s="4" t="str">
        <f>IFERROR(INDEX('LEV R&amp;D'!$D:$D,MATCH(MEDIÇÃO!D947,'LEV R&amp;D'!$A:$A,0))-INDEX('PROJETO PERFURAÇÃO'!$AH:$AH,MATCH(MEDIÇÃO!D947,'PROJETO PERFURAÇÃO'!$B:$B,0)),"")</f>
        <v/>
      </c>
      <c r="F947" s="8" t="str">
        <f>IFERROR(INDEX('PROJETO PERFURAÇÃO'!$AN:$AN,MATCH(MEDIÇÃO!D947,'PROJETO PERFURAÇÃO'!$B:$B,0)),"")</f>
        <v/>
      </c>
      <c r="G947" s="3"/>
      <c r="H947" s="3"/>
      <c r="I947" s="3" t="str">
        <f>IFERROR(ROUND(INDEX('PROJETO PERFURAÇÃO'!$AB:$AB,MATCH(MEDIÇÃO!K947,'PROJETO PERFURAÇÃO'!$B:$B,0)),1)&amp;"''","")</f>
        <v/>
      </c>
      <c r="J947" s="3" t="str">
        <f>IFERROR(IF(INDEX('PROJETO PERFURAÇÃO'!$P:$P,MATCH(MEDIÇÃO!K947,'PROJETO PERFURAÇÃO'!$B:$B,0))="Production","P",IF(INDEX('PROJETO PERFURAÇÃO'!$P:$P,MATCH(MEDIÇÃO!K947,'PROJETO PERFURAÇÃO'!$B:$B,0))="Buffer","B",IF(INDEX('PROJETO PERFURAÇÃO'!$P:$P,MATCH(MEDIÇÃO!K947,'PROJETO PERFURAÇÃO'!$B:$B,0))="Pre-Splitting","S"))),"")</f>
        <v/>
      </c>
      <c r="K947" s="14">
        <f t="shared" si="91"/>
        <v>2106</v>
      </c>
      <c r="L947" s="4" t="str">
        <f>IFERROR(INDEX('LEV R&amp;D'!$D:$D,MATCH(MEDIÇÃO!K947,'LEV R&amp;D'!$A:$A,0))-INDEX('PROJETO PERFURAÇÃO'!$AH:$AH,MATCH(MEDIÇÃO!K947,'PROJETO PERFURAÇÃO'!$B:$B,0)),"")</f>
        <v/>
      </c>
      <c r="M947" s="8" t="str">
        <f>IFERROR(INDEX('PROJETO PERFURAÇÃO'!$AN:$AN,MATCH(MEDIÇÃO!K947,'PROJETO PERFURAÇÃO'!$B:$B,0)),"")</f>
        <v/>
      </c>
      <c r="N947" s="3"/>
      <c r="O947" s="3"/>
      <c r="P947" s="3" t="str">
        <f>IFERROR(ROUND(INDEX('PROJETO PERFURAÇÃO'!$AB:$AB,MATCH(MEDIÇÃO!R947,'PROJETO PERFURAÇÃO'!$B:$B,0)),1)&amp;"''","")</f>
        <v/>
      </c>
      <c r="Q947" s="3" t="str">
        <f>IFERROR(IF(INDEX('PROJETO PERFURAÇÃO'!$P:$P,MATCH(MEDIÇÃO!R947,'PROJETO PERFURAÇÃO'!$B:$B,0))="Production","P",IF(INDEX('PROJETO PERFURAÇÃO'!$P:$P,MATCH(MEDIÇÃO!R947,'PROJETO PERFURAÇÃO'!$B:$B,0))="Buffer","B",IF(INDEX('PROJETO PERFURAÇÃO'!$P:$P,MATCH(MEDIÇÃO!R947,'PROJETO PERFURAÇÃO'!$B:$B,0))="Pre-Splitting","S"))),"")</f>
        <v/>
      </c>
      <c r="R947" s="14">
        <f t="shared" si="92"/>
        <v>2129</v>
      </c>
      <c r="S947" s="4" t="str">
        <f>IFERROR(INDEX('LEV R&amp;D'!$D:$D,MATCH(MEDIÇÃO!R947,'LEV R&amp;D'!$A:$A,0))-INDEX('PROJETO PERFURAÇÃO'!$AH:$AH,MATCH(MEDIÇÃO!R947,'PROJETO PERFURAÇÃO'!$B:$B,0)),"")</f>
        <v/>
      </c>
      <c r="T947" s="8" t="str">
        <f>IFERROR(INDEX('PROJETO PERFURAÇÃO'!$AN:$AN,MATCH(MEDIÇÃO!R947,'PROJETO PERFURAÇÃO'!$B:$B,0)),"")</f>
        <v/>
      </c>
      <c r="U947" s="3"/>
      <c r="V947" s="3"/>
    </row>
    <row r="948" spans="2:22" ht="45" customHeight="1">
      <c r="B948" s="3" t="str">
        <f>IFERROR(ROUND(INDEX('PROJETO PERFURAÇÃO'!$AB:$AB,MATCH(MEDIÇÃO!D948,'PROJETO PERFURAÇÃO'!$B:$B,0)),1)&amp;"''","")</f>
        <v/>
      </c>
      <c r="C948" s="3" t="str">
        <f>IFERROR(IF(INDEX('PROJETO PERFURAÇÃO'!$P:$P,MATCH(MEDIÇÃO!D948,'PROJETO PERFURAÇÃO'!$B:$B,0))="Production","P",IF(INDEX('PROJETO PERFURAÇÃO'!$P:$P,MATCH(MEDIÇÃO!D948,'PROJETO PERFURAÇÃO'!$B:$B,0))="Buffer","B",IF(INDEX('PROJETO PERFURAÇÃO'!$P:$P,MATCH(MEDIÇÃO!D948,'PROJETO PERFURAÇÃO'!$B:$B,0))="Pre-Splitting","S"))),"")</f>
        <v/>
      </c>
      <c r="D948" s="14">
        <f t="shared" si="90"/>
        <v>2084</v>
      </c>
      <c r="E948" s="4" t="str">
        <f>IFERROR(INDEX('LEV R&amp;D'!$D:$D,MATCH(MEDIÇÃO!D948,'LEV R&amp;D'!$A:$A,0))-INDEX('PROJETO PERFURAÇÃO'!$AH:$AH,MATCH(MEDIÇÃO!D948,'PROJETO PERFURAÇÃO'!$B:$B,0)),"")</f>
        <v/>
      </c>
      <c r="F948" s="8" t="str">
        <f>IFERROR(INDEX('PROJETO PERFURAÇÃO'!$AN:$AN,MATCH(MEDIÇÃO!D948,'PROJETO PERFURAÇÃO'!$B:$B,0)),"")</f>
        <v/>
      </c>
      <c r="G948" s="3"/>
      <c r="H948" s="3"/>
      <c r="I948" s="3" t="str">
        <f>IFERROR(ROUND(INDEX('PROJETO PERFURAÇÃO'!$AB:$AB,MATCH(MEDIÇÃO!K948,'PROJETO PERFURAÇÃO'!$B:$B,0)),1)&amp;"''","")</f>
        <v/>
      </c>
      <c r="J948" s="3" t="str">
        <f>IFERROR(IF(INDEX('PROJETO PERFURAÇÃO'!$P:$P,MATCH(MEDIÇÃO!K948,'PROJETO PERFURAÇÃO'!$B:$B,0))="Production","P",IF(INDEX('PROJETO PERFURAÇÃO'!$P:$P,MATCH(MEDIÇÃO!K948,'PROJETO PERFURAÇÃO'!$B:$B,0))="Buffer","B",IF(INDEX('PROJETO PERFURAÇÃO'!$P:$P,MATCH(MEDIÇÃO!K948,'PROJETO PERFURAÇÃO'!$B:$B,0))="Pre-Splitting","S"))),"")</f>
        <v/>
      </c>
      <c r="K948" s="14">
        <f t="shared" si="91"/>
        <v>2107</v>
      </c>
      <c r="L948" s="4" t="str">
        <f>IFERROR(INDEX('LEV R&amp;D'!$D:$D,MATCH(MEDIÇÃO!K948,'LEV R&amp;D'!$A:$A,0))-INDEX('PROJETO PERFURAÇÃO'!$AH:$AH,MATCH(MEDIÇÃO!K948,'PROJETO PERFURAÇÃO'!$B:$B,0)),"")</f>
        <v/>
      </c>
      <c r="M948" s="8" t="str">
        <f>IFERROR(INDEX('PROJETO PERFURAÇÃO'!$AN:$AN,MATCH(MEDIÇÃO!K948,'PROJETO PERFURAÇÃO'!$B:$B,0)),"")</f>
        <v/>
      </c>
      <c r="N948" s="3"/>
      <c r="O948" s="3"/>
      <c r="P948" s="3" t="str">
        <f>IFERROR(ROUND(INDEX('PROJETO PERFURAÇÃO'!$AB:$AB,MATCH(MEDIÇÃO!R948,'PROJETO PERFURAÇÃO'!$B:$B,0)),1)&amp;"''","")</f>
        <v/>
      </c>
      <c r="Q948" s="3" t="str">
        <f>IFERROR(IF(INDEX('PROJETO PERFURAÇÃO'!$P:$P,MATCH(MEDIÇÃO!R948,'PROJETO PERFURAÇÃO'!$B:$B,0))="Production","P",IF(INDEX('PROJETO PERFURAÇÃO'!$P:$P,MATCH(MEDIÇÃO!R948,'PROJETO PERFURAÇÃO'!$B:$B,0))="Buffer","B",IF(INDEX('PROJETO PERFURAÇÃO'!$P:$P,MATCH(MEDIÇÃO!R948,'PROJETO PERFURAÇÃO'!$B:$B,0))="Pre-Splitting","S"))),"")</f>
        <v/>
      </c>
      <c r="R948" s="14">
        <f t="shared" si="92"/>
        <v>2130</v>
      </c>
      <c r="S948" s="4" t="str">
        <f>IFERROR(INDEX('LEV R&amp;D'!$D:$D,MATCH(MEDIÇÃO!R948,'LEV R&amp;D'!$A:$A,0))-INDEX('PROJETO PERFURAÇÃO'!$AH:$AH,MATCH(MEDIÇÃO!R948,'PROJETO PERFURAÇÃO'!$B:$B,0)),"")</f>
        <v/>
      </c>
      <c r="T948" s="8" t="str">
        <f>IFERROR(INDEX('PROJETO PERFURAÇÃO'!$AN:$AN,MATCH(MEDIÇÃO!R948,'PROJETO PERFURAÇÃO'!$B:$B,0)),"")</f>
        <v/>
      </c>
      <c r="U948" s="3"/>
      <c r="V948" s="3"/>
    </row>
    <row r="949" spans="2:22" ht="45" customHeight="1">
      <c r="B949" s="3" t="str">
        <f>IFERROR(ROUND(INDEX('PROJETO PERFURAÇÃO'!$AB:$AB,MATCH(MEDIÇÃO!D949,'PROJETO PERFURAÇÃO'!$B:$B,0)),1)&amp;"''","")</f>
        <v/>
      </c>
      <c r="C949" s="3" t="str">
        <f>IFERROR(IF(INDEX('PROJETO PERFURAÇÃO'!$P:$P,MATCH(MEDIÇÃO!D949,'PROJETO PERFURAÇÃO'!$B:$B,0))="Production","P",IF(INDEX('PROJETO PERFURAÇÃO'!$P:$P,MATCH(MEDIÇÃO!D949,'PROJETO PERFURAÇÃO'!$B:$B,0))="Buffer","B",IF(INDEX('PROJETO PERFURAÇÃO'!$P:$P,MATCH(MEDIÇÃO!D949,'PROJETO PERFURAÇÃO'!$B:$B,0))="Pre-Splitting","S"))),"")</f>
        <v/>
      </c>
      <c r="D949" s="14">
        <f t="shared" si="90"/>
        <v>2085</v>
      </c>
      <c r="E949" s="4" t="str">
        <f>IFERROR(INDEX('LEV R&amp;D'!$D:$D,MATCH(MEDIÇÃO!D949,'LEV R&amp;D'!$A:$A,0))-INDEX('PROJETO PERFURAÇÃO'!$AH:$AH,MATCH(MEDIÇÃO!D949,'PROJETO PERFURAÇÃO'!$B:$B,0)),"")</f>
        <v/>
      </c>
      <c r="F949" s="8" t="str">
        <f>IFERROR(INDEX('PROJETO PERFURAÇÃO'!$AN:$AN,MATCH(MEDIÇÃO!D949,'PROJETO PERFURAÇÃO'!$B:$B,0)),"")</f>
        <v/>
      </c>
      <c r="G949" s="3"/>
      <c r="H949" s="3"/>
      <c r="I949" s="3" t="str">
        <f>IFERROR(ROUND(INDEX('PROJETO PERFURAÇÃO'!$AB:$AB,MATCH(MEDIÇÃO!K949,'PROJETO PERFURAÇÃO'!$B:$B,0)),1)&amp;"''","")</f>
        <v/>
      </c>
      <c r="J949" s="3" t="str">
        <f>IFERROR(IF(INDEX('PROJETO PERFURAÇÃO'!$P:$P,MATCH(MEDIÇÃO!K949,'PROJETO PERFURAÇÃO'!$B:$B,0))="Production","P",IF(INDEX('PROJETO PERFURAÇÃO'!$P:$P,MATCH(MEDIÇÃO!K949,'PROJETO PERFURAÇÃO'!$B:$B,0))="Buffer","B",IF(INDEX('PROJETO PERFURAÇÃO'!$P:$P,MATCH(MEDIÇÃO!K949,'PROJETO PERFURAÇÃO'!$B:$B,0))="Pre-Splitting","S"))),"")</f>
        <v/>
      </c>
      <c r="K949" s="14">
        <f t="shared" si="91"/>
        <v>2108</v>
      </c>
      <c r="L949" s="4" t="str">
        <f>IFERROR(INDEX('LEV R&amp;D'!$D:$D,MATCH(MEDIÇÃO!K949,'LEV R&amp;D'!$A:$A,0))-INDEX('PROJETO PERFURAÇÃO'!$AH:$AH,MATCH(MEDIÇÃO!K949,'PROJETO PERFURAÇÃO'!$B:$B,0)),"")</f>
        <v/>
      </c>
      <c r="M949" s="8" t="str">
        <f>IFERROR(INDEX('PROJETO PERFURAÇÃO'!$AN:$AN,MATCH(MEDIÇÃO!K949,'PROJETO PERFURAÇÃO'!$B:$B,0)),"")</f>
        <v/>
      </c>
      <c r="N949" s="3"/>
      <c r="O949" s="3"/>
      <c r="P949" s="3" t="str">
        <f>IFERROR(ROUND(INDEX('PROJETO PERFURAÇÃO'!$AB:$AB,MATCH(MEDIÇÃO!R949,'PROJETO PERFURAÇÃO'!$B:$B,0)),1)&amp;"''","")</f>
        <v/>
      </c>
      <c r="Q949" s="3" t="str">
        <f>IFERROR(IF(INDEX('PROJETO PERFURAÇÃO'!$P:$P,MATCH(MEDIÇÃO!R949,'PROJETO PERFURAÇÃO'!$B:$B,0))="Production","P",IF(INDEX('PROJETO PERFURAÇÃO'!$P:$P,MATCH(MEDIÇÃO!R949,'PROJETO PERFURAÇÃO'!$B:$B,0))="Buffer","B",IF(INDEX('PROJETO PERFURAÇÃO'!$P:$P,MATCH(MEDIÇÃO!R949,'PROJETO PERFURAÇÃO'!$B:$B,0))="Pre-Splitting","S"))),"")</f>
        <v/>
      </c>
      <c r="R949" s="14">
        <f t="shared" si="92"/>
        <v>2131</v>
      </c>
      <c r="S949" s="4" t="str">
        <f>IFERROR(INDEX('LEV R&amp;D'!$D:$D,MATCH(MEDIÇÃO!R949,'LEV R&amp;D'!$A:$A,0))-INDEX('PROJETO PERFURAÇÃO'!$AH:$AH,MATCH(MEDIÇÃO!R949,'PROJETO PERFURAÇÃO'!$B:$B,0)),"")</f>
        <v/>
      </c>
      <c r="T949" s="8" t="str">
        <f>IFERROR(INDEX('PROJETO PERFURAÇÃO'!$AN:$AN,MATCH(MEDIÇÃO!R949,'PROJETO PERFURAÇÃO'!$B:$B,0)),"")</f>
        <v/>
      </c>
      <c r="U949" s="3"/>
      <c r="V949" s="3"/>
    </row>
    <row r="950" spans="2:22" ht="45" customHeight="1">
      <c r="B950" s="3" t="str">
        <f>IFERROR(ROUND(INDEX('PROJETO PERFURAÇÃO'!$AB:$AB,MATCH(MEDIÇÃO!D950,'PROJETO PERFURAÇÃO'!$B:$B,0)),1)&amp;"''","")</f>
        <v/>
      </c>
      <c r="C950" s="3" t="str">
        <f>IFERROR(IF(INDEX('PROJETO PERFURAÇÃO'!$P:$P,MATCH(MEDIÇÃO!D950,'PROJETO PERFURAÇÃO'!$B:$B,0))="Production","P",IF(INDEX('PROJETO PERFURAÇÃO'!$P:$P,MATCH(MEDIÇÃO!D950,'PROJETO PERFURAÇÃO'!$B:$B,0))="Buffer","B",IF(INDEX('PROJETO PERFURAÇÃO'!$P:$P,MATCH(MEDIÇÃO!D950,'PROJETO PERFURAÇÃO'!$B:$B,0))="Pre-Splitting","S"))),"")</f>
        <v/>
      </c>
      <c r="D950" s="14">
        <f t="shared" si="90"/>
        <v>2086</v>
      </c>
      <c r="E950" s="4" t="str">
        <f>IFERROR(INDEX('LEV R&amp;D'!$D:$D,MATCH(MEDIÇÃO!D950,'LEV R&amp;D'!$A:$A,0))-INDEX('PROJETO PERFURAÇÃO'!$AH:$AH,MATCH(MEDIÇÃO!D950,'PROJETO PERFURAÇÃO'!$B:$B,0)),"")</f>
        <v/>
      </c>
      <c r="F950" s="8" t="str">
        <f>IFERROR(INDEX('PROJETO PERFURAÇÃO'!$AN:$AN,MATCH(MEDIÇÃO!D950,'PROJETO PERFURAÇÃO'!$B:$B,0)),"")</f>
        <v/>
      </c>
      <c r="G950" s="3"/>
      <c r="H950" s="3"/>
      <c r="I950" s="3" t="str">
        <f>IFERROR(ROUND(INDEX('PROJETO PERFURAÇÃO'!$AB:$AB,MATCH(MEDIÇÃO!K950,'PROJETO PERFURAÇÃO'!$B:$B,0)),1)&amp;"''","")</f>
        <v/>
      </c>
      <c r="J950" s="3" t="str">
        <f>IFERROR(IF(INDEX('PROJETO PERFURAÇÃO'!$P:$P,MATCH(MEDIÇÃO!K950,'PROJETO PERFURAÇÃO'!$B:$B,0))="Production","P",IF(INDEX('PROJETO PERFURAÇÃO'!$P:$P,MATCH(MEDIÇÃO!K950,'PROJETO PERFURAÇÃO'!$B:$B,0))="Buffer","B",IF(INDEX('PROJETO PERFURAÇÃO'!$P:$P,MATCH(MEDIÇÃO!K950,'PROJETO PERFURAÇÃO'!$B:$B,0))="Pre-Splitting","S"))),"")</f>
        <v/>
      </c>
      <c r="K950" s="14">
        <f t="shared" si="91"/>
        <v>2109</v>
      </c>
      <c r="L950" s="4" t="str">
        <f>IFERROR(INDEX('LEV R&amp;D'!$D:$D,MATCH(MEDIÇÃO!K950,'LEV R&amp;D'!$A:$A,0))-INDEX('PROJETO PERFURAÇÃO'!$AH:$AH,MATCH(MEDIÇÃO!K950,'PROJETO PERFURAÇÃO'!$B:$B,0)),"")</f>
        <v/>
      </c>
      <c r="M950" s="8" t="str">
        <f>IFERROR(INDEX('PROJETO PERFURAÇÃO'!$AN:$AN,MATCH(MEDIÇÃO!K950,'PROJETO PERFURAÇÃO'!$B:$B,0)),"")</f>
        <v/>
      </c>
      <c r="N950" s="3"/>
      <c r="O950" s="3"/>
      <c r="P950" s="3" t="str">
        <f>IFERROR(ROUND(INDEX('PROJETO PERFURAÇÃO'!$AB:$AB,MATCH(MEDIÇÃO!R950,'PROJETO PERFURAÇÃO'!$B:$B,0)),1)&amp;"''","")</f>
        <v/>
      </c>
      <c r="Q950" s="3" t="str">
        <f>IFERROR(IF(INDEX('PROJETO PERFURAÇÃO'!$P:$P,MATCH(MEDIÇÃO!R950,'PROJETO PERFURAÇÃO'!$B:$B,0))="Production","P",IF(INDEX('PROJETO PERFURAÇÃO'!$P:$P,MATCH(MEDIÇÃO!R950,'PROJETO PERFURAÇÃO'!$B:$B,0))="Buffer","B",IF(INDEX('PROJETO PERFURAÇÃO'!$P:$P,MATCH(MEDIÇÃO!R950,'PROJETO PERFURAÇÃO'!$B:$B,0))="Pre-Splitting","S"))),"")</f>
        <v/>
      </c>
      <c r="R950" s="14">
        <f t="shared" si="92"/>
        <v>2132</v>
      </c>
      <c r="S950" s="4" t="str">
        <f>IFERROR(INDEX('LEV R&amp;D'!$D:$D,MATCH(MEDIÇÃO!R950,'LEV R&amp;D'!$A:$A,0))-INDEX('PROJETO PERFURAÇÃO'!$AH:$AH,MATCH(MEDIÇÃO!R950,'PROJETO PERFURAÇÃO'!$B:$B,0)),"")</f>
        <v/>
      </c>
      <c r="T950" s="8" t="str">
        <f>IFERROR(INDEX('PROJETO PERFURAÇÃO'!$AN:$AN,MATCH(MEDIÇÃO!R950,'PROJETO PERFURAÇÃO'!$B:$B,0)),"")</f>
        <v/>
      </c>
      <c r="U950" s="3"/>
      <c r="V950" s="3"/>
    </row>
    <row r="951" spans="2:22" ht="45" customHeight="1">
      <c r="B951" s="3" t="str">
        <f>IFERROR(ROUND(INDEX('PROJETO PERFURAÇÃO'!$AB:$AB,MATCH(MEDIÇÃO!D951,'PROJETO PERFURAÇÃO'!$B:$B,0)),1)&amp;"''","")</f>
        <v/>
      </c>
      <c r="C951" s="3" t="str">
        <f>IFERROR(IF(INDEX('PROJETO PERFURAÇÃO'!$P:$P,MATCH(MEDIÇÃO!D951,'PROJETO PERFURAÇÃO'!$B:$B,0))="Production","P",IF(INDEX('PROJETO PERFURAÇÃO'!$P:$P,MATCH(MEDIÇÃO!D951,'PROJETO PERFURAÇÃO'!$B:$B,0))="Buffer","B",IF(INDEX('PROJETO PERFURAÇÃO'!$P:$P,MATCH(MEDIÇÃO!D951,'PROJETO PERFURAÇÃO'!$B:$B,0))="Pre-Splitting","S"))),"")</f>
        <v/>
      </c>
      <c r="D951" s="14">
        <f t="shared" si="90"/>
        <v>2087</v>
      </c>
      <c r="E951" s="4" t="str">
        <f>IFERROR(INDEX('LEV R&amp;D'!$D:$D,MATCH(MEDIÇÃO!D951,'LEV R&amp;D'!$A:$A,0))-INDEX('PROJETO PERFURAÇÃO'!$AH:$AH,MATCH(MEDIÇÃO!D951,'PROJETO PERFURAÇÃO'!$B:$B,0)),"")</f>
        <v/>
      </c>
      <c r="F951" s="8" t="str">
        <f>IFERROR(INDEX('PROJETO PERFURAÇÃO'!$AN:$AN,MATCH(MEDIÇÃO!D951,'PROJETO PERFURAÇÃO'!$B:$B,0)),"")</f>
        <v/>
      </c>
      <c r="G951" s="3"/>
      <c r="H951" s="3"/>
      <c r="I951" s="3" t="str">
        <f>IFERROR(ROUND(INDEX('PROJETO PERFURAÇÃO'!$AB:$AB,MATCH(MEDIÇÃO!K951,'PROJETO PERFURAÇÃO'!$B:$B,0)),1)&amp;"''","")</f>
        <v/>
      </c>
      <c r="J951" s="3" t="str">
        <f>IFERROR(IF(INDEX('PROJETO PERFURAÇÃO'!$P:$P,MATCH(MEDIÇÃO!K951,'PROJETO PERFURAÇÃO'!$B:$B,0))="Production","P",IF(INDEX('PROJETO PERFURAÇÃO'!$P:$P,MATCH(MEDIÇÃO!K951,'PROJETO PERFURAÇÃO'!$B:$B,0))="Buffer","B",IF(INDEX('PROJETO PERFURAÇÃO'!$P:$P,MATCH(MEDIÇÃO!K951,'PROJETO PERFURAÇÃO'!$B:$B,0))="Pre-Splitting","S"))),"")</f>
        <v/>
      </c>
      <c r="K951" s="14">
        <f t="shared" si="91"/>
        <v>2110</v>
      </c>
      <c r="L951" s="4" t="str">
        <f>IFERROR(INDEX('LEV R&amp;D'!$D:$D,MATCH(MEDIÇÃO!K951,'LEV R&amp;D'!$A:$A,0))-INDEX('PROJETO PERFURAÇÃO'!$AH:$AH,MATCH(MEDIÇÃO!K951,'PROJETO PERFURAÇÃO'!$B:$B,0)),"")</f>
        <v/>
      </c>
      <c r="M951" s="8" t="str">
        <f>IFERROR(INDEX('PROJETO PERFURAÇÃO'!$AN:$AN,MATCH(MEDIÇÃO!K951,'PROJETO PERFURAÇÃO'!$B:$B,0)),"")</f>
        <v/>
      </c>
      <c r="N951" s="3"/>
      <c r="O951" s="3"/>
      <c r="P951" s="3" t="str">
        <f>IFERROR(ROUND(INDEX('PROJETO PERFURAÇÃO'!$AB:$AB,MATCH(MEDIÇÃO!R951,'PROJETO PERFURAÇÃO'!$B:$B,0)),1)&amp;"''","")</f>
        <v/>
      </c>
      <c r="Q951" s="3" t="str">
        <f>IFERROR(IF(INDEX('PROJETO PERFURAÇÃO'!$P:$P,MATCH(MEDIÇÃO!R951,'PROJETO PERFURAÇÃO'!$B:$B,0))="Production","P",IF(INDEX('PROJETO PERFURAÇÃO'!$P:$P,MATCH(MEDIÇÃO!R951,'PROJETO PERFURAÇÃO'!$B:$B,0))="Buffer","B",IF(INDEX('PROJETO PERFURAÇÃO'!$P:$P,MATCH(MEDIÇÃO!R951,'PROJETO PERFURAÇÃO'!$B:$B,0))="Pre-Splitting","S"))),"")</f>
        <v/>
      </c>
      <c r="R951" s="14">
        <f t="shared" si="92"/>
        <v>2133</v>
      </c>
      <c r="S951" s="4" t="str">
        <f>IFERROR(INDEX('LEV R&amp;D'!$D:$D,MATCH(MEDIÇÃO!R951,'LEV R&amp;D'!$A:$A,0))-INDEX('PROJETO PERFURAÇÃO'!$AH:$AH,MATCH(MEDIÇÃO!R951,'PROJETO PERFURAÇÃO'!$B:$B,0)),"")</f>
        <v/>
      </c>
      <c r="T951" s="8" t="str">
        <f>IFERROR(INDEX('PROJETO PERFURAÇÃO'!$AN:$AN,MATCH(MEDIÇÃO!R951,'PROJETO PERFURAÇÃO'!$B:$B,0)),"")</f>
        <v/>
      </c>
      <c r="U951" s="3"/>
      <c r="V951" s="3"/>
    </row>
    <row r="952" spans="2:22" ht="45" customHeight="1">
      <c r="B952" s="3" t="str">
        <f>IFERROR(ROUND(INDEX('PROJETO PERFURAÇÃO'!$AB:$AB,MATCH(MEDIÇÃO!D952,'PROJETO PERFURAÇÃO'!$B:$B,0)),1)&amp;"''","")</f>
        <v/>
      </c>
      <c r="C952" s="3" t="str">
        <f>IFERROR(IF(INDEX('PROJETO PERFURAÇÃO'!$P:$P,MATCH(MEDIÇÃO!D952,'PROJETO PERFURAÇÃO'!$B:$B,0))="Production","P",IF(INDEX('PROJETO PERFURAÇÃO'!$P:$P,MATCH(MEDIÇÃO!D952,'PROJETO PERFURAÇÃO'!$B:$B,0))="Buffer","B",IF(INDEX('PROJETO PERFURAÇÃO'!$P:$P,MATCH(MEDIÇÃO!D952,'PROJETO PERFURAÇÃO'!$B:$B,0))="Pre-Splitting","S"))),"")</f>
        <v/>
      </c>
      <c r="D952" s="14">
        <f t="shared" si="90"/>
        <v>2088</v>
      </c>
      <c r="E952" s="4" t="str">
        <f>IFERROR(INDEX('LEV R&amp;D'!$D:$D,MATCH(MEDIÇÃO!D952,'LEV R&amp;D'!$A:$A,0))-INDEX('PROJETO PERFURAÇÃO'!$AH:$AH,MATCH(MEDIÇÃO!D952,'PROJETO PERFURAÇÃO'!$B:$B,0)),"")</f>
        <v/>
      </c>
      <c r="F952" s="8" t="str">
        <f>IFERROR(INDEX('PROJETO PERFURAÇÃO'!$AN:$AN,MATCH(MEDIÇÃO!D952,'PROJETO PERFURAÇÃO'!$B:$B,0)),"")</f>
        <v/>
      </c>
      <c r="G952" s="3"/>
      <c r="H952" s="3"/>
      <c r="I952" s="3" t="str">
        <f>IFERROR(ROUND(INDEX('PROJETO PERFURAÇÃO'!$AB:$AB,MATCH(MEDIÇÃO!K952,'PROJETO PERFURAÇÃO'!$B:$B,0)),1)&amp;"''","")</f>
        <v/>
      </c>
      <c r="J952" s="3" t="str">
        <f>IFERROR(IF(INDEX('PROJETO PERFURAÇÃO'!$P:$P,MATCH(MEDIÇÃO!K952,'PROJETO PERFURAÇÃO'!$B:$B,0))="Production","P",IF(INDEX('PROJETO PERFURAÇÃO'!$P:$P,MATCH(MEDIÇÃO!K952,'PROJETO PERFURAÇÃO'!$B:$B,0))="Buffer","B",IF(INDEX('PROJETO PERFURAÇÃO'!$P:$P,MATCH(MEDIÇÃO!K952,'PROJETO PERFURAÇÃO'!$B:$B,0))="Pre-Splitting","S"))),"")</f>
        <v/>
      </c>
      <c r="K952" s="14">
        <f t="shared" si="91"/>
        <v>2111</v>
      </c>
      <c r="L952" s="4" t="str">
        <f>IFERROR(INDEX('LEV R&amp;D'!$D:$D,MATCH(MEDIÇÃO!K952,'LEV R&amp;D'!$A:$A,0))-INDEX('PROJETO PERFURAÇÃO'!$AH:$AH,MATCH(MEDIÇÃO!K952,'PROJETO PERFURAÇÃO'!$B:$B,0)),"")</f>
        <v/>
      </c>
      <c r="M952" s="8" t="str">
        <f>IFERROR(INDEX('PROJETO PERFURAÇÃO'!$AN:$AN,MATCH(MEDIÇÃO!K952,'PROJETO PERFURAÇÃO'!$B:$B,0)),"")</f>
        <v/>
      </c>
      <c r="N952" s="3"/>
      <c r="O952" s="3"/>
      <c r="P952" s="3" t="str">
        <f>IFERROR(ROUND(INDEX('PROJETO PERFURAÇÃO'!$AB:$AB,MATCH(MEDIÇÃO!R952,'PROJETO PERFURAÇÃO'!$B:$B,0)),1)&amp;"''","")</f>
        <v/>
      </c>
      <c r="Q952" s="3" t="str">
        <f>IFERROR(IF(INDEX('PROJETO PERFURAÇÃO'!$P:$P,MATCH(MEDIÇÃO!R952,'PROJETO PERFURAÇÃO'!$B:$B,0))="Production","P",IF(INDEX('PROJETO PERFURAÇÃO'!$P:$P,MATCH(MEDIÇÃO!R952,'PROJETO PERFURAÇÃO'!$B:$B,0))="Buffer","B",IF(INDEX('PROJETO PERFURAÇÃO'!$P:$P,MATCH(MEDIÇÃO!R952,'PROJETO PERFURAÇÃO'!$B:$B,0))="Pre-Splitting","S"))),"")</f>
        <v/>
      </c>
      <c r="R952" s="14">
        <f t="shared" si="92"/>
        <v>2134</v>
      </c>
      <c r="S952" s="4" t="str">
        <f>IFERROR(INDEX('LEV R&amp;D'!$D:$D,MATCH(MEDIÇÃO!R952,'LEV R&amp;D'!$A:$A,0))-INDEX('PROJETO PERFURAÇÃO'!$AH:$AH,MATCH(MEDIÇÃO!R952,'PROJETO PERFURAÇÃO'!$B:$B,0)),"")</f>
        <v/>
      </c>
      <c r="T952" s="8" t="str">
        <f>IFERROR(INDEX('PROJETO PERFURAÇÃO'!$AN:$AN,MATCH(MEDIÇÃO!R952,'PROJETO PERFURAÇÃO'!$B:$B,0)),"")</f>
        <v/>
      </c>
      <c r="U952" s="3"/>
      <c r="V952" s="3"/>
    </row>
    <row r="953" spans="2:22" ht="45" customHeight="1">
      <c r="B953" s="3" t="str">
        <f>IFERROR(ROUND(INDEX('PROJETO PERFURAÇÃO'!$AB:$AB,MATCH(MEDIÇÃO!D953,'PROJETO PERFURAÇÃO'!$B:$B,0)),1)&amp;"''","")</f>
        <v/>
      </c>
      <c r="C953" s="3" t="str">
        <f>IFERROR(IF(INDEX('PROJETO PERFURAÇÃO'!$P:$P,MATCH(MEDIÇÃO!D953,'PROJETO PERFURAÇÃO'!$B:$B,0))="Production","P",IF(INDEX('PROJETO PERFURAÇÃO'!$P:$P,MATCH(MEDIÇÃO!D953,'PROJETO PERFURAÇÃO'!$B:$B,0))="Buffer","B",IF(INDEX('PROJETO PERFURAÇÃO'!$P:$P,MATCH(MEDIÇÃO!D953,'PROJETO PERFURAÇÃO'!$B:$B,0))="Pre-Splitting","S"))),"")</f>
        <v/>
      </c>
      <c r="D953" s="14">
        <f t="shared" si="90"/>
        <v>2089</v>
      </c>
      <c r="E953" s="4" t="str">
        <f>IFERROR(INDEX('LEV R&amp;D'!$D:$D,MATCH(MEDIÇÃO!D953,'LEV R&amp;D'!$A:$A,0))-INDEX('PROJETO PERFURAÇÃO'!$AH:$AH,MATCH(MEDIÇÃO!D953,'PROJETO PERFURAÇÃO'!$B:$B,0)),"")</f>
        <v/>
      </c>
      <c r="F953" s="8" t="str">
        <f>IFERROR(INDEX('PROJETO PERFURAÇÃO'!$AN:$AN,MATCH(MEDIÇÃO!D953,'PROJETO PERFURAÇÃO'!$B:$B,0)),"")</f>
        <v/>
      </c>
      <c r="G953" s="3"/>
      <c r="H953" s="3"/>
      <c r="I953" s="3" t="str">
        <f>IFERROR(ROUND(INDEX('PROJETO PERFURAÇÃO'!$AB:$AB,MATCH(MEDIÇÃO!K953,'PROJETO PERFURAÇÃO'!$B:$B,0)),1)&amp;"''","")</f>
        <v/>
      </c>
      <c r="J953" s="3" t="str">
        <f>IFERROR(IF(INDEX('PROJETO PERFURAÇÃO'!$P:$P,MATCH(MEDIÇÃO!K953,'PROJETO PERFURAÇÃO'!$B:$B,0))="Production","P",IF(INDEX('PROJETO PERFURAÇÃO'!$P:$P,MATCH(MEDIÇÃO!K953,'PROJETO PERFURAÇÃO'!$B:$B,0))="Buffer","B",IF(INDEX('PROJETO PERFURAÇÃO'!$P:$P,MATCH(MEDIÇÃO!K953,'PROJETO PERFURAÇÃO'!$B:$B,0))="Pre-Splitting","S"))),"")</f>
        <v/>
      </c>
      <c r="K953" s="14">
        <f t="shared" si="91"/>
        <v>2112</v>
      </c>
      <c r="L953" s="4" t="str">
        <f>IFERROR(INDEX('LEV R&amp;D'!$D:$D,MATCH(MEDIÇÃO!K953,'LEV R&amp;D'!$A:$A,0))-INDEX('PROJETO PERFURAÇÃO'!$AH:$AH,MATCH(MEDIÇÃO!K953,'PROJETO PERFURAÇÃO'!$B:$B,0)),"")</f>
        <v/>
      </c>
      <c r="M953" s="8" t="str">
        <f>IFERROR(INDEX('PROJETO PERFURAÇÃO'!$AN:$AN,MATCH(MEDIÇÃO!K953,'PROJETO PERFURAÇÃO'!$B:$B,0)),"")</f>
        <v/>
      </c>
      <c r="N953" s="3"/>
      <c r="O953" s="3"/>
      <c r="P953" s="3" t="str">
        <f>IFERROR(ROUND(INDEX('PROJETO PERFURAÇÃO'!$AB:$AB,MATCH(MEDIÇÃO!R953,'PROJETO PERFURAÇÃO'!$B:$B,0)),1)&amp;"''","")</f>
        <v/>
      </c>
      <c r="Q953" s="3" t="str">
        <f>IFERROR(IF(INDEX('PROJETO PERFURAÇÃO'!$P:$P,MATCH(MEDIÇÃO!R953,'PROJETO PERFURAÇÃO'!$B:$B,0))="Production","P",IF(INDEX('PROJETO PERFURAÇÃO'!$P:$P,MATCH(MEDIÇÃO!R953,'PROJETO PERFURAÇÃO'!$B:$B,0))="Buffer","B",IF(INDEX('PROJETO PERFURAÇÃO'!$P:$P,MATCH(MEDIÇÃO!R953,'PROJETO PERFURAÇÃO'!$B:$B,0))="Pre-Splitting","S"))),"")</f>
        <v/>
      </c>
      <c r="R953" s="14">
        <f t="shared" si="92"/>
        <v>2135</v>
      </c>
      <c r="S953" s="4" t="str">
        <f>IFERROR(INDEX('LEV R&amp;D'!$D:$D,MATCH(MEDIÇÃO!R953,'LEV R&amp;D'!$A:$A,0))-INDEX('PROJETO PERFURAÇÃO'!$AH:$AH,MATCH(MEDIÇÃO!R953,'PROJETO PERFURAÇÃO'!$B:$B,0)),"")</f>
        <v/>
      </c>
      <c r="T953" s="8" t="str">
        <f>IFERROR(INDEX('PROJETO PERFURAÇÃO'!$AN:$AN,MATCH(MEDIÇÃO!R953,'PROJETO PERFURAÇÃO'!$B:$B,0)),"")</f>
        <v/>
      </c>
      <c r="U953" s="3"/>
      <c r="V953" s="3"/>
    </row>
    <row r="954" spans="2:22" ht="45" customHeight="1">
      <c r="B954" s="3" t="str">
        <f>IFERROR(ROUND(INDEX('PROJETO PERFURAÇÃO'!$AB:$AB,MATCH(MEDIÇÃO!D954,'PROJETO PERFURAÇÃO'!$B:$B,0)),1)&amp;"''","")</f>
        <v/>
      </c>
      <c r="C954" s="3" t="str">
        <f>IFERROR(IF(INDEX('PROJETO PERFURAÇÃO'!$P:$P,MATCH(MEDIÇÃO!D954,'PROJETO PERFURAÇÃO'!$B:$B,0))="Production","P",IF(INDEX('PROJETO PERFURAÇÃO'!$P:$P,MATCH(MEDIÇÃO!D954,'PROJETO PERFURAÇÃO'!$B:$B,0))="Buffer","B",IF(INDEX('PROJETO PERFURAÇÃO'!$P:$P,MATCH(MEDIÇÃO!D954,'PROJETO PERFURAÇÃO'!$B:$B,0))="Pre-Splitting","S"))),"")</f>
        <v/>
      </c>
      <c r="D954" s="14">
        <f t="shared" si="90"/>
        <v>2090</v>
      </c>
      <c r="E954" s="4" t="str">
        <f>IFERROR(INDEX('LEV R&amp;D'!$D:$D,MATCH(MEDIÇÃO!D954,'LEV R&amp;D'!$A:$A,0))-INDEX('PROJETO PERFURAÇÃO'!$AH:$AH,MATCH(MEDIÇÃO!D954,'PROJETO PERFURAÇÃO'!$B:$B,0)),"")</f>
        <v/>
      </c>
      <c r="F954" s="8" t="str">
        <f>IFERROR(INDEX('PROJETO PERFURAÇÃO'!$AN:$AN,MATCH(MEDIÇÃO!D954,'PROJETO PERFURAÇÃO'!$B:$B,0)),"")</f>
        <v/>
      </c>
      <c r="G954" s="3"/>
      <c r="H954" s="3"/>
      <c r="I954" s="3" t="str">
        <f>IFERROR(ROUND(INDEX('PROJETO PERFURAÇÃO'!$AB:$AB,MATCH(MEDIÇÃO!K954,'PROJETO PERFURAÇÃO'!$B:$B,0)),1)&amp;"''","")</f>
        <v/>
      </c>
      <c r="J954" s="3" t="str">
        <f>IFERROR(IF(INDEX('PROJETO PERFURAÇÃO'!$P:$P,MATCH(MEDIÇÃO!K954,'PROJETO PERFURAÇÃO'!$B:$B,0))="Production","P",IF(INDEX('PROJETO PERFURAÇÃO'!$P:$P,MATCH(MEDIÇÃO!K954,'PROJETO PERFURAÇÃO'!$B:$B,0))="Buffer","B",IF(INDEX('PROJETO PERFURAÇÃO'!$P:$P,MATCH(MEDIÇÃO!K954,'PROJETO PERFURAÇÃO'!$B:$B,0))="Pre-Splitting","S"))),"")</f>
        <v/>
      </c>
      <c r="K954" s="14">
        <f t="shared" si="91"/>
        <v>2113</v>
      </c>
      <c r="L954" s="4" t="str">
        <f>IFERROR(INDEX('LEV R&amp;D'!$D:$D,MATCH(MEDIÇÃO!K954,'LEV R&amp;D'!$A:$A,0))-INDEX('PROJETO PERFURAÇÃO'!$AH:$AH,MATCH(MEDIÇÃO!K954,'PROJETO PERFURAÇÃO'!$B:$B,0)),"")</f>
        <v/>
      </c>
      <c r="M954" s="8" t="str">
        <f>IFERROR(INDEX('PROJETO PERFURAÇÃO'!$AN:$AN,MATCH(MEDIÇÃO!K954,'PROJETO PERFURAÇÃO'!$B:$B,0)),"")</f>
        <v/>
      </c>
      <c r="N954" s="3"/>
      <c r="O954" s="3"/>
      <c r="P954" s="3" t="str">
        <f>IFERROR(ROUND(INDEX('PROJETO PERFURAÇÃO'!$AB:$AB,MATCH(MEDIÇÃO!R954,'PROJETO PERFURAÇÃO'!$B:$B,0)),1)&amp;"''","")</f>
        <v/>
      </c>
      <c r="Q954" s="3" t="str">
        <f>IFERROR(IF(INDEX('PROJETO PERFURAÇÃO'!$P:$P,MATCH(MEDIÇÃO!R954,'PROJETO PERFURAÇÃO'!$B:$B,0))="Production","P",IF(INDEX('PROJETO PERFURAÇÃO'!$P:$P,MATCH(MEDIÇÃO!R954,'PROJETO PERFURAÇÃO'!$B:$B,0))="Buffer","B",IF(INDEX('PROJETO PERFURAÇÃO'!$P:$P,MATCH(MEDIÇÃO!R954,'PROJETO PERFURAÇÃO'!$B:$B,0))="Pre-Splitting","S"))),"")</f>
        <v/>
      </c>
      <c r="R954" s="14">
        <f t="shared" si="92"/>
        <v>2136</v>
      </c>
      <c r="S954" s="4" t="str">
        <f>IFERROR(INDEX('LEV R&amp;D'!$D:$D,MATCH(MEDIÇÃO!R954,'LEV R&amp;D'!$A:$A,0))-INDEX('PROJETO PERFURAÇÃO'!$AH:$AH,MATCH(MEDIÇÃO!R954,'PROJETO PERFURAÇÃO'!$B:$B,0)),"")</f>
        <v/>
      </c>
      <c r="T954" s="8" t="str">
        <f>IFERROR(INDEX('PROJETO PERFURAÇÃO'!$AN:$AN,MATCH(MEDIÇÃO!R954,'PROJETO PERFURAÇÃO'!$B:$B,0)),"")</f>
        <v/>
      </c>
      <c r="U954" s="3"/>
      <c r="V954" s="3"/>
    </row>
    <row r="955" spans="2:22" ht="45" customHeight="1">
      <c r="B955" s="3" t="str">
        <f>IFERROR(ROUND(INDEX('PROJETO PERFURAÇÃO'!$AB:$AB,MATCH(MEDIÇÃO!D955,'PROJETO PERFURAÇÃO'!$B:$B,0)),1)&amp;"''","")</f>
        <v/>
      </c>
      <c r="C955" s="3" t="str">
        <f>IFERROR(IF(INDEX('PROJETO PERFURAÇÃO'!$P:$P,MATCH(MEDIÇÃO!D955,'PROJETO PERFURAÇÃO'!$B:$B,0))="Production","P",IF(INDEX('PROJETO PERFURAÇÃO'!$P:$P,MATCH(MEDIÇÃO!D955,'PROJETO PERFURAÇÃO'!$B:$B,0))="Buffer","B",IF(INDEX('PROJETO PERFURAÇÃO'!$P:$P,MATCH(MEDIÇÃO!D955,'PROJETO PERFURAÇÃO'!$B:$B,0))="Pre-Splitting","S"))),"")</f>
        <v/>
      </c>
      <c r="D955" s="14">
        <f t="shared" si="90"/>
        <v>2091</v>
      </c>
      <c r="E955" s="4" t="str">
        <f>IFERROR(INDEX('LEV R&amp;D'!$D:$D,MATCH(MEDIÇÃO!D955,'LEV R&amp;D'!$A:$A,0))-INDEX('PROJETO PERFURAÇÃO'!$AH:$AH,MATCH(MEDIÇÃO!D955,'PROJETO PERFURAÇÃO'!$B:$B,0)),"")</f>
        <v/>
      </c>
      <c r="F955" s="8" t="str">
        <f>IFERROR(INDEX('PROJETO PERFURAÇÃO'!$AN:$AN,MATCH(MEDIÇÃO!D955,'PROJETO PERFURAÇÃO'!$B:$B,0)),"")</f>
        <v/>
      </c>
      <c r="G955" s="3"/>
      <c r="H955" s="3"/>
      <c r="I955" s="3" t="str">
        <f>IFERROR(ROUND(INDEX('PROJETO PERFURAÇÃO'!$AB:$AB,MATCH(MEDIÇÃO!K955,'PROJETO PERFURAÇÃO'!$B:$B,0)),1)&amp;"''","")</f>
        <v/>
      </c>
      <c r="J955" s="3" t="str">
        <f>IFERROR(IF(INDEX('PROJETO PERFURAÇÃO'!$P:$P,MATCH(MEDIÇÃO!K955,'PROJETO PERFURAÇÃO'!$B:$B,0))="Production","P",IF(INDEX('PROJETO PERFURAÇÃO'!$P:$P,MATCH(MEDIÇÃO!K955,'PROJETO PERFURAÇÃO'!$B:$B,0))="Buffer","B",IF(INDEX('PROJETO PERFURAÇÃO'!$P:$P,MATCH(MEDIÇÃO!K955,'PROJETO PERFURAÇÃO'!$B:$B,0))="Pre-Splitting","S"))),"")</f>
        <v/>
      </c>
      <c r="K955" s="14">
        <f t="shared" si="91"/>
        <v>2114</v>
      </c>
      <c r="L955" s="4" t="str">
        <f>IFERROR(INDEX('LEV R&amp;D'!$D:$D,MATCH(MEDIÇÃO!K955,'LEV R&amp;D'!$A:$A,0))-INDEX('PROJETO PERFURAÇÃO'!$AH:$AH,MATCH(MEDIÇÃO!K955,'PROJETO PERFURAÇÃO'!$B:$B,0)),"")</f>
        <v/>
      </c>
      <c r="M955" s="8" t="str">
        <f>IFERROR(INDEX('PROJETO PERFURAÇÃO'!$AN:$AN,MATCH(MEDIÇÃO!K955,'PROJETO PERFURAÇÃO'!$B:$B,0)),"")</f>
        <v/>
      </c>
      <c r="N955" s="3"/>
      <c r="O955" s="3"/>
      <c r="P955" s="3" t="str">
        <f>IFERROR(ROUND(INDEX('PROJETO PERFURAÇÃO'!$AB:$AB,MATCH(MEDIÇÃO!R955,'PROJETO PERFURAÇÃO'!$B:$B,0)),1)&amp;"''","")</f>
        <v/>
      </c>
      <c r="Q955" s="3" t="str">
        <f>IFERROR(IF(INDEX('PROJETO PERFURAÇÃO'!$P:$P,MATCH(MEDIÇÃO!R955,'PROJETO PERFURAÇÃO'!$B:$B,0))="Production","P",IF(INDEX('PROJETO PERFURAÇÃO'!$P:$P,MATCH(MEDIÇÃO!R955,'PROJETO PERFURAÇÃO'!$B:$B,0))="Buffer","B",IF(INDEX('PROJETO PERFURAÇÃO'!$P:$P,MATCH(MEDIÇÃO!R955,'PROJETO PERFURAÇÃO'!$B:$B,0))="Pre-Splitting","S"))),"")</f>
        <v/>
      </c>
      <c r="R955" s="14">
        <f t="shared" si="92"/>
        <v>2137</v>
      </c>
      <c r="S955" s="4" t="str">
        <f>IFERROR(INDEX('LEV R&amp;D'!$D:$D,MATCH(MEDIÇÃO!R955,'LEV R&amp;D'!$A:$A,0))-INDEX('PROJETO PERFURAÇÃO'!$AH:$AH,MATCH(MEDIÇÃO!R955,'PROJETO PERFURAÇÃO'!$B:$B,0)),"")</f>
        <v/>
      </c>
      <c r="T955" s="8" t="str">
        <f>IFERROR(INDEX('PROJETO PERFURAÇÃO'!$AN:$AN,MATCH(MEDIÇÃO!R955,'PROJETO PERFURAÇÃO'!$B:$B,0)),"")</f>
        <v/>
      </c>
      <c r="U955" s="3"/>
      <c r="V955" s="3"/>
    </row>
    <row r="956" spans="2:22" ht="45" customHeight="1">
      <c r="B956" s="3" t="str">
        <f>IFERROR(ROUND(INDEX('PROJETO PERFURAÇÃO'!$AB:$AB,MATCH(MEDIÇÃO!D956,'PROJETO PERFURAÇÃO'!$B:$B,0)),1)&amp;"''","")</f>
        <v/>
      </c>
      <c r="C956" s="3" t="str">
        <f>IFERROR(IF(INDEX('PROJETO PERFURAÇÃO'!$P:$P,MATCH(MEDIÇÃO!D956,'PROJETO PERFURAÇÃO'!$B:$B,0))="Production","P",IF(INDEX('PROJETO PERFURAÇÃO'!$P:$P,MATCH(MEDIÇÃO!D956,'PROJETO PERFURAÇÃO'!$B:$B,0))="Buffer","B",IF(INDEX('PROJETO PERFURAÇÃO'!$P:$P,MATCH(MEDIÇÃO!D956,'PROJETO PERFURAÇÃO'!$B:$B,0))="Pre-Splitting","S"))),"")</f>
        <v/>
      </c>
      <c r="D956" s="14">
        <f t="shared" si="90"/>
        <v>2092</v>
      </c>
      <c r="E956" s="4" t="str">
        <f>IFERROR(INDEX('LEV R&amp;D'!$D:$D,MATCH(MEDIÇÃO!D956,'LEV R&amp;D'!$A:$A,0))-INDEX('PROJETO PERFURAÇÃO'!$AH:$AH,MATCH(MEDIÇÃO!D956,'PROJETO PERFURAÇÃO'!$B:$B,0)),"")</f>
        <v/>
      </c>
      <c r="F956" s="8" t="str">
        <f>IFERROR(INDEX('PROJETO PERFURAÇÃO'!$AN:$AN,MATCH(MEDIÇÃO!D956,'PROJETO PERFURAÇÃO'!$B:$B,0)),"")</f>
        <v/>
      </c>
      <c r="G956" s="3"/>
      <c r="H956" s="3"/>
      <c r="I956" s="3" t="str">
        <f>IFERROR(ROUND(INDEX('PROJETO PERFURAÇÃO'!$AB:$AB,MATCH(MEDIÇÃO!K956,'PROJETO PERFURAÇÃO'!$B:$B,0)),1)&amp;"''","")</f>
        <v/>
      </c>
      <c r="J956" s="3" t="str">
        <f>IFERROR(IF(INDEX('PROJETO PERFURAÇÃO'!$P:$P,MATCH(MEDIÇÃO!K956,'PROJETO PERFURAÇÃO'!$B:$B,0))="Production","P",IF(INDEX('PROJETO PERFURAÇÃO'!$P:$P,MATCH(MEDIÇÃO!K956,'PROJETO PERFURAÇÃO'!$B:$B,0))="Buffer","B",IF(INDEX('PROJETO PERFURAÇÃO'!$P:$P,MATCH(MEDIÇÃO!K956,'PROJETO PERFURAÇÃO'!$B:$B,0))="Pre-Splitting","S"))),"")</f>
        <v/>
      </c>
      <c r="K956" s="14">
        <f t="shared" si="91"/>
        <v>2115</v>
      </c>
      <c r="L956" s="4" t="str">
        <f>IFERROR(INDEX('LEV R&amp;D'!$D:$D,MATCH(MEDIÇÃO!K956,'LEV R&amp;D'!$A:$A,0))-INDEX('PROJETO PERFURAÇÃO'!$AH:$AH,MATCH(MEDIÇÃO!K956,'PROJETO PERFURAÇÃO'!$B:$B,0)),"")</f>
        <v/>
      </c>
      <c r="M956" s="8" t="str">
        <f>IFERROR(INDEX('PROJETO PERFURAÇÃO'!$AN:$AN,MATCH(MEDIÇÃO!K956,'PROJETO PERFURAÇÃO'!$B:$B,0)),"")</f>
        <v/>
      </c>
      <c r="N956" s="3"/>
      <c r="O956" s="3"/>
      <c r="P956" s="3" t="str">
        <f>IFERROR(ROUND(INDEX('PROJETO PERFURAÇÃO'!$AB:$AB,MATCH(MEDIÇÃO!R956,'PROJETO PERFURAÇÃO'!$B:$B,0)),1)&amp;"''","")</f>
        <v/>
      </c>
      <c r="Q956" s="3" t="str">
        <f>IFERROR(IF(INDEX('PROJETO PERFURAÇÃO'!$P:$P,MATCH(MEDIÇÃO!R956,'PROJETO PERFURAÇÃO'!$B:$B,0))="Production","P",IF(INDEX('PROJETO PERFURAÇÃO'!$P:$P,MATCH(MEDIÇÃO!R956,'PROJETO PERFURAÇÃO'!$B:$B,0))="Buffer","B",IF(INDEX('PROJETO PERFURAÇÃO'!$P:$P,MATCH(MEDIÇÃO!R956,'PROJETO PERFURAÇÃO'!$B:$B,0))="Pre-Splitting","S"))),"")</f>
        <v/>
      </c>
      <c r="R956" s="14">
        <f t="shared" si="92"/>
        <v>2138</v>
      </c>
      <c r="S956" s="4" t="str">
        <f>IFERROR(INDEX('LEV R&amp;D'!$D:$D,MATCH(MEDIÇÃO!R956,'LEV R&amp;D'!$A:$A,0))-INDEX('PROJETO PERFURAÇÃO'!$AH:$AH,MATCH(MEDIÇÃO!R956,'PROJETO PERFURAÇÃO'!$B:$B,0)),"")</f>
        <v/>
      </c>
      <c r="T956" s="8" t="str">
        <f>IFERROR(INDEX('PROJETO PERFURAÇÃO'!$AN:$AN,MATCH(MEDIÇÃO!R956,'PROJETO PERFURAÇÃO'!$B:$B,0)),"")</f>
        <v/>
      </c>
      <c r="U956" s="3"/>
      <c r="V956" s="3"/>
    </row>
    <row r="957" spans="2:22" ht="45" customHeight="1">
      <c r="B957" s="3" t="str">
        <f>IFERROR(ROUND(INDEX('PROJETO PERFURAÇÃO'!$AB:$AB,MATCH(MEDIÇÃO!D957,'PROJETO PERFURAÇÃO'!$B:$B,0)),1)&amp;"''","")</f>
        <v/>
      </c>
      <c r="C957" s="3" t="str">
        <f>IFERROR(IF(INDEX('PROJETO PERFURAÇÃO'!$P:$P,MATCH(MEDIÇÃO!D957,'PROJETO PERFURAÇÃO'!$B:$B,0))="Production","P",IF(INDEX('PROJETO PERFURAÇÃO'!$P:$P,MATCH(MEDIÇÃO!D957,'PROJETO PERFURAÇÃO'!$B:$B,0))="Buffer","B",IF(INDEX('PROJETO PERFURAÇÃO'!$P:$P,MATCH(MEDIÇÃO!D957,'PROJETO PERFURAÇÃO'!$B:$B,0))="Pre-Splitting","S"))),"")</f>
        <v/>
      </c>
      <c r="D957" s="14">
        <f t="shared" si="90"/>
        <v>2093</v>
      </c>
      <c r="E957" s="4" t="str">
        <f>IFERROR(INDEX('LEV R&amp;D'!$D:$D,MATCH(MEDIÇÃO!D957,'LEV R&amp;D'!$A:$A,0))-INDEX('PROJETO PERFURAÇÃO'!$AH:$AH,MATCH(MEDIÇÃO!D957,'PROJETO PERFURAÇÃO'!$B:$B,0)),"")</f>
        <v/>
      </c>
      <c r="F957" s="8" t="str">
        <f>IFERROR(INDEX('PROJETO PERFURAÇÃO'!$AN:$AN,MATCH(MEDIÇÃO!D957,'PROJETO PERFURAÇÃO'!$B:$B,0)),"")</f>
        <v/>
      </c>
      <c r="G957" s="3"/>
      <c r="H957" s="3"/>
      <c r="I957" s="3" t="str">
        <f>IFERROR(ROUND(INDEX('PROJETO PERFURAÇÃO'!$AB:$AB,MATCH(MEDIÇÃO!K957,'PROJETO PERFURAÇÃO'!$B:$B,0)),1)&amp;"''","")</f>
        <v/>
      </c>
      <c r="J957" s="3" t="str">
        <f>IFERROR(IF(INDEX('PROJETO PERFURAÇÃO'!$P:$P,MATCH(MEDIÇÃO!K957,'PROJETO PERFURAÇÃO'!$B:$B,0))="Production","P",IF(INDEX('PROJETO PERFURAÇÃO'!$P:$P,MATCH(MEDIÇÃO!K957,'PROJETO PERFURAÇÃO'!$B:$B,0))="Buffer","B",IF(INDEX('PROJETO PERFURAÇÃO'!$P:$P,MATCH(MEDIÇÃO!K957,'PROJETO PERFURAÇÃO'!$B:$B,0))="Pre-Splitting","S"))),"")</f>
        <v/>
      </c>
      <c r="K957" s="14">
        <f>K956+1</f>
        <v>2116</v>
      </c>
      <c r="L957" s="4" t="str">
        <f>IFERROR(INDEX('LEV R&amp;D'!$D:$D,MATCH(MEDIÇÃO!K957,'LEV R&amp;D'!$A:$A,0))-INDEX('PROJETO PERFURAÇÃO'!$AH:$AH,MATCH(MEDIÇÃO!K957,'PROJETO PERFURAÇÃO'!$B:$B,0)),"")</f>
        <v/>
      </c>
      <c r="M957" s="8" t="str">
        <f>IFERROR(INDEX('PROJETO PERFURAÇÃO'!$AN:$AN,MATCH(MEDIÇÃO!K957,'PROJETO PERFURAÇÃO'!$B:$B,0)),"")</f>
        <v/>
      </c>
      <c r="N957" s="3"/>
      <c r="O957" s="3"/>
      <c r="P957" s="3" t="str">
        <f>IFERROR(ROUND(INDEX('PROJETO PERFURAÇÃO'!$AB:$AB,MATCH(MEDIÇÃO!R957,'PROJETO PERFURAÇÃO'!$B:$B,0)),1)&amp;"''","")</f>
        <v/>
      </c>
      <c r="Q957" s="3" t="str">
        <f>IFERROR(IF(INDEX('PROJETO PERFURAÇÃO'!$P:$P,MATCH(MEDIÇÃO!R957,'PROJETO PERFURAÇÃO'!$B:$B,0))="Production","P",IF(INDEX('PROJETO PERFURAÇÃO'!$P:$P,MATCH(MEDIÇÃO!R957,'PROJETO PERFURAÇÃO'!$B:$B,0))="Buffer","B",IF(INDEX('PROJETO PERFURAÇÃO'!$P:$P,MATCH(MEDIÇÃO!R957,'PROJETO PERFURAÇÃO'!$B:$B,0))="Pre-Splitting","S"))),"")</f>
        <v/>
      </c>
      <c r="R957" s="14">
        <f>R956+1</f>
        <v>2139</v>
      </c>
      <c r="S957" s="4" t="str">
        <f>IFERROR(INDEX('LEV R&amp;D'!$D:$D,MATCH(MEDIÇÃO!R957,'LEV R&amp;D'!$A:$A,0))-INDEX('PROJETO PERFURAÇÃO'!$AH:$AH,MATCH(MEDIÇÃO!R957,'PROJETO PERFURAÇÃO'!$B:$B,0)),"")</f>
        <v/>
      </c>
      <c r="T957" s="8" t="str">
        <f>IFERROR(INDEX('PROJETO PERFURAÇÃO'!$AN:$AN,MATCH(MEDIÇÃO!R957,'PROJETO PERFURAÇÃO'!$B:$B,0)),"")</f>
        <v/>
      </c>
      <c r="U957" s="3"/>
      <c r="V957" s="3"/>
    </row>
    <row r="958" spans="2:22" ht="30" customHeight="1">
      <c r="B958" s="1"/>
      <c r="C958" s="1"/>
      <c r="D958" s="15"/>
      <c r="E958" s="2"/>
      <c r="F958" s="16"/>
      <c r="G958" s="1"/>
      <c r="H958" s="1"/>
      <c r="I958" s="1"/>
      <c r="J958" s="1"/>
      <c r="K958" s="15"/>
      <c r="L958" s="2"/>
      <c r="M958" s="16"/>
      <c r="N958" s="1"/>
      <c r="O958" s="1"/>
      <c r="P958" s="1"/>
      <c r="Q958" s="1"/>
      <c r="R958" s="15"/>
      <c r="S958" s="2"/>
      <c r="T958" s="16"/>
      <c r="U958" s="1"/>
      <c r="V958" s="1"/>
    </row>
    <row r="959" spans="2:22" ht="30" customHeight="1">
      <c r="C959" s="20"/>
      <c r="D959" s="20"/>
      <c r="E959" s="20"/>
      <c r="F959" s="20"/>
      <c r="G959" s="20"/>
      <c r="H959" s="20"/>
      <c r="I959" s="20"/>
      <c r="J959" s="20"/>
      <c r="K959" s="20"/>
      <c r="M959" s="20"/>
      <c r="N959" s="20"/>
      <c r="O959" s="20"/>
      <c r="P959" s="20"/>
      <c r="Q959" s="20"/>
      <c r="R959" s="20"/>
      <c r="S959" s="20"/>
      <c r="T959" s="20"/>
      <c r="U959" s="20"/>
    </row>
    <row r="960" spans="2:22" ht="30" customHeight="1">
      <c r="C960" s="21" t="s">
        <v>40</v>
      </c>
      <c r="D960" s="21"/>
      <c r="E960" s="21"/>
      <c r="F960" s="21"/>
      <c r="G960" s="21"/>
      <c r="H960" s="21"/>
      <c r="I960" s="21"/>
      <c r="J960" s="21"/>
      <c r="K960" s="21"/>
      <c r="L960" s="9"/>
      <c r="M960" s="21" t="s">
        <v>40</v>
      </c>
      <c r="N960" s="21"/>
      <c r="O960" s="21"/>
      <c r="P960" s="21"/>
      <c r="Q960" s="21"/>
      <c r="R960" s="21"/>
      <c r="S960" s="21"/>
      <c r="T960" s="21"/>
      <c r="U960" s="21"/>
      <c r="V960" s="9"/>
    </row>
    <row r="961" spans="1:23" ht="30" customHeight="1">
      <c r="D961" s="9"/>
      <c r="E961" s="9"/>
      <c r="F961" s="9"/>
      <c r="G961" s="9"/>
      <c r="H961" s="9"/>
      <c r="I961" s="9"/>
      <c r="J961" s="9"/>
      <c r="K961" s="9"/>
      <c r="L961" s="9"/>
      <c r="M961" s="9"/>
      <c r="N961" s="9"/>
      <c r="Q961" s="9"/>
      <c r="R961" s="9"/>
      <c r="S961" s="9"/>
      <c r="T961" s="9"/>
      <c r="U961" s="9"/>
      <c r="V961" s="9"/>
    </row>
    <row r="962" spans="1:23" ht="30" customHeight="1">
      <c r="B962" s="19" t="str">
        <f>'PROJETO PERFURAÇÃO'!$C$2&amp;" - "&amp;'PROJETO PERFURAÇÃO'!$H$2</f>
        <v>LIB037 - PP0370626</v>
      </c>
      <c r="C962" s="19"/>
      <c r="D962" s="19"/>
      <c r="E962" s="19"/>
      <c r="F962" s="19"/>
      <c r="G962" s="19"/>
      <c r="H962" s="19"/>
      <c r="I962" s="11" t="s">
        <v>34</v>
      </c>
      <c r="J962" s="10" t="s">
        <v>37</v>
      </c>
    </row>
    <row r="963" spans="1:23" ht="30" customHeight="1">
      <c r="B963" s="19"/>
      <c r="C963" s="19"/>
      <c r="D963" s="19"/>
      <c r="E963" s="19"/>
      <c r="F963" s="19"/>
      <c r="G963" s="19"/>
      <c r="H963" s="19"/>
      <c r="I963" s="12" t="s">
        <v>35</v>
      </c>
      <c r="J963" s="10" t="s">
        <v>38</v>
      </c>
      <c r="K963" s="9"/>
      <c r="L963" s="9"/>
      <c r="M963" s="9"/>
      <c r="N963" s="9"/>
      <c r="O963" s="9"/>
      <c r="P963" s="9"/>
      <c r="Q963" s="9"/>
      <c r="R963" s="9"/>
      <c r="S963" s="9"/>
      <c r="T963" s="9"/>
      <c r="U963" s="9"/>
      <c r="V963" s="9"/>
    </row>
    <row r="964" spans="1:23" ht="30" customHeight="1">
      <c r="B964" s="19"/>
      <c r="C964" s="19"/>
      <c r="D964" s="19"/>
      <c r="E964" s="19"/>
      <c r="F964" s="19"/>
      <c r="G964" s="19"/>
      <c r="H964" s="19"/>
      <c r="I964" s="13" t="s">
        <v>36</v>
      </c>
      <c r="J964" s="10" t="s">
        <v>39</v>
      </c>
    </row>
    <row r="965" spans="1:23" ht="30" customHeight="1">
      <c r="A965" s="1"/>
      <c r="B965" s="6" t="s">
        <v>33</v>
      </c>
      <c r="C965" s="6" t="s">
        <v>13</v>
      </c>
      <c r="D965" s="7" t="s">
        <v>1</v>
      </c>
      <c r="E965" s="7" t="s">
        <v>29</v>
      </c>
      <c r="F965" s="7" t="s">
        <v>30</v>
      </c>
      <c r="G965" s="7" t="s">
        <v>31</v>
      </c>
      <c r="H965" s="7" t="s">
        <v>32</v>
      </c>
      <c r="I965" s="6" t="s">
        <v>33</v>
      </c>
      <c r="J965" s="6" t="s">
        <v>13</v>
      </c>
      <c r="K965" s="7" t="s">
        <v>1</v>
      </c>
      <c r="L965" s="7" t="s">
        <v>29</v>
      </c>
      <c r="M965" s="7" t="s">
        <v>30</v>
      </c>
      <c r="N965" s="7" t="s">
        <v>31</v>
      </c>
      <c r="O965" s="7" t="s">
        <v>32</v>
      </c>
      <c r="P965" s="6" t="s">
        <v>33</v>
      </c>
      <c r="Q965" s="6" t="s">
        <v>13</v>
      </c>
      <c r="R965" s="7" t="s">
        <v>1</v>
      </c>
      <c r="S965" s="7" t="s">
        <v>29</v>
      </c>
      <c r="T965" s="7" t="s">
        <v>30</v>
      </c>
      <c r="U965" s="7" t="s">
        <v>31</v>
      </c>
      <c r="V965" s="7" t="s">
        <v>32</v>
      </c>
      <c r="W965" s="1"/>
    </row>
    <row r="966" spans="1:23" ht="45" customHeight="1">
      <c r="B966" s="3" t="str">
        <f>IFERROR(ROUND(INDEX('PROJETO PERFURAÇÃO'!$AB:$AB,MATCH(MEDIÇÃO!D966,'PROJETO PERFURAÇÃO'!$B:$B,0)),1)&amp;"''","")</f>
        <v/>
      </c>
      <c r="C966" s="3" t="str">
        <f>IFERROR(IF(INDEX('PROJETO PERFURAÇÃO'!$P:$P,MATCH(MEDIÇÃO!D966,'PROJETO PERFURAÇÃO'!$B:$B,0))="Production","P",IF(INDEX('PROJETO PERFURAÇÃO'!$P:$P,MATCH(MEDIÇÃO!D966,'PROJETO PERFURAÇÃO'!$B:$B,0))="Buffer","B",IF(INDEX('PROJETO PERFURAÇÃO'!$P:$P,MATCH(MEDIÇÃO!D966,'PROJETO PERFURAÇÃO'!$B:$B,0))="Pre-Splitting","S"))),"")</f>
        <v/>
      </c>
      <c r="D966" s="14">
        <f>R957+1</f>
        <v>2140</v>
      </c>
      <c r="E966" s="4" t="str">
        <f>IFERROR(INDEX('LEV R&amp;D'!$D:$D,MATCH(MEDIÇÃO!D966,'LEV R&amp;D'!$A:$A,0))-INDEX('PROJETO PERFURAÇÃO'!$AH:$AH,MATCH(MEDIÇÃO!D966,'PROJETO PERFURAÇÃO'!$B:$B,0)),"")</f>
        <v/>
      </c>
      <c r="F966" s="8" t="str">
        <f>IFERROR(INDEX('PROJETO PERFURAÇÃO'!$AN:$AN,MATCH(MEDIÇÃO!D966,'PROJETO PERFURAÇÃO'!$B:$B,0)),"")</f>
        <v/>
      </c>
      <c r="G966" s="3"/>
      <c r="H966" s="3"/>
      <c r="I966" s="3" t="str">
        <f>IFERROR(ROUND(INDEX('PROJETO PERFURAÇÃO'!$AB:$AB,MATCH(MEDIÇÃO!K966,'PROJETO PERFURAÇÃO'!$B:$B,0)),1)&amp;"''","")</f>
        <v/>
      </c>
      <c r="J966" s="3" t="str">
        <f>IFERROR(IF(INDEX('PROJETO PERFURAÇÃO'!$P:$P,MATCH(MEDIÇÃO!K966,'PROJETO PERFURAÇÃO'!$B:$B,0))="Production","P",IF(INDEX('PROJETO PERFURAÇÃO'!$P:$P,MATCH(MEDIÇÃO!K966,'PROJETO PERFURAÇÃO'!$B:$B,0))="Buffer","B",IF(INDEX('PROJETO PERFURAÇÃO'!$P:$P,MATCH(MEDIÇÃO!K966,'PROJETO PERFURAÇÃO'!$B:$B,0))="Pre-Splitting","S"))),"")</f>
        <v/>
      </c>
      <c r="K966" s="14">
        <f>D988+1</f>
        <v>2163</v>
      </c>
      <c r="L966" s="4" t="str">
        <f>IFERROR(INDEX('LEV R&amp;D'!$D:$D,MATCH(MEDIÇÃO!K966,'LEV R&amp;D'!$A:$A,0))-INDEX('PROJETO PERFURAÇÃO'!$AH:$AH,MATCH(MEDIÇÃO!K966,'PROJETO PERFURAÇÃO'!$B:$B,0)),"")</f>
        <v/>
      </c>
      <c r="M966" s="8" t="str">
        <f>IFERROR(INDEX('PROJETO PERFURAÇÃO'!$AN:$AN,MATCH(MEDIÇÃO!K966,'PROJETO PERFURAÇÃO'!$B:$B,0)),"")</f>
        <v/>
      </c>
      <c r="N966" s="3"/>
      <c r="O966" s="3"/>
      <c r="P966" s="3" t="str">
        <f>IFERROR(ROUND(INDEX('PROJETO PERFURAÇÃO'!$AB:$AB,MATCH(MEDIÇÃO!R966,'PROJETO PERFURAÇÃO'!$B:$B,0)),1)&amp;"''","")</f>
        <v/>
      </c>
      <c r="Q966" s="3" t="str">
        <f>IFERROR(IF(INDEX('PROJETO PERFURAÇÃO'!$P:$P,MATCH(MEDIÇÃO!R966,'PROJETO PERFURAÇÃO'!$B:$B,0))="Production","P",IF(INDEX('PROJETO PERFURAÇÃO'!$P:$P,MATCH(MEDIÇÃO!R966,'PROJETO PERFURAÇÃO'!$B:$B,0))="Buffer","B",IF(INDEX('PROJETO PERFURAÇÃO'!$P:$P,MATCH(MEDIÇÃO!R966,'PROJETO PERFURAÇÃO'!$B:$B,0))="Pre-Splitting","S"))),"")</f>
        <v/>
      </c>
      <c r="R966" s="14">
        <f>K988+1</f>
        <v>2186</v>
      </c>
      <c r="S966" s="4" t="str">
        <f>IFERROR(INDEX('LEV R&amp;D'!$D:$D,MATCH(MEDIÇÃO!R966,'LEV R&amp;D'!$A:$A,0))-INDEX('PROJETO PERFURAÇÃO'!$AH:$AH,MATCH(MEDIÇÃO!R966,'PROJETO PERFURAÇÃO'!$B:$B,0)),"")</f>
        <v/>
      </c>
      <c r="T966" s="8" t="str">
        <f>IFERROR(INDEX('PROJETO PERFURAÇÃO'!$AN:$AN,MATCH(MEDIÇÃO!R966,'PROJETO PERFURAÇÃO'!$B:$B,0)),"")</f>
        <v/>
      </c>
      <c r="U966" s="3"/>
      <c r="V966" s="3"/>
    </row>
    <row r="967" spans="1:23" ht="45" customHeight="1">
      <c r="B967" s="3" t="str">
        <f>IFERROR(ROUND(INDEX('PROJETO PERFURAÇÃO'!$AB:$AB,MATCH(MEDIÇÃO!D967,'PROJETO PERFURAÇÃO'!$B:$B,0)),1)&amp;"''","")</f>
        <v/>
      </c>
      <c r="C967" s="3" t="str">
        <f>IFERROR(IF(INDEX('PROJETO PERFURAÇÃO'!$P:$P,MATCH(MEDIÇÃO!D967,'PROJETO PERFURAÇÃO'!$B:$B,0))="Production","P",IF(INDEX('PROJETO PERFURAÇÃO'!$P:$P,MATCH(MEDIÇÃO!D967,'PROJETO PERFURAÇÃO'!$B:$B,0))="Buffer","B",IF(INDEX('PROJETO PERFURAÇÃO'!$P:$P,MATCH(MEDIÇÃO!D967,'PROJETO PERFURAÇÃO'!$B:$B,0))="Pre-Splitting","S"))),"")</f>
        <v/>
      </c>
      <c r="D967" s="14">
        <f>D966+1</f>
        <v>2141</v>
      </c>
      <c r="E967" s="4" t="str">
        <f>IFERROR(INDEX('LEV R&amp;D'!$D:$D,MATCH(MEDIÇÃO!D967,'LEV R&amp;D'!$A:$A,0))-INDEX('PROJETO PERFURAÇÃO'!$AH:$AH,MATCH(MEDIÇÃO!D967,'PROJETO PERFURAÇÃO'!$B:$B,0)),"")</f>
        <v/>
      </c>
      <c r="F967" s="8" t="str">
        <f>IFERROR(INDEX('PROJETO PERFURAÇÃO'!$AN:$AN,MATCH(MEDIÇÃO!D967,'PROJETO PERFURAÇÃO'!$B:$B,0)),"")</f>
        <v/>
      </c>
      <c r="G967" s="3"/>
      <c r="H967" s="3"/>
      <c r="I967" s="3" t="str">
        <f>IFERROR(ROUND(INDEX('PROJETO PERFURAÇÃO'!$AB:$AB,MATCH(MEDIÇÃO!K967,'PROJETO PERFURAÇÃO'!$B:$B,0)),1)&amp;"''","")</f>
        <v/>
      </c>
      <c r="J967" s="3" t="str">
        <f>IFERROR(IF(INDEX('PROJETO PERFURAÇÃO'!$P:$P,MATCH(MEDIÇÃO!K967,'PROJETO PERFURAÇÃO'!$B:$B,0))="Production","P",IF(INDEX('PROJETO PERFURAÇÃO'!$P:$P,MATCH(MEDIÇÃO!K967,'PROJETO PERFURAÇÃO'!$B:$B,0))="Buffer","B",IF(INDEX('PROJETO PERFURAÇÃO'!$P:$P,MATCH(MEDIÇÃO!K967,'PROJETO PERFURAÇÃO'!$B:$B,0))="Pre-Splitting","S"))),"")</f>
        <v/>
      </c>
      <c r="K967" s="14">
        <f>K966+1</f>
        <v>2164</v>
      </c>
      <c r="L967" s="4" t="str">
        <f>IFERROR(INDEX('LEV R&amp;D'!$D:$D,MATCH(MEDIÇÃO!K967,'LEV R&amp;D'!$A:$A,0))-INDEX('PROJETO PERFURAÇÃO'!$AH:$AH,MATCH(MEDIÇÃO!K967,'PROJETO PERFURAÇÃO'!$B:$B,0)),"")</f>
        <v/>
      </c>
      <c r="M967" s="8" t="str">
        <f>IFERROR(INDEX('PROJETO PERFURAÇÃO'!$AN:$AN,MATCH(MEDIÇÃO!K967,'PROJETO PERFURAÇÃO'!$B:$B,0)),"")</f>
        <v/>
      </c>
      <c r="N967" s="3"/>
      <c r="O967" s="3"/>
      <c r="P967" s="3" t="str">
        <f>IFERROR(ROUND(INDEX('PROJETO PERFURAÇÃO'!$AB:$AB,MATCH(MEDIÇÃO!R967,'PROJETO PERFURAÇÃO'!$B:$B,0)),1)&amp;"''","")</f>
        <v/>
      </c>
      <c r="Q967" s="3" t="str">
        <f>IFERROR(IF(INDEX('PROJETO PERFURAÇÃO'!$P:$P,MATCH(MEDIÇÃO!R967,'PROJETO PERFURAÇÃO'!$B:$B,0))="Production","P",IF(INDEX('PROJETO PERFURAÇÃO'!$P:$P,MATCH(MEDIÇÃO!R967,'PROJETO PERFURAÇÃO'!$B:$B,0))="Buffer","B",IF(INDEX('PROJETO PERFURAÇÃO'!$P:$P,MATCH(MEDIÇÃO!R967,'PROJETO PERFURAÇÃO'!$B:$B,0))="Pre-Splitting","S"))),"")</f>
        <v/>
      </c>
      <c r="R967" s="14">
        <f>R966+1</f>
        <v>2187</v>
      </c>
      <c r="S967" s="4" t="str">
        <f>IFERROR(INDEX('LEV R&amp;D'!$D:$D,MATCH(MEDIÇÃO!R967,'LEV R&amp;D'!$A:$A,0))-INDEX('PROJETO PERFURAÇÃO'!$AH:$AH,MATCH(MEDIÇÃO!R967,'PROJETO PERFURAÇÃO'!$B:$B,0)),"")</f>
        <v/>
      </c>
      <c r="T967" s="8" t="str">
        <f>IFERROR(INDEX('PROJETO PERFURAÇÃO'!$AN:$AN,MATCH(MEDIÇÃO!R967,'PROJETO PERFURAÇÃO'!$B:$B,0)),"")</f>
        <v/>
      </c>
      <c r="U967" s="3"/>
      <c r="V967" s="3"/>
    </row>
    <row r="968" spans="1:23" ht="45" customHeight="1">
      <c r="B968" s="3" t="str">
        <f>IFERROR(ROUND(INDEX('PROJETO PERFURAÇÃO'!$AB:$AB,MATCH(MEDIÇÃO!D968,'PROJETO PERFURAÇÃO'!$B:$B,0)),1)&amp;"''","")</f>
        <v/>
      </c>
      <c r="C968" s="3" t="str">
        <f>IFERROR(IF(INDEX('PROJETO PERFURAÇÃO'!$P:$P,MATCH(MEDIÇÃO!D968,'PROJETO PERFURAÇÃO'!$B:$B,0))="Production","P",IF(INDEX('PROJETO PERFURAÇÃO'!$P:$P,MATCH(MEDIÇÃO!D968,'PROJETO PERFURAÇÃO'!$B:$B,0))="Buffer","B",IF(INDEX('PROJETO PERFURAÇÃO'!$P:$P,MATCH(MEDIÇÃO!D968,'PROJETO PERFURAÇÃO'!$B:$B,0))="Pre-Splitting","S"))),"")</f>
        <v/>
      </c>
      <c r="D968" s="14">
        <f t="shared" ref="D968:D988" si="93">D967+1</f>
        <v>2142</v>
      </c>
      <c r="E968" s="4" t="str">
        <f>IFERROR(INDEX('LEV R&amp;D'!$D:$D,MATCH(MEDIÇÃO!D968,'LEV R&amp;D'!$A:$A,0))-INDEX('PROJETO PERFURAÇÃO'!$AH:$AH,MATCH(MEDIÇÃO!D968,'PROJETO PERFURAÇÃO'!$B:$B,0)),"")</f>
        <v/>
      </c>
      <c r="F968" s="8" t="str">
        <f>IFERROR(INDEX('PROJETO PERFURAÇÃO'!$AN:$AN,MATCH(MEDIÇÃO!D968,'PROJETO PERFURAÇÃO'!$B:$B,0)),"")</f>
        <v/>
      </c>
      <c r="G968" s="3"/>
      <c r="H968" s="3"/>
      <c r="I968" s="3" t="str">
        <f>IFERROR(ROUND(INDEX('PROJETO PERFURAÇÃO'!$AB:$AB,MATCH(MEDIÇÃO!K968,'PROJETO PERFURAÇÃO'!$B:$B,0)),1)&amp;"''","")</f>
        <v/>
      </c>
      <c r="J968" s="3" t="str">
        <f>IFERROR(IF(INDEX('PROJETO PERFURAÇÃO'!$P:$P,MATCH(MEDIÇÃO!K968,'PROJETO PERFURAÇÃO'!$B:$B,0))="Production","P",IF(INDEX('PROJETO PERFURAÇÃO'!$P:$P,MATCH(MEDIÇÃO!K968,'PROJETO PERFURAÇÃO'!$B:$B,0))="Buffer","B",IF(INDEX('PROJETO PERFURAÇÃO'!$P:$P,MATCH(MEDIÇÃO!K968,'PROJETO PERFURAÇÃO'!$B:$B,0))="Pre-Splitting","S"))),"")</f>
        <v/>
      </c>
      <c r="K968" s="14">
        <f t="shared" ref="K968:K987" si="94">K967+1</f>
        <v>2165</v>
      </c>
      <c r="L968" s="4" t="str">
        <f>IFERROR(INDEX('LEV R&amp;D'!$D:$D,MATCH(MEDIÇÃO!K968,'LEV R&amp;D'!$A:$A,0))-INDEX('PROJETO PERFURAÇÃO'!$AH:$AH,MATCH(MEDIÇÃO!K968,'PROJETO PERFURAÇÃO'!$B:$B,0)),"")</f>
        <v/>
      </c>
      <c r="M968" s="8" t="str">
        <f>IFERROR(INDEX('PROJETO PERFURAÇÃO'!$AN:$AN,MATCH(MEDIÇÃO!K968,'PROJETO PERFURAÇÃO'!$B:$B,0)),"")</f>
        <v/>
      </c>
      <c r="N968" s="3"/>
      <c r="O968" s="3"/>
      <c r="P968" s="3" t="str">
        <f>IFERROR(ROUND(INDEX('PROJETO PERFURAÇÃO'!$AB:$AB,MATCH(MEDIÇÃO!R968,'PROJETO PERFURAÇÃO'!$B:$B,0)),1)&amp;"''","")</f>
        <v/>
      </c>
      <c r="Q968" s="3" t="str">
        <f>IFERROR(IF(INDEX('PROJETO PERFURAÇÃO'!$P:$P,MATCH(MEDIÇÃO!R968,'PROJETO PERFURAÇÃO'!$B:$B,0))="Production","P",IF(INDEX('PROJETO PERFURAÇÃO'!$P:$P,MATCH(MEDIÇÃO!R968,'PROJETO PERFURAÇÃO'!$B:$B,0))="Buffer","B",IF(INDEX('PROJETO PERFURAÇÃO'!$P:$P,MATCH(MEDIÇÃO!R968,'PROJETO PERFURAÇÃO'!$B:$B,0))="Pre-Splitting","S"))),"")</f>
        <v/>
      </c>
      <c r="R968" s="14">
        <f t="shared" ref="R968:R987" si="95">R967+1</f>
        <v>2188</v>
      </c>
      <c r="S968" s="4" t="str">
        <f>IFERROR(INDEX('LEV R&amp;D'!$D:$D,MATCH(MEDIÇÃO!R968,'LEV R&amp;D'!$A:$A,0))-INDEX('PROJETO PERFURAÇÃO'!$AH:$AH,MATCH(MEDIÇÃO!R968,'PROJETO PERFURAÇÃO'!$B:$B,0)),"")</f>
        <v/>
      </c>
      <c r="T968" s="8" t="str">
        <f>IFERROR(INDEX('PROJETO PERFURAÇÃO'!$AN:$AN,MATCH(MEDIÇÃO!R968,'PROJETO PERFURAÇÃO'!$B:$B,0)),"")</f>
        <v/>
      </c>
      <c r="U968" s="3"/>
      <c r="V968" s="3"/>
    </row>
    <row r="969" spans="1:23" ht="45" customHeight="1">
      <c r="B969" s="3" t="str">
        <f>IFERROR(ROUND(INDEX('PROJETO PERFURAÇÃO'!$AB:$AB,MATCH(MEDIÇÃO!D969,'PROJETO PERFURAÇÃO'!$B:$B,0)),1)&amp;"''","")</f>
        <v/>
      </c>
      <c r="C969" s="3" t="str">
        <f>IFERROR(IF(INDEX('PROJETO PERFURAÇÃO'!$P:$P,MATCH(MEDIÇÃO!D969,'PROJETO PERFURAÇÃO'!$B:$B,0))="Production","P",IF(INDEX('PROJETO PERFURAÇÃO'!$P:$P,MATCH(MEDIÇÃO!D969,'PROJETO PERFURAÇÃO'!$B:$B,0))="Buffer","B",IF(INDEX('PROJETO PERFURAÇÃO'!$P:$P,MATCH(MEDIÇÃO!D969,'PROJETO PERFURAÇÃO'!$B:$B,0))="Pre-Splitting","S"))),"")</f>
        <v/>
      </c>
      <c r="D969" s="14">
        <f t="shared" si="93"/>
        <v>2143</v>
      </c>
      <c r="E969" s="4" t="str">
        <f>IFERROR(INDEX('LEV R&amp;D'!$D:$D,MATCH(MEDIÇÃO!D969,'LEV R&amp;D'!$A:$A,0))-INDEX('PROJETO PERFURAÇÃO'!$AH:$AH,MATCH(MEDIÇÃO!D969,'PROJETO PERFURAÇÃO'!$B:$B,0)),"")</f>
        <v/>
      </c>
      <c r="F969" s="8" t="str">
        <f>IFERROR(INDEX('PROJETO PERFURAÇÃO'!$AN:$AN,MATCH(MEDIÇÃO!D969,'PROJETO PERFURAÇÃO'!$B:$B,0)),"")</f>
        <v/>
      </c>
      <c r="G969" s="3"/>
      <c r="H969" s="3"/>
      <c r="I969" s="3" t="str">
        <f>IFERROR(ROUND(INDEX('PROJETO PERFURAÇÃO'!$AB:$AB,MATCH(MEDIÇÃO!K969,'PROJETO PERFURAÇÃO'!$B:$B,0)),1)&amp;"''","")</f>
        <v/>
      </c>
      <c r="J969" s="3" t="str">
        <f>IFERROR(IF(INDEX('PROJETO PERFURAÇÃO'!$P:$P,MATCH(MEDIÇÃO!K969,'PROJETO PERFURAÇÃO'!$B:$B,0))="Production","P",IF(INDEX('PROJETO PERFURAÇÃO'!$P:$P,MATCH(MEDIÇÃO!K969,'PROJETO PERFURAÇÃO'!$B:$B,0))="Buffer","B",IF(INDEX('PROJETO PERFURAÇÃO'!$P:$P,MATCH(MEDIÇÃO!K969,'PROJETO PERFURAÇÃO'!$B:$B,0))="Pre-Splitting","S"))),"")</f>
        <v/>
      </c>
      <c r="K969" s="14">
        <f t="shared" si="94"/>
        <v>2166</v>
      </c>
      <c r="L969" s="4" t="str">
        <f>IFERROR(INDEX('LEV R&amp;D'!$D:$D,MATCH(MEDIÇÃO!K969,'LEV R&amp;D'!$A:$A,0))-INDEX('PROJETO PERFURAÇÃO'!$AH:$AH,MATCH(MEDIÇÃO!K969,'PROJETO PERFURAÇÃO'!$B:$B,0)),"")</f>
        <v/>
      </c>
      <c r="M969" s="8" t="str">
        <f>IFERROR(INDEX('PROJETO PERFURAÇÃO'!$AN:$AN,MATCH(MEDIÇÃO!K969,'PROJETO PERFURAÇÃO'!$B:$B,0)),"")</f>
        <v/>
      </c>
      <c r="N969" s="3"/>
      <c r="O969" s="3"/>
      <c r="P969" s="3" t="str">
        <f>IFERROR(ROUND(INDEX('PROJETO PERFURAÇÃO'!$AB:$AB,MATCH(MEDIÇÃO!R969,'PROJETO PERFURAÇÃO'!$B:$B,0)),1)&amp;"''","")</f>
        <v/>
      </c>
      <c r="Q969" s="3" t="str">
        <f>IFERROR(IF(INDEX('PROJETO PERFURAÇÃO'!$P:$P,MATCH(MEDIÇÃO!R969,'PROJETO PERFURAÇÃO'!$B:$B,0))="Production","P",IF(INDEX('PROJETO PERFURAÇÃO'!$P:$P,MATCH(MEDIÇÃO!R969,'PROJETO PERFURAÇÃO'!$B:$B,0))="Buffer","B",IF(INDEX('PROJETO PERFURAÇÃO'!$P:$P,MATCH(MEDIÇÃO!R969,'PROJETO PERFURAÇÃO'!$B:$B,0))="Pre-Splitting","S"))),"")</f>
        <v/>
      </c>
      <c r="R969" s="14">
        <f t="shared" si="95"/>
        <v>2189</v>
      </c>
      <c r="S969" s="4" t="str">
        <f>IFERROR(INDEX('LEV R&amp;D'!$D:$D,MATCH(MEDIÇÃO!R969,'LEV R&amp;D'!$A:$A,0))-INDEX('PROJETO PERFURAÇÃO'!$AH:$AH,MATCH(MEDIÇÃO!R969,'PROJETO PERFURAÇÃO'!$B:$B,0)),"")</f>
        <v/>
      </c>
      <c r="T969" s="8" t="str">
        <f>IFERROR(INDEX('PROJETO PERFURAÇÃO'!$AN:$AN,MATCH(MEDIÇÃO!R969,'PROJETO PERFURAÇÃO'!$B:$B,0)),"")</f>
        <v/>
      </c>
      <c r="U969" s="3"/>
      <c r="V969" s="3"/>
    </row>
    <row r="970" spans="1:23" ht="45" customHeight="1">
      <c r="B970" s="3" t="str">
        <f>IFERROR(ROUND(INDEX('PROJETO PERFURAÇÃO'!$AB:$AB,MATCH(MEDIÇÃO!D970,'PROJETO PERFURAÇÃO'!$B:$B,0)),1)&amp;"''","")</f>
        <v/>
      </c>
      <c r="C970" s="3" t="str">
        <f>IFERROR(IF(INDEX('PROJETO PERFURAÇÃO'!$P:$P,MATCH(MEDIÇÃO!D970,'PROJETO PERFURAÇÃO'!$B:$B,0))="Production","P",IF(INDEX('PROJETO PERFURAÇÃO'!$P:$P,MATCH(MEDIÇÃO!D970,'PROJETO PERFURAÇÃO'!$B:$B,0))="Buffer","B",IF(INDEX('PROJETO PERFURAÇÃO'!$P:$P,MATCH(MEDIÇÃO!D970,'PROJETO PERFURAÇÃO'!$B:$B,0))="Pre-Splitting","S"))),"")</f>
        <v/>
      </c>
      <c r="D970" s="14">
        <f t="shared" si="93"/>
        <v>2144</v>
      </c>
      <c r="E970" s="4" t="str">
        <f>IFERROR(INDEX('LEV R&amp;D'!$D:$D,MATCH(MEDIÇÃO!D970,'LEV R&amp;D'!$A:$A,0))-INDEX('PROJETO PERFURAÇÃO'!$AH:$AH,MATCH(MEDIÇÃO!D970,'PROJETO PERFURAÇÃO'!$B:$B,0)),"")</f>
        <v/>
      </c>
      <c r="F970" s="8" t="str">
        <f>IFERROR(INDEX('PROJETO PERFURAÇÃO'!$AN:$AN,MATCH(MEDIÇÃO!D970,'PROJETO PERFURAÇÃO'!$B:$B,0)),"")</f>
        <v/>
      </c>
      <c r="G970" s="3"/>
      <c r="H970" s="3"/>
      <c r="I970" s="3" t="str">
        <f>IFERROR(ROUND(INDEX('PROJETO PERFURAÇÃO'!$AB:$AB,MATCH(MEDIÇÃO!K970,'PROJETO PERFURAÇÃO'!$B:$B,0)),1)&amp;"''","")</f>
        <v/>
      </c>
      <c r="J970" s="3" t="str">
        <f>IFERROR(IF(INDEX('PROJETO PERFURAÇÃO'!$P:$P,MATCH(MEDIÇÃO!K970,'PROJETO PERFURAÇÃO'!$B:$B,0))="Production","P",IF(INDEX('PROJETO PERFURAÇÃO'!$P:$P,MATCH(MEDIÇÃO!K970,'PROJETO PERFURAÇÃO'!$B:$B,0))="Buffer","B",IF(INDEX('PROJETO PERFURAÇÃO'!$P:$P,MATCH(MEDIÇÃO!K970,'PROJETO PERFURAÇÃO'!$B:$B,0))="Pre-Splitting","S"))),"")</f>
        <v/>
      </c>
      <c r="K970" s="14">
        <f t="shared" si="94"/>
        <v>2167</v>
      </c>
      <c r="L970" s="4" t="str">
        <f>IFERROR(INDEX('LEV R&amp;D'!$D:$D,MATCH(MEDIÇÃO!K970,'LEV R&amp;D'!$A:$A,0))-INDEX('PROJETO PERFURAÇÃO'!$AH:$AH,MATCH(MEDIÇÃO!K970,'PROJETO PERFURAÇÃO'!$B:$B,0)),"")</f>
        <v/>
      </c>
      <c r="M970" s="8" t="str">
        <f>IFERROR(INDEX('PROJETO PERFURAÇÃO'!$AN:$AN,MATCH(MEDIÇÃO!K970,'PROJETO PERFURAÇÃO'!$B:$B,0)),"")</f>
        <v/>
      </c>
      <c r="N970" s="3"/>
      <c r="O970" s="3"/>
      <c r="P970" s="3" t="str">
        <f>IFERROR(ROUND(INDEX('PROJETO PERFURAÇÃO'!$AB:$AB,MATCH(MEDIÇÃO!R970,'PROJETO PERFURAÇÃO'!$B:$B,0)),1)&amp;"''","")</f>
        <v/>
      </c>
      <c r="Q970" s="3" t="str">
        <f>IFERROR(IF(INDEX('PROJETO PERFURAÇÃO'!$P:$P,MATCH(MEDIÇÃO!R970,'PROJETO PERFURAÇÃO'!$B:$B,0))="Production","P",IF(INDEX('PROJETO PERFURAÇÃO'!$P:$P,MATCH(MEDIÇÃO!R970,'PROJETO PERFURAÇÃO'!$B:$B,0))="Buffer","B",IF(INDEX('PROJETO PERFURAÇÃO'!$P:$P,MATCH(MEDIÇÃO!R970,'PROJETO PERFURAÇÃO'!$B:$B,0))="Pre-Splitting","S"))),"")</f>
        <v/>
      </c>
      <c r="R970" s="14">
        <f t="shared" si="95"/>
        <v>2190</v>
      </c>
      <c r="S970" s="4" t="str">
        <f>IFERROR(INDEX('LEV R&amp;D'!$D:$D,MATCH(MEDIÇÃO!R970,'LEV R&amp;D'!$A:$A,0))-INDEX('PROJETO PERFURAÇÃO'!$AH:$AH,MATCH(MEDIÇÃO!R970,'PROJETO PERFURAÇÃO'!$B:$B,0)),"")</f>
        <v/>
      </c>
      <c r="T970" s="8" t="str">
        <f>IFERROR(INDEX('PROJETO PERFURAÇÃO'!$AN:$AN,MATCH(MEDIÇÃO!R970,'PROJETO PERFURAÇÃO'!$B:$B,0)),"")</f>
        <v/>
      </c>
      <c r="U970" s="3"/>
      <c r="V970" s="3"/>
    </row>
    <row r="971" spans="1:23" ht="45" customHeight="1">
      <c r="B971" s="3" t="str">
        <f>IFERROR(ROUND(INDEX('PROJETO PERFURAÇÃO'!$AB:$AB,MATCH(MEDIÇÃO!D971,'PROJETO PERFURAÇÃO'!$B:$B,0)),1)&amp;"''","")</f>
        <v/>
      </c>
      <c r="C971" s="3" t="str">
        <f>IFERROR(IF(INDEX('PROJETO PERFURAÇÃO'!$P:$P,MATCH(MEDIÇÃO!D971,'PROJETO PERFURAÇÃO'!$B:$B,0))="Production","P",IF(INDEX('PROJETO PERFURAÇÃO'!$P:$P,MATCH(MEDIÇÃO!D971,'PROJETO PERFURAÇÃO'!$B:$B,0))="Buffer","B",IF(INDEX('PROJETO PERFURAÇÃO'!$P:$P,MATCH(MEDIÇÃO!D971,'PROJETO PERFURAÇÃO'!$B:$B,0))="Pre-Splitting","S"))),"")</f>
        <v/>
      </c>
      <c r="D971" s="14">
        <f t="shared" si="93"/>
        <v>2145</v>
      </c>
      <c r="E971" s="4" t="str">
        <f>IFERROR(INDEX('LEV R&amp;D'!$D:$D,MATCH(MEDIÇÃO!D971,'LEV R&amp;D'!$A:$A,0))-INDEX('PROJETO PERFURAÇÃO'!$AH:$AH,MATCH(MEDIÇÃO!D971,'PROJETO PERFURAÇÃO'!$B:$B,0)),"")</f>
        <v/>
      </c>
      <c r="F971" s="8" t="str">
        <f>IFERROR(INDEX('PROJETO PERFURAÇÃO'!$AN:$AN,MATCH(MEDIÇÃO!D971,'PROJETO PERFURAÇÃO'!$B:$B,0)),"")</f>
        <v/>
      </c>
      <c r="G971" s="3"/>
      <c r="H971" s="3"/>
      <c r="I971" s="3" t="str">
        <f>IFERROR(ROUND(INDEX('PROJETO PERFURAÇÃO'!$AB:$AB,MATCH(MEDIÇÃO!K971,'PROJETO PERFURAÇÃO'!$B:$B,0)),1)&amp;"''","")</f>
        <v/>
      </c>
      <c r="J971" s="3" t="str">
        <f>IFERROR(IF(INDEX('PROJETO PERFURAÇÃO'!$P:$P,MATCH(MEDIÇÃO!K971,'PROJETO PERFURAÇÃO'!$B:$B,0))="Production","P",IF(INDEX('PROJETO PERFURAÇÃO'!$P:$P,MATCH(MEDIÇÃO!K971,'PROJETO PERFURAÇÃO'!$B:$B,0))="Buffer","B",IF(INDEX('PROJETO PERFURAÇÃO'!$P:$P,MATCH(MEDIÇÃO!K971,'PROJETO PERFURAÇÃO'!$B:$B,0))="Pre-Splitting","S"))),"")</f>
        <v/>
      </c>
      <c r="K971" s="14">
        <f t="shared" si="94"/>
        <v>2168</v>
      </c>
      <c r="L971" s="4" t="str">
        <f>IFERROR(INDEX('LEV R&amp;D'!$D:$D,MATCH(MEDIÇÃO!K971,'LEV R&amp;D'!$A:$A,0))-INDEX('PROJETO PERFURAÇÃO'!$AH:$AH,MATCH(MEDIÇÃO!K971,'PROJETO PERFURAÇÃO'!$B:$B,0)),"")</f>
        <v/>
      </c>
      <c r="M971" s="8" t="str">
        <f>IFERROR(INDEX('PROJETO PERFURAÇÃO'!$AN:$AN,MATCH(MEDIÇÃO!K971,'PROJETO PERFURAÇÃO'!$B:$B,0)),"")</f>
        <v/>
      </c>
      <c r="N971" s="3"/>
      <c r="O971" s="3"/>
      <c r="P971" s="3" t="str">
        <f>IFERROR(ROUND(INDEX('PROJETO PERFURAÇÃO'!$AB:$AB,MATCH(MEDIÇÃO!R971,'PROJETO PERFURAÇÃO'!$B:$B,0)),1)&amp;"''","")</f>
        <v/>
      </c>
      <c r="Q971" s="3" t="str">
        <f>IFERROR(IF(INDEX('PROJETO PERFURAÇÃO'!$P:$P,MATCH(MEDIÇÃO!R971,'PROJETO PERFURAÇÃO'!$B:$B,0))="Production","P",IF(INDEX('PROJETO PERFURAÇÃO'!$P:$P,MATCH(MEDIÇÃO!R971,'PROJETO PERFURAÇÃO'!$B:$B,0))="Buffer","B",IF(INDEX('PROJETO PERFURAÇÃO'!$P:$P,MATCH(MEDIÇÃO!R971,'PROJETO PERFURAÇÃO'!$B:$B,0))="Pre-Splitting","S"))),"")</f>
        <v/>
      </c>
      <c r="R971" s="14">
        <f t="shared" si="95"/>
        <v>2191</v>
      </c>
      <c r="S971" s="4" t="str">
        <f>IFERROR(INDEX('LEV R&amp;D'!$D:$D,MATCH(MEDIÇÃO!R971,'LEV R&amp;D'!$A:$A,0))-INDEX('PROJETO PERFURAÇÃO'!$AH:$AH,MATCH(MEDIÇÃO!R971,'PROJETO PERFURAÇÃO'!$B:$B,0)),"")</f>
        <v/>
      </c>
      <c r="T971" s="8" t="str">
        <f>IFERROR(INDEX('PROJETO PERFURAÇÃO'!$AN:$AN,MATCH(MEDIÇÃO!R971,'PROJETO PERFURAÇÃO'!$B:$B,0)),"")</f>
        <v/>
      </c>
      <c r="U971" s="3"/>
      <c r="V971" s="3"/>
    </row>
    <row r="972" spans="1:23" ht="45" customHeight="1">
      <c r="B972" s="3" t="str">
        <f>IFERROR(ROUND(INDEX('PROJETO PERFURAÇÃO'!$AB:$AB,MATCH(MEDIÇÃO!D972,'PROJETO PERFURAÇÃO'!$B:$B,0)),1)&amp;"''","")</f>
        <v/>
      </c>
      <c r="C972" s="3" t="str">
        <f>IFERROR(IF(INDEX('PROJETO PERFURAÇÃO'!$P:$P,MATCH(MEDIÇÃO!D972,'PROJETO PERFURAÇÃO'!$B:$B,0))="Production","P",IF(INDEX('PROJETO PERFURAÇÃO'!$P:$P,MATCH(MEDIÇÃO!D972,'PROJETO PERFURAÇÃO'!$B:$B,0))="Buffer","B",IF(INDEX('PROJETO PERFURAÇÃO'!$P:$P,MATCH(MEDIÇÃO!D972,'PROJETO PERFURAÇÃO'!$B:$B,0))="Pre-Splitting","S"))),"")</f>
        <v/>
      </c>
      <c r="D972" s="14">
        <f t="shared" si="93"/>
        <v>2146</v>
      </c>
      <c r="E972" s="4" t="str">
        <f>IFERROR(INDEX('LEV R&amp;D'!$D:$D,MATCH(MEDIÇÃO!D972,'LEV R&amp;D'!$A:$A,0))-INDEX('PROJETO PERFURAÇÃO'!$AH:$AH,MATCH(MEDIÇÃO!D972,'PROJETO PERFURAÇÃO'!$B:$B,0)),"")</f>
        <v/>
      </c>
      <c r="F972" s="8" t="str">
        <f>IFERROR(INDEX('PROJETO PERFURAÇÃO'!$AN:$AN,MATCH(MEDIÇÃO!D972,'PROJETO PERFURAÇÃO'!$B:$B,0)),"")</f>
        <v/>
      </c>
      <c r="G972" s="3"/>
      <c r="H972" s="3"/>
      <c r="I972" s="3" t="str">
        <f>IFERROR(ROUND(INDEX('PROJETO PERFURAÇÃO'!$AB:$AB,MATCH(MEDIÇÃO!K972,'PROJETO PERFURAÇÃO'!$B:$B,0)),1)&amp;"''","")</f>
        <v/>
      </c>
      <c r="J972" s="3" t="str">
        <f>IFERROR(IF(INDEX('PROJETO PERFURAÇÃO'!$P:$P,MATCH(MEDIÇÃO!K972,'PROJETO PERFURAÇÃO'!$B:$B,0))="Production","P",IF(INDEX('PROJETO PERFURAÇÃO'!$P:$P,MATCH(MEDIÇÃO!K972,'PROJETO PERFURAÇÃO'!$B:$B,0))="Buffer","B",IF(INDEX('PROJETO PERFURAÇÃO'!$P:$P,MATCH(MEDIÇÃO!K972,'PROJETO PERFURAÇÃO'!$B:$B,0))="Pre-Splitting","S"))),"")</f>
        <v/>
      </c>
      <c r="K972" s="14">
        <f t="shared" si="94"/>
        <v>2169</v>
      </c>
      <c r="L972" s="4" t="str">
        <f>IFERROR(INDEX('LEV R&amp;D'!$D:$D,MATCH(MEDIÇÃO!K972,'LEV R&amp;D'!$A:$A,0))-INDEX('PROJETO PERFURAÇÃO'!$AH:$AH,MATCH(MEDIÇÃO!K972,'PROJETO PERFURAÇÃO'!$B:$B,0)),"")</f>
        <v/>
      </c>
      <c r="M972" s="8" t="str">
        <f>IFERROR(INDEX('PROJETO PERFURAÇÃO'!$AN:$AN,MATCH(MEDIÇÃO!K972,'PROJETO PERFURAÇÃO'!$B:$B,0)),"")</f>
        <v/>
      </c>
      <c r="N972" s="3"/>
      <c r="O972" s="3"/>
      <c r="P972" s="3" t="str">
        <f>IFERROR(ROUND(INDEX('PROJETO PERFURAÇÃO'!$AB:$AB,MATCH(MEDIÇÃO!R972,'PROJETO PERFURAÇÃO'!$B:$B,0)),1)&amp;"''","")</f>
        <v/>
      </c>
      <c r="Q972" s="3" t="str">
        <f>IFERROR(IF(INDEX('PROJETO PERFURAÇÃO'!$P:$P,MATCH(MEDIÇÃO!R972,'PROJETO PERFURAÇÃO'!$B:$B,0))="Production","P",IF(INDEX('PROJETO PERFURAÇÃO'!$P:$P,MATCH(MEDIÇÃO!R972,'PROJETO PERFURAÇÃO'!$B:$B,0))="Buffer","B",IF(INDEX('PROJETO PERFURAÇÃO'!$P:$P,MATCH(MEDIÇÃO!R972,'PROJETO PERFURAÇÃO'!$B:$B,0))="Pre-Splitting","S"))),"")</f>
        <v/>
      </c>
      <c r="R972" s="14">
        <f t="shared" si="95"/>
        <v>2192</v>
      </c>
      <c r="S972" s="4" t="str">
        <f>IFERROR(INDEX('LEV R&amp;D'!$D:$D,MATCH(MEDIÇÃO!R972,'LEV R&amp;D'!$A:$A,0))-INDEX('PROJETO PERFURAÇÃO'!$AH:$AH,MATCH(MEDIÇÃO!R972,'PROJETO PERFURAÇÃO'!$B:$B,0)),"")</f>
        <v/>
      </c>
      <c r="T972" s="8" t="str">
        <f>IFERROR(INDEX('PROJETO PERFURAÇÃO'!$AN:$AN,MATCH(MEDIÇÃO!R972,'PROJETO PERFURAÇÃO'!$B:$B,0)),"")</f>
        <v/>
      </c>
      <c r="U972" s="3"/>
      <c r="V972" s="3"/>
    </row>
    <row r="973" spans="1:23" ht="45" customHeight="1">
      <c r="B973" s="3" t="str">
        <f>IFERROR(ROUND(INDEX('PROJETO PERFURAÇÃO'!$AB:$AB,MATCH(MEDIÇÃO!D973,'PROJETO PERFURAÇÃO'!$B:$B,0)),1)&amp;"''","")</f>
        <v/>
      </c>
      <c r="C973" s="3" t="str">
        <f>IFERROR(IF(INDEX('PROJETO PERFURAÇÃO'!$P:$P,MATCH(MEDIÇÃO!D973,'PROJETO PERFURAÇÃO'!$B:$B,0))="Production","P",IF(INDEX('PROJETO PERFURAÇÃO'!$P:$P,MATCH(MEDIÇÃO!D973,'PROJETO PERFURAÇÃO'!$B:$B,0))="Buffer","B",IF(INDEX('PROJETO PERFURAÇÃO'!$P:$P,MATCH(MEDIÇÃO!D973,'PROJETO PERFURAÇÃO'!$B:$B,0))="Pre-Splitting","S"))),"")</f>
        <v/>
      </c>
      <c r="D973" s="14">
        <f t="shared" si="93"/>
        <v>2147</v>
      </c>
      <c r="E973" s="4" t="str">
        <f>IFERROR(INDEX('LEV R&amp;D'!$D:$D,MATCH(MEDIÇÃO!D973,'LEV R&amp;D'!$A:$A,0))-INDEX('PROJETO PERFURAÇÃO'!$AH:$AH,MATCH(MEDIÇÃO!D973,'PROJETO PERFURAÇÃO'!$B:$B,0)),"")</f>
        <v/>
      </c>
      <c r="F973" s="8" t="str">
        <f>IFERROR(INDEX('PROJETO PERFURAÇÃO'!$AN:$AN,MATCH(MEDIÇÃO!D973,'PROJETO PERFURAÇÃO'!$B:$B,0)),"")</f>
        <v/>
      </c>
      <c r="G973" s="3"/>
      <c r="H973" s="3"/>
      <c r="I973" s="3" t="str">
        <f>IFERROR(ROUND(INDEX('PROJETO PERFURAÇÃO'!$AB:$AB,MATCH(MEDIÇÃO!K973,'PROJETO PERFURAÇÃO'!$B:$B,0)),1)&amp;"''","")</f>
        <v/>
      </c>
      <c r="J973" s="3" t="str">
        <f>IFERROR(IF(INDEX('PROJETO PERFURAÇÃO'!$P:$P,MATCH(MEDIÇÃO!K973,'PROJETO PERFURAÇÃO'!$B:$B,0))="Production","P",IF(INDEX('PROJETO PERFURAÇÃO'!$P:$P,MATCH(MEDIÇÃO!K973,'PROJETO PERFURAÇÃO'!$B:$B,0))="Buffer","B",IF(INDEX('PROJETO PERFURAÇÃO'!$P:$P,MATCH(MEDIÇÃO!K973,'PROJETO PERFURAÇÃO'!$B:$B,0))="Pre-Splitting","S"))),"")</f>
        <v/>
      </c>
      <c r="K973" s="14">
        <f t="shared" si="94"/>
        <v>2170</v>
      </c>
      <c r="L973" s="4" t="str">
        <f>IFERROR(INDEX('LEV R&amp;D'!$D:$D,MATCH(MEDIÇÃO!K973,'LEV R&amp;D'!$A:$A,0))-INDEX('PROJETO PERFURAÇÃO'!$AH:$AH,MATCH(MEDIÇÃO!K973,'PROJETO PERFURAÇÃO'!$B:$B,0)),"")</f>
        <v/>
      </c>
      <c r="M973" s="8" t="str">
        <f>IFERROR(INDEX('PROJETO PERFURAÇÃO'!$AN:$AN,MATCH(MEDIÇÃO!K973,'PROJETO PERFURAÇÃO'!$B:$B,0)),"")</f>
        <v/>
      </c>
      <c r="N973" s="3"/>
      <c r="O973" s="3"/>
      <c r="P973" s="3" t="str">
        <f>IFERROR(ROUND(INDEX('PROJETO PERFURAÇÃO'!$AB:$AB,MATCH(MEDIÇÃO!R973,'PROJETO PERFURAÇÃO'!$B:$B,0)),1)&amp;"''","")</f>
        <v/>
      </c>
      <c r="Q973" s="3" t="str">
        <f>IFERROR(IF(INDEX('PROJETO PERFURAÇÃO'!$P:$P,MATCH(MEDIÇÃO!R973,'PROJETO PERFURAÇÃO'!$B:$B,0))="Production","P",IF(INDEX('PROJETO PERFURAÇÃO'!$P:$P,MATCH(MEDIÇÃO!R973,'PROJETO PERFURAÇÃO'!$B:$B,0))="Buffer","B",IF(INDEX('PROJETO PERFURAÇÃO'!$P:$P,MATCH(MEDIÇÃO!R973,'PROJETO PERFURAÇÃO'!$B:$B,0))="Pre-Splitting","S"))),"")</f>
        <v/>
      </c>
      <c r="R973" s="14">
        <f t="shared" si="95"/>
        <v>2193</v>
      </c>
      <c r="S973" s="4" t="str">
        <f>IFERROR(INDEX('LEV R&amp;D'!$D:$D,MATCH(MEDIÇÃO!R973,'LEV R&amp;D'!$A:$A,0))-INDEX('PROJETO PERFURAÇÃO'!$AH:$AH,MATCH(MEDIÇÃO!R973,'PROJETO PERFURAÇÃO'!$B:$B,0)),"")</f>
        <v/>
      </c>
      <c r="T973" s="8" t="str">
        <f>IFERROR(INDEX('PROJETO PERFURAÇÃO'!$AN:$AN,MATCH(MEDIÇÃO!R973,'PROJETO PERFURAÇÃO'!$B:$B,0)),"")</f>
        <v/>
      </c>
      <c r="U973" s="3"/>
      <c r="V973" s="3"/>
    </row>
    <row r="974" spans="1:23" ht="45" customHeight="1">
      <c r="B974" s="3" t="str">
        <f>IFERROR(ROUND(INDEX('PROJETO PERFURAÇÃO'!$AB:$AB,MATCH(MEDIÇÃO!D974,'PROJETO PERFURAÇÃO'!$B:$B,0)),1)&amp;"''","")</f>
        <v/>
      </c>
      <c r="C974" s="3" t="str">
        <f>IFERROR(IF(INDEX('PROJETO PERFURAÇÃO'!$P:$P,MATCH(MEDIÇÃO!D974,'PROJETO PERFURAÇÃO'!$B:$B,0))="Production","P",IF(INDEX('PROJETO PERFURAÇÃO'!$P:$P,MATCH(MEDIÇÃO!D974,'PROJETO PERFURAÇÃO'!$B:$B,0))="Buffer","B",IF(INDEX('PROJETO PERFURAÇÃO'!$P:$P,MATCH(MEDIÇÃO!D974,'PROJETO PERFURAÇÃO'!$B:$B,0))="Pre-Splitting","S"))),"")</f>
        <v/>
      </c>
      <c r="D974" s="14">
        <f t="shared" si="93"/>
        <v>2148</v>
      </c>
      <c r="E974" s="4" t="str">
        <f>IFERROR(INDEX('LEV R&amp;D'!$D:$D,MATCH(MEDIÇÃO!D974,'LEV R&amp;D'!$A:$A,0))-INDEX('PROJETO PERFURAÇÃO'!$AH:$AH,MATCH(MEDIÇÃO!D974,'PROJETO PERFURAÇÃO'!$B:$B,0)),"")</f>
        <v/>
      </c>
      <c r="F974" s="8" t="str">
        <f>IFERROR(INDEX('PROJETO PERFURAÇÃO'!$AN:$AN,MATCH(MEDIÇÃO!D974,'PROJETO PERFURAÇÃO'!$B:$B,0)),"")</f>
        <v/>
      </c>
      <c r="G974" s="3"/>
      <c r="H974" s="3"/>
      <c r="I974" s="3" t="str">
        <f>IFERROR(ROUND(INDEX('PROJETO PERFURAÇÃO'!$AB:$AB,MATCH(MEDIÇÃO!K974,'PROJETO PERFURAÇÃO'!$B:$B,0)),1)&amp;"''","")</f>
        <v/>
      </c>
      <c r="J974" s="3" t="str">
        <f>IFERROR(IF(INDEX('PROJETO PERFURAÇÃO'!$P:$P,MATCH(MEDIÇÃO!K974,'PROJETO PERFURAÇÃO'!$B:$B,0))="Production","P",IF(INDEX('PROJETO PERFURAÇÃO'!$P:$P,MATCH(MEDIÇÃO!K974,'PROJETO PERFURAÇÃO'!$B:$B,0))="Buffer","B",IF(INDEX('PROJETO PERFURAÇÃO'!$P:$P,MATCH(MEDIÇÃO!K974,'PROJETO PERFURAÇÃO'!$B:$B,0))="Pre-Splitting","S"))),"")</f>
        <v/>
      </c>
      <c r="K974" s="14">
        <f t="shared" si="94"/>
        <v>2171</v>
      </c>
      <c r="L974" s="4" t="str">
        <f>IFERROR(INDEX('LEV R&amp;D'!$D:$D,MATCH(MEDIÇÃO!K974,'LEV R&amp;D'!$A:$A,0))-INDEX('PROJETO PERFURAÇÃO'!$AH:$AH,MATCH(MEDIÇÃO!K974,'PROJETO PERFURAÇÃO'!$B:$B,0)),"")</f>
        <v/>
      </c>
      <c r="M974" s="8" t="str">
        <f>IFERROR(INDEX('PROJETO PERFURAÇÃO'!$AN:$AN,MATCH(MEDIÇÃO!K974,'PROJETO PERFURAÇÃO'!$B:$B,0)),"")</f>
        <v/>
      </c>
      <c r="N974" s="3"/>
      <c r="O974" s="3"/>
      <c r="P974" s="3" t="str">
        <f>IFERROR(ROUND(INDEX('PROJETO PERFURAÇÃO'!$AB:$AB,MATCH(MEDIÇÃO!R974,'PROJETO PERFURAÇÃO'!$B:$B,0)),1)&amp;"''","")</f>
        <v/>
      </c>
      <c r="Q974" s="3" t="str">
        <f>IFERROR(IF(INDEX('PROJETO PERFURAÇÃO'!$P:$P,MATCH(MEDIÇÃO!R974,'PROJETO PERFURAÇÃO'!$B:$B,0))="Production","P",IF(INDEX('PROJETO PERFURAÇÃO'!$P:$P,MATCH(MEDIÇÃO!R974,'PROJETO PERFURAÇÃO'!$B:$B,0))="Buffer","B",IF(INDEX('PROJETO PERFURAÇÃO'!$P:$P,MATCH(MEDIÇÃO!R974,'PROJETO PERFURAÇÃO'!$B:$B,0))="Pre-Splitting","S"))),"")</f>
        <v/>
      </c>
      <c r="R974" s="14">
        <f t="shared" si="95"/>
        <v>2194</v>
      </c>
      <c r="S974" s="4" t="str">
        <f>IFERROR(INDEX('LEV R&amp;D'!$D:$D,MATCH(MEDIÇÃO!R974,'LEV R&amp;D'!$A:$A,0))-INDEX('PROJETO PERFURAÇÃO'!$AH:$AH,MATCH(MEDIÇÃO!R974,'PROJETO PERFURAÇÃO'!$B:$B,0)),"")</f>
        <v/>
      </c>
      <c r="T974" s="8" t="str">
        <f>IFERROR(INDEX('PROJETO PERFURAÇÃO'!$AN:$AN,MATCH(MEDIÇÃO!R974,'PROJETO PERFURAÇÃO'!$B:$B,0)),"")</f>
        <v/>
      </c>
      <c r="U974" s="3"/>
      <c r="V974" s="3"/>
    </row>
    <row r="975" spans="1:23" ht="45" customHeight="1">
      <c r="B975" s="3" t="str">
        <f>IFERROR(ROUND(INDEX('PROJETO PERFURAÇÃO'!$AB:$AB,MATCH(MEDIÇÃO!D975,'PROJETO PERFURAÇÃO'!$B:$B,0)),1)&amp;"''","")</f>
        <v/>
      </c>
      <c r="C975" s="3" t="str">
        <f>IFERROR(IF(INDEX('PROJETO PERFURAÇÃO'!$P:$P,MATCH(MEDIÇÃO!D975,'PROJETO PERFURAÇÃO'!$B:$B,0))="Production","P",IF(INDEX('PROJETO PERFURAÇÃO'!$P:$P,MATCH(MEDIÇÃO!D975,'PROJETO PERFURAÇÃO'!$B:$B,0))="Buffer","B",IF(INDEX('PROJETO PERFURAÇÃO'!$P:$P,MATCH(MEDIÇÃO!D975,'PROJETO PERFURAÇÃO'!$B:$B,0))="Pre-Splitting","S"))),"")</f>
        <v/>
      </c>
      <c r="D975" s="14">
        <f t="shared" si="93"/>
        <v>2149</v>
      </c>
      <c r="E975" s="4" t="str">
        <f>IFERROR(INDEX('LEV R&amp;D'!$D:$D,MATCH(MEDIÇÃO!D975,'LEV R&amp;D'!$A:$A,0))-INDEX('PROJETO PERFURAÇÃO'!$AH:$AH,MATCH(MEDIÇÃO!D975,'PROJETO PERFURAÇÃO'!$B:$B,0)),"")</f>
        <v/>
      </c>
      <c r="F975" s="8" t="str">
        <f>IFERROR(INDEX('PROJETO PERFURAÇÃO'!$AN:$AN,MATCH(MEDIÇÃO!D975,'PROJETO PERFURAÇÃO'!$B:$B,0)),"")</f>
        <v/>
      </c>
      <c r="G975" s="3"/>
      <c r="H975" s="3"/>
      <c r="I975" s="3" t="str">
        <f>IFERROR(ROUND(INDEX('PROJETO PERFURAÇÃO'!$AB:$AB,MATCH(MEDIÇÃO!K975,'PROJETO PERFURAÇÃO'!$B:$B,0)),1)&amp;"''","")</f>
        <v/>
      </c>
      <c r="J975" s="3" t="str">
        <f>IFERROR(IF(INDEX('PROJETO PERFURAÇÃO'!$P:$P,MATCH(MEDIÇÃO!K975,'PROJETO PERFURAÇÃO'!$B:$B,0))="Production","P",IF(INDEX('PROJETO PERFURAÇÃO'!$P:$P,MATCH(MEDIÇÃO!K975,'PROJETO PERFURAÇÃO'!$B:$B,0))="Buffer","B",IF(INDEX('PROJETO PERFURAÇÃO'!$P:$P,MATCH(MEDIÇÃO!K975,'PROJETO PERFURAÇÃO'!$B:$B,0))="Pre-Splitting","S"))),"")</f>
        <v/>
      </c>
      <c r="K975" s="14">
        <f t="shared" si="94"/>
        <v>2172</v>
      </c>
      <c r="L975" s="4" t="str">
        <f>IFERROR(INDEX('LEV R&amp;D'!$D:$D,MATCH(MEDIÇÃO!K975,'LEV R&amp;D'!$A:$A,0))-INDEX('PROJETO PERFURAÇÃO'!$AH:$AH,MATCH(MEDIÇÃO!K975,'PROJETO PERFURAÇÃO'!$B:$B,0)),"")</f>
        <v/>
      </c>
      <c r="M975" s="8" t="str">
        <f>IFERROR(INDEX('PROJETO PERFURAÇÃO'!$AN:$AN,MATCH(MEDIÇÃO!K975,'PROJETO PERFURAÇÃO'!$B:$B,0)),"")</f>
        <v/>
      </c>
      <c r="N975" s="3"/>
      <c r="O975" s="3"/>
      <c r="P975" s="3" t="str">
        <f>IFERROR(ROUND(INDEX('PROJETO PERFURAÇÃO'!$AB:$AB,MATCH(MEDIÇÃO!R975,'PROJETO PERFURAÇÃO'!$B:$B,0)),1)&amp;"''","")</f>
        <v/>
      </c>
      <c r="Q975" s="3" t="str">
        <f>IFERROR(IF(INDEX('PROJETO PERFURAÇÃO'!$P:$P,MATCH(MEDIÇÃO!R975,'PROJETO PERFURAÇÃO'!$B:$B,0))="Production","P",IF(INDEX('PROJETO PERFURAÇÃO'!$P:$P,MATCH(MEDIÇÃO!R975,'PROJETO PERFURAÇÃO'!$B:$B,0))="Buffer","B",IF(INDEX('PROJETO PERFURAÇÃO'!$P:$P,MATCH(MEDIÇÃO!R975,'PROJETO PERFURAÇÃO'!$B:$B,0))="Pre-Splitting","S"))),"")</f>
        <v/>
      </c>
      <c r="R975" s="14">
        <f t="shared" si="95"/>
        <v>2195</v>
      </c>
      <c r="S975" s="4" t="str">
        <f>IFERROR(INDEX('LEV R&amp;D'!$D:$D,MATCH(MEDIÇÃO!R975,'LEV R&amp;D'!$A:$A,0))-INDEX('PROJETO PERFURAÇÃO'!$AH:$AH,MATCH(MEDIÇÃO!R975,'PROJETO PERFURAÇÃO'!$B:$B,0)),"")</f>
        <v/>
      </c>
      <c r="T975" s="8" t="str">
        <f>IFERROR(INDEX('PROJETO PERFURAÇÃO'!$AN:$AN,MATCH(MEDIÇÃO!R975,'PROJETO PERFURAÇÃO'!$B:$B,0)),"")</f>
        <v/>
      </c>
      <c r="U975" s="3"/>
      <c r="V975" s="3"/>
    </row>
    <row r="976" spans="1:23" ht="45" customHeight="1">
      <c r="B976" s="3" t="str">
        <f>IFERROR(ROUND(INDEX('PROJETO PERFURAÇÃO'!$AB:$AB,MATCH(MEDIÇÃO!D976,'PROJETO PERFURAÇÃO'!$B:$B,0)),1)&amp;"''","")</f>
        <v/>
      </c>
      <c r="C976" s="3" t="str">
        <f>IFERROR(IF(INDEX('PROJETO PERFURAÇÃO'!$P:$P,MATCH(MEDIÇÃO!D976,'PROJETO PERFURAÇÃO'!$B:$B,0))="Production","P",IF(INDEX('PROJETO PERFURAÇÃO'!$P:$P,MATCH(MEDIÇÃO!D976,'PROJETO PERFURAÇÃO'!$B:$B,0))="Buffer","B",IF(INDEX('PROJETO PERFURAÇÃO'!$P:$P,MATCH(MEDIÇÃO!D976,'PROJETO PERFURAÇÃO'!$B:$B,0))="Pre-Splitting","S"))),"")</f>
        <v/>
      </c>
      <c r="D976" s="14">
        <f t="shared" si="93"/>
        <v>2150</v>
      </c>
      <c r="E976" s="4" t="str">
        <f>IFERROR(INDEX('LEV R&amp;D'!$D:$D,MATCH(MEDIÇÃO!D976,'LEV R&amp;D'!$A:$A,0))-INDEX('PROJETO PERFURAÇÃO'!$AH:$AH,MATCH(MEDIÇÃO!D976,'PROJETO PERFURAÇÃO'!$B:$B,0)),"")</f>
        <v/>
      </c>
      <c r="F976" s="8" t="str">
        <f>IFERROR(INDEX('PROJETO PERFURAÇÃO'!$AN:$AN,MATCH(MEDIÇÃO!D976,'PROJETO PERFURAÇÃO'!$B:$B,0)),"")</f>
        <v/>
      </c>
      <c r="G976" s="3"/>
      <c r="H976" s="3"/>
      <c r="I976" s="3" t="str">
        <f>IFERROR(ROUND(INDEX('PROJETO PERFURAÇÃO'!$AB:$AB,MATCH(MEDIÇÃO!K976,'PROJETO PERFURAÇÃO'!$B:$B,0)),1)&amp;"''","")</f>
        <v/>
      </c>
      <c r="J976" s="3" t="str">
        <f>IFERROR(IF(INDEX('PROJETO PERFURAÇÃO'!$P:$P,MATCH(MEDIÇÃO!K976,'PROJETO PERFURAÇÃO'!$B:$B,0))="Production","P",IF(INDEX('PROJETO PERFURAÇÃO'!$P:$P,MATCH(MEDIÇÃO!K976,'PROJETO PERFURAÇÃO'!$B:$B,0))="Buffer","B",IF(INDEX('PROJETO PERFURAÇÃO'!$P:$P,MATCH(MEDIÇÃO!K976,'PROJETO PERFURAÇÃO'!$B:$B,0))="Pre-Splitting","S"))),"")</f>
        <v/>
      </c>
      <c r="K976" s="14">
        <f t="shared" si="94"/>
        <v>2173</v>
      </c>
      <c r="L976" s="4" t="str">
        <f>IFERROR(INDEX('LEV R&amp;D'!$D:$D,MATCH(MEDIÇÃO!K976,'LEV R&amp;D'!$A:$A,0))-INDEX('PROJETO PERFURAÇÃO'!$AH:$AH,MATCH(MEDIÇÃO!K976,'PROJETO PERFURAÇÃO'!$B:$B,0)),"")</f>
        <v/>
      </c>
      <c r="M976" s="8" t="str">
        <f>IFERROR(INDEX('PROJETO PERFURAÇÃO'!$AN:$AN,MATCH(MEDIÇÃO!K976,'PROJETO PERFURAÇÃO'!$B:$B,0)),"")</f>
        <v/>
      </c>
      <c r="N976" s="3"/>
      <c r="O976" s="3"/>
      <c r="P976" s="3" t="str">
        <f>IFERROR(ROUND(INDEX('PROJETO PERFURAÇÃO'!$AB:$AB,MATCH(MEDIÇÃO!R976,'PROJETO PERFURAÇÃO'!$B:$B,0)),1)&amp;"''","")</f>
        <v/>
      </c>
      <c r="Q976" s="3" t="str">
        <f>IFERROR(IF(INDEX('PROJETO PERFURAÇÃO'!$P:$P,MATCH(MEDIÇÃO!R976,'PROJETO PERFURAÇÃO'!$B:$B,0))="Production","P",IF(INDEX('PROJETO PERFURAÇÃO'!$P:$P,MATCH(MEDIÇÃO!R976,'PROJETO PERFURAÇÃO'!$B:$B,0))="Buffer","B",IF(INDEX('PROJETO PERFURAÇÃO'!$P:$P,MATCH(MEDIÇÃO!R976,'PROJETO PERFURAÇÃO'!$B:$B,0))="Pre-Splitting","S"))),"")</f>
        <v/>
      </c>
      <c r="R976" s="14">
        <f t="shared" si="95"/>
        <v>2196</v>
      </c>
      <c r="S976" s="4" t="str">
        <f>IFERROR(INDEX('LEV R&amp;D'!$D:$D,MATCH(MEDIÇÃO!R976,'LEV R&amp;D'!$A:$A,0))-INDEX('PROJETO PERFURAÇÃO'!$AH:$AH,MATCH(MEDIÇÃO!R976,'PROJETO PERFURAÇÃO'!$B:$B,0)),"")</f>
        <v/>
      </c>
      <c r="T976" s="8" t="str">
        <f>IFERROR(INDEX('PROJETO PERFURAÇÃO'!$AN:$AN,MATCH(MEDIÇÃO!R976,'PROJETO PERFURAÇÃO'!$B:$B,0)),"")</f>
        <v/>
      </c>
      <c r="U976" s="3"/>
      <c r="V976" s="3"/>
    </row>
    <row r="977" spans="2:22" ht="45" customHeight="1">
      <c r="B977" s="3" t="str">
        <f>IFERROR(ROUND(INDEX('PROJETO PERFURAÇÃO'!$AB:$AB,MATCH(MEDIÇÃO!D977,'PROJETO PERFURAÇÃO'!$B:$B,0)),1)&amp;"''","")</f>
        <v/>
      </c>
      <c r="C977" s="3" t="str">
        <f>IFERROR(IF(INDEX('PROJETO PERFURAÇÃO'!$P:$P,MATCH(MEDIÇÃO!D977,'PROJETO PERFURAÇÃO'!$B:$B,0))="Production","P",IF(INDEX('PROJETO PERFURAÇÃO'!$P:$P,MATCH(MEDIÇÃO!D977,'PROJETO PERFURAÇÃO'!$B:$B,0))="Buffer","B",IF(INDEX('PROJETO PERFURAÇÃO'!$P:$P,MATCH(MEDIÇÃO!D977,'PROJETO PERFURAÇÃO'!$B:$B,0))="Pre-Splitting","S"))),"")</f>
        <v/>
      </c>
      <c r="D977" s="14">
        <f t="shared" si="93"/>
        <v>2151</v>
      </c>
      <c r="E977" s="4" t="str">
        <f>IFERROR(INDEX('LEV R&amp;D'!$D:$D,MATCH(MEDIÇÃO!D977,'LEV R&amp;D'!$A:$A,0))-INDEX('PROJETO PERFURAÇÃO'!$AH:$AH,MATCH(MEDIÇÃO!D977,'PROJETO PERFURAÇÃO'!$B:$B,0)),"")</f>
        <v/>
      </c>
      <c r="F977" s="8" t="str">
        <f>IFERROR(INDEX('PROJETO PERFURAÇÃO'!$AN:$AN,MATCH(MEDIÇÃO!D977,'PROJETO PERFURAÇÃO'!$B:$B,0)),"")</f>
        <v/>
      </c>
      <c r="G977" s="3"/>
      <c r="H977" s="3"/>
      <c r="I977" s="3" t="str">
        <f>IFERROR(ROUND(INDEX('PROJETO PERFURAÇÃO'!$AB:$AB,MATCH(MEDIÇÃO!K977,'PROJETO PERFURAÇÃO'!$B:$B,0)),1)&amp;"''","")</f>
        <v/>
      </c>
      <c r="J977" s="3" t="str">
        <f>IFERROR(IF(INDEX('PROJETO PERFURAÇÃO'!$P:$P,MATCH(MEDIÇÃO!K977,'PROJETO PERFURAÇÃO'!$B:$B,0))="Production","P",IF(INDEX('PROJETO PERFURAÇÃO'!$P:$P,MATCH(MEDIÇÃO!K977,'PROJETO PERFURAÇÃO'!$B:$B,0))="Buffer","B",IF(INDEX('PROJETO PERFURAÇÃO'!$P:$P,MATCH(MEDIÇÃO!K977,'PROJETO PERFURAÇÃO'!$B:$B,0))="Pre-Splitting","S"))),"")</f>
        <v/>
      </c>
      <c r="K977" s="14">
        <f t="shared" si="94"/>
        <v>2174</v>
      </c>
      <c r="L977" s="4" t="str">
        <f>IFERROR(INDEX('LEV R&amp;D'!$D:$D,MATCH(MEDIÇÃO!K977,'LEV R&amp;D'!$A:$A,0))-INDEX('PROJETO PERFURAÇÃO'!$AH:$AH,MATCH(MEDIÇÃO!K977,'PROJETO PERFURAÇÃO'!$B:$B,0)),"")</f>
        <v/>
      </c>
      <c r="M977" s="8" t="str">
        <f>IFERROR(INDEX('PROJETO PERFURAÇÃO'!$AN:$AN,MATCH(MEDIÇÃO!K977,'PROJETO PERFURAÇÃO'!$B:$B,0)),"")</f>
        <v/>
      </c>
      <c r="N977" s="3"/>
      <c r="O977" s="3"/>
      <c r="P977" s="3" t="str">
        <f>IFERROR(ROUND(INDEX('PROJETO PERFURAÇÃO'!$AB:$AB,MATCH(MEDIÇÃO!R977,'PROJETO PERFURAÇÃO'!$B:$B,0)),1)&amp;"''","")</f>
        <v/>
      </c>
      <c r="Q977" s="3" t="str">
        <f>IFERROR(IF(INDEX('PROJETO PERFURAÇÃO'!$P:$P,MATCH(MEDIÇÃO!R977,'PROJETO PERFURAÇÃO'!$B:$B,0))="Production","P",IF(INDEX('PROJETO PERFURAÇÃO'!$P:$P,MATCH(MEDIÇÃO!R977,'PROJETO PERFURAÇÃO'!$B:$B,0))="Buffer","B",IF(INDEX('PROJETO PERFURAÇÃO'!$P:$P,MATCH(MEDIÇÃO!R977,'PROJETO PERFURAÇÃO'!$B:$B,0))="Pre-Splitting","S"))),"")</f>
        <v/>
      </c>
      <c r="R977" s="14">
        <f t="shared" si="95"/>
        <v>2197</v>
      </c>
      <c r="S977" s="4" t="str">
        <f>IFERROR(INDEX('LEV R&amp;D'!$D:$D,MATCH(MEDIÇÃO!R977,'LEV R&amp;D'!$A:$A,0))-INDEX('PROJETO PERFURAÇÃO'!$AH:$AH,MATCH(MEDIÇÃO!R977,'PROJETO PERFURAÇÃO'!$B:$B,0)),"")</f>
        <v/>
      </c>
      <c r="T977" s="8" t="str">
        <f>IFERROR(INDEX('PROJETO PERFURAÇÃO'!$AN:$AN,MATCH(MEDIÇÃO!R977,'PROJETO PERFURAÇÃO'!$B:$B,0)),"")</f>
        <v/>
      </c>
      <c r="U977" s="3"/>
      <c r="V977" s="3"/>
    </row>
    <row r="978" spans="2:22" ht="45" customHeight="1">
      <c r="B978" s="3" t="str">
        <f>IFERROR(ROUND(INDEX('PROJETO PERFURAÇÃO'!$AB:$AB,MATCH(MEDIÇÃO!D978,'PROJETO PERFURAÇÃO'!$B:$B,0)),1)&amp;"''","")</f>
        <v/>
      </c>
      <c r="C978" s="3" t="str">
        <f>IFERROR(IF(INDEX('PROJETO PERFURAÇÃO'!$P:$P,MATCH(MEDIÇÃO!D978,'PROJETO PERFURAÇÃO'!$B:$B,0))="Production","P",IF(INDEX('PROJETO PERFURAÇÃO'!$P:$P,MATCH(MEDIÇÃO!D978,'PROJETO PERFURAÇÃO'!$B:$B,0))="Buffer","B",IF(INDEX('PROJETO PERFURAÇÃO'!$P:$P,MATCH(MEDIÇÃO!D978,'PROJETO PERFURAÇÃO'!$B:$B,0))="Pre-Splitting","S"))),"")</f>
        <v/>
      </c>
      <c r="D978" s="14">
        <f t="shared" si="93"/>
        <v>2152</v>
      </c>
      <c r="E978" s="4" t="str">
        <f>IFERROR(INDEX('LEV R&amp;D'!$D:$D,MATCH(MEDIÇÃO!D978,'LEV R&amp;D'!$A:$A,0))-INDEX('PROJETO PERFURAÇÃO'!$AH:$AH,MATCH(MEDIÇÃO!D978,'PROJETO PERFURAÇÃO'!$B:$B,0)),"")</f>
        <v/>
      </c>
      <c r="F978" s="8" t="str">
        <f>IFERROR(INDEX('PROJETO PERFURAÇÃO'!$AN:$AN,MATCH(MEDIÇÃO!D978,'PROJETO PERFURAÇÃO'!$B:$B,0)),"")</f>
        <v/>
      </c>
      <c r="G978" s="3"/>
      <c r="H978" s="3"/>
      <c r="I978" s="3" t="str">
        <f>IFERROR(ROUND(INDEX('PROJETO PERFURAÇÃO'!$AB:$AB,MATCH(MEDIÇÃO!K978,'PROJETO PERFURAÇÃO'!$B:$B,0)),1)&amp;"''","")</f>
        <v/>
      </c>
      <c r="J978" s="3" t="str">
        <f>IFERROR(IF(INDEX('PROJETO PERFURAÇÃO'!$P:$P,MATCH(MEDIÇÃO!K978,'PROJETO PERFURAÇÃO'!$B:$B,0))="Production","P",IF(INDEX('PROJETO PERFURAÇÃO'!$P:$P,MATCH(MEDIÇÃO!K978,'PROJETO PERFURAÇÃO'!$B:$B,0))="Buffer","B",IF(INDEX('PROJETO PERFURAÇÃO'!$P:$P,MATCH(MEDIÇÃO!K978,'PROJETO PERFURAÇÃO'!$B:$B,0))="Pre-Splitting","S"))),"")</f>
        <v/>
      </c>
      <c r="K978" s="14">
        <f t="shared" si="94"/>
        <v>2175</v>
      </c>
      <c r="L978" s="4" t="str">
        <f>IFERROR(INDEX('LEV R&amp;D'!$D:$D,MATCH(MEDIÇÃO!K978,'LEV R&amp;D'!$A:$A,0))-INDEX('PROJETO PERFURAÇÃO'!$AH:$AH,MATCH(MEDIÇÃO!K978,'PROJETO PERFURAÇÃO'!$B:$B,0)),"")</f>
        <v/>
      </c>
      <c r="M978" s="8" t="str">
        <f>IFERROR(INDEX('PROJETO PERFURAÇÃO'!$AN:$AN,MATCH(MEDIÇÃO!K978,'PROJETO PERFURAÇÃO'!$B:$B,0)),"")</f>
        <v/>
      </c>
      <c r="N978" s="3"/>
      <c r="O978" s="3"/>
      <c r="P978" s="3" t="str">
        <f>IFERROR(ROUND(INDEX('PROJETO PERFURAÇÃO'!$AB:$AB,MATCH(MEDIÇÃO!R978,'PROJETO PERFURAÇÃO'!$B:$B,0)),1)&amp;"''","")</f>
        <v/>
      </c>
      <c r="Q978" s="3" t="str">
        <f>IFERROR(IF(INDEX('PROJETO PERFURAÇÃO'!$P:$P,MATCH(MEDIÇÃO!R978,'PROJETO PERFURAÇÃO'!$B:$B,0))="Production","P",IF(INDEX('PROJETO PERFURAÇÃO'!$P:$P,MATCH(MEDIÇÃO!R978,'PROJETO PERFURAÇÃO'!$B:$B,0))="Buffer","B",IF(INDEX('PROJETO PERFURAÇÃO'!$P:$P,MATCH(MEDIÇÃO!R978,'PROJETO PERFURAÇÃO'!$B:$B,0))="Pre-Splitting","S"))),"")</f>
        <v/>
      </c>
      <c r="R978" s="14">
        <f t="shared" si="95"/>
        <v>2198</v>
      </c>
      <c r="S978" s="4" t="str">
        <f>IFERROR(INDEX('LEV R&amp;D'!$D:$D,MATCH(MEDIÇÃO!R978,'LEV R&amp;D'!$A:$A,0))-INDEX('PROJETO PERFURAÇÃO'!$AH:$AH,MATCH(MEDIÇÃO!R978,'PROJETO PERFURAÇÃO'!$B:$B,0)),"")</f>
        <v/>
      </c>
      <c r="T978" s="8" t="str">
        <f>IFERROR(INDEX('PROJETO PERFURAÇÃO'!$AN:$AN,MATCH(MEDIÇÃO!R978,'PROJETO PERFURAÇÃO'!$B:$B,0)),"")</f>
        <v/>
      </c>
      <c r="U978" s="3"/>
      <c r="V978" s="3"/>
    </row>
    <row r="979" spans="2:22" ht="45" customHeight="1">
      <c r="B979" s="3" t="str">
        <f>IFERROR(ROUND(INDEX('PROJETO PERFURAÇÃO'!$AB:$AB,MATCH(MEDIÇÃO!D979,'PROJETO PERFURAÇÃO'!$B:$B,0)),1)&amp;"''","")</f>
        <v/>
      </c>
      <c r="C979" s="3" t="str">
        <f>IFERROR(IF(INDEX('PROJETO PERFURAÇÃO'!$P:$P,MATCH(MEDIÇÃO!D979,'PROJETO PERFURAÇÃO'!$B:$B,0))="Production","P",IF(INDEX('PROJETO PERFURAÇÃO'!$P:$P,MATCH(MEDIÇÃO!D979,'PROJETO PERFURAÇÃO'!$B:$B,0))="Buffer","B",IF(INDEX('PROJETO PERFURAÇÃO'!$P:$P,MATCH(MEDIÇÃO!D979,'PROJETO PERFURAÇÃO'!$B:$B,0))="Pre-Splitting","S"))),"")</f>
        <v/>
      </c>
      <c r="D979" s="14">
        <f t="shared" si="93"/>
        <v>2153</v>
      </c>
      <c r="E979" s="4" t="str">
        <f>IFERROR(INDEX('LEV R&amp;D'!$D:$D,MATCH(MEDIÇÃO!D979,'LEV R&amp;D'!$A:$A,0))-INDEX('PROJETO PERFURAÇÃO'!$AH:$AH,MATCH(MEDIÇÃO!D979,'PROJETO PERFURAÇÃO'!$B:$B,0)),"")</f>
        <v/>
      </c>
      <c r="F979" s="8" t="str">
        <f>IFERROR(INDEX('PROJETO PERFURAÇÃO'!$AN:$AN,MATCH(MEDIÇÃO!D979,'PROJETO PERFURAÇÃO'!$B:$B,0)),"")</f>
        <v/>
      </c>
      <c r="G979" s="3"/>
      <c r="H979" s="3"/>
      <c r="I979" s="3" t="str">
        <f>IFERROR(ROUND(INDEX('PROJETO PERFURAÇÃO'!$AB:$AB,MATCH(MEDIÇÃO!K979,'PROJETO PERFURAÇÃO'!$B:$B,0)),1)&amp;"''","")</f>
        <v/>
      </c>
      <c r="J979" s="3" t="str">
        <f>IFERROR(IF(INDEX('PROJETO PERFURAÇÃO'!$P:$P,MATCH(MEDIÇÃO!K979,'PROJETO PERFURAÇÃO'!$B:$B,0))="Production","P",IF(INDEX('PROJETO PERFURAÇÃO'!$P:$P,MATCH(MEDIÇÃO!K979,'PROJETO PERFURAÇÃO'!$B:$B,0))="Buffer","B",IF(INDEX('PROJETO PERFURAÇÃO'!$P:$P,MATCH(MEDIÇÃO!K979,'PROJETO PERFURAÇÃO'!$B:$B,0))="Pre-Splitting","S"))),"")</f>
        <v/>
      </c>
      <c r="K979" s="14">
        <f t="shared" si="94"/>
        <v>2176</v>
      </c>
      <c r="L979" s="4" t="str">
        <f>IFERROR(INDEX('LEV R&amp;D'!$D:$D,MATCH(MEDIÇÃO!K979,'LEV R&amp;D'!$A:$A,0))-INDEX('PROJETO PERFURAÇÃO'!$AH:$AH,MATCH(MEDIÇÃO!K979,'PROJETO PERFURAÇÃO'!$B:$B,0)),"")</f>
        <v/>
      </c>
      <c r="M979" s="8" t="str">
        <f>IFERROR(INDEX('PROJETO PERFURAÇÃO'!$AN:$AN,MATCH(MEDIÇÃO!K979,'PROJETO PERFURAÇÃO'!$B:$B,0)),"")</f>
        <v/>
      </c>
      <c r="N979" s="3"/>
      <c r="O979" s="3"/>
      <c r="P979" s="3" t="str">
        <f>IFERROR(ROUND(INDEX('PROJETO PERFURAÇÃO'!$AB:$AB,MATCH(MEDIÇÃO!R979,'PROJETO PERFURAÇÃO'!$B:$B,0)),1)&amp;"''","")</f>
        <v/>
      </c>
      <c r="Q979" s="3" t="str">
        <f>IFERROR(IF(INDEX('PROJETO PERFURAÇÃO'!$P:$P,MATCH(MEDIÇÃO!R979,'PROJETO PERFURAÇÃO'!$B:$B,0))="Production","P",IF(INDEX('PROJETO PERFURAÇÃO'!$P:$P,MATCH(MEDIÇÃO!R979,'PROJETO PERFURAÇÃO'!$B:$B,0))="Buffer","B",IF(INDEX('PROJETO PERFURAÇÃO'!$P:$P,MATCH(MEDIÇÃO!R979,'PROJETO PERFURAÇÃO'!$B:$B,0))="Pre-Splitting","S"))),"")</f>
        <v/>
      </c>
      <c r="R979" s="14">
        <f t="shared" si="95"/>
        <v>2199</v>
      </c>
      <c r="S979" s="4" t="str">
        <f>IFERROR(INDEX('LEV R&amp;D'!$D:$D,MATCH(MEDIÇÃO!R979,'LEV R&amp;D'!$A:$A,0))-INDEX('PROJETO PERFURAÇÃO'!$AH:$AH,MATCH(MEDIÇÃO!R979,'PROJETO PERFURAÇÃO'!$B:$B,0)),"")</f>
        <v/>
      </c>
      <c r="T979" s="8" t="str">
        <f>IFERROR(INDEX('PROJETO PERFURAÇÃO'!$AN:$AN,MATCH(MEDIÇÃO!R979,'PROJETO PERFURAÇÃO'!$B:$B,0)),"")</f>
        <v/>
      </c>
      <c r="U979" s="3"/>
      <c r="V979" s="3"/>
    </row>
    <row r="980" spans="2:22" ht="45" customHeight="1">
      <c r="B980" s="3" t="str">
        <f>IFERROR(ROUND(INDEX('PROJETO PERFURAÇÃO'!$AB:$AB,MATCH(MEDIÇÃO!D980,'PROJETO PERFURAÇÃO'!$B:$B,0)),1)&amp;"''","")</f>
        <v/>
      </c>
      <c r="C980" s="3" t="str">
        <f>IFERROR(IF(INDEX('PROJETO PERFURAÇÃO'!$P:$P,MATCH(MEDIÇÃO!D980,'PROJETO PERFURAÇÃO'!$B:$B,0))="Production","P",IF(INDEX('PROJETO PERFURAÇÃO'!$P:$P,MATCH(MEDIÇÃO!D980,'PROJETO PERFURAÇÃO'!$B:$B,0))="Buffer","B",IF(INDEX('PROJETO PERFURAÇÃO'!$P:$P,MATCH(MEDIÇÃO!D980,'PROJETO PERFURAÇÃO'!$B:$B,0))="Pre-Splitting","S"))),"")</f>
        <v/>
      </c>
      <c r="D980" s="14">
        <f t="shared" si="93"/>
        <v>2154</v>
      </c>
      <c r="E980" s="4" t="str">
        <f>IFERROR(INDEX('LEV R&amp;D'!$D:$D,MATCH(MEDIÇÃO!D980,'LEV R&amp;D'!$A:$A,0))-INDEX('PROJETO PERFURAÇÃO'!$AH:$AH,MATCH(MEDIÇÃO!D980,'PROJETO PERFURAÇÃO'!$B:$B,0)),"")</f>
        <v/>
      </c>
      <c r="F980" s="8" t="str">
        <f>IFERROR(INDEX('PROJETO PERFURAÇÃO'!$AN:$AN,MATCH(MEDIÇÃO!D980,'PROJETO PERFURAÇÃO'!$B:$B,0)),"")</f>
        <v/>
      </c>
      <c r="G980" s="3"/>
      <c r="H980" s="3"/>
      <c r="I980" s="3" t="str">
        <f>IFERROR(ROUND(INDEX('PROJETO PERFURAÇÃO'!$AB:$AB,MATCH(MEDIÇÃO!K980,'PROJETO PERFURAÇÃO'!$B:$B,0)),1)&amp;"''","")</f>
        <v/>
      </c>
      <c r="J980" s="3" t="str">
        <f>IFERROR(IF(INDEX('PROJETO PERFURAÇÃO'!$P:$P,MATCH(MEDIÇÃO!K980,'PROJETO PERFURAÇÃO'!$B:$B,0))="Production","P",IF(INDEX('PROJETO PERFURAÇÃO'!$P:$P,MATCH(MEDIÇÃO!K980,'PROJETO PERFURAÇÃO'!$B:$B,0))="Buffer","B",IF(INDEX('PROJETO PERFURAÇÃO'!$P:$P,MATCH(MEDIÇÃO!K980,'PROJETO PERFURAÇÃO'!$B:$B,0))="Pre-Splitting","S"))),"")</f>
        <v/>
      </c>
      <c r="K980" s="14">
        <f t="shared" si="94"/>
        <v>2177</v>
      </c>
      <c r="L980" s="4" t="str">
        <f>IFERROR(INDEX('LEV R&amp;D'!$D:$D,MATCH(MEDIÇÃO!K980,'LEV R&amp;D'!$A:$A,0))-INDEX('PROJETO PERFURAÇÃO'!$AH:$AH,MATCH(MEDIÇÃO!K980,'PROJETO PERFURAÇÃO'!$B:$B,0)),"")</f>
        <v/>
      </c>
      <c r="M980" s="8" t="str">
        <f>IFERROR(INDEX('PROJETO PERFURAÇÃO'!$AN:$AN,MATCH(MEDIÇÃO!K980,'PROJETO PERFURAÇÃO'!$B:$B,0)),"")</f>
        <v/>
      </c>
      <c r="N980" s="3"/>
      <c r="O980" s="3"/>
      <c r="P980" s="3" t="str">
        <f>IFERROR(ROUND(INDEX('PROJETO PERFURAÇÃO'!$AB:$AB,MATCH(MEDIÇÃO!R980,'PROJETO PERFURAÇÃO'!$B:$B,0)),1)&amp;"''","")</f>
        <v/>
      </c>
      <c r="Q980" s="3" t="str">
        <f>IFERROR(IF(INDEX('PROJETO PERFURAÇÃO'!$P:$P,MATCH(MEDIÇÃO!R980,'PROJETO PERFURAÇÃO'!$B:$B,0))="Production","P",IF(INDEX('PROJETO PERFURAÇÃO'!$P:$P,MATCH(MEDIÇÃO!R980,'PROJETO PERFURAÇÃO'!$B:$B,0))="Buffer","B",IF(INDEX('PROJETO PERFURAÇÃO'!$P:$P,MATCH(MEDIÇÃO!R980,'PROJETO PERFURAÇÃO'!$B:$B,0))="Pre-Splitting","S"))),"")</f>
        <v/>
      </c>
      <c r="R980" s="14">
        <f t="shared" si="95"/>
        <v>2200</v>
      </c>
      <c r="S980" s="4" t="str">
        <f>IFERROR(INDEX('LEV R&amp;D'!$D:$D,MATCH(MEDIÇÃO!R980,'LEV R&amp;D'!$A:$A,0))-INDEX('PROJETO PERFURAÇÃO'!$AH:$AH,MATCH(MEDIÇÃO!R980,'PROJETO PERFURAÇÃO'!$B:$B,0)),"")</f>
        <v/>
      </c>
      <c r="T980" s="8" t="str">
        <f>IFERROR(INDEX('PROJETO PERFURAÇÃO'!$AN:$AN,MATCH(MEDIÇÃO!R980,'PROJETO PERFURAÇÃO'!$B:$B,0)),"")</f>
        <v/>
      </c>
      <c r="U980" s="3"/>
      <c r="V980" s="3"/>
    </row>
    <row r="981" spans="2:22" ht="45" customHeight="1">
      <c r="B981" s="3" t="str">
        <f>IFERROR(ROUND(INDEX('PROJETO PERFURAÇÃO'!$AB:$AB,MATCH(MEDIÇÃO!D981,'PROJETO PERFURAÇÃO'!$B:$B,0)),1)&amp;"''","")</f>
        <v/>
      </c>
      <c r="C981" s="3" t="str">
        <f>IFERROR(IF(INDEX('PROJETO PERFURAÇÃO'!$P:$P,MATCH(MEDIÇÃO!D981,'PROJETO PERFURAÇÃO'!$B:$B,0))="Production","P",IF(INDEX('PROJETO PERFURAÇÃO'!$P:$P,MATCH(MEDIÇÃO!D981,'PROJETO PERFURAÇÃO'!$B:$B,0))="Buffer","B",IF(INDEX('PROJETO PERFURAÇÃO'!$P:$P,MATCH(MEDIÇÃO!D981,'PROJETO PERFURAÇÃO'!$B:$B,0))="Pre-Splitting","S"))),"")</f>
        <v/>
      </c>
      <c r="D981" s="14">
        <f t="shared" si="93"/>
        <v>2155</v>
      </c>
      <c r="E981" s="4" t="str">
        <f>IFERROR(INDEX('LEV R&amp;D'!$D:$D,MATCH(MEDIÇÃO!D981,'LEV R&amp;D'!$A:$A,0))-INDEX('PROJETO PERFURAÇÃO'!$AH:$AH,MATCH(MEDIÇÃO!D981,'PROJETO PERFURAÇÃO'!$B:$B,0)),"")</f>
        <v/>
      </c>
      <c r="F981" s="8" t="str">
        <f>IFERROR(INDEX('PROJETO PERFURAÇÃO'!$AN:$AN,MATCH(MEDIÇÃO!D981,'PROJETO PERFURAÇÃO'!$B:$B,0)),"")</f>
        <v/>
      </c>
      <c r="G981" s="3"/>
      <c r="H981" s="3"/>
      <c r="I981" s="3" t="str">
        <f>IFERROR(ROUND(INDEX('PROJETO PERFURAÇÃO'!$AB:$AB,MATCH(MEDIÇÃO!K981,'PROJETO PERFURAÇÃO'!$B:$B,0)),1)&amp;"''","")</f>
        <v/>
      </c>
      <c r="J981" s="3" t="str">
        <f>IFERROR(IF(INDEX('PROJETO PERFURAÇÃO'!$P:$P,MATCH(MEDIÇÃO!K981,'PROJETO PERFURAÇÃO'!$B:$B,0))="Production","P",IF(INDEX('PROJETO PERFURAÇÃO'!$P:$P,MATCH(MEDIÇÃO!K981,'PROJETO PERFURAÇÃO'!$B:$B,0))="Buffer","B",IF(INDEX('PROJETO PERFURAÇÃO'!$P:$P,MATCH(MEDIÇÃO!K981,'PROJETO PERFURAÇÃO'!$B:$B,0))="Pre-Splitting","S"))),"")</f>
        <v/>
      </c>
      <c r="K981" s="14">
        <f t="shared" si="94"/>
        <v>2178</v>
      </c>
      <c r="L981" s="4" t="str">
        <f>IFERROR(INDEX('LEV R&amp;D'!$D:$D,MATCH(MEDIÇÃO!K981,'LEV R&amp;D'!$A:$A,0))-INDEX('PROJETO PERFURAÇÃO'!$AH:$AH,MATCH(MEDIÇÃO!K981,'PROJETO PERFURAÇÃO'!$B:$B,0)),"")</f>
        <v/>
      </c>
      <c r="M981" s="8" t="str">
        <f>IFERROR(INDEX('PROJETO PERFURAÇÃO'!$AN:$AN,MATCH(MEDIÇÃO!K981,'PROJETO PERFURAÇÃO'!$B:$B,0)),"")</f>
        <v/>
      </c>
      <c r="N981" s="3"/>
      <c r="O981" s="3"/>
      <c r="P981" s="3" t="str">
        <f>IFERROR(ROUND(INDEX('PROJETO PERFURAÇÃO'!$AB:$AB,MATCH(MEDIÇÃO!R981,'PROJETO PERFURAÇÃO'!$B:$B,0)),1)&amp;"''","")</f>
        <v/>
      </c>
      <c r="Q981" s="3" t="str">
        <f>IFERROR(IF(INDEX('PROJETO PERFURAÇÃO'!$P:$P,MATCH(MEDIÇÃO!R981,'PROJETO PERFURAÇÃO'!$B:$B,0))="Production","P",IF(INDEX('PROJETO PERFURAÇÃO'!$P:$P,MATCH(MEDIÇÃO!R981,'PROJETO PERFURAÇÃO'!$B:$B,0))="Buffer","B",IF(INDEX('PROJETO PERFURAÇÃO'!$P:$P,MATCH(MEDIÇÃO!R981,'PROJETO PERFURAÇÃO'!$B:$B,0))="Pre-Splitting","S"))),"")</f>
        <v/>
      </c>
      <c r="R981" s="14">
        <f t="shared" si="95"/>
        <v>2201</v>
      </c>
      <c r="S981" s="4" t="str">
        <f>IFERROR(INDEX('LEV R&amp;D'!$D:$D,MATCH(MEDIÇÃO!R981,'LEV R&amp;D'!$A:$A,0))-INDEX('PROJETO PERFURAÇÃO'!$AH:$AH,MATCH(MEDIÇÃO!R981,'PROJETO PERFURAÇÃO'!$B:$B,0)),"")</f>
        <v/>
      </c>
      <c r="T981" s="8" t="str">
        <f>IFERROR(INDEX('PROJETO PERFURAÇÃO'!$AN:$AN,MATCH(MEDIÇÃO!R981,'PROJETO PERFURAÇÃO'!$B:$B,0)),"")</f>
        <v/>
      </c>
      <c r="U981" s="3"/>
      <c r="V981" s="3"/>
    </row>
    <row r="982" spans="2:22" ht="45" customHeight="1">
      <c r="B982" s="3" t="str">
        <f>IFERROR(ROUND(INDEX('PROJETO PERFURAÇÃO'!$AB:$AB,MATCH(MEDIÇÃO!D982,'PROJETO PERFURAÇÃO'!$B:$B,0)),1)&amp;"''","")</f>
        <v/>
      </c>
      <c r="C982" s="3" t="str">
        <f>IFERROR(IF(INDEX('PROJETO PERFURAÇÃO'!$P:$P,MATCH(MEDIÇÃO!D982,'PROJETO PERFURAÇÃO'!$B:$B,0))="Production","P",IF(INDEX('PROJETO PERFURAÇÃO'!$P:$P,MATCH(MEDIÇÃO!D982,'PROJETO PERFURAÇÃO'!$B:$B,0))="Buffer","B",IF(INDEX('PROJETO PERFURAÇÃO'!$P:$P,MATCH(MEDIÇÃO!D982,'PROJETO PERFURAÇÃO'!$B:$B,0))="Pre-Splitting","S"))),"")</f>
        <v/>
      </c>
      <c r="D982" s="14">
        <f t="shared" si="93"/>
        <v>2156</v>
      </c>
      <c r="E982" s="4" t="str">
        <f>IFERROR(INDEX('LEV R&amp;D'!$D:$D,MATCH(MEDIÇÃO!D982,'LEV R&amp;D'!$A:$A,0))-INDEX('PROJETO PERFURAÇÃO'!$AH:$AH,MATCH(MEDIÇÃO!D982,'PROJETO PERFURAÇÃO'!$B:$B,0)),"")</f>
        <v/>
      </c>
      <c r="F982" s="8" t="str">
        <f>IFERROR(INDEX('PROJETO PERFURAÇÃO'!$AN:$AN,MATCH(MEDIÇÃO!D982,'PROJETO PERFURAÇÃO'!$B:$B,0)),"")</f>
        <v/>
      </c>
      <c r="G982" s="3"/>
      <c r="H982" s="3"/>
      <c r="I982" s="3" t="str">
        <f>IFERROR(ROUND(INDEX('PROJETO PERFURAÇÃO'!$AB:$AB,MATCH(MEDIÇÃO!K982,'PROJETO PERFURAÇÃO'!$B:$B,0)),1)&amp;"''","")</f>
        <v/>
      </c>
      <c r="J982" s="3" t="str">
        <f>IFERROR(IF(INDEX('PROJETO PERFURAÇÃO'!$P:$P,MATCH(MEDIÇÃO!K982,'PROJETO PERFURAÇÃO'!$B:$B,0))="Production","P",IF(INDEX('PROJETO PERFURAÇÃO'!$P:$P,MATCH(MEDIÇÃO!K982,'PROJETO PERFURAÇÃO'!$B:$B,0))="Buffer","B",IF(INDEX('PROJETO PERFURAÇÃO'!$P:$P,MATCH(MEDIÇÃO!K982,'PROJETO PERFURAÇÃO'!$B:$B,0))="Pre-Splitting","S"))),"")</f>
        <v/>
      </c>
      <c r="K982" s="14">
        <f t="shared" si="94"/>
        <v>2179</v>
      </c>
      <c r="L982" s="4" t="str">
        <f>IFERROR(INDEX('LEV R&amp;D'!$D:$D,MATCH(MEDIÇÃO!K982,'LEV R&amp;D'!$A:$A,0))-INDEX('PROJETO PERFURAÇÃO'!$AH:$AH,MATCH(MEDIÇÃO!K982,'PROJETO PERFURAÇÃO'!$B:$B,0)),"")</f>
        <v/>
      </c>
      <c r="M982" s="8" t="str">
        <f>IFERROR(INDEX('PROJETO PERFURAÇÃO'!$AN:$AN,MATCH(MEDIÇÃO!K982,'PROJETO PERFURAÇÃO'!$B:$B,0)),"")</f>
        <v/>
      </c>
      <c r="N982" s="3"/>
      <c r="O982" s="3"/>
      <c r="P982" s="3" t="str">
        <f>IFERROR(ROUND(INDEX('PROJETO PERFURAÇÃO'!$AB:$AB,MATCH(MEDIÇÃO!R982,'PROJETO PERFURAÇÃO'!$B:$B,0)),1)&amp;"''","")</f>
        <v/>
      </c>
      <c r="Q982" s="3" t="str">
        <f>IFERROR(IF(INDEX('PROJETO PERFURAÇÃO'!$P:$P,MATCH(MEDIÇÃO!R982,'PROJETO PERFURAÇÃO'!$B:$B,0))="Production","P",IF(INDEX('PROJETO PERFURAÇÃO'!$P:$P,MATCH(MEDIÇÃO!R982,'PROJETO PERFURAÇÃO'!$B:$B,0))="Buffer","B",IF(INDEX('PROJETO PERFURAÇÃO'!$P:$P,MATCH(MEDIÇÃO!R982,'PROJETO PERFURAÇÃO'!$B:$B,0))="Pre-Splitting","S"))),"")</f>
        <v/>
      </c>
      <c r="R982" s="14">
        <f t="shared" si="95"/>
        <v>2202</v>
      </c>
      <c r="S982" s="4" t="str">
        <f>IFERROR(INDEX('LEV R&amp;D'!$D:$D,MATCH(MEDIÇÃO!R982,'LEV R&amp;D'!$A:$A,0))-INDEX('PROJETO PERFURAÇÃO'!$AH:$AH,MATCH(MEDIÇÃO!R982,'PROJETO PERFURAÇÃO'!$B:$B,0)),"")</f>
        <v/>
      </c>
      <c r="T982" s="8" t="str">
        <f>IFERROR(INDEX('PROJETO PERFURAÇÃO'!$AN:$AN,MATCH(MEDIÇÃO!R982,'PROJETO PERFURAÇÃO'!$B:$B,0)),"")</f>
        <v/>
      </c>
      <c r="U982" s="3"/>
      <c r="V982" s="3"/>
    </row>
    <row r="983" spans="2:22" ht="45" customHeight="1">
      <c r="B983" s="3" t="str">
        <f>IFERROR(ROUND(INDEX('PROJETO PERFURAÇÃO'!$AB:$AB,MATCH(MEDIÇÃO!D983,'PROJETO PERFURAÇÃO'!$B:$B,0)),1)&amp;"''","")</f>
        <v/>
      </c>
      <c r="C983" s="3" t="str">
        <f>IFERROR(IF(INDEX('PROJETO PERFURAÇÃO'!$P:$P,MATCH(MEDIÇÃO!D983,'PROJETO PERFURAÇÃO'!$B:$B,0))="Production","P",IF(INDEX('PROJETO PERFURAÇÃO'!$P:$P,MATCH(MEDIÇÃO!D983,'PROJETO PERFURAÇÃO'!$B:$B,0))="Buffer","B",IF(INDEX('PROJETO PERFURAÇÃO'!$P:$P,MATCH(MEDIÇÃO!D983,'PROJETO PERFURAÇÃO'!$B:$B,0))="Pre-Splitting","S"))),"")</f>
        <v/>
      </c>
      <c r="D983" s="14">
        <f t="shared" si="93"/>
        <v>2157</v>
      </c>
      <c r="E983" s="4" t="str">
        <f>IFERROR(INDEX('LEV R&amp;D'!$D:$D,MATCH(MEDIÇÃO!D983,'LEV R&amp;D'!$A:$A,0))-INDEX('PROJETO PERFURAÇÃO'!$AH:$AH,MATCH(MEDIÇÃO!D983,'PROJETO PERFURAÇÃO'!$B:$B,0)),"")</f>
        <v/>
      </c>
      <c r="F983" s="8" t="str">
        <f>IFERROR(INDEX('PROJETO PERFURAÇÃO'!$AN:$AN,MATCH(MEDIÇÃO!D983,'PROJETO PERFURAÇÃO'!$B:$B,0)),"")</f>
        <v/>
      </c>
      <c r="G983" s="3"/>
      <c r="H983" s="3"/>
      <c r="I983" s="3" t="str">
        <f>IFERROR(ROUND(INDEX('PROJETO PERFURAÇÃO'!$AB:$AB,MATCH(MEDIÇÃO!K983,'PROJETO PERFURAÇÃO'!$B:$B,0)),1)&amp;"''","")</f>
        <v/>
      </c>
      <c r="J983" s="3" t="str">
        <f>IFERROR(IF(INDEX('PROJETO PERFURAÇÃO'!$P:$P,MATCH(MEDIÇÃO!K983,'PROJETO PERFURAÇÃO'!$B:$B,0))="Production","P",IF(INDEX('PROJETO PERFURAÇÃO'!$P:$P,MATCH(MEDIÇÃO!K983,'PROJETO PERFURAÇÃO'!$B:$B,0))="Buffer","B",IF(INDEX('PROJETO PERFURAÇÃO'!$P:$P,MATCH(MEDIÇÃO!K983,'PROJETO PERFURAÇÃO'!$B:$B,0))="Pre-Splitting","S"))),"")</f>
        <v/>
      </c>
      <c r="K983" s="14">
        <f t="shared" si="94"/>
        <v>2180</v>
      </c>
      <c r="L983" s="4" t="str">
        <f>IFERROR(INDEX('LEV R&amp;D'!$D:$D,MATCH(MEDIÇÃO!K983,'LEV R&amp;D'!$A:$A,0))-INDEX('PROJETO PERFURAÇÃO'!$AH:$AH,MATCH(MEDIÇÃO!K983,'PROJETO PERFURAÇÃO'!$B:$B,0)),"")</f>
        <v/>
      </c>
      <c r="M983" s="8" t="str">
        <f>IFERROR(INDEX('PROJETO PERFURAÇÃO'!$AN:$AN,MATCH(MEDIÇÃO!K983,'PROJETO PERFURAÇÃO'!$B:$B,0)),"")</f>
        <v/>
      </c>
      <c r="N983" s="3"/>
      <c r="O983" s="3"/>
      <c r="P983" s="3" t="str">
        <f>IFERROR(ROUND(INDEX('PROJETO PERFURAÇÃO'!$AB:$AB,MATCH(MEDIÇÃO!R983,'PROJETO PERFURAÇÃO'!$B:$B,0)),1)&amp;"''","")</f>
        <v/>
      </c>
      <c r="Q983" s="3" t="str">
        <f>IFERROR(IF(INDEX('PROJETO PERFURAÇÃO'!$P:$P,MATCH(MEDIÇÃO!R983,'PROJETO PERFURAÇÃO'!$B:$B,0))="Production","P",IF(INDEX('PROJETO PERFURAÇÃO'!$P:$P,MATCH(MEDIÇÃO!R983,'PROJETO PERFURAÇÃO'!$B:$B,0))="Buffer","B",IF(INDEX('PROJETO PERFURAÇÃO'!$P:$P,MATCH(MEDIÇÃO!R983,'PROJETO PERFURAÇÃO'!$B:$B,0))="Pre-Splitting","S"))),"")</f>
        <v/>
      </c>
      <c r="R983" s="14">
        <f t="shared" si="95"/>
        <v>2203</v>
      </c>
      <c r="S983" s="4" t="str">
        <f>IFERROR(INDEX('LEV R&amp;D'!$D:$D,MATCH(MEDIÇÃO!R983,'LEV R&amp;D'!$A:$A,0))-INDEX('PROJETO PERFURAÇÃO'!$AH:$AH,MATCH(MEDIÇÃO!R983,'PROJETO PERFURAÇÃO'!$B:$B,0)),"")</f>
        <v/>
      </c>
      <c r="T983" s="8" t="str">
        <f>IFERROR(INDEX('PROJETO PERFURAÇÃO'!$AN:$AN,MATCH(MEDIÇÃO!R983,'PROJETO PERFURAÇÃO'!$B:$B,0)),"")</f>
        <v/>
      </c>
      <c r="U983" s="3"/>
      <c r="V983" s="3"/>
    </row>
    <row r="984" spans="2:22" ht="45" customHeight="1">
      <c r="B984" s="3" t="str">
        <f>IFERROR(ROUND(INDEX('PROJETO PERFURAÇÃO'!$AB:$AB,MATCH(MEDIÇÃO!D984,'PROJETO PERFURAÇÃO'!$B:$B,0)),1)&amp;"''","")</f>
        <v/>
      </c>
      <c r="C984" s="3" t="str">
        <f>IFERROR(IF(INDEX('PROJETO PERFURAÇÃO'!$P:$P,MATCH(MEDIÇÃO!D984,'PROJETO PERFURAÇÃO'!$B:$B,0))="Production","P",IF(INDEX('PROJETO PERFURAÇÃO'!$P:$P,MATCH(MEDIÇÃO!D984,'PROJETO PERFURAÇÃO'!$B:$B,0))="Buffer","B",IF(INDEX('PROJETO PERFURAÇÃO'!$P:$P,MATCH(MEDIÇÃO!D984,'PROJETO PERFURAÇÃO'!$B:$B,0))="Pre-Splitting","S"))),"")</f>
        <v/>
      </c>
      <c r="D984" s="14">
        <f t="shared" si="93"/>
        <v>2158</v>
      </c>
      <c r="E984" s="4" t="str">
        <f>IFERROR(INDEX('LEV R&amp;D'!$D:$D,MATCH(MEDIÇÃO!D984,'LEV R&amp;D'!$A:$A,0))-INDEX('PROJETO PERFURAÇÃO'!$AH:$AH,MATCH(MEDIÇÃO!D984,'PROJETO PERFURAÇÃO'!$B:$B,0)),"")</f>
        <v/>
      </c>
      <c r="F984" s="8" t="str">
        <f>IFERROR(INDEX('PROJETO PERFURAÇÃO'!$AN:$AN,MATCH(MEDIÇÃO!D984,'PROJETO PERFURAÇÃO'!$B:$B,0)),"")</f>
        <v/>
      </c>
      <c r="G984" s="3"/>
      <c r="H984" s="3"/>
      <c r="I984" s="3" t="str">
        <f>IFERROR(ROUND(INDEX('PROJETO PERFURAÇÃO'!$AB:$AB,MATCH(MEDIÇÃO!K984,'PROJETO PERFURAÇÃO'!$B:$B,0)),1)&amp;"''","")</f>
        <v/>
      </c>
      <c r="J984" s="3" t="str">
        <f>IFERROR(IF(INDEX('PROJETO PERFURAÇÃO'!$P:$P,MATCH(MEDIÇÃO!K984,'PROJETO PERFURAÇÃO'!$B:$B,0))="Production","P",IF(INDEX('PROJETO PERFURAÇÃO'!$P:$P,MATCH(MEDIÇÃO!K984,'PROJETO PERFURAÇÃO'!$B:$B,0))="Buffer","B",IF(INDEX('PROJETO PERFURAÇÃO'!$P:$P,MATCH(MEDIÇÃO!K984,'PROJETO PERFURAÇÃO'!$B:$B,0))="Pre-Splitting","S"))),"")</f>
        <v/>
      </c>
      <c r="K984" s="14">
        <f t="shared" si="94"/>
        <v>2181</v>
      </c>
      <c r="L984" s="4" t="str">
        <f>IFERROR(INDEX('LEV R&amp;D'!$D:$D,MATCH(MEDIÇÃO!K984,'LEV R&amp;D'!$A:$A,0))-INDEX('PROJETO PERFURAÇÃO'!$AH:$AH,MATCH(MEDIÇÃO!K984,'PROJETO PERFURAÇÃO'!$B:$B,0)),"")</f>
        <v/>
      </c>
      <c r="M984" s="8" t="str">
        <f>IFERROR(INDEX('PROJETO PERFURAÇÃO'!$AN:$AN,MATCH(MEDIÇÃO!K984,'PROJETO PERFURAÇÃO'!$B:$B,0)),"")</f>
        <v/>
      </c>
      <c r="N984" s="3"/>
      <c r="O984" s="3"/>
      <c r="P984" s="3" t="str">
        <f>IFERROR(ROUND(INDEX('PROJETO PERFURAÇÃO'!$AB:$AB,MATCH(MEDIÇÃO!R984,'PROJETO PERFURAÇÃO'!$B:$B,0)),1)&amp;"''","")</f>
        <v/>
      </c>
      <c r="Q984" s="3" t="str">
        <f>IFERROR(IF(INDEX('PROJETO PERFURAÇÃO'!$P:$P,MATCH(MEDIÇÃO!R984,'PROJETO PERFURAÇÃO'!$B:$B,0))="Production","P",IF(INDEX('PROJETO PERFURAÇÃO'!$P:$P,MATCH(MEDIÇÃO!R984,'PROJETO PERFURAÇÃO'!$B:$B,0))="Buffer","B",IF(INDEX('PROJETO PERFURAÇÃO'!$P:$P,MATCH(MEDIÇÃO!R984,'PROJETO PERFURAÇÃO'!$B:$B,0))="Pre-Splitting","S"))),"")</f>
        <v/>
      </c>
      <c r="R984" s="14">
        <f t="shared" si="95"/>
        <v>2204</v>
      </c>
      <c r="S984" s="4" t="str">
        <f>IFERROR(INDEX('LEV R&amp;D'!$D:$D,MATCH(MEDIÇÃO!R984,'LEV R&amp;D'!$A:$A,0))-INDEX('PROJETO PERFURAÇÃO'!$AH:$AH,MATCH(MEDIÇÃO!R984,'PROJETO PERFURAÇÃO'!$B:$B,0)),"")</f>
        <v/>
      </c>
      <c r="T984" s="8" t="str">
        <f>IFERROR(INDEX('PROJETO PERFURAÇÃO'!$AN:$AN,MATCH(MEDIÇÃO!R984,'PROJETO PERFURAÇÃO'!$B:$B,0)),"")</f>
        <v/>
      </c>
      <c r="U984" s="3"/>
      <c r="V984" s="3"/>
    </row>
    <row r="985" spans="2:22" ht="45" customHeight="1">
      <c r="B985" s="3" t="str">
        <f>IFERROR(ROUND(INDEX('PROJETO PERFURAÇÃO'!$AB:$AB,MATCH(MEDIÇÃO!D985,'PROJETO PERFURAÇÃO'!$B:$B,0)),1)&amp;"''","")</f>
        <v/>
      </c>
      <c r="C985" s="3" t="str">
        <f>IFERROR(IF(INDEX('PROJETO PERFURAÇÃO'!$P:$P,MATCH(MEDIÇÃO!D985,'PROJETO PERFURAÇÃO'!$B:$B,0))="Production","P",IF(INDEX('PROJETO PERFURAÇÃO'!$P:$P,MATCH(MEDIÇÃO!D985,'PROJETO PERFURAÇÃO'!$B:$B,0))="Buffer","B",IF(INDEX('PROJETO PERFURAÇÃO'!$P:$P,MATCH(MEDIÇÃO!D985,'PROJETO PERFURAÇÃO'!$B:$B,0))="Pre-Splitting","S"))),"")</f>
        <v/>
      </c>
      <c r="D985" s="14">
        <f t="shared" si="93"/>
        <v>2159</v>
      </c>
      <c r="E985" s="4" t="str">
        <f>IFERROR(INDEX('LEV R&amp;D'!$D:$D,MATCH(MEDIÇÃO!D985,'LEV R&amp;D'!$A:$A,0))-INDEX('PROJETO PERFURAÇÃO'!$AH:$AH,MATCH(MEDIÇÃO!D985,'PROJETO PERFURAÇÃO'!$B:$B,0)),"")</f>
        <v/>
      </c>
      <c r="F985" s="8" t="str">
        <f>IFERROR(INDEX('PROJETO PERFURAÇÃO'!$AN:$AN,MATCH(MEDIÇÃO!D985,'PROJETO PERFURAÇÃO'!$B:$B,0)),"")</f>
        <v/>
      </c>
      <c r="G985" s="3"/>
      <c r="H985" s="3"/>
      <c r="I985" s="3" t="str">
        <f>IFERROR(ROUND(INDEX('PROJETO PERFURAÇÃO'!$AB:$AB,MATCH(MEDIÇÃO!K985,'PROJETO PERFURAÇÃO'!$B:$B,0)),1)&amp;"''","")</f>
        <v/>
      </c>
      <c r="J985" s="3" t="str">
        <f>IFERROR(IF(INDEX('PROJETO PERFURAÇÃO'!$P:$P,MATCH(MEDIÇÃO!K985,'PROJETO PERFURAÇÃO'!$B:$B,0))="Production","P",IF(INDEX('PROJETO PERFURAÇÃO'!$P:$P,MATCH(MEDIÇÃO!K985,'PROJETO PERFURAÇÃO'!$B:$B,0))="Buffer","B",IF(INDEX('PROJETO PERFURAÇÃO'!$P:$P,MATCH(MEDIÇÃO!K985,'PROJETO PERFURAÇÃO'!$B:$B,0))="Pre-Splitting","S"))),"")</f>
        <v/>
      </c>
      <c r="K985" s="14">
        <f t="shared" si="94"/>
        <v>2182</v>
      </c>
      <c r="L985" s="4" t="str">
        <f>IFERROR(INDEX('LEV R&amp;D'!$D:$D,MATCH(MEDIÇÃO!K985,'LEV R&amp;D'!$A:$A,0))-INDEX('PROJETO PERFURAÇÃO'!$AH:$AH,MATCH(MEDIÇÃO!K985,'PROJETO PERFURAÇÃO'!$B:$B,0)),"")</f>
        <v/>
      </c>
      <c r="M985" s="8" t="str">
        <f>IFERROR(INDEX('PROJETO PERFURAÇÃO'!$AN:$AN,MATCH(MEDIÇÃO!K985,'PROJETO PERFURAÇÃO'!$B:$B,0)),"")</f>
        <v/>
      </c>
      <c r="N985" s="3"/>
      <c r="O985" s="3"/>
      <c r="P985" s="3" t="str">
        <f>IFERROR(ROUND(INDEX('PROJETO PERFURAÇÃO'!$AB:$AB,MATCH(MEDIÇÃO!R985,'PROJETO PERFURAÇÃO'!$B:$B,0)),1)&amp;"''","")</f>
        <v/>
      </c>
      <c r="Q985" s="3" t="str">
        <f>IFERROR(IF(INDEX('PROJETO PERFURAÇÃO'!$P:$P,MATCH(MEDIÇÃO!R985,'PROJETO PERFURAÇÃO'!$B:$B,0))="Production","P",IF(INDEX('PROJETO PERFURAÇÃO'!$P:$P,MATCH(MEDIÇÃO!R985,'PROJETO PERFURAÇÃO'!$B:$B,0))="Buffer","B",IF(INDEX('PROJETO PERFURAÇÃO'!$P:$P,MATCH(MEDIÇÃO!R985,'PROJETO PERFURAÇÃO'!$B:$B,0))="Pre-Splitting","S"))),"")</f>
        <v/>
      </c>
      <c r="R985" s="14">
        <f t="shared" si="95"/>
        <v>2205</v>
      </c>
      <c r="S985" s="4" t="str">
        <f>IFERROR(INDEX('LEV R&amp;D'!$D:$D,MATCH(MEDIÇÃO!R985,'LEV R&amp;D'!$A:$A,0))-INDEX('PROJETO PERFURAÇÃO'!$AH:$AH,MATCH(MEDIÇÃO!R985,'PROJETO PERFURAÇÃO'!$B:$B,0)),"")</f>
        <v/>
      </c>
      <c r="T985" s="8" t="str">
        <f>IFERROR(INDEX('PROJETO PERFURAÇÃO'!$AN:$AN,MATCH(MEDIÇÃO!R985,'PROJETO PERFURAÇÃO'!$B:$B,0)),"")</f>
        <v/>
      </c>
      <c r="U985" s="3"/>
      <c r="V985" s="3"/>
    </row>
    <row r="986" spans="2:22" ht="45" customHeight="1">
      <c r="B986" s="3" t="str">
        <f>IFERROR(ROUND(INDEX('PROJETO PERFURAÇÃO'!$AB:$AB,MATCH(MEDIÇÃO!D986,'PROJETO PERFURAÇÃO'!$B:$B,0)),1)&amp;"''","")</f>
        <v/>
      </c>
      <c r="C986" s="3" t="str">
        <f>IFERROR(IF(INDEX('PROJETO PERFURAÇÃO'!$P:$P,MATCH(MEDIÇÃO!D986,'PROJETO PERFURAÇÃO'!$B:$B,0))="Production","P",IF(INDEX('PROJETO PERFURAÇÃO'!$P:$P,MATCH(MEDIÇÃO!D986,'PROJETO PERFURAÇÃO'!$B:$B,0))="Buffer","B",IF(INDEX('PROJETO PERFURAÇÃO'!$P:$P,MATCH(MEDIÇÃO!D986,'PROJETO PERFURAÇÃO'!$B:$B,0))="Pre-Splitting","S"))),"")</f>
        <v/>
      </c>
      <c r="D986" s="14">
        <f t="shared" si="93"/>
        <v>2160</v>
      </c>
      <c r="E986" s="4" t="str">
        <f>IFERROR(INDEX('LEV R&amp;D'!$D:$D,MATCH(MEDIÇÃO!D986,'LEV R&amp;D'!$A:$A,0))-INDEX('PROJETO PERFURAÇÃO'!$AH:$AH,MATCH(MEDIÇÃO!D986,'PROJETO PERFURAÇÃO'!$B:$B,0)),"")</f>
        <v/>
      </c>
      <c r="F986" s="8" t="str">
        <f>IFERROR(INDEX('PROJETO PERFURAÇÃO'!$AN:$AN,MATCH(MEDIÇÃO!D986,'PROJETO PERFURAÇÃO'!$B:$B,0)),"")</f>
        <v/>
      </c>
      <c r="G986" s="3"/>
      <c r="H986" s="3"/>
      <c r="I986" s="3" t="str">
        <f>IFERROR(ROUND(INDEX('PROJETO PERFURAÇÃO'!$AB:$AB,MATCH(MEDIÇÃO!K986,'PROJETO PERFURAÇÃO'!$B:$B,0)),1)&amp;"''","")</f>
        <v/>
      </c>
      <c r="J986" s="3" t="str">
        <f>IFERROR(IF(INDEX('PROJETO PERFURAÇÃO'!$P:$P,MATCH(MEDIÇÃO!K986,'PROJETO PERFURAÇÃO'!$B:$B,0))="Production","P",IF(INDEX('PROJETO PERFURAÇÃO'!$P:$P,MATCH(MEDIÇÃO!K986,'PROJETO PERFURAÇÃO'!$B:$B,0))="Buffer","B",IF(INDEX('PROJETO PERFURAÇÃO'!$P:$P,MATCH(MEDIÇÃO!K986,'PROJETO PERFURAÇÃO'!$B:$B,0))="Pre-Splitting","S"))),"")</f>
        <v/>
      </c>
      <c r="K986" s="14">
        <f t="shared" si="94"/>
        <v>2183</v>
      </c>
      <c r="L986" s="4" t="str">
        <f>IFERROR(INDEX('LEV R&amp;D'!$D:$D,MATCH(MEDIÇÃO!K986,'LEV R&amp;D'!$A:$A,0))-INDEX('PROJETO PERFURAÇÃO'!$AH:$AH,MATCH(MEDIÇÃO!K986,'PROJETO PERFURAÇÃO'!$B:$B,0)),"")</f>
        <v/>
      </c>
      <c r="M986" s="8" t="str">
        <f>IFERROR(INDEX('PROJETO PERFURAÇÃO'!$AN:$AN,MATCH(MEDIÇÃO!K986,'PROJETO PERFURAÇÃO'!$B:$B,0)),"")</f>
        <v/>
      </c>
      <c r="N986" s="3"/>
      <c r="O986" s="3"/>
      <c r="P986" s="3" t="str">
        <f>IFERROR(ROUND(INDEX('PROJETO PERFURAÇÃO'!$AB:$AB,MATCH(MEDIÇÃO!R986,'PROJETO PERFURAÇÃO'!$B:$B,0)),1)&amp;"''","")</f>
        <v/>
      </c>
      <c r="Q986" s="3" t="str">
        <f>IFERROR(IF(INDEX('PROJETO PERFURAÇÃO'!$P:$P,MATCH(MEDIÇÃO!R986,'PROJETO PERFURAÇÃO'!$B:$B,0))="Production","P",IF(INDEX('PROJETO PERFURAÇÃO'!$P:$P,MATCH(MEDIÇÃO!R986,'PROJETO PERFURAÇÃO'!$B:$B,0))="Buffer","B",IF(INDEX('PROJETO PERFURAÇÃO'!$P:$P,MATCH(MEDIÇÃO!R986,'PROJETO PERFURAÇÃO'!$B:$B,0))="Pre-Splitting","S"))),"")</f>
        <v/>
      </c>
      <c r="R986" s="14">
        <f t="shared" si="95"/>
        <v>2206</v>
      </c>
      <c r="S986" s="4" t="str">
        <f>IFERROR(INDEX('LEV R&amp;D'!$D:$D,MATCH(MEDIÇÃO!R986,'LEV R&amp;D'!$A:$A,0))-INDEX('PROJETO PERFURAÇÃO'!$AH:$AH,MATCH(MEDIÇÃO!R986,'PROJETO PERFURAÇÃO'!$B:$B,0)),"")</f>
        <v/>
      </c>
      <c r="T986" s="8" t="str">
        <f>IFERROR(INDEX('PROJETO PERFURAÇÃO'!$AN:$AN,MATCH(MEDIÇÃO!R986,'PROJETO PERFURAÇÃO'!$B:$B,0)),"")</f>
        <v/>
      </c>
      <c r="U986" s="3"/>
      <c r="V986" s="3"/>
    </row>
    <row r="987" spans="2:22" ht="45" customHeight="1">
      <c r="B987" s="3" t="str">
        <f>IFERROR(ROUND(INDEX('PROJETO PERFURAÇÃO'!$AB:$AB,MATCH(MEDIÇÃO!D987,'PROJETO PERFURAÇÃO'!$B:$B,0)),1)&amp;"''","")</f>
        <v/>
      </c>
      <c r="C987" s="3" t="str">
        <f>IFERROR(IF(INDEX('PROJETO PERFURAÇÃO'!$P:$P,MATCH(MEDIÇÃO!D987,'PROJETO PERFURAÇÃO'!$B:$B,0))="Production","P",IF(INDEX('PROJETO PERFURAÇÃO'!$P:$P,MATCH(MEDIÇÃO!D987,'PROJETO PERFURAÇÃO'!$B:$B,0))="Buffer","B",IF(INDEX('PROJETO PERFURAÇÃO'!$P:$P,MATCH(MEDIÇÃO!D987,'PROJETO PERFURAÇÃO'!$B:$B,0))="Pre-Splitting","S"))),"")</f>
        <v/>
      </c>
      <c r="D987" s="14">
        <f t="shared" si="93"/>
        <v>2161</v>
      </c>
      <c r="E987" s="4" t="str">
        <f>IFERROR(INDEX('LEV R&amp;D'!$D:$D,MATCH(MEDIÇÃO!D987,'LEV R&amp;D'!$A:$A,0))-INDEX('PROJETO PERFURAÇÃO'!$AH:$AH,MATCH(MEDIÇÃO!D987,'PROJETO PERFURAÇÃO'!$B:$B,0)),"")</f>
        <v/>
      </c>
      <c r="F987" s="8" t="str">
        <f>IFERROR(INDEX('PROJETO PERFURAÇÃO'!$AN:$AN,MATCH(MEDIÇÃO!D987,'PROJETO PERFURAÇÃO'!$B:$B,0)),"")</f>
        <v/>
      </c>
      <c r="G987" s="3"/>
      <c r="H987" s="3"/>
      <c r="I987" s="3" t="str">
        <f>IFERROR(ROUND(INDEX('PROJETO PERFURAÇÃO'!$AB:$AB,MATCH(MEDIÇÃO!K987,'PROJETO PERFURAÇÃO'!$B:$B,0)),1)&amp;"''","")</f>
        <v/>
      </c>
      <c r="J987" s="3" t="str">
        <f>IFERROR(IF(INDEX('PROJETO PERFURAÇÃO'!$P:$P,MATCH(MEDIÇÃO!K987,'PROJETO PERFURAÇÃO'!$B:$B,0))="Production","P",IF(INDEX('PROJETO PERFURAÇÃO'!$P:$P,MATCH(MEDIÇÃO!K987,'PROJETO PERFURAÇÃO'!$B:$B,0))="Buffer","B",IF(INDEX('PROJETO PERFURAÇÃO'!$P:$P,MATCH(MEDIÇÃO!K987,'PROJETO PERFURAÇÃO'!$B:$B,0))="Pre-Splitting","S"))),"")</f>
        <v/>
      </c>
      <c r="K987" s="14">
        <f t="shared" si="94"/>
        <v>2184</v>
      </c>
      <c r="L987" s="4" t="str">
        <f>IFERROR(INDEX('LEV R&amp;D'!$D:$D,MATCH(MEDIÇÃO!K987,'LEV R&amp;D'!$A:$A,0))-INDEX('PROJETO PERFURAÇÃO'!$AH:$AH,MATCH(MEDIÇÃO!K987,'PROJETO PERFURAÇÃO'!$B:$B,0)),"")</f>
        <v/>
      </c>
      <c r="M987" s="8" t="str">
        <f>IFERROR(INDEX('PROJETO PERFURAÇÃO'!$AN:$AN,MATCH(MEDIÇÃO!K987,'PROJETO PERFURAÇÃO'!$B:$B,0)),"")</f>
        <v/>
      </c>
      <c r="N987" s="3"/>
      <c r="O987" s="3"/>
      <c r="P987" s="3" t="str">
        <f>IFERROR(ROUND(INDEX('PROJETO PERFURAÇÃO'!$AB:$AB,MATCH(MEDIÇÃO!R987,'PROJETO PERFURAÇÃO'!$B:$B,0)),1)&amp;"''","")</f>
        <v/>
      </c>
      <c r="Q987" s="3" t="str">
        <f>IFERROR(IF(INDEX('PROJETO PERFURAÇÃO'!$P:$P,MATCH(MEDIÇÃO!R987,'PROJETO PERFURAÇÃO'!$B:$B,0))="Production","P",IF(INDEX('PROJETO PERFURAÇÃO'!$P:$P,MATCH(MEDIÇÃO!R987,'PROJETO PERFURAÇÃO'!$B:$B,0))="Buffer","B",IF(INDEX('PROJETO PERFURAÇÃO'!$P:$P,MATCH(MEDIÇÃO!R987,'PROJETO PERFURAÇÃO'!$B:$B,0))="Pre-Splitting","S"))),"")</f>
        <v/>
      </c>
      <c r="R987" s="14">
        <f t="shared" si="95"/>
        <v>2207</v>
      </c>
      <c r="S987" s="4" t="str">
        <f>IFERROR(INDEX('LEV R&amp;D'!$D:$D,MATCH(MEDIÇÃO!R987,'LEV R&amp;D'!$A:$A,0))-INDEX('PROJETO PERFURAÇÃO'!$AH:$AH,MATCH(MEDIÇÃO!R987,'PROJETO PERFURAÇÃO'!$B:$B,0)),"")</f>
        <v/>
      </c>
      <c r="T987" s="8" t="str">
        <f>IFERROR(INDEX('PROJETO PERFURAÇÃO'!$AN:$AN,MATCH(MEDIÇÃO!R987,'PROJETO PERFURAÇÃO'!$B:$B,0)),"")</f>
        <v/>
      </c>
      <c r="U987" s="3"/>
      <c r="V987" s="3"/>
    </row>
    <row r="988" spans="2:22" ht="45" customHeight="1">
      <c r="B988" s="3" t="str">
        <f>IFERROR(ROUND(INDEX('PROJETO PERFURAÇÃO'!$AB:$AB,MATCH(MEDIÇÃO!D988,'PROJETO PERFURAÇÃO'!$B:$B,0)),1)&amp;"''","")</f>
        <v/>
      </c>
      <c r="C988" s="3" t="str">
        <f>IFERROR(IF(INDEX('PROJETO PERFURAÇÃO'!$P:$P,MATCH(MEDIÇÃO!D988,'PROJETO PERFURAÇÃO'!$B:$B,0))="Production","P",IF(INDEX('PROJETO PERFURAÇÃO'!$P:$P,MATCH(MEDIÇÃO!D988,'PROJETO PERFURAÇÃO'!$B:$B,0))="Buffer","B",IF(INDEX('PROJETO PERFURAÇÃO'!$P:$P,MATCH(MEDIÇÃO!D988,'PROJETO PERFURAÇÃO'!$B:$B,0))="Pre-Splitting","S"))),"")</f>
        <v/>
      </c>
      <c r="D988" s="14">
        <f t="shared" si="93"/>
        <v>2162</v>
      </c>
      <c r="E988" s="4" t="str">
        <f>IFERROR(INDEX('LEV R&amp;D'!$D:$D,MATCH(MEDIÇÃO!D988,'LEV R&amp;D'!$A:$A,0))-INDEX('PROJETO PERFURAÇÃO'!$AH:$AH,MATCH(MEDIÇÃO!D988,'PROJETO PERFURAÇÃO'!$B:$B,0)),"")</f>
        <v/>
      </c>
      <c r="F988" s="8" t="str">
        <f>IFERROR(INDEX('PROJETO PERFURAÇÃO'!$AN:$AN,MATCH(MEDIÇÃO!D988,'PROJETO PERFURAÇÃO'!$B:$B,0)),"")</f>
        <v/>
      </c>
      <c r="G988" s="3"/>
      <c r="H988" s="3"/>
      <c r="I988" s="3" t="str">
        <f>IFERROR(ROUND(INDEX('PROJETO PERFURAÇÃO'!$AB:$AB,MATCH(MEDIÇÃO!K988,'PROJETO PERFURAÇÃO'!$B:$B,0)),1)&amp;"''","")</f>
        <v/>
      </c>
      <c r="J988" s="3" t="str">
        <f>IFERROR(IF(INDEX('PROJETO PERFURAÇÃO'!$P:$P,MATCH(MEDIÇÃO!K988,'PROJETO PERFURAÇÃO'!$B:$B,0))="Production","P",IF(INDEX('PROJETO PERFURAÇÃO'!$P:$P,MATCH(MEDIÇÃO!K988,'PROJETO PERFURAÇÃO'!$B:$B,0))="Buffer","B",IF(INDEX('PROJETO PERFURAÇÃO'!$P:$P,MATCH(MEDIÇÃO!K988,'PROJETO PERFURAÇÃO'!$B:$B,0))="Pre-Splitting","S"))),"")</f>
        <v/>
      </c>
      <c r="K988" s="14">
        <f>K987+1</f>
        <v>2185</v>
      </c>
      <c r="L988" s="4" t="str">
        <f>IFERROR(INDEX('LEV R&amp;D'!$D:$D,MATCH(MEDIÇÃO!K988,'LEV R&amp;D'!$A:$A,0))-INDEX('PROJETO PERFURAÇÃO'!$AH:$AH,MATCH(MEDIÇÃO!K988,'PROJETO PERFURAÇÃO'!$B:$B,0)),"")</f>
        <v/>
      </c>
      <c r="M988" s="8" t="str">
        <f>IFERROR(INDEX('PROJETO PERFURAÇÃO'!$AN:$AN,MATCH(MEDIÇÃO!K988,'PROJETO PERFURAÇÃO'!$B:$B,0)),"")</f>
        <v/>
      </c>
      <c r="N988" s="3"/>
      <c r="O988" s="3"/>
      <c r="P988" s="3" t="str">
        <f>IFERROR(ROUND(INDEX('PROJETO PERFURAÇÃO'!$AB:$AB,MATCH(MEDIÇÃO!R988,'PROJETO PERFURAÇÃO'!$B:$B,0)),1)&amp;"''","")</f>
        <v/>
      </c>
      <c r="Q988" s="3" t="str">
        <f>IFERROR(IF(INDEX('PROJETO PERFURAÇÃO'!$P:$P,MATCH(MEDIÇÃO!R988,'PROJETO PERFURAÇÃO'!$B:$B,0))="Production","P",IF(INDEX('PROJETO PERFURAÇÃO'!$P:$P,MATCH(MEDIÇÃO!R988,'PROJETO PERFURAÇÃO'!$B:$B,0))="Buffer","B",IF(INDEX('PROJETO PERFURAÇÃO'!$P:$P,MATCH(MEDIÇÃO!R988,'PROJETO PERFURAÇÃO'!$B:$B,0))="Pre-Splitting","S"))),"")</f>
        <v/>
      </c>
      <c r="R988" s="14">
        <f>R987+1</f>
        <v>2208</v>
      </c>
      <c r="S988" s="4" t="str">
        <f>IFERROR(INDEX('LEV R&amp;D'!$D:$D,MATCH(MEDIÇÃO!R988,'LEV R&amp;D'!$A:$A,0))-INDEX('PROJETO PERFURAÇÃO'!$AH:$AH,MATCH(MEDIÇÃO!R988,'PROJETO PERFURAÇÃO'!$B:$B,0)),"")</f>
        <v/>
      </c>
      <c r="T988" s="8" t="str">
        <f>IFERROR(INDEX('PROJETO PERFURAÇÃO'!$AN:$AN,MATCH(MEDIÇÃO!R988,'PROJETO PERFURAÇÃO'!$B:$B,0)),"")</f>
        <v/>
      </c>
      <c r="U988" s="3"/>
      <c r="V988" s="3"/>
    </row>
    <row r="989" spans="2:22" ht="30" customHeight="1">
      <c r="B989" s="1"/>
      <c r="C989" s="1"/>
      <c r="D989" s="15"/>
      <c r="E989" s="2"/>
      <c r="F989" s="16"/>
      <c r="G989" s="1"/>
      <c r="H989" s="1"/>
      <c r="I989" s="1"/>
      <c r="J989" s="1"/>
      <c r="K989" s="15"/>
      <c r="L989" s="2"/>
      <c r="M989" s="16"/>
      <c r="N989" s="1"/>
      <c r="O989" s="1"/>
      <c r="P989" s="1"/>
      <c r="Q989" s="1"/>
      <c r="R989" s="15"/>
      <c r="S989" s="2"/>
      <c r="T989" s="16"/>
      <c r="U989" s="1"/>
      <c r="V989" s="1"/>
    </row>
    <row r="990" spans="2:22" ht="30" customHeight="1">
      <c r="C990" s="20"/>
      <c r="D990" s="20"/>
      <c r="E990" s="20"/>
      <c r="F990" s="20"/>
      <c r="G990" s="20"/>
      <c r="H990" s="20"/>
      <c r="I990" s="20"/>
      <c r="J990" s="20"/>
      <c r="K990" s="20"/>
      <c r="M990" s="20"/>
      <c r="N990" s="20"/>
      <c r="O990" s="20"/>
      <c r="P990" s="20"/>
      <c r="Q990" s="20"/>
      <c r="R990" s="20"/>
      <c r="S990" s="20"/>
      <c r="T990" s="20"/>
      <c r="U990" s="20"/>
    </row>
    <row r="991" spans="2:22" ht="30" customHeight="1">
      <c r="C991" s="21" t="s">
        <v>40</v>
      </c>
      <c r="D991" s="21"/>
      <c r="E991" s="21"/>
      <c r="F991" s="21"/>
      <c r="G991" s="21"/>
      <c r="H991" s="21"/>
      <c r="I991" s="21"/>
      <c r="J991" s="21"/>
      <c r="K991" s="21"/>
      <c r="L991" s="9"/>
      <c r="M991" s="21" t="s">
        <v>40</v>
      </c>
      <c r="N991" s="21"/>
      <c r="O991" s="21"/>
      <c r="P991" s="21"/>
      <c r="Q991" s="21"/>
      <c r="R991" s="21"/>
      <c r="S991" s="21"/>
      <c r="T991" s="21"/>
      <c r="U991" s="21"/>
      <c r="V991" s="9"/>
    </row>
    <row r="992" spans="2:22" ht="30" customHeight="1">
      <c r="D992" s="9"/>
      <c r="E992" s="9"/>
      <c r="F992" s="9"/>
      <c r="G992" s="9"/>
      <c r="H992" s="9"/>
      <c r="I992" s="9"/>
      <c r="J992" s="9"/>
      <c r="K992" s="9"/>
      <c r="L992" s="9"/>
      <c r="M992" s="9"/>
      <c r="N992" s="9"/>
      <c r="Q992" s="9"/>
      <c r="R992" s="9"/>
      <c r="S992" s="9"/>
      <c r="T992" s="9"/>
      <c r="U992" s="9"/>
      <c r="V992" s="9"/>
    </row>
    <row r="993" spans="1:23" ht="30" customHeight="1">
      <c r="B993" s="19" t="str">
        <f>'PROJETO PERFURAÇÃO'!$C$2&amp;" - "&amp;'PROJETO PERFURAÇÃO'!$H$2</f>
        <v>LIB037 - PP0370626</v>
      </c>
      <c r="C993" s="19"/>
      <c r="D993" s="19"/>
      <c r="E993" s="19"/>
      <c r="F993" s="19"/>
      <c r="G993" s="19"/>
      <c r="H993" s="19"/>
      <c r="I993" s="11" t="s">
        <v>34</v>
      </c>
      <c r="J993" s="10" t="s">
        <v>37</v>
      </c>
    </row>
    <row r="994" spans="1:23" ht="30" customHeight="1">
      <c r="B994" s="19"/>
      <c r="C994" s="19"/>
      <c r="D994" s="19"/>
      <c r="E994" s="19"/>
      <c r="F994" s="19"/>
      <c r="G994" s="19"/>
      <c r="H994" s="19"/>
      <c r="I994" s="12" t="s">
        <v>35</v>
      </c>
      <c r="J994" s="10" t="s">
        <v>38</v>
      </c>
      <c r="K994" s="9"/>
      <c r="L994" s="9"/>
      <c r="M994" s="9"/>
      <c r="N994" s="9"/>
      <c r="O994" s="9"/>
      <c r="P994" s="9"/>
      <c r="Q994" s="9"/>
      <c r="R994" s="9"/>
      <c r="S994" s="9"/>
      <c r="T994" s="9"/>
      <c r="U994" s="9"/>
      <c r="V994" s="9"/>
    </row>
    <row r="995" spans="1:23" ht="30" customHeight="1">
      <c r="B995" s="19"/>
      <c r="C995" s="19"/>
      <c r="D995" s="19"/>
      <c r="E995" s="19"/>
      <c r="F995" s="19"/>
      <c r="G995" s="19"/>
      <c r="H995" s="19"/>
      <c r="I995" s="13" t="s">
        <v>36</v>
      </c>
      <c r="J995" s="10" t="s">
        <v>39</v>
      </c>
    </row>
    <row r="996" spans="1:23" ht="30" customHeight="1">
      <c r="A996" s="1"/>
      <c r="B996" s="6" t="s">
        <v>33</v>
      </c>
      <c r="C996" s="6" t="s">
        <v>13</v>
      </c>
      <c r="D996" s="7" t="s">
        <v>1</v>
      </c>
      <c r="E996" s="7" t="s">
        <v>29</v>
      </c>
      <c r="F996" s="7" t="s">
        <v>30</v>
      </c>
      <c r="G996" s="7" t="s">
        <v>31</v>
      </c>
      <c r="H996" s="7" t="s">
        <v>32</v>
      </c>
      <c r="I996" s="6" t="s">
        <v>33</v>
      </c>
      <c r="J996" s="6" t="s">
        <v>13</v>
      </c>
      <c r="K996" s="7" t="s">
        <v>1</v>
      </c>
      <c r="L996" s="7" t="s">
        <v>29</v>
      </c>
      <c r="M996" s="7" t="s">
        <v>30</v>
      </c>
      <c r="N996" s="7" t="s">
        <v>31</v>
      </c>
      <c r="O996" s="7" t="s">
        <v>32</v>
      </c>
      <c r="P996" s="6" t="s">
        <v>33</v>
      </c>
      <c r="Q996" s="6" t="s">
        <v>13</v>
      </c>
      <c r="R996" s="7" t="s">
        <v>1</v>
      </c>
      <c r="S996" s="7" t="s">
        <v>29</v>
      </c>
      <c r="T996" s="7" t="s">
        <v>30</v>
      </c>
      <c r="U996" s="7" t="s">
        <v>31</v>
      </c>
      <c r="V996" s="7" t="s">
        <v>32</v>
      </c>
      <c r="W996" s="1"/>
    </row>
    <row r="997" spans="1:23" ht="45" customHeight="1">
      <c r="B997" s="3" t="str">
        <f>IFERROR(ROUND(INDEX('PROJETO PERFURAÇÃO'!$AB:$AB,MATCH(MEDIÇÃO!D997,'PROJETO PERFURAÇÃO'!$B:$B,0)),1)&amp;"''","")</f>
        <v/>
      </c>
      <c r="C997" s="3" t="str">
        <f>IFERROR(IF(INDEX('PROJETO PERFURAÇÃO'!$P:$P,MATCH(MEDIÇÃO!D997,'PROJETO PERFURAÇÃO'!$B:$B,0))="Production","P",IF(INDEX('PROJETO PERFURAÇÃO'!$P:$P,MATCH(MEDIÇÃO!D997,'PROJETO PERFURAÇÃO'!$B:$B,0))="Buffer","B",IF(INDEX('PROJETO PERFURAÇÃO'!$P:$P,MATCH(MEDIÇÃO!D997,'PROJETO PERFURAÇÃO'!$B:$B,0))="Pre-Splitting","S"))),"")</f>
        <v/>
      </c>
      <c r="D997" s="14">
        <f>R988+1</f>
        <v>2209</v>
      </c>
      <c r="E997" s="4" t="str">
        <f>IFERROR(INDEX('LEV R&amp;D'!$D:$D,MATCH(MEDIÇÃO!D997,'LEV R&amp;D'!$A:$A,0))-INDEX('PROJETO PERFURAÇÃO'!$AH:$AH,MATCH(MEDIÇÃO!D997,'PROJETO PERFURAÇÃO'!$B:$B,0)),"")</f>
        <v/>
      </c>
      <c r="F997" s="8" t="str">
        <f>IFERROR(INDEX('PROJETO PERFURAÇÃO'!$AN:$AN,MATCH(MEDIÇÃO!D997,'PROJETO PERFURAÇÃO'!$B:$B,0)),"")</f>
        <v/>
      </c>
      <c r="G997" s="3"/>
      <c r="H997" s="3"/>
      <c r="I997" s="3" t="str">
        <f>IFERROR(ROUND(INDEX('PROJETO PERFURAÇÃO'!$AB:$AB,MATCH(MEDIÇÃO!K997,'PROJETO PERFURAÇÃO'!$B:$B,0)),1)&amp;"''","")</f>
        <v/>
      </c>
      <c r="J997" s="3" t="str">
        <f>IFERROR(IF(INDEX('PROJETO PERFURAÇÃO'!$P:$P,MATCH(MEDIÇÃO!K997,'PROJETO PERFURAÇÃO'!$B:$B,0))="Production","P",IF(INDEX('PROJETO PERFURAÇÃO'!$P:$P,MATCH(MEDIÇÃO!K997,'PROJETO PERFURAÇÃO'!$B:$B,0))="Buffer","B",IF(INDEX('PROJETO PERFURAÇÃO'!$P:$P,MATCH(MEDIÇÃO!K997,'PROJETO PERFURAÇÃO'!$B:$B,0))="Pre-Splitting","S"))),"")</f>
        <v/>
      </c>
      <c r="K997" s="14">
        <f>D1019+1</f>
        <v>2232</v>
      </c>
      <c r="L997" s="4" t="str">
        <f>IFERROR(INDEX('LEV R&amp;D'!$D:$D,MATCH(MEDIÇÃO!K997,'LEV R&amp;D'!$A:$A,0))-INDEX('PROJETO PERFURAÇÃO'!$AH:$AH,MATCH(MEDIÇÃO!K997,'PROJETO PERFURAÇÃO'!$B:$B,0)),"")</f>
        <v/>
      </c>
      <c r="M997" s="8" t="str">
        <f>IFERROR(INDEX('PROJETO PERFURAÇÃO'!$AN:$AN,MATCH(MEDIÇÃO!K997,'PROJETO PERFURAÇÃO'!$B:$B,0)),"")</f>
        <v/>
      </c>
      <c r="N997" s="3"/>
      <c r="O997" s="3"/>
      <c r="P997" s="3" t="str">
        <f>IFERROR(ROUND(INDEX('PROJETO PERFURAÇÃO'!$AB:$AB,MATCH(MEDIÇÃO!R997,'PROJETO PERFURAÇÃO'!$B:$B,0)),1)&amp;"''","")</f>
        <v/>
      </c>
      <c r="Q997" s="3" t="str">
        <f>IFERROR(IF(INDEX('PROJETO PERFURAÇÃO'!$P:$P,MATCH(MEDIÇÃO!R997,'PROJETO PERFURAÇÃO'!$B:$B,0))="Production","P",IF(INDEX('PROJETO PERFURAÇÃO'!$P:$P,MATCH(MEDIÇÃO!R997,'PROJETO PERFURAÇÃO'!$B:$B,0))="Buffer","B",IF(INDEX('PROJETO PERFURAÇÃO'!$P:$P,MATCH(MEDIÇÃO!R997,'PROJETO PERFURAÇÃO'!$B:$B,0))="Pre-Splitting","S"))),"")</f>
        <v/>
      </c>
      <c r="R997" s="14">
        <f>K1019+1</f>
        <v>2255</v>
      </c>
      <c r="S997" s="4" t="str">
        <f>IFERROR(INDEX('LEV R&amp;D'!$D:$D,MATCH(MEDIÇÃO!R997,'LEV R&amp;D'!$A:$A,0))-INDEX('PROJETO PERFURAÇÃO'!$AH:$AH,MATCH(MEDIÇÃO!R997,'PROJETO PERFURAÇÃO'!$B:$B,0)),"")</f>
        <v/>
      </c>
      <c r="T997" s="8" t="str">
        <f>IFERROR(INDEX('PROJETO PERFURAÇÃO'!$AN:$AN,MATCH(MEDIÇÃO!R997,'PROJETO PERFURAÇÃO'!$B:$B,0)),"")</f>
        <v/>
      </c>
      <c r="U997" s="3"/>
      <c r="V997" s="3"/>
    </row>
    <row r="998" spans="1:23" ht="45" customHeight="1">
      <c r="B998" s="3" t="str">
        <f>IFERROR(ROUND(INDEX('PROJETO PERFURAÇÃO'!$AB:$AB,MATCH(MEDIÇÃO!D998,'PROJETO PERFURAÇÃO'!$B:$B,0)),1)&amp;"''","")</f>
        <v/>
      </c>
      <c r="C998" s="3" t="str">
        <f>IFERROR(IF(INDEX('PROJETO PERFURAÇÃO'!$P:$P,MATCH(MEDIÇÃO!D998,'PROJETO PERFURAÇÃO'!$B:$B,0))="Production","P",IF(INDEX('PROJETO PERFURAÇÃO'!$P:$P,MATCH(MEDIÇÃO!D998,'PROJETO PERFURAÇÃO'!$B:$B,0))="Buffer","B",IF(INDEX('PROJETO PERFURAÇÃO'!$P:$P,MATCH(MEDIÇÃO!D998,'PROJETO PERFURAÇÃO'!$B:$B,0))="Pre-Splitting","S"))),"")</f>
        <v/>
      </c>
      <c r="D998" s="14">
        <f>D997+1</f>
        <v>2210</v>
      </c>
      <c r="E998" s="4" t="str">
        <f>IFERROR(INDEX('LEV R&amp;D'!$D:$D,MATCH(MEDIÇÃO!D998,'LEV R&amp;D'!$A:$A,0))-INDEX('PROJETO PERFURAÇÃO'!$AH:$AH,MATCH(MEDIÇÃO!D998,'PROJETO PERFURAÇÃO'!$B:$B,0)),"")</f>
        <v/>
      </c>
      <c r="F998" s="8" t="str">
        <f>IFERROR(INDEX('PROJETO PERFURAÇÃO'!$AN:$AN,MATCH(MEDIÇÃO!D998,'PROJETO PERFURAÇÃO'!$B:$B,0)),"")</f>
        <v/>
      </c>
      <c r="G998" s="3"/>
      <c r="H998" s="3"/>
      <c r="I998" s="3" t="str">
        <f>IFERROR(ROUND(INDEX('PROJETO PERFURAÇÃO'!$AB:$AB,MATCH(MEDIÇÃO!K998,'PROJETO PERFURAÇÃO'!$B:$B,0)),1)&amp;"''","")</f>
        <v/>
      </c>
      <c r="J998" s="3" t="str">
        <f>IFERROR(IF(INDEX('PROJETO PERFURAÇÃO'!$P:$P,MATCH(MEDIÇÃO!K998,'PROJETO PERFURAÇÃO'!$B:$B,0))="Production","P",IF(INDEX('PROJETO PERFURAÇÃO'!$P:$P,MATCH(MEDIÇÃO!K998,'PROJETO PERFURAÇÃO'!$B:$B,0))="Buffer","B",IF(INDEX('PROJETO PERFURAÇÃO'!$P:$P,MATCH(MEDIÇÃO!K998,'PROJETO PERFURAÇÃO'!$B:$B,0))="Pre-Splitting","S"))),"")</f>
        <v/>
      </c>
      <c r="K998" s="14">
        <f>K997+1</f>
        <v>2233</v>
      </c>
      <c r="L998" s="4" t="str">
        <f>IFERROR(INDEX('LEV R&amp;D'!$D:$D,MATCH(MEDIÇÃO!K998,'LEV R&amp;D'!$A:$A,0))-INDEX('PROJETO PERFURAÇÃO'!$AH:$AH,MATCH(MEDIÇÃO!K998,'PROJETO PERFURAÇÃO'!$B:$B,0)),"")</f>
        <v/>
      </c>
      <c r="M998" s="8" t="str">
        <f>IFERROR(INDEX('PROJETO PERFURAÇÃO'!$AN:$AN,MATCH(MEDIÇÃO!K998,'PROJETO PERFURAÇÃO'!$B:$B,0)),"")</f>
        <v/>
      </c>
      <c r="N998" s="3"/>
      <c r="O998" s="3"/>
      <c r="P998" s="3" t="str">
        <f>IFERROR(ROUND(INDEX('PROJETO PERFURAÇÃO'!$AB:$AB,MATCH(MEDIÇÃO!R998,'PROJETO PERFURAÇÃO'!$B:$B,0)),1)&amp;"''","")</f>
        <v/>
      </c>
      <c r="Q998" s="3" t="str">
        <f>IFERROR(IF(INDEX('PROJETO PERFURAÇÃO'!$P:$P,MATCH(MEDIÇÃO!R998,'PROJETO PERFURAÇÃO'!$B:$B,0))="Production","P",IF(INDEX('PROJETO PERFURAÇÃO'!$P:$P,MATCH(MEDIÇÃO!R998,'PROJETO PERFURAÇÃO'!$B:$B,0))="Buffer","B",IF(INDEX('PROJETO PERFURAÇÃO'!$P:$P,MATCH(MEDIÇÃO!R998,'PROJETO PERFURAÇÃO'!$B:$B,0))="Pre-Splitting","S"))),"")</f>
        <v/>
      </c>
      <c r="R998" s="14">
        <f>R997+1</f>
        <v>2256</v>
      </c>
      <c r="S998" s="4" t="str">
        <f>IFERROR(INDEX('LEV R&amp;D'!$D:$D,MATCH(MEDIÇÃO!R998,'LEV R&amp;D'!$A:$A,0))-INDEX('PROJETO PERFURAÇÃO'!$AH:$AH,MATCH(MEDIÇÃO!R998,'PROJETO PERFURAÇÃO'!$B:$B,0)),"")</f>
        <v/>
      </c>
      <c r="T998" s="8" t="str">
        <f>IFERROR(INDEX('PROJETO PERFURAÇÃO'!$AN:$AN,MATCH(MEDIÇÃO!R998,'PROJETO PERFURAÇÃO'!$B:$B,0)),"")</f>
        <v/>
      </c>
      <c r="U998" s="3"/>
      <c r="V998" s="3"/>
    </row>
    <row r="999" spans="1:23" ht="45" customHeight="1">
      <c r="B999" s="3" t="str">
        <f>IFERROR(ROUND(INDEX('PROJETO PERFURAÇÃO'!$AB:$AB,MATCH(MEDIÇÃO!D999,'PROJETO PERFURAÇÃO'!$B:$B,0)),1)&amp;"''","")</f>
        <v/>
      </c>
      <c r="C999" s="3" t="str">
        <f>IFERROR(IF(INDEX('PROJETO PERFURAÇÃO'!$P:$P,MATCH(MEDIÇÃO!D999,'PROJETO PERFURAÇÃO'!$B:$B,0))="Production","P",IF(INDEX('PROJETO PERFURAÇÃO'!$P:$P,MATCH(MEDIÇÃO!D999,'PROJETO PERFURAÇÃO'!$B:$B,0))="Buffer","B",IF(INDEX('PROJETO PERFURAÇÃO'!$P:$P,MATCH(MEDIÇÃO!D999,'PROJETO PERFURAÇÃO'!$B:$B,0))="Pre-Splitting","S"))),"")</f>
        <v/>
      </c>
      <c r="D999" s="14">
        <f t="shared" ref="D999:D1019" si="96">D998+1</f>
        <v>2211</v>
      </c>
      <c r="E999" s="4" t="str">
        <f>IFERROR(INDEX('LEV R&amp;D'!$D:$D,MATCH(MEDIÇÃO!D999,'LEV R&amp;D'!$A:$A,0))-INDEX('PROJETO PERFURAÇÃO'!$AH:$AH,MATCH(MEDIÇÃO!D999,'PROJETO PERFURAÇÃO'!$B:$B,0)),"")</f>
        <v/>
      </c>
      <c r="F999" s="8" t="str">
        <f>IFERROR(INDEX('PROJETO PERFURAÇÃO'!$AN:$AN,MATCH(MEDIÇÃO!D999,'PROJETO PERFURAÇÃO'!$B:$B,0)),"")</f>
        <v/>
      </c>
      <c r="G999" s="3"/>
      <c r="H999" s="3"/>
      <c r="I999" s="3" t="str">
        <f>IFERROR(ROUND(INDEX('PROJETO PERFURAÇÃO'!$AB:$AB,MATCH(MEDIÇÃO!K999,'PROJETO PERFURAÇÃO'!$B:$B,0)),1)&amp;"''","")</f>
        <v/>
      </c>
      <c r="J999" s="3" t="str">
        <f>IFERROR(IF(INDEX('PROJETO PERFURAÇÃO'!$P:$P,MATCH(MEDIÇÃO!K999,'PROJETO PERFURAÇÃO'!$B:$B,0))="Production","P",IF(INDEX('PROJETO PERFURAÇÃO'!$P:$P,MATCH(MEDIÇÃO!K999,'PROJETO PERFURAÇÃO'!$B:$B,0))="Buffer","B",IF(INDEX('PROJETO PERFURAÇÃO'!$P:$P,MATCH(MEDIÇÃO!K999,'PROJETO PERFURAÇÃO'!$B:$B,0))="Pre-Splitting","S"))),"")</f>
        <v/>
      </c>
      <c r="K999" s="14">
        <f t="shared" ref="K999:K1018" si="97">K998+1</f>
        <v>2234</v>
      </c>
      <c r="L999" s="4" t="str">
        <f>IFERROR(INDEX('LEV R&amp;D'!$D:$D,MATCH(MEDIÇÃO!K999,'LEV R&amp;D'!$A:$A,0))-INDEX('PROJETO PERFURAÇÃO'!$AH:$AH,MATCH(MEDIÇÃO!K999,'PROJETO PERFURAÇÃO'!$B:$B,0)),"")</f>
        <v/>
      </c>
      <c r="M999" s="8" t="str">
        <f>IFERROR(INDEX('PROJETO PERFURAÇÃO'!$AN:$AN,MATCH(MEDIÇÃO!K999,'PROJETO PERFURAÇÃO'!$B:$B,0)),"")</f>
        <v/>
      </c>
      <c r="N999" s="3"/>
      <c r="O999" s="3"/>
      <c r="P999" s="3" t="str">
        <f>IFERROR(ROUND(INDEX('PROJETO PERFURAÇÃO'!$AB:$AB,MATCH(MEDIÇÃO!R999,'PROJETO PERFURAÇÃO'!$B:$B,0)),1)&amp;"''","")</f>
        <v/>
      </c>
      <c r="Q999" s="3" t="str">
        <f>IFERROR(IF(INDEX('PROJETO PERFURAÇÃO'!$P:$P,MATCH(MEDIÇÃO!R999,'PROJETO PERFURAÇÃO'!$B:$B,0))="Production","P",IF(INDEX('PROJETO PERFURAÇÃO'!$P:$P,MATCH(MEDIÇÃO!R999,'PROJETO PERFURAÇÃO'!$B:$B,0))="Buffer","B",IF(INDEX('PROJETO PERFURAÇÃO'!$P:$P,MATCH(MEDIÇÃO!R999,'PROJETO PERFURAÇÃO'!$B:$B,0))="Pre-Splitting","S"))),"")</f>
        <v/>
      </c>
      <c r="R999" s="14">
        <f t="shared" ref="R999:R1018" si="98">R998+1</f>
        <v>2257</v>
      </c>
      <c r="S999" s="4" t="str">
        <f>IFERROR(INDEX('LEV R&amp;D'!$D:$D,MATCH(MEDIÇÃO!R999,'LEV R&amp;D'!$A:$A,0))-INDEX('PROJETO PERFURAÇÃO'!$AH:$AH,MATCH(MEDIÇÃO!R999,'PROJETO PERFURAÇÃO'!$B:$B,0)),"")</f>
        <v/>
      </c>
      <c r="T999" s="8" t="str">
        <f>IFERROR(INDEX('PROJETO PERFURAÇÃO'!$AN:$AN,MATCH(MEDIÇÃO!R999,'PROJETO PERFURAÇÃO'!$B:$B,0)),"")</f>
        <v/>
      </c>
      <c r="U999" s="3"/>
      <c r="V999" s="3"/>
    </row>
    <row r="1000" spans="1:23" ht="45" customHeight="1">
      <c r="B1000" s="3" t="str">
        <f>IFERROR(ROUND(INDEX('PROJETO PERFURAÇÃO'!$AB:$AB,MATCH(MEDIÇÃO!D1000,'PROJETO PERFURAÇÃO'!$B:$B,0)),1)&amp;"''","")</f>
        <v/>
      </c>
      <c r="C1000" s="3" t="str">
        <f>IFERROR(IF(INDEX('PROJETO PERFURAÇÃO'!$P:$P,MATCH(MEDIÇÃO!D1000,'PROJETO PERFURAÇÃO'!$B:$B,0))="Production","P",IF(INDEX('PROJETO PERFURAÇÃO'!$P:$P,MATCH(MEDIÇÃO!D1000,'PROJETO PERFURAÇÃO'!$B:$B,0))="Buffer","B",IF(INDEX('PROJETO PERFURAÇÃO'!$P:$P,MATCH(MEDIÇÃO!D1000,'PROJETO PERFURAÇÃO'!$B:$B,0))="Pre-Splitting","S"))),"")</f>
        <v/>
      </c>
      <c r="D1000" s="14">
        <f t="shared" si="96"/>
        <v>2212</v>
      </c>
      <c r="E1000" s="4" t="str">
        <f>IFERROR(INDEX('LEV R&amp;D'!$D:$D,MATCH(MEDIÇÃO!D1000,'LEV R&amp;D'!$A:$A,0))-INDEX('PROJETO PERFURAÇÃO'!$AH:$AH,MATCH(MEDIÇÃO!D1000,'PROJETO PERFURAÇÃO'!$B:$B,0)),"")</f>
        <v/>
      </c>
      <c r="F1000" s="8" t="str">
        <f>IFERROR(INDEX('PROJETO PERFURAÇÃO'!$AN:$AN,MATCH(MEDIÇÃO!D1000,'PROJETO PERFURAÇÃO'!$B:$B,0)),"")</f>
        <v/>
      </c>
      <c r="G1000" s="3"/>
      <c r="H1000" s="3"/>
      <c r="I1000" s="3" t="str">
        <f>IFERROR(ROUND(INDEX('PROJETO PERFURAÇÃO'!$AB:$AB,MATCH(MEDIÇÃO!K1000,'PROJETO PERFURAÇÃO'!$B:$B,0)),1)&amp;"''","")</f>
        <v/>
      </c>
      <c r="J1000" s="3" t="str">
        <f>IFERROR(IF(INDEX('PROJETO PERFURAÇÃO'!$P:$P,MATCH(MEDIÇÃO!K1000,'PROJETO PERFURAÇÃO'!$B:$B,0))="Production","P",IF(INDEX('PROJETO PERFURAÇÃO'!$P:$P,MATCH(MEDIÇÃO!K1000,'PROJETO PERFURAÇÃO'!$B:$B,0))="Buffer","B",IF(INDEX('PROJETO PERFURAÇÃO'!$P:$P,MATCH(MEDIÇÃO!K1000,'PROJETO PERFURAÇÃO'!$B:$B,0))="Pre-Splitting","S"))),"")</f>
        <v/>
      </c>
      <c r="K1000" s="14">
        <f t="shared" si="97"/>
        <v>2235</v>
      </c>
      <c r="L1000" s="4" t="str">
        <f>IFERROR(INDEX('LEV R&amp;D'!$D:$D,MATCH(MEDIÇÃO!K1000,'LEV R&amp;D'!$A:$A,0))-INDEX('PROJETO PERFURAÇÃO'!$AH:$AH,MATCH(MEDIÇÃO!K1000,'PROJETO PERFURAÇÃO'!$B:$B,0)),"")</f>
        <v/>
      </c>
      <c r="M1000" s="8" t="str">
        <f>IFERROR(INDEX('PROJETO PERFURAÇÃO'!$AN:$AN,MATCH(MEDIÇÃO!K1000,'PROJETO PERFURAÇÃO'!$B:$B,0)),"")</f>
        <v/>
      </c>
      <c r="N1000" s="3"/>
      <c r="O1000" s="3"/>
      <c r="P1000" s="3" t="str">
        <f>IFERROR(ROUND(INDEX('PROJETO PERFURAÇÃO'!$AB:$AB,MATCH(MEDIÇÃO!R1000,'PROJETO PERFURAÇÃO'!$B:$B,0)),1)&amp;"''","")</f>
        <v/>
      </c>
      <c r="Q1000" s="3" t="str">
        <f>IFERROR(IF(INDEX('PROJETO PERFURAÇÃO'!$P:$P,MATCH(MEDIÇÃO!R1000,'PROJETO PERFURAÇÃO'!$B:$B,0))="Production","P",IF(INDEX('PROJETO PERFURAÇÃO'!$P:$P,MATCH(MEDIÇÃO!R1000,'PROJETO PERFURAÇÃO'!$B:$B,0))="Buffer","B",IF(INDEX('PROJETO PERFURAÇÃO'!$P:$P,MATCH(MEDIÇÃO!R1000,'PROJETO PERFURAÇÃO'!$B:$B,0))="Pre-Splitting","S"))),"")</f>
        <v/>
      </c>
      <c r="R1000" s="14">
        <f t="shared" si="98"/>
        <v>2258</v>
      </c>
      <c r="S1000" s="4" t="str">
        <f>IFERROR(INDEX('LEV R&amp;D'!$D:$D,MATCH(MEDIÇÃO!R1000,'LEV R&amp;D'!$A:$A,0))-INDEX('PROJETO PERFURAÇÃO'!$AH:$AH,MATCH(MEDIÇÃO!R1000,'PROJETO PERFURAÇÃO'!$B:$B,0)),"")</f>
        <v/>
      </c>
      <c r="T1000" s="8" t="str">
        <f>IFERROR(INDEX('PROJETO PERFURAÇÃO'!$AN:$AN,MATCH(MEDIÇÃO!R1000,'PROJETO PERFURAÇÃO'!$B:$B,0)),"")</f>
        <v/>
      </c>
      <c r="U1000" s="3"/>
      <c r="V1000" s="3"/>
    </row>
    <row r="1001" spans="1:23" ht="45" customHeight="1">
      <c r="B1001" s="3" t="str">
        <f>IFERROR(ROUND(INDEX('PROJETO PERFURAÇÃO'!$AB:$AB,MATCH(MEDIÇÃO!D1001,'PROJETO PERFURAÇÃO'!$B:$B,0)),1)&amp;"''","")</f>
        <v/>
      </c>
      <c r="C1001" s="3" t="str">
        <f>IFERROR(IF(INDEX('PROJETO PERFURAÇÃO'!$P:$P,MATCH(MEDIÇÃO!D1001,'PROJETO PERFURAÇÃO'!$B:$B,0))="Production","P",IF(INDEX('PROJETO PERFURAÇÃO'!$P:$P,MATCH(MEDIÇÃO!D1001,'PROJETO PERFURAÇÃO'!$B:$B,0))="Buffer","B",IF(INDEX('PROJETO PERFURAÇÃO'!$P:$P,MATCH(MEDIÇÃO!D1001,'PROJETO PERFURAÇÃO'!$B:$B,0))="Pre-Splitting","S"))),"")</f>
        <v/>
      </c>
      <c r="D1001" s="14">
        <f t="shared" si="96"/>
        <v>2213</v>
      </c>
      <c r="E1001" s="4" t="str">
        <f>IFERROR(INDEX('LEV R&amp;D'!$D:$D,MATCH(MEDIÇÃO!D1001,'LEV R&amp;D'!$A:$A,0))-INDEX('PROJETO PERFURAÇÃO'!$AH:$AH,MATCH(MEDIÇÃO!D1001,'PROJETO PERFURAÇÃO'!$B:$B,0)),"")</f>
        <v/>
      </c>
      <c r="F1001" s="8" t="str">
        <f>IFERROR(INDEX('PROJETO PERFURAÇÃO'!$AN:$AN,MATCH(MEDIÇÃO!D1001,'PROJETO PERFURAÇÃO'!$B:$B,0)),"")</f>
        <v/>
      </c>
      <c r="G1001" s="3"/>
      <c r="H1001" s="3"/>
      <c r="I1001" s="3" t="str">
        <f>IFERROR(ROUND(INDEX('PROJETO PERFURAÇÃO'!$AB:$AB,MATCH(MEDIÇÃO!K1001,'PROJETO PERFURAÇÃO'!$B:$B,0)),1)&amp;"''","")</f>
        <v/>
      </c>
      <c r="J1001" s="3" t="str">
        <f>IFERROR(IF(INDEX('PROJETO PERFURAÇÃO'!$P:$P,MATCH(MEDIÇÃO!K1001,'PROJETO PERFURAÇÃO'!$B:$B,0))="Production","P",IF(INDEX('PROJETO PERFURAÇÃO'!$P:$P,MATCH(MEDIÇÃO!K1001,'PROJETO PERFURAÇÃO'!$B:$B,0))="Buffer","B",IF(INDEX('PROJETO PERFURAÇÃO'!$P:$P,MATCH(MEDIÇÃO!K1001,'PROJETO PERFURAÇÃO'!$B:$B,0))="Pre-Splitting","S"))),"")</f>
        <v/>
      </c>
      <c r="K1001" s="14">
        <f t="shared" si="97"/>
        <v>2236</v>
      </c>
      <c r="L1001" s="4" t="str">
        <f>IFERROR(INDEX('LEV R&amp;D'!$D:$D,MATCH(MEDIÇÃO!K1001,'LEV R&amp;D'!$A:$A,0))-INDEX('PROJETO PERFURAÇÃO'!$AH:$AH,MATCH(MEDIÇÃO!K1001,'PROJETO PERFURAÇÃO'!$B:$B,0)),"")</f>
        <v/>
      </c>
      <c r="M1001" s="8" t="str">
        <f>IFERROR(INDEX('PROJETO PERFURAÇÃO'!$AN:$AN,MATCH(MEDIÇÃO!K1001,'PROJETO PERFURAÇÃO'!$B:$B,0)),"")</f>
        <v/>
      </c>
      <c r="N1001" s="3"/>
      <c r="O1001" s="3"/>
      <c r="P1001" s="3" t="str">
        <f>IFERROR(ROUND(INDEX('PROJETO PERFURAÇÃO'!$AB:$AB,MATCH(MEDIÇÃO!R1001,'PROJETO PERFURAÇÃO'!$B:$B,0)),1)&amp;"''","")</f>
        <v/>
      </c>
      <c r="Q1001" s="3" t="str">
        <f>IFERROR(IF(INDEX('PROJETO PERFURAÇÃO'!$P:$P,MATCH(MEDIÇÃO!R1001,'PROJETO PERFURAÇÃO'!$B:$B,0))="Production","P",IF(INDEX('PROJETO PERFURAÇÃO'!$P:$P,MATCH(MEDIÇÃO!R1001,'PROJETO PERFURAÇÃO'!$B:$B,0))="Buffer","B",IF(INDEX('PROJETO PERFURAÇÃO'!$P:$P,MATCH(MEDIÇÃO!R1001,'PROJETO PERFURAÇÃO'!$B:$B,0))="Pre-Splitting","S"))),"")</f>
        <v/>
      </c>
      <c r="R1001" s="14">
        <f t="shared" si="98"/>
        <v>2259</v>
      </c>
      <c r="S1001" s="4" t="str">
        <f>IFERROR(INDEX('LEV R&amp;D'!$D:$D,MATCH(MEDIÇÃO!R1001,'LEV R&amp;D'!$A:$A,0))-INDEX('PROJETO PERFURAÇÃO'!$AH:$AH,MATCH(MEDIÇÃO!R1001,'PROJETO PERFURAÇÃO'!$B:$B,0)),"")</f>
        <v/>
      </c>
      <c r="T1001" s="8" t="str">
        <f>IFERROR(INDEX('PROJETO PERFURAÇÃO'!$AN:$AN,MATCH(MEDIÇÃO!R1001,'PROJETO PERFURAÇÃO'!$B:$B,0)),"")</f>
        <v/>
      </c>
      <c r="U1001" s="3"/>
      <c r="V1001" s="3"/>
    </row>
    <row r="1002" spans="1:23" ht="45" customHeight="1">
      <c r="B1002" s="3" t="str">
        <f>IFERROR(ROUND(INDEX('PROJETO PERFURAÇÃO'!$AB:$AB,MATCH(MEDIÇÃO!D1002,'PROJETO PERFURAÇÃO'!$B:$B,0)),1)&amp;"''","")</f>
        <v/>
      </c>
      <c r="C1002" s="3" t="str">
        <f>IFERROR(IF(INDEX('PROJETO PERFURAÇÃO'!$P:$P,MATCH(MEDIÇÃO!D1002,'PROJETO PERFURAÇÃO'!$B:$B,0))="Production","P",IF(INDEX('PROJETO PERFURAÇÃO'!$P:$P,MATCH(MEDIÇÃO!D1002,'PROJETO PERFURAÇÃO'!$B:$B,0))="Buffer","B",IF(INDEX('PROJETO PERFURAÇÃO'!$P:$P,MATCH(MEDIÇÃO!D1002,'PROJETO PERFURAÇÃO'!$B:$B,0))="Pre-Splitting","S"))),"")</f>
        <v/>
      </c>
      <c r="D1002" s="14">
        <f t="shared" si="96"/>
        <v>2214</v>
      </c>
      <c r="E1002" s="4" t="str">
        <f>IFERROR(INDEX('LEV R&amp;D'!$D:$D,MATCH(MEDIÇÃO!D1002,'LEV R&amp;D'!$A:$A,0))-INDEX('PROJETO PERFURAÇÃO'!$AH:$AH,MATCH(MEDIÇÃO!D1002,'PROJETO PERFURAÇÃO'!$B:$B,0)),"")</f>
        <v/>
      </c>
      <c r="F1002" s="8" t="str">
        <f>IFERROR(INDEX('PROJETO PERFURAÇÃO'!$AN:$AN,MATCH(MEDIÇÃO!D1002,'PROJETO PERFURAÇÃO'!$B:$B,0)),"")</f>
        <v/>
      </c>
      <c r="G1002" s="3"/>
      <c r="H1002" s="3"/>
      <c r="I1002" s="3" t="str">
        <f>IFERROR(ROUND(INDEX('PROJETO PERFURAÇÃO'!$AB:$AB,MATCH(MEDIÇÃO!K1002,'PROJETO PERFURAÇÃO'!$B:$B,0)),1)&amp;"''","")</f>
        <v/>
      </c>
      <c r="J1002" s="3" t="str">
        <f>IFERROR(IF(INDEX('PROJETO PERFURAÇÃO'!$P:$P,MATCH(MEDIÇÃO!K1002,'PROJETO PERFURAÇÃO'!$B:$B,0))="Production","P",IF(INDEX('PROJETO PERFURAÇÃO'!$P:$P,MATCH(MEDIÇÃO!K1002,'PROJETO PERFURAÇÃO'!$B:$B,0))="Buffer","B",IF(INDEX('PROJETO PERFURAÇÃO'!$P:$P,MATCH(MEDIÇÃO!K1002,'PROJETO PERFURAÇÃO'!$B:$B,0))="Pre-Splitting","S"))),"")</f>
        <v/>
      </c>
      <c r="K1002" s="14">
        <f t="shared" si="97"/>
        <v>2237</v>
      </c>
      <c r="L1002" s="4" t="str">
        <f>IFERROR(INDEX('LEV R&amp;D'!$D:$D,MATCH(MEDIÇÃO!K1002,'LEV R&amp;D'!$A:$A,0))-INDEX('PROJETO PERFURAÇÃO'!$AH:$AH,MATCH(MEDIÇÃO!K1002,'PROJETO PERFURAÇÃO'!$B:$B,0)),"")</f>
        <v/>
      </c>
      <c r="M1002" s="8" t="str">
        <f>IFERROR(INDEX('PROJETO PERFURAÇÃO'!$AN:$AN,MATCH(MEDIÇÃO!K1002,'PROJETO PERFURAÇÃO'!$B:$B,0)),"")</f>
        <v/>
      </c>
      <c r="N1002" s="3"/>
      <c r="O1002" s="3"/>
      <c r="P1002" s="3" t="str">
        <f>IFERROR(ROUND(INDEX('PROJETO PERFURAÇÃO'!$AB:$AB,MATCH(MEDIÇÃO!R1002,'PROJETO PERFURAÇÃO'!$B:$B,0)),1)&amp;"''","")</f>
        <v/>
      </c>
      <c r="Q1002" s="3" t="str">
        <f>IFERROR(IF(INDEX('PROJETO PERFURAÇÃO'!$P:$P,MATCH(MEDIÇÃO!R1002,'PROJETO PERFURAÇÃO'!$B:$B,0))="Production","P",IF(INDEX('PROJETO PERFURAÇÃO'!$P:$P,MATCH(MEDIÇÃO!R1002,'PROJETO PERFURAÇÃO'!$B:$B,0))="Buffer","B",IF(INDEX('PROJETO PERFURAÇÃO'!$P:$P,MATCH(MEDIÇÃO!R1002,'PROJETO PERFURAÇÃO'!$B:$B,0))="Pre-Splitting","S"))),"")</f>
        <v/>
      </c>
      <c r="R1002" s="14">
        <f t="shared" si="98"/>
        <v>2260</v>
      </c>
      <c r="S1002" s="4" t="str">
        <f>IFERROR(INDEX('LEV R&amp;D'!$D:$D,MATCH(MEDIÇÃO!R1002,'LEV R&amp;D'!$A:$A,0))-INDEX('PROJETO PERFURAÇÃO'!$AH:$AH,MATCH(MEDIÇÃO!R1002,'PROJETO PERFURAÇÃO'!$B:$B,0)),"")</f>
        <v/>
      </c>
      <c r="T1002" s="8" t="str">
        <f>IFERROR(INDEX('PROJETO PERFURAÇÃO'!$AN:$AN,MATCH(MEDIÇÃO!R1002,'PROJETO PERFURAÇÃO'!$B:$B,0)),"")</f>
        <v/>
      </c>
      <c r="U1002" s="3"/>
      <c r="V1002" s="3"/>
    </row>
    <row r="1003" spans="1:23" ht="45" customHeight="1">
      <c r="B1003" s="3" t="str">
        <f>IFERROR(ROUND(INDEX('PROJETO PERFURAÇÃO'!$AB:$AB,MATCH(MEDIÇÃO!D1003,'PROJETO PERFURAÇÃO'!$B:$B,0)),1)&amp;"''","")</f>
        <v/>
      </c>
      <c r="C1003" s="3" t="str">
        <f>IFERROR(IF(INDEX('PROJETO PERFURAÇÃO'!$P:$P,MATCH(MEDIÇÃO!D1003,'PROJETO PERFURAÇÃO'!$B:$B,0))="Production","P",IF(INDEX('PROJETO PERFURAÇÃO'!$P:$P,MATCH(MEDIÇÃO!D1003,'PROJETO PERFURAÇÃO'!$B:$B,0))="Buffer","B",IF(INDEX('PROJETO PERFURAÇÃO'!$P:$P,MATCH(MEDIÇÃO!D1003,'PROJETO PERFURAÇÃO'!$B:$B,0))="Pre-Splitting","S"))),"")</f>
        <v/>
      </c>
      <c r="D1003" s="14">
        <f t="shared" si="96"/>
        <v>2215</v>
      </c>
      <c r="E1003" s="4" t="str">
        <f>IFERROR(INDEX('LEV R&amp;D'!$D:$D,MATCH(MEDIÇÃO!D1003,'LEV R&amp;D'!$A:$A,0))-INDEX('PROJETO PERFURAÇÃO'!$AH:$AH,MATCH(MEDIÇÃO!D1003,'PROJETO PERFURAÇÃO'!$B:$B,0)),"")</f>
        <v/>
      </c>
      <c r="F1003" s="8" t="str">
        <f>IFERROR(INDEX('PROJETO PERFURAÇÃO'!$AN:$AN,MATCH(MEDIÇÃO!D1003,'PROJETO PERFURAÇÃO'!$B:$B,0)),"")</f>
        <v/>
      </c>
      <c r="G1003" s="3"/>
      <c r="H1003" s="3"/>
      <c r="I1003" s="3" t="str">
        <f>IFERROR(ROUND(INDEX('PROJETO PERFURAÇÃO'!$AB:$AB,MATCH(MEDIÇÃO!K1003,'PROJETO PERFURAÇÃO'!$B:$B,0)),1)&amp;"''","")</f>
        <v/>
      </c>
      <c r="J1003" s="3" t="str">
        <f>IFERROR(IF(INDEX('PROJETO PERFURAÇÃO'!$P:$P,MATCH(MEDIÇÃO!K1003,'PROJETO PERFURAÇÃO'!$B:$B,0))="Production","P",IF(INDEX('PROJETO PERFURAÇÃO'!$P:$P,MATCH(MEDIÇÃO!K1003,'PROJETO PERFURAÇÃO'!$B:$B,0))="Buffer","B",IF(INDEX('PROJETO PERFURAÇÃO'!$P:$P,MATCH(MEDIÇÃO!K1003,'PROJETO PERFURAÇÃO'!$B:$B,0))="Pre-Splitting","S"))),"")</f>
        <v/>
      </c>
      <c r="K1003" s="14">
        <f t="shared" si="97"/>
        <v>2238</v>
      </c>
      <c r="L1003" s="4" t="str">
        <f>IFERROR(INDEX('LEV R&amp;D'!$D:$D,MATCH(MEDIÇÃO!K1003,'LEV R&amp;D'!$A:$A,0))-INDEX('PROJETO PERFURAÇÃO'!$AH:$AH,MATCH(MEDIÇÃO!K1003,'PROJETO PERFURAÇÃO'!$B:$B,0)),"")</f>
        <v/>
      </c>
      <c r="M1003" s="8" t="str">
        <f>IFERROR(INDEX('PROJETO PERFURAÇÃO'!$AN:$AN,MATCH(MEDIÇÃO!K1003,'PROJETO PERFURAÇÃO'!$B:$B,0)),"")</f>
        <v/>
      </c>
      <c r="N1003" s="3"/>
      <c r="O1003" s="3"/>
      <c r="P1003" s="3" t="str">
        <f>IFERROR(ROUND(INDEX('PROJETO PERFURAÇÃO'!$AB:$AB,MATCH(MEDIÇÃO!R1003,'PROJETO PERFURAÇÃO'!$B:$B,0)),1)&amp;"''","")</f>
        <v/>
      </c>
      <c r="Q1003" s="3" t="str">
        <f>IFERROR(IF(INDEX('PROJETO PERFURAÇÃO'!$P:$P,MATCH(MEDIÇÃO!R1003,'PROJETO PERFURAÇÃO'!$B:$B,0))="Production","P",IF(INDEX('PROJETO PERFURAÇÃO'!$P:$P,MATCH(MEDIÇÃO!R1003,'PROJETO PERFURAÇÃO'!$B:$B,0))="Buffer","B",IF(INDEX('PROJETO PERFURAÇÃO'!$P:$P,MATCH(MEDIÇÃO!R1003,'PROJETO PERFURAÇÃO'!$B:$B,0))="Pre-Splitting","S"))),"")</f>
        <v/>
      </c>
      <c r="R1003" s="14">
        <f t="shared" si="98"/>
        <v>2261</v>
      </c>
      <c r="S1003" s="4" t="str">
        <f>IFERROR(INDEX('LEV R&amp;D'!$D:$D,MATCH(MEDIÇÃO!R1003,'LEV R&amp;D'!$A:$A,0))-INDEX('PROJETO PERFURAÇÃO'!$AH:$AH,MATCH(MEDIÇÃO!R1003,'PROJETO PERFURAÇÃO'!$B:$B,0)),"")</f>
        <v/>
      </c>
      <c r="T1003" s="8" t="str">
        <f>IFERROR(INDEX('PROJETO PERFURAÇÃO'!$AN:$AN,MATCH(MEDIÇÃO!R1003,'PROJETO PERFURAÇÃO'!$B:$B,0)),"")</f>
        <v/>
      </c>
      <c r="U1003" s="3"/>
      <c r="V1003" s="3"/>
    </row>
    <row r="1004" spans="1:23" ht="45" customHeight="1">
      <c r="B1004" s="3" t="str">
        <f>IFERROR(ROUND(INDEX('PROJETO PERFURAÇÃO'!$AB:$AB,MATCH(MEDIÇÃO!D1004,'PROJETO PERFURAÇÃO'!$B:$B,0)),1)&amp;"''","")</f>
        <v/>
      </c>
      <c r="C1004" s="3" t="str">
        <f>IFERROR(IF(INDEX('PROJETO PERFURAÇÃO'!$P:$P,MATCH(MEDIÇÃO!D1004,'PROJETO PERFURAÇÃO'!$B:$B,0))="Production","P",IF(INDEX('PROJETO PERFURAÇÃO'!$P:$P,MATCH(MEDIÇÃO!D1004,'PROJETO PERFURAÇÃO'!$B:$B,0))="Buffer","B",IF(INDEX('PROJETO PERFURAÇÃO'!$P:$P,MATCH(MEDIÇÃO!D1004,'PROJETO PERFURAÇÃO'!$B:$B,0))="Pre-Splitting","S"))),"")</f>
        <v/>
      </c>
      <c r="D1004" s="14">
        <f t="shared" si="96"/>
        <v>2216</v>
      </c>
      <c r="E1004" s="4" t="str">
        <f>IFERROR(INDEX('LEV R&amp;D'!$D:$D,MATCH(MEDIÇÃO!D1004,'LEV R&amp;D'!$A:$A,0))-INDEX('PROJETO PERFURAÇÃO'!$AH:$AH,MATCH(MEDIÇÃO!D1004,'PROJETO PERFURAÇÃO'!$B:$B,0)),"")</f>
        <v/>
      </c>
      <c r="F1004" s="8" t="str">
        <f>IFERROR(INDEX('PROJETO PERFURAÇÃO'!$AN:$AN,MATCH(MEDIÇÃO!D1004,'PROJETO PERFURAÇÃO'!$B:$B,0)),"")</f>
        <v/>
      </c>
      <c r="G1004" s="3"/>
      <c r="H1004" s="3"/>
      <c r="I1004" s="3" t="str">
        <f>IFERROR(ROUND(INDEX('PROJETO PERFURAÇÃO'!$AB:$AB,MATCH(MEDIÇÃO!K1004,'PROJETO PERFURAÇÃO'!$B:$B,0)),1)&amp;"''","")</f>
        <v/>
      </c>
      <c r="J1004" s="3" t="str">
        <f>IFERROR(IF(INDEX('PROJETO PERFURAÇÃO'!$P:$P,MATCH(MEDIÇÃO!K1004,'PROJETO PERFURAÇÃO'!$B:$B,0))="Production","P",IF(INDEX('PROJETO PERFURAÇÃO'!$P:$P,MATCH(MEDIÇÃO!K1004,'PROJETO PERFURAÇÃO'!$B:$B,0))="Buffer","B",IF(INDEX('PROJETO PERFURAÇÃO'!$P:$P,MATCH(MEDIÇÃO!K1004,'PROJETO PERFURAÇÃO'!$B:$B,0))="Pre-Splitting","S"))),"")</f>
        <v/>
      </c>
      <c r="K1004" s="14">
        <f t="shared" si="97"/>
        <v>2239</v>
      </c>
      <c r="L1004" s="4" t="str">
        <f>IFERROR(INDEX('LEV R&amp;D'!$D:$D,MATCH(MEDIÇÃO!K1004,'LEV R&amp;D'!$A:$A,0))-INDEX('PROJETO PERFURAÇÃO'!$AH:$AH,MATCH(MEDIÇÃO!K1004,'PROJETO PERFURAÇÃO'!$B:$B,0)),"")</f>
        <v/>
      </c>
      <c r="M1004" s="8" t="str">
        <f>IFERROR(INDEX('PROJETO PERFURAÇÃO'!$AN:$AN,MATCH(MEDIÇÃO!K1004,'PROJETO PERFURAÇÃO'!$B:$B,0)),"")</f>
        <v/>
      </c>
      <c r="N1004" s="3"/>
      <c r="O1004" s="3"/>
      <c r="P1004" s="3" t="str">
        <f>IFERROR(ROUND(INDEX('PROJETO PERFURAÇÃO'!$AB:$AB,MATCH(MEDIÇÃO!R1004,'PROJETO PERFURAÇÃO'!$B:$B,0)),1)&amp;"''","")</f>
        <v/>
      </c>
      <c r="Q1004" s="3" t="str">
        <f>IFERROR(IF(INDEX('PROJETO PERFURAÇÃO'!$P:$P,MATCH(MEDIÇÃO!R1004,'PROJETO PERFURAÇÃO'!$B:$B,0))="Production","P",IF(INDEX('PROJETO PERFURAÇÃO'!$P:$P,MATCH(MEDIÇÃO!R1004,'PROJETO PERFURAÇÃO'!$B:$B,0))="Buffer","B",IF(INDEX('PROJETO PERFURAÇÃO'!$P:$P,MATCH(MEDIÇÃO!R1004,'PROJETO PERFURAÇÃO'!$B:$B,0))="Pre-Splitting","S"))),"")</f>
        <v/>
      </c>
      <c r="R1004" s="14">
        <f t="shared" si="98"/>
        <v>2262</v>
      </c>
      <c r="S1004" s="4" t="str">
        <f>IFERROR(INDEX('LEV R&amp;D'!$D:$D,MATCH(MEDIÇÃO!R1004,'LEV R&amp;D'!$A:$A,0))-INDEX('PROJETO PERFURAÇÃO'!$AH:$AH,MATCH(MEDIÇÃO!R1004,'PROJETO PERFURAÇÃO'!$B:$B,0)),"")</f>
        <v/>
      </c>
      <c r="T1004" s="8" t="str">
        <f>IFERROR(INDEX('PROJETO PERFURAÇÃO'!$AN:$AN,MATCH(MEDIÇÃO!R1004,'PROJETO PERFURAÇÃO'!$B:$B,0)),"")</f>
        <v/>
      </c>
      <c r="U1004" s="3"/>
      <c r="V1004" s="3"/>
    </row>
    <row r="1005" spans="1:23" ht="45" customHeight="1">
      <c r="B1005" s="3" t="str">
        <f>IFERROR(ROUND(INDEX('PROJETO PERFURAÇÃO'!$AB:$AB,MATCH(MEDIÇÃO!D1005,'PROJETO PERFURAÇÃO'!$B:$B,0)),1)&amp;"''","")</f>
        <v/>
      </c>
      <c r="C1005" s="3" t="str">
        <f>IFERROR(IF(INDEX('PROJETO PERFURAÇÃO'!$P:$P,MATCH(MEDIÇÃO!D1005,'PROJETO PERFURAÇÃO'!$B:$B,0))="Production","P",IF(INDEX('PROJETO PERFURAÇÃO'!$P:$P,MATCH(MEDIÇÃO!D1005,'PROJETO PERFURAÇÃO'!$B:$B,0))="Buffer","B",IF(INDEX('PROJETO PERFURAÇÃO'!$P:$P,MATCH(MEDIÇÃO!D1005,'PROJETO PERFURAÇÃO'!$B:$B,0))="Pre-Splitting","S"))),"")</f>
        <v/>
      </c>
      <c r="D1005" s="14">
        <f t="shared" si="96"/>
        <v>2217</v>
      </c>
      <c r="E1005" s="4" t="str">
        <f>IFERROR(INDEX('LEV R&amp;D'!$D:$D,MATCH(MEDIÇÃO!D1005,'LEV R&amp;D'!$A:$A,0))-INDEX('PROJETO PERFURAÇÃO'!$AH:$AH,MATCH(MEDIÇÃO!D1005,'PROJETO PERFURAÇÃO'!$B:$B,0)),"")</f>
        <v/>
      </c>
      <c r="F1005" s="8" t="str">
        <f>IFERROR(INDEX('PROJETO PERFURAÇÃO'!$AN:$AN,MATCH(MEDIÇÃO!D1005,'PROJETO PERFURAÇÃO'!$B:$B,0)),"")</f>
        <v/>
      </c>
      <c r="G1005" s="3"/>
      <c r="H1005" s="3"/>
      <c r="I1005" s="3" t="str">
        <f>IFERROR(ROUND(INDEX('PROJETO PERFURAÇÃO'!$AB:$AB,MATCH(MEDIÇÃO!K1005,'PROJETO PERFURAÇÃO'!$B:$B,0)),1)&amp;"''","")</f>
        <v/>
      </c>
      <c r="J1005" s="3" t="str">
        <f>IFERROR(IF(INDEX('PROJETO PERFURAÇÃO'!$P:$P,MATCH(MEDIÇÃO!K1005,'PROJETO PERFURAÇÃO'!$B:$B,0))="Production","P",IF(INDEX('PROJETO PERFURAÇÃO'!$P:$P,MATCH(MEDIÇÃO!K1005,'PROJETO PERFURAÇÃO'!$B:$B,0))="Buffer","B",IF(INDEX('PROJETO PERFURAÇÃO'!$P:$P,MATCH(MEDIÇÃO!K1005,'PROJETO PERFURAÇÃO'!$B:$B,0))="Pre-Splitting","S"))),"")</f>
        <v/>
      </c>
      <c r="K1005" s="14">
        <f t="shared" si="97"/>
        <v>2240</v>
      </c>
      <c r="L1005" s="4" t="str">
        <f>IFERROR(INDEX('LEV R&amp;D'!$D:$D,MATCH(MEDIÇÃO!K1005,'LEV R&amp;D'!$A:$A,0))-INDEX('PROJETO PERFURAÇÃO'!$AH:$AH,MATCH(MEDIÇÃO!K1005,'PROJETO PERFURAÇÃO'!$B:$B,0)),"")</f>
        <v/>
      </c>
      <c r="M1005" s="8" t="str">
        <f>IFERROR(INDEX('PROJETO PERFURAÇÃO'!$AN:$AN,MATCH(MEDIÇÃO!K1005,'PROJETO PERFURAÇÃO'!$B:$B,0)),"")</f>
        <v/>
      </c>
      <c r="N1005" s="3"/>
      <c r="O1005" s="3"/>
      <c r="P1005" s="3" t="str">
        <f>IFERROR(ROUND(INDEX('PROJETO PERFURAÇÃO'!$AB:$AB,MATCH(MEDIÇÃO!R1005,'PROJETO PERFURAÇÃO'!$B:$B,0)),1)&amp;"''","")</f>
        <v/>
      </c>
      <c r="Q1005" s="3" t="str">
        <f>IFERROR(IF(INDEX('PROJETO PERFURAÇÃO'!$P:$P,MATCH(MEDIÇÃO!R1005,'PROJETO PERFURAÇÃO'!$B:$B,0))="Production","P",IF(INDEX('PROJETO PERFURAÇÃO'!$P:$P,MATCH(MEDIÇÃO!R1005,'PROJETO PERFURAÇÃO'!$B:$B,0))="Buffer","B",IF(INDEX('PROJETO PERFURAÇÃO'!$P:$P,MATCH(MEDIÇÃO!R1005,'PROJETO PERFURAÇÃO'!$B:$B,0))="Pre-Splitting","S"))),"")</f>
        <v/>
      </c>
      <c r="R1005" s="14">
        <f t="shared" si="98"/>
        <v>2263</v>
      </c>
      <c r="S1005" s="4" t="str">
        <f>IFERROR(INDEX('LEV R&amp;D'!$D:$D,MATCH(MEDIÇÃO!R1005,'LEV R&amp;D'!$A:$A,0))-INDEX('PROJETO PERFURAÇÃO'!$AH:$AH,MATCH(MEDIÇÃO!R1005,'PROJETO PERFURAÇÃO'!$B:$B,0)),"")</f>
        <v/>
      </c>
      <c r="T1005" s="8" t="str">
        <f>IFERROR(INDEX('PROJETO PERFURAÇÃO'!$AN:$AN,MATCH(MEDIÇÃO!R1005,'PROJETO PERFURAÇÃO'!$B:$B,0)),"")</f>
        <v/>
      </c>
      <c r="U1005" s="3"/>
      <c r="V1005" s="3"/>
    </row>
    <row r="1006" spans="1:23" ht="45" customHeight="1">
      <c r="B1006" s="3" t="str">
        <f>IFERROR(ROUND(INDEX('PROJETO PERFURAÇÃO'!$AB:$AB,MATCH(MEDIÇÃO!D1006,'PROJETO PERFURAÇÃO'!$B:$B,0)),1)&amp;"''","")</f>
        <v/>
      </c>
      <c r="C1006" s="3" t="str">
        <f>IFERROR(IF(INDEX('PROJETO PERFURAÇÃO'!$P:$P,MATCH(MEDIÇÃO!D1006,'PROJETO PERFURAÇÃO'!$B:$B,0))="Production","P",IF(INDEX('PROJETO PERFURAÇÃO'!$P:$P,MATCH(MEDIÇÃO!D1006,'PROJETO PERFURAÇÃO'!$B:$B,0))="Buffer","B",IF(INDEX('PROJETO PERFURAÇÃO'!$P:$P,MATCH(MEDIÇÃO!D1006,'PROJETO PERFURAÇÃO'!$B:$B,0))="Pre-Splitting","S"))),"")</f>
        <v/>
      </c>
      <c r="D1006" s="14">
        <f t="shared" si="96"/>
        <v>2218</v>
      </c>
      <c r="E1006" s="4" t="str">
        <f>IFERROR(INDEX('LEV R&amp;D'!$D:$D,MATCH(MEDIÇÃO!D1006,'LEV R&amp;D'!$A:$A,0))-INDEX('PROJETO PERFURAÇÃO'!$AH:$AH,MATCH(MEDIÇÃO!D1006,'PROJETO PERFURAÇÃO'!$B:$B,0)),"")</f>
        <v/>
      </c>
      <c r="F1006" s="8" t="str">
        <f>IFERROR(INDEX('PROJETO PERFURAÇÃO'!$AN:$AN,MATCH(MEDIÇÃO!D1006,'PROJETO PERFURAÇÃO'!$B:$B,0)),"")</f>
        <v/>
      </c>
      <c r="G1006" s="3"/>
      <c r="H1006" s="3"/>
      <c r="I1006" s="3" t="str">
        <f>IFERROR(ROUND(INDEX('PROJETO PERFURAÇÃO'!$AB:$AB,MATCH(MEDIÇÃO!K1006,'PROJETO PERFURAÇÃO'!$B:$B,0)),1)&amp;"''","")</f>
        <v/>
      </c>
      <c r="J1006" s="3" t="str">
        <f>IFERROR(IF(INDEX('PROJETO PERFURAÇÃO'!$P:$P,MATCH(MEDIÇÃO!K1006,'PROJETO PERFURAÇÃO'!$B:$B,0))="Production","P",IF(INDEX('PROJETO PERFURAÇÃO'!$P:$P,MATCH(MEDIÇÃO!K1006,'PROJETO PERFURAÇÃO'!$B:$B,0))="Buffer","B",IF(INDEX('PROJETO PERFURAÇÃO'!$P:$P,MATCH(MEDIÇÃO!K1006,'PROJETO PERFURAÇÃO'!$B:$B,0))="Pre-Splitting","S"))),"")</f>
        <v/>
      </c>
      <c r="K1006" s="14">
        <f t="shared" si="97"/>
        <v>2241</v>
      </c>
      <c r="L1006" s="4" t="str">
        <f>IFERROR(INDEX('LEV R&amp;D'!$D:$D,MATCH(MEDIÇÃO!K1006,'LEV R&amp;D'!$A:$A,0))-INDEX('PROJETO PERFURAÇÃO'!$AH:$AH,MATCH(MEDIÇÃO!K1006,'PROJETO PERFURAÇÃO'!$B:$B,0)),"")</f>
        <v/>
      </c>
      <c r="M1006" s="8" t="str">
        <f>IFERROR(INDEX('PROJETO PERFURAÇÃO'!$AN:$AN,MATCH(MEDIÇÃO!K1006,'PROJETO PERFURAÇÃO'!$B:$B,0)),"")</f>
        <v/>
      </c>
      <c r="N1006" s="3"/>
      <c r="O1006" s="3"/>
      <c r="P1006" s="3" t="str">
        <f>IFERROR(ROUND(INDEX('PROJETO PERFURAÇÃO'!$AB:$AB,MATCH(MEDIÇÃO!R1006,'PROJETO PERFURAÇÃO'!$B:$B,0)),1)&amp;"''","")</f>
        <v/>
      </c>
      <c r="Q1006" s="3" t="str">
        <f>IFERROR(IF(INDEX('PROJETO PERFURAÇÃO'!$P:$P,MATCH(MEDIÇÃO!R1006,'PROJETO PERFURAÇÃO'!$B:$B,0))="Production","P",IF(INDEX('PROJETO PERFURAÇÃO'!$P:$P,MATCH(MEDIÇÃO!R1006,'PROJETO PERFURAÇÃO'!$B:$B,0))="Buffer","B",IF(INDEX('PROJETO PERFURAÇÃO'!$P:$P,MATCH(MEDIÇÃO!R1006,'PROJETO PERFURAÇÃO'!$B:$B,0))="Pre-Splitting","S"))),"")</f>
        <v/>
      </c>
      <c r="R1006" s="14">
        <f t="shared" si="98"/>
        <v>2264</v>
      </c>
      <c r="S1006" s="4" t="str">
        <f>IFERROR(INDEX('LEV R&amp;D'!$D:$D,MATCH(MEDIÇÃO!R1006,'LEV R&amp;D'!$A:$A,0))-INDEX('PROJETO PERFURAÇÃO'!$AH:$AH,MATCH(MEDIÇÃO!R1006,'PROJETO PERFURAÇÃO'!$B:$B,0)),"")</f>
        <v/>
      </c>
      <c r="T1006" s="8" t="str">
        <f>IFERROR(INDEX('PROJETO PERFURAÇÃO'!$AN:$AN,MATCH(MEDIÇÃO!R1006,'PROJETO PERFURAÇÃO'!$B:$B,0)),"")</f>
        <v/>
      </c>
      <c r="U1006" s="3"/>
      <c r="V1006" s="3"/>
    </row>
    <row r="1007" spans="1:23" ht="45" customHeight="1">
      <c r="B1007" s="3" t="str">
        <f>IFERROR(ROUND(INDEX('PROJETO PERFURAÇÃO'!$AB:$AB,MATCH(MEDIÇÃO!D1007,'PROJETO PERFURAÇÃO'!$B:$B,0)),1)&amp;"''","")</f>
        <v/>
      </c>
      <c r="C1007" s="3" t="str">
        <f>IFERROR(IF(INDEX('PROJETO PERFURAÇÃO'!$P:$P,MATCH(MEDIÇÃO!D1007,'PROJETO PERFURAÇÃO'!$B:$B,0))="Production","P",IF(INDEX('PROJETO PERFURAÇÃO'!$P:$P,MATCH(MEDIÇÃO!D1007,'PROJETO PERFURAÇÃO'!$B:$B,0))="Buffer","B",IF(INDEX('PROJETO PERFURAÇÃO'!$P:$P,MATCH(MEDIÇÃO!D1007,'PROJETO PERFURAÇÃO'!$B:$B,0))="Pre-Splitting","S"))),"")</f>
        <v/>
      </c>
      <c r="D1007" s="14">
        <f t="shared" si="96"/>
        <v>2219</v>
      </c>
      <c r="E1007" s="4" t="str">
        <f>IFERROR(INDEX('LEV R&amp;D'!$D:$D,MATCH(MEDIÇÃO!D1007,'LEV R&amp;D'!$A:$A,0))-INDEX('PROJETO PERFURAÇÃO'!$AH:$AH,MATCH(MEDIÇÃO!D1007,'PROJETO PERFURAÇÃO'!$B:$B,0)),"")</f>
        <v/>
      </c>
      <c r="F1007" s="8" t="str">
        <f>IFERROR(INDEX('PROJETO PERFURAÇÃO'!$AN:$AN,MATCH(MEDIÇÃO!D1007,'PROJETO PERFURAÇÃO'!$B:$B,0)),"")</f>
        <v/>
      </c>
      <c r="G1007" s="3"/>
      <c r="H1007" s="3"/>
      <c r="I1007" s="3" t="str">
        <f>IFERROR(ROUND(INDEX('PROJETO PERFURAÇÃO'!$AB:$AB,MATCH(MEDIÇÃO!K1007,'PROJETO PERFURAÇÃO'!$B:$B,0)),1)&amp;"''","")</f>
        <v/>
      </c>
      <c r="J1007" s="3" t="str">
        <f>IFERROR(IF(INDEX('PROJETO PERFURAÇÃO'!$P:$P,MATCH(MEDIÇÃO!K1007,'PROJETO PERFURAÇÃO'!$B:$B,0))="Production","P",IF(INDEX('PROJETO PERFURAÇÃO'!$P:$P,MATCH(MEDIÇÃO!K1007,'PROJETO PERFURAÇÃO'!$B:$B,0))="Buffer","B",IF(INDEX('PROJETO PERFURAÇÃO'!$P:$P,MATCH(MEDIÇÃO!K1007,'PROJETO PERFURAÇÃO'!$B:$B,0))="Pre-Splitting","S"))),"")</f>
        <v/>
      </c>
      <c r="K1007" s="14">
        <f t="shared" si="97"/>
        <v>2242</v>
      </c>
      <c r="L1007" s="4" t="str">
        <f>IFERROR(INDEX('LEV R&amp;D'!$D:$D,MATCH(MEDIÇÃO!K1007,'LEV R&amp;D'!$A:$A,0))-INDEX('PROJETO PERFURAÇÃO'!$AH:$AH,MATCH(MEDIÇÃO!K1007,'PROJETO PERFURAÇÃO'!$B:$B,0)),"")</f>
        <v/>
      </c>
      <c r="M1007" s="8" t="str">
        <f>IFERROR(INDEX('PROJETO PERFURAÇÃO'!$AN:$AN,MATCH(MEDIÇÃO!K1007,'PROJETO PERFURAÇÃO'!$B:$B,0)),"")</f>
        <v/>
      </c>
      <c r="N1007" s="3"/>
      <c r="O1007" s="3"/>
      <c r="P1007" s="3" t="str">
        <f>IFERROR(ROUND(INDEX('PROJETO PERFURAÇÃO'!$AB:$AB,MATCH(MEDIÇÃO!R1007,'PROJETO PERFURAÇÃO'!$B:$B,0)),1)&amp;"''","")</f>
        <v/>
      </c>
      <c r="Q1007" s="3" t="str">
        <f>IFERROR(IF(INDEX('PROJETO PERFURAÇÃO'!$P:$P,MATCH(MEDIÇÃO!R1007,'PROJETO PERFURAÇÃO'!$B:$B,0))="Production","P",IF(INDEX('PROJETO PERFURAÇÃO'!$P:$P,MATCH(MEDIÇÃO!R1007,'PROJETO PERFURAÇÃO'!$B:$B,0))="Buffer","B",IF(INDEX('PROJETO PERFURAÇÃO'!$P:$P,MATCH(MEDIÇÃO!R1007,'PROJETO PERFURAÇÃO'!$B:$B,0))="Pre-Splitting","S"))),"")</f>
        <v/>
      </c>
      <c r="R1007" s="14">
        <f t="shared" si="98"/>
        <v>2265</v>
      </c>
      <c r="S1007" s="4" t="str">
        <f>IFERROR(INDEX('LEV R&amp;D'!$D:$D,MATCH(MEDIÇÃO!R1007,'LEV R&amp;D'!$A:$A,0))-INDEX('PROJETO PERFURAÇÃO'!$AH:$AH,MATCH(MEDIÇÃO!R1007,'PROJETO PERFURAÇÃO'!$B:$B,0)),"")</f>
        <v/>
      </c>
      <c r="T1007" s="8" t="str">
        <f>IFERROR(INDEX('PROJETO PERFURAÇÃO'!$AN:$AN,MATCH(MEDIÇÃO!R1007,'PROJETO PERFURAÇÃO'!$B:$B,0)),"")</f>
        <v/>
      </c>
      <c r="U1007" s="3"/>
      <c r="V1007" s="3"/>
    </row>
    <row r="1008" spans="1:23" ht="45" customHeight="1">
      <c r="B1008" s="3" t="str">
        <f>IFERROR(ROUND(INDEX('PROJETO PERFURAÇÃO'!$AB:$AB,MATCH(MEDIÇÃO!D1008,'PROJETO PERFURAÇÃO'!$B:$B,0)),1)&amp;"''","")</f>
        <v/>
      </c>
      <c r="C1008" s="3" t="str">
        <f>IFERROR(IF(INDEX('PROJETO PERFURAÇÃO'!$P:$P,MATCH(MEDIÇÃO!D1008,'PROJETO PERFURAÇÃO'!$B:$B,0))="Production","P",IF(INDEX('PROJETO PERFURAÇÃO'!$P:$P,MATCH(MEDIÇÃO!D1008,'PROJETO PERFURAÇÃO'!$B:$B,0))="Buffer","B",IF(INDEX('PROJETO PERFURAÇÃO'!$P:$P,MATCH(MEDIÇÃO!D1008,'PROJETO PERFURAÇÃO'!$B:$B,0))="Pre-Splitting","S"))),"")</f>
        <v/>
      </c>
      <c r="D1008" s="14">
        <f t="shared" si="96"/>
        <v>2220</v>
      </c>
      <c r="E1008" s="4" t="str">
        <f>IFERROR(INDEX('LEV R&amp;D'!$D:$D,MATCH(MEDIÇÃO!D1008,'LEV R&amp;D'!$A:$A,0))-INDEX('PROJETO PERFURAÇÃO'!$AH:$AH,MATCH(MEDIÇÃO!D1008,'PROJETO PERFURAÇÃO'!$B:$B,0)),"")</f>
        <v/>
      </c>
      <c r="F1008" s="8" t="str">
        <f>IFERROR(INDEX('PROJETO PERFURAÇÃO'!$AN:$AN,MATCH(MEDIÇÃO!D1008,'PROJETO PERFURAÇÃO'!$B:$B,0)),"")</f>
        <v/>
      </c>
      <c r="G1008" s="3"/>
      <c r="H1008" s="3"/>
      <c r="I1008" s="3" t="str">
        <f>IFERROR(ROUND(INDEX('PROJETO PERFURAÇÃO'!$AB:$AB,MATCH(MEDIÇÃO!K1008,'PROJETO PERFURAÇÃO'!$B:$B,0)),1)&amp;"''","")</f>
        <v/>
      </c>
      <c r="J1008" s="3" t="str">
        <f>IFERROR(IF(INDEX('PROJETO PERFURAÇÃO'!$P:$P,MATCH(MEDIÇÃO!K1008,'PROJETO PERFURAÇÃO'!$B:$B,0))="Production","P",IF(INDEX('PROJETO PERFURAÇÃO'!$P:$P,MATCH(MEDIÇÃO!K1008,'PROJETO PERFURAÇÃO'!$B:$B,0))="Buffer","B",IF(INDEX('PROJETO PERFURAÇÃO'!$P:$P,MATCH(MEDIÇÃO!K1008,'PROJETO PERFURAÇÃO'!$B:$B,0))="Pre-Splitting","S"))),"")</f>
        <v/>
      </c>
      <c r="K1008" s="14">
        <f t="shared" si="97"/>
        <v>2243</v>
      </c>
      <c r="L1008" s="4" t="str">
        <f>IFERROR(INDEX('LEV R&amp;D'!$D:$D,MATCH(MEDIÇÃO!K1008,'LEV R&amp;D'!$A:$A,0))-INDEX('PROJETO PERFURAÇÃO'!$AH:$AH,MATCH(MEDIÇÃO!K1008,'PROJETO PERFURAÇÃO'!$B:$B,0)),"")</f>
        <v/>
      </c>
      <c r="M1008" s="8" t="str">
        <f>IFERROR(INDEX('PROJETO PERFURAÇÃO'!$AN:$AN,MATCH(MEDIÇÃO!K1008,'PROJETO PERFURAÇÃO'!$B:$B,0)),"")</f>
        <v/>
      </c>
      <c r="N1008" s="3"/>
      <c r="O1008" s="3"/>
      <c r="P1008" s="3" t="str">
        <f>IFERROR(ROUND(INDEX('PROJETO PERFURAÇÃO'!$AB:$AB,MATCH(MEDIÇÃO!R1008,'PROJETO PERFURAÇÃO'!$B:$B,0)),1)&amp;"''","")</f>
        <v/>
      </c>
      <c r="Q1008" s="3" t="str">
        <f>IFERROR(IF(INDEX('PROJETO PERFURAÇÃO'!$P:$P,MATCH(MEDIÇÃO!R1008,'PROJETO PERFURAÇÃO'!$B:$B,0))="Production","P",IF(INDEX('PROJETO PERFURAÇÃO'!$P:$P,MATCH(MEDIÇÃO!R1008,'PROJETO PERFURAÇÃO'!$B:$B,0))="Buffer","B",IF(INDEX('PROJETO PERFURAÇÃO'!$P:$P,MATCH(MEDIÇÃO!R1008,'PROJETO PERFURAÇÃO'!$B:$B,0))="Pre-Splitting","S"))),"")</f>
        <v/>
      </c>
      <c r="R1008" s="14">
        <f t="shared" si="98"/>
        <v>2266</v>
      </c>
      <c r="S1008" s="4" t="str">
        <f>IFERROR(INDEX('LEV R&amp;D'!$D:$D,MATCH(MEDIÇÃO!R1008,'LEV R&amp;D'!$A:$A,0))-INDEX('PROJETO PERFURAÇÃO'!$AH:$AH,MATCH(MEDIÇÃO!R1008,'PROJETO PERFURAÇÃO'!$B:$B,0)),"")</f>
        <v/>
      </c>
      <c r="T1008" s="8" t="str">
        <f>IFERROR(INDEX('PROJETO PERFURAÇÃO'!$AN:$AN,MATCH(MEDIÇÃO!R1008,'PROJETO PERFURAÇÃO'!$B:$B,0)),"")</f>
        <v/>
      </c>
      <c r="U1008" s="3"/>
      <c r="V1008" s="3"/>
    </row>
    <row r="1009" spans="2:22" ht="45" customHeight="1">
      <c r="B1009" s="3" t="str">
        <f>IFERROR(ROUND(INDEX('PROJETO PERFURAÇÃO'!$AB:$AB,MATCH(MEDIÇÃO!D1009,'PROJETO PERFURAÇÃO'!$B:$B,0)),1)&amp;"''","")</f>
        <v/>
      </c>
      <c r="C1009" s="3" t="str">
        <f>IFERROR(IF(INDEX('PROJETO PERFURAÇÃO'!$P:$P,MATCH(MEDIÇÃO!D1009,'PROJETO PERFURAÇÃO'!$B:$B,0))="Production","P",IF(INDEX('PROJETO PERFURAÇÃO'!$P:$P,MATCH(MEDIÇÃO!D1009,'PROJETO PERFURAÇÃO'!$B:$B,0))="Buffer","B",IF(INDEX('PROJETO PERFURAÇÃO'!$P:$P,MATCH(MEDIÇÃO!D1009,'PROJETO PERFURAÇÃO'!$B:$B,0))="Pre-Splitting","S"))),"")</f>
        <v/>
      </c>
      <c r="D1009" s="14">
        <f t="shared" si="96"/>
        <v>2221</v>
      </c>
      <c r="E1009" s="4" t="str">
        <f>IFERROR(INDEX('LEV R&amp;D'!$D:$D,MATCH(MEDIÇÃO!D1009,'LEV R&amp;D'!$A:$A,0))-INDEX('PROJETO PERFURAÇÃO'!$AH:$AH,MATCH(MEDIÇÃO!D1009,'PROJETO PERFURAÇÃO'!$B:$B,0)),"")</f>
        <v/>
      </c>
      <c r="F1009" s="8" t="str">
        <f>IFERROR(INDEX('PROJETO PERFURAÇÃO'!$AN:$AN,MATCH(MEDIÇÃO!D1009,'PROJETO PERFURAÇÃO'!$B:$B,0)),"")</f>
        <v/>
      </c>
      <c r="G1009" s="3"/>
      <c r="H1009" s="3"/>
      <c r="I1009" s="3" t="str">
        <f>IFERROR(ROUND(INDEX('PROJETO PERFURAÇÃO'!$AB:$AB,MATCH(MEDIÇÃO!K1009,'PROJETO PERFURAÇÃO'!$B:$B,0)),1)&amp;"''","")</f>
        <v/>
      </c>
      <c r="J1009" s="3" t="str">
        <f>IFERROR(IF(INDEX('PROJETO PERFURAÇÃO'!$P:$P,MATCH(MEDIÇÃO!K1009,'PROJETO PERFURAÇÃO'!$B:$B,0))="Production","P",IF(INDEX('PROJETO PERFURAÇÃO'!$P:$P,MATCH(MEDIÇÃO!K1009,'PROJETO PERFURAÇÃO'!$B:$B,0))="Buffer","B",IF(INDEX('PROJETO PERFURAÇÃO'!$P:$P,MATCH(MEDIÇÃO!K1009,'PROJETO PERFURAÇÃO'!$B:$B,0))="Pre-Splitting","S"))),"")</f>
        <v/>
      </c>
      <c r="K1009" s="14">
        <f t="shared" si="97"/>
        <v>2244</v>
      </c>
      <c r="L1009" s="4" t="str">
        <f>IFERROR(INDEX('LEV R&amp;D'!$D:$D,MATCH(MEDIÇÃO!K1009,'LEV R&amp;D'!$A:$A,0))-INDEX('PROJETO PERFURAÇÃO'!$AH:$AH,MATCH(MEDIÇÃO!K1009,'PROJETO PERFURAÇÃO'!$B:$B,0)),"")</f>
        <v/>
      </c>
      <c r="M1009" s="8" t="str">
        <f>IFERROR(INDEX('PROJETO PERFURAÇÃO'!$AN:$AN,MATCH(MEDIÇÃO!K1009,'PROJETO PERFURAÇÃO'!$B:$B,0)),"")</f>
        <v/>
      </c>
      <c r="N1009" s="3"/>
      <c r="O1009" s="3"/>
      <c r="P1009" s="3" t="str">
        <f>IFERROR(ROUND(INDEX('PROJETO PERFURAÇÃO'!$AB:$AB,MATCH(MEDIÇÃO!R1009,'PROJETO PERFURAÇÃO'!$B:$B,0)),1)&amp;"''","")</f>
        <v/>
      </c>
      <c r="Q1009" s="3" t="str">
        <f>IFERROR(IF(INDEX('PROJETO PERFURAÇÃO'!$P:$P,MATCH(MEDIÇÃO!R1009,'PROJETO PERFURAÇÃO'!$B:$B,0))="Production","P",IF(INDEX('PROJETO PERFURAÇÃO'!$P:$P,MATCH(MEDIÇÃO!R1009,'PROJETO PERFURAÇÃO'!$B:$B,0))="Buffer","B",IF(INDEX('PROJETO PERFURAÇÃO'!$P:$P,MATCH(MEDIÇÃO!R1009,'PROJETO PERFURAÇÃO'!$B:$B,0))="Pre-Splitting","S"))),"")</f>
        <v/>
      </c>
      <c r="R1009" s="14">
        <f t="shared" si="98"/>
        <v>2267</v>
      </c>
      <c r="S1009" s="4" t="str">
        <f>IFERROR(INDEX('LEV R&amp;D'!$D:$D,MATCH(MEDIÇÃO!R1009,'LEV R&amp;D'!$A:$A,0))-INDEX('PROJETO PERFURAÇÃO'!$AH:$AH,MATCH(MEDIÇÃO!R1009,'PROJETO PERFURAÇÃO'!$B:$B,0)),"")</f>
        <v/>
      </c>
      <c r="T1009" s="8" t="str">
        <f>IFERROR(INDEX('PROJETO PERFURAÇÃO'!$AN:$AN,MATCH(MEDIÇÃO!R1009,'PROJETO PERFURAÇÃO'!$B:$B,0)),"")</f>
        <v/>
      </c>
      <c r="U1009" s="3"/>
      <c r="V1009" s="3"/>
    </row>
    <row r="1010" spans="2:22" ht="45" customHeight="1">
      <c r="B1010" s="3" t="str">
        <f>IFERROR(ROUND(INDEX('PROJETO PERFURAÇÃO'!$AB:$AB,MATCH(MEDIÇÃO!D1010,'PROJETO PERFURAÇÃO'!$B:$B,0)),1)&amp;"''","")</f>
        <v/>
      </c>
      <c r="C1010" s="3" t="str">
        <f>IFERROR(IF(INDEX('PROJETO PERFURAÇÃO'!$P:$P,MATCH(MEDIÇÃO!D1010,'PROJETO PERFURAÇÃO'!$B:$B,0))="Production","P",IF(INDEX('PROJETO PERFURAÇÃO'!$P:$P,MATCH(MEDIÇÃO!D1010,'PROJETO PERFURAÇÃO'!$B:$B,0))="Buffer","B",IF(INDEX('PROJETO PERFURAÇÃO'!$P:$P,MATCH(MEDIÇÃO!D1010,'PROJETO PERFURAÇÃO'!$B:$B,0))="Pre-Splitting","S"))),"")</f>
        <v/>
      </c>
      <c r="D1010" s="14">
        <f t="shared" si="96"/>
        <v>2222</v>
      </c>
      <c r="E1010" s="4" t="str">
        <f>IFERROR(INDEX('LEV R&amp;D'!$D:$D,MATCH(MEDIÇÃO!D1010,'LEV R&amp;D'!$A:$A,0))-INDEX('PROJETO PERFURAÇÃO'!$AH:$AH,MATCH(MEDIÇÃO!D1010,'PROJETO PERFURAÇÃO'!$B:$B,0)),"")</f>
        <v/>
      </c>
      <c r="F1010" s="8" t="str">
        <f>IFERROR(INDEX('PROJETO PERFURAÇÃO'!$AN:$AN,MATCH(MEDIÇÃO!D1010,'PROJETO PERFURAÇÃO'!$B:$B,0)),"")</f>
        <v/>
      </c>
      <c r="G1010" s="3"/>
      <c r="H1010" s="3"/>
      <c r="I1010" s="3" t="str">
        <f>IFERROR(ROUND(INDEX('PROJETO PERFURAÇÃO'!$AB:$AB,MATCH(MEDIÇÃO!K1010,'PROJETO PERFURAÇÃO'!$B:$B,0)),1)&amp;"''","")</f>
        <v/>
      </c>
      <c r="J1010" s="3" t="str">
        <f>IFERROR(IF(INDEX('PROJETO PERFURAÇÃO'!$P:$P,MATCH(MEDIÇÃO!K1010,'PROJETO PERFURAÇÃO'!$B:$B,0))="Production","P",IF(INDEX('PROJETO PERFURAÇÃO'!$P:$P,MATCH(MEDIÇÃO!K1010,'PROJETO PERFURAÇÃO'!$B:$B,0))="Buffer","B",IF(INDEX('PROJETO PERFURAÇÃO'!$P:$P,MATCH(MEDIÇÃO!K1010,'PROJETO PERFURAÇÃO'!$B:$B,0))="Pre-Splitting","S"))),"")</f>
        <v/>
      </c>
      <c r="K1010" s="14">
        <f t="shared" si="97"/>
        <v>2245</v>
      </c>
      <c r="L1010" s="4" t="str">
        <f>IFERROR(INDEX('LEV R&amp;D'!$D:$D,MATCH(MEDIÇÃO!K1010,'LEV R&amp;D'!$A:$A,0))-INDEX('PROJETO PERFURAÇÃO'!$AH:$AH,MATCH(MEDIÇÃO!K1010,'PROJETO PERFURAÇÃO'!$B:$B,0)),"")</f>
        <v/>
      </c>
      <c r="M1010" s="8" t="str">
        <f>IFERROR(INDEX('PROJETO PERFURAÇÃO'!$AN:$AN,MATCH(MEDIÇÃO!K1010,'PROJETO PERFURAÇÃO'!$B:$B,0)),"")</f>
        <v/>
      </c>
      <c r="N1010" s="3"/>
      <c r="O1010" s="3"/>
      <c r="P1010" s="3" t="str">
        <f>IFERROR(ROUND(INDEX('PROJETO PERFURAÇÃO'!$AB:$AB,MATCH(MEDIÇÃO!R1010,'PROJETO PERFURAÇÃO'!$B:$B,0)),1)&amp;"''","")</f>
        <v/>
      </c>
      <c r="Q1010" s="3" t="str">
        <f>IFERROR(IF(INDEX('PROJETO PERFURAÇÃO'!$P:$P,MATCH(MEDIÇÃO!R1010,'PROJETO PERFURAÇÃO'!$B:$B,0))="Production","P",IF(INDEX('PROJETO PERFURAÇÃO'!$P:$P,MATCH(MEDIÇÃO!R1010,'PROJETO PERFURAÇÃO'!$B:$B,0))="Buffer","B",IF(INDEX('PROJETO PERFURAÇÃO'!$P:$P,MATCH(MEDIÇÃO!R1010,'PROJETO PERFURAÇÃO'!$B:$B,0))="Pre-Splitting","S"))),"")</f>
        <v/>
      </c>
      <c r="R1010" s="14">
        <f t="shared" si="98"/>
        <v>2268</v>
      </c>
      <c r="S1010" s="4" t="str">
        <f>IFERROR(INDEX('LEV R&amp;D'!$D:$D,MATCH(MEDIÇÃO!R1010,'LEV R&amp;D'!$A:$A,0))-INDEX('PROJETO PERFURAÇÃO'!$AH:$AH,MATCH(MEDIÇÃO!R1010,'PROJETO PERFURAÇÃO'!$B:$B,0)),"")</f>
        <v/>
      </c>
      <c r="T1010" s="8" t="str">
        <f>IFERROR(INDEX('PROJETO PERFURAÇÃO'!$AN:$AN,MATCH(MEDIÇÃO!R1010,'PROJETO PERFURAÇÃO'!$B:$B,0)),"")</f>
        <v/>
      </c>
      <c r="U1010" s="3"/>
      <c r="V1010" s="3"/>
    </row>
    <row r="1011" spans="2:22" ht="45" customHeight="1">
      <c r="B1011" s="3" t="str">
        <f>IFERROR(ROUND(INDEX('PROJETO PERFURAÇÃO'!$AB:$AB,MATCH(MEDIÇÃO!D1011,'PROJETO PERFURAÇÃO'!$B:$B,0)),1)&amp;"''","")</f>
        <v/>
      </c>
      <c r="C1011" s="3" t="str">
        <f>IFERROR(IF(INDEX('PROJETO PERFURAÇÃO'!$P:$P,MATCH(MEDIÇÃO!D1011,'PROJETO PERFURAÇÃO'!$B:$B,0))="Production","P",IF(INDEX('PROJETO PERFURAÇÃO'!$P:$P,MATCH(MEDIÇÃO!D1011,'PROJETO PERFURAÇÃO'!$B:$B,0))="Buffer","B",IF(INDEX('PROJETO PERFURAÇÃO'!$P:$P,MATCH(MEDIÇÃO!D1011,'PROJETO PERFURAÇÃO'!$B:$B,0))="Pre-Splitting","S"))),"")</f>
        <v/>
      </c>
      <c r="D1011" s="14">
        <f t="shared" si="96"/>
        <v>2223</v>
      </c>
      <c r="E1011" s="4" t="str">
        <f>IFERROR(INDEX('LEV R&amp;D'!$D:$D,MATCH(MEDIÇÃO!D1011,'LEV R&amp;D'!$A:$A,0))-INDEX('PROJETO PERFURAÇÃO'!$AH:$AH,MATCH(MEDIÇÃO!D1011,'PROJETO PERFURAÇÃO'!$B:$B,0)),"")</f>
        <v/>
      </c>
      <c r="F1011" s="8" t="str">
        <f>IFERROR(INDEX('PROJETO PERFURAÇÃO'!$AN:$AN,MATCH(MEDIÇÃO!D1011,'PROJETO PERFURAÇÃO'!$B:$B,0)),"")</f>
        <v/>
      </c>
      <c r="G1011" s="3"/>
      <c r="H1011" s="3"/>
      <c r="I1011" s="3" t="str">
        <f>IFERROR(ROUND(INDEX('PROJETO PERFURAÇÃO'!$AB:$AB,MATCH(MEDIÇÃO!K1011,'PROJETO PERFURAÇÃO'!$B:$B,0)),1)&amp;"''","")</f>
        <v/>
      </c>
      <c r="J1011" s="3" t="str">
        <f>IFERROR(IF(INDEX('PROJETO PERFURAÇÃO'!$P:$P,MATCH(MEDIÇÃO!K1011,'PROJETO PERFURAÇÃO'!$B:$B,0))="Production","P",IF(INDEX('PROJETO PERFURAÇÃO'!$P:$P,MATCH(MEDIÇÃO!K1011,'PROJETO PERFURAÇÃO'!$B:$B,0))="Buffer","B",IF(INDEX('PROJETO PERFURAÇÃO'!$P:$P,MATCH(MEDIÇÃO!K1011,'PROJETO PERFURAÇÃO'!$B:$B,0))="Pre-Splitting","S"))),"")</f>
        <v/>
      </c>
      <c r="K1011" s="14">
        <f t="shared" si="97"/>
        <v>2246</v>
      </c>
      <c r="L1011" s="4" t="str">
        <f>IFERROR(INDEX('LEV R&amp;D'!$D:$D,MATCH(MEDIÇÃO!K1011,'LEV R&amp;D'!$A:$A,0))-INDEX('PROJETO PERFURAÇÃO'!$AH:$AH,MATCH(MEDIÇÃO!K1011,'PROJETO PERFURAÇÃO'!$B:$B,0)),"")</f>
        <v/>
      </c>
      <c r="M1011" s="8" t="str">
        <f>IFERROR(INDEX('PROJETO PERFURAÇÃO'!$AN:$AN,MATCH(MEDIÇÃO!K1011,'PROJETO PERFURAÇÃO'!$B:$B,0)),"")</f>
        <v/>
      </c>
      <c r="N1011" s="3"/>
      <c r="O1011" s="3"/>
      <c r="P1011" s="3" t="str">
        <f>IFERROR(ROUND(INDEX('PROJETO PERFURAÇÃO'!$AB:$AB,MATCH(MEDIÇÃO!R1011,'PROJETO PERFURAÇÃO'!$B:$B,0)),1)&amp;"''","")</f>
        <v/>
      </c>
      <c r="Q1011" s="3" t="str">
        <f>IFERROR(IF(INDEX('PROJETO PERFURAÇÃO'!$P:$P,MATCH(MEDIÇÃO!R1011,'PROJETO PERFURAÇÃO'!$B:$B,0))="Production","P",IF(INDEX('PROJETO PERFURAÇÃO'!$P:$P,MATCH(MEDIÇÃO!R1011,'PROJETO PERFURAÇÃO'!$B:$B,0))="Buffer","B",IF(INDEX('PROJETO PERFURAÇÃO'!$P:$P,MATCH(MEDIÇÃO!R1011,'PROJETO PERFURAÇÃO'!$B:$B,0))="Pre-Splitting","S"))),"")</f>
        <v/>
      </c>
      <c r="R1011" s="14">
        <f t="shared" si="98"/>
        <v>2269</v>
      </c>
      <c r="S1011" s="4" t="str">
        <f>IFERROR(INDEX('LEV R&amp;D'!$D:$D,MATCH(MEDIÇÃO!R1011,'LEV R&amp;D'!$A:$A,0))-INDEX('PROJETO PERFURAÇÃO'!$AH:$AH,MATCH(MEDIÇÃO!R1011,'PROJETO PERFURAÇÃO'!$B:$B,0)),"")</f>
        <v/>
      </c>
      <c r="T1011" s="8" t="str">
        <f>IFERROR(INDEX('PROJETO PERFURAÇÃO'!$AN:$AN,MATCH(MEDIÇÃO!R1011,'PROJETO PERFURAÇÃO'!$B:$B,0)),"")</f>
        <v/>
      </c>
      <c r="U1011" s="3"/>
      <c r="V1011" s="3"/>
    </row>
    <row r="1012" spans="2:22" ht="45" customHeight="1">
      <c r="B1012" s="3" t="str">
        <f>IFERROR(ROUND(INDEX('PROJETO PERFURAÇÃO'!$AB:$AB,MATCH(MEDIÇÃO!D1012,'PROJETO PERFURAÇÃO'!$B:$B,0)),1)&amp;"''","")</f>
        <v/>
      </c>
      <c r="C1012" s="3" t="str">
        <f>IFERROR(IF(INDEX('PROJETO PERFURAÇÃO'!$P:$P,MATCH(MEDIÇÃO!D1012,'PROJETO PERFURAÇÃO'!$B:$B,0))="Production","P",IF(INDEX('PROJETO PERFURAÇÃO'!$P:$P,MATCH(MEDIÇÃO!D1012,'PROJETO PERFURAÇÃO'!$B:$B,0))="Buffer","B",IF(INDEX('PROJETO PERFURAÇÃO'!$P:$P,MATCH(MEDIÇÃO!D1012,'PROJETO PERFURAÇÃO'!$B:$B,0))="Pre-Splitting","S"))),"")</f>
        <v/>
      </c>
      <c r="D1012" s="14">
        <f t="shared" si="96"/>
        <v>2224</v>
      </c>
      <c r="E1012" s="4" t="str">
        <f>IFERROR(INDEX('LEV R&amp;D'!$D:$D,MATCH(MEDIÇÃO!D1012,'LEV R&amp;D'!$A:$A,0))-INDEX('PROJETO PERFURAÇÃO'!$AH:$AH,MATCH(MEDIÇÃO!D1012,'PROJETO PERFURAÇÃO'!$B:$B,0)),"")</f>
        <v/>
      </c>
      <c r="F1012" s="8" t="str">
        <f>IFERROR(INDEX('PROJETO PERFURAÇÃO'!$AN:$AN,MATCH(MEDIÇÃO!D1012,'PROJETO PERFURAÇÃO'!$B:$B,0)),"")</f>
        <v/>
      </c>
      <c r="G1012" s="3"/>
      <c r="H1012" s="3"/>
      <c r="I1012" s="3" t="str">
        <f>IFERROR(ROUND(INDEX('PROJETO PERFURAÇÃO'!$AB:$AB,MATCH(MEDIÇÃO!K1012,'PROJETO PERFURAÇÃO'!$B:$B,0)),1)&amp;"''","")</f>
        <v/>
      </c>
      <c r="J1012" s="3" t="str">
        <f>IFERROR(IF(INDEX('PROJETO PERFURAÇÃO'!$P:$P,MATCH(MEDIÇÃO!K1012,'PROJETO PERFURAÇÃO'!$B:$B,0))="Production","P",IF(INDEX('PROJETO PERFURAÇÃO'!$P:$P,MATCH(MEDIÇÃO!K1012,'PROJETO PERFURAÇÃO'!$B:$B,0))="Buffer","B",IF(INDEX('PROJETO PERFURAÇÃO'!$P:$P,MATCH(MEDIÇÃO!K1012,'PROJETO PERFURAÇÃO'!$B:$B,0))="Pre-Splitting","S"))),"")</f>
        <v/>
      </c>
      <c r="K1012" s="14">
        <f t="shared" si="97"/>
        <v>2247</v>
      </c>
      <c r="L1012" s="4" t="str">
        <f>IFERROR(INDEX('LEV R&amp;D'!$D:$D,MATCH(MEDIÇÃO!K1012,'LEV R&amp;D'!$A:$A,0))-INDEX('PROJETO PERFURAÇÃO'!$AH:$AH,MATCH(MEDIÇÃO!K1012,'PROJETO PERFURAÇÃO'!$B:$B,0)),"")</f>
        <v/>
      </c>
      <c r="M1012" s="8" t="str">
        <f>IFERROR(INDEX('PROJETO PERFURAÇÃO'!$AN:$AN,MATCH(MEDIÇÃO!K1012,'PROJETO PERFURAÇÃO'!$B:$B,0)),"")</f>
        <v/>
      </c>
      <c r="N1012" s="3"/>
      <c r="O1012" s="3"/>
      <c r="P1012" s="3" t="str">
        <f>IFERROR(ROUND(INDEX('PROJETO PERFURAÇÃO'!$AB:$AB,MATCH(MEDIÇÃO!R1012,'PROJETO PERFURAÇÃO'!$B:$B,0)),1)&amp;"''","")</f>
        <v/>
      </c>
      <c r="Q1012" s="3" t="str">
        <f>IFERROR(IF(INDEX('PROJETO PERFURAÇÃO'!$P:$P,MATCH(MEDIÇÃO!R1012,'PROJETO PERFURAÇÃO'!$B:$B,0))="Production","P",IF(INDEX('PROJETO PERFURAÇÃO'!$P:$P,MATCH(MEDIÇÃO!R1012,'PROJETO PERFURAÇÃO'!$B:$B,0))="Buffer","B",IF(INDEX('PROJETO PERFURAÇÃO'!$P:$P,MATCH(MEDIÇÃO!R1012,'PROJETO PERFURAÇÃO'!$B:$B,0))="Pre-Splitting","S"))),"")</f>
        <v/>
      </c>
      <c r="R1012" s="14">
        <f t="shared" si="98"/>
        <v>2270</v>
      </c>
      <c r="S1012" s="4" t="str">
        <f>IFERROR(INDEX('LEV R&amp;D'!$D:$D,MATCH(MEDIÇÃO!R1012,'LEV R&amp;D'!$A:$A,0))-INDEX('PROJETO PERFURAÇÃO'!$AH:$AH,MATCH(MEDIÇÃO!R1012,'PROJETO PERFURAÇÃO'!$B:$B,0)),"")</f>
        <v/>
      </c>
      <c r="T1012" s="8" t="str">
        <f>IFERROR(INDEX('PROJETO PERFURAÇÃO'!$AN:$AN,MATCH(MEDIÇÃO!R1012,'PROJETO PERFURAÇÃO'!$B:$B,0)),"")</f>
        <v/>
      </c>
      <c r="U1012" s="3"/>
      <c r="V1012" s="3"/>
    </row>
    <row r="1013" spans="2:22" ht="45" customHeight="1">
      <c r="B1013" s="3" t="str">
        <f>IFERROR(ROUND(INDEX('PROJETO PERFURAÇÃO'!$AB:$AB,MATCH(MEDIÇÃO!D1013,'PROJETO PERFURAÇÃO'!$B:$B,0)),1)&amp;"''","")</f>
        <v/>
      </c>
      <c r="C1013" s="3" t="str">
        <f>IFERROR(IF(INDEX('PROJETO PERFURAÇÃO'!$P:$P,MATCH(MEDIÇÃO!D1013,'PROJETO PERFURAÇÃO'!$B:$B,0))="Production","P",IF(INDEX('PROJETO PERFURAÇÃO'!$P:$P,MATCH(MEDIÇÃO!D1013,'PROJETO PERFURAÇÃO'!$B:$B,0))="Buffer","B",IF(INDEX('PROJETO PERFURAÇÃO'!$P:$P,MATCH(MEDIÇÃO!D1013,'PROJETO PERFURAÇÃO'!$B:$B,0))="Pre-Splitting","S"))),"")</f>
        <v/>
      </c>
      <c r="D1013" s="14">
        <f t="shared" si="96"/>
        <v>2225</v>
      </c>
      <c r="E1013" s="4" t="str">
        <f>IFERROR(INDEX('LEV R&amp;D'!$D:$D,MATCH(MEDIÇÃO!D1013,'LEV R&amp;D'!$A:$A,0))-INDEX('PROJETO PERFURAÇÃO'!$AH:$AH,MATCH(MEDIÇÃO!D1013,'PROJETO PERFURAÇÃO'!$B:$B,0)),"")</f>
        <v/>
      </c>
      <c r="F1013" s="8" t="str">
        <f>IFERROR(INDEX('PROJETO PERFURAÇÃO'!$AN:$AN,MATCH(MEDIÇÃO!D1013,'PROJETO PERFURAÇÃO'!$B:$B,0)),"")</f>
        <v/>
      </c>
      <c r="G1013" s="3"/>
      <c r="H1013" s="3"/>
      <c r="I1013" s="3" t="str">
        <f>IFERROR(ROUND(INDEX('PROJETO PERFURAÇÃO'!$AB:$AB,MATCH(MEDIÇÃO!K1013,'PROJETO PERFURAÇÃO'!$B:$B,0)),1)&amp;"''","")</f>
        <v/>
      </c>
      <c r="J1013" s="3" t="str">
        <f>IFERROR(IF(INDEX('PROJETO PERFURAÇÃO'!$P:$P,MATCH(MEDIÇÃO!K1013,'PROJETO PERFURAÇÃO'!$B:$B,0))="Production","P",IF(INDEX('PROJETO PERFURAÇÃO'!$P:$P,MATCH(MEDIÇÃO!K1013,'PROJETO PERFURAÇÃO'!$B:$B,0))="Buffer","B",IF(INDEX('PROJETO PERFURAÇÃO'!$P:$P,MATCH(MEDIÇÃO!K1013,'PROJETO PERFURAÇÃO'!$B:$B,0))="Pre-Splitting","S"))),"")</f>
        <v/>
      </c>
      <c r="K1013" s="14">
        <f t="shared" si="97"/>
        <v>2248</v>
      </c>
      <c r="L1013" s="4" t="str">
        <f>IFERROR(INDEX('LEV R&amp;D'!$D:$D,MATCH(MEDIÇÃO!K1013,'LEV R&amp;D'!$A:$A,0))-INDEX('PROJETO PERFURAÇÃO'!$AH:$AH,MATCH(MEDIÇÃO!K1013,'PROJETO PERFURAÇÃO'!$B:$B,0)),"")</f>
        <v/>
      </c>
      <c r="M1013" s="8" t="str">
        <f>IFERROR(INDEX('PROJETO PERFURAÇÃO'!$AN:$AN,MATCH(MEDIÇÃO!K1013,'PROJETO PERFURAÇÃO'!$B:$B,0)),"")</f>
        <v/>
      </c>
      <c r="N1013" s="3"/>
      <c r="O1013" s="3"/>
      <c r="P1013" s="3" t="str">
        <f>IFERROR(ROUND(INDEX('PROJETO PERFURAÇÃO'!$AB:$AB,MATCH(MEDIÇÃO!R1013,'PROJETO PERFURAÇÃO'!$B:$B,0)),1)&amp;"''","")</f>
        <v/>
      </c>
      <c r="Q1013" s="3" t="str">
        <f>IFERROR(IF(INDEX('PROJETO PERFURAÇÃO'!$P:$P,MATCH(MEDIÇÃO!R1013,'PROJETO PERFURAÇÃO'!$B:$B,0))="Production","P",IF(INDEX('PROJETO PERFURAÇÃO'!$P:$P,MATCH(MEDIÇÃO!R1013,'PROJETO PERFURAÇÃO'!$B:$B,0))="Buffer","B",IF(INDEX('PROJETO PERFURAÇÃO'!$P:$P,MATCH(MEDIÇÃO!R1013,'PROJETO PERFURAÇÃO'!$B:$B,0))="Pre-Splitting","S"))),"")</f>
        <v/>
      </c>
      <c r="R1013" s="14">
        <f t="shared" si="98"/>
        <v>2271</v>
      </c>
      <c r="S1013" s="4" t="str">
        <f>IFERROR(INDEX('LEV R&amp;D'!$D:$D,MATCH(MEDIÇÃO!R1013,'LEV R&amp;D'!$A:$A,0))-INDEX('PROJETO PERFURAÇÃO'!$AH:$AH,MATCH(MEDIÇÃO!R1013,'PROJETO PERFURAÇÃO'!$B:$B,0)),"")</f>
        <v/>
      </c>
      <c r="T1013" s="8" t="str">
        <f>IFERROR(INDEX('PROJETO PERFURAÇÃO'!$AN:$AN,MATCH(MEDIÇÃO!R1013,'PROJETO PERFURAÇÃO'!$B:$B,0)),"")</f>
        <v/>
      </c>
      <c r="U1013" s="3"/>
      <c r="V1013" s="3"/>
    </row>
    <row r="1014" spans="2:22" ht="45" customHeight="1">
      <c r="B1014" s="3" t="str">
        <f>IFERROR(ROUND(INDEX('PROJETO PERFURAÇÃO'!$AB:$AB,MATCH(MEDIÇÃO!D1014,'PROJETO PERFURAÇÃO'!$B:$B,0)),1)&amp;"''","")</f>
        <v/>
      </c>
      <c r="C1014" s="3" t="str">
        <f>IFERROR(IF(INDEX('PROJETO PERFURAÇÃO'!$P:$P,MATCH(MEDIÇÃO!D1014,'PROJETO PERFURAÇÃO'!$B:$B,0))="Production","P",IF(INDEX('PROJETO PERFURAÇÃO'!$P:$P,MATCH(MEDIÇÃO!D1014,'PROJETO PERFURAÇÃO'!$B:$B,0))="Buffer","B",IF(INDEX('PROJETO PERFURAÇÃO'!$P:$P,MATCH(MEDIÇÃO!D1014,'PROJETO PERFURAÇÃO'!$B:$B,0))="Pre-Splitting","S"))),"")</f>
        <v/>
      </c>
      <c r="D1014" s="14">
        <f t="shared" si="96"/>
        <v>2226</v>
      </c>
      <c r="E1014" s="4" t="str">
        <f>IFERROR(INDEX('LEV R&amp;D'!$D:$D,MATCH(MEDIÇÃO!D1014,'LEV R&amp;D'!$A:$A,0))-INDEX('PROJETO PERFURAÇÃO'!$AH:$AH,MATCH(MEDIÇÃO!D1014,'PROJETO PERFURAÇÃO'!$B:$B,0)),"")</f>
        <v/>
      </c>
      <c r="F1014" s="8" t="str">
        <f>IFERROR(INDEX('PROJETO PERFURAÇÃO'!$AN:$AN,MATCH(MEDIÇÃO!D1014,'PROJETO PERFURAÇÃO'!$B:$B,0)),"")</f>
        <v/>
      </c>
      <c r="G1014" s="3"/>
      <c r="H1014" s="3"/>
      <c r="I1014" s="3" t="str">
        <f>IFERROR(ROUND(INDEX('PROJETO PERFURAÇÃO'!$AB:$AB,MATCH(MEDIÇÃO!K1014,'PROJETO PERFURAÇÃO'!$B:$B,0)),1)&amp;"''","")</f>
        <v/>
      </c>
      <c r="J1014" s="3" t="str">
        <f>IFERROR(IF(INDEX('PROJETO PERFURAÇÃO'!$P:$P,MATCH(MEDIÇÃO!K1014,'PROJETO PERFURAÇÃO'!$B:$B,0))="Production","P",IF(INDEX('PROJETO PERFURAÇÃO'!$P:$P,MATCH(MEDIÇÃO!K1014,'PROJETO PERFURAÇÃO'!$B:$B,0))="Buffer","B",IF(INDEX('PROJETO PERFURAÇÃO'!$P:$P,MATCH(MEDIÇÃO!K1014,'PROJETO PERFURAÇÃO'!$B:$B,0))="Pre-Splitting","S"))),"")</f>
        <v/>
      </c>
      <c r="K1014" s="14">
        <f t="shared" si="97"/>
        <v>2249</v>
      </c>
      <c r="L1014" s="4" t="str">
        <f>IFERROR(INDEX('LEV R&amp;D'!$D:$D,MATCH(MEDIÇÃO!K1014,'LEV R&amp;D'!$A:$A,0))-INDEX('PROJETO PERFURAÇÃO'!$AH:$AH,MATCH(MEDIÇÃO!K1014,'PROJETO PERFURAÇÃO'!$B:$B,0)),"")</f>
        <v/>
      </c>
      <c r="M1014" s="8" t="str">
        <f>IFERROR(INDEX('PROJETO PERFURAÇÃO'!$AN:$AN,MATCH(MEDIÇÃO!K1014,'PROJETO PERFURAÇÃO'!$B:$B,0)),"")</f>
        <v/>
      </c>
      <c r="N1014" s="3"/>
      <c r="O1014" s="3"/>
      <c r="P1014" s="3" t="str">
        <f>IFERROR(ROUND(INDEX('PROJETO PERFURAÇÃO'!$AB:$AB,MATCH(MEDIÇÃO!R1014,'PROJETO PERFURAÇÃO'!$B:$B,0)),1)&amp;"''","")</f>
        <v/>
      </c>
      <c r="Q1014" s="3" t="str">
        <f>IFERROR(IF(INDEX('PROJETO PERFURAÇÃO'!$P:$P,MATCH(MEDIÇÃO!R1014,'PROJETO PERFURAÇÃO'!$B:$B,0))="Production","P",IF(INDEX('PROJETO PERFURAÇÃO'!$P:$P,MATCH(MEDIÇÃO!R1014,'PROJETO PERFURAÇÃO'!$B:$B,0))="Buffer","B",IF(INDEX('PROJETO PERFURAÇÃO'!$P:$P,MATCH(MEDIÇÃO!R1014,'PROJETO PERFURAÇÃO'!$B:$B,0))="Pre-Splitting","S"))),"")</f>
        <v/>
      </c>
      <c r="R1014" s="14">
        <f t="shared" si="98"/>
        <v>2272</v>
      </c>
      <c r="S1014" s="4" t="str">
        <f>IFERROR(INDEX('LEV R&amp;D'!$D:$D,MATCH(MEDIÇÃO!R1014,'LEV R&amp;D'!$A:$A,0))-INDEX('PROJETO PERFURAÇÃO'!$AH:$AH,MATCH(MEDIÇÃO!R1014,'PROJETO PERFURAÇÃO'!$B:$B,0)),"")</f>
        <v/>
      </c>
      <c r="T1014" s="8" t="str">
        <f>IFERROR(INDEX('PROJETO PERFURAÇÃO'!$AN:$AN,MATCH(MEDIÇÃO!R1014,'PROJETO PERFURAÇÃO'!$B:$B,0)),"")</f>
        <v/>
      </c>
      <c r="U1014" s="3"/>
      <c r="V1014" s="3"/>
    </row>
    <row r="1015" spans="2:22" ht="45" customHeight="1">
      <c r="B1015" s="3" t="str">
        <f>IFERROR(ROUND(INDEX('PROJETO PERFURAÇÃO'!$AB:$AB,MATCH(MEDIÇÃO!D1015,'PROJETO PERFURAÇÃO'!$B:$B,0)),1)&amp;"''","")</f>
        <v/>
      </c>
      <c r="C1015" s="3" t="str">
        <f>IFERROR(IF(INDEX('PROJETO PERFURAÇÃO'!$P:$P,MATCH(MEDIÇÃO!D1015,'PROJETO PERFURAÇÃO'!$B:$B,0))="Production","P",IF(INDEX('PROJETO PERFURAÇÃO'!$P:$P,MATCH(MEDIÇÃO!D1015,'PROJETO PERFURAÇÃO'!$B:$B,0))="Buffer","B",IF(INDEX('PROJETO PERFURAÇÃO'!$P:$P,MATCH(MEDIÇÃO!D1015,'PROJETO PERFURAÇÃO'!$B:$B,0))="Pre-Splitting","S"))),"")</f>
        <v/>
      </c>
      <c r="D1015" s="14">
        <f t="shared" si="96"/>
        <v>2227</v>
      </c>
      <c r="E1015" s="4" t="str">
        <f>IFERROR(INDEX('LEV R&amp;D'!$D:$D,MATCH(MEDIÇÃO!D1015,'LEV R&amp;D'!$A:$A,0))-INDEX('PROJETO PERFURAÇÃO'!$AH:$AH,MATCH(MEDIÇÃO!D1015,'PROJETO PERFURAÇÃO'!$B:$B,0)),"")</f>
        <v/>
      </c>
      <c r="F1015" s="8" t="str">
        <f>IFERROR(INDEX('PROJETO PERFURAÇÃO'!$AN:$AN,MATCH(MEDIÇÃO!D1015,'PROJETO PERFURAÇÃO'!$B:$B,0)),"")</f>
        <v/>
      </c>
      <c r="G1015" s="3"/>
      <c r="H1015" s="3"/>
      <c r="I1015" s="3" t="str">
        <f>IFERROR(ROUND(INDEX('PROJETO PERFURAÇÃO'!$AB:$AB,MATCH(MEDIÇÃO!K1015,'PROJETO PERFURAÇÃO'!$B:$B,0)),1)&amp;"''","")</f>
        <v/>
      </c>
      <c r="J1015" s="3" t="str">
        <f>IFERROR(IF(INDEX('PROJETO PERFURAÇÃO'!$P:$P,MATCH(MEDIÇÃO!K1015,'PROJETO PERFURAÇÃO'!$B:$B,0))="Production","P",IF(INDEX('PROJETO PERFURAÇÃO'!$P:$P,MATCH(MEDIÇÃO!K1015,'PROJETO PERFURAÇÃO'!$B:$B,0))="Buffer","B",IF(INDEX('PROJETO PERFURAÇÃO'!$P:$P,MATCH(MEDIÇÃO!K1015,'PROJETO PERFURAÇÃO'!$B:$B,0))="Pre-Splitting","S"))),"")</f>
        <v/>
      </c>
      <c r="K1015" s="14">
        <f t="shared" si="97"/>
        <v>2250</v>
      </c>
      <c r="L1015" s="4" t="str">
        <f>IFERROR(INDEX('LEV R&amp;D'!$D:$D,MATCH(MEDIÇÃO!K1015,'LEV R&amp;D'!$A:$A,0))-INDEX('PROJETO PERFURAÇÃO'!$AH:$AH,MATCH(MEDIÇÃO!K1015,'PROJETO PERFURAÇÃO'!$B:$B,0)),"")</f>
        <v/>
      </c>
      <c r="M1015" s="8" t="str">
        <f>IFERROR(INDEX('PROJETO PERFURAÇÃO'!$AN:$AN,MATCH(MEDIÇÃO!K1015,'PROJETO PERFURAÇÃO'!$B:$B,0)),"")</f>
        <v/>
      </c>
      <c r="N1015" s="3"/>
      <c r="O1015" s="3"/>
      <c r="P1015" s="3" t="str">
        <f>IFERROR(ROUND(INDEX('PROJETO PERFURAÇÃO'!$AB:$AB,MATCH(MEDIÇÃO!R1015,'PROJETO PERFURAÇÃO'!$B:$B,0)),1)&amp;"''","")</f>
        <v/>
      </c>
      <c r="Q1015" s="3" t="str">
        <f>IFERROR(IF(INDEX('PROJETO PERFURAÇÃO'!$P:$P,MATCH(MEDIÇÃO!R1015,'PROJETO PERFURAÇÃO'!$B:$B,0))="Production","P",IF(INDEX('PROJETO PERFURAÇÃO'!$P:$P,MATCH(MEDIÇÃO!R1015,'PROJETO PERFURAÇÃO'!$B:$B,0))="Buffer","B",IF(INDEX('PROJETO PERFURAÇÃO'!$P:$P,MATCH(MEDIÇÃO!R1015,'PROJETO PERFURAÇÃO'!$B:$B,0))="Pre-Splitting","S"))),"")</f>
        <v/>
      </c>
      <c r="R1015" s="14">
        <f t="shared" si="98"/>
        <v>2273</v>
      </c>
      <c r="S1015" s="4" t="str">
        <f>IFERROR(INDEX('LEV R&amp;D'!$D:$D,MATCH(MEDIÇÃO!R1015,'LEV R&amp;D'!$A:$A,0))-INDEX('PROJETO PERFURAÇÃO'!$AH:$AH,MATCH(MEDIÇÃO!R1015,'PROJETO PERFURAÇÃO'!$B:$B,0)),"")</f>
        <v/>
      </c>
      <c r="T1015" s="8" t="str">
        <f>IFERROR(INDEX('PROJETO PERFURAÇÃO'!$AN:$AN,MATCH(MEDIÇÃO!R1015,'PROJETO PERFURAÇÃO'!$B:$B,0)),"")</f>
        <v/>
      </c>
      <c r="U1015" s="3"/>
      <c r="V1015" s="3"/>
    </row>
    <row r="1016" spans="2:22" ht="45" customHeight="1">
      <c r="B1016" s="3" t="str">
        <f>IFERROR(ROUND(INDEX('PROJETO PERFURAÇÃO'!$AB:$AB,MATCH(MEDIÇÃO!D1016,'PROJETO PERFURAÇÃO'!$B:$B,0)),1)&amp;"''","")</f>
        <v/>
      </c>
      <c r="C1016" s="3" t="str">
        <f>IFERROR(IF(INDEX('PROJETO PERFURAÇÃO'!$P:$P,MATCH(MEDIÇÃO!D1016,'PROJETO PERFURAÇÃO'!$B:$B,0))="Production","P",IF(INDEX('PROJETO PERFURAÇÃO'!$P:$P,MATCH(MEDIÇÃO!D1016,'PROJETO PERFURAÇÃO'!$B:$B,0))="Buffer","B",IF(INDEX('PROJETO PERFURAÇÃO'!$P:$P,MATCH(MEDIÇÃO!D1016,'PROJETO PERFURAÇÃO'!$B:$B,0))="Pre-Splitting","S"))),"")</f>
        <v/>
      </c>
      <c r="D1016" s="14">
        <f t="shared" si="96"/>
        <v>2228</v>
      </c>
      <c r="E1016" s="4" t="str">
        <f>IFERROR(INDEX('LEV R&amp;D'!$D:$D,MATCH(MEDIÇÃO!D1016,'LEV R&amp;D'!$A:$A,0))-INDEX('PROJETO PERFURAÇÃO'!$AH:$AH,MATCH(MEDIÇÃO!D1016,'PROJETO PERFURAÇÃO'!$B:$B,0)),"")</f>
        <v/>
      </c>
      <c r="F1016" s="8" t="str">
        <f>IFERROR(INDEX('PROJETO PERFURAÇÃO'!$AN:$AN,MATCH(MEDIÇÃO!D1016,'PROJETO PERFURAÇÃO'!$B:$B,0)),"")</f>
        <v/>
      </c>
      <c r="G1016" s="3"/>
      <c r="H1016" s="3"/>
      <c r="I1016" s="3" t="str">
        <f>IFERROR(ROUND(INDEX('PROJETO PERFURAÇÃO'!$AB:$AB,MATCH(MEDIÇÃO!K1016,'PROJETO PERFURAÇÃO'!$B:$B,0)),1)&amp;"''","")</f>
        <v/>
      </c>
      <c r="J1016" s="3" t="str">
        <f>IFERROR(IF(INDEX('PROJETO PERFURAÇÃO'!$P:$P,MATCH(MEDIÇÃO!K1016,'PROJETO PERFURAÇÃO'!$B:$B,0))="Production","P",IF(INDEX('PROJETO PERFURAÇÃO'!$P:$P,MATCH(MEDIÇÃO!K1016,'PROJETO PERFURAÇÃO'!$B:$B,0))="Buffer","B",IF(INDEX('PROJETO PERFURAÇÃO'!$P:$P,MATCH(MEDIÇÃO!K1016,'PROJETO PERFURAÇÃO'!$B:$B,0))="Pre-Splitting","S"))),"")</f>
        <v/>
      </c>
      <c r="K1016" s="14">
        <f t="shared" si="97"/>
        <v>2251</v>
      </c>
      <c r="L1016" s="4" t="str">
        <f>IFERROR(INDEX('LEV R&amp;D'!$D:$D,MATCH(MEDIÇÃO!K1016,'LEV R&amp;D'!$A:$A,0))-INDEX('PROJETO PERFURAÇÃO'!$AH:$AH,MATCH(MEDIÇÃO!K1016,'PROJETO PERFURAÇÃO'!$B:$B,0)),"")</f>
        <v/>
      </c>
      <c r="M1016" s="8" t="str">
        <f>IFERROR(INDEX('PROJETO PERFURAÇÃO'!$AN:$AN,MATCH(MEDIÇÃO!K1016,'PROJETO PERFURAÇÃO'!$B:$B,0)),"")</f>
        <v/>
      </c>
      <c r="N1016" s="3"/>
      <c r="O1016" s="3"/>
      <c r="P1016" s="3" t="str">
        <f>IFERROR(ROUND(INDEX('PROJETO PERFURAÇÃO'!$AB:$AB,MATCH(MEDIÇÃO!R1016,'PROJETO PERFURAÇÃO'!$B:$B,0)),1)&amp;"''","")</f>
        <v/>
      </c>
      <c r="Q1016" s="3" t="str">
        <f>IFERROR(IF(INDEX('PROJETO PERFURAÇÃO'!$P:$P,MATCH(MEDIÇÃO!R1016,'PROJETO PERFURAÇÃO'!$B:$B,0))="Production","P",IF(INDEX('PROJETO PERFURAÇÃO'!$P:$P,MATCH(MEDIÇÃO!R1016,'PROJETO PERFURAÇÃO'!$B:$B,0))="Buffer","B",IF(INDEX('PROJETO PERFURAÇÃO'!$P:$P,MATCH(MEDIÇÃO!R1016,'PROJETO PERFURAÇÃO'!$B:$B,0))="Pre-Splitting","S"))),"")</f>
        <v/>
      </c>
      <c r="R1016" s="14">
        <f t="shared" si="98"/>
        <v>2274</v>
      </c>
      <c r="S1016" s="4" t="str">
        <f>IFERROR(INDEX('LEV R&amp;D'!$D:$D,MATCH(MEDIÇÃO!R1016,'LEV R&amp;D'!$A:$A,0))-INDEX('PROJETO PERFURAÇÃO'!$AH:$AH,MATCH(MEDIÇÃO!R1016,'PROJETO PERFURAÇÃO'!$B:$B,0)),"")</f>
        <v/>
      </c>
      <c r="T1016" s="8" t="str">
        <f>IFERROR(INDEX('PROJETO PERFURAÇÃO'!$AN:$AN,MATCH(MEDIÇÃO!R1016,'PROJETO PERFURAÇÃO'!$B:$B,0)),"")</f>
        <v/>
      </c>
      <c r="U1016" s="3"/>
      <c r="V1016" s="3"/>
    </row>
    <row r="1017" spans="2:22" ht="45" customHeight="1">
      <c r="B1017" s="3" t="str">
        <f>IFERROR(ROUND(INDEX('PROJETO PERFURAÇÃO'!$AB:$AB,MATCH(MEDIÇÃO!D1017,'PROJETO PERFURAÇÃO'!$B:$B,0)),1)&amp;"''","")</f>
        <v/>
      </c>
      <c r="C1017" s="3" t="str">
        <f>IFERROR(IF(INDEX('PROJETO PERFURAÇÃO'!$P:$P,MATCH(MEDIÇÃO!D1017,'PROJETO PERFURAÇÃO'!$B:$B,0))="Production","P",IF(INDEX('PROJETO PERFURAÇÃO'!$P:$P,MATCH(MEDIÇÃO!D1017,'PROJETO PERFURAÇÃO'!$B:$B,0))="Buffer","B",IF(INDEX('PROJETO PERFURAÇÃO'!$P:$P,MATCH(MEDIÇÃO!D1017,'PROJETO PERFURAÇÃO'!$B:$B,0))="Pre-Splitting","S"))),"")</f>
        <v/>
      </c>
      <c r="D1017" s="14">
        <f t="shared" si="96"/>
        <v>2229</v>
      </c>
      <c r="E1017" s="4" t="str">
        <f>IFERROR(INDEX('LEV R&amp;D'!$D:$D,MATCH(MEDIÇÃO!D1017,'LEV R&amp;D'!$A:$A,0))-INDEX('PROJETO PERFURAÇÃO'!$AH:$AH,MATCH(MEDIÇÃO!D1017,'PROJETO PERFURAÇÃO'!$B:$B,0)),"")</f>
        <v/>
      </c>
      <c r="F1017" s="8" t="str">
        <f>IFERROR(INDEX('PROJETO PERFURAÇÃO'!$AN:$AN,MATCH(MEDIÇÃO!D1017,'PROJETO PERFURAÇÃO'!$B:$B,0)),"")</f>
        <v/>
      </c>
      <c r="G1017" s="3"/>
      <c r="H1017" s="3"/>
      <c r="I1017" s="3" t="str">
        <f>IFERROR(ROUND(INDEX('PROJETO PERFURAÇÃO'!$AB:$AB,MATCH(MEDIÇÃO!K1017,'PROJETO PERFURAÇÃO'!$B:$B,0)),1)&amp;"''","")</f>
        <v/>
      </c>
      <c r="J1017" s="3" t="str">
        <f>IFERROR(IF(INDEX('PROJETO PERFURAÇÃO'!$P:$P,MATCH(MEDIÇÃO!K1017,'PROJETO PERFURAÇÃO'!$B:$B,0))="Production","P",IF(INDEX('PROJETO PERFURAÇÃO'!$P:$P,MATCH(MEDIÇÃO!K1017,'PROJETO PERFURAÇÃO'!$B:$B,0))="Buffer","B",IF(INDEX('PROJETO PERFURAÇÃO'!$P:$P,MATCH(MEDIÇÃO!K1017,'PROJETO PERFURAÇÃO'!$B:$B,0))="Pre-Splitting","S"))),"")</f>
        <v/>
      </c>
      <c r="K1017" s="14">
        <f t="shared" si="97"/>
        <v>2252</v>
      </c>
      <c r="L1017" s="4" t="str">
        <f>IFERROR(INDEX('LEV R&amp;D'!$D:$D,MATCH(MEDIÇÃO!K1017,'LEV R&amp;D'!$A:$A,0))-INDEX('PROJETO PERFURAÇÃO'!$AH:$AH,MATCH(MEDIÇÃO!K1017,'PROJETO PERFURAÇÃO'!$B:$B,0)),"")</f>
        <v/>
      </c>
      <c r="M1017" s="8" t="str">
        <f>IFERROR(INDEX('PROJETO PERFURAÇÃO'!$AN:$AN,MATCH(MEDIÇÃO!K1017,'PROJETO PERFURAÇÃO'!$B:$B,0)),"")</f>
        <v/>
      </c>
      <c r="N1017" s="3"/>
      <c r="O1017" s="3"/>
      <c r="P1017" s="3" t="str">
        <f>IFERROR(ROUND(INDEX('PROJETO PERFURAÇÃO'!$AB:$AB,MATCH(MEDIÇÃO!R1017,'PROJETO PERFURAÇÃO'!$B:$B,0)),1)&amp;"''","")</f>
        <v/>
      </c>
      <c r="Q1017" s="3" t="str">
        <f>IFERROR(IF(INDEX('PROJETO PERFURAÇÃO'!$P:$P,MATCH(MEDIÇÃO!R1017,'PROJETO PERFURAÇÃO'!$B:$B,0))="Production","P",IF(INDEX('PROJETO PERFURAÇÃO'!$P:$P,MATCH(MEDIÇÃO!R1017,'PROJETO PERFURAÇÃO'!$B:$B,0))="Buffer","B",IF(INDEX('PROJETO PERFURAÇÃO'!$P:$P,MATCH(MEDIÇÃO!R1017,'PROJETO PERFURAÇÃO'!$B:$B,0))="Pre-Splitting","S"))),"")</f>
        <v/>
      </c>
      <c r="R1017" s="14">
        <f t="shared" si="98"/>
        <v>2275</v>
      </c>
      <c r="S1017" s="4" t="str">
        <f>IFERROR(INDEX('LEV R&amp;D'!$D:$D,MATCH(MEDIÇÃO!R1017,'LEV R&amp;D'!$A:$A,0))-INDEX('PROJETO PERFURAÇÃO'!$AH:$AH,MATCH(MEDIÇÃO!R1017,'PROJETO PERFURAÇÃO'!$B:$B,0)),"")</f>
        <v/>
      </c>
      <c r="T1017" s="8" t="str">
        <f>IFERROR(INDEX('PROJETO PERFURAÇÃO'!$AN:$AN,MATCH(MEDIÇÃO!R1017,'PROJETO PERFURAÇÃO'!$B:$B,0)),"")</f>
        <v/>
      </c>
      <c r="U1017" s="3"/>
      <c r="V1017" s="3"/>
    </row>
    <row r="1018" spans="2:22" ht="45" customHeight="1">
      <c r="B1018" s="3" t="str">
        <f>IFERROR(ROUND(INDEX('PROJETO PERFURAÇÃO'!$AB:$AB,MATCH(MEDIÇÃO!D1018,'PROJETO PERFURAÇÃO'!$B:$B,0)),1)&amp;"''","")</f>
        <v/>
      </c>
      <c r="C1018" s="3" t="str">
        <f>IFERROR(IF(INDEX('PROJETO PERFURAÇÃO'!$P:$P,MATCH(MEDIÇÃO!D1018,'PROJETO PERFURAÇÃO'!$B:$B,0))="Production","P",IF(INDEX('PROJETO PERFURAÇÃO'!$P:$P,MATCH(MEDIÇÃO!D1018,'PROJETO PERFURAÇÃO'!$B:$B,0))="Buffer","B",IF(INDEX('PROJETO PERFURAÇÃO'!$P:$P,MATCH(MEDIÇÃO!D1018,'PROJETO PERFURAÇÃO'!$B:$B,0))="Pre-Splitting","S"))),"")</f>
        <v/>
      </c>
      <c r="D1018" s="14">
        <f t="shared" si="96"/>
        <v>2230</v>
      </c>
      <c r="E1018" s="4" t="str">
        <f>IFERROR(INDEX('LEV R&amp;D'!$D:$D,MATCH(MEDIÇÃO!D1018,'LEV R&amp;D'!$A:$A,0))-INDEX('PROJETO PERFURAÇÃO'!$AH:$AH,MATCH(MEDIÇÃO!D1018,'PROJETO PERFURAÇÃO'!$B:$B,0)),"")</f>
        <v/>
      </c>
      <c r="F1018" s="8" t="str">
        <f>IFERROR(INDEX('PROJETO PERFURAÇÃO'!$AN:$AN,MATCH(MEDIÇÃO!D1018,'PROJETO PERFURAÇÃO'!$B:$B,0)),"")</f>
        <v/>
      </c>
      <c r="G1018" s="3"/>
      <c r="H1018" s="3"/>
      <c r="I1018" s="3" t="str">
        <f>IFERROR(ROUND(INDEX('PROJETO PERFURAÇÃO'!$AB:$AB,MATCH(MEDIÇÃO!K1018,'PROJETO PERFURAÇÃO'!$B:$B,0)),1)&amp;"''","")</f>
        <v/>
      </c>
      <c r="J1018" s="3" t="str">
        <f>IFERROR(IF(INDEX('PROJETO PERFURAÇÃO'!$P:$P,MATCH(MEDIÇÃO!K1018,'PROJETO PERFURAÇÃO'!$B:$B,0))="Production","P",IF(INDEX('PROJETO PERFURAÇÃO'!$P:$P,MATCH(MEDIÇÃO!K1018,'PROJETO PERFURAÇÃO'!$B:$B,0))="Buffer","B",IF(INDEX('PROJETO PERFURAÇÃO'!$P:$P,MATCH(MEDIÇÃO!K1018,'PROJETO PERFURAÇÃO'!$B:$B,0))="Pre-Splitting","S"))),"")</f>
        <v/>
      </c>
      <c r="K1018" s="14">
        <f t="shared" si="97"/>
        <v>2253</v>
      </c>
      <c r="L1018" s="4" t="str">
        <f>IFERROR(INDEX('LEV R&amp;D'!$D:$D,MATCH(MEDIÇÃO!K1018,'LEV R&amp;D'!$A:$A,0))-INDEX('PROJETO PERFURAÇÃO'!$AH:$AH,MATCH(MEDIÇÃO!K1018,'PROJETO PERFURAÇÃO'!$B:$B,0)),"")</f>
        <v/>
      </c>
      <c r="M1018" s="8" t="str">
        <f>IFERROR(INDEX('PROJETO PERFURAÇÃO'!$AN:$AN,MATCH(MEDIÇÃO!K1018,'PROJETO PERFURAÇÃO'!$B:$B,0)),"")</f>
        <v/>
      </c>
      <c r="N1018" s="3"/>
      <c r="O1018" s="3"/>
      <c r="P1018" s="3" t="str">
        <f>IFERROR(ROUND(INDEX('PROJETO PERFURAÇÃO'!$AB:$AB,MATCH(MEDIÇÃO!R1018,'PROJETO PERFURAÇÃO'!$B:$B,0)),1)&amp;"''","")</f>
        <v/>
      </c>
      <c r="Q1018" s="3" t="str">
        <f>IFERROR(IF(INDEX('PROJETO PERFURAÇÃO'!$P:$P,MATCH(MEDIÇÃO!R1018,'PROJETO PERFURAÇÃO'!$B:$B,0))="Production","P",IF(INDEX('PROJETO PERFURAÇÃO'!$P:$P,MATCH(MEDIÇÃO!R1018,'PROJETO PERFURAÇÃO'!$B:$B,0))="Buffer","B",IF(INDEX('PROJETO PERFURAÇÃO'!$P:$P,MATCH(MEDIÇÃO!R1018,'PROJETO PERFURAÇÃO'!$B:$B,0))="Pre-Splitting","S"))),"")</f>
        <v/>
      </c>
      <c r="R1018" s="14">
        <f t="shared" si="98"/>
        <v>2276</v>
      </c>
      <c r="S1018" s="4" t="str">
        <f>IFERROR(INDEX('LEV R&amp;D'!$D:$D,MATCH(MEDIÇÃO!R1018,'LEV R&amp;D'!$A:$A,0))-INDEX('PROJETO PERFURAÇÃO'!$AH:$AH,MATCH(MEDIÇÃO!R1018,'PROJETO PERFURAÇÃO'!$B:$B,0)),"")</f>
        <v/>
      </c>
      <c r="T1018" s="8" t="str">
        <f>IFERROR(INDEX('PROJETO PERFURAÇÃO'!$AN:$AN,MATCH(MEDIÇÃO!R1018,'PROJETO PERFURAÇÃO'!$B:$B,0)),"")</f>
        <v/>
      </c>
      <c r="U1018" s="3"/>
      <c r="V1018" s="3"/>
    </row>
    <row r="1019" spans="2:22" ht="45" customHeight="1">
      <c r="B1019" s="3" t="str">
        <f>IFERROR(ROUND(INDEX('PROJETO PERFURAÇÃO'!$AB:$AB,MATCH(MEDIÇÃO!D1019,'PROJETO PERFURAÇÃO'!$B:$B,0)),1)&amp;"''","")</f>
        <v/>
      </c>
      <c r="C1019" s="3" t="str">
        <f>IFERROR(IF(INDEX('PROJETO PERFURAÇÃO'!$P:$P,MATCH(MEDIÇÃO!D1019,'PROJETO PERFURAÇÃO'!$B:$B,0))="Production","P",IF(INDEX('PROJETO PERFURAÇÃO'!$P:$P,MATCH(MEDIÇÃO!D1019,'PROJETO PERFURAÇÃO'!$B:$B,0))="Buffer","B",IF(INDEX('PROJETO PERFURAÇÃO'!$P:$P,MATCH(MEDIÇÃO!D1019,'PROJETO PERFURAÇÃO'!$B:$B,0))="Pre-Splitting","S"))),"")</f>
        <v/>
      </c>
      <c r="D1019" s="14">
        <f t="shared" si="96"/>
        <v>2231</v>
      </c>
      <c r="E1019" s="4" t="str">
        <f>IFERROR(INDEX('LEV R&amp;D'!$D:$D,MATCH(MEDIÇÃO!D1019,'LEV R&amp;D'!$A:$A,0))-INDEX('PROJETO PERFURAÇÃO'!$AH:$AH,MATCH(MEDIÇÃO!D1019,'PROJETO PERFURAÇÃO'!$B:$B,0)),"")</f>
        <v/>
      </c>
      <c r="F1019" s="8" t="str">
        <f>IFERROR(INDEX('PROJETO PERFURAÇÃO'!$AN:$AN,MATCH(MEDIÇÃO!D1019,'PROJETO PERFURAÇÃO'!$B:$B,0)),"")</f>
        <v/>
      </c>
      <c r="G1019" s="3"/>
      <c r="H1019" s="3"/>
      <c r="I1019" s="3" t="str">
        <f>IFERROR(ROUND(INDEX('PROJETO PERFURAÇÃO'!$AB:$AB,MATCH(MEDIÇÃO!K1019,'PROJETO PERFURAÇÃO'!$B:$B,0)),1)&amp;"''","")</f>
        <v/>
      </c>
      <c r="J1019" s="3" t="str">
        <f>IFERROR(IF(INDEX('PROJETO PERFURAÇÃO'!$P:$P,MATCH(MEDIÇÃO!K1019,'PROJETO PERFURAÇÃO'!$B:$B,0))="Production","P",IF(INDEX('PROJETO PERFURAÇÃO'!$P:$P,MATCH(MEDIÇÃO!K1019,'PROJETO PERFURAÇÃO'!$B:$B,0))="Buffer","B",IF(INDEX('PROJETO PERFURAÇÃO'!$P:$P,MATCH(MEDIÇÃO!K1019,'PROJETO PERFURAÇÃO'!$B:$B,0))="Pre-Splitting","S"))),"")</f>
        <v/>
      </c>
      <c r="K1019" s="14">
        <f>K1018+1</f>
        <v>2254</v>
      </c>
      <c r="L1019" s="4" t="str">
        <f>IFERROR(INDEX('LEV R&amp;D'!$D:$D,MATCH(MEDIÇÃO!K1019,'LEV R&amp;D'!$A:$A,0))-INDEX('PROJETO PERFURAÇÃO'!$AH:$AH,MATCH(MEDIÇÃO!K1019,'PROJETO PERFURAÇÃO'!$B:$B,0)),"")</f>
        <v/>
      </c>
      <c r="M1019" s="8" t="str">
        <f>IFERROR(INDEX('PROJETO PERFURAÇÃO'!$AN:$AN,MATCH(MEDIÇÃO!K1019,'PROJETO PERFURAÇÃO'!$B:$B,0)),"")</f>
        <v/>
      </c>
      <c r="N1019" s="3"/>
      <c r="O1019" s="3"/>
      <c r="P1019" s="3" t="str">
        <f>IFERROR(ROUND(INDEX('PROJETO PERFURAÇÃO'!$AB:$AB,MATCH(MEDIÇÃO!R1019,'PROJETO PERFURAÇÃO'!$B:$B,0)),1)&amp;"''","")</f>
        <v/>
      </c>
      <c r="Q1019" s="3" t="str">
        <f>IFERROR(IF(INDEX('PROJETO PERFURAÇÃO'!$P:$P,MATCH(MEDIÇÃO!R1019,'PROJETO PERFURAÇÃO'!$B:$B,0))="Production","P",IF(INDEX('PROJETO PERFURAÇÃO'!$P:$P,MATCH(MEDIÇÃO!R1019,'PROJETO PERFURAÇÃO'!$B:$B,0))="Buffer","B",IF(INDEX('PROJETO PERFURAÇÃO'!$P:$P,MATCH(MEDIÇÃO!R1019,'PROJETO PERFURAÇÃO'!$B:$B,0))="Pre-Splitting","S"))),"")</f>
        <v/>
      </c>
      <c r="R1019" s="14">
        <f>R1018+1</f>
        <v>2277</v>
      </c>
      <c r="S1019" s="4" t="str">
        <f>IFERROR(INDEX('LEV R&amp;D'!$D:$D,MATCH(MEDIÇÃO!R1019,'LEV R&amp;D'!$A:$A,0))-INDEX('PROJETO PERFURAÇÃO'!$AH:$AH,MATCH(MEDIÇÃO!R1019,'PROJETO PERFURAÇÃO'!$B:$B,0)),"")</f>
        <v/>
      </c>
      <c r="T1019" s="8" t="str">
        <f>IFERROR(INDEX('PROJETO PERFURAÇÃO'!$AN:$AN,MATCH(MEDIÇÃO!R1019,'PROJETO PERFURAÇÃO'!$B:$B,0)),"")</f>
        <v/>
      </c>
      <c r="U1019" s="3"/>
      <c r="V1019" s="3"/>
    </row>
    <row r="1020" spans="2:22" ht="30" customHeight="1">
      <c r="B1020" s="1"/>
      <c r="C1020" s="1"/>
      <c r="D1020" s="15"/>
      <c r="E1020" s="2"/>
      <c r="F1020" s="16"/>
      <c r="G1020" s="1"/>
      <c r="H1020" s="1"/>
      <c r="I1020" s="1"/>
      <c r="J1020" s="1"/>
      <c r="K1020" s="15"/>
      <c r="L1020" s="2"/>
      <c r="M1020" s="16"/>
      <c r="N1020" s="1"/>
      <c r="O1020" s="1"/>
      <c r="P1020" s="1"/>
      <c r="Q1020" s="1"/>
      <c r="R1020" s="15"/>
      <c r="S1020" s="2"/>
      <c r="T1020" s="16"/>
      <c r="U1020" s="1"/>
      <c r="V1020" s="1"/>
    </row>
    <row r="1021" spans="2:22" ht="30" customHeight="1">
      <c r="C1021" s="20"/>
      <c r="D1021" s="20"/>
      <c r="E1021" s="20"/>
      <c r="F1021" s="20"/>
      <c r="G1021" s="20"/>
      <c r="H1021" s="20"/>
      <c r="I1021" s="20"/>
      <c r="J1021" s="20"/>
      <c r="K1021" s="20"/>
      <c r="M1021" s="20"/>
      <c r="N1021" s="20"/>
      <c r="O1021" s="20"/>
      <c r="P1021" s="20"/>
      <c r="Q1021" s="20"/>
      <c r="R1021" s="20"/>
      <c r="S1021" s="20"/>
      <c r="T1021" s="20"/>
      <c r="U1021" s="20"/>
    </row>
    <row r="1022" spans="2:22" ht="30" customHeight="1">
      <c r="C1022" s="21" t="s">
        <v>40</v>
      </c>
      <c r="D1022" s="21"/>
      <c r="E1022" s="21"/>
      <c r="F1022" s="21"/>
      <c r="G1022" s="21"/>
      <c r="H1022" s="21"/>
      <c r="I1022" s="21"/>
      <c r="J1022" s="21"/>
      <c r="K1022" s="21"/>
      <c r="L1022" s="9"/>
      <c r="M1022" s="21" t="s">
        <v>40</v>
      </c>
      <c r="N1022" s="21"/>
      <c r="O1022" s="21"/>
      <c r="P1022" s="21"/>
      <c r="Q1022" s="21"/>
      <c r="R1022" s="21"/>
      <c r="S1022" s="21"/>
      <c r="T1022" s="21"/>
      <c r="U1022" s="21"/>
      <c r="V1022" s="9"/>
    </row>
    <row r="1023" spans="2:22" ht="30" customHeight="1">
      <c r="D1023" s="9"/>
      <c r="E1023" s="9"/>
      <c r="F1023" s="9"/>
      <c r="G1023" s="9"/>
      <c r="H1023" s="9"/>
      <c r="I1023" s="9"/>
      <c r="J1023" s="9"/>
      <c r="K1023" s="9"/>
      <c r="L1023" s="9"/>
      <c r="M1023" s="9"/>
      <c r="N1023" s="9"/>
      <c r="Q1023" s="9"/>
      <c r="R1023" s="9"/>
      <c r="S1023" s="9"/>
      <c r="T1023" s="9"/>
      <c r="U1023" s="9"/>
      <c r="V1023" s="9"/>
    </row>
    <row r="1024" spans="2:22" ht="30" customHeight="1">
      <c r="B1024" s="19" t="str">
        <f>'PROJETO PERFURAÇÃO'!$C$2&amp;" - "&amp;'PROJETO PERFURAÇÃO'!$H$2</f>
        <v>LIB037 - PP0370626</v>
      </c>
      <c r="C1024" s="19"/>
      <c r="D1024" s="19"/>
      <c r="E1024" s="19"/>
      <c r="F1024" s="19"/>
      <c r="G1024" s="19"/>
      <c r="H1024" s="19"/>
      <c r="I1024" s="11" t="s">
        <v>34</v>
      </c>
      <c r="J1024" s="10" t="s">
        <v>37</v>
      </c>
    </row>
    <row r="1025" spans="1:23" ht="30" customHeight="1">
      <c r="B1025" s="19"/>
      <c r="C1025" s="19"/>
      <c r="D1025" s="19"/>
      <c r="E1025" s="19"/>
      <c r="F1025" s="19"/>
      <c r="G1025" s="19"/>
      <c r="H1025" s="19"/>
      <c r="I1025" s="12" t="s">
        <v>35</v>
      </c>
      <c r="J1025" s="10" t="s">
        <v>38</v>
      </c>
      <c r="K1025" s="9"/>
      <c r="L1025" s="9"/>
      <c r="M1025" s="9"/>
      <c r="N1025" s="9"/>
      <c r="O1025" s="9"/>
      <c r="P1025" s="9"/>
      <c r="Q1025" s="9"/>
      <c r="R1025" s="9"/>
      <c r="S1025" s="9"/>
      <c r="T1025" s="9"/>
      <c r="U1025" s="9"/>
      <c r="V1025" s="9"/>
    </row>
    <row r="1026" spans="1:23" ht="30" customHeight="1">
      <c r="B1026" s="19"/>
      <c r="C1026" s="19"/>
      <c r="D1026" s="19"/>
      <c r="E1026" s="19"/>
      <c r="F1026" s="19"/>
      <c r="G1026" s="19"/>
      <c r="H1026" s="19"/>
      <c r="I1026" s="13" t="s">
        <v>36</v>
      </c>
      <c r="J1026" s="10" t="s">
        <v>39</v>
      </c>
    </row>
    <row r="1027" spans="1:23" ht="30" customHeight="1">
      <c r="A1027" s="1"/>
      <c r="B1027" s="6" t="s">
        <v>33</v>
      </c>
      <c r="C1027" s="6" t="s">
        <v>13</v>
      </c>
      <c r="D1027" s="7" t="s">
        <v>1</v>
      </c>
      <c r="E1027" s="7" t="s">
        <v>29</v>
      </c>
      <c r="F1027" s="7" t="s">
        <v>30</v>
      </c>
      <c r="G1027" s="7" t="s">
        <v>31</v>
      </c>
      <c r="H1027" s="7" t="s">
        <v>32</v>
      </c>
      <c r="I1027" s="6" t="s">
        <v>33</v>
      </c>
      <c r="J1027" s="6" t="s">
        <v>13</v>
      </c>
      <c r="K1027" s="7" t="s">
        <v>1</v>
      </c>
      <c r="L1027" s="7" t="s">
        <v>29</v>
      </c>
      <c r="M1027" s="7" t="s">
        <v>30</v>
      </c>
      <c r="N1027" s="7" t="s">
        <v>31</v>
      </c>
      <c r="O1027" s="7" t="s">
        <v>32</v>
      </c>
      <c r="P1027" s="6" t="s">
        <v>33</v>
      </c>
      <c r="Q1027" s="6" t="s">
        <v>13</v>
      </c>
      <c r="R1027" s="7" t="s">
        <v>1</v>
      </c>
      <c r="S1027" s="7" t="s">
        <v>29</v>
      </c>
      <c r="T1027" s="7" t="s">
        <v>30</v>
      </c>
      <c r="U1027" s="7" t="s">
        <v>31</v>
      </c>
      <c r="V1027" s="7" t="s">
        <v>32</v>
      </c>
      <c r="W1027" s="1"/>
    </row>
    <row r="1028" spans="1:23" ht="45" customHeight="1">
      <c r="B1028" s="3" t="str">
        <f>IFERROR(ROUND(INDEX('PROJETO PERFURAÇÃO'!$AB:$AB,MATCH(MEDIÇÃO!D1028,'PROJETO PERFURAÇÃO'!$B:$B,0)),1)&amp;"''","")</f>
        <v/>
      </c>
      <c r="C1028" s="3" t="str">
        <f>IFERROR(IF(INDEX('PROJETO PERFURAÇÃO'!$P:$P,MATCH(MEDIÇÃO!D1028,'PROJETO PERFURAÇÃO'!$B:$B,0))="Production","P",IF(INDEX('PROJETO PERFURAÇÃO'!$P:$P,MATCH(MEDIÇÃO!D1028,'PROJETO PERFURAÇÃO'!$B:$B,0))="Buffer","B",IF(INDEX('PROJETO PERFURAÇÃO'!$P:$P,MATCH(MEDIÇÃO!D1028,'PROJETO PERFURAÇÃO'!$B:$B,0))="Pre-Splitting","S"))),"")</f>
        <v/>
      </c>
      <c r="D1028" s="14">
        <f>R1019+1</f>
        <v>2278</v>
      </c>
      <c r="E1028" s="4" t="str">
        <f>IFERROR(INDEX('LEV R&amp;D'!$D:$D,MATCH(MEDIÇÃO!D1028,'LEV R&amp;D'!$A:$A,0))-INDEX('PROJETO PERFURAÇÃO'!$AH:$AH,MATCH(MEDIÇÃO!D1028,'PROJETO PERFURAÇÃO'!$B:$B,0)),"")</f>
        <v/>
      </c>
      <c r="F1028" s="8" t="str">
        <f>IFERROR(INDEX('PROJETO PERFURAÇÃO'!$AN:$AN,MATCH(MEDIÇÃO!D1028,'PROJETO PERFURAÇÃO'!$B:$B,0)),"")</f>
        <v/>
      </c>
      <c r="G1028" s="3"/>
      <c r="H1028" s="3"/>
      <c r="I1028" s="3" t="str">
        <f>IFERROR(ROUND(INDEX('PROJETO PERFURAÇÃO'!$AB:$AB,MATCH(MEDIÇÃO!K1028,'PROJETO PERFURAÇÃO'!$B:$B,0)),1)&amp;"''","")</f>
        <v/>
      </c>
      <c r="J1028" s="3" t="str">
        <f>IFERROR(IF(INDEX('PROJETO PERFURAÇÃO'!$P:$P,MATCH(MEDIÇÃO!K1028,'PROJETO PERFURAÇÃO'!$B:$B,0))="Production","P",IF(INDEX('PROJETO PERFURAÇÃO'!$P:$P,MATCH(MEDIÇÃO!K1028,'PROJETO PERFURAÇÃO'!$B:$B,0))="Buffer","B",IF(INDEX('PROJETO PERFURAÇÃO'!$P:$P,MATCH(MEDIÇÃO!K1028,'PROJETO PERFURAÇÃO'!$B:$B,0))="Pre-Splitting","S"))),"")</f>
        <v/>
      </c>
      <c r="K1028" s="14">
        <f>D1050+1</f>
        <v>2301</v>
      </c>
      <c r="L1028" s="4" t="str">
        <f>IFERROR(INDEX('LEV R&amp;D'!$D:$D,MATCH(MEDIÇÃO!K1028,'LEV R&amp;D'!$A:$A,0))-INDEX('PROJETO PERFURAÇÃO'!$AH:$AH,MATCH(MEDIÇÃO!K1028,'PROJETO PERFURAÇÃO'!$B:$B,0)),"")</f>
        <v/>
      </c>
      <c r="M1028" s="8" t="str">
        <f>IFERROR(INDEX('PROJETO PERFURAÇÃO'!$AN:$AN,MATCH(MEDIÇÃO!K1028,'PROJETO PERFURAÇÃO'!$B:$B,0)),"")</f>
        <v/>
      </c>
      <c r="N1028" s="3"/>
      <c r="O1028" s="3"/>
      <c r="P1028" s="3" t="str">
        <f>IFERROR(ROUND(INDEX('PROJETO PERFURAÇÃO'!$AB:$AB,MATCH(MEDIÇÃO!R1028,'PROJETO PERFURAÇÃO'!$B:$B,0)),1)&amp;"''","")</f>
        <v/>
      </c>
      <c r="Q1028" s="3" t="str">
        <f>IFERROR(IF(INDEX('PROJETO PERFURAÇÃO'!$P:$P,MATCH(MEDIÇÃO!R1028,'PROJETO PERFURAÇÃO'!$B:$B,0))="Production","P",IF(INDEX('PROJETO PERFURAÇÃO'!$P:$P,MATCH(MEDIÇÃO!R1028,'PROJETO PERFURAÇÃO'!$B:$B,0))="Buffer","B",IF(INDEX('PROJETO PERFURAÇÃO'!$P:$P,MATCH(MEDIÇÃO!R1028,'PROJETO PERFURAÇÃO'!$B:$B,0))="Pre-Splitting","S"))),"")</f>
        <v/>
      </c>
      <c r="R1028" s="14">
        <f>K1050+1</f>
        <v>2324</v>
      </c>
      <c r="S1028" s="4" t="str">
        <f>IFERROR(INDEX('LEV R&amp;D'!$D:$D,MATCH(MEDIÇÃO!R1028,'LEV R&amp;D'!$A:$A,0))-INDEX('PROJETO PERFURAÇÃO'!$AH:$AH,MATCH(MEDIÇÃO!R1028,'PROJETO PERFURAÇÃO'!$B:$B,0)),"")</f>
        <v/>
      </c>
      <c r="T1028" s="8" t="str">
        <f>IFERROR(INDEX('PROJETO PERFURAÇÃO'!$AN:$AN,MATCH(MEDIÇÃO!R1028,'PROJETO PERFURAÇÃO'!$B:$B,0)),"")</f>
        <v/>
      </c>
      <c r="U1028" s="3"/>
      <c r="V1028" s="3"/>
    </row>
    <row r="1029" spans="1:23" ht="45" customHeight="1">
      <c r="B1029" s="3" t="str">
        <f>IFERROR(ROUND(INDEX('PROJETO PERFURAÇÃO'!$AB:$AB,MATCH(MEDIÇÃO!D1029,'PROJETO PERFURAÇÃO'!$B:$B,0)),1)&amp;"''","")</f>
        <v/>
      </c>
      <c r="C1029" s="3" t="str">
        <f>IFERROR(IF(INDEX('PROJETO PERFURAÇÃO'!$P:$P,MATCH(MEDIÇÃO!D1029,'PROJETO PERFURAÇÃO'!$B:$B,0))="Production","P",IF(INDEX('PROJETO PERFURAÇÃO'!$P:$P,MATCH(MEDIÇÃO!D1029,'PROJETO PERFURAÇÃO'!$B:$B,0))="Buffer","B",IF(INDEX('PROJETO PERFURAÇÃO'!$P:$P,MATCH(MEDIÇÃO!D1029,'PROJETO PERFURAÇÃO'!$B:$B,0))="Pre-Splitting","S"))),"")</f>
        <v/>
      </c>
      <c r="D1029" s="14">
        <f>D1028+1</f>
        <v>2279</v>
      </c>
      <c r="E1029" s="4" t="str">
        <f>IFERROR(INDEX('LEV R&amp;D'!$D:$D,MATCH(MEDIÇÃO!D1029,'LEV R&amp;D'!$A:$A,0))-INDEX('PROJETO PERFURAÇÃO'!$AH:$AH,MATCH(MEDIÇÃO!D1029,'PROJETO PERFURAÇÃO'!$B:$B,0)),"")</f>
        <v/>
      </c>
      <c r="F1029" s="8" t="str">
        <f>IFERROR(INDEX('PROJETO PERFURAÇÃO'!$AN:$AN,MATCH(MEDIÇÃO!D1029,'PROJETO PERFURAÇÃO'!$B:$B,0)),"")</f>
        <v/>
      </c>
      <c r="G1029" s="3"/>
      <c r="H1029" s="3"/>
      <c r="I1029" s="3" t="str">
        <f>IFERROR(ROUND(INDEX('PROJETO PERFURAÇÃO'!$AB:$AB,MATCH(MEDIÇÃO!K1029,'PROJETO PERFURAÇÃO'!$B:$B,0)),1)&amp;"''","")</f>
        <v/>
      </c>
      <c r="J1029" s="3" t="str">
        <f>IFERROR(IF(INDEX('PROJETO PERFURAÇÃO'!$P:$P,MATCH(MEDIÇÃO!K1029,'PROJETO PERFURAÇÃO'!$B:$B,0))="Production","P",IF(INDEX('PROJETO PERFURAÇÃO'!$P:$P,MATCH(MEDIÇÃO!K1029,'PROJETO PERFURAÇÃO'!$B:$B,0))="Buffer","B",IF(INDEX('PROJETO PERFURAÇÃO'!$P:$P,MATCH(MEDIÇÃO!K1029,'PROJETO PERFURAÇÃO'!$B:$B,0))="Pre-Splitting","S"))),"")</f>
        <v/>
      </c>
      <c r="K1029" s="14">
        <f>K1028+1</f>
        <v>2302</v>
      </c>
      <c r="L1029" s="4" t="str">
        <f>IFERROR(INDEX('LEV R&amp;D'!$D:$D,MATCH(MEDIÇÃO!K1029,'LEV R&amp;D'!$A:$A,0))-INDEX('PROJETO PERFURAÇÃO'!$AH:$AH,MATCH(MEDIÇÃO!K1029,'PROJETO PERFURAÇÃO'!$B:$B,0)),"")</f>
        <v/>
      </c>
      <c r="M1029" s="8" t="str">
        <f>IFERROR(INDEX('PROJETO PERFURAÇÃO'!$AN:$AN,MATCH(MEDIÇÃO!K1029,'PROJETO PERFURAÇÃO'!$B:$B,0)),"")</f>
        <v/>
      </c>
      <c r="N1029" s="3"/>
      <c r="O1029" s="3"/>
      <c r="P1029" s="3" t="str">
        <f>IFERROR(ROUND(INDEX('PROJETO PERFURAÇÃO'!$AB:$AB,MATCH(MEDIÇÃO!R1029,'PROJETO PERFURAÇÃO'!$B:$B,0)),1)&amp;"''","")</f>
        <v/>
      </c>
      <c r="Q1029" s="3" t="str">
        <f>IFERROR(IF(INDEX('PROJETO PERFURAÇÃO'!$P:$P,MATCH(MEDIÇÃO!R1029,'PROJETO PERFURAÇÃO'!$B:$B,0))="Production","P",IF(INDEX('PROJETO PERFURAÇÃO'!$P:$P,MATCH(MEDIÇÃO!R1029,'PROJETO PERFURAÇÃO'!$B:$B,0))="Buffer","B",IF(INDEX('PROJETO PERFURAÇÃO'!$P:$P,MATCH(MEDIÇÃO!R1029,'PROJETO PERFURAÇÃO'!$B:$B,0))="Pre-Splitting","S"))),"")</f>
        <v/>
      </c>
      <c r="R1029" s="14">
        <f>R1028+1</f>
        <v>2325</v>
      </c>
      <c r="S1029" s="4" t="str">
        <f>IFERROR(INDEX('LEV R&amp;D'!$D:$D,MATCH(MEDIÇÃO!R1029,'LEV R&amp;D'!$A:$A,0))-INDEX('PROJETO PERFURAÇÃO'!$AH:$AH,MATCH(MEDIÇÃO!R1029,'PROJETO PERFURAÇÃO'!$B:$B,0)),"")</f>
        <v/>
      </c>
      <c r="T1029" s="8" t="str">
        <f>IFERROR(INDEX('PROJETO PERFURAÇÃO'!$AN:$AN,MATCH(MEDIÇÃO!R1029,'PROJETO PERFURAÇÃO'!$B:$B,0)),"")</f>
        <v/>
      </c>
      <c r="U1029" s="3"/>
      <c r="V1029" s="3"/>
    </row>
    <row r="1030" spans="1:23" ht="45" customHeight="1">
      <c r="B1030" s="3" t="str">
        <f>IFERROR(ROUND(INDEX('PROJETO PERFURAÇÃO'!$AB:$AB,MATCH(MEDIÇÃO!D1030,'PROJETO PERFURAÇÃO'!$B:$B,0)),1)&amp;"''","")</f>
        <v/>
      </c>
      <c r="C1030" s="3" t="str">
        <f>IFERROR(IF(INDEX('PROJETO PERFURAÇÃO'!$P:$P,MATCH(MEDIÇÃO!D1030,'PROJETO PERFURAÇÃO'!$B:$B,0))="Production","P",IF(INDEX('PROJETO PERFURAÇÃO'!$P:$P,MATCH(MEDIÇÃO!D1030,'PROJETO PERFURAÇÃO'!$B:$B,0))="Buffer","B",IF(INDEX('PROJETO PERFURAÇÃO'!$P:$P,MATCH(MEDIÇÃO!D1030,'PROJETO PERFURAÇÃO'!$B:$B,0))="Pre-Splitting","S"))),"")</f>
        <v/>
      </c>
      <c r="D1030" s="14">
        <f t="shared" ref="D1030:D1050" si="99">D1029+1</f>
        <v>2280</v>
      </c>
      <c r="E1030" s="4" t="str">
        <f>IFERROR(INDEX('LEV R&amp;D'!$D:$D,MATCH(MEDIÇÃO!D1030,'LEV R&amp;D'!$A:$A,0))-INDEX('PROJETO PERFURAÇÃO'!$AH:$AH,MATCH(MEDIÇÃO!D1030,'PROJETO PERFURAÇÃO'!$B:$B,0)),"")</f>
        <v/>
      </c>
      <c r="F1030" s="8" t="str">
        <f>IFERROR(INDEX('PROJETO PERFURAÇÃO'!$AN:$AN,MATCH(MEDIÇÃO!D1030,'PROJETO PERFURAÇÃO'!$B:$B,0)),"")</f>
        <v/>
      </c>
      <c r="G1030" s="3"/>
      <c r="H1030" s="3"/>
      <c r="I1030" s="3" t="str">
        <f>IFERROR(ROUND(INDEX('PROJETO PERFURAÇÃO'!$AB:$AB,MATCH(MEDIÇÃO!K1030,'PROJETO PERFURAÇÃO'!$B:$B,0)),1)&amp;"''","")</f>
        <v/>
      </c>
      <c r="J1030" s="3" t="str">
        <f>IFERROR(IF(INDEX('PROJETO PERFURAÇÃO'!$P:$P,MATCH(MEDIÇÃO!K1030,'PROJETO PERFURAÇÃO'!$B:$B,0))="Production","P",IF(INDEX('PROJETO PERFURAÇÃO'!$P:$P,MATCH(MEDIÇÃO!K1030,'PROJETO PERFURAÇÃO'!$B:$B,0))="Buffer","B",IF(INDEX('PROJETO PERFURAÇÃO'!$P:$P,MATCH(MEDIÇÃO!K1030,'PROJETO PERFURAÇÃO'!$B:$B,0))="Pre-Splitting","S"))),"")</f>
        <v/>
      </c>
      <c r="K1030" s="14">
        <f t="shared" ref="K1030:K1049" si="100">K1029+1</f>
        <v>2303</v>
      </c>
      <c r="L1030" s="4" t="str">
        <f>IFERROR(INDEX('LEV R&amp;D'!$D:$D,MATCH(MEDIÇÃO!K1030,'LEV R&amp;D'!$A:$A,0))-INDEX('PROJETO PERFURAÇÃO'!$AH:$AH,MATCH(MEDIÇÃO!K1030,'PROJETO PERFURAÇÃO'!$B:$B,0)),"")</f>
        <v/>
      </c>
      <c r="M1030" s="8" t="str">
        <f>IFERROR(INDEX('PROJETO PERFURAÇÃO'!$AN:$AN,MATCH(MEDIÇÃO!K1030,'PROJETO PERFURAÇÃO'!$B:$B,0)),"")</f>
        <v/>
      </c>
      <c r="N1030" s="3"/>
      <c r="O1030" s="3"/>
      <c r="P1030" s="3" t="str">
        <f>IFERROR(ROUND(INDEX('PROJETO PERFURAÇÃO'!$AB:$AB,MATCH(MEDIÇÃO!R1030,'PROJETO PERFURAÇÃO'!$B:$B,0)),1)&amp;"''","")</f>
        <v/>
      </c>
      <c r="Q1030" s="3" t="str">
        <f>IFERROR(IF(INDEX('PROJETO PERFURAÇÃO'!$P:$P,MATCH(MEDIÇÃO!R1030,'PROJETO PERFURAÇÃO'!$B:$B,0))="Production","P",IF(INDEX('PROJETO PERFURAÇÃO'!$P:$P,MATCH(MEDIÇÃO!R1030,'PROJETO PERFURAÇÃO'!$B:$B,0))="Buffer","B",IF(INDEX('PROJETO PERFURAÇÃO'!$P:$P,MATCH(MEDIÇÃO!R1030,'PROJETO PERFURAÇÃO'!$B:$B,0))="Pre-Splitting","S"))),"")</f>
        <v/>
      </c>
      <c r="R1030" s="14">
        <f t="shared" ref="R1030:R1049" si="101">R1029+1</f>
        <v>2326</v>
      </c>
      <c r="S1030" s="4" t="str">
        <f>IFERROR(INDEX('LEV R&amp;D'!$D:$D,MATCH(MEDIÇÃO!R1030,'LEV R&amp;D'!$A:$A,0))-INDEX('PROJETO PERFURAÇÃO'!$AH:$AH,MATCH(MEDIÇÃO!R1030,'PROJETO PERFURAÇÃO'!$B:$B,0)),"")</f>
        <v/>
      </c>
      <c r="T1030" s="8" t="str">
        <f>IFERROR(INDEX('PROJETO PERFURAÇÃO'!$AN:$AN,MATCH(MEDIÇÃO!R1030,'PROJETO PERFURAÇÃO'!$B:$B,0)),"")</f>
        <v/>
      </c>
      <c r="U1030" s="3"/>
      <c r="V1030" s="3"/>
    </row>
    <row r="1031" spans="1:23" ht="45" customHeight="1">
      <c r="B1031" s="3" t="str">
        <f>IFERROR(ROUND(INDEX('PROJETO PERFURAÇÃO'!$AB:$AB,MATCH(MEDIÇÃO!D1031,'PROJETO PERFURAÇÃO'!$B:$B,0)),1)&amp;"''","")</f>
        <v/>
      </c>
      <c r="C1031" s="3" t="str">
        <f>IFERROR(IF(INDEX('PROJETO PERFURAÇÃO'!$P:$P,MATCH(MEDIÇÃO!D1031,'PROJETO PERFURAÇÃO'!$B:$B,0))="Production","P",IF(INDEX('PROJETO PERFURAÇÃO'!$P:$P,MATCH(MEDIÇÃO!D1031,'PROJETO PERFURAÇÃO'!$B:$B,0))="Buffer","B",IF(INDEX('PROJETO PERFURAÇÃO'!$P:$P,MATCH(MEDIÇÃO!D1031,'PROJETO PERFURAÇÃO'!$B:$B,0))="Pre-Splitting","S"))),"")</f>
        <v/>
      </c>
      <c r="D1031" s="14">
        <f t="shared" si="99"/>
        <v>2281</v>
      </c>
      <c r="E1031" s="4" t="str">
        <f>IFERROR(INDEX('LEV R&amp;D'!$D:$D,MATCH(MEDIÇÃO!D1031,'LEV R&amp;D'!$A:$A,0))-INDEX('PROJETO PERFURAÇÃO'!$AH:$AH,MATCH(MEDIÇÃO!D1031,'PROJETO PERFURAÇÃO'!$B:$B,0)),"")</f>
        <v/>
      </c>
      <c r="F1031" s="8" t="str">
        <f>IFERROR(INDEX('PROJETO PERFURAÇÃO'!$AN:$AN,MATCH(MEDIÇÃO!D1031,'PROJETO PERFURAÇÃO'!$B:$B,0)),"")</f>
        <v/>
      </c>
      <c r="G1031" s="3"/>
      <c r="H1031" s="3"/>
      <c r="I1031" s="3" t="str">
        <f>IFERROR(ROUND(INDEX('PROJETO PERFURAÇÃO'!$AB:$AB,MATCH(MEDIÇÃO!K1031,'PROJETO PERFURAÇÃO'!$B:$B,0)),1)&amp;"''","")</f>
        <v/>
      </c>
      <c r="J1031" s="3" t="str">
        <f>IFERROR(IF(INDEX('PROJETO PERFURAÇÃO'!$P:$P,MATCH(MEDIÇÃO!K1031,'PROJETO PERFURAÇÃO'!$B:$B,0))="Production","P",IF(INDEX('PROJETO PERFURAÇÃO'!$P:$P,MATCH(MEDIÇÃO!K1031,'PROJETO PERFURAÇÃO'!$B:$B,0))="Buffer","B",IF(INDEX('PROJETO PERFURAÇÃO'!$P:$P,MATCH(MEDIÇÃO!K1031,'PROJETO PERFURAÇÃO'!$B:$B,0))="Pre-Splitting","S"))),"")</f>
        <v/>
      </c>
      <c r="K1031" s="14">
        <f t="shared" si="100"/>
        <v>2304</v>
      </c>
      <c r="L1031" s="4" t="str">
        <f>IFERROR(INDEX('LEV R&amp;D'!$D:$D,MATCH(MEDIÇÃO!K1031,'LEV R&amp;D'!$A:$A,0))-INDEX('PROJETO PERFURAÇÃO'!$AH:$AH,MATCH(MEDIÇÃO!K1031,'PROJETO PERFURAÇÃO'!$B:$B,0)),"")</f>
        <v/>
      </c>
      <c r="M1031" s="8" t="str">
        <f>IFERROR(INDEX('PROJETO PERFURAÇÃO'!$AN:$AN,MATCH(MEDIÇÃO!K1031,'PROJETO PERFURAÇÃO'!$B:$B,0)),"")</f>
        <v/>
      </c>
      <c r="N1031" s="3"/>
      <c r="O1031" s="3"/>
      <c r="P1031" s="3" t="str">
        <f>IFERROR(ROUND(INDEX('PROJETO PERFURAÇÃO'!$AB:$AB,MATCH(MEDIÇÃO!R1031,'PROJETO PERFURAÇÃO'!$B:$B,0)),1)&amp;"''","")</f>
        <v/>
      </c>
      <c r="Q1031" s="3" t="str">
        <f>IFERROR(IF(INDEX('PROJETO PERFURAÇÃO'!$P:$P,MATCH(MEDIÇÃO!R1031,'PROJETO PERFURAÇÃO'!$B:$B,0))="Production","P",IF(INDEX('PROJETO PERFURAÇÃO'!$P:$P,MATCH(MEDIÇÃO!R1031,'PROJETO PERFURAÇÃO'!$B:$B,0))="Buffer","B",IF(INDEX('PROJETO PERFURAÇÃO'!$P:$P,MATCH(MEDIÇÃO!R1031,'PROJETO PERFURAÇÃO'!$B:$B,0))="Pre-Splitting","S"))),"")</f>
        <v/>
      </c>
      <c r="R1031" s="14">
        <f t="shared" si="101"/>
        <v>2327</v>
      </c>
      <c r="S1031" s="4" t="str">
        <f>IFERROR(INDEX('LEV R&amp;D'!$D:$D,MATCH(MEDIÇÃO!R1031,'LEV R&amp;D'!$A:$A,0))-INDEX('PROJETO PERFURAÇÃO'!$AH:$AH,MATCH(MEDIÇÃO!R1031,'PROJETO PERFURAÇÃO'!$B:$B,0)),"")</f>
        <v/>
      </c>
      <c r="T1031" s="8" t="str">
        <f>IFERROR(INDEX('PROJETO PERFURAÇÃO'!$AN:$AN,MATCH(MEDIÇÃO!R1031,'PROJETO PERFURAÇÃO'!$B:$B,0)),"")</f>
        <v/>
      </c>
      <c r="U1031" s="3"/>
      <c r="V1031" s="3"/>
    </row>
    <row r="1032" spans="1:23" ht="45" customHeight="1">
      <c r="B1032" s="3" t="str">
        <f>IFERROR(ROUND(INDEX('PROJETO PERFURAÇÃO'!$AB:$AB,MATCH(MEDIÇÃO!D1032,'PROJETO PERFURAÇÃO'!$B:$B,0)),1)&amp;"''","")</f>
        <v/>
      </c>
      <c r="C1032" s="3" t="str">
        <f>IFERROR(IF(INDEX('PROJETO PERFURAÇÃO'!$P:$P,MATCH(MEDIÇÃO!D1032,'PROJETO PERFURAÇÃO'!$B:$B,0))="Production","P",IF(INDEX('PROJETO PERFURAÇÃO'!$P:$P,MATCH(MEDIÇÃO!D1032,'PROJETO PERFURAÇÃO'!$B:$B,0))="Buffer","B",IF(INDEX('PROJETO PERFURAÇÃO'!$P:$P,MATCH(MEDIÇÃO!D1032,'PROJETO PERFURAÇÃO'!$B:$B,0))="Pre-Splitting","S"))),"")</f>
        <v/>
      </c>
      <c r="D1032" s="14">
        <f t="shared" si="99"/>
        <v>2282</v>
      </c>
      <c r="E1032" s="4" t="str">
        <f>IFERROR(INDEX('LEV R&amp;D'!$D:$D,MATCH(MEDIÇÃO!D1032,'LEV R&amp;D'!$A:$A,0))-INDEX('PROJETO PERFURAÇÃO'!$AH:$AH,MATCH(MEDIÇÃO!D1032,'PROJETO PERFURAÇÃO'!$B:$B,0)),"")</f>
        <v/>
      </c>
      <c r="F1032" s="8" t="str">
        <f>IFERROR(INDEX('PROJETO PERFURAÇÃO'!$AN:$AN,MATCH(MEDIÇÃO!D1032,'PROJETO PERFURAÇÃO'!$B:$B,0)),"")</f>
        <v/>
      </c>
      <c r="G1032" s="3"/>
      <c r="H1032" s="3"/>
      <c r="I1032" s="3" t="str">
        <f>IFERROR(ROUND(INDEX('PROJETO PERFURAÇÃO'!$AB:$AB,MATCH(MEDIÇÃO!K1032,'PROJETO PERFURAÇÃO'!$B:$B,0)),1)&amp;"''","")</f>
        <v/>
      </c>
      <c r="J1032" s="3" t="str">
        <f>IFERROR(IF(INDEX('PROJETO PERFURAÇÃO'!$P:$P,MATCH(MEDIÇÃO!K1032,'PROJETO PERFURAÇÃO'!$B:$B,0))="Production","P",IF(INDEX('PROJETO PERFURAÇÃO'!$P:$P,MATCH(MEDIÇÃO!K1032,'PROJETO PERFURAÇÃO'!$B:$B,0))="Buffer","B",IF(INDEX('PROJETO PERFURAÇÃO'!$P:$P,MATCH(MEDIÇÃO!K1032,'PROJETO PERFURAÇÃO'!$B:$B,0))="Pre-Splitting","S"))),"")</f>
        <v/>
      </c>
      <c r="K1032" s="14">
        <f t="shared" si="100"/>
        <v>2305</v>
      </c>
      <c r="L1032" s="4" t="str">
        <f>IFERROR(INDEX('LEV R&amp;D'!$D:$D,MATCH(MEDIÇÃO!K1032,'LEV R&amp;D'!$A:$A,0))-INDEX('PROJETO PERFURAÇÃO'!$AH:$AH,MATCH(MEDIÇÃO!K1032,'PROJETO PERFURAÇÃO'!$B:$B,0)),"")</f>
        <v/>
      </c>
      <c r="M1032" s="8" t="str">
        <f>IFERROR(INDEX('PROJETO PERFURAÇÃO'!$AN:$AN,MATCH(MEDIÇÃO!K1032,'PROJETO PERFURAÇÃO'!$B:$B,0)),"")</f>
        <v/>
      </c>
      <c r="N1032" s="3"/>
      <c r="O1032" s="3"/>
      <c r="P1032" s="3" t="str">
        <f>IFERROR(ROUND(INDEX('PROJETO PERFURAÇÃO'!$AB:$AB,MATCH(MEDIÇÃO!R1032,'PROJETO PERFURAÇÃO'!$B:$B,0)),1)&amp;"''","")</f>
        <v/>
      </c>
      <c r="Q1032" s="3" t="str">
        <f>IFERROR(IF(INDEX('PROJETO PERFURAÇÃO'!$P:$P,MATCH(MEDIÇÃO!R1032,'PROJETO PERFURAÇÃO'!$B:$B,0))="Production","P",IF(INDEX('PROJETO PERFURAÇÃO'!$P:$P,MATCH(MEDIÇÃO!R1032,'PROJETO PERFURAÇÃO'!$B:$B,0))="Buffer","B",IF(INDEX('PROJETO PERFURAÇÃO'!$P:$P,MATCH(MEDIÇÃO!R1032,'PROJETO PERFURAÇÃO'!$B:$B,0))="Pre-Splitting","S"))),"")</f>
        <v/>
      </c>
      <c r="R1032" s="14">
        <f t="shared" si="101"/>
        <v>2328</v>
      </c>
      <c r="S1032" s="4" t="str">
        <f>IFERROR(INDEX('LEV R&amp;D'!$D:$D,MATCH(MEDIÇÃO!R1032,'LEV R&amp;D'!$A:$A,0))-INDEX('PROJETO PERFURAÇÃO'!$AH:$AH,MATCH(MEDIÇÃO!R1032,'PROJETO PERFURAÇÃO'!$B:$B,0)),"")</f>
        <v/>
      </c>
      <c r="T1032" s="8" t="str">
        <f>IFERROR(INDEX('PROJETO PERFURAÇÃO'!$AN:$AN,MATCH(MEDIÇÃO!R1032,'PROJETO PERFURAÇÃO'!$B:$B,0)),"")</f>
        <v/>
      </c>
      <c r="U1032" s="3"/>
      <c r="V1032" s="3"/>
    </row>
    <row r="1033" spans="1:23" ht="45" customHeight="1">
      <c r="B1033" s="3" t="str">
        <f>IFERROR(ROUND(INDEX('PROJETO PERFURAÇÃO'!$AB:$AB,MATCH(MEDIÇÃO!D1033,'PROJETO PERFURAÇÃO'!$B:$B,0)),1)&amp;"''","")</f>
        <v/>
      </c>
      <c r="C1033" s="3" t="str">
        <f>IFERROR(IF(INDEX('PROJETO PERFURAÇÃO'!$P:$P,MATCH(MEDIÇÃO!D1033,'PROJETO PERFURAÇÃO'!$B:$B,0))="Production","P",IF(INDEX('PROJETO PERFURAÇÃO'!$P:$P,MATCH(MEDIÇÃO!D1033,'PROJETO PERFURAÇÃO'!$B:$B,0))="Buffer","B",IF(INDEX('PROJETO PERFURAÇÃO'!$P:$P,MATCH(MEDIÇÃO!D1033,'PROJETO PERFURAÇÃO'!$B:$B,0))="Pre-Splitting","S"))),"")</f>
        <v/>
      </c>
      <c r="D1033" s="14">
        <f t="shared" si="99"/>
        <v>2283</v>
      </c>
      <c r="E1033" s="4" t="str">
        <f>IFERROR(INDEX('LEV R&amp;D'!$D:$D,MATCH(MEDIÇÃO!D1033,'LEV R&amp;D'!$A:$A,0))-INDEX('PROJETO PERFURAÇÃO'!$AH:$AH,MATCH(MEDIÇÃO!D1033,'PROJETO PERFURAÇÃO'!$B:$B,0)),"")</f>
        <v/>
      </c>
      <c r="F1033" s="8" t="str">
        <f>IFERROR(INDEX('PROJETO PERFURAÇÃO'!$AN:$AN,MATCH(MEDIÇÃO!D1033,'PROJETO PERFURAÇÃO'!$B:$B,0)),"")</f>
        <v/>
      </c>
      <c r="G1033" s="3"/>
      <c r="H1033" s="3"/>
      <c r="I1033" s="3" t="str">
        <f>IFERROR(ROUND(INDEX('PROJETO PERFURAÇÃO'!$AB:$AB,MATCH(MEDIÇÃO!K1033,'PROJETO PERFURAÇÃO'!$B:$B,0)),1)&amp;"''","")</f>
        <v/>
      </c>
      <c r="J1033" s="3" t="str">
        <f>IFERROR(IF(INDEX('PROJETO PERFURAÇÃO'!$P:$P,MATCH(MEDIÇÃO!K1033,'PROJETO PERFURAÇÃO'!$B:$B,0))="Production","P",IF(INDEX('PROJETO PERFURAÇÃO'!$P:$P,MATCH(MEDIÇÃO!K1033,'PROJETO PERFURAÇÃO'!$B:$B,0))="Buffer","B",IF(INDEX('PROJETO PERFURAÇÃO'!$P:$P,MATCH(MEDIÇÃO!K1033,'PROJETO PERFURAÇÃO'!$B:$B,0))="Pre-Splitting","S"))),"")</f>
        <v/>
      </c>
      <c r="K1033" s="14">
        <f t="shared" si="100"/>
        <v>2306</v>
      </c>
      <c r="L1033" s="4" t="str">
        <f>IFERROR(INDEX('LEV R&amp;D'!$D:$D,MATCH(MEDIÇÃO!K1033,'LEV R&amp;D'!$A:$A,0))-INDEX('PROJETO PERFURAÇÃO'!$AH:$AH,MATCH(MEDIÇÃO!K1033,'PROJETO PERFURAÇÃO'!$B:$B,0)),"")</f>
        <v/>
      </c>
      <c r="M1033" s="8" t="str">
        <f>IFERROR(INDEX('PROJETO PERFURAÇÃO'!$AN:$AN,MATCH(MEDIÇÃO!K1033,'PROJETO PERFURAÇÃO'!$B:$B,0)),"")</f>
        <v/>
      </c>
      <c r="N1033" s="3"/>
      <c r="O1033" s="3"/>
      <c r="P1033" s="3" t="str">
        <f>IFERROR(ROUND(INDEX('PROJETO PERFURAÇÃO'!$AB:$AB,MATCH(MEDIÇÃO!R1033,'PROJETO PERFURAÇÃO'!$B:$B,0)),1)&amp;"''","")</f>
        <v/>
      </c>
      <c r="Q1033" s="3" t="str">
        <f>IFERROR(IF(INDEX('PROJETO PERFURAÇÃO'!$P:$P,MATCH(MEDIÇÃO!R1033,'PROJETO PERFURAÇÃO'!$B:$B,0))="Production","P",IF(INDEX('PROJETO PERFURAÇÃO'!$P:$P,MATCH(MEDIÇÃO!R1033,'PROJETO PERFURAÇÃO'!$B:$B,0))="Buffer","B",IF(INDEX('PROJETO PERFURAÇÃO'!$P:$P,MATCH(MEDIÇÃO!R1033,'PROJETO PERFURAÇÃO'!$B:$B,0))="Pre-Splitting","S"))),"")</f>
        <v/>
      </c>
      <c r="R1033" s="14">
        <f t="shared" si="101"/>
        <v>2329</v>
      </c>
      <c r="S1033" s="4" t="str">
        <f>IFERROR(INDEX('LEV R&amp;D'!$D:$D,MATCH(MEDIÇÃO!R1033,'LEV R&amp;D'!$A:$A,0))-INDEX('PROJETO PERFURAÇÃO'!$AH:$AH,MATCH(MEDIÇÃO!R1033,'PROJETO PERFURAÇÃO'!$B:$B,0)),"")</f>
        <v/>
      </c>
      <c r="T1033" s="8" t="str">
        <f>IFERROR(INDEX('PROJETO PERFURAÇÃO'!$AN:$AN,MATCH(MEDIÇÃO!R1033,'PROJETO PERFURAÇÃO'!$B:$B,0)),"")</f>
        <v/>
      </c>
      <c r="U1033" s="3"/>
      <c r="V1033" s="3"/>
    </row>
    <row r="1034" spans="1:23" ht="45" customHeight="1">
      <c r="B1034" s="3" t="str">
        <f>IFERROR(ROUND(INDEX('PROJETO PERFURAÇÃO'!$AB:$AB,MATCH(MEDIÇÃO!D1034,'PROJETO PERFURAÇÃO'!$B:$B,0)),1)&amp;"''","")</f>
        <v/>
      </c>
      <c r="C1034" s="3" t="str">
        <f>IFERROR(IF(INDEX('PROJETO PERFURAÇÃO'!$P:$P,MATCH(MEDIÇÃO!D1034,'PROJETO PERFURAÇÃO'!$B:$B,0))="Production","P",IF(INDEX('PROJETO PERFURAÇÃO'!$P:$P,MATCH(MEDIÇÃO!D1034,'PROJETO PERFURAÇÃO'!$B:$B,0))="Buffer","B",IF(INDEX('PROJETO PERFURAÇÃO'!$P:$P,MATCH(MEDIÇÃO!D1034,'PROJETO PERFURAÇÃO'!$B:$B,0))="Pre-Splitting","S"))),"")</f>
        <v/>
      </c>
      <c r="D1034" s="14">
        <f t="shared" si="99"/>
        <v>2284</v>
      </c>
      <c r="E1034" s="4" t="str">
        <f>IFERROR(INDEX('LEV R&amp;D'!$D:$D,MATCH(MEDIÇÃO!D1034,'LEV R&amp;D'!$A:$A,0))-INDEX('PROJETO PERFURAÇÃO'!$AH:$AH,MATCH(MEDIÇÃO!D1034,'PROJETO PERFURAÇÃO'!$B:$B,0)),"")</f>
        <v/>
      </c>
      <c r="F1034" s="8" t="str">
        <f>IFERROR(INDEX('PROJETO PERFURAÇÃO'!$AN:$AN,MATCH(MEDIÇÃO!D1034,'PROJETO PERFURAÇÃO'!$B:$B,0)),"")</f>
        <v/>
      </c>
      <c r="G1034" s="3"/>
      <c r="H1034" s="3"/>
      <c r="I1034" s="3" t="str">
        <f>IFERROR(ROUND(INDEX('PROJETO PERFURAÇÃO'!$AB:$AB,MATCH(MEDIÇÃO!K1034,'PROJETO PERFURAÇÃO'!$B:$B,0)),1)&amp;"''","")</f>
        <v/>
      </c>
      <c r="J1034" s="3" t="str">
        <f>IFERROR(IF(INDEX('PROJETO PERFURAÇÃO'!$P:$P,MATCH(MEDIÇÃO!K1034,'PROJETO PERFURAÇÃO'!$B:$B,0))="Production","P",IF(INDEX('PROJETO PERFURAÇÃO'!$P:$P,MATCH(MEDIÇÃO!K1034,'PROJETO PERFURAÇÃO'!$B:$B,0))="Buffer","B",IF(INDEX('PROJETO PERFURAÇÃO'!$P:$P,MATCH(MEDIÇÃO!K1034,'PROJETO PERFURAÇÃO'!$B:$B,0))="Pre-Splitting","S"))),"")</f>
        <v/>
      </c>
      <c r="K1034" s="14">
        <f t="shared" si="100"/>
        <v>2307</v>
      </c>
      <c r="L1034" s="4" t="str">
        <f>IFERROR(INDEX('LEV R&amp;D'!$D:$D,MATCH(MEDIÇÃO!K1034,'LEV R&amp;D'!$A:$A,0))-INDEX('PROJETO PERFURAÇÃO'!$AH:$AH,MATCH(MEDIÇÃO!K1034,'PROJETO PERFURAÇÃO'!$B:$B,0)),"")</f>
        <v/>
      </c>
      <c r="M1034" s="8" t="str">
        <f>IFERROR(INDEX('PROJETO PERFURAÇÃO'!$AN:$AN,MATCH(MEDIÇÃO!K1034,'PROJETO PERFURAÇÃO'!$B:$B,0)),"")</f>
        <v/>
      </c>
      <c r="N1034" s="3"/>
      <c r="O1034" s="3"/>
      <c r="P1034" s="3" t="str">
        <f>IFERROR(ROUND(INDEX('PROJETO PERFURAÇÃO'!$AB:$AB,MATCH(MEDIÇÃO!R1034,'PROJETO PERFURAÇÃO'!$B:$B,0)),1)&amp;"''","")</f>
        <v/>
      </c>
      <c r="Q1034" s="3" t="str">
        <f>IFERROR(IF(INDEX('PROJETO PERFURAÇÃO'!$P:$P,MATCH(MEDIÇÃO!R1034,'PROJETO PERFURAÇÃO'!$B:$B,0))="Production","P",IF(INDEX('PROJETO PERFURAÇÃO'!$P:$P,MATCH(MEDIÇÃO!R1034,'PROJETO PERFURAÇÃO'!$B:$B,0))="Buffer","B",IF(INDEX('PROJETO PERFURAÇÃO'!$P:$P,MATCH(MEDIÇÃO!R1034,'PROJETO PERFURAÇÃO'!$B:$B,0))="Pre-Splitting","S"))),"")</f>
        <v/>
      </c>
      <c r="R1034" s="14">
        <f t="shared" si="101"/>
        <v>2330</v>
      </c>
      <c r="S1034" s="4" t="str">
        <f>IFERROR(INDEX('LEV R&amp;D'!$D:$D,MATCH(MEDIÇÃO!R1034,'LEV R&amp;D'!$A:$A,0))-INDEX('PROJETO PERFURAÇÃO'!$AH:$AH,MATCH(MEDIÇÃO!R1034,'PROJETO PERFURAÇÃO'!$B:$B,0)),"")</f>
        <v/>
      </c>
      <c r="T1034" s="8" t="str">
        <f>IFERROR(INDEX('PROJETO PERFURAÇÃO'!$AN:$AN,MATCH(MEDIÇÃO!R1034,'PROJETO PERFURAÇÃO'!$B:$B,0)),"")</f>
        <v/>
      </c>
      <c r="U1034" s="3"/>
      <c r="V1034" s="3"/>
    </row>
    <row r="1035" spans="1:23" ht="45" customHeight="1">
      <c r="B1035" s="3" t="str">
        <f>IFERROR(ROUND(INDEX('PROJETO PERFURAÇÃO'!$AB:$AB,MATCH(MEDIÇÃO!D1035,'PROJETO PERFURAÇÃO'!$B:$B,0)),1)&amp;"''","")</f>
        <v/>
      </c>
      <c r="C1035" s="3" t="str">
        <f>IFERROR(IF(INDEX('PROJETO PERFURAÇÃO'!$P:$P,MATCH(MEDIÇÃO!D1035,'PROJETO PERFURAÇÃO'!$B:$B,0))="Production","P",IF(INDEX('PROJETO PERFURAÇÃO'!$P:$P,MATCH(MEDIÇÃO!D1035,'PROJETO PERFURAÇÃO'!$B:$B,0))="Buffer","B",IF(INDEX('PROJETO PERFURAÇÃO'!$P:$P,MATCH(MEDIÇÃO!D1035,'PROJETO PERFURAÇÃO'!$B:$B,0))="Pre-Splitting","S"))),"")</f>
        <v/>
      </c>
      <c r="D1035" s="14">
        <f t="shared" si="99"/>
        <v>2285</v>
      </c>
      <c r="E1035" s="4" t="str">
        <f>IFERROR(INDEX('LEV R&amp;D'!$D:$D,MATCH(MEDIÇÃO!D1035,'LEV R&amp;D'!$A:$A,0))-INDEX('PROJETO PERFURAÇÃO'!$AH:$AH,MATCH(MEDIÇÃO!D1035,'PROJETO PERFURAÇÃO'!$B:$B,0)),"")</f>
        <v/>
      </c>
      <c r="F1035" s="8" t="str">
        <f>IFERROR(INDEX('PROJETO PERFURAÇÃO'!$AN:$AN,MATCH(MEDIÇÃO!D1035,'PROJETO PERFURAÇÃO'!$B:$B,0)),"")</f>
        <v/>
      </c>
      <c r="G1035" s="3"/>
      <c r="H1035" s="3"/>
      <c r="I1035" s="3" t="str">
        <f>IFERROR(ROUND(INDEX('PROJETO PERFURAÇÃO'!$AB:$AB,MATCH(MEDIÇÃO!K1035,'PROJETO PERFURAÇÃO'!$B:$B,0)),1)&amp;"''","")</f>
        <v/>
      </c>
      <c r="J1035" s="3" t="str">
        <f>IFERROR(IF(INDEX('PROJETO PERFURAÇÃO'!$P:$P,MATCH(MEDIÇÃO!K1035,'PROJETO PERFURAÇÃO'!$B:$B,0))="Production","P",IF(INDEX('PROJETO PERFURAÇÃO'!$P:$P,MATCH(MEDIÇÃO!K1035,'PROJETO PERFURAÇÃO'!$B:$B,0))="Buffer","B",IF(INDEX('PROJETO PERFURAÇÃO'!$P:$P,MATCH(MEDIÇÃO!K1035,'PROJETO PERFURAÇÃO'!$B:$B,0))="Pre-Splitting","S"))),"")</f>
        <v/>
      </c>
      <c r="K1035" s="14">
        <f t="shared" si="100"/>
        <v>2308</v>
      </c>
      <c r="L1035" s="4" t="str">
        <f>IFERROR(INDEX('LEV R&amp;D'!$D:$D,MATCH(MEDIÇÃO!K1035,'LEV R&amp;D'!$A:$A,0))-INDEX('PROJETO PERFURAÇÃO'!$AH:$AH,MATCH(MEDIÇÃO!K1035,'PROJETO PERFURAÇÃO'!$B:$B,0)),"")</f>
        <v/>
      </c>
      <c r="M1035" s="8" t="str">
        <f>IFERROR(INDEX('PROJETO PERFURAÇÃO'!$AN:$AN,MATCH(MEDIÇÃO!K1035,'PROJETO PERFURAÇÃO'!$B:$B,0)),"")</f>
        <v/>
      </c>
      <c r="N1035" s="3"/>
      <c r="O1035" s="3"/>
      <c r="P1035" s="3" t="str">
        <f>IFERROR(ROUND(INDEX('PROJETO PERFURAÇÃO'!$AB:$AB,MATCH(MEDIÇÃO!R1035,'PROJETO PERFURAÇÃO'!$B:$B,0)),1)&amp;"''","")</f>
        <v/>
      </c>
      <c r="Q1035" s="3" t="str">
        <f>IFERROR(IF(INDEX('PROJETO PERFURAÇÃO'!$P:$P,MATCH(MEDIÇÃO!R1035,'PROJETO PERFURAÇÃO'!$B:$B,0))="Production","P",IF(INDEX('PROJETO PERFURAÇÃO'!$P:$P,MATCH(MEDIÇÃO!R1035,'PROJETO PERFURAÇÃO'!$B:$B,0))="Buffer","B",IF(INDEX('PROJETO PERFURAÇÃO'!$P:$P,MATCH(MEDIÇÃO!R1035,'PROJETO PERFURAÇÃO'!$B:$B,0))="Pre-Splitting","S"))),"")</f>
        <v/>
      </c>
      <c r="R1035" s="14">
        <f t="shared" si="101"/>
        <v>2331</v>
      </c>
      <c r="S1035" s="4" t="str">
        <f>IFERROR(INDEX('LEV R&amp;D'!$D:$D,MATCH(MEDIÇÃO!R1035,'LEV R&amp;D'!$A:$A,0))-INDEX('PROJETO PERFURAÇÃO'!$AH:$AH,MATCH(MEDIÇÃO!R1035,'PROJETO PERFURAÇÃO'!$B:$B,0)),"")</f>
        <v/>
      </c>
      <c r="T1035" s="8" t="str">
        <f>IFERROR(INDEX('PROJETO PERFURAÇÃO'!$AN:$AN,MATCH(MEDIÇÃO!R1035,'PROJETO PERFURAÇÃO'!$B:$B,0)),"")</f>
        <v/>
      </c>
      <c r="U1035" s="3"/>
      <c r="V1035" s="3"/>
    </row>
    <row r="1036" spans="1:23" ht="45" customHeight="1">
      <c r="B1036" s="3" t="str">
        <f>IFERROR(ROUND(INDEX('PROJETO PERFURAÇÃO'!$AB:$AB,MATCH(MEDIÇÃO!D1036,'PROJETO PERFURAÇÃO'!$B:$B,0)),1)&amp;"''","")</f>
        <v/>
      </c>
      <c r="C1036" s="3" t="str">
        <f>IFERROR(IF(INDEX('PROJETO PERFURAÇÃO'!$P:$P,MATCH(MEDIÇÃO!D1036,'PROJETO PERFURAÇÃO'!$B:$B,0))="Production","P",IF(INDEX('PROJETO PERFURAÇÃO'!$P:$P,MATCH(MEDIÇÃO!D1036,'PROJETO PERFURAÇÃO'!$B:$B,0))="Buffer","B",IF(INDEX('PROJETO PERFURAÇÃO'!$P:$P,MATCH(MEDIÇÃO!D1036,'PROJETO PERFURAÇÃO'!$B:$B,0))="Pre-Splitting","S"))),"")</f>
        <v/>
      </c>
      <c r="D1036" s="14">
        <f t="shared" si="99"/>
        <v>2286</v>
      </c>
      <c r="E1036" s="4" t="str">
        <f>IFERROR(INDEX('LEV R&amp;D'!$D:$D,MATCH(MEDIÇÃO!D1036,'LEV R&amp;D'!$A:$A,0))-INDEX('PROJETO PERFURAÇÃO'!$AH:$AH,MATCH(MEDIÇÃO!D1036,'PROJETO PERFURAÇÃO'!$B:$B,0)),"")</f>
        <v/>
      </c>
      <c r="F1036" s="8" t="str">
        <f>IFERROR(INDEX('PROJETO PERFURAÇÃO'!$AN:$AN,MATCH(MEDIÇÃO!D1036,'PROJETO PERFURAÇÃO'!$B:$B,0)),"")</f>
        <v/>
      </c>
      <c r="G1036" s="3"/>
      <c r="H1036" s="3"/>
      <c r="I1036" s="3" t="str">
        <f>IFERROR(ROUND(INDEX('PROJETO PERFURAÇÃO'!$AB:$AB,MATCH(MEDIÇÃO!K1036,'PROJETO PERFURAÇÃO'!$B:$B,0)),1)&amp;"''","")</f>
        <v/>
      </c>
      <c r="J1036" s="3" t="str">
        <f>IFERROR(IF(INDEX('PROJETO PERFURAÇÃO'!$P:$P,MATCH(MEDIÇÃO!K1036,'PROJETO PERFURAÇÃO'!$B:$B,0))="Production","P",IF(INDEX('PROJETO PERFURAÇÃO'!$P:$P,MATCH(MEDIÇÃO!K1036,'PROJETO PERFURAÇÃO'!$B:$B,0))="Buffer","B",IF(INDEX('PROJETO PERFURAÇÃO'!$P:$P,MATCH(MEDIÇÃO!K1036,'PROJETO PERFURAÇÃO'!$B:$B,0))="Pre-Splitting","S"))),"")</f>
        <v/>
      </c>
      <c r="K1036" s="14">
        <f t="shared" si="100"/>
        <v>2309</v>
      </c>
      <c r="L1036" s="4" t="str">
        <f>IFERROR(INDEX('LEV R&amp;D'!$D:$D,MATCH(MEDIÇÃO!K1036,'LEV R&amp;D'!$A:$A,0))-INDEX('PROJETO PERFURAÇÃO'!$AH:$AH,MATCH(MEDIÇÃO!K1036,'PROJETO PERFURAÇÃO'!$B:$B,0)),"")</f>
        <v/>
      </c>
      <c r="M1036" s="8" t="str">
        <f>IFERROR(INDEX('PROJETO PERFURAÇÃO'!$AN:$AN,MATCH(MEDIÇÃO!K1036,'PROJETO PERFURAÇÃO'!$B:$B,0)),"")</f>
        <v/>
      </c>
      <c r="N1036" s="3"/>
      <c r="O1036" s="3"/>
      <c r="P1036" s="3" t="str">
        <f>IFERROR(ROUND(INDEX('PROJETO PERFURAÇÃO'!$AB:$AB,MATCH(MEDIÇÃO!R1036,'PROJETO PERFURAÇÃO'!$B:$B,0)),1)&amp;"''","")</f>
        <v/>
      </c>
      <c r="Q1036" s="3" t="str">
        <f>IFERROR(IF(INDEX('PROJETO PERFURAÇÃO'!$P:$P,MATCH(MEDIÇÃO!R1036,'PROJETO PERFURAÇÃO'!$B:$B,0))="Production","P",IF(INDEX('PROJETO PERFURAÇÃO'!$P:$P,MATCH(MEDIÇÃO!R1036,'PROJETO PERFURAÇÃO'!$B:$B,0))="Buffer","B",IF(INDEX('PROJETO PERFURAÇÃO'!$P:$P,MATCH(MEDIÇÃO!R1036,'PROJETO PERFURAÇÃO'!$B:$B,0))="Pre-Splitting","S"))),"")</f>
        <v/>
      </c>
      <c r="R1036" s="14">
        <f t="shared" si="101"/>
        <v>2332</v>
      </c>
      <c r="S1036" s="4" t="str">
        <f>IFERROR(INDEX('LEV R&amp;D'!$D:$D,MATCH(MEDIÇÃO!R1036,'LEV R&amp;D'!$A:$A,0))-INDEX('PROJETO PERFURAÇÃO'!$AH:$AH,MATCH(MEDIÇÃO!R1036,'PROJETO PERFURAÇÃO'!$B:$B,0)),"")</f>
        <v/>
      </c>
      <c r="T1036" s="8" t="str">
        <f>IFERROR(INDEX('PROJETO PERFURAÇÃO'!$AN:$AN,MATCH(MEDIÇÃO!R1036,'PROJETO PERFURAÇÃO'!$B:$B,0)),"")</f>
        <v/>
      </c>
      <c r="U1036" s="3"/>
      <c r="V1036" s="3"/>
    </row>
    <row r="1037" spans="1:23" ht="45" customHeight="1">
      <c r="B1037" s="3" t="str">
        <f>IFERROR(ROUND(INDEX('PROJETO PERFURAÇÃO'!$AB:$AB,MATCH(MEDIÇÃO!D1037,'PROJETO PERFURAÇÃO'!$B:$B,0)),1)&amp;"''","")</f>
        <v/>
      </c>
      <c r="C1037" s="3" t="str">
        <f>IFERROR(IF(INDEX('PROJETO PERFURAÇÃO'!$P:$P,MATCH(MEDIÇÃO!D1037,'PROJETO PERFURAÇÃO'!$B:$B,0))="Production","P",IF(INDEX('PROJETO PERFURAÇÃO'!$P:$P,MATCH(MEDIÇÃO!D1037,'PROJETO PERFURAÇÃO'!$B:$B,0))="Buffer","B",IF(INDEX('PROJETO PERFURAÇÃO'!$P:$P,MATCH(MEDIÇÃO!D1037,'PROJETO PERFURAÇÃO'!$B:$B,0))="Pre-Splitting","S"))),"")</f>
        <v/>
      </c>
      <c r="D1037" s="14">
        <f t="shared" si="99"/>
        <v>2287</v>
      </c>
      <c r="E1037" s="4" t="str">
        <f>IFERROR(INDEX('LEV R&amp;D'!$D:$D,MATCH(MEDIÇÃO!D1037,'LEV R&amp;D'!$A:$A,0))-INDEX('PROJETO PERFURAÇÃO'!$AH:$AH,MATCH(MEDIÇÃO!D1037,'PROJETO PERFURAÇÃO'!$B:$B,0)),"")</f>
        <v/>
      </c>
      <c r="F1037" s="8" t="str">
        <f>IFERROR(INDEX('PROJETO PERFURAÇÃO'!$AN:$AN,MATCH(MEDIÇÃO!D1037,'PROJETO PERFURAÇÃO'!$B:$B,0)),"")</f>
        <v/>
      </c>
      <c r="G1037" s="3"/>
      <c r="H1037" s="3"/>
      <c r="I1037" s="3" t="str">
        <f>IFERROR(ROUND(INDEX('PROJETO PERFURAÇÃO'!$AB:$AB,MATCH(MEDIÇÃO!K1037,'PROJETO PERFURAÇÃO'!$B:$B,0)),1)&amp;"''","")</f>
        <v/>
      </c>
      <c r="J1037" s="3" t="str">
        <f>IFERROR(IF(INDEX('PROJETO PERFURAÇÃO'!$P:$P,MATCH(MEDIÇÃO!K1037,'PROJETO PERFURAÇÃO'!$B:$B,0))="Production","P",IF(INDEX('PROJETO PERFURAÇÃO'!$P:$P,MATCH(MEDIÇÃO!K1037,'PROJETO PERFURAÇÃO'!$B:$B,0))="Buffer","B",IF(INDEX('PROJETO PERFURAÇÃO'!$P:$P,MATCH(MEDIÇÃO!K1037,'PROJETO PERFURAÇÃO'!$B:$B,0))="Pre-Splitting","S"))),"")</f>
        <v/>
      </c>
      <c r="K1037" s="14">
        <f t="shared" si="100"/>
        <v>2310</v>
      </c>
      <c r="L1037" s="4" t="str">
        <f>IFERROR(INDEX('LEV R&amp;D'!$D:$D,MATCH(MEDIÇÃO!K1037,'LEV R&amp;D'!$A:$A,0))-INDEX('PROJETO PERFURAÇÃO'!$AH:$AH,MATCH(MEDIÇÃO!K1037,'PROJETO PERFURAÇÃO'!$B:$B,0)),"")</f>
        <v/>
      </c>
      <c r="M1037" s="8" t="str">
        <f>IFERROR(INDEX('PROJETO PERFURAÇÃO'!$AN:$AN,MATCH(MEDIÇÃO!K1037,'PROJETO PERFURAÇÃO'!$B:$B,0)),"")</f>
        <v/>
      </c>
      <c r="N1037" s="3"/>
      <c r="O1037" s="3"/>
      <c r="P1037" s="3" t="str">
        <f>IFERROR(ROUND(INDEX('PROJETO PERFURAÇÃO'!$AB:$AB,MATCH(MEDIÇÃO!R1037,'PROJETO PERFURAÇÃO'!$B:$B,0)),1)&amp;"''","")</f>
        <v/>
      </c>
      <c r="Q1037" s="3" t="str">
        <f>IFERROR(IF(INDEX('PROJETO PERFURAÇÃO'!$P:$P,MATCH(MEDIÇÃO!R1037,'PROJETO PERFURAÇÃO'!$B:$B,0))="Production","P",IF(INDEX('PROJETO PERFURAÇÃO'!$P:$P,MATCH(MEDIÇÃO!R1037,'PROJETO PERFURAÇÃO'!$B:$B,0))="Buffer","B",IF(INDEX('PROJETO PERFURAÇÃO'!$P:$P,MATCH(MEDIÇÃO!R1037,'PROJETO PERFURAÇÃO'!$B:$B,0))="Pre-Splitting","S"))),"")</f>
        <v/>
      </c>
      <c r="R1037" s="14">
        <f t="shared" si="101"/>
        <v>2333</v>
      </c>
      <c r="S1037" s="4" t="str">
        <f>IFERROR(INDEX('LEV R&amp;D'!$D:$D,MATCH(MEDIÇÃO!R1037,'LEV R&amp;D'!$A:$A,0))-INDEX('PROJETO PERFURAÇÃO'!$AH:$AH,MATCH(MEDIÇÃO!R1037,'PROJETO PERFURAÇÃO'!$B:$B,0)),"")</f>
        <v/>
      </c>
      <c r="T1037" s="8" t="str">
        <f>IFERROR(INDEX('PROJETO PERFURAÇÃO'!$AN:$AN,MATCH(MEDIÇÃO!R1037,'PROJETO PERFURAÇÃO'!$B:$B,0)),"")</f>
        <v/>
      </c>
      <c r="U1037" s="3"/>
      <c r="V1037" s="3"/>
    </row>
    <row r="1038" spans="1:23" ht="45" customHeight="1">
      <c r="B1038" s="3" t="str">
        <f>IFERROR(ROUND(INDEX('PROJETO PERFURAÇÃO'!$AB:$AB,MATCH(MEDIÇÃO!D1038,'PROJETO PERFURAÇÃO'!$B:$B,0)),1)&amp;"''","")</f>
        <v/>
      </c>
      <c r="C1038" s="3" t="str">
        <f>IFERROR(IF(INDEX('PROJETO PERFURAÇÃO'!$P:$P,MATCH(MEDIÇÃO!D1038,'PROJETO PERFURAÇÃO'!$B:$B,0))="Production","P",IF(INDEX('PROJETO PERFURAÇÃO'!$P:$P,MATCH(MEDIÇÃO!D1038,'PROJETO PERFURAÇÃO'!$B:$B,0))="Buffer","B",IF(INDEX('PROJETO PERFURAÇÃO'!$P:$P,MATCH(MEDIÇÃO!D1038,'PROJETO PERFURAÇÃO'!$B:$B,0))="Pre-Splitting","S"))),"")</f>
        <v/>
      </c>
      <c r="D1038" s="14">
        <f t="shared" si="99"/>
        <v>2288</v>
      </c>
      <c r="E1038" s="4" t="str">
        <f>IFERROR(INDEX('LEV R&amp;D'!$D:$D,MATCH(MEDIÇÃO!D1038,'LEV R&amp;D'!$A:$A,0))-INDEX('PROJETO PERFURAÇÃO'!$AH:$AH,MATCH(MEDIÇÃO!D1038,'PROJETO PERFURAÇÃO'!$B:$B,0)),"")</f>
        <v/>
      </c>
      <c r="F1038" s="8" t="str">
        <f>IFERROR(INDEX('PROJETO PERFURAÇÃO'!$AN:$AN,MATCH(MEDIÇÃO!D1038,'PROJETO PERFURAÇÃO'!$B:$B,0)),"")</f>
        <v/>
      </c>
      <c r="G1038" s="3"/>
      <c r="H1038" s="3"/>
      <c r="I1038" s="3" t="str">
        <f>IFERROR(ROUND(INDEX('PROJETO PERFURAÇÃO'!$AB:$AB,MATCH(MEDIÇÃO!K1038,'PROJETO PERFURAÇÃO'!$B:$B,0)),1)&amp;"''","")</f>
        <v/>
      </c>
      <c r="J1038" s="3" t="str">
        <f>IFERROR(IF(INDEX('PROJETO PERFURAÇÃO'!$P:$P,MATCH(MEDIÇÃO!K1038,'PROJETO PERFURAÇÃO'!$B:$B,0))="Production","P",IF(INDEX('PROJETO PERFURAÇÃO'!$P:$P,MATCH(MEDIÇÃO!K1038,'PROJETO PERFURAÇÃO'!$B:$B,0))="Buffer","B",IF(INDEX('PROJETO PERFURAÇÃO'!$P:$P,MATCH(MEDIÇÃO!K1038,'PROJETO PERFURAÇÃO'!$B:$B,0))="Pre-Splitting","S"))),"")</f>
        <v/>
      </c>
      <c r="K1038" s="14">
        <f t="shared" si="100"/>
        <v>2311</v>
      </c>
      <c r="L1038" s="4" t="str">
        <f>IFERROR(INDEX('LEV R&amp;D'!$D:$D,MATCH(MEDIÇÃO!K1038,'LEV R&amp;D'!$A:$A,0))-INDEX('PROJETO PERFURAÇÃO'!$AH:$AH,MATCH(MEDIÇÃO!K1038,'PROJETO PERFURAÇÃO'!$B:$B,0)),"")</f>
        <v/>
      </c>
      <c r="M1038" s="8" t="str">
        <f>IFERROR(INDEX('PROJETO PERFURAÇÃO'!$AN:$AN,MATCH(MEDIÇÃO!K1038,'PROJETO PERFURAÇÃO'!$B:$B,0)),"")</f>
        <v/>
      </c>
      <c r="N1038" s="3"/>
      <c r="O1038" s="3"/>
      <c r="P1038" s="3" t="str">
        <f>IFERROR(ROUND(INDEX('PROJETO PERFURAÇÃO'!$AB:$AB,MATCH(MEDIÇÃO!R1038,'PROJETO PERFURAÇÃO'!$B:$B,0)),1)&amp;"''","")</f>
        <v/>
      </c>
      <c r="Q1038" s="3" t="str">
        <f>IFERROR(IF(INDEX('PROJETO PERFURAÇÃO'!$P:$P,MATCH(MEDIÇÃO!R1038,'PROJETO PERFURAÇÃO'!$B:$B,0))="Production","P",IF(INDEX('PROJETO PERFURAÇÃO'!$P:$P,MATCH(MEDIÇÃO!R1038,'PROJETO PERFURAÇÃO'!$B:$B,0))="Buffer","B",IF(INDEX('PROJETO PERFURAÇÃO'!$P:$P,MATCH(MEDIÇÃO!R1038,'PROJETO PERFURAÇÃO'!$B:$B,0))="Pre-Splitting","S"))),"")</f>
        <v/>
      </c>
      <c r="R1038" s="14">
        <f t="shared" si="101"/>
        <v>2334</v>
      </c>
      <c r="S1038" s="4" t="str">
        <f>IFERROR(INDEX('LEV R&amp;D'!$D:$D,MATCH(MEDIÇÃO!R1038,'LEV R&amp;D'!$A:$A,0))-INDEX('PROJETO PERFURAÇÃO'!$AH:$AH,MATCH(MEDIÇÃO!R1038,'PROJETO PERFURAÇÃO'!$B:$B,0)),"")</f>
        <v/>
      </c>
      <c r="T1038" s="8" t="str">
        <f>IFERROR(INDEX('PROJETO PERFURAÇÃO'!$AN:$AN,MATCH(MEDIÇÃO!R1038,'PROJETO PERFURAÇÃO'!$B:$B,0)),"")</f>
        <v/>
      </c>
      <c r="U1038" s="3"/>
      <c r="V1038" s="3"/>
    </row>
    <row r="1039" spans="1:23" ht="45" customHeight="1">
      <c r="B1039" s="3" t="str">
        <f>IFERROR(ROUND(INDEX('PROJETO PERFURAÇÃO'!$AB:$AB,MATCH(MEDIÇÃO!D1039,'PROJETO PERFURAÇÃO'!$B:$B,0)),1)&amp;"''","")</f>
        <v/>
      </c>
      <c r="C1039" s="3" t="str">
        <f>IFERROR(IF(INDEX('PROJETO PERFURAÇÃO'!$P:$P,MATCH(MEDIÇÃO!D1039,'PROJETO PERFURAÇÃO'!$B:$B,0))="Production","P",IF(INDEX('PROJETO PERFURAÇÃO'!$P:$P,MATCH(MEDIÇÃO!D1039,'PROJETO PERFURAÇÃO'!$B:$B,0))="Buffer","B",IF(INDEX('PROJETO PERFURAÇÃO'!$P:$P,MATCH(MEDIÇÃO!D1039,'PROJETO PERFURAÇÃO'!$B:$B,0))="Pre-Splitting","S"))),"")</f>
        <v/>
      </c>
      <c r="D1039" s="14">
        <f t="shared" si="99"/>
        <v>2289</v>
      </c>
      <c r="E1039" s="4" t="str">
        <f>IFERROR(INDEX('LEV R&amp;D'!$D:$D,MATCH(MEDIÇÃO!D1039,'LEV R&amp;D'!$A:$A,0))-INDEX('PROJETO PERFURAÇÃO'!$AH:$AH,MATCH(MEDIÇÃO!D1039,'PROJETO PERFURAÇÃO'!$B:$B,0)),"")</f>
        <v/>
      </c>
      <c r="F1039" s="8" t="str">
        <f>IFERROR(INDEX('PROJETO PERFURAÇÃO'!$AN:$AN,MATCH(MEDIÇÃO!D1039,'PROJETO PERFURAÇÃO'!$B:$B,0)),"")</f>
        <v/>
      </c>
      <c r="G1039" s="3"/>
      <c r="H1039" s="3"/>
      <c r="I1039" s="3" t="str">
        <f>IFERROR(ROUND(INDEX('PROJETO PERFURAÇÃO'!$AB:$AB,MATCH(MEDIÇÃO!K1039,'PROJETO PERFURAÇÃO'!$B:$B,0)),1)&amp;"''","")</f>
        <v/>
      </c>
      <c r="J1039" s="3" t="str">
        <f>IFERROR(IF(INDEX('PROJETO PERFURAÇÃO'!$P:$P,MATCH(MEDIÇÃO!K1039,'PROJETO PERFURAÇÃO'!$B:$B,0))="Production","P",IF(INDEX('PROJETO PERFURAÇÃO'!$P:$P,MATCH(MEDIÇÃO!K1039,'PROJETO PERFURAÇÃO'!$B:$B,0))="Buffer","B",IF(INDEX('PROJETO PERFURAÇÃO'!$P:$P,MATCH(MEDIÇÃO!K1039,'PROJETO PERFURAÇÃO'!$B:$B,0))="Pre-Splitting","S"))),"")</f>
        <v/>
      </c>
      <c r="K1039" s="14">
        <f t="shared" si="100"/>
        <v>2312</v>
      </c>
      <c r="L1039" s="4" t="str">
        <f>IFERROR(INDEX('LEV R&amp;D'!$D:$D,MATCH(MEDIÇÃO!K1039,'LEV R&amp;D'!$A:$A,0))-INDEX('PROJETO PERFURAÇÃO'!$AH:$AH,MATCH(MEDIÇÃO!K1039,'PROJETO PERFURAÇÃO'!$B:$B,0)),"")</f>
        <v/>
      </c>
      <c r="M1039" s="8" t="str">
        <f>IFERROR(INDEX('PROJETO PERFURAÇÃO'!$AN:$AN,MATCH(MEDIÇÃO!K1039,'PROJETO PERFURAÇÃO'!$B:$B,0)),"")</f>
        <v/>
      </c>
      <c r="N1039" s="3"/>
      <c r="O1039" s="3"/>
      <c r="P1039" s="3" t="str">
        <f>IFERROR(ROUND(INDEX('PROJETO PERFURAÇÃO'!$AB:$AB,MATCH(MEDIÇÃO!R1039,'PROJETO PERFURAÇÃO'!$B:$B,0)),1)&amp;"''","")</f>
        <v/>
      </c>
      <c r="Q1039" s="3" t="str">
        <f>IFERROR(IF(INDEX('PROJETO PERFURAÇÃO'!$P:$P,MATCH(MEDIÇÃO!R1039,'PROJETO PERFURAÇÃO'!$B:$B,0))="Production","P",IF(INDEX('PROJETO PERFURAÇÃO'!$P:$P,MATCH(MEDIÇÃO!R1039,'PROJETO PERFURAÇÃO'!$B:$B,0))="Buffer","B",IF(INDEX('PROJETO PERFURAÇÃO'!$P:$P,MATCH(MEDIÇÃO!R1039,'PROJETO PERFURAÇÃO'!$B:$B,0))="Pre-Splitting","S"))),"")</f>
        <v/>
      </c>
      <c r="R1039" s="14">
        <f t="shared" si="101"/>
        <v>2335</v>
      </c>
      <c r="S1039" s="4" t="str">
        <f>IFERROR(INDEX('LEV R&amp;D'!$D:$D,MATCH(MEDIÇÃO!R1039,'LEV R&amp;D'!$A:$A,0))-INDEX('PROJETO PERFURAÇÃO'!$AH:$AH,MATCH(MEDIÇÃO!R1039,'PROJETO PERFURAÇÃO'!$B:$B,0)),"")</f>
        <v/>
      </c>
      <c r="T1039" s="8" t="str">
        <f>IFERROR(INDEX('PROJETO PERFURAÇÃO'!$AN:$AN,MATCH(MEDIÇÃO!R1039,'PROJETO PERFURAÇÃO'!$B:$B,0)),"")</f>
        <v/>
      </c>
      <c r="U1039" s="3"/>
      <c r="V1039" s="3"/>
    </row>
    <row r="1040" spans="1:23" ht="45" customHeight="1">
      <c r="B1040" s="3" t="str">
        <f>IFERROR(ROUND(INDEX('PROJETO PERFURAÇÃO'!$AB:$AB,MATCH(MEDIÇÃO!D1040,'PROJETO PERFURAÇÃO'!$B:$B,0)),1)&amp;"''","")</f>
        <v/>
      </c>
      <c r="C1040" s="3" t="str">
        <f>IFERROR(IF(INDEX('PROJETO PERFURAÇÃO'!$P:$P,MATCH(MEDIÇÃO!D1040,'PROJETO PERFURAÇÃO'!$B:$B,0))="Production","P",IF(INDEX('PROJETO PERFURAÇÃO'!$P:$P,MATCH(MEDIÇÃO!D1040,'PROJETO PERFURAÇÃO'!$B:$B,0))="Buffer","B",IF(INDEX('PROJETO PERFURAÇÃO'!$P:$P,MATCH(MEDIÇÃO!D1040,'PROJETO PERFURAÇÃO'!$B:$B,0))="Pre-Splitting","S"))),"")</f>
        <v/>
      </c>
      <c r="D1040" s="14">
        <f t="shared" si="99"/>
        <v>2290</v>
      </c>
      <c r="E1040" s="4" t="str">
        <f>IFERROR(INDEX('LEV R&amp;D'!$D:$D,MATCH(MEDIÇÃO!D1040,'LEV R&amp;D'!$A:$A,0))-INDEX('PROJETO PERFURAÇÃO'!$AH:$AH,MATCH(MEDIÇÃO!D1040,'PROJETO PERFURAÇÃO'!$B:$B,0)),"")</f>
        <v/>
      </c>
      <c r="F1040" s="8" t="str">
        <f>IFERROR(INDEX('PROJETO PERFURAÇÃO'!$AN:$AN,MATCH(MEDIÇÃO!D1040,'PROJETO PERFURAÇÃO'!$B:$B,0)),"")</f>
        <v/>
      </c>
      <c r="G1040" s="3"/>
      <c r="H1040" s="3"/>
      <c r="I1040" s="3" t="str">
        <f>IFERROR(ROUND(INDEX('PROJETO PERFURAÇÃO'!$AB:$AB,MATCH(MEDIÇÃO!K1040,'PROJETO PERFURAÇÃO'!$B:$B,0)),1)&amp;"''","")</f>
        <v/>
      </c>
      <c r="J1040" s="3" t="str">
        <f>IFERROR(IF(INDEX('PROJETO PERFURAÇÃO'!$P:$P,MATCH(MEDIÇÃO!K1040,'PROJETO PERFURAÇÃO'!$B:$B,0))="Production","P",IF(INDEX('PROJETO PERFURAÇÃO'!$P:$P,MATCH(MEDIÇÃO!K1040,'PROJETO PERFURAÇÃO'!$B:$B,0))="Buffer","B",IF(INDEX('PROJETO PERFURAÇÃO'!$P:$P,MATCH(MEDIÇÃO!K1040,'PROJETO PERFURAÇÃO'!$B:$B,0))="Pre-Splitting","S"))),"")</f>
        <v/>
      </c>
      <c r="K1040" s="14">
        <f t="shared" si="100"/>
        <v>2313</v>
      </c>
      <c r="L1040" s="4" t="str">
        <f>IFERROR(INDEX('LEV R&amp;D'!$D:$D,MATCH(MEDIÇÃO!K1040,'LEV R&amp;D'!$A:$A,0))-INDEX('PROJETO PERFURAÇÃO'!$AH:$AH,MATCH(MEDIÇÃO!K1040,'PROJETO PERFURAÇÃO'!$B:$B,0)),"")</f>
        <v/>
      </c>
      <c r="M1040" s="8" t="str">
        <f>IFERROR(INDEX('PROJETO PERFURAÇÃO'!$AN:$AN,MATCH(MEDIÇÃO!K1040,'PROJETO PERFURAÇÃO'!$B:$B,0)),"")</f>
        <v/>
      </c>
      <c r="N1040" s="3"/>
      <c r="O1040" s="3"/>
      <c r="P1040" s="3" t="str">
        <f>IFERROR(ROUND(INDEX('PROJETO PERFURAÇÃO'!$AB:$AB,MATCH(MEDIÇÃO!R1040,'PROJETO PERFURAÇÃO'!$B:$B,0)),1)&amp;"''","")</f>
        <v/>
      </c>
      <c r="Q1040" s="3" t="str">
        <f>IFERROR(IF(INDEX('PROJETO PERFURAÇÃO'!$P:$P,MATCH(MEDIÇÃO!R1040,'PROJETO PERFURAÇÃO'!$B:$B,0))="Production","P",IF(INDEX('PROJETO PERFURAÇÃO'!$P:$P,MATCH(MEDIÇÃO!R1040,'PROJETO PERFURAÇÃO'!$B:$B,0))="Buffer","B",IF(INDEX('PROJETO PERFURAÇÃO'!$P:$P,MATCH(MEDIÇÃO!R1040,'PROJETO PERFURAÇÃO'!$B:$B,0))="Pre-Splitting","S"))),"")</f>
        <v/>
      </c>
      <c r="R1040" s="14">
        <f t="shared" si="101"/>
        <v>2336</v>
      </c>
      <c r="S1040" s="4" t="str">
        <f>IFERROR(INDEX('LEV R&amp;D'!$D:$D,MATCH(MEDIÇÃO!R1040,'LEV R&amp;D'!$A:$A,0))-INDEX('PROJETO PERFURAÇÃO'!$AH:$AH,MATCH(MEDIÇÃO!R1040,'PROJETO PERFURAÇÃO'!$B:$B,0)),"")</f>
        <v/>
      </c>
      <c r="T1040" s="8" t="str">
        <f>IFERROR(INDEX('PROJETO PERFURAÇÃO'!$AN:$AN,MATCH(MEDIÇÃO!R1040,'PROJETO PERFURAÇÃO'!$B:$B,0)),"")</f>
        <v/>
      </c>
      <c r="U1040" s="3"/>
      <c r="V1040" s="3"/>
    </row>
    <row r="1041" spans="2:22" ht="45" customHeight="1">
      <c r="B1041" s="3" t="str">
        <f>IFERROR(ROUND(INDEX('PROJETO PERFURAÇÃO'!$AB:$AB,MATCH(MEDIÇÃO!D1041,'PROJETO PERFURAÇÃO'!$B:$B,0)),1)&amp;"''","")</f>
        <v/>
      </c>
      <c r="C1041" s="3" t="str">
        <f>IFERROR(IF(INDEX('PROJETO PERFURAÇÃO'!$P:$P,MATCH(MEDIÇÃO!D1041,'PROJETO PERFURAÇÃO'!$B:$B,0))="Production","P",IF(INDEX('PROJETO PERFURAÇÃO'!$P:$P,MATCH(MEDIÇÃO!D1041,'PROJETO PERFURAÇÃO'!$B:$B,0))="Buffer","B",IF(INDEX('PROJETO PERFURAÇÃO'!$P:$P,MATCH(MEDIÇÃO!D1041,'PROJETO PERFURAÇÃO'!$B:$B,0))="Pre-Splitting","S"))),"")</f>
        <v/>
      </c>
      <c r="D1041" s="14">
        <f t="shared" si="99"/>
        <v>2291</v>
      </c>
      <c r="E1041" s="4" t="str">
        <f>IFERROR(INDEX('LEV R&amp;D'!$D:$D,MATCH(MEDIÇÃO!D1041,'LEV R&amp;D'!$A:$A,0))-INDEX('PROJETO PERFURAÇÃO'!$AH:$AH,MATCH(MEDIÇÃO!D1041,'PROJETO PERFURAÇÃO'!$B:$B,0)),"")</f>
        <v/>
      </c>
      <c r="F1041" s="8" t="str">
        <f>IFERROR(INDEX('PROJETO PERFURAÇÃO'!$AN:$AN,MATCH(MEDIÇÃO!D1041,'PROJETO PERFURAÇÃO'!$B:$B,0)),"")</f>
        <v/>
      </c>
      <c r="G1041" s="3"/>
      <c r="H1041" s="3"/>
      <c r="I1041" s="3" t="str">
        <f>IFERROR(ROUND(INDEX('PROJETO PERFURAÇÃO'!$AB:$AB,MATCH(MEDIÇÃO!K1041,'PROJETO PERFURAÇÃO'!$B:$B,0)),1)&amp;"''","")</f>
        <v/>
      </c>
      <c r="J1041" s="3" t="str">
        <f>IFERROR(IF(INDEX('PROJETO PERFURAÇÃO'!$P:$P,MATCH(MEDIÇÃO!K1041,'PROJETO PERFURAÇÃO'!$B:$B,0))="Production","P",IF(INDEX('PROJETO PERFURAÇÃO'!$P:$P,MATCH(MEDIÇÃO!K1041,'PROJETO PERFURAÇÃO'!$B:$B,0))="Buffer","B",IF(INDEX('PROJETO PERFURAÇÃO'!$P:$P,MATCH(MEDIÇÃO!K1041,'PROJETO PERFURAÇÃO'!$B:$B,0))="Pre-Splitting","S"))),"")</f>
        <v/>
      </c>
      <c r="K1041" s="14">
        <f t="shared" si="100"/>
        <v>2314</v>
      </c>
      <c r="L1041" s="4" t="str">
        <f>IFERROR(INDEX('LEV R&amp;D'!$D:$D,MATCH(MEDIÇÃO!K1041,'LEV R&amp;D'!$A:$A,0))-INDEX('PROJETO PERFURAÇÃO'!$AH:$AH,MATCH(MEDIÇÃO!K1041,'PROJETO PERFURAÇÃO'!$B:$B,0)),"")</f>
        <v/>
      </c>
      <c r="M1041" s="8" t="str">
        <f>IFERROR(INDEX('PROJETO PERFURAÇÃO'!$AN:$AN,MATCH(MEDIÇÃO!K1041,'PROJETO PERFURAÇÃO'!$B:$B,0)),"")</f>
        <v/>
      </c>
      <c r="N1041" s="3"/>
      <c r="O1041" s="3"/>
      <c r="P1041" s="3" t="str">
        <f>IFERROR(ROUND(INDEX('PROJETO PERFURAÇÃO'!$AB:$AB,MATCH(MEDIÇÃO!R1041,'PROJETO PERFURAÇÃO'!$B:$B,0)),1)&amp;"''","")</f>
        <v/>
      </c>
      <c r="Q1041" s="3" t="str">
        <f>IFERROR(IF(INDEX('PROJETO PERFURAÇÃO'!$P:$P,MATCH(MEDIÇÃO!R1041,'PROJETO PERFURAÇÃO'!$B:$B,0))="Production","P",IF(INDEX('PROJETO PERFURAÇÃO'!$P:$P,MATCH(MEDIÇÃO!R1041,'PROJETO PERFURAÇÃO'!$B:$B,0))="Buffer","B",IF(INDEX('PROJETO PERFURAÇÃO'!$P:$P,MATCH(MEDIÇÃO!R1041,'PROJETO PERFURAÇÃO'!$B:$B,0))="Pre-Splitting","S"))),"")</f>
        <v/>
      </c>
      <c r="R1041" s="14">
        <f t="shared" si="101"/>
        <v>2337</v>
      </c>
      <c r="S1041" s="4" t="str">
        <f>IFERROR(INDEX('LEV R&amp;D'!$D:$D,MATCH(MEDIÇÃO!R1041,'LEV R&amp;D'!$A:$A,0))-INDEX('PROJETO PERFURAÇÃO'!$AH:$AH,MATCH(MEDIÇÃO!R1041,'PROJETO PERFURAÇÃO'!$B:$B,0)),"")</f>
        <v/>
      </c>
      <c r="T1041" s="8" t="str">
        <f>IFERROR(INDEX('PROJETO PERFURAÇÃO'!$AN:$AN,MATCH(MEDIÇÃO!R1041,'PROJETO PERFURAÇÃO'!$B:$B,0)),"")</f>
        <v/>
      </c>
      <c r="U1041" s="3"/>
      <c r="V1041" s="3"/>
    </row>
    <row r="1042" spans="2:22" ht="45" customHeight="1">
      <c r="B1042" s="3" t="str">
        <f>IFERROR(ROUND(INDEX('PROJETO PERFURAÇÃO'!$AB:$AB,MATCH(MEDIÇÃO!D1042,'PROJETO PERFURAÇÃO'!$B:$B,0)),1)&amp;"''","")</f>
        <v/>
      </c>
      <c r="C1042" s="3" t="str">
        <f>IFERROR(IF(INDEX('PROJETO PERFURAÇÃO'!$P:$P,MATCH(MEDIÇÃO!D1042,'PROJETO PERFURAÇÃO'!$B:$B,0))="Production","P",IF(INDEX('PROJETO PERFURAÇÃO'!$P:$P,MATCH(MEDIÇÃO!D1042,'PROJETO PERFURAÇÃO'!$B:$B,0))="Buffer","B",IF(INDEX('PROJETO PERFURAÇÃO'!$P:$P,MATCH(MEDIÇÃO!D1042,'PROJETO PERFURAÇÃO'!$B:$B,0))="Pre-Splitting","S"))),"")</f>
        <v/>
      </c>
      <c r="D1042" s="14">
        <f t="shared" si="99"/>
        <v>2292</v>
      </c>
      <c r="E1042" s="4" t="str">
        <f>IFERROR(INDEX('LEV R&amp;D'!$D:$D,MATCH(MEDIÇÃO!D1042,'LEV R&amp;D'!$A:$A,0))-INDEX('PROJETO PERFURAÇÃO'!$AH:$AH,MATCH(MEDIÇÃO!D1042,'PROJETO PERFURAÇÃO'!$B:$B,0)),"")</f>
        <v/>
      </c>
      <c r="F1042" s="8" t="str">
        <f>IFERROR(INDEX('PROJETO PERFURAÇÃO'!$AN:$AN,MATCH(MEDIÇÃO!D1042,'PROJETO PERFURAÇÃO'!$B:$B,0)),"")</f>
        <v/>
      </c>
      <c r="G1042" s="3"/>
      <c r="H1042" s="3"/>
      <c r="I1042" s="3" t="str">
        <f>IFERROR(ROUND(INDEX('PROJETO PERFURAÇÃO'!$AB:$AB,MATCH(MEDIÇÃO!K1042,'PROJETO PERFURAÇÃO'!$B:$B,0)),1)&amp;"''","")</f>
        <v/>
      </c>
      <c r="J1042" s="3" t="str">
        <f>IFERROR(IF(INDEX('PROJETO PERFURAÇÃO'!$P:$P,MATCH(MEDIÇÃO!K1042,'PROJETO PERFURAÇÃO'!$B:$B,0))="Production","P",IF(INDEX('PROJETO PERFURAÇÃO'!$P:$P,MATCH(MEDIÇÃO!K1042,'PROJETO PERFURAÇÃO'!$B:$B,0))="Buffer","B",IF(INDEX('PROJETO PERFURAÇÃO'!$P:$P,MATCH(MEDIÇÃO!K1042,'PROJETO PERFURAÇÃO'!$B:$B,0))="Pre-Splitting","S"))),"")</f>
        <v/>
      </c>
      <c r="K1042" s="14">
        <f t="shared" si="100"/>
        <v>2315</v>
      </c>
      <c r="L1042" s="4" t="str">
        <f>IFERROR(INDEX('LEV R&amp;D'!$D:$D,MATCH(MEDIÇÃO!K1042,'LEV R&amp;D'!$A:$A,0))-INDEX('PROJETO PERFURAÇÃO'!$AH:$AH,MATCH(MEDIÇÃO!K1042,'PROJETO PERFURAÇÃO'!$B:$B,0)),"")</f>
        <v/>
      </c>
      <c r="M1042" s="8" t="str">
        <f>IFERROR(INDEX('PROJETO PERFURAÇÃO'!$AN:$AN,MATCH(MEDIÇÃO!K1042,'PROJETO PERFURAÇÃO'!$B:$B,0)),"")</f>
        <v/>
      </c>
      <c r="N1042" s="3"/>
      <c r="O1042" s="3"/>
      <c r="P1042" s="3" t="str">
        <f>IFERROR(ROUND(INDEX('PROJETO PERFURAÇÃO'!$AB:$AB,MATCH(MEDIÇÃO!R1042,'PROJETO PERFURAÇÃO'!$B:$B,0)),1)&amp;"''","")</f>
        <v/>
      </c>
      <c r="Q1042" s="3" t="str">
        <f>IFERROR(IF(INDEX('PROJETO PERFURAÇÃO'!$P:$P,MATCH(MEDIÇÃO!R1042,'PROJETO PERFURAÇÃO'!$B:$B,0))="Production","P",IF(INDEX('PROJETO PERFURAÇÃO'!$P:$P,MATCH(MEDIÇÃO!R1042,'PROJETO PERFURAÇÃO'!$B:$B,0))="Buffer","B",IF(INDEX('PROJETO PERFURAÇÃO'!$P:$P,MATCH(MEDIÇÃO!R1042,'PROJETO PERFURAÇÃO'!$B:$B,0))="Pre-Splitting","S"))),"")</f>
        <v/>
      </c>
      <c r="R1042" s="14">
        <f t="shared" si="101"/>
        <v>2338</v>
      </c>
      <c r="S1042" s="4" t="str">
        <f>IFERROR(INDEX('LEV R&amp;D'!$D:$D,MATCH(MEDIÇÃO!R1042,'LEV R&amp;D'!$A:$A,0))-INDEX('PROJETO PERFURAÇÃO'!$AH:$AH,MATCH(MEDIÇÃO!R1042,'PROJETO PERFURAÇÃO'!$B:$B,0)),"")</f>
        <v/>
      </c>
      <c r="T1042" s="8" t="str">
        <f>IFERROR(INDEX('PROJETO PERFURAÇÃO'!$AN:$AN,MATCH(MEDIÇÃO!R1042,'PROJETO PERFURAÇÃO'!$B:$B,0)),"")</f>
        <v/>
      </c>
      <c r="U1042" s="3"/>
      <c r="V1042" s="3"/>
    </row>
    <row r="1043" spans="2:22" ht="45" customHeight="1">
      <c r="B1043" s="3" t="str">
        <f>IFERROR(ROUND(INDEX('PROJETO PERFURAÇÃO'!$AB:$AB,MATCH(MEDIÇÃO!D1043,'PROJETO PERFURAÇÃO'!$B:$B,0)),1)&amp;"''","")</f>
        <v/>
      </c>
      <c r="C1043" s="3" t="str">
        <f>IFERROR(IF(INDEX('PROJETO PERFURAÇÃO'!$P:$P,MATCH(MEDIÇÃO!D1043,'PROJETO PERFURAÇÃO'!$B:$B,0))="Production","P",IF(INDEX('PROJETO PERFURAÇÃO'!$P:$P,MATCH(MEDIÇÃO!D1043,'PROJETO PERFURAÇÃO'!$B:$B,0))="Buffer","B",IF(INDEX('PROJETO PERFURAÇÃO'!$P:$P,MATCH(MEDIÇÃO!D1043,'PROJETO PERFURAÇÃO'!$B:$B,0))="Pre-Splitting","S"))),"")</f>
        <v/>
      </c>
      <c r="D1043" s="14">
        <f t="shared" si="99"/>
        <v>2293</v>
      </c>
      <c r="E1043" s="4" t="str">
        <f>IFERROR(INDEX('LEV R&amp;D'!$D:$D,MATCH(MEDIÇÃO!D1043,'LEV R&amp;D'!$A:$A,0))-INDEX('PROJETO PERFURAÇÃO'!$AH:$AH,MATCH(MEDIÇÃO!D1043,'PROJETO PERFURAÇÃO'!$B:$B,0)),"")</f>
        <v/>
      </c>
      <c r="F1043" s="8" t="str">
        <f>IFERROR(INDEX('PROJETO PERFURAÇÃO'!$AN:$AN,MATCH(MEDIÇÃO!D1043,'PROJETO PERFURAÇÃO'!$B:$B,0)),"")</f>
        <v/>
      </c>
      <c r="G1043" s="3"/>
      <c r="H1043" s="3"/>
      <c r="I1043" s="3" t="str">
        <f>IFERROR(ROUND(INDEX('PROJETO PERFURAÇÃO'!$AB:$AB,MATCH(MEDIÇÃO!K1043,'PROJETO PERFURAÇÃO'!$B:$B,0)),1)&amp;"''","")</f>
        <v/>
      </c>
      <c r="J1043" s="3" t="str">
        <f>IFERROR(IF(INDEX('PROJETO PERFURAÇÃO'!$P:$P,MATCH(MEDIÇÃO!K1043,'PROJETO PERFURAÇÃO'!$B:$B,0))="Production","P",IF(INDEX('PROJETO PERFURAÇÃO'!$P:$P,MATCH(MEDIÇÃO!K1043,'PROJETO PERFURAÇÃO'!$B:$B,0))="Buffer","B",IF(INDEX('PROJETO PERFURAÇÃO'!$P:$P,MATCH(MEDIÇÃO!K1043,'PROJETO PERFURAÇÃO'!$B:$B,0))="Pre-Splitting","S"))),"")</f>
        <v/>
      </c>
      <c r="K1043" s="14">
        <f t="shared" si="100"/>
        <v>2316</v>
      </c>
      <c r="L1043" s="4" t="str">
        <f>IFERROR(INDEX('LEV R&amp;D'!$D:$D,MATCH(MEDIÇÃO!K1043,'LEV R&amp;D'!$A:$A,0))-INDEX('PROJETO PERFURAÇÃO'!$AH:$AH,MATCH(MEDIÇÃO!K1043,'PROJETO PERFURAÇÃO'!$B:$B,0)),"")</f>
        <v/>
      </c>
      <c r="M1043" s="8" t="str">
        <f>IFERROR(INDEX('PROJETO PERFURAÇÃO'!$AN:$AN,MATCH(MEDIÇÃO!K1043,'PROJETO PERFURAÇÃO'!$B:$B,0)),"")</f>
        <v/>
      </c>
      <c r="N1043" s="3"/>
      <c r="O1043" s="3"/>
      <c r="P1043" s="3" t="str">
        <f>IFERROR(ROUND(INDEX('PROJETO PERFURAÇÃO'!$AB:$AB,MATCH(MEDIÇÃO!R1043,'PROJETO PERFURAÇÃO'!$B:$B,0)),1)&amp;"''","")</f>
        <v/>
      </c>
      <c r="Q1043" s="3" t="str">
        <f>IFERROR(IF(INDEX('PROJETO PERFURAÇÃO'!$P:$P,MATCH(MEDIÇÃO!R1043,'PROJETO PERFURAÇÃO'!$B:$B,0))="Production","P",IF(INDEX('PROJETO PERFURAÇÃO'!$P:$P,MATCH(MEDIÇÃO!R1043,'PROJETO PERFURAÇÃO'!$B:$B,0))="Buffer","B",IF(INDEX('PROJETO PERFURAÇÃO'!$P:$P,MATCH(MEDIÇÃO!R1043,'PROJETO PERFURAÇÃO'!$B:$B,0))="Pre-Splitting","S"))),"")</f>
        <v/>
      </c>
      <c r="R1043" s="14">
        <f t="shared" si="101"/>
        <v>2339</v>
      </c>
      <c r="S1043" s="4" t="str">
        <f>IFERROR(INDEX('LEV R&amp;D'!$D:$D,MATCH(MEDIÇÃO!R1043,'LEV R&amp;D'!$A:$A,0))-INDEX('PROJETO PERFURAÇÃO'!$AH:$AH,MATCH(MEDIÇÃO!R1043,'PROJETO PERFURAÇÃO'!$B:$B,0)),"")</f>
        <v/>
      </c>
      <c r="T1043" s="8" t="str">
        <f>IFERROR(INDEX('PROJETO PERFURAÇÃO'!$AN:$AN,MATCH(MEDIÇÃO!R1043,'PROJETO PERFURAÇÃO'!$B:$B,0)),"")</f>
        <v/>
      </c>
      <c r="U1043" s="3"/>
      <c r="V1043" s="3"/>
    </row>
    <row r="1044" spans="2:22" ht="45" customHeight="1">
      <c r="B1044" s="3" t="str">
        <f>IFERROR(ROUND(INDEX('PROJETO PERFURAÇÃO'!$AB:$AB,MATCH(MEDIÇÃO!D1044,'PROJETO PERFURAÇÃO'!$B:$B,0)),1)&amp;"''","")</f>
        <v/>
      </c>
      <c r="C1044" s="3" t="str">
        <f>IFERROR(IF(INDEX('PROJETO PERFURAÇÃO'!$P:$P,MATCH(MEDIÇÃO!D1044,'PROJETO PERFURAÇÃO'!$B:$B,0))="Production","P",IF(INDEX('PROJETO PERFURAÇÃO'!$P:$P,MATCH(MEDIÇÃO!D1044,'PROJETO PERFURAÇÃO'!$B:$B,0))="Buffer","B",IF(INDEX('PROJETO PERFURAÇÃO'!$P:$P,MATCH(MEDIÇÃO!D1044,'PROJETO PERFURAÇÃO'!$B:$B,0))="Pre-Splitting","S"))),"")</f>
        <v/>
      </c>
      <c r="D1044" s="14">
        <f t="shared" si="99"/>
        <v>2294</v>
      </c>
      <c r="E1044" s="4" t="str">
        <f>IFERROR(INDEX('LEV R&amp;D'!$D:$D,MATCH(MEDIÇÃO!D1044,'LEV R&amp;D'!$A:$A,0))-INDEX('PROJETO PERFURAÇÃO'!$AH:$AH,MATCH(MEDIÇÃO!D1044,'PROJETO PERFURAÇÃO'!$B:$B,0)),"")</f>
        <v/>
      </c>
      <c r="F1044" s="8" t="str">
        <f>IFERROR(INDEX('PROJETO PERFURAÇÃO'!$AN:$AN,MATCH(MEDIÇÃO!D1044,'PROJETO PERFURAÇÃO'!$B:$B,0)),"")</f>
        <v/>
      </c>
      <c r="G1044" s="3"/>
      <c r="H1044" s="3"/>
      <c r="I1044" s="3" t="str">
        <f>IFERROR(ROUND(INDEX('PROJETO PERFURAÇÃO'!$AB:$AB,MATCH(MEDIÇÃO!K1044,'PROJETO PERFURAÇÃO'!$B:$B,0)),1)&amp;"''","")</f>
        <v/>
      </c>
      <c r="J1044" s="3" t="str">
        <f>IFERROR(IF(INDEX('PROJETO PERFURAÇÃO'!$P:$P,MATCH(MEDIÇÃO!K1044,'PROJETO PERFURAÇÃO'!$B:$B,0))="Production","P",IF(INDEX('PROJETO PERFURAÇÃO'!$P:$P,MATCH(MEDIÇÃO!K1044,'PROJETO PERFURAÇÃO'!$B:$B,0))="Buffer","B",IF(INDEX('PROJETO PERFURAÇÃO'!$P:$P,MATCH(MEDIÇÃO!K1044,'PROJETO PERFURAÇÃO'!$B:$B,0))="Pre-Splitting","S"))),"")</f>
        <v/>
      </c>
      <c r="K1044" s="14">
        <f t="shared" si="100"/>
        <v>2317</v>
      </c>
      <c r="L1044" s="4" t="str">
        <f>IFERROR(INDEX('LEV R&amp;D'!$D:$D,MATCH(MEDIÇÃO!K1044,'LEV R&amp;D'!$A:$A,0))-INDEX('PROJETO PERFURAÇÃO'!$AH:$AH,MATCH(MEDIÇÃO!K1044,'PROJETO PERFURAÇÃO'!$B:$B,0)),"")</f>
        <v/>
      </c>
      <c r="M1044" s="8" t="str">
        <f>IFERROR(INDEX('PROJETO PERFURAÇÃO'!$AN:$AN,MATCH(MEDIÇÃO!K1044,'PROJETO PERFURAÇÃO'!$B:$B,0)),"")</f>
        <v/>
      </c>
      <c r="N1044" s="3"/>
      <c r="O1044" s="3"/>
      <c r="P1044" s="3" t="str">
        <f>IFERROR(ROUND(INDEX('PROJETO PERFURAÇÃO'!$AB:$AB,MATCH(MEDIÇÃO!R1044,'PROJETO PERFURAÇÃO'!$B:$B,0)),1)&amp;"''","")</f>
        <v/>
      </c>
      <c r="Q1044" s="3" t="str">
        <f>IFERROR(IF(INDEX('PROJETO PERFURAÇÃO'!$P:$P,MATCH(MEDIÇÃO!R1044,'PROJETO PERFURAÇÃO'!$B:$B,0))="Production","P",IF(INDEX('PROJETO PERFURAÇÃO'!$P:$P,MATCH(MEDIÇÃO!R1044,'PROJETO PERFURAÇÃO'!$B:$B,0))="Buffer","B",IF(INDEX('PROJETO PERFURAÇÃO'!$P:$P,MATCH(MEDIÇÃO!R1044,'PROJETO PERFURAÇÃO'!$B:$B,0))="Pre-Splitting","S"))),"")</f>
        <v/>
      </c>
      <c r="R1044" s="14">
        <f t="shared" si="101"/>
        <v>2340</v>
      </c>
      <c r="S1044" s="4" t="str">
        <f>IFERROR(INDEX('LEV R&amp;D'!$D:$D,MATCH(MEDIÇÃO!R1044,'LEV R&amp;D'!$A:$A,0))-INDEX('PROJETO PERFURAÇÃO'!$AH:$AH,MATCH(MEDIÇÃO!R1044,'PROJETO PERFURAÇÃO'!$B:$B,0)),"")</f>
        <v/>
      </c>
      <c r="T1044" s="8" t="str">
        <f>IFERROR(INDEX('PROJETO PERFURAÇÃO'!$AN:$AN,MATCH(MEDIÇÃO!R1044,'PROJETO PERFURAÇÃO'!$B:$B,0)),"")</f>
        <v/>
      </c>
      <c r="U1044" s="3"/>
      <c r="V1044" s="3"/>
    </row>
    <row r="1045" spans="2:22" ht="45" customHeight="1">
      <c r="B1045" s="3" t="str">
        <f>IFERROR(ROUND(INDEX('PROJETO PERFURAÇÃO'!$AB:$AB,MATCH(MEDIÇÃO!D1045,'PROJETO PERFURAÇÃO'!$B:$B,0)),1)&amp;"''","")</f>
        <v/>
      </c>
      <c r="C1045" s="3" t="str">
        <f>IFERROR(IF(INDEX('PROJETO PERFURAÇÃO'!$P:$P,MATCH(MEDIÇÃO!D1045,'PROJETO PERFURAÇÃO'!$B:$B,0))="Production","P",IF(INDEX('PROJETO PERFURAÇÃO'!$P:$P,MATCH(MEDIÇÃO!D1045,'PROJETO PERFURAÇÃO'!$B:$B,0))="Buffer","B",IF(INDEX('PROJETO PERFURAÇÃO'!$P:$P,MATCH(MEDIÇÃO!D1045,'PROJETO PERFURAÇÃO'!$B:$B,0))="Pre-Splitting","S"))),"")</f>
        <v/>
      </c>
      <c r="D1045" s="14">
        <f t="shared" si="99"/>
        <v>2295</v>
      </c>
      <c r="E1045" s="4" t="str">
        <f>IFERROR(INDEX('LEV R&amp;D'!$D:$D,MATCH(MEDIÇÃO!D1045,'LEV R&amp;D'!$A:$A,0))-INDEX('PROJETO PERFURAÇÃO'!$AH:$AH,MATCH(MEDIÇÃO!D1045,'PROJETO PERFURAÇÃO'!$B:$B,0)),"")</f>
        <v/>
      </c>
      <c r="F1045" s="8" t="str">
        <f>IFERROR(INDEX('PROJETO PERFURAÇÃO'!$AN:$AN,MATCH(MEDIÇÃO!D1045,'PROJETO PERFURAÇÃO'!$B:$B,0)),"")</f>
        <v/>
      </c>
      <c r="G1045" s="3"/>
      <c r="H1045" s="3"/>
      <c r="I1045" s="3" t="str">
        <f>IFERROR(ROUND(INDEX('PROJETO PERFURAÇÃO'!$AB:$AB,MATCH(MEDIÇÃO!K1045,'PROJETO PERFURAÇÃO'!$B:$B,0)),1)&amp;"''","")</f>
        <v/>
      </c>
      <c r="J1045" s="3" t="str">
        <f>IFERROR(IF(INDEX('PROJETO PERFURAÇÃO'!$P:$P,MATCH(MEDIÇÃO!K1045,'PROJETO PERFURAÇÃO'!$B:$B,0))="Production","P",IF(INDEX('PROJETO PERFURAÇÃO'!$P:$P,MATCH(MEDIÇÃO!K1045,'PROJETO PERFURAÇÃO'!$B:$B,0))="Buffer","B",IF(INDEX('PROJETO PERFURAÇÃO'!$P:$P,MATCH(MEDIÇÃO!K1045,'PROJETO PERFURAÇÃO'!$B:$B,0))="Pre-Splitting","S"))),"")</f>
        <v/>
      </c>
      <c r="K1045" s="14">
        <f t="shared" si="100"/>
        <v>2318</v>
      </c>
      <c r="L1045" s="4" t="str">
        <f>IFERROR(INDEX('LEV R&amp;D'!$D:$D,MATCH(MEDIÇÃO!K1045,'LEV R&amp;D'!$A:$A,0))-INDEX('PROJETO PERFURAÇÃO'!$AH:$AH,MATCH(MEDIÇÃO!K1045,'PROJETO PERFURAÇÃO'!$B:$B,0)),"")</f>
        <v/>
      </c>
      <c r="M1045" s="8" t="str">
        <f>IFERROR(INDEX('PROJETO PERFURAÇÃO'!$AN:$AN,MATCH(MEDIÇÃO!K1045,'PROJETO PERFURAÇÃO'!$B:$B,0)),"")</f>
        <v/>
      </c>
      <c r="N1045" s="3"/>
      <c r="O1045" s="3"/>
      <c r="P1045" s="3" t="str">
        <f>IFERROR(ROUND(INDEX('PROJETO PERFURAÇÃO'!$AB:$AB,MATCH(MEDIÇÃO!R1045,'PROJETO PERFURAÇÃO'!$B:$B,0)),1)&amp;"''","")</f>
        <v/>
      </c>
      <c r="Q1045" s="3" t="str">
        <f>IFERROR(IF(INDEX('PROJETO PERFURAÇÃO'!$P:$P,MATCH(MEDIÇÃO!R1045,'PROJETO PERFURAÇÃO'!$B:$B,0))="Production","P",IF(INDEX('PROJETO PERFURAÇÃO'!$P:$P,MATCH(MEDIÇÃO!R1045,'PROJETO PERFURAÇÃO'!$B:$B,0))="Buffer","B",IF(INDEX('PROJETO PERFURAÇÃO'!$P:$P,MATCH(MEDIÇÃO!R1045,'PROJETO PERFURAÇÃO'!$B:$B,0))="Pre-Splitting","S"))),"")</f>
        <v/>
      </c>
      <c r="R1045" s="14">
        <f t="shared" si="101"/>
        <v>2341</v>
      </c>
      <c r="S1045" s="4" t="str">
        <f>IFERROR(INDEX('LEV R&amp;D'!$D:$D,MATCH(MEDIÇÃO!R1045,'LEV R&amp;D'!$A:$A,0))-INDEX('PROJETO PERFURAÇÃO'!$AH:$AH,MATCH(MEDIÇÃO!R1045,'PROJETO PERFURAÇÃO'!$B:$B,0)),"")</f>
        <v/>
      </c>
      <c r="T1045" s="8" t="str">
        <f>IFERROR(INDEX('PROJETO PERFURAÇÃO'!$AN:$AN,MATCH(MEDIÇÃO!R1045,'PROJETO PERFURAÇÃO'!$B:$B,0)),"")</f>
        <v/>
      </c>
      <c r="U1045" s="3"/>
      <c r="V1045" s="3"/>
    </row>
    <row r="1046" spans="2:22" ht="45" customHeight="1">
      <c r="B1046" s="3" t="str">
        <f>IFERROR(ROUND(INDEX('PROJETO PERFURAÇÃO'!$AB:$AB,MATCH(MEDIÇÃO!D1046,'PROJETO PERFURAÇÃO'!$B:$B,0)),1)&amp;"''","")</f>
        <v/>
      </c>
      <c r="C1046" s="3" t="str">
        <f>IFERROR(IF(INDEX('PROJETO PERFURAÇÃO'!$P:$P,MATCH(MEDIÇÃO!D1046,'PROJETO PERFURAÇÃO'!$B:$B,0))="Production","P",IF(INDEX('PROJETO PERFURAÇÃO'!$P:$P,MATCH(MEDIÇÃO!D1046,'PROJETO PERFURAÇÃO'!$B:$B,0))="Buffer","B",IF(INDEX('PROJETO PERFURAÇÃO'!$P:$P,MATCH(MEDIÇÃO!D1046,'PROJETO PERFURAÇÃO'!$B:$B,0))="Pre-Splitting","S"))),"")</f>
        <v/>
      </c>
      <c r="D1046" s="14">
        <f t="shared" si="99"/>
        <v>2296</v>
      </c>
      <c r="E1046" s="4" t="str">
        <f>IFERROR(INDEX('LEV R&amp;D'!$D:$D,MATCH(MEDIÇÃO!D1046,'LEV R&amp;D'!$A:$A,0))-INDEX('PROJETO PERFURAÇÃO'!$AH:$AH,MATCH(MEDIÇÃO!D1046,'PROJETO PERFURAÇÃO'!$B:$B,0)),"")</f>
        <v/>
      </c>
      <c r="F1046" s="8" t="str">
        <f>IFERROR(INDEX('PROJETO PERFURAÇÃO'!$AN:$AN,MATCH(MEDIÇÃO!D1046,'PROJETO PERFURAÇÃO'!$B:$B,0)),"")</f>
        <v/>
      </c>
      <c r="G1046" s="3"/>
      <c r="H1046" s="3"/>
      <c r="I1046" s="3" t="str">
        <f>IFERROR(ROUND(INDEX('PROJETO PERFURAÇÃO'!$AB:$AB,MATCH(MEDIÇÃO!K1046,'PROJETO PERFURAÇÃO'!$B:$B,0)),1)&amp;"''","")</f>
        <v/>
      </c>
      <c r="J1046" s="3" t="str">
        <f>IFERROR(IF(INDEX('PROJETO PERFURAÇÃO'!$P:$P,MATCH(MEDIÇÃO!K1046,'PROJETO PERFURAÇÃO'!$B:$B,0))="Production","P",IF(INDEX('PROJETO PERFURAÇÃO'!$P:$P,MATCH(MEDIÇÃO!K1046,'PROJETO PERFURAÇÃO'!$B:$B,0))="Buffer","B",IF(INDEX('PROJETO PERFURAÇÃO'!$P:$P,MATCH(MEDIÇÃO!K1046,'PROJETO PERFURAÇÃO'!$B:$B,0))="Pre-Splitting","S"))),"")</f>
        <v/>
      </c>
      <c r="K1046" s="14">
        <f t="shared" si="100"/>
        <v>2319</v>
      </c>
      <c r="L1046" s="4" t="str">
        <f>IFERROR(INDEX('LEV R&amp;D'!$D:$D,MATCH(MEDIÇÃO!K1046,'LEV R&amp;D'!$A:$A,0))-INDEX('PROJETO PERFURAÇÃO'!$AH:$AH,MATCH(MEDIÇÃO!K1046,'PROJETO PERFURAÇÃO'!$B:$B,0)),"")</f>
        <v/>
      </c>
      <c r="M1046" s="8" t="str">
        <f>IFERROR(INDEX('PROJETO PERFURAÇÃO'!$AN:$AN,MATCH(MEDIÇÃO!K1046,'PROJETO PERFURAÇÃO'!$B:$B,0)),"")</f>
        <v/>
      </c>
      <c r="N1046" s="3"/>
      <c r="O1046" s="3"/>
      <c r="P1046" s="3" t="str">
        <f>IFERROR(ROUND(INDEX('PROJETO PERFURAÇÃO'!$AB:$AB,MATCH(MEDIÇÃO!R1046,'PROJETO PERFURAÇÃO'!$B:$B,0)),1)&amp;"''","")</f>
        <v/>
      </c>
      <c r="Q1046" s="3" t="str">
        <f>IFERROR(IF(INDEX('PROJETO PERFURAÇÃO'!$P:$P,MATCH(MEDIÇÃO!R1046,'PROJETO PERFURAÇÃO'!$B:$B,0))="Production","P",IF(INDEX('PROJETO PERFURAÇÃO'!$P:$P,MATCH(MEDIÇÃO!R1046,'PROJETO PERFURAÇÃO'!$B:$B,0))="Buffer","B",IF(INDEX('PROJETO PERFURAÇÃO'!$P:$P,MATCH(MEDIÇÃO!R1046,'PROJETO PERFURAÇÃO'!$B:$B,0))="Pre-Splitting","S"))),"")</f>
        <v/>
      </c>
      <c r="R1046" s="14">
        <f t="shared" si="101"/>
        <v>2342</v>
      </c>
      <c r="S1046" s="4" t="str">
        <f>IFERROR(INDEX('LEV R&amp;D'!$D:$D,MATCH(MEDIÇÃO!R1046,'LEV R&amp;D'!$A:$A,0))-INDEX('PROJETO PERFURAÇÃO'!$AH:$AH,MATCH(MEDIÇÃO!R1046,'PROJETO PERFURAÇÃO'!$B:$B,0)),"")</f>
        <v/>
      </c>
      <c r="T1046" s="8" t="str">
        <f>IFERROR(INDEX('PROJETO PERFURAÇÃO'!$AN:$AN,MATCH(MEDIÇÃO!R1046,'PROJETO PERFURAÇÃO'!$B:$B,0)),"")</f>
        <v/>
      </c>
      <c r="U1046" s="3"/>
      <c r="V1046" s="3"/>
    </row>
    <row r="1047" spans="2:22" ht="45" customHeight="1">
      <c r="B1047" s="3" t="str">
        <f>IFERROR(ROUND(INDEX('PROJETO PERFURAÇÃO'!$AB:$AB,MATCH(MEDIÇÃO!D1047,'PROJETO PERFURAÇÃO'!$B:$B,0)),1)&amp;"''","")</f>
        <v/>
      </c>
      <c r="C1047" s="3" t="str">
        <f>IFERROR(IF(INDEX('PROJETO PERFURAÇÃO'!$P:$P,MATCH(MEDIÇÃO!D1047,'PROJETO PERFURAÇÃO'!$B:$B,0))="Production","P",IF(INDEX('PROJETO PERFURAÇÃO'!$P:$P,MATCH(MEDIÇÃO!D1047,'PROJETO PERFURAÇÃO'!$B:$B,0))="Buffer","B",IF(INDEX('PROJETO PERFURAÇÃO'!$P:$P,MATCH(MEDIÇÃO!D1047,'PROJETO PERFURAÇÃO'!$B:$B,0))="Pre-Splitting","S"))),"")</f>
        <v/>
      </c>
      <c r="D1047" s="14">
        <f t="shared" si="99"/>
        <v>2297</v>
      </c>
      <c r="E1047" s="4" t="str">
        <f>IFERROR(INDEX('LEV R&amp;D'!$D:$D,MATCH(MEDIÇÃO!D1047,'LEV R&amp;D'!$A:$A,0))-INDEX('PROJETO PERFURAÇÃO'!$AH:$AH,MATCH(MEDIÇÃO!D1047,'PROJETO PERFURAÇÃO'!$B:$B,0)),"")</f>
        <v/>
      </c>
      <c r="F1047" s="8" t="str">
        <f>IFERROR(INDEX('PROJETO PERFURAÇÃO'!$AN:$AN,MATCH(MEDIÇÃO!D1047,'PROJETO PERFURAÇÃO'!$B:$B,0)),"")</f>
        <v/>
      </c>
      <c r="G1047" s="3"/>
      <c r="H1047" s="3"/>
      <c r="I1047" s="3" t="str">
        <f>IFERROR(ROUND(INDEX('PROJETO PERFURAÇÃO'!$AB:$AB,MATCH(MEDIÇÃO!K1047,'PROJETO PERFURAÇÃO'!$B:$B,0)),1)&amp;"''","")</f>
        <v/>
      </c>
      <c r="J1047" s="3" t="str">
        <f>IFERROR(IF(INDEX('PROJETO PERFURAÇÃO'!$P:$P,MATCH(MEDIÇÃO!K1047,'PROJETO PERFURAÇÃO'!$B:$B,0))="Production","P",IF(INDEX('PROJETO PERFURAÇÃO'!$P:$P,MATCH(MEDIÇÃO!K1047,'PROJETO PERFURAÇÃO'!$B:$B,0))="Buffer","B",IF(INDEX('PROJETO PERFURAÇÃO'!$P:$P,MATCH(MEDIÇÃO!K1047,'PROJETO PERFURAÇÃO'!$B:$B,0))="Pre-Splitting","S"))),"")</f>
        <v/>
      </c>
      <c r="K1047" s="14">
        <f t="shared" si="100"/>
        <v>2320</v>
      </c>
      <c r="L1047" s="4" t="str">
        <f>IFERROR(INDEX('LEV R&amp;D'!$D:$D,MATCH(MEDIÇÃO!K1047,'LEV R&amp;D'!$A:$A,0))-INDEX('PROJETO PERFURAÇÃO'!$AH:$AH,MATCH(MEDIÇÃO!K1047,'PROJETO PERFURAÇÃO'!$B:$B,0)),"")</f>
        <v/>
      </c>
      <c r="M1047" s="8" t="str">
        <f>IFERROR(INDEX('PROJETO PERFURAÇÃO'!$AN:$AN,MATCH(MEDIÇÃO!K1047,'PROJETO PERFURAÇÃO'!$B:$B,0)),"")</f>
        <v/>
      </c>
      <c r="N1047" s="3"/>
      <c r="O1047" s="3"/>
      <c r="P1047" s="3" t="str">
        <f>IFERROR(ROUND(INDEX('PROJETO PERFURAÇÃO'!$AB:$AB,MATCH(MEDIÇÃO!R1047,'PROJETO PERFURAÇÃO'!$B:$B,0)),1)&amp;"''","")</f>
        <v/>
      </c>
      <c r="Q1047" s="3" t="str">
        <f>IFERROR(IF(INDEX('PROJETO PERFURAÇÃO'!$P:$P,MATCH(MEDIÇÃO!R1047,'PROJETO PERFURAÇÃO'!$B:$B,0))="Production","P",IF(INDEX('PROJETO PERFURAÇÃO'!$P:$P,MATCH(MEDIÇÃO!R1047,'PROJETO PERFURAÇÃO'!$B:$B,0))="Buffer","B",IF(INDEX('PROJETO PERFURAÇÃO'!$P:$P,MATCH(MEDIÇÃO!R1047,'PROJETO PERFURAÇÃO'!$B:$B,0))="Pre-Splitting","S"))),"")</f>
        <v/>
      </c>
      <c r="R1047" s="14">
        <f t="shared" si="101"/>
        <v>2343</v>
      </c>
      <c r="S1047" s="4" t="str">
        <f>IFERROR(INDEX('LEV R&amp;D'!$D:$D,MATCH(MEDIÇÃO!R1047,'LEV R&amp;D'!$A:$A,0))-INDEX('PROJETO PERFURAÇÃO'!$AH:$AH,MATCH(MEDIÇÃO!R1047,'PROJETO PERFURAÇÃO'!$B:$B,0)),"")</f>
        <v/>
      </c>
      <c r="T1047" s="8" t="str">
        <f>IFERROR(INDEX('PROJETO PERFURAÇÃO'!$AN:$AN,MATCH(MEDIÇÃO!R1047,'PROJETO PERFURAÇÃO'!$B:$B,0)),"")</f>
        <v/>
      </c>
      <c r="U1047" s="3"/>
      <c r="V1047" s="3"/>
    </row>
    <row r="1048" spans="2:22" ht="45" customHeight="1">
      <c r="B1048" s="3" t="str">
        <f>IFERROR(ROUND(INDEX('PROJETO PERFURAÇÃO'!$AB:$AB,MATCH(MEDIÇÃO!D1048,'PROJETO PERFURAÇÃO'!$B:$B,0)),1)&amp;"''","")</f>
        <v/>
      </c>
      <c r="C1048" s="3" t="str">
        <f>IFERROR(IF(INDEX('PROJETO PERFURAÇÃO'!$P:$P,MATCH(MEDIÇÃO!D1048,'PROJETO PERFURAÇÃO'!$B:$B,0))="Production","P",IF(INDEX('PROJETO PERFURAÇÃO'!$P:$P,MATCH(MEDIÇÃO!D1048,'PROJETO PERFURAÇÃO'!$B:$B,0))="Buffer","B",IF(INDEX('PROJETO PERFURAÇÃO'!$P:$P,MATCH(MEDIÇÃO!D1048,'PROJETO PERFURAÇÃO'!$B:$B,0))="Pre-Splitting","S"))),"")</f>
        <v/>
      </c>
      <c r="D1048" s="14">
        <f t="shared" si="99"/>
        <v>2298</v>
      </c>
      <c r="E1048" s="4" t="str">
        <f>IFERROR(INDEX('LEV R&amp;D'!$D:$D,MATCH(MEDIÇÃO!D1048,'LEV R&amp;D'!$A:$A,0))-INDEX('PROJETO PERFURAÇÃO'!$AH:$AH,MATCH(MEDIÇÃO!D1048,'PROJETO PERFURAÇÃO'!$B:$B,0)),"")</f>
        <v/>
      </c>
      <c r="F1048" s="8" t="str">
        <f>IFERROR(INDEX('PROJETO PERFURAÇÃO'!$AN:$AN,MATCH(MEDIÇÃO!D1048,'PROJETO PERFURAÇÃO'!$B:$B,0)),"")</f>
        <v/>
      </c>
      <c r="G1048" s="3"/>
      <c r="H1048" s="3"/>
      <c r="I1048" s="3" t="str">
        <f>IFERROR(ROUND(INDEX('PROJETO PERFURAÇÃO'!$AB:$AB,MATCH(MEDIÇÃO!K1048,'PROJETO PERFURAÇÃO'!$B:$B,0)),1)&amp;"''","")</f>
        <v/>
      </c>
      <c r="J1048" s="3" t="str">
        <f>IFERROR(IF(INDEX('PROJETO PERFURAÇÃO'!$P:$P,MATCH(MEDIÇÃO!K1048,'PROJETO PERFURAÇÃO'!$B:$B,0))="Production","P",IF(INDEX('PROJETO PERFURAÇÃO'!$P:$P,MATCH(MEDIÇÃO!K1048,'PROJETO PERFURAÇÃO'!$B:$B,0))="Buffer","B",IF(INDEX('PROJETO PERFURAÇÃO'!$P:$P,MATCH(MEDIÇÃO!K1048,'PROJETO PERFURAÇÃO'!$B:$B,0))="Pre-Splitting","S"))),"")</f>
        <v/>
      </c>
      <c r="K1048" s="14">
        <f t="shared" si="100"/>
        <v>2321</v>
      </c>
      <c r="L1048" s="4" t="str">
        <f>IFERROR(INDEX('LEV R&amp;D'!$D:$D,MATCH(MEDIÇÃO!K1048,'LEV R&amp;D'!$A:$A,0))-INDEX('PROJETO PERFURAÇÃO'!$AH:$AH,MATCH(MEDIÇÃO!K1048,'PROJETO PERFURAÇÃO'!$B:$B,0)),"")</f>
        <v/>
      </c>
      <c r="M1048" s="8" t="str">
        <f>IFERROR(INDEX('PROJETO PERFURAÇÃO'!$AN:$AN,MATCH(MEDIÇÃO!K1048,'PROJETO PERFURAÇÃO'!$B:$B,0)),"")</f>
        <v/>
      </c>
      <c r="N1048" s="3"/>
      <c r="O1048" s="3"/>
      <c r="P1048" s="3" t="str">
        <f>IFERROR(ROUND(INDEX('PROJETO PERFURAÇÃO'!$AB:$AB,MATCH(MEDIÇÃO!R1048,'PROJETO PERFURAÇÃO'!$B:$B,0)),1)&amp;"''","")</f>
        <v/>
      </c>
      <c r="Q1048" s="3" t="str">
        <f>IFERROR(IF(INDEX('PROJETO PERFURAÇÃO'!$P:$P,MATCH(MEDIÇÃO!R1048,'PROJETO PERFURAÇÃO'!$B:$B,0))="Production","P",IF(INDEX('PROJETO PERFURAÇÃO'!$P:$P,MATCH(MEDIÇÃO!R1048,'PROJETO PERFURAÇÃO'!$B:$B,0))="Buffer","B",IF(INDEX('PROJETO PERFURAÇÃO'!$P:$P,MATCH(MEDIÇÃO!R1048,'PROJETO PERFURAÇÃO'!$B:$B,0))="Pre-Splitting","S"))),"")</f>
        <v/>
      </c>
      <c r="R1048" s="14">
        <f t="shared" si="101"/>
        <v>2344</v>
      </c>
      <c r="S1048" s="4" t="str">
        <f>IFERROR(INDEX('LEV R&amp;D'!$D:$D,MATCH(MEDIÇÃO!R1048,'LEV R&amp;D'!$A:$A,0))-INDEX('PROJETO PERFURAÇÃO'!$AH:$AH,MATCH(MEDIÇÃO!R1048,'PROJETO PERFURAÇÃO'!$B:$B,0)),"")</f>
        <v/>
      </c>
      <c r="T1048" s="8" t="str">
        <f>IFERROR(INDEX('PROJETO PERFURAÇÃO'!$AN:$AN,MATCH(MEDIÇÃO!R1048,'PROJETO PERFURAÇÃO'!$B:$B,0)),"")</f>
        <v/>
      </c>
      <c r="U1048" s="3"/>
      <c r="V1048" s="3"/>
    </row>
    <row r="1049" spans="2:22" ht="45" customHeight="1">
      <c r="B1049" s="3" t="str">
        <f>IFERROR(ROUND(INDEX('PROJETO PERFURAÇÃO'!$AB:$AB,MATCH(MEDIÇÃO!D1049,'PROJETO PERFURAÇÃO'!$B:$B,0)),1)&amp;"''","")</f>
        <v/>
      </c>
      <c r="C1049" s="3" t="str">
        <f>IFERROR(IF(INDEX('PROJETO PERFURAÇÃO'!$P:$P,MATCH(MEDIÇÃO!D1049,'PROJETO PERFURAÇÃO'!$B:$B,0))="Production","P",IF(INDEX('PROJETO PERFURAÇÃO'!$P:$P,MATCH(MEDIÇÃO!D1049,'PROJETO PERFURAÇÃO'!$B:$B,0))="Buffer","B",IF(INDEX('PROJETO PERFURAÇÃO'!$P:$P,MATCH(MEDIÇÃO!D1049,'PROJETO PERFURAÇÃO'!$B:$B,0))="Pre-Splitting","S"))),"")</f>
        <v/>
      </c>
      <c r="D1049" s="14">
        <f t="shared" si="99"/>
        <v>2299</v>
      </c>
      <c r="E1049" s="4" t="str">
        <f>IFERROR(INDEX('LEV R&amp;D'!$D:$D,MATCH(MEDIÇÃO!D1049,'LEV R&amp;D'!$A:$A,0))-INDEX('PROJETO PERFURAÇÃO'!$AH:$AH,MATCH(MEDIÇÃO!D1049,'PROJETO PERFURAÇÃO'!$B:$B,0)),"")</f>
        <v/>
      </c>
      <c r="F1049" s="8" t="str">
        <f>IFERROR(INDEX('PROJETO PERFURAÇÃO'!$AN:$AN,MATCH(MEDIÇÃO!D1049,'PROJETO PERFURAÇÃO'!$B:$B,0)),"")</f>
        <v/>
      </c>
      <c r="G1049" s="3"/>
      <c r="H1049" s="3"/>
      <c r="I1049" s="3" t="str">
        <f>IFERROR(ROUND(INDEX('PROJETO PERFURAÇÃO'!$AB:$AB,MATCH(MEDIÇÃO!K1049,'PROJETO PERFURAÇÃO'!$B:$B,0)),1)&amp;"''","")</f>
        <v/>
      </c>
      <c r="J1049" s="3" t="str">
        <f>IFERROR(IF(INDEX('PROJETO PERFURAÇÃO'!$P:$P,MATCH(MEDIÇÃO!K1049,'PROJETO PERFURAÇÃO'!$B:$B,0))="Production","P",IF(INDEX('PROJETO PERFURAÇÃO'!$P:$P,MATCH(MEDIÇÃO!K1049,'PROJETO PERFURAÇÃO'!$B:$B,0))="Buffer","B",IF(INDEX('PROJETO PERFURAÇÃO'!$P:$P,MATCH(MEDIÇÃO!K1049,'PROJETO PERFURAÇÃO'!$B:$B,0))="Pre-Splitting","S"))),"")</f>
        <v/>
      </c>
      <c r="K1049" s="14">
        <f t="shared" si="100"/>
        <v>2322</v>
      </c>
      <c r="L1049" s="4" t="str">
        <f>IFERROR(INDEX('LEV R&amp;D'!$D:$D,MATCH(MEDIÇÃO!K1049,'LEV R&amp;D'!$A:$A,0))-INDEX('PROJETO PERFURAÇÃO'!$AH:$AH,MATCH(MEDIÇÃO!K1049,'PROJETO PERFURAÇÃO'!$B:$B,0)),"")</f>
        <v/>
      </c>
      <c r="M1049" s="8" t="str">
        <f>IFERROR(INDEX('PROJETO PERFURAÇÃO'!$AN:$AN,MATCH(MEDIÇÃO!K1049,'PROJETO PERFURAÇÃO'!$B:$B,0)),"")</f>
        <v/>
      </c>
      <c r="N1049" s="3"/>
      <c r="O1049" s="3"/>
      <c r="P1049" s="3" t="str">
        <f>IFERROR(ROUND(INDEX('PROJETO PERFURAÇÃO'!$AB:$AB,MATCH(MEDIÇÃO!R1049,'PROJETO PERFURAÇÃO'!$B:$B,0)),1)&amp;"''","")</f>
        <v/>
      </c>
      <c r="Q1049" s="3" t="str">
        <f>IFERROR(IF(INDEX('PROJETO PERFURAÇÃO'!$P:$P,MATCH(MEDIÇÃO!R1049,'PROJETO PERFURAÇÃO'!$B:$B,0))="Production","P",IF(INDEX('PROJETO PERFURAÇÃO'!$P:$P,MATCH(MEDIÇÃO!R1049,'PROJETO PERFURAÇÃO'!$B:$B,0))="Buffer","B",IF(INDEX('PROJETO PERFURAÇÃO'!$P:$P,MATCH(MEDIÇÃO!R1049,'PROJETO PERFURAÇÃO'!$B:$B,0))="Pre-Splitting","S"))),"")</f>
        <v/>
      </c>
      <c r="R1049" s="14">
        <f t="shared" si="101"/>
        <v>2345</v>
      </c>
      <c r="S1049" s="4" t="str">
        <f>IFERROR(INDEX('LEV R&amp;D'!$D:$D,MATCH(MEDIÇÃO!R1049,'LEV R&amp;D'!$A:$A,0))-INDEX('PROJETO PERFURAÇÃO'!$AH:$AH,MATCH(MEDIÇÃO!R1049,'PROJETO PERFURAÇÃO'!$B:$B,0)),"")</f>
        <v/>
      </c>
      <c r="T1049" s="8" t="str">
        <f>IFERROR(INDEX('PROJETO PERFURAÇÃO'!$AN:$AN,MATCH(MEDIÇÃO!R1049,'PROJETO PERFURAÇÃO'!$B:$B,0)),"")</f>
        <v/>
      </c>
      <c r="U1049" s="3"/>
      <c r="V1049" s="3"/>
    </row>
    <row r="1050" spans="2:22" ht="45" customHeight="1">
      <c r="B1050" s="3" t="str">
        <f>IFERROR(ROUND(INDEX('PROJETO PERFURAÇÃO'!$AB:$AB,MATCH(MEDIÇÃO!D1050,'PROJETO PERFURAÇÃO'!$B:$B,0)),1)&amp;"''","")</f>
        <v/>
      </c>
      <c r="C1050" s="3" t="str">
        <f>IFERROR(IF(INDEX('PROJETO PERFURAÇÃO'!$P:$P,MATCH(MEDIÇÃO!D1050,'PROJETO PERFURAÇÃO'!$B:$B,0))="Production","P",IF(INDEX('PROJETO PERFURAÇÃO'!$P:$P,MATCH(MEDIÇÃO!D1050,'PROJETO PERFURAÇÃO'!$B:$B,0))="Buffer","B",IF(INDEX('PROJETO PERFURAÇÃO'!$P:$P,MATCH(MEDIÇÃO!D1050,'PROJETO PERFURAÇÃO'!$B:$B,0))="Pre-Splitting","S"))),"")</f>
        <v/>
      </c>
      <c r="D1050" s="14">
        <f t="shared" si="99"/>
        <v>2300</v>
      </c>
      <c r="E1050" s="4" t="str">
        <f>IFERROR(INDEX('LEV R&amp;D'!$D:$D,MATCH(MEDIÇÃO!D1050,'LEV R&amp;D'!$A:$A,0))-INDEX('PROJETO PERFURAÇÃO'!$AH:$AH,MATCH(MEDIÇÃO!D1050,'PROJETO PERFURAÇÃO'!$B:$B,0)),"")</f>
        <v/>
      </c>
      <c r="F1050" s="8" t="str">
        <f>IFERROR(INDEX('PROJETO PERFURAÇÃO'!$AN:$AN,MATCH(MEDIÇÃO!D1050,'PROJETO PERFURAÇÃO'!$B:$B,0)),"")</f>
        <v/>
      </c>
      <c r="G1050" s="3"/>
      <c r="H1050" s="3"/>
      <c r="I1050" s="3" t="str">
        <f>IFERROR(ROUND(INDEX('PROJETO PERFURAÇÃO'!$AB:$AB,MATCH(MEDIÇÃO!K1050,'PROJETO PERFURAÇÃO'!$B:$B,0)),1)&amp;"''","")</f>
        <v/>
      </c>
      <c r="J1050" s="3" t="str">
        <f>IFERROR(IF(INDEX('PROJETO PERFURAÇÃO'!$P:$P,MATCH(MEDIÇÃO!K1050,'PROJETO PERFURAÇÃO'!$B:$B,0))="Production","P",IF(INDEX('PROJETO PERFURAÇÃO'!$P:$P,MATCH(MEDIÇÃO!K1050,'PROJETO PERFURAÇÃO'!$B:$B,0))="Buffer","B",IF(INDEX('PROJETO PERFURAÇÃO'!$P:$P,MATCH(MEDIÇÃO!K1050,'PROJETO PERFURAÇÃO'!$B:$B,0))="Pre-Splitting","S"))),"")</f>
        <v/>
      </c>
      <c r="K1050" s="14">
        <f>K1049+1</f>
        <v>2323</v>
      </c>
      <c r="L1050" s="4" t="str">
        <f>IFERROR(INDEX('LEV R&amp;D'!$D:$D,MATCH(MEDIÇÃO!K1050,'LEV R&amp;D'!$A:$A,0))-INDEX('PROJETO PERFURAÇÃO'!$AH:$AH,MATCH(MEDIÇÃO!K1050,'PROJETO PERFURAÇÃO'!$B:$B,0)),"")</f>
        <v/>
      </c>
      <c r="M1050" s="8" t="str">
        <f>IFERROR(INDEX('PROJETO PERFURAÇÃO'!$AN:$AN,MATCH(MEDIÇÃO!K1050,'PROJETO PERFURAÇÃO'!$B:$B,0)),"")</f>
        <v/>
      </c>
      <c r="N1050" s="3"/>
      <c r="O1050" s="3"/>
      <c r="P1050" s="3" t="str">
        <f>IFERROR(ROUND(INDEX('PROJETO PERFURAÇÃO'!$AB:$AB,MATCH(MEDIÇÃO!R1050,'PROJETO PERFURAÇÃO'!$B:$B,0)),1)&amp;"''","")</f>
        <v/>
      </c>
      <c r="Q1050" s="3" t="str">
        <f>IFERROR(IF(INDEX('PROJETO PERFURAÇÃO'!$P:$P,MATCH(MEDIÇÃO!R1050,'PROJETO PERFURAÇÃO'!$B:$B,0))="Production","P",IF(INDEX('PROJETO PERFURAÇÃO'!$P:$P,MATCH(MEDIÇÃO!R1050,'PROJETO PERFURAÇÃO'!$B:$B,0))="Buffer","B",IF(INDEX('PROJETO PERFURAÇÃO'!$P:$P,MATCH(MEDIÇÃO!R1050,'PROJETO PERFURAÇÃO'!$B:$B,0))="Pre-Splitting","S"))),"")</f>
        <v/>
      </c>
      <c r="R1050" s="14">
        <f>R1049+1</f>
        <v>2346</v>
      </c>
      <c r="S1050" s="4" t="str">
        <f>IFERROR(INDEX('LEV R&amp;D'!$D:$D,MATCH(MEDIÇÃO!R1050,'LEV R&amp;D'!$A:$A,0))-INDEX('PROJETO PERFURAÇÃO'!$AH:$AH,MATCH(MEDIÇÃO!R1050,'PROJETO PERFURAÇÃO'!$B:$B,0)),"")</f>
        <v/>
      </c>
      <c r="T1050" s="8" t="str">
        <f>IFERROR(INDEX('PROJETO PERFURAÇÃO'!$AN:$AN,MATCH(MEDIÇÃO!R1050,'PROJETO PERFURAÇÃO'!$B:$B,0)),"")</f>
        <v/>
      </c>
      <c r="U1050" s="3"/>
      <c r="V1050" s="3"/>
    </row>
    <row r="1051" spans="2:22" ht="30" customHeight="1">
      <c r="B1051" s="1"/>
      <c r="C1051" s="1"/>
      <c r="D1051" s="15"/>
      <c r="E1051" s="2"/>
      <c r="F1051" s="16"/>
      <c r="G1051" s="1"/>
      <c r="H1051" s="1"/>
      <c r="I1051" s="1"/>
      <c r="J1051" s="1"/>
      <c r="K1051" s="15"/>
      <c r="L1051" s="2"/>
      <c r="M1051" s="16"/>
      <c r="N1051" s="1"/>
      <c r="O1051" s="1"/>
      <c r="P1051" s="1"/>
      <c r="Q1051" s="1"/>
      <c r="R1051" s="15"/>
      <c r="S1051" s="2"/>
      <c r="T1051" s="16"/>
      <c r="U1051" s="1"/>
      <c r="V1051" s="1"/>
    </row>
    <row r="1052" spans="2:22" ht="30" customHeight="1">
      <c r="C1052" s="20"/>
      <c r="D1052" s="20"/>
      <c r="E1052" s="20"/>
      <c r="F1052" s="20"/>
      <c r="G1052" s="20"/>
      <c r="H1052" s="20"/>
      <c r="I1052" s="20"/>
      <c r="J1052" s="20"/>
      <c r="K1052" s="20"/>
      <c r="M1052" s="20"/>
      <c r="N1052" s="20"/>
      <c r="O1052" s="20"/>
      <c r="P1052" s="20"/>
      <c r="Q1052" s="20"/>
      <c r="R1052" s="20"/>
      <c r="S1052" s="20"/>
      <c r="T1052" s="20"/>
      <c r="U1052" s="20"/>
    </row>
    <row r="1053" spans="2:22" ht="30" customHeight="1">
      <c r="C1053" s="21" t="s">
        <v>40</v>
      </c>
      <c r="D1053" s="21"/>
      <c r="E1053" s="21"/>
      <c r="F1053" s="21"/>
      <c r="G1053" s="21"/>
      <c r="H1053" s="21"/>
      <c r="I1053" s="21"/>
      <c r="J1053" s="21"/>
      <c r="K1053" s="21"/>
      <c r="L1053" s="9"/>
      <c r="M1053" s="21" t="s">
        <v>40</v>
      </c>
      <c r="N1053" s="21"/>
      <c r="O1053" s="21"/>
      <c r="P1053" s="21"/>
      <c r="Q1053" s="21"/>
      <c r="R1053" s="21"/>
      <c r="S1053" s="21"/>
      <c r="T1053" s="21"/>
      <c r="U1053" s="21"/>
      <c r="V1053" s="9"/>
    </row>
    <row r="1054" spans="2:22" ht="30" customHeight="1">
      <c r="D1054" s="9"/>
      <c r="E1054" s="9"/>
      <c r="F1054" s="9"/>
      <c r="G1054" s="9"/>
      <c r="H1054" s="9"/>
      <c r="I1054" s="9"/>
      <c r="J1054" s="9"/>
      <c r="K1054" s="9"/>
      <c r="L1054" s="9"/>
      <c r="M1054" s="9"/>
      <c r="N1054" s="9"/>
      <c r="Q1054" s="9"/>
      <c r="R1054" s="9"/>
      <c r="S1054" s="9"/>
      <c r="T1054" s="9"/>
      <c r="U1054" s="9"/>
      <c r="V1054" s="9"/>
    </row>
    <row r="1055" spans="2:22" ht="30" customHeight="1">
      <c r="B1055" s="19" t="str">
        <f>'PROJETO PERFURAÇÃO'!$C$2&amp;" - "&amp;'PROJETO PERFURAÇÃO'!$H$2</f>
        <v>LIB037 - PP0370626</v>
      </c>
      <c r="C1055" s="19"/>
      <c r="D1055" s="19"/>
      <c r="E1055" s="19"/>
      <c r="F1055" s="19"/>
      <c r="G1055" s="19"/>
      <c r="H1055" s="19"/>
      <c r="I1055" s="11" t="s">
        <v>34</v>
      </c>
      <c r="J1055" s="10" t="s">
        <v>37</v>
      </c>
    </row>
    <row r="1056" spans="2:22" ht="30" customHeight="1">
      <c r="B1056" s="19"/>
      <c r="C1056" s="19"/>
      <c r="D1056" s="19"/>
      <c r="E1056" s="19"/>
      <c r="F1056" s="19"/>
      <c r="G1056" s="19"/>
      <c r="H1056" s="19"/>
      <c r="I1056" s="12" t="s">
        <v>35</v>
      </c>
      <c r="J1056" s="10" t="s">
        <v>38</v>
      </c>
      <c r="K1056" s="9"/>
      <c r="L1056" s="9"/>
      <c r="M1056" s="9"/>
      <c r="N1056" s="9"/>
      <c r="O1056" s="9"/>
      <c r="P1056" s="9"/>
      <c r="Q1056" s="9"/>
      <c r="R1056" s="9"/>
      <c r="S1056" s="9"/>
      <c r="T1056" s="9"/>
      <c r="U1056" s="9"/>
      <c r="V1056" s="9"/>
    </row>
    <row r="1057" spans="1:23" ht="30" customHeight="1">
      <c r="B1057" s="19"/>
      <c r="C1057" s="19"/>
      <c r="D1057" s="19"/>
      <c r="E1057" s="19"/>
      <c r="F1057" s="19"/>
      <c r="G1057" s="19"/>
      <c r="H1057" s="19"/>
      <c r="I1057" s="13" t="s">
        <v>36</v>
      </c>
      <c r="J1057" s="10" t="s">
        <v>39</v>
      </c>
    </row>
    <row r="1058" spans="1:23" ht="30" customHeight="1">
      <c r="A1058" s="1"/>
      <c r="B1058" s="6" t="s">
        <v>33</v>
      </c>
      <c r="C1058" s="6" t="s">
        <v>13</v>
      </c>
      <c r="D1058" s="7" t="s">
        <v>1</v>
      </c>
      <c r="E1058" s="7" t="s">
        <v>29</v>
      </c>
      <c r="F1058" s="7" t="s">
        <v>30</v>
      </c>
      <c r="G1058" s="7" t="s">
        <v>31</v>
      </c>
      <c r="H1058" s="7" t="s">
        <v>32</v>
      </c>
      <c r="I1058" s="6" t="s">
        <v>33</v>
      </c>
      <c r="J1058" s="6" t="s">
        <v>13</v>
      </c>
      <c r="K1058" s="7" t="s">
        <v>1</v>
      </c>
      <c r="L1058" s="7" t="s">
        <v>29</v>
      </c>
      <c r="M1058" s="7" t="s">
        <v>30</v>
      </c>
      <c r="N1058" s="7" t="s">
        <v>31</v>
      </c>
      <c r="O1058" s="7" t="s">
        <v>32</v>
      </c>
      <c r="P1058" s="6" t="s">
        <v>33</v>
      </c>
      <c r="Q1058" s="6" t="s">
        <v>13</v>
      </c>
      <c r="R1058" s="7" t="s">
        <v>1</v>
      </c>
      <c r="S1058" s="7" t="s">
        <v>29</v>
      </c>
      <c r="T1058" s="7" t="s">
        <v>30</v>
      </c>
      <c r="U1058" s="7" t="s">
        <v>31</v>
      </c>
      <c r="V1058" s="7" t="s">
        <v>32</v>
      </c>
      <c r="W1058" s="1"/>
    </row>
    <row r="1059" spans="1:23" ht="45" customHeight="1">
      <c r="B1059" s="3" t="str">
        <f>IFERROR(ROUND(INDEX('PROJETO PERFURAÇÃO'!$AB:$AB,MATCH(MEDIÇÃO!D1059,'PROJETO PERFURAÇÃO'!$B:$B,0)),1)&amp;"''","")</f>
        <v/>
      </c>
      <c r="C1059" s="3" t="str">
        <f>IFERROR(IF(INDEX('PROJETO PERFURAÇÃO'!$P:$P,MATCH(MEDIÇÃO!D1059,'PROJETO PERFURAÇÃO'!$B:$B,0))="Production","P",IF(INDEX('PROJETO PERFURAÇÃO'!$P:$P,MATCH(MEDIÇÃO!D1059,'PROJETO PERFURAÇÃO'!$B:$B,0))="Buffer","B",IF(INDEX('PROJETO PERFURAÇÃO'!$P:$P,MATCH(MEDIÇÃO!D1059,'PROJETO PERFURAÇÃO'!$B:$B,0))="Pre-Splitting","S"))),"")</f>
        <v/>
      </c>
      <c r="D1059" s="14">
        <f>R1050+1</f>
        <v>2347</v>
      </c>
      <c r="E1059" s="4" t="str">
        <f>IFERROR(INDEX('LEV R&amp;D'!$D:$D,MATCH(MEDIÇÃO!D1059,'LEV R&amp;D'!$A:$A,0))-INDEX('PROJETO PERFURAÇÃO'!$AH:$AH,MATCH(MEDIÇÃO!D1059,'PROJETO PERFURAÇÃO'!$B:$B,0)),"")</f>
        <v/>
      </c>
      <c r="F1059" s="8" t="str">
        <f>IFERROR(INDEX('PROJETO PERFURAÇÃO'!$AN:$AN,MATCH(MEDIÇÃO!D1059,'PROJETO PERFURAÇÃO'!$B:$B,0)),"")</f>
        <v/>
      </c>
      <c r="G1059" s="3"/>
      <c r="H1059" s="3"/>
      <c r="I1059" s="3" t="str">
        <f>IFERROR(ROUND(INDEX('PROJETO PERFURAÇÃO'!$AB:$AB,MATCH(MEDIÇÃO!K1059,'PROJETO PERFURAÇÃO'!$B:$B,0)),1)&amp;"''","")</f>
        <v/>
      </c>
      <c r="J1059" s="3" t="str">
        <f>IFERROR(IF(INDEX('PROJETO PERFURAÇÃO'!$P:$P,MATCH(MEDIÇÃO!K1059,'PROJETO PERFURAÇÃO'!$B:$B,0))="Production","P",IF(INDEX('PROJETO PERFURAÇÃO'!$P:$P,MATCH(MEDIÇÃO!K1059,'PROJETO PERFURAÇÃO'!$B:$B,0))="Buffer","B",IF(INDEX('PROJETO PERFURAÇÃO'!$P:$P,MATCH(MEDIÇÃO!K1059,'PROJETO PERFURAÇÃO'!$B:$B,0))="Pre-Splitting","S"))),"")</f>
        <v/>
      </c>
      <c r="K1059" s="14">
        <f>D1081+1</f>
        <v>2370</v>
      </c>
      <c r="L1059" s="4" t="str">
        <f>IFERROR(INDEX('LEV R&amp;D'!$D:$D,MATCH(MEDIÇÃO!K1059,'LEV R&amp;D'!$A:$A,0))-INDEX('PROJETO PERFURAÇÃO'!$AH:$AH,MATCH(MEDIÇÃO!K1059,'PROJETO PERFURAÇÃO'!$B:$B,0)),"")</f>
        <v/>
      </c>
      <c r="M1059" s="8" t="str">
        <f>IFERROR(INDEX('PROJETO PERFURAÇÃO'!$AN:$AN,MATCH(MEDIÇÃO!K1059,'PROJETO PERFURAÇÃO'!$B:$B,0)),"")</f>
        <v/>
      </c>
      <c r="N1059" s="3"/>
      <c r="O1059" s="3"/>
      <c r="P1059" s="3" t="str">
        <f>IFERROR(ROUND(INDEX('PROJETO PERFURAÇÃO'!$AB:$AB,MATCH(MEDIÇÃO!R1059,'PROJETO PERFURAÇÃO'!$B:$B,0)),1)&amp;"''","")</f>
        <v/>
      </c>
      <c r="Q1059" s="3" t="str">
        <f>IFERROR(IF(INDEX('PROJETO PERFURAÇÃO'!$P:$P,MATCH(MEDIÇÃO!R1059,'PROJETO PERFURAÇÃO'!$B:$B,0))="Production","P",IF(INDEX('PROJETO PERFURAÇÃO'!$P:$P,MATCH(MEDIÇÃO!R1059,'PROJETO PERFURAÇÃO'!$B:$B,0))="Buffer","B",IF(INDEX('PROJETO PERFURAÇÃO'!$P:$P,MATCH(MEDIÇÃO!R1059,'PROJETO PERFURAÇÃO'!$B:$B,0))="Pre-Splitting","S"))),"")</f>
        <v/>
      </c>
      <c r="R1059" s="14">
        <f>K1081+1</f>
        <v>2393</v>
      </c>
      <c r="S1059" s="4" t="str">
        <f>IFERROR(INDEX('LEV R&amp;D'!$D:$D,MATCH(MEDIÇÃO!R1059,'LEV R&amp;D'!$A:$A,0))-INDEX('PROJETO PERFURAÇÃO'!$AH:$AH,MATCH(MEDIÇÃO!R1059,'PROJETO PERFURAÇÃO'!$B:$B,0)),"")</f>
        <v/>
      </c>
      <c r="T1059" s="8" t="str">
        <f>IFERROR(INDEX('PROJETO PERFURAÇÃO'!$AN:$AN,MATCH(MEDIÇÃO!R1059,'PROJETO PERFURAÇÃO'!$B:$B,0)),"")</f>
        <v/>
      </c>
      <c r="U1059" s="3"/>
      <c r="V1059" s="3"/>
    </row>
    <row r="1060" spans="1:23" ht="45" customHeight="1">
      <c r="B1060" s="3" t="str">
        <f>IFERROR(ROUND(INDEX('PROJETO PERFURAÇÃO'!$AB:$AB,MATCH(MEDIÇÃO!D1060,'PROJETO PERFURAÇÃO'!$B:$B,0)),1)&amp;"''","")</f>
        <v/>
      </c>
      <c r="C1060" s="3" t="str">
        <f>IFERROR(IF(INDEX('PROJETO PERFURAÇÃO'!$P:$P,MATCH(MEDIÇÃO!D1060,'PROJETO PERFURAÇÃO'!$B:$B,0))="Production","P",IF(INDEX('PROJETO PERFURAÇÃO'!$P:$P,MATCH(MEDIÇÃO!D1060,'PROJETO PERFURAÇÃO'!$B:$B,0))="Buffer","B",IF(INDEX('PROJETO PERFURAÇÃO'!$P:$P,MATCH(MEDIÇÃO!D1060,'PROJETO PERFURAÇÃO'!$B:$B,0))="Pre-Splitting","S"))),"")</f>
        <v/>
      </c>
      <c r="D1060" s="14">
        <f>D1059+1</f>
        <v>2348</v>
      </c>
      <c r="E1060" s="4" t="str">
        <f>IFERROR(INDEX('LEV R&amp;D'!$D:$D,MATCH(MEDIÇÃO!D1060,'LEV R&amp;D'!$A:$A,0))-INDEX('PROJETO PERFURAÇÃO'!$AH:$AH,MATCH(MEDIÇÃO!D1060,'PROJETO PERFURAÇÃO'!$B:$B,0)),"")</f>
        <v/>
      </c>
      <c r="F1060" s="8" t="str">
        <f>IFERROR(INDEX('PROJETO PERFURAÇÃO'!$AN:$AN,MATCH(MEDIÇÃO!D1060,'PROJETO PERFURAÇÃO'!$B:$B,0)),"")</f>
        <v/>
      </c>
      <c r="G1060" s="3"/>
      <c r="H1060" s="3"/>
      <c r="I1060" s="3" t="str">
        <f>IFERROR(ROUND(INDEX('PROJETO PERFURAÇÃO'!$AB:$AB,MATCH(MEDIÇÃO!K1060,'PROJETO PERFURAÇÃO'!$B:$B,0)),1)&amp;"''","")</f>
        <v/>
      </c>
      <c r="J1060" s="3" t="str">
        <f>IFERROR(IF(INDEX('PROJETO PERFURAÇÃO'!$P:$P,MATCH(MEDIÇÃO!K1060,'PROJETO PERFURAÇÃO'!$B:$B,0))="Production","P",IF(INDEX('PROJETO PERFURAÇÃO'!$P:$P,MATCH(MEDIÇÃO!K1060,'PROJETO PERFURAÇÃO'!$B:$B,0))="Buffer","B",IF(INDEX('PROJETO PERFURAÇÃO'!$P:$P,MATCH(MEDIÇÃO!K1060,'PROJETO PERFURAÇÃO'!$B:$B,0))="Pre-Splitting","S"))),"")</f>
        <v/>
      </c>
      <c r="K1060" s="14">
        <f>K1059+1</f>
        <v>2371</v>
      </c>
      <c r="L1060" s="4" t="str">
        <f>IFERROR(INDEX('LEV R&amp;D'!$D:$D,MATCH(MEDIÇÃO!K1060,'LEV R&amp;D'!$A:$A,0))-INDEX('PROJETO PERFURAÇÃO'!$AH:$AH,MATCH(MEDIÇÃO!K1060,'PROJETO PERFURAÇÃO'!$B:$B,0)),"")</f>
        <v/>
      </c>
      <c r="M1060" s="8" t="str">
        <f>IFERROR(INDEX('PROJETO PERFURAÇÃO'!$AN:$AN,MATCH(MEDIÇÃO!K1060,'PROJETO PERFURAÇÃO'!$B:$B,0)),"")</f>
        <v/>
      </c>
      <c r="N1060" s="3"/>
      <c r="O1060" s="3"/>
      <c r="P1060" s="3" t="str">
        <f>IFERROR(ROUND(INDEX('PROJETO PERFURAÇÃO'!$AB:$AB,MATCH(MEDIÇÃO!R1060,'PROJETO PERFURAÇÃO'!$B:$B,0)),1)&amp;"''","")</f>
        <v/>
      </c>
      <c r="Q1060" s="3" t="str">
        <f>IFERROR(IF(INDEX('PROJETO PERFURAÇÃO'!$P:$P,MATCH(MEDIÇÃO!R1060,'PROJETO PERFURAÇÃO'!$B:$B,0))="Production","P",IF(INDEX('PROJETO PERFURAÇÃO'!$P:$P,MATCH(MEDIÇÃO!R1060,'PROJETO PERFURAÇÃO'!$B:$B,0))="Buffer","B",IF(INDEX('PROJETO PERFURAÇÃO'!$P:$P,MATCH(MEDIÇÃO!R1060,'PROJETO PERFURAÇÃO'!$B:$B,0))="Pre-Splitting","S"))),"")</f>
        <v/>
      </c>
      <c r="R1060" s="14">
        <f>R1059+1</f>
        <v>2394</v>
      </c>
      <c r="S1060" s="4" t="str">
        <f>IFERROR(INDEX('LEV R&amp;D'!$D:$D,MATCH(MEDIÇÃO!R1060,'LEV R&amp;D'!$A:$A,0))-INDEX('PROJETO PERFURAÇÃO'!$AH:$AH,MATCH(MEDIÇÃO!R1060,'PROJETO PERFURAÇÃO'!$B:$B,0)),"")</f>
        <v/>
      </c>
      <c r="T1060" s="8" t="str">
        <f>IFERROR(INDEX('PROJETO PERFURAÇÃO'!$AN:$AN,MATCH(MEDIÇÃO!R1060,'PROJETO PERFURAÇÃO'!$B:$B,0)),"")</f>
        <v/>
      </c>
      <c r="U1060" s="3"/>
      <c r="V1060" s="3"/>
    </row>
    <row r="1061" spans="1:23" ht="45" customHeight="1">
      <c r="B1061" s="3" t="str">
        <f>IFERROR(ROUND(INDEX('PROJETO PERFURAÇÃO'!$AB:$AB,MATCH(MEDIÇÃO!D1061,'PROJETO PERFURAÇÃO'!$B:$B,0)),1)&amp;"''","")</f>
        <v/>
      </c>
      <c r="C1061" s="3" t="str">
        <f>IFERROR(IF(INDEX('PROJETO PERFURAÇÃO'!$P:$P,MATCH(MEDIÇÃO!D1061,'PROJETO PERFURAÇÃO'!$B:$B,0))="Production","P",IF(INDEX('PROJETO PERFURAÇÃO'!$P:$P,MATCH(MEDIÇÃO!D1061,'PROJETO PERFURAÇÃO'!$B:$B,0))="Buffer","B",IF(INDEX('PROJETO PERFURAÇÃO'!$P:$P,MATCH(MEDIÇÃO!D1061,'PROJETO PERFURAÇÃO'!$B:$B,0))="Pre-Splitting","S"))),"")</f>
        <v/>
      </c>
      <c r="D1061" s="14">
        <f t="shared" ref="D1061:D1081" si="102">D1060+1</f>
        <v>2349</v>
      </c>
      <c r="E1061" s="4" t="str">
        <f>IFERROR(INDEX('LEV R&amp;D'!$D:$D,MATCH(MEDIÇÃO!D1061,'LEV R&amp;D'!$A:$A,0))-INDEX('PROJETO PERFURAÇÃO'!$AH:$AH,MATCH(MEDIÇÃO!D1061,'PROJETO PERFURAÇÃO'!$B:$B,0)),"")</f>
        <v/>
      </c>
      <c r="F1061" s="8" t="str">
        <f>IFERROR(INDEX('PROJETO PERFURAÇÃO'!$AN:$AN,MATCH(MEDIÇÃO!D1061,'PROJETO PERFURAÇÃO'!$B:$B,0)),"")</f>
        <v/>
      </c>
      <c r="G1061" s="3"/>
      <c r="H1061" s="3"/>
      <c r="I1061" s="3" t="str">
        <f>IFERROR(ROUND(INDEX('PROJETO PERFURAÇÃO'!$AB:$AB,MATCH(MEDIÇÃO!K1061,'PROJETO PERFURAÇÃO'!$B:$B,0)),1)&amp;"''","")</f>
        <v/>
      </c>
      <c r="J1061" s="3" t="str">
        <f>IFERROR(IF(INDEX('PROJETO PERFURAÇÃO'!$P:$P,MATCH(MEDIÇÃO!K1061,'PROJETO PERFURAÇÃO'!$B:$B,0))="Production","P",IF(INDEX('PROJETO PERFURAÇÃO'!$P:$P,MATCH(MEDIÇÃO!K1061,'PROJETO PERFURAÇÃO'!$B:$B,0))="Buffer","B",IF(INDEX('PROJETO PERFURAÇÃO'!$P:$P,MATCH(MEDIÇÃO!K1061,'PROJETO PERFURAÇÃO'!$B:$B,0))="Pre-Splitting","S"))),"")</f>
        <v/>
      </c>
      <c r="K1061" s="14">
        <f t="shared" ref="K1061:K1080" si="103">K1060+1</f>
        <v>2372</v>
      </c>
      <c r="L1061" s="4" t="str">
        <f>IFERROR(INDEX('LEV R&amp;D'!$D:$D,MATCH(MEDIÇÃO!K1061,'LEV R&amp;D'!$A:$A,0))-INDEX('PROJETO PERFURAÇÃO'!$AH:$AH,MATCH(MEDIÇÃO!K1061,'PROJETO PERFURAÇÃO'!$B:$B,0)),"")</f>
        <v/>
      </c>
      <c r="M1061" s="8" t="str">
        <f>IFERROR(INDEX('PROJETO PERFURAÇÃO'!$AN:$AN,MATCH(MEDIÇÃO!K1061,'PROJETO PERFURAÇÃO'!$B:$B,0)),"")</f>
        <v/>
      </c>
      <c r="N1061" s="3"/>
      <c r="O1061" s="3"/>
      <c r="P1061" s="3" t="str">
        <f>IFERROR(ROUND(INDEX('PROJETO PERFURAÇÃO'!$AB:$AB,MATCH(MEDIÇÃO!R1061,'PROJETO PERFURAÇÃO'!$B:$B,0)),1)&amp;"''","")</f>
        <v/>
      </c>
      <c r="Q1061" s="3" t="str">
        <f>IFERROR(IF(INDEX('PROJETO PERFURAÇÃO'!$P:$P,MATCH(MEDIÇÃO!R1061,'PROJETO PERFURAÇÃO'!$B:$B,0))="Production","P",IF(INDEX('PROJETO PERFURAÇÃO'!$P:$P,MATCH(MEDIÇÃO!R1061,'PROJETO PERFURAÇÃO'!$B:$B,0))="Buffer","B",IF(INDEX('PROJETO PERFURAÇÃO'!$P:$P,MATCH(MEDIÇÃO!R1061,'PROJETO PERFURAÇÃO'!$B:$B,0))="Pre-Splitting","S"))),"")</f>
        <v/>
      </c>
      <c r="R1061" s="14">
        <f t="shared" ref="R1061:R1080" si="104">R1060+1</f>
        <v>2395</v>
      </c>
      <c r="S1061" s="4" t="str">
        <f>IFERROR(INDEX('LEV R&amp;D'!$D:$D,MATCH(MEDIÇÃO!R1061,'LEV R&amp;D'!$A:$A,0))-INDEX('PROJETO PERFURAÇÃO'!$AH:$AH,MATCH(MEDIÇÃO!R1061,'PROJETO PERFURAÇÃO'!$B:$B,0)),"")</f>
        <v/>
      </c>
      <c r="T1061" s="8" t="str">
        <f>IFERROR(INDEX('PROJETO PERFURAÇÃO'!$AN:$AN,MATCH(MEDIÇÃO!R1061,'PROJETO PERFURAÇÃO'!$B:$B,0)),"")</f>
        <v/>
      </c>
      <c r="U1061" s="3"/>
      <c r="V1061" s="3"/>
    </row>
    <row r="1062" spans="1:23" ht="45" customHeight="1">
      <c r="B1062" s="3" t="str">
        <f>IFERROR(ROUND(INDEX('PROJETO PERFURAÇÃO'!$AB:$AB,MATCH(MEDIÇÃO!D1062,'PROJETO PERFURAÇÃO'!$B:$B,0)),1)&amp;"''","")</f>
        <v/>
      </c>
      <c r="C1062" s="3" t="str">
        <f>IFERROR(IF(INDEX('PROJETO PERFURAÇÃO'!$P:$P,MATCH(MEDIÇÃO!D1062,'PROJETO PERFURAÇÃO'!$B:$B,0))="Production","P",IF(INDEX('PROJETO PERFURAÇÃO'!$P:$P,MATCH(MEDIÇÃO!D1062,'PROJETO PERFURAÇÃO'!$B:$B,0))="Buffer","B",IF(INDEX('PROJETO PERFURAÇÃO'!$P:$P,MATCH(MEDIÇÃO!D1062,'PROJETO PERFURAÇÃO'!$B:$B,0))="Pre-Splitting","S"))),"")</f>
        <v/>
      </c>
      <c r="D1062" s="14">
        <f t="shared" si="102"/>
        <v>2350</v>
      </c>
      <c r="E1062" s="4" t="str">
        <f>IFERROR(INDEX('LEV R&amp;D'!$D:$D,MATCH(MEDIÇÃO!D1062,'LEV R&amp;D'!$A:$A,0))-INDEX('PROJETO PERFURAÇÃO'!$AH:$AH,MATCH(MEDIÇÃO!D1062,'PROJETO PERFURAÇÃO'!$B:$B,0)),"")</f>
        <v/>
      </c>
      <c r="F1062" s="8" t="str">
        <f>IFERROR(INDEX('PROJETO PERFURAÇÃO'!$AN:$AN,MATCH(MEDIÇÃO!D1062,'PROJETO PERFURAÇÃO'!$B:$B,0)),"")</f>
        <v/>
      </c>
      <c r="G1062" s="3"/>
      <c r="H1062" s="3"/>
      <c r="I1062" s="3" t="str">
        <f>IFERROR(ROUND(INDEX('PROJETO PERFURAÇÃO'!$AB:$AB,MATCH(MEDIÇÃO!K1062,'PROJETO PERFURAÇÃO'!$B:$B,0)),1)&amp;"''","")</f>
        <v/>
      </c>
      <c r="J1062" s="3" t="str">
        <f>IFERROR(IF(INDEX('PROJETO PERFURAÇÃO'!$P:$P,MATCH(MEDIÇÃO!K1062,'PROJETO PERFURAÇÃO'!$B:$B,0))="Production","P",IF(INDEX('PROJETO PERFURAÇÃO'!$P:$P,MATCH(MEDIÇÃO!K1062,'PROJETO PERFURAÇÃO'!$B:$B,0))="Buffer","B",IF(INDEX('PROJETO PERFURAÇÃO'!$P:$P,MATCH(MEDIÇÃO!K1062,'PROJETO PERFURAÇÃO'!$B:$B,0))="Pre-Splitting","S"))),"")</f>
        <v/>
      </c>
      <c r="K1062" s="14">
        <f t="shared" si="103"/>
        <v>2373</v>
      </c>
      <c r="L1062" s="4" t="str">
        <f>IFERROR(INDEX('LEV R&amp;D'!$D:$D,MATCH(MEDIÇÃO!K1062,'LEV R&amp;D'!$A:$A,0))-INDEX('PROJETO PERFURAÇÃO'!$AH:$AH,MATCH(MEDIÇÃO!K1062,'PROJETO PERFURAÇÃO'!$B:$B,0)),"")</f>
        <v/>
      </c>
      <c r="M1062" s="8" t="str">
        <f>IFERROR(INDEX('PROJETO PERFURAÇÃO'!$AN:$AN,MATCH(MEDIÇÃO!K1062,'PROJETO PERFURAÇÃO'!$B:$B,0)),"")</f>
        <v/>
      </c>
      <c r="N1062" s="3"/>
      <c r="O1062" s="3"/>
      <c r="P1062" s="3" t="str">
        <f>IFERROR(ROUND(INDEX('PROJETO PERFURAÇÃO'!$AB:$AB,MATCH(MEDIÇÃO!R1062,'PROJETO PERFURAÇÃO'!$B:$B,0)),1)&amp;"''","")</f>
        <v/>
      </c>
      <c r="Q1062" s="3" t="str">
        <f>IFERROR(IF(INDEX('PROJETO PERFURAÇÃO'!$P:$P,MATCH(MEDIÇÃO!R1062,'PROJETO PERFURAÇÃO'!$B:$B,0))="Production","P",IF(INDEX('PROJETO PERFURAÇÃO'!$P:$P,MATCH(MEDIÇÃO!R1062,'PROJETO PERFURAÇÃO'!$B:$B,0))="Buffer","B",IF(INDEX('PROJETO PERFURAÇÃO'!$P:$P,MATCH(MEDIÇÃO!R1062,'PROJETO PERFURAÇÃO'!$B:$B,0))="Pre-Splitting","S"))),"")</f>
        <v/>
      </c>
      <c r="R1062" s="14">
        <f t="shared" si="104"/>
        <v>2396</v>
      </c>
      <c r="S1062" s="4" t="str">
        <f>IFERROR(INDEX('LEV R&amp;D'!$D:$D,MATCH(MEDIÇÃO!R1062,'LEV R&amp;D'!$A:$A,0))-INDEX('PROJETO PERFURAÇÃO'!$AH:$AH,MATCH(MEDIÇÃO!R1062,'PROJETO PERFURAÇÃO'!$B:$B,0)),"")</f>
        <v/>
      </c>
      <c r="T1062" s="8" t="str">
        <f>IFERROR(INDEX('PROJETO PERFURAÇÃO'!$AN:$AN,MATCH(MEDIÇÃO!R1062,'PROJETO PERFURAÇÃO'!$B:$B,0)),"")</f>
        <v/>
      </c>
      <c r="U1062" s="3"/>
      <c r="V1062" s="3"/>
    </row>
    <row r="1063" spans="1:23" ht="45" customHeight="1">
      <c r="B1063" s="3" t="str">
        <f>IFERROR(ROUND(INDEX('PROJETO PERFURAÇÃO'!$AB:$AB,MATCH(MEDIÇÃO!D1063,'PROJETO PERFURAÇÃO'!$B:$B,0)),1)&amp;"''","")</f>
        <v/>
      </c>
      <c r="C1063" s="3" t="str">
        <f>IFERROR(IF(INDEX('PROJETO PERFURAÇÃO'!$P:$P,MATCH(MEDIÇÃO!D1063,'PROJETO PERFURAÇÃO'!$B:$B,0))="Production","P",IF(INDEX('PROJETO PERFURAÇÃO'!$P:$P,MATCH(MEDIÇÃO!D1063,'PROJETO PERFURAÇÃO'!$B:$B,0))="Buffer","B",IF(INDEX('PROJETO PERFURAÇÃO'!$P:$P,MATCH(MEDIÇÃO!D1063,'PROJETO PERFURAÇÃO'!$B:$B,0))="Pre-Splitting","S"))),"")</f>
        <v/>
      </c>
      <c r="D1063" s="14">
        <f t="shared" si="102"/>
        <v>2351</v>
      </c>
      <c r="E1063" s="4" t="str">
        <f>IFERROR(INDEX('LEV R&amp;D'!$D:$D,MATCH(MEDIÇÃO!D1063,'LEV R&amp;D'!$A:$A,0))-INDEX('PROJETO PERFURAÇÃO'!$AH:$AH,MATCH(MEDIÇÃO!D1063,'PROJETO PERFURAÇÃO'!$B:$B,0)),"")</f>
        <v/>
      </c>
      <c r="F1063" s="8" t="str">
        <f>IFERROR(INDEX('PROJETO PERFURAÇÃO'!$AN:$AN,MATCH(MEDIÇÃO!D1063,'PROJETO PERFURAÇÃO'!$B:$B,0)),"")</f>
        <v/>
      </c>
      <c r="G1063" s="3"/>
      <c r="H1063" s="3"/>
      <c r="I1063" s="3" t="str">
        <f>IFERROR(ROUND(INDEX('PROJETO PERFURAÇÃO'!$AB:$AB,MATCH(MEDIÇÃO!K1063,'PROJETO PERFURAÇÃO'!$B:$B,0)),1)&amp;"''","")</f>
        <v/>
      </c>
      <c r="J1063" s="3" t="str">
        <f>IFERROR(IF(INDEX('PROJETO PERFURAÇÃO'!$P:$P,MATCH(MEDIÇÃO!K1063,'PROJETO PERFURAÇÃO'!$B:$B,0))="Production","P",IF(INDEX('PROJETO PERFURAÇÃO'!$P:$P,MATCH(MEDIÇÃO!K1063,'PROJETO PERFURAÇÃO'!$B:$B,0))="Buffer","B",IF(INDEX('PROJETO PERFURAÇÃO'!$P:$P,MATCH(MEDIÇÃO!K1063,'PROJETO PERFURAÇÃO'!$B:$B,0))="Pre-Splitting","S"))),"")</f>
        <v/>
      </c>
      <c r="K1063" s="14">
        <f t="shared" si="103"/>
        <v>2374</v>
      </c>
      <c r="L1063" s="4" t="str">
        <f>IFERROR(INDEX('LEV R&amp;D'!$D:$D,MATCH(MEDIÇÃO!K1063,'LEV R&amp;D'!$A:$A,0))-INDEX('PROJETO PERFURAÇÃO'!$AH:$AH,MATCH(MEDIÇÃO!K1063,'PROJETO PERFURAÇÃO'!$B:$B,0)),"")</f>
        <v/>
      </c>
      <c r="M1063" s="8" t="str">
        <f>IFERROR(INDEX('PROJETO PERFURAÇÃO'!$AN:$AN,MATCH(MEDIÇÃO!K1063,'PROJETO PERFURAÇÃO'!$B:$B,0)),"")</f>
        <v/>
      </c>
      <c r="N1063" s="3"/>
      <c r="O1063" s="3"/>
      <c r="P1063" s="3" t="str">
        <f>IFERROR(ROUND(INDEX('PROJETO PERFURAÇÃO'!$AB:$AB,MATCH(MEDIÇÃO!R1063,'PROJETO PERFURAÇÃO'!$B:$B,0)),1)&amp;"''","")</f>
        <v/>
      </c>
      <c r="Q1063" s="3" t="str">
        <f>IFERROR(IF(INDEX('PROJETO PERFURAÇÃO'!$P:$P,MATCH(MEDIÇÃO!R1063,'PROJETO PERFURAÇÃO'!$B:$B,0))="Production","P",IF(INDEX('PROJETO PERFURAÇÃO'!$P:$P,MATCH(MEDIÇÃO!R1063,'PROJETO PERFURAÇÃO'!$B:$B,0))="Buffer","B",IF(INDEX('PROJETO PERFURAÇÃO'!$P:$P,MATCH(MEDIÇÃO!R1063,'PROJETO PERFURAÇÃO'!$B:$B,0))="Pre-Splitting","S"))),"")</f>
        <v/>
      </c>
      <c r="R1063" s="14">
        <f t="shared" si="104"/>
        <v>2397</v>
      </c>
      <c r="S1063" s="4" t="str">
        <f>IFERROR(INDEX('LEV R&amp;D'!$D:$D,MATCH(MEDIÇÃO!R1063,'LEV R&amp;D'!$A:$A,0))-INDEX('PROJETO PERFURAÇÃO'!$AH:$AH,MATCH(MEDIÇÃO!R1063,'PROJETO PERFURAÇÃO'!$B:$B,0)),"")</f>
        <v/>
      </c>
      <c r="T1063" s="8" t="str">
        <f>IFERROR(INDEX('PROJETO PERFURAÇÃO'!$AN:$AN,MATCH(MEDIÇÃO!R1063,'PROJETO PERFURAÇÃO'!$B:$B,0)),"")</f>
        <v/>
      </c>
      <c r="U1063" s="3"/>
      <c r="V1063" s="3"/>
    </row>
    <row r="1064" spans="1:23" ht="45" customHeight="1">
      <c r="B1064" s="3" t="str">
        <f>IFERROR(ROUND(INDEX('PROJETO PERFURAÇÃO'!$AB:$AB,MATCH(MEDIÇÃO!D1064,'PROJETO PERFURAÇÃO'!$B:$B,0)),1)&amp;"''","")</f>
        <v/>
      </c>
      <c r="C1064" s="3" t="str">
        <f>IFERROR(IF(INDEX('PROJETO PERFURAÇÃO'!$P:$P,MATCH(MEDIÇÃO!D1064,'PROJETO PERFURAÇÃO'!$B:$B,0))="Production","P",IF(INDEX('PROJETO PERFURAÇÃO'!$P:$P,MATCH(MEDIÇÃO!D1064,'PROJETO PERFURAÇÃO'!$B:$B,0))="Buffer","B",IF(INDEX('PROJETO PERFURAÇÃO'!$P:$P,MATCH(MEDIÇÃO!D1064,'PROJETO PERFURAÇÃO'!$B:$B,0))="Pre-Splitting","S"))),"")</f>
        <v/>
      </c>
      <c r="D1064" s="14">
        <f t="shared" si="102"/>
        <v>2352</v>
      </c>
      <c r="E1064" s="4" t="str">
        <f>IFERROR(INDEX('LEV R&amp;D'!$D:$D,MATCH(MEDIÇÃO!D1064,'LEV R&amp;D'!$A:$A,0))-INDEX('PROJETO PERFURAÇÃO'!$AH:$AH,MATCH(MEDIÇÃO!D1064,'PROJETO PERFURAÇÃO'!$B:$B,0)),"")</f>
        <v/>
      </c>
      <c r="F1064" s="8" t="str">
        <f>IFERROR(INDEX('PROJETO PERFURAÇÃO'!$AN:$AN,MATCH(MEDIÇÃO!D1064,'PROJETO PERFURAÇÃO'!$B:$B,0)),"")</f>
        <v/>
      </c>
      <c r="G1064" s="3"/>
      <c r="H1064" s="3"/>
      <c r="I1064" s="3" t="str">
        <f>IFERROR(ROUND(INDEX('PROJETO PERFURAÇÃO'!$AB:$AB,MATCH(MEDIÇÃO!K1064,'PROJETO PERFURAÇÃO'!$B:$B,0)),1)&amp;"''","")</f>
        <v/>
      </c>
      <c r="J1064" s="3" t="str">
        <f>IFERROR(IF(INDEX('PROJETO PERFURAÇÃO'!$P:$P,MATCH(MEDIÇÃO!K1064,'PROJETO PERFURAÇÃO'!$B:$B,0))="Production","P",IF(INDEX('PROJETO PERFURAÇÃO'!$P:$P,MATCH(MEDIÇÃO!K1064,'PROJETO PERFURAÇÃO'!$B:$B,0))="Buffer","B",IF(INDEX('PROJETO PERFURAÇÃO'!$P:$P,MATCH(MEDIÇÃO!K1064,'PROJETO PERFURAÇÃO'!$B:$B,0))="Pre-Splitting","S"))),"")</f>
        <v/>
      </c>
      <c r="K1064" s="14">
        <f t="shared" si="103"/>
        <v>2375</v>
      </c>
      <c r="L1064" s="4" t="str">
        <f>IFERROR(INDEX('LEV R&amp;D'!$D:$D,MATCH(MEDIÇÃO!K1064,'LEV R&amp;D'!$A:$A,0))-INDEX('PROJETO PERFURAÇÃO'!$AH:$AH,MATCH(MEDIÇÃO!K1064,'PROJETO PERFURAÇÃO'!$B:$B,0)),"")</f>
        <v/>
      </c>
      <c r="M1064" s="8" t="str">
        <f>IFERROR(INDEX('PROJETO PERFURAÇÃO'!$AN:$AN,MATCH(MEDIÇÃO!K1064,'PROJETO PERFURAÇÃO'!$B:$B,0)),"")</f>
        <v/>
      </c>
      <c r="N1064" s="3"/>
      <c r="O1064" s="3"/>
      <c r="P1064" s="3" t="str">
        <f>IFERROR(ROUND(INDEX('PROJETO PERFURAÇÃO'!$AB:$AB,MATCH(MEDIÇÃO!R1064,'PROJETO PERFURAÇÃO'!$B:$B,0)),1)&amp;"''","")</f>
        <v/>
      </c>
      <c r="Q1064" s="3" t="str">
        <f>IFERROR(IF(INDEX('PROJETO PERFURAÇÃO'!$P:$P,MATCH(MEDIÇÃO!R1064,'PROJETO PERFURAÇÃO'!$B:$B,0))="Production","P",IF(INDEX('PROJETO PERFURAÇÃO'!$P:$P,MATCH(MEDIÇÃO!R1064,'PROJETO PERFURAÇÃO'!$B:$B,0))="Buffer","B",IF(INDEX('PROJETO PERFURAÇÃO'!$P:$P,MATCH(MEDIÇÃO!R1064,'PROJETO PERFURAÇÃO'!$B:$B,0))="Pre-Splitting","S"))),"")</f>
        <v/>
      </c>
      <c r="R1064" s="14">
        <f t="shared" si="104"/>
        <v>2398</v>
      </c>
      <c r="S1064" s="4" t="str">
        <f>IFERROR(INDEX('LEV R&amp;D'!$D:$D,MATCH(MEDIÇÃO!R1064,'LEV R&amp;D'!$A:$A,0))-INDEX('PROJETO PERFURAÇÃO'!$AH:$AH,MATCH(MEDIÇÃO!R1064,'PROJETO PERFURAÇÃO'!$B:$B,0)),"")</f>
        <v/>
      </c>
      <c r="T1064" s="8" t="str">
        <f>IFERROR(INDEX('PROJETO PERFURAÇÃO'!$AN:$AN,MATCH(MEDIÇÃO!R1064,'PROJETO PERFURAÇÃO'!$B:$B,0)),"")</f>
        <v/>
      </c>
      <c r="U1064" s="3"/>
      <c r="V1064" s="3"/>
    </row>
    <row r="1065" spans="1:23" ht="45" customHeight="1">
      <c r="B1065" s="3" t="str">
        <f>IFERROR(ROUND(INDEX('PROJETO PERFURAÇÃO'!$AB:$AB,MATCH(MEDIÇÃO!D1065,'PROJETO PERFURAÇÃO'!$B:$B,0)),1)&amp;"''","")</f>
        <v/>
      </c>
      <c r="C1065" s="3" t="str">
        <f>IFERROR(IF(INDEX('PROJETO PERFURAÇÃO'!$P:$P,MATCH(MEDIÇÃO!D1065,'PROJETO PERFURAÇÃO'!$B:$B,0))="Production","P",IF(INDEX('PROJETO PERFURAÇÃO'!$P:$P,MATCH(MEDIÇÃO!D1065,'PROJETO PERFURAÇÃO'!$B:$B,0))="Buffer","B",IF(INDEX('PROJETO PERFURAÇÃO'!$P:$P,MATCH(MEDIÇÃO!D1065,'PROJETO PERFURAÇÃO'!$B:$B,0))="Pre-Splitting","S"))),"")</f>
        <v/>
      </c>
      <c r="D1065" s="14">
        <f t="shared" si="102"/>
        <v>2353</v>
      </c>
      <c r="E1065" s="4" t="str">
        <f>IFERROR(INDEX('LEV R&amp;D'!$D:$D,MATCH(MEDIÇÃO!D1065,'LEV R&amp;D'!$A:$A,0))-INDEX('PROJETO PERFURAÇÃO'!$AH:$AH,MATCH(MEDIÇÃO!D1065,'PROJETO PERFURAÇÃO'!$B:$B,0)),"")</f>
        <v/>
      </c>
      <c r="F1065" s="8" t="str">
        <f>IFERROR(INDEX('PROJETO PERFURAÇÃO'!$AN:$AN,MATCH(MEDIÇÃO!D1065,'PROJETO PERFURAÇÃO'!$B:$B,0)),"")</f>
        <v/>
      </c>
      <c r="G1065" s="3"/>
      <c r="H1065" s="3"/>
      <c r="I1065" s="3" t="str">
        <f>IFERROR(ROUND(INDEX('PROJETO PERFURAÇÃO'!$AB:$AB,MATCH(MEDIÇÃO!K1065,'PROJETO PERFURAÇÃO'!$B:$B,0)),1)&amp;"''","")</f>
        <v/>
      </c>
      <c r="J1065" s="3" t="str">
        <f>IFERROR(IF(INDEX('PROJETO PERFURAÇÃO'!$P:$P,MATCH(MEDIÇÃO!K1065,'PROJETO PERFURAÇÃO'!$B:$B,0))="Production","P",IF(INDEX('PROJETO PERFURAÇÃO'!$P:$P,MATCH(MEDIÇÃO!K1065,'PROJETO PERFURAÇÃO'!$B:$B,0))="Buffer","B",IF(INDEX('PROJETO PERFURAÇÃO'!$P:$P,MATCH(MEDIÇÃO!K1065,'PROJETO PERFURAÇÃO'!$B:$B,0))="Pre-Splitting","S"))),"")</f>
        <v/>
      </c>
      <c r="K1065" s="14">
        <f t="shared" si="103"/>
        <v>2376</v>
      </c>
      <c r="L1065" s="4" t="str">
        <f>IFERROR(INDEX('LEV R&amp;D'!$D:$D,MATCH(MEDIÇÃO!K1065,'LEV R&amp;D'!$A:$A,0))-INDEX('PROJETO PERFURAÇÃO'!$AH:$AH,MATCH(MEDIÇÃO!K1065,'PROJETO PERFURAÇÃO'!$B:$B,0)),"")</f>
        <v/>
      </c>
      <c r="M1065" s="8" t="str">
        <f>IFERROR(INDEX('PROJETO PERFURAÇÃO'!$AN:$AN,MATCH(MEDIÇÃO!K1065,'PROJETO PERFURAÇÃO'!$B:$B,0)),"")</f>
        <v/>
      </c>
      <c r="N1065" s="3"/>
      <c r="O1065" s="3"/>
      <c r="P1065" s="3" t="str">
        <f>IFERROR(ROUND(INDEX('PROJETO PERFURAÇÃO'!$AB:$AB,MATCH(MEDIÇÃO!R1065,'PROJETO PERFURAÇÃO'!$B:$B,0)),1)&amp;"''","")</f>
        <v/>
      </c>
      <c r="Q1065" s="3" t="str">
        <f>IFERROR(IF(INDEX('PROJETO PERFURAÇÃO'!$P:$P,MATCH(MEDIÇÃO!R1065,'PROJETO PERFURAÇÃO'!$B:$B,0))="Production","P",IF(INDEX('PROJETO PERFURAÇÃO'!$P:$P,MATCH(MEDIÇÃO!R1065,'PROJETO PERFURAÇÃO'!$B:$B,0))="Buffer","B",IF(INDEX('PROJETO PERFURAÇÃO'!$P:$P,MATCH(MEDIÇÃO!R1065,'PROJETO PERFURAÇÃO'!$B:$B,0))="Pre-Splitting","S"))),"")</f>
        <v/>
      </c>
      <c r="R1065" s="14">
        <f t="shared" si="104"/>
        <v>2399</v>
      </c>
      <c r="S1065" s="4" t="str">
        <f>IFERROR(INDEX('LEV R&amp;D'!$D:$D,MATCH(MEDIÇÃO!R1065,'LEV R&amp;D'!$A:$A,0))-INDEX('PROJETO PERFURAÇÃO'!$AH:$AH,MATCH(MEDIÇÃO!R1065,'PROJETO PERFURAÇÃO'!$B:$B,0)),"")</f>
        <v/>
      </c>
      <c r="T1065" s="8" t="str">
        <f>IFERROR(INDEX('PROJETO PERFURAÇÃO'!$AN:$AN,MATCH(MEDIÇÃO!R1065,'PROJETO PERFURAÇÃO'!$B:$B,0)),"")</f>
        <v/>
      </c>
      <c r="U1065" s="3"/>
      <c r="V1065" s="3"/>
    </row>
    <row r="1066" spans="1:23" ht="45" customHeight="1">
      <c r="B1066" s="3" t="str">
        <f>IFERROR(ROUND(INDEX('PROJETO PERFURAÇÃO'!$AB:$AB,MATCH(MEDIÇÃO!D1066,'PROJETO PERFURAÇÃO'!$B:$B,0)),1)&amp;"''","")</f>
        <v/>
      </c>
      <c r="C1066" s="3" t="str">
        <f>IFERROR(IF(INDEX('PROJETO PERFURAÇÃO'!$P:$P,MATCH(MEDIÇÃO!D1066,'PROJETO PERFURAÇÃO'!$B:$B,0))="Production","P",IF(INDEX('PROJETO PERFURAÇÃO'!$P:$P,MATCH(MEDIÇÃO!D1066,'PROJETO PERFURAÇÃO'!$B:$B,0))="Buffer","B",IF(INDEX('PROJETO PERFURAÇÃO'!$P:$P,MATCH(MEDIÇÃO!D1066,'PROJETO PERFURAÇÃO'!$B:$B,0))="Pre-Splitting","S"))),"")</f>
        <v/>
      </c>
      <c r="D1066" s="14">
        <f t="shared" si="102"/>
        <v>2354</v>
      </c>
      <c r="E1066" s="4" t="str">
        <f>IFERROR(INDEX('LEV R&amp;D'!$D:$D,MATCH(MEDIÇÃO!D1066,'LEV R&amp;D'!$A:$A,0))-INDEX('PROJETO PERFURAÇÃO'!$AH:$AH,MATCH(MEDIÇÃO!D1066,'PROJETO PERFURAÇÃO'!$B:$B,0)),"")</f>
        <v/>
      </c>
      <c r="F1066" s="8" t="str">
        <f>IFERROR(INDEX('PROJETO PERFURAÇÃO'!$AN:$AN,MATCH(MEDIÇÃO!D1066,'PROJETO PERFURAÇÃO'!$B:$B,0)),"")</f>
        <v/>
      </c>
      <c r="G1066" s="3"/>
      <c r="H1066" s="3"/>
      <c r="I1066" s="3" t="str">
        <f>IFERROR(ROUND(INDEX('PROJETO PERFURAÇÃO'!$AB:$AB,MATCH(MEDIÇÃO!K1066,'PROJETO PERFURAÇÃO'!$B:$B,0)),1)&amp;"''","")</f>
        <v/>
      </c>
      <c r="J1066" s="3" t="str">
        <f>IFERROR(IF(INDEX('PROJETO PERFURAÇÃO'!$P:$P,MATCH(MEDIÇÃO!K1066,'PROJETO PERFURAÇÃO'!$B:$B,0))="Production","P",IF(INDEX('PROJETO PERFURAÇÃO'!$P:$P,MATCH(MEDIÇÃO!K1066,'PROJETO PERFURAÇÃO'!$B:$B,0))="Buffer","B",IF(INDEX('PROJETO PERFURAÇÃO'!$P:$P,MATCH(MEDIÇÃO!K1066,'PROJETO PERFURAÇÃO'!$B:$B,0))="Pre-Splitting","S"))),"")</f>
        <v/>
      </c>
      <c r="K1066" s="14">
        <f t="shared" si="103"/>
        <v>2377</v>
      </c>
      <c r="L1066" s="4" t="str">
        <f>IFERROR(INDEX('LEV R&amp;D'!$D:$D,MATCH(MEDIÇÃO!K1066,'LEV R&amp;D'!$A:$A,0))-INDEX('PROJETO PERFURAÇÃO'!$AH:$AH,MATCH(MEDIÇÃO!K1066,'PROJETO PERFURAÇÃO'!$B:$B,0)),"")</f>
        <v/>
      </c>
      <c r="M1066" s="8" t="str">
        <f>IFERROR(INDEX('PROJETO PERFURAÇÃO'!$AN:$AN,MATCH(MEDIÇÃO!K1066,'PROJETO PERFURAÇÃO'!$B:$B,0)),"")</f>
        <v/>
      </c>
      <c r="N1066" s="3"/>
      <c r="O1066" s="3"/>
      <c r="P1066" s="3" t="str">
        <f>IFERROR(ROUND(INDEX('PROJETO PERFURAÇÃO'!$AB:$AB,MATCH(MEDIÇÃO!R1066,'PROJETO PERFURAÇÃO'!$B:$B,0)),1)&amp;"''","")</f>
        <v/>
      </c>
      <c r="Q1066" s="3" t="str">
        <f>IFERROR(IF(INDEX('PROJETO PERFURAÇÃO'!$P:$P,MATCH(MEDIÇÃO!R1066,'PROJETO PERFURAÇÃO'!$B:$B,0))="Production","P",IF(INDEX('PROJETO PERFURAÇÃO'!$P:$P,MATCH(MEDIÇÃO!R1066,'PROJETO PERFURAÇÃO'!$B:$B,0))="Buffer","B",IF(INDEX('PROJETO PERFURAÇÃO'!$P:$P,MATCH(MEDIÇÃO!R1066,'PROJETO PERFURAÇÃO'!$B:$B,0))="Pre-Splitting","S"))),"")</f>
        <v/>
      </c>
      <c r="R1066" s="14">
        <f t="shared" si="104"/>
        <v>2400</v>
      </c>
      <c r="S1066" s="4" t="str">
        <f>IFERROR(INDEX('LEV R&amp;D'!$D:$D,MATCH(MEDIÇÃO!R1066,'LEV R&amp;D'!$A:$A,0))-INDEX('PROJETO PERFURAÇÃO'!$AH:$AH,MATCH(MEDIÇÃO!R1066,'PROJETO PERFURAÇÃO'!$B:$B,0)),"")</f>
        <v/>
      </c>
      <c r="T1066" s="8" t="str">
        <f>IFERROR(INDEX('PROJETO PERFURAÇÃO'!$AN:$AN,MATCH(MEDIÇÃO!R1066,'PROJETO PERFURAÇÃO'!$B:$B,0)),"")</f>
        <v/>
      </c>
      <c r="U1066" s="3"/>
      <c r="V1066" s="3"/>
    </row>
    <row r="1067" spans="1:23" ht="45" customHeight="1">
      <c r="B1067" s="3" t="str">
        <f>IFERROR(ROUND(INDEX('PROJETO PERFURAÇÃO'!$AB:$AB,MATCH(MEDIÇÃO!D1067,'PROJETO PERFURAÇÃO'!$B:$B,0)),1)&amp;"''","")</f>
        <v/>
      </c>
      <c r="C1067" s="3" t="str">
        <f>IFERROR(IF(INDEX('PROJETO PERFURAÇÃO'!$P:$P,MATCH(MEDIÇÃO!D1067,'PROJETO PERFURAÇÃO'!$B:$B,0))="Production","P",IF(INDEX('PROJETO PERFURAÇÃO'!$P:$P,MATCH(MEDIÇÃO!D1067,'PROJETO PERFURAÇÃO'!$B:$B,0))="Buffer","B",IF(INDEX('PROJETO PERFURAÇÃO'!$P:$P,MATCH(MEDIÇÃO!D1067,'PROJETO PERFURAÇÃO'!$B:$B,0))="Pre-Splitting","S"))),"")</f>
        <v/>
      </c>
      <c r="D1067" s="14">
        <f t="shared" si="102"/>
        <v>2355</v>
      </c>
      <c r="E1067" s="4" t="str">
        <f>IFERROR(INDEX('LEV R&amp;D'!$D:$D,MATCH(MEDIÇÃO!D1067,'LEV R&amp;D'!$A:$A,0))-INDEX('PROJETO PERFURAÇÃO'!$AH:$AH,MATCH(MEDIÇÃO!D1067,'PROJETO PERFURAÇÃO'!$B:$B,0)),"")</f>
        <v/>
      </c>
      <c r="F1067" s="8" t="str">
        <f>IFERROR(INDEX('PROJETO PERFURAÇÃO'!$AN:$AN,MATCH(MEDIÇÃO!D1067,'PROJETO PERFURAÇÃO'!$B:$B,0)),"")</f>
        <v/>
      </c>
      <c r="G1067" s="3"/>
      <c r="H1067" s="3"/>
      <c r="I1067" s="3" t="str">
        <f>IFERROR(ROUND(INDEX('PROJETO PERFURAÇÃO'!$AB:$AB,MATCH(MEDIÇÃO!K1067,'PROJETO PERFURAÇÃO'!$B:$B,0)),1)&amp;"''","")</f>
        <v/>
      </c>
      <c r="J1067" s="3" t="str">
        <f>IFERROR(IF(INDEX('PROJETO PERFURAÇÃO'!$P:$P,MATCH(MEDIÇÃO!K1067,'PROJETO PERFURAÇÃO'!$B:$B,0))="Production","P",IF(INDEX('PROJETO PERFURAÇÃO'!$P:$P,MATCH(MEDIÇÃO!K1067,'PROJETO PERFURAÇÃO'!$B:$B,0))="Buffer","B",IF(INDEX('PROJETO PERFURAÇÃO'!$P:$P,MATCH(MEDIÇÃO!K1067,'PROJETO PERFURAÇÃO'!$B:$B,0))="Pre-Splitting","S"))),"")</f>
        <v/>
      </c>
      <c r="K1067" s="14">
        <f t="shared" si="103"/>
        <v>2378</v>
      </c>
      <c r="L1067" s="4" t="str">
        <f>IFERROR(INDEX('LEV R&amp;D'!$D:$D,MATCH(MEDIÇÃO!K1067,'LEV R&amp;D'!$A:$A,0))-INDEX('PROJETO PERFURAÇÃO'!$AH:$AH,MATCH(MEDIÇÃO!K1067,'PROJETO PERFURAÇÃO'!$B:$B,0)),"")</f>
        <v/>
      </c>
      <c r="M1067" s="8" t="str">
        <f>IFERROR(INDEX('PROJETO PERFURAÇÃO'!$AN:$AN,MATCH(MEDIÇÃO!K1067,'PROJETO PERFURAÇÃO'!$B:$B,0)),"")</f>
        <v/>
      </c>
      <c r="N1067" s="3"/>
      <c r="O1067" s="3"/>
      <c r="P1067" s="3" t="str">
        <f>IFERROR(ROUND(INDEX('PROJETO PERFURAÇÃO'!$AB:$AB,MATCH(MEDIÇÃO!R1067,'PROJETO PERFURAÇÃO'!$B:$B,0)),1)&amp;"''","")</f>
        <v/>
      </c>
      <c r="Q1067" s="3" t="str">
        <f>IFERROR(IF(INDEX('PROJETO PERFURAÇÃO'!$P:$P,MATCH(MEDIÇÃO!R1067,'PROJETO PERFURAÇÃO'!$B:$B,0))="Production","P",IF(INDEX('PROJETO PERFURAÇÃO'!$P:$P,MATCH(MEDIÇÃO!R1067,'PROJETO PERFURAÇÃO'!$B:$B,0))="Buffer","B",IF(INDEX('PROJETO PERFURAÇÃO'!$P:$P,MATCH(MEDIÇÃO!R1067,'PROJETO PERFURAÇÃO'!$B:$B,0))="Pre-Splitting","S"))),"")</f>
        <v/>
      </c>
      <c r="R1067" s="14">
        <f t="shared" si="104"/>
        <v>2401</v>
      </c>
      <c r="S1067" s="4" t="str">
        <f>IFERROR(INDEX('LEV R&amp;D'!$D:$D,MATCH(MEDIÇÃO!R1067,'LEV R&amp;D'!$A:$A,0))-INDEX('PROJETO PERFURAÇÃO'!$AH:$AH,MATCH(MEDIÇÃO!R1067,'PROJETO PERFURAÇÃO'!$B:$B,0)),"")</f>
        <v/>
      </c>
      <c r="T1067" s="8" t="str">
        <f>IFERROR(INDEX('PROJETO PERFURAÇÃO'!$AN:$AN,MATCH(MEDIÇÃO!R1067,'PROJETO PERFURAÇÃO'!$B:$B,0)),"")</f>
        <v/>
      </c>
      <c r="U1067" s="3"/>
      <c r="V1067" s="3"/>
    </row>
    <row r="1068" spans="1:23" ht="45" customHeight="1">
      <c r="B1068" s="3" t="str">
        <f>IFERROR(ROUND(INDEX('PROJETO PERFURAÇÃO'!$AB:$AB,MATCH(MEDIÇÃO!D1068,'PROJETO PERFURAÇÃO'!$B:$B,0)),1)&amp;"''","")</f>
        <v/>
      </c>
      <c r="C1068" s="3" t="str">
        <f>IFERROR(IF(INDEX('PROJETO PERFURAÇÃO'!$P:$P,MATCH(MEDIÇÃO!D1068,'PROJETO PERFURAÇÃO'!$B:$B,0))="Production","P",IF(INDEX('PROJETO PERFURAÇÃO'!$P:$P,MATCH(MEDIÇÃO!D1068,'PROJETO PERFURAÇÃO'!$B:$B,0))="Buffer","B",IF(INDEX('PROJETO PERFURAÇÃO'!$P:$P,MATCH(MEDIÇÃO!D1068,'PROJETO PERFURAÇÃO'!$B:$B,0))="Pre-Splitting","S"))),"")</f>
        <v/>
      </c>
      <c r="D1068" s="14">
        <f t="shared" si="102"/>
        <v>2356</v>
      </c>
      <c r="E1068" s="4" t="str">
        <f>IFERROR(INDEX('LEV R&amp;D'!$D:$D,MATCH(MEDIÇÃO!D1068,'LEV R&amp;D'!$A:$A,0))-INDEX('PROJETO PERFURAÇÃO'!$AH:$AH,MATCH(MEDIÇÃO!D1068,'PROJETO PERFURAÇÃO'!$B:$B,0)),"")</f>
        <v/>
      </c>
      <c r="F1068" s="8" t="str">
        <f>IFERROR(INDEX('PROJETO PERFURAÇÃO'!$AN:$AN,MATCH(MEDIÇÃO!D1068,'PROJETO PERFURAÇÃO'!$B:$B,0)),"")</f>
        <v/>
      </c>
      <c r="G1068" s="3"/>
      <c r="H1068" s="3"/>
      <c r="I1068" s="3" t="str">
        <f>IFERROR(ROUND(INDEX('PROJETO PERFURAÇÃO'!$AB:$AB,MATCH(MEDIÇÃO!K1068,'PROJETO PERFURAÇÃO'!$B:$B,0)),1)&amp;"''","")</f>
        <v/>
      </c>
      <c r="J1068" s="3" t="str">
        <f>IFERROR(IF(INDEX('PROJETO PERFURAÇÃO'!$P:$P,MATCH(MEDIÇÃO!K1068,'PROJETO PERFURAÇÃO'!$B:$B,0))="Production","P",IF(INDEX('PROJETO PERFURAÇÃO'!$P:$P,MATCH(MEDIÇÃO!K1068,'PROJETO PERFURAÇÃO'!$B:$B,0))="Buffer","B",IF(INDEX('PROJETO PERFURAÇÃO'!$P:$P,MATCH(MEDIÇÃO!K1068,'PROJETO PERFURAÇÃO'!$B:$B,0))="Pre-Splitting","S"))),"")</f>
        <v/>
      </c>
      <c r="K1068" s="14">
        <f t="shared" si="103"/>
        <v>2379</v>
      </c>
      <c r="L1068" s="4" t="str">
        <f>IFERROR(INDEX('LEV R&amp;D'!$D:$D,MATCH(MEDIÇÃO!K1068,'LEV R&amp;D'!$A:$A,0))-INDEX('PROJETO PERFURAÇÃO'!$AH:$AH,MATCH(MEDIÇÃO!K1068,'PROJETO PERFURAÇÃO'!$B:$B,0)),"")</f>
        <v/>
      </c>
      <c r="M1068" s="8" t="str">
        <f>IFERROR(INDEX('PROJETO PERFURAÇÃO'!$AN:$AN,MATCH(MEDIÇÃO!K1068,'PROJETO PERFURAÇÃO'!$B:$B,0)),"")</f>
        <v/>
      </c>
      <c r="N1068" s="3"/>
      <c r="O1068" s="3"/>
      <c r="P1068" s="3" t="str">
        <f>IFERROR(ROUND(INDEX('PROJETO PERFURAÇÃO'!$AB:$AB,MATCH(MEDIÇÃO!R1068,'PROJETO PERFURAÇÃO'!$B:$B,0)),1)&amp;"''","")</f>
        <v/>
      </c>
      <c r="Q1068" s="3" t="str">
        <f>IFERROR(IF(INDEX('PROJETO PERFURAÇÃO'!$P:$P,MATCH(MEDIÇÃO!R1068,'PROJETO PERFURAÇÃO'!$B:$B,0))="Production","P",IF(INDEX('PROJETO PERFURAÇÃO'!$P:$P,MATCH(MEDIÇÃO!R1068,'PROJETO PERFURAÇÃO'!$B:$B,0))="Buffer","B",IF(INDEX('PROJETO PERFURAÇÃO'!$P:$P,MATCH(MEDIÇÃO!R1068,'PROJETO PERFURAÇÃO'!$B:$B,0))="Pre-Splitting","S"))),"")</f>
        <v/>
      </c>
      <c r="R1068" s="14">
        <f t="shared" si="104"/>
        <v>2402</v>
      </c>
      <c r="S1068" s="4" t="str">
        <f>IFERROR(INDEX('LEV R&amp;D'!$D:$D,MATCH(MEDIÇÃO!R1068,'LEV R&amp;D'!$A:$A,0))-INDEX('PROJETO PERFURAÇÃO'!$AH:$AH,MATCH(MEDIÇÃO!R1068,'PROJETO PERFURAÇÃO'!$B:$B,0)),"")</f>
        <v/>
      </c>
      <c r="T1068" s="8" t="str">
        <f>IFERROR(INDEX('PROJETO PERFURAÇÃO'!$AN:$AN,MATCH(MEDIÇÃO!R1068,'PROJETO PERFURAÇÃO'!$B:$B,0)),"")</f>
        <v/>
      </c>
      <c r="U1068" s="3"/>
      <c r="V1068" s="3"/>
    </row>
    <row r="1069" spans="1:23" ht="45" customHeight="1">
      <c r="B1069" s="3" t="str">
        <f>IFERROR(ROUND(INDEX('PROJETO PERFURAÇÃO'!$AB:$AB,MATCH(MEDIÇÃO!D1069,'PROJETO PERFURAÇÃO'!$B:$B,0)),1)&amp;"''","")</f>
        <v/>
      </c>
      <c r="C1069" s="3" t="str">
        <f>IFERROR(IF(INDEX('PROJETO PERFURAÇÃO'!$P:$P,MATCH(MEDIÇÃO!D1069,'PROJETO PERFURAÇÃO'!$B:$B,0))="Production","P",IF(INDEX('PROJETO PERFURAÇÃO'!$P:$P,MATCH(MEDIÇÃO!D1069,'PROJETO PERFURAÇÃO'!$B:$B,0))="Buffer","B",IF(INDEX('PROJETO PERFURAÇÃO'!$P:$P,MATCH(MEDIÇÃO!D1069,'PROJETO PERFURAÇÃO'!$B:$B,0))="Pre-Splitting","S"))),"")</f>
        <v/>
      </c>
      <c r="D1069" s="14">
        <f t="shared" si="102"/>
        <v>2357</v>
      </c>
      <c r="E1069" s="4" t="str">
        <f>IFERROR(INDEX('LEV R&amp;D'!$D:$D,MATCH(MEDIÇÃO!D1069,'LEV R&amp;D'!$A:$A,0))-INDEX('PROJETO PERFURAÇÃO'!$AH:$AH,MATCH(MEDIÇÃO!D1069,'PROJETO PERFURAÇÃO'!$B:$B,0)),"")</f>
        <v/>
      </c>
      <c r="F1069" s="8" t="str">
        <f>IFERROR(INDEX('PROJETO PERFURAÇÃO'!$AN:$AN,MATCH(MEDIÇÃO!D1069,'PROJETO PERFURAÇÃO'!$B:$B,0)),"")</f>
        <v/>
      </c>
      <c r="G1069" s="3"/>
      <c r="H1069" s="3"/>
      <c r="I1069" s="3" t="str">
        <f>IFERROR(ROUND(INDEX('PROJETO PERFURAÇÃO'!$AB:$AB,MATCH(MEDIÇÃO!K1069,'PROJETO PERFURAÇÃO'!$B:$B,0)),1)&amp;"''","")</f>
        <v/>
      </c>
      <c r="J1069" s="3" t="str">
        <f>IFERROR(IF(INDEX('PROJETO PERFURAÇÃO'!$P:$P,MATCH(MEDIÇÃO!K1069,'PROJETO PERFURAÇÃO'!$B:$B,0))="Production","P",IF(INDEX('PROJETO PERFURAÇÃO'!$P:$P,MATCH(MEDIÇÃO!K1069,'PROJETO PERFURAÇÃO'!$B:$B,0))="Buffer","B",IF(INDEX('PROJETO PERFURAÇÃO'!$P:$P,MATCH(MEDIÇÃO!K1069,'PROJETO PERFURAÇÃO'!$B:$B,0))="Pre-Splitting","S"))),"")</f>
        <v/>
      </c>
      <c r="K1069" s="14">
        <f t="shared" si="103"/>
        <v>2380</v>
      </c>
      <c r="L1069" s="4" t="str">
        <f>IFERROR(INDEX('LEV R&amp;D'!$D:$D,MATCH(MEDIÇÃO!K1069,'LEV R&amp;D'!$A:$A,0))-INDEX('PROJETO PERFURAÇÃO'!$AH:$AH,MATCH(MEDIÇÃO!K1069,'PROJETO PERFURAÇÃO'!$B:$B,0)),"")</f>
        <v/>
      </c>
      <c r="M1069" s="8" t="str">
        <f>IFERROR(INDEX('PROJETO PERFURAÇÃO'!$AN:$AN,MATCH(MEDIÇÃO!K1069,'PROJETO PERFURAÇÃO'!$B:$B,0)),"")</f>
        <v/>
      </c>
      <c r="N1069" s="3"/>
      <c r="O1069" s="3"/>
      <c r="P1069" s="3" t="str">
        <f>IFERROR(ROUND(INDEX('PROJETO PERFURAÇÃO'!$AB:$AB,MATCH(MEDIÇÃO!R1069,'PROJETO PERFURAÇÃO'!$B:$B,0)),1)&amp;"''","")</f>
        <v/>
      </c>
      <c r="Q1069" s="3" t="str">
        <f>IFERROR(IF(INDEX('PROJETO PERFURAÇÃO'!$P:$P,MATCH(MEDIÇÃO!R1069,'PROJETO PERFURAÇÃO'!$B:$B,0))="Production","P",IF(INDEX('PROJETO PERFURAÇÃO'!$P:$P,MATCH(MEDIÇÃO!R1069,'PROJETO PERFURAÇÃO'!$B:$B,0))="Buffer","B",IF(INDEX('PROJETO PERFURAÇÃO'!$P:$P,MATCH(MEDIÇÃO!R1069,'PROJETO PERFURAÇÃO'!$B:$B,0))="Pre-Splitting","S"))),"")</f>
        <v/>
      </c>
      <c r="R1069" s="14">
        <f t="shared" si="104"/>
        <v>2403</v>
      </c>
      <c r="S1069" s="4" t="str">
        <f>IFERROR(INDEX('LEV R&amp;D'!$D:$D,MATCH(MEDIÇÃO!R1069,'LEV R&amp;D'!$A:$A,0))-INDEX('PROJETO PERFURAÇÃO'!$AH:$AH,MATCH(MEDIÇÃO!R1069,'PROJETO PERFURAÇÃO'!$B:$B,0)),"")</f>
        <v/>
      </c>
      <c r="T1069" s="8" t="str">
        <f>IFERROR(INDEX('PROJETO PERFURAÇÃO'!$AN:$AN,MATCH(MEDIÇÃO!R1069,'PROJETO PERFURAÇÃO'!$B:$B,0)),"")</f>
        <v/>
      </c>
      <c r="U1069" s="3"/>
      <c r="V1069" s="3"/>
    </row>
    <row r="1070" spans="1:23" ht="45" customHeight="1">
      <c r="B1070" s="3" t="str">
        <f>IFERROR(ROUND(INDEX('PROJETO PERFURAÇÃO'!$AB:$AB,MATCH(MEDIÇÃO!D1070,'PROJETO PERFURAÇÃO'!$B:$B,0)),1)&amp;"''","")</f>
        <v/>
      </c>
      <c r="C1070" s="3" t="str">
        <f>IFERROR(IF(INDEX('PROJETO PERFURAÇÃO'!$P:$P,MATCH(MEDIÇÃO!D1070,'PROJETO PERFURAÇÃO'!$B:$B,0))="Production","P",IF(INDEX('PROJETO PERFURAÇÃO'!$P:$P,MATCH(MEDIÇÃO!D1070,'PROJETO PERFURAÇÃO'!$B:$B,0))="Buffer","B",IF(INDEX('PROJETO PERFURAÇÃO'!$P:$P,MATCH(MEDIÇÃO!D1070,'PROJETO PERFURAÇÃO'!$B:$B,0))="Pre-Splitting","S"))),"")</f>
        <v/>
      </c>
      <c r="D1070" s="14">
        <f t="shared" si="102"/>
        <v>2358</v>
      </c>
      <c r="E1070" s="4" t="str">
        <f>IFERROR(INDEX('LEV R&amp;D'!$D:$D,MATCH(MEDIÇÃO!D1070,'LEV R&amp;D'!$A:$A,0))-INDEX('PROJETO PERFURAÇÃO'!$AH:$AH,MATCH(MEDIÇÃO!D1070,'PROJETO PERFURAÇÃO'!$B:$B,0)),"")</f>
        <v/>
      </c>
      <c r="F1070" s="8" t="str">
        <f>IFERROR(INDEX('PROJETO PERFURAÇÃO'!$AN:$AN,MATCH(MEDIÇÃO!D1070,'PROJETO PERFURAÇÃO'!$B:$B,0)),"")</f>
        <v/>
      </c>
      <c r="G1070" s="3"/>
      <c r="H1070" s="3"/>
      <c r="I1070" s="3" t="str">
        <f>IFERROR(ROUND(INDEX('PROJETO PERFURAÇÃO'!$AB:$AB,MATCH(MEDIÇÃO!K1070,'PROJETO PERFURAÇÃO'!$B:$B,0)),1)&amp;"''","")</f>
        <v/>
      </c>
      <c r="J1070" s="3" t="str">
        <f>IFERROR(IF(INDEX('PROJETO PERFURAÇÃO'!$P:$P,MATCH(MEDIÇÃO!K1070,'PROJETO PERFURAÇÃO'!$B:$B,0))="Production","P",IF(INDEX('PROJETO PERFURAÇÃO'!$P:$P,MATCH(MEDIÇÃO!K1070,'PROJETO PERFURAÇÃO'!$B:$B,0))="Buffer","B",IF(INDEX('PROJETO PERFURAÇÃO'!$P:$P,MATCH(MEDIÇÃO!K1070,'PROJETO PERFURAÇÃO'!$B:$B,0))="Pre-Splitting","S"))),"")</f>
        <v/>
      </c>
      <c r="K1070" s="14">
        <f t="shared" si="103"/>
        <v>2381</v>
      </c>
      <c r="L1070" s="4" t="str">
        <f>IFERROR(INDEX('LEV R&amp;D'!$D:$D,MATCH(MEDIÇÃO!K1070,'LEV R&amp;D'!$A:$A,0))-INDEX('PROJETO PERFURAÇÃO'!$AH:$AH,MATCH(MEDIÇÃO!K1070,'PROJETO PERFURAÇÃO'!$B:$B,0)),"")</f>
        <v/>
      </c>
      <c r="M1070" s="8" t="str">
        <f>IFERROR(INDEX('PROJETO PERFURAÇÃO'!$AN:$AN,MATCH(MEDIÇÃO!K1070,'PROJETO PERFURAÇÃO'!$B:$B,0)),"")</f>
        <v/>
      </c>
      <c r="N1070" s="3"/>
      <c r="O1070" s="3"/>
      <c r="P1070" s="3" t="str">
        <f>IFERROR(ROUND(INDEX('PROJETO PERFURAÇÃO'!$AB:$AB,MATCH(MEDIÇÃO!R1070,'PROJETO PERFURAÇÃO'!$B:$B,0)),1)&amp;"''","")</f>
        <v/>
      </c>
      <c r="Q1070" s="3" t="str">
        <f>IFERROR(IF(INDEX('PROJETO PERFURAÇÃO'!$P:$P,MATCH(MEDIÇÃO!R1070,'PROJETO PERFURAÇÃO'!$B:$B,0))="Production","P",IF(INDEX('PROJETO PERFURAÇÃO'!$P:$P,MATCH(MEDIÇÃO!R1070,'PROJETO PERFURAÇÃO'!$B:$B,0))="Buffer","B",IF(INDEX('PROJETO PERFURAÇÃO'!$P:$P,MATCH(MEDIÇÃO!R1070,'PROJETO PERFURAÇÃO'!$B:$B,0))="Pre-Splitting","S"))),"")</f>
        <v/>
      </c>
      <c r="R1070" s="14">
        <f t="shared" si="104"/>
        <v>2404</v>
      </c>
      <c r="S1070" s="4" t="str">
        <f>IFERROR(INDEX('LEV R&amp;D'!$D:$D,MATCH(MEDIÇÃO!R1070,'LEV R&amp;D'!$A:$A,0))-INDEX('PROJETO PERFURAÇÃO'!$AH:$AH,MATCH(MEDIÇÃO!R1070,'PROJETO PERFURAÇÃO'!$B:$B,0)),"")</f>
        <v/>
      </c>
      <c r="T1070" s="8" t="str">
        <f>IFERROR(INDEX('PROJETO PERFURAÇÃO'!$AN:$AN,MATCH(MEDIÇÃO!R1070,'PROJETO PERFURAÇÃO'!$B:$B,0)),"")</f>
        <v/>
      </c>
      <c r="U1070" s="3"/>
      <c r="V1070" s="3"/>
    </row>
    <row r="1071" spans="1:23" ht="45" customHeight="1">
      <c r="B1071" s="3" t="str">
        <f>IFERROR(ROUND(INDEX('PROJETO PERFURAÇÃO'!$AB:$AB,MATCH(MEDIÇÃO!D1071,'PROJETO PERFURAÇÃO'!$B:$B,0)),1)&amp;"''","")</f>
        <v/>
      </c>
      <c r="C1071" s="3" t="str">
        <f>IFERROR(IF(INDEX('PROJETO PERFURAÇÃO'!$P:$P,MATCH(MEDIÇÃO!D1071,'PROJETO PERFURAÇÃO'!$B:$B,0))="Production","P",IF(INDEX('PROJETO PERFURAÇÃO'!$P:$P,MATCH(MEDIÇÃO!D1071,'PROJETO PERFURAÇÃO'!$B:$B,0))="Buffer","B",IF(INDEX('PROJETO PERFURAÇÃO'!$P:$P,MATCH(MEDIÇÃO!D1071,'PROJETO PERFURAÇÃO'!$B:$B,0))="Pre-Splitting","S"))),"")</f>
        <v/>
      </c>
      <c r="D1071" s="14">
        <f t="shared" si="102"/>
        <v>2359</v>
      </c>
      <c r="E1071" s="4" t="str">
        <f>IFERROR(INDEX('LEV R&amp;D'!$D:$D,MATCH(MEDIÇÃO!D1071,'LEV R&amp;D'!$A:$A,0))-INDEX('PROJETO PERFURAÇÃO'!$AH:$AH,MATCH(MEDIÇÃO!D1071,'PROJETO PERFURAÇÃO'!$B:$B,0)),"")</f>
        <v/>
      </c>
      <c r="F1071" s="8" t="str">
        <f>IFERROR(INDEX('PROJETO PERFURAÇÃO'!$AN:$AN,MATCH(MEDIÇÃO!D1071,'PROJETO PERFURAÇÃO'!$B:$B,0)),"")</f>
        <v/>
      </c>
      <c r="G1071" s="3"/>
      <c r="H1071" s="3"/>
      <c r="I1071" s="3" t="str">
        <f>IFERROR(ROUND(INDEX('PROJETO PERFURAÇÃO'!$AB:$AB,MATCH(MEDIÇÃO!K1071,'PROJETO PERFURAÇÃO'!$B:$B,0)),1)&amp;"''","")</f>
        <v/>
      </c>
      <c r="J1071" s="3" t="str">
        <f>IFERROR(IF(INDEX('PROJETO PERFURAÇÃO'!$P:$P,MATCH(MEDIÇÃO!K1071,'PROJETO PERFURAÇÃO'!$B:$B,0))="Production","P",IF(INDEX('PROJETO PERFURAÇÃO'!$P:$P,MATCH(MEDIÇÃO!K1071,'PROJETO PERFURAÇÃO'!$B:$B,0))="Buffer","B",IF(INDEX('PROJETO PERFURAÇÃO'!$P:$P,MATCH(MEDIÇÃO!K1071,'PROJETO PERFURAÇÃO'!$B:$B,0))="Pre-Splitting","S"))),"")</f>
        <v/>
      </c>
      <c r="K1071" s="14">
        <f t="shared" si="103"/>
        <v>2382</v>
      </c>
      <c r="L1071" s="4" t="str">
        <f>IFERROR(INDEX('LEV R&amp;D'!$D:$D,MATCH(MEDIÇÃO!K1071,'LEV R&amp;D'!$A:$A,0))-INDEX('PROJETO PERFURAÇÃO'!$AH:$AH,MATCH(MEDIÇÃO!K1071,'PROJETO PERFURAÇÃO'!$B:$B,0)),"")</f>
        <v/>
      </c>
      <c r="M1071" s="8" t="str">
        <f>IFERROR(INDEX('PROJETO PERFURAÇÃO'!$AN:$AN,MATCH(MEDIÇÃO!K1071,'PROJETO PERFURAÇÃO'!$B:$B,0)),"")</f>
        <v/>
      </c>
      <c r="N1071" s="3"/>
      <c r="O1071" s="3"/>
      <c r="P1071" s="3" t="str">
        <f>IFERROR(ROUND(INDEX('PROJETO PERFURAÇÃO'!$AB:$AB,MATCH(MEDIÇÃO!R1071,'PROJETO PERFURAÇÃO'!$B:$B,0)),1)&amp;"''","")</f>
        <v/>
      </c>
      <c r="Q1071" s="3" t="str">
        <f>IFERROR(IF(INDEX('PROJETO PERFURAÇÃO'!$P:$P,MATCH(MEDIÇÃO!R1071,'PROJETO PERFURAÇÃO'!$B:$B,0))="Production","P",IF(INDEX('PROJETO PERFURAÇÃO'!$P:$P,MATCH(MEDIÇÃO!R1071,'PROJETO PERFURAÇÃO'!$B:$B,0))="Buffer","B",IF(INDEX('PROJETO PERFURAÇÃO'!$P:$P,MATCH(MEDIÇÃO!R1071,'PROJETO PERFURAÇÃO'!$B:$B,0))="Pre-Splitting","S"))),"")</f>
        <v/>
      </c>
      <c r="R1071" s="14">
        <f t="shared" si="104"/>
        <v>2405</v>
      </c>
      <c r="S1071" s="4" t="str">
        <f>IFERROR(INDEX('LEV R&amp;D'!$D:$D,MATCH(MEDIÇÃO!R1071,'LEV R&amp;D'!$A:$A,0))-INDEX('PROJETO PERFURAÇÃO'!$AH:$AH,MATCH(MEDIÇÃO!R1071,'PROJETO PERFURAÇÃO'!$B:$B,0)),"")</f>
        <v/>
      </c>
      <c r="T1071" s="8" t="str">
        <f>IFERROR(INDEX('PROJETO PERFURAÇÃO'!$AN:$AN,MATCH(MEDIÇÃO!R1071,'PROJETO PERFURAÇÃO'!$B:$B,0)),"")</f>
        <v/>
      </c>
      <c r="U1071" s="3"/>
      <c r="V1071" s="3"/>
    </row>
    <row r="1072" spans="1:23" ht="45" customHeight="1">
      <c r="B1072" s="3" t="str">
        <f>IFERROR(ROUND(INDEX('PROJETO PERFURAÇÃO'!$AB:$AB,MATCH(MEDIÇÃO!D1072,'PROJETO PERFURAÇÃO'!$B:$B,0)),1)&amp;"''","")</f>
        <v/>
      </c>
      <c r="C1072" s="3" t="str">
        <f>IFERROR(IF(INDEX('PROJETO PERFURAÇÃO'!$P:$P,MATCH(MEDIÇÃO!D1072,'PROJETO PERFURAÇÃO'!$B:$B,0))="Production","P",IF(INDEX('PROJETO PERFURAÇÃO'!$P:$P,MATCH(MEDIÇÃO!D1072,'PROJETO PERFURAÇÃO'!$B:$B,0))="Buffer","B",IF(INDEX('PROJETO PERFURAÇÃO'!$P:$P,MATCH(MEDIÇÃO!D1072,'PROJETO PERFURAÇÃO'!$B:$B,0))="Pre-Splitting","S"))),"")</f>
        <v/>
      </c>
      <c r="D1072" s="14">
        <f t="shared" si="102"/>
        <v>2360</v>
      </c>
      <c r="E1072" s="4" t="str">
        <f>IFERROR(INDEX('LEV R&amp;D'!$D:$D,MATCH(MEDIÇÃO!D1072,'LEV R&amp;D'!$A:$A,0))-INDEX('PROJETO PERFURAÇÃO'!$AH:$AH,MATCH(MEDIÇÃO!D1072,'PROJETO PERFURAÇÃO'!$B:$B,0)),"")</f>
        <v/>
      </c>
      <c r="F1072" s="8" t="str">
        <f>IFERROR(INDEX('PROJETO PERFURAÇÃO'!$AN:$AN,MATCH(MEDIÇÃO!D1072,'PROJETO PERFURAÇÃO'!$B:$B,0)),"")</f>
        <v/>
      </c>
      <c r="G1072" s="3"/>
      <c r="H1072" s="3"/>
      <c r="I1072" s="3" t="str">
        <f>IFERROR(ROUND(INDEX('PROJETO PERFURAÇÃO'!$AB:$AB,MATCH(MEDIÇÃO!K1072,'PROJETO PERFURAÇÃO'!$B:$B,0)),1)&amp;"''","")</f>
        <v/>
      </c>
      <c r="J1072" s="3" t="str">
        <f>IFERROR(IF(INDEX('PROJETO PERFURAÇÃO'!$P:$P,MATCH(MEDIÇÃO!K1072,'PROJETO PERFURAÇÃO'!$B:$B,0))="Production","P",IF(INDEX('PROJETO PERFURAÇÃO'!$P:$P,MATCH(MEDIÇÃO!K1072,'PROJETO PERFURAÇÃO'!$B:$B,0))="Buffer","B",IF(INDEX('PROJETO PERFURAÇÃO'!$P:$P,MATCH(MEDIÇÃO!K1072,'PROJETO PERFURAÇÃO'!$B:$B,0))="Pre-Splitting","S"))),"")</f>
        <v/>
      </c>
      <c r="K1072" s="14">
        <f t="shared" si="103"/>
        <v>2383</v>
      </c>
      <c r="L1072" s="4" t="str">
        <f>IFERROR(INDEX('LEV R&amp;D'!$D:$D,MATCH(MEDIÇÃO!K1072,'LEV R&amp;D'!$A:$A,0))-INDEX('PROJETO PERFURAÇÃO'!$AH:$AH,MATCH(MEDIÇÃO!K1072,'PROJETO PERFURAÇÃO'!$B:$B,0)),"")</f>
        <v/>
      </c>
      <c r="M1072" s="8" t="str">
        <f>IFERROR(INDEX('PROJETO PERFURAÇÃO'!$AN:$AN,MATCH(MEDIÇÃO!K1072,'PROJETO PERFURAÇÃO'!$B:$B,0)),"")</f>
        <v/>
      </c>
      <c r="N1072" s="3"/>
      <c r="O1072" s="3"/>
      <c r="P1072" s="3" t="str">
        <f>IFERROR(ROUND(INDEX('PROJETO PERFURAÇÃO'!$AB:$AB,MATCH(MEDIÇÃO!R1072,'PROJETO PERFURAÇÃO'!$B:$B,0)),1)&amp;"''","")</f>
        <v/>
      </c>
      <c r="Q1072" s="3" t="str">
        <f>IFERROR(IF(INDEX('PROJETO PERFURAÇÃO'!$P:$P,MATCH(MEDIÇÃO!R1072,'PROJETO PERFURAÇÃO'!$B:$B,0))="Production","P",IF(INDEX('PROJETO PERFURAÇÃO'!$P:$P,MATCH(MEDIÇÃO!R1072,'PROJETO PERFURAÇÃO'!$B:$B,0))="Buffer","B",IF(INDEX('PROJETO PERFURAÇÃO'!$P:$P,MATCH(MEDIÇÃO!R1072,'PROJETO PERFURAÇÃO'!$B:$B,0))="Pre-Splitting","S"))),"")</f>
        <v/>
      </c>
      <c r="R1072" s="14">
        <f t="shared" si="104"/>
        <v>2406</v>
      </c>
      <c r="S1072" s="4" t="str">
        <f>IFERROR(INDEX('LEV R&amp;D'!$D:$D,MATCH(MEDIÇÃO!R1072,'LEV R&amp;D'!$A:$A,0))-INDEX('PROJETO PERFURAÇÃO'!$AH:$AH,MATCH(MEDIÇÃO!R1072,'PROJETO PERFURAÇÃO'!$B:$B,0)),"")</f>
        <v/>
      </c>
      <c r="T1072" s="8" t="str">
        <f>IFERROR(INDEX('PROJETO PERFURAÇÃO'!$AN:$AN,MATCH(MEDIÇÃO!R1072,'PROJETO PERFURAÇÃO'!$B:$B,0)),"")</f>
        <v/>
      </c>
      <c r="U1072" s="3"/>
      <c r="V1072" s="3"/>
    </row>
    <row r="1073" spans="2:22" ht="45" customHeight="1">
      <c r="B1073" s="3" t="str">
        <f>IFERROR(ROUND(INDEX('PROJETO PERFURAÇÃO'!$AB:$AB,MATCH(MEDIÇÃO!D1073,'PROJETO PERFURAÇÃO'!$B:$B,0)),1)&amp;"''","")</f>
        <v/>
      </c>
      <c r="C1073" s="3" t="str">
        <f>IFERROR(IF(INDEX('PROJETO PERFURAÇÃO'!$P:$P,MATCH(MEDIÇÃO!D1073,'PROJETO PERFURAÇÃO'!$B:$B,0))="Production","P",IF(INDEX('PROJETO PERFURAÇÃO'!$P:$P,MATCH(MEDIÇÃO!D1073,'PROJETO PERFURAÇÃO'!$B:$B,0))="Buffer","B",IF(INDEX('PROJETO PERFURAÇÃO'!$P:$P,MATCH(MEDIÇÃO!D1073,'PROJETO PERFURAÇÃO'!$B:$B,0))="Pre-Splitting","S"))),"")</f>
        <v/>
      </c>
      <c r="D1073" s="14">
        <f t="shared" si="102"/>
        <v>2361</v>
      </c>
      <c r="E1073" s="4" t="str">
        <f>IFERROR(INDEX('LEV R&amp;D'!$D:$D,MATCH(MEDIÇÃO!D1073,'LEV R&amp;D'!$A:$A,0))-INDEX('PROJETO PERFURAÇÃO'!$AH:$AH,MATCH(MEDIÇÃO!D1073,'PROJETO PERFURAÇÃO'!$B:$B,0)),"")</f>
        <v/>
      </c>
      <c r="F1073" s="8" t="str">
        <f>IFERROR(INDEX('PROJETO PERFURAÇÃO'!$AN:$AN,MATCH(MEDIÇÃO!D1073,'PROJETO PERFURAÇÃO'!$B:$B,0)),"")</f>
        <v/>
      </c>
      <c r="G1073" s="3"/>
      <c r="H1073" s="3"/>
      <c r="I1073" s="3" t="str">
        <f>IFERROR(ROUND(INDEX('PROJETO PERFURAÇÃO'!$AB:$AB,MATCH(MEDIÇÃO!K1073,'PROJETO PERFURAÇÃO'!$B:$B,0)),1)&amp;"''","")</f>
        <v/>
      </c>
      <c r="J1073" s="3" t="str">
        <f>IFERROR(IF(INDEX('PROJETO PERFURAÇÃO'!$P:$P,MATCH(MEDIÇÃO!K1073,'PROJETO PERFURAÇÃO'!$B:$B,0))="Production","P",IF(INDEX('PROJETO PERFURAÇÃO'!$P:$P,MATCH(MEDIÇÃO!K1073,'PROJETO PERFURAÇÃO'!$B:$B,0))="Buffer","B",IF(INDEX('PROJETO PERFURAÇÃO'!$P:$P,MATCH(MEDIÇÃO!K1073,'PROJETO PERFURAÇÃO'!$B:$B,0))="Pre-Splitting","S"))),"")</f>
        <v/>
      </c>
      <c r="K1073" s="14">
        <f t="shared" si="103"/>
        <v>2384</v>
      </c>
      <c r="L1073" s="4" t="str">
        <f>IFERROR(INDEX('LEV R&amp;D'!$D:$D,MATCH(MEDIÇÃO!K1073,'LEV R&amp;D'!$A:$A,0))-INDEX('PROJETO PERFURAÇÃO'!$AH:$AH,MATCH(MEDIÇÃO!K1073,'PROJETO PERFURAÇÃO'!$B:$B,0)),"")</f>
        <v/>
      </c>
      <c r="M1073" s="8" t="str">
        <f>IFERROR(INDEX('PROJETO PERFURAÇÃO'!$AN:$AN,MATCH(MEDIÇÃO!K1073,'PROJETO PERFURAÇÃO'!$B:$B,0)),"")</f>
        <v/>
      </c>
      <c r="N1073" s="3"/>
      <c r="O1073" s="3"/>
      <c r="P1073" s="3" t="str">
        <f>IFERROR(ROUND(INDEX('PROJETO PERFURAÇÃO'!$AB:$AB,MATCH(MEDIÇÃO!R1073,'PROJETO PERFURAÇÃO'!$B:$B,0)),1)&amp;"''","")</f>
        <v/>
      </c>
      <c r="Q1073" s="3" t="str">
        <f>IFERROR(IF(INDEX('PROJETO PERFURAÇÃO'!$P:$P,MATCH(MEDIÇÃO!R1073,'PROJETO PERFURAÇÃO'!$B:$B,0))="Production","P",IF(INDEX('PROJETO PERFURAÇÃO'!$P:$P,MATCH(MEDIÇÃO!R1073,'PROJETO PERFURAÇÃO'!$B:$B,0))="Buffer","B",IF(INDEX('PROJETO PERFURAÇÃO'!$P:$P,MATCH(MEDIÇÃO!R1073,'PROJETO PERFURAÇÃO'!$B:$B,0))="Pre-Splitting","S"))),"")</f>
        <v/>
      </c>
      <c r="R1073" s="14">
        <f t="shared" si="104"/>
        <v>2407</v>
      </c>
      <c r="S1073" s="4" t="str">
        <f>IFERROR(INDEX('LEV R&amp;D'!$D:$D,MATCH(MEDIÇÃO!R1073,'LEV R&amp;D'!$A:$A,0))-INDEX('PROJETO PERFURAÇÃO'!$AH:$AH,MATCH(MEDIÇÃO!R1073,'PROJETO PERFURAÇÃO'!$B:$B,0)),"")</f>
        <v/>
      </c>
      <c r="T1073" s="8" t="str">
        <f>IFERROR(INDEX('PROJETO PERFURAÇÃO'!$AN:$AN,MATCH(MEDIÇÃO!R1073,'PROJETO PERFURAÇÃO'!$B:$B,0)),"")</f>
        <v/>
      </c>
      <c r="U1073" s="3"/>
      <c r="V1073" s="3"/>
    </row>
    <row r="1074" spans="2:22" ht="45" customHeight="1">
      <c r="B1074" s="3" t="str">
        <f>IFERROR(ROUND(INDEX('PROJETO PERFURAÇÃO'!$AB:$AB,MATCH(MEDIÇÃO!D1074,'PROJETO PERFURAÇÃO'!$B:$B,0)),1)&amp;"''","")</f>
        <v/>
      </c>
      <c r="C1074" s="3" t="str">
        <f>IFERROR(IF(INDEX('PROJETO PERFURAÇÃO'!$P:$P,MATCH(MEDIÇÃO!D1074,'PROJETO PERFURAÇÃO'!$B:$B,0))="Production","P",IF(INDEX('PROJETO PERFURAÇÃO'!$P:$P,MATCH(MEDIÇÃO!D1074,'PROJETO PERFURAÇÃO'!$B:$B,0))="Buffer","B",IF(INDEX('PROJETO PERFURAÇÃO'!$P:$P,MATCH(MEDIÇÃO!D1074,'PROJETO PERFURAÇÃO'!$B:$B,0))="Pre-Splitting","S"))),"")</f>
        <v/>
      </c>
      <c r="D1074" s="14">
        <f t="shared" si="102"/>
        <v>2362</v>
      </c>
      <c r="E1074" s="4" t="str">
        <f>IFERROR(INDEX('LEV R&amp;D'!$D:$D,MATCH(MEDIÇÃO!D1074,'LEV R&amp;D'!$A:$A,0))-INDEX('PROJETO PERFURAÇÃO'!$AH:$AH,MATCH(MEDIÇÃO!D1074,'PROJETO PERFURAÇÃO'!$B:$B,0)),"")</f>
        <v/>
      </c>
      <c r="F1074" s="8" t="str">
        <f>IFERROR(INDEX('PROJETO PERFURAÇÃO'!$AN:$AN,MATCH(MEDIÇÃO!D1074,'PROJETO PERFURAÇÃO'!$B:$B,0)),"")</f>
        <v/>
      </c>
      <c r="G1074" s="3"/>
      <c r="H1074" s="3"/>
      <c r="I1074" s="3" t="str">
        <f>IFERROR(ROUND(INDEX('PROJETO PERFURAÇÃO'!$AB:$AB,MATCH(MEDIÇÃO!K1074,'PROJETO PERFURAÇÃO'!$B:$B,0)),1)&amp;"''","")</f>
        <v/>
      </c>
      <c r="J1074" s="3" t="str">
        <f>IFERROR(IF(INDEX('PROJETO PERFURAÇÃO'!$P:$P,MATCH(MEDIÇÃO!K1074,'PROJETO PERFURAÇÃO'!$B:$B,0))="Production","P",IF(INDEX('PROJETO PERFURAÇÃO'!$P:$P,MATCH(MEDIÇÃO!K1074,'PROJETO PERFURAÇÃO'!$B:$B,0))="Buffer","B",IF(INDEX('PROJETO PERFURAÇÃO'!$P:$P,MATCH(MEDIÇÃO!K1074,'PROJETO PERFURAÇÃO'!$B:$B,0))="Pre-Splitting","S"))),"")</f>
        <v/>
      </c>
      <c r="K1074" s="14">
        <f t="shared" si="103"/>
        <v>2385</v>
      </c>
      <c r="L1074" s="4" t="str">
        <f>IFERROR(INDEX('LEV R&amp;D'!$D:$D,MATCH(MEDIÇÃO!K1074,'LEV R&amp;D'!$A:$A,0))-INDEX('PROJETO PERFURAÇÃO'!$AH:$AH,MATCH(MEDIÇÃO!K1074,'PROJETO PERFURAÇÃO'!$B:$B,0)),"")</f>
        <v/>
      </c>
      <c r="M1074" s="8" t="str">
        <f>IFERROR(INDEX('PROJETO PERFURAÇÃO'!$AN:$AN,MATCH(MEDIÇÃO!K1074,'PROJETO PERFURAÇÃO'!$B:$B,0)),"")</f>
        <v/>
      </c>
      <c r="N1074" s="3"/>
      <c r="O1074" s="3"/>
      <c r="P1074" s="3" t="str">
        <f>IFERROR(ROUND(INDEX('PROJETO PERFURAÇÃO'!$AB:$AB,MATCH(MEDIÇÃO!R1074,'PROJETO PERFURAÇÃO'!$B:$B,0)),1)&amp;"''","")</f>
        <v/>
      </c>
      <c r="Q1074" s="3" t="str">
        <f>IFERROR(IF(INDEX('PROJETO PERFURAÇÃO'!$P:$P,MATCH(MEDIÇÃO!R1074,'PROJETO PERFURAÇÃO'!$B:$B,0))="Production","P",IF(INDEX('PROJETO PERFURAÇÃO'!$P:$P,MATCH(MEDIÇÃO!R1074,'PROJETO PERFURAÇÃO'!$B:$B,0))="Buffer","B",IF(INDEX('PROJETO PERFURAÇÃO'!$P:$P,MATCH(MEDIÇÃO!R1074,'PROJETO PERFURAÇÃO'!$B:$B,0))="Pre-Splitting","S"))),"")</f>
        <v/>
      </c>
      <c r="R1074" s="14">
        <f t="shared" si="104"/>
        <v>2408</v>
      </c>
      <c r="S1074" s="4" t="str">
        <f>IFERROR(INDEX('LEV R&amp;D'!$D:$D,MATCH(MEDIÇÃO!R1074,'LEV R&amp;D'!$A:$A,0))-INDEX('PROJETO PERFURAÇÃO'!$AH:$AH,MATCH(MEDIÇÃO!R1074,'PROJETO PERFURAÇÃO'!$B:$B,0)),"")</f>
        <v/>
      </c>
      <c r="T1074" s="8" t="str">
        <f>IFERROR(INDEX('PROJETO PERFURAÇÃO'!$AN:$AN,MATCH(MEDIÇÃO!R1074,'PROJETO PERFURAÇÃO'!$B:$B,0)),"")</f>
        <v/>
      </c>
      <c r="U1074" s="3"/>
      <c r="V1074" s="3"/>
    </row>
    <row r="1075" spans="2:22" ht="45" customHeight="1">
      <c r="B1075" s="3" t="str">
        <f>IFERROR(ROUND(INDEX('PROJETO PERFURAÇÃO'!$AB:$AB,MATCH(MEDIÇÃO!D1075,'PROJETO PERFURAÇÃO'!$B:$B,0)),1)&amp;"''","")</f>
        <v/>
      </c>
      <c r="C1075" s="3" t="str">
        <f>IFERROR(IF(INDEX('PROJETO PERFURAÇÃO'!$P:$P,MATCH(MEDIÇÃO!D1075,'PROJETO PERFURAÇÃO'!$B:$B,0))="Production","P",IF(INDEX('PROJETO PERFURAÇÃO'!$P:$P,MATCH(MEDIÇÃO!D1075,'PROJETO PERFURAÇÃO'!$B:$B,0))="Buffer","B",IF(INDEX('PROJETO PERFURAÇÃO'!$P:$P,MATCH(MEDIÇÃO!D1075,'PROJETO PERFURAÇÃO'!$B:$B,0))="Pre-Splitting","S"))),"")</f>
        <v/>
      </c>
      <c r="D1075" s="14">
        <f t="shared" si="102"/>
        <v>2363</v>
      </c>
      <c r="E1075" s="4" t="str">
        <f>IFERROR(INDEX('LEV R&amp;D'!$D:$D,MATCH(MEDIÇÃO!D1075,'LEV R&amp;D'!$A:$A,0))-INDEX('PROJETO PERFURAÇÃO'!$AH:$AH,MATCH(MEDIÇÃO!D1075,'PROJETO PERFURAÇÃO'!$B:$B,0)),"")</f>
        <v/>
      </c>
      <c r="F1075" s="8" t="str">
        <f>IFERROR(INDEX('PROJETO PERFURAÇÃO'!$AN:$AN,MATCH(MEDIÇÃO!D1075,'PROJETO PERFURAÇÃO'!$B:$B,0)),"")</f>
        <v/>
      </c>
      <c r="G1075" s="3"/>
      <c r="H1075" s="3"/>
      <c r="I1075" s="3" t="str">
        <f>IFERROR(ROUND(INDEX('PROJETO PERFURAÇÃO'!$AB:$AB,MATCH(MEDIÇÃO!K1075,'PROJETO PERFURAÇÃO'!$B:$B,0)),1)&amp;"''","")</f>
        <v/>
      </c>
      <c r="J1075" s="3" t="str">
        <f>IFERROR(IF(INDEX('PROJETO PERFURAÇÃO'!$P:$P,MATCH(MEDIÇÃO!K1075,'PROJETO PERFURAÇÃO'!$B:$B,0))="Production","P",IF(INDEX('PROJETO PERFURAÇÃO'!$P:$P,MATCH(MEDIÇÃO!K1075,'PROJETO PERFURAÇÃO'!$B:$B,0))="Buffer","B",IF(INDEX('PROJETO PERFURAÇÃO'!$P:$P,MATCH(MEDIÇÃO!K1075,'PROJETO PERFURAÇÃO'!$B:$B,0))="Pre-Splitting","S"))),"")</f>
        <v/>
      </c>
      <c r="K1075" s="14">
        <f t="shared" si="103"/>
        <v>2386</v>
      </c>
      <c r="L1075" s="4" t="str">
        <f>IFERROR(INDEX('LEV R&amp;D'!$D:$D,MATCH(MEDIÇÃO!K1075,'LEV R&amp;D'!$A:$A,0))-INDEX('PROJETO PERFURAÇÃO'!$AH:$AH,MATCH(MEDIÇÃO!K1075,'PROJETO PERFURAÇÃO'!$B:$B,0)),"")</f>
        <v/>
      </c>
      <c r="M1075" s="8" t="str">
        <f>IFERROR(INDEX('PROJETO PERFURAÇÃO'!$AN:$AN,MATCH(MEDIÇÃO!K1075,'PROJETO PERFURAÇÃO'!$B:$B,0)),"")</f>
        <v/>
      </c>
      <c r="N1075" s="3"/>
      <c r="O1075" s="3"/>
      <c r="P1075" s="3" t="str">
        <f>IFERROR(ROUND(INDEX('PROJETO PERFURAÇÃO'!$AB:$AB,MATCH(MEDIÇÃO!R1075,'PROJETO PERFURAÇÃO'!$B:$B,0)),1)&amp;"''","")</f>
        <v/>
      </c>
      <c r="Q1075" s="3" t="str">
        <f>IFERROR(IF(INDEX('PROJETO PERFURAÇÃO'!$P:$P,MATCH(MEDIÇÃO!R1075,'PROJETO PERFURAÇÃO'!$B:$B,0))="Production","P",IF(INDEX('PROJETO PERFURAÇÃO'!$P:$P,MATCH(MEDIÇÃO!R1075,'PROJETO PERFURAÇÃO'!$B:$B,0))="Buffer","B",IF(INDEX('PROJETO PERFURAÇÃO'!$P:$P,MATCH(MEDIÇÃO!R1075,'PROJETO PERFURAÇÃO'!$B:$B,0))="Pre-Splitting","S"))),"")</f>
        <v/>
      </c>
      <c r="R1075" s="14">
        <f t="shared" si="104"/>
        <v>2409</v>
      </c>
      <c r="S1075" s="4" t="str">
        <f>IFERROR(INDEX('LEV R&amp;D'!$D:$D,MATCH(MEDIÇÃO!R1075,'LEV R&amp;D'!$A:$A,0))-INDEX('PROJETO PERFURAÇÃO'!$AH:$AH,MATCH(MEDIÇÃO!R1075,'PROJETO PERFURAÇÃO'!$B:$B,0)),"")</f>
        <v/>
      </c>
      <c r="T1075" s="8" t="str">
        <f>IFERROR(INDEX('PROJETO PERFURAÇÃO'!$AN:$AN,MATCH(MEDIÇÃO!R1075,'PROJETO PERFURAÇÃO'!$B:$B,0)),"")</f>
        <v/>
      </c>
      <c r="U1075" s="3"/>
      <c r="V1075" s="3"/>
    </row>
    <row r="1076" spans="2:22" ht="45" customHeight="1">
      <c r="B1076" s="3" t="str">
        <f>IFERROR(ROUND(INDEX('PROJETO PERFURAÇÃO'!$AB:$AB,MATCH(MEDIÇÃO!D1076,'PROJETO PERFURAÇÃO'!$B:$B,0)),1)&amp;"''","")</f>
        <v/>
      </c>
      <c r="C1076" s="3" t="str">
        <f>IFERROR(IF(INDEX('PROJETO PERFURAÇÃO'!$P:$P,MATCH(MEDIÇÃO!D1076,'PROJETO PERFURAÇÃO'!$B:$B,0))="Production","P",IF(INDEX('PROJETO PERFURAÇÃO'!$P:$P,MATCH(MEDIÇÃO!D1076,'PROJETO PERFURAÇÃO'!$B:$B,0))="Buffer","B",IF(INDEX('PROJETO PERFURAÇÃO'!$P:$P,MATCH(MEDIÇÃO!D1076,'PROJETO PERFURAÇÃO'!$B:$B,0))="Pre-Splitting","S"))),"")</f>
        <v/>
      </c>
      <c r="D1076" s="14">
        <f t="shared" si="102"/>
        <v>2364</v>
      </c>
      <c r="E1076" s="4" t="str">
        <f>IFERROR(INDEX('LEV R&amp;D'!$D:$D,MATCH(MEDIÇÃO!D1076,'LEV R&amp;D'!$A:$A,0))-INDEX('PROJETO PERFURAÇÃO'!$AH:$AH,MATCH(MEDIÇÃO!D1076,'PROJETO PERFURAÇÃO'!$B:$B,0)),"")</f>
        <v/>
      </c>
      <c r="F1076" s="8" t="str">
        <f>IFERROR(INDEX('PROJETO PERFURAÇÃO'!$AN:$AN,MATCH(MEDIÇÃO!D1076,'PROJETO PERFURAÇÃO'!$B:$B,0)),"")</f>
        <v/>
      </c>
      <c r="G1076" s="3"/>
      <c r="H1076" s="3"/>
      <c r="I1076" s="3" t="str">
        <f>IFERROR(ROUND(INDEX('PROJETO PERFURAÇÃO'!$AB:$AB,MATCH(MEDIÇÃO!K1076,'PROJETO PERFURAÇÃO'!$B:$B,0)),1)&amp;"''","")</f>
        <v/>
      </c>
      <c r="J1076" s="3" t="str">
        <f>IFERROR(IF(INDEX('PROJETO PERFURAÇÃO'!$P:$P,MATCH(MEDIÇÃO!K1076,'PROJETO PERFURAÇÃO'!$B:$B,0))="Production","P",IF(INDEX('PROJETO PERFURAÇÃO'!$P:$P,MATCH(MEDIÇÃO!K1076,'PROJETO PERFURAÇÃO'!$B:$B,0))="Buffer","B",IF(INDEX('PROJETO PERFURAÇÃO'!$P:$P,MATCH(MEDIÇÃO!K1076,'PROJETO PERFURAÇÃO'!$B:$B,0))="Pre-Splitting","S"))),"")</f>
        <v/>
      </c>
      <c r="K1076" s="14">
        <f t="shared" si="103"/>
        <v>2387</v>
      </c>
      <c r="L1076" s="4" t="str">
        <f>IFERROR(INDEX('LEV R&amp;D'!$D:$D,MATCH(MEDIÇÃO!K1076,'LEV R&amp;D'!$A:$A,0))-INDEX('PROJETO PERFURAÇÃO'!$AH:$AH,MATCH(MEDIÇÃO!K1076,'PROJETO PERFURAÇÃO'!$B:$B,0)),"")</f>
        <v/>
      </c>
      <c r="M1076" s="8" t="str">
        <f>IFERROR(INDEX('PROJETO PERFURAÇÃO'!$AN:$AN,MATCH(MEDIÇÃO!K1076,'PROJETO PERFURAÇÃO'!$B:$B,0)),"")</f>
        <v/>
      </c>
      <c r="N1076" s="3"/>
      <c r="O1076" s="3"/>
      <c r="P1076" s="3" t="str">
        <f>IFERROR(ROUND(INDEX('PROJETO PERFURAÇÃO'!$AB:$AB,MATCH(MEDIÇÃO!R1076,'PROJETO PERFURAÇÃO'!$B:$B,0)),1)&amp;"''","")</f>
        <v/>
      </c>
      <c r="Q1076" s="3" t="str">
        <f>IFERROR(IF(INDEX('PROJETO PERFURAÇÃO'!$P:$P,MATCH(MEDIÇÃO!R1076,'PROJETO PERFURAÇÃO'!$B:$B,0))="Production","P",IF(INDEX('PROJETO PERFURAÇÃO'!$P:$P,MATCH(MEDIÇÃO!R1076,'PROJETO PERFURAÇÃO'!$B:$B,0))="Buffer","B",IF(INDEX('PROJETO PERFURAÇÃO'!$P:$P,MATCH(MEDIÇÃO!R1076,'PROJETO PERFURAÇÃO'!$B:$B,0))="Pre-Splitting","S"))),"")</f>
        <v/>
      </c>
      <c r="R1076" s="14">
        <f t="shared" si="104"/>
        <v>2410</v>
      </c>
      <c r="S1076" s="4" t="str">
        <f>IFERROR(INDEX('LEV R&amp;D'!$D:$D,MATCH(MEDIÇÃO!R1076,'LEV R&amp;D'!$A:$A,0))-INDEX('PROJETO PERFURAÇÃO'!$AH:$AH,MATCH(MEDIÇÃO!R1076,'PROJETO PERFURAÇÃO'!$B:$B,0)),"")</f>
        <v/>
      </c>
      <c r="T1076" s="8" t="str">
        <f>IFERROR(INDEX('PROJETO PERFURAÇÃO'!$AN:$AN,MATCH(MEDIÇÃO!R1076,'PROJETO PERFURAÇÃO'!$B:$B,0)),"")</f>
        <v/>
      </c>
      <c r="U1076" s="3"/>
      <c r="V1076" s="3"/>
    </row>
    <row r="1077" spans="2:22" ht="45" customHeight="1">
      <c r="B1077" s="3" t="str">
        <f>IFERROR(ROUND(INDEX('PROJETO PERFURAÇÃO'!$AB:$AB,MATCH(MEDIÇÃO!D1077,'PROJETO PERFURAÇÃO'!$B:$B,0)),1)&amp;"''","")</f>
        <v/>
      </c>
      <c r="C1077" s="3" t="str">
        <f>IFERROR(IF(INDEX('PROJETO PERFURAÇÃO'!$P:$P,MATCH(MEDIÇÃO!D1077,'PROJETO PERFURAÇÃO'!$B:$B,0))="Production","P",IF(INDEX('PROJETO PERFURAÇÃO'!$P:$P,MATCH(MEDIÇÃO!D1077,'PROJETO PERFURAÇÃO'!$B:$B,0))="Buffer","B",IF(INDEX('PROJETO PERFURAÇÃO'!$P:$P,MATCH(MEDIÇÃO!D1077,'PROJETO PERFURAÇÃO'!$B:$B,0))="Pre-Splitting","S"))),"")</f>
        <v/>
      </c>
      <c r="D1077" s="14">
        <f t="shared" si="102"/>
        <v>2365</v>
      </c>
      <c r="E1077" s="4" t="str">
        <f>IFERROR(INDEX('LEV R&amp;D'!$D:$D,MATCH(MEDIÇÃO!D1077,'LEV R&amp;D'!$A:$A,0))-INDEX('PROJETO PERFURAÇÃO'!$AH:$AH,MATCH(MEDIÇÃO!D1077,'PROJETO PERFURAÇÃO'!$B:$B,0)),"")</f>
        <v/>
      </c>
      <c r="F1077" s="8" t="str">
        <f>IFERROR(INDEX('PROJETO PERFURAÇÃO'!$AN:$AN,MATCH(MEDIÇÃO!D1077,'PROJETO PERFURAÇÃO'!$B:$B,0)),"")</f>
        <v/>
      </c>
      <c r="G1077" s="3"/>
      <c r="H1077" s="3"/>
      <c r="I1077" s="3" t="str">
        <f>IFERROR(ROUND(INDEX('PROJETO PERFURAÇÃO'!$AB:$AB,MATCH(MEDIÇÃO!K1077,'PROJETO PERFURAÇÃO'!$B:$B,0)),1)&amp;"''","")</f>
        <v/>
      </c>
      <c r="J1077" s="3" t="str">
        <f>IFERROR(IF(INDEX('PROJETO PERFURAÇÃO'!$P:$P,MATCH(MEDIÇÃO!K1077,'PROJETO PERFURAÇÃO'!$B:$B,0))="Production","P",IF(INDEX('PROJETO PERFURAÇÃO'!$P:$P,MATCH(MEDIÇÃO!K1077,'PROJETO PERFURAÇÃO'!$B:$B,0))="Buffer","B",IF(INDEX('PROJETO PERFURAÇÃO'!$P:$P,MATCH(MEDIÇÃO!K1077,'PROJETO PERFURAÇÃO'!$B:$B,0))="Pre-Splitting","S"))),"")</f>
        <v/>
      </c>
      <c r="K1077" s="14">
        <f t="shared" si="103"/>
        <v>2388</v>
      </c>
      <c r="L1077" s="4" t="str">
        <f>IFERROR(INDEX('LEV R&amp;D'!$D:$D,MATCH(MEDIÇÃO!K1077,'LEV R&amp;D'!$A:$A,0))-INDEX('PROJETO PERFURAÇÃO'!$AH:$AH,MATCH(MEDIÇÃO!K1077,'PROJETO PERFURAÇÃO'!$B:$B,0)),"")</f>
        <v/>
      </c>
      <c r="M1077" s="8" t="str">
        <f>IFERROR(INDEX('PROJETO PERFURAÇÃO'!$AN:$AN,MATCH(MEDIÇÃO!K1077,'PROJETO PERFURAÇÃO'!$B:$B,0)),"")</f>
        <v/>
      </c>
      <c r="N1077" s="3"/>
      <c r="O1077" s="3"/>
      <c r="P1077" s="3" t="str">
        <f>IFERROR(ROUND(INDEX('PROJETO PERFURAÇÃO'!$AB:$AB,MATCH(MEDIÇÃO!R1077,'PROJETO PERFURAÇÃO'!$B:$B,0)),1)&amp;"''","")</f>
        <v/>
      </c>
      <c r="Q1077" s="3" t="str">
        <f>IFERROR(IF(INDEX('PROJETO PERFURAÇÃO'!$P:$P,MATCH(MEDIÇÃO!R1077,'PROJETO PERFURAÇÃO'!$B:$B,0))="Production","P",IF(INDEX('PROJETO PERFURAÇÃO'!$P:$P,MATCH(MEDIÇÃO!R1077,'PROJETO PERFURAÇÃO'!$B:$B,0))="Buffer","B",IF(INDEX('PROJETO PERFURAÇÃO'!$P:$P,MATCH(MEDIÇÃO!R1077,'PROJETO PERFURAÇÃO'!$B:$B,0))="Pre-Splitting","S"))),"")</f>
        <v/>
      </c>
      <c r="R1077" s="14">
        <f t="shared" si="104"/>
        <v>2411</v>
      </c>
      <c r="S1077" s="4" t="str">
        <f>IFERROR(INDEX('LEV R&amp;D'!$D:$D,MATCH(MEDIÇÃO!R1077,'LEV R&amp;D'!$A:$A,0))-INDEX('PROJETO PERFURAÇÃO'!$AH:$AH,MATCH(MEDIÇÃO!R1077,'PROJETO PERFURAÇÃO'!$B:$B,0)),"")</f>
        <v/>
      </c>
      <c r="T1077" s="8" t="str">
        <f>IFERROR(INDEX('PROJETO PERFURAÇÃO'!$AN:$AN,MATCH(MEDIÇÃO!R1077,'PROJETO PERFURAÇÃO'!$B:$B,0)),"")</f>
        <v/>
      </c>
      <c r="U1077" s="3"/>
      <c r="V1077" s="3"/>
    </row>
    <row r="1078" spans="2:22" ht="45" customHeight="1">
      <c r="B1078" s="3" t="str">
        <f>IFERROR(ROUND(INDEX('PROJETO PERFURAÇÃO'!$AB:$AB,MATCH(MEDIÇÃO!D1078,'PROJETO PERFURAÇÃO'!$B:$B,0)),1)&amp;"''","")</f>
        <v/>
      </c>
      <c r="C1078" s="3" t="str">
        <f>IFERROR(IF(INDEX('PROJETO PERFURAÇÃO'!$P:$P,MATCH(MEDIÇÃO!D1078,'PROJETO PERFURAÇÃO'!$B:$B,0))="Production","P",IF(INDEX('PROJETO PERFURAÇÃO'!$P:$P,MATCH(MEDIÇÃO!D1078,'PROJETO PERFURAÇÃO'!$B:$B,0))="Buffer","B",IF(INDEX('PROJETO PERFURAÇÃO'!$P:$P,MATCH(MEDIÇÃO!D1078,'PROJETO PERFURAÇÃO'!$B:$B,0))="Pre-Splitting","S"))),"")</f>
        <v/>
      </c>
      <c r="D1078" s="14">
        <f t="shared" si="102"/>
        <v>2366</v>
      </c>
      <c r="E1078" s="4" t="str">
        <f>IFERROR(INDEX('LEV R&amp;D'!$D:$D,MATCH(MEDIÇÃO!D1078,'LEV R&amp;D'!$A:$A,0))-INDEX('PROJETO PERFURAÇÃO'!$AH:$AH,MATCH(MEDIÇÃO!D1078,'PROJETO PERFURAÇÃO'!$B:$B,0)),"")</f>
        <v/>
      </c>
      <c r="F1078" s="8" t="str">
        <f>IFERROR(INDEX('PROJETO PERFURAÇÃO'!$AN:$AN,MATCH(MEDIÇÃO!D1078,'PROJETO PERFURAÇÃO'!$B:$B,0)),"")</f>
        <v/>
      </c>
      <c r="G1078" s="3"/>
      <c r="H1078" s="3"/>
      <c r="I1078" s="3" t="str">
        <f>IFERROR(ROUND(INDEX('PROJETO PERFURAÇÃO'!$AB:$AB,MATCH(MEDIÇÃO!K1078,'PROJETO PERFURAÇÃO'!$B:$B,0)),1)&amp;"''","")</f>
        <v/>
      </c>
      <c r="J1078" s="3" t="str">
        <f>IFERROR(IF(INDEX('PROJETO PERFURAÇÃO'!$P:$P,MATCH(MEDIÇÃO!K1078,'PROJETO PERFURAÇÃO'!$B:$B,0))="Production","P",IF(INDEX('PROJETO PERFURAÇÃO'!$P:$P,MATCH(MEDIÇÃO!K1078,'PROJETO PERFURAÇÃO'!$B:$B,0))="Buffer","B",IF(INDEX('PROJETO PERFURAÇÃO'!$P:$P,MATCH(MEDIÇÃO!K1078,'PROJETO PERFURAÇÃO'!$B:$B,0))="Pre-Splitting","S"))),"")</f>
        <v/>
      </c>
      <c r="K1078" s="14">
        <f t="shared" si="103"/>
        <v>2389</v>
      </c>
      <c r="L1078" s="4" t="str">
        <f>IFERROR(INDEX('LEV R&amp;D'!$D:$D,MATCH(MEDIÇÃO!K1078,'LEV R&amp;D'!$A:$A,0))-INDEX('PROJETO PERFURAÇÃO'!$AH:$AH,MATCH(MEDIÇÃO!K1078,'PROJETO PERFURAÇÃO'!$B:$B,0)),"")</f>
        <v/>
      </c>
      <c r="M1078" s="8" t="str">
        <f>IFERROR(INDEX('PROJETO PERFURAÇÃO'!$AN:$AN,MATCH(MEDIÇÃO!K1078,'PROJETO PERFURAÇÃO'!$B:$B,0)),"")</f>
        <v/>
      </c>
      <c r="N1078" s="3"/>
      <c r="O1078" s="3"/>
      <c r="P1078" s="3" t="str">
        <f>IFERROR(ROUND(INDEX('PROJETO PERFURAÇÃO'!$AB:$AB,MATCH(MEDIÇÃO!R1078,'PROJETO PERFURAÇÃO'!$B:$B,0)),1)&amp;"''","")</f>
        <v/>
      </c>
      <c r="Q1078" s="3" t="str">
        <f>IFERROR(IF(INDEX('PROJETO PERFURAÇÃO'!$P:$P,MATCH(MEDIÇÃO!R1078,'PROJETO PERFURAÇÃO'!$B:$B,0))="Production","P",IF(INDEX('PROJETO PERFURAÇÃO'!$P:$P,MATCH(MEDIÇÃO!R1078,'PROJETO PERFURAÇÃO'!$B:$B,0))="Buffer","B",IF(INDEX('PROJETO PERFURAÇÃO'!$P:$P,MATCH(MEDIÇÃO!R1078,'PROJETO PERFURAÇÃO'!$B:$B,0))="Pre-Splitting","S"))),"")</f>
        <v/>
      </c>
      <c r="R1078" s="14">
        <f t="shared" si="104"/>
        <v>2412</v>
      </c>
      <c r="S1078" s="4" t="str">
        <f>IFERROR(INDEX('LEV R&amp;D'!$D:$D,MATCH(MEDIÇÃO!R1078,'LEV R&amp;D'!$A:$A,0))-INDEX('PROJETO PERFURAÇÃO'!$AH:$AH,MATCH(MEDIÇÃO!R1078,'PROJETO PERFURAÇÃO'!$B:$B,0)),"")</f>
        <v/>
      </c>
      <c r="T1078" s="8" t="str">
        <f>IFERROR(INDEX('PROJETO PERFURAÇÃO'!$AN:$AN,MATCH(MEDIÇÃO!R1078,'PROJETO PERFURAÇÃO'!$B:$B,0)),"")</f>
        <v/>
      </c>
      <c r="U1078" s="3"/>
      <c r="V1078" s="3"/>
    </row>
    <row r="1079" spans="2:22" ht="45" customHeight="1">
      <c r="B1079" s="3" t="str">
        <f>IFERROR(ROUND(INDEX('PROJETO PERFURAÇÃO'!$AB:$AB,MATCH(MEDIÇÃO!D1079,'PROJETO PERFURAÇÃO'!$B:$B,0)),1)&amp;"''","")</f>
        <v/>
      </c>
      <c r="C1079" s="3" t="str">
        <f>IFERROR(IF(INDEX('PROJETO PERFURAÇÃO'!$P:$P,MATCH(MEDIÇÃO!D1079,'PROJETO PERFURAÇÃO'!$B:$B,0))="Production","P",IF(INDEX('PROJETO PERFURAÇÃO'!$P:$P,MATCH(MEDIÇÃO!D1079,'PROJETO PERFURAÇÃO'!$B:$B,0))="Buffer","B",IF(INDEX('PROJETO PERFURAÇÃO'!$P:$P,MATCH(MEDIÇÃO!D1079,'PROJETO PERFURAÇÃO'!$B:$B,0))="Pre-Splitting","S"))),"")</f>
        <v/>
      </c>
      <c r="D1079" s="14">
        <f t="shared" si="102"/>
        <v>2367</v>
      </c>
      <c r="E1079" s="4" t="str">
        <f>IFERROR(INDEX('LEV R&amp;D'!$D:$D,MATCH(MEDIÇÃO!D1079,'LEV R&amp;D'!$A:$A,0))-INDEX('PROJETO PERFURAÇÃO'!$AH:$AH,MATCH(MEDIÇÃO!D1079,'PROJETO PERFURAÇÃO'!$B:$B,0)),"")</f>
        <v/>
      </c>
      <c r="F1079" s="8" t="str">
        <f>IFERROR(INDEX('PROJETO PERFURAÇÃO'!$AN:$AN,MATCH(MEDIÇÃO!D1079,'PROJETO PERFURAÇÃO'!$B:$B,0)),"")</f>
        <v/>
      </c>
      <c r="G1079" s="3"/>
      <c r="H1079" s="3"/>
      <c r="I1079" s="3" t="str">
        <f>IFERROR(ROUND(INDEX('PROJETO PERFURAÇÃO'!$AB:$AB,MATCH(MEDIÇÃO!K1079,'PROJETO PERFURAÇÃO'!$B:$B,0)),1)&amp;"''","")</f>
        <v/>
      </c>
      <c r="J1079" s="3" t="str">
        <f>IFERROR(IF(INDEX('PROJETO PERFURAÇÃO'!$P:$P,MATCH(MEDIÇÃO!K1079,'PROJETO PERFURAÇÃO'!$B:$B,0))="Production","P",IF(INDEX('PROJETO PERFURAÇÃO'!$P:$P,MATCH(MEDIÇÃO!K1079,'PROJETO PERFURAÇÃO'!$B:$B,0))="Buffer","B",IF(INDEX('PROJETO PERFURAÇÃO'!$P:$P,MATCH(MEDIÇÃO!K1079,'PROJETO PERFURAÇÃO'!$B:$B,0))="Pre-Splitting","S"))),"")</f>
        <v/>
      </c>
      <c r="K1079" s="14">
        <f t="shared" si="103"/>
        <v>2390</v>
      </c>
      <c r="L1079" s="4" t="str">
        <f>IFERROR(INDEX('LEV R&amp;D'!$D:$D,MATCH(MEDIÇÃO!K1079,'LEV R&amp;D'!$A:$A,0))-INDEX('PROJETO PERFURAÇÃO'!$AH:$AH,MATCH(MEDIÇÃO!K1079,'PROJETO PERFURAÇÃO'!$B:$B,0)),"")</f>
        <v/>
      </c>
      <c r="M1079" s="8" t="str">
        <f>IFERROR(INDEX('PROJETO PERFURAÇÃO'!$AN:$AN,MATCH(MEDIÇÃO!K1079,'PROJETO PERFURAÇÃO'!$B:$B,0)),"")</f>
        <v/>
      </c>
      <c r="N1079" s="3"/>
      <c r="O1079" s="3"/>
      <c r="P1079" s="3" t="str">
        <f>IFERROR(ROUND(INDEX('PROJETO PERFURAÇÃO'!$AB:$AB,MATCH(MEDIÇÃO!R1079,'PROJETO PERFURAÇÃO'!$B:$B,0)),1)&amp;"''","")</f>
        <v/>
      </c>
      <c r="Q1079" s="3" t="str">
        <f>IFERROR(IF(INDEX('PROJETO PERFURAÇÃO'!$P:$P,MATCH(MEDIÇÃO!R1079,'PROJETO PERFURAÇÃO'!$B:$B,0))="Production","P",IF(INDEX('PROJETO PERFURAÇÃO'!$P:$P,MATCH(MEDIÇÃO!R1079,'PROJETO PERFURAÇÃO'!$B:$B,0))="Buffer","B",IF(INDEX('PROJETO PERFURAÇÃO'!$P:$P,MATCH(MEDIÇÃO!R1079,'PROJETO PERFURAÇÃO'!$B:$B,0))="Pre-Splitting","S"))),"")</f>
        <v/>
      </c>
      <c r="R1079" s="14">
        <f t="shared" si="104"/>
        <v>2413</v>
      </c>
      <c r="S1079" s="4" t="str">
        <f>IFERROR(INDEX('LEV R&amp;D'!$D:$D,MATCH(MEDIÇÃO!R1079,'LEV R&amp;D'!$A:$A,0))-INDEX('PROJETO PERFURAÇÃO'!$AH:$AH,MATCH(MEDIÇÃO!R1079,'PROJETO PERFURAÇÃO'!$B:$B,0)),"")</f>
        <v/>
      </c>
      <c r="T1079" s="8" t="str">
        <f>IFERROR(INDEX('PROJETO PERFURAÇÃO'!$AN:$AN,MATCH(MEDIÇÃO!R1079,'PROJETO PERFURAÇÃO'!$B:$B,0)),"")</f>
        <v/>
      </c>
      <c r="U1079" s="3"/>
      <c r="V1079" s="3"/>
    </row>
    <row r="1080" spans="2:22" ht="45" customHeight="1">
      <c r="B1080" s="3" t="str">
        <f>IFERROR(ROUND(INDEX('PROJETO PERFURAÇÃO'!$AB:$AB,MATCH(MEDIÇÃO!D1080,'PROJETO PERFURAÇÃO'!$B:$B,0)),1)&amp;"''","")</f>
        <v/>
      </c>
      <c r="C1080" s="3" t="str">
        <f>IFERROR(IF(INDEX('PROJETO PERFURAÇÃO'!$P:$P,MATCH(MEDIÇÃO!D1080,'PROJETO PERFURAÇÃO'!$B:$B,0))="Production","P",IF(INDEX('PROJETO PERFURAÇÃO'!$P:$P,MATCH(MEDIÇÃO!D1080,'PROJETO PERFURAÇÃO'!$B:$B,0))="Buffer","B",IF(INDEX('PROJETO PERFURAÇÃO'!$P:$P,MATCH(MEDIÇÃO!D1080,'PROJETO PERFURAÇÃO'!$B:$B,0))="Pre-Splitting","S"))),"")</f>
        <v/>
      </c>
      <c r="D1080" s="14">
        <f t="shared" si="102"/>
        <v>2368</v>
      </c>
      <c r="E1080" s="4" t="str">
        <f>IFERROR(INDEX('LEV R&amp;D'!$D:$D,MATCH(MEDIÇÃO!D1080,'LEV R&amp;D'!$A:$A,0))-INDEX('PROJETO PERFURAÇÃO'!$AH:$AH,MATCH(MEDIÇÃO!D1080,'PROJETO PERFURAÇÃO'!$B:$B,0)),"")</f>
        <v/>
      </c>
      <c r="F1080" s="8" t="str">
        <f>IFERROR(INDEX('PROJETO PERFURAÇÃO'!$AN:$AN,MATCH(MEDIÇÃO!D1080,'PROJETO PERFURAÇÃO'!$B:$B,0)),"")</f>
        <v/>
      </c>
      <c r="G1080" s="3"/>
      <c r="H1080" s="3"/>
      <c r="I1080" s="3" t="str">
        <f>IFERROR(ROUND(INDEX('PROJETO PERFURAÇÃO'!$AB:$AB,MATCH(MEDIÇÃO!K1080,'PROJETO PERFURAÇÃO'!$B:$B,0)),1)&amp;"''","")</f>
        <v/>
      </c>
      <c r="J1080" s="3" t="str">
        <f>IFERROR(IF(INDEX('PROJETO PERFURAÇÃO'!$P:$P,MATCH(MEDIÇÃO!K1080,'PROJETO PERFURAÇÃO'!$B:$B,0))="Production","P",IF(INDEX('PROJETO PERFURAÇÃO'!$P:$P,MATCH(MEDIÇÃO!K1080,'PROJETO PERFURAÇÃO'!$B:$B,0))="Buffer","B",IF(INDEX('PROJETO PERFURAÇÃO'!$P:$P,MATCH(MEDIÇÃO!K1080,'PROJETO PERFURAÇÃO'!$B:$B,0))="Pre-Splitting","S"))),"")</f>
        <v/>
      </c>
      <c r="K1080" s="14">
        <f t="shared" si="103"/>
        <v>2391</v>
      </c>
      <c r="L1080" s="4" t="str">
        <f>IFERROR(INDEX('LEV R&amp;D'!$D:$D,MATCH(MEDIÇÃO!K1080,'LEV R&amp;D'!$A:$A,0))-INDEX('PROJETO PERFURAÇÃO'!$AH:$AH,MATCH(MEDIÇÃO!K1080,'PROJETO PERFURAÇÃO'!$B:$B,0)),"")</f>
        <v/>
      </c>
      <c r="M1080" s="8" t="str">
        <f>IFERROR(INDEX('PROJETO PERFURAÇÃO'!$AN:$AN,MATCH(MEDIÇÃO!K1080,'PROJETO PERFURAÇÃO'!$B:$B,0)),"")</f>
        <v/>
      </c>
      <c r="N1080" s="3"/>
      <c r="O1080" s="3"/>
      <c r="P1080" s="3" t="str">
        <f>IFERROR(ROUND(INDEX('PROJETO PERFURAÇÃO'!$AB:$AB,MATCH(MEDIÇÃO!R1080,'PROJETO PERFURAÇÃO'!$B:$B,0)),1)&amp;"''","")</f>
        <v/>
      </c>
      <c r="Q1080" s="3" t="str">
        <f>IFERROR(IF(INDEX('PROJETO PERFURAÇÃO'!$P:$P,MATCH(MEDIÇÃO!R1080,'PROJETO PERFURAÇÃO'!$B:$B,0))="Production","P",IF(INDEX('PROJETO PERFURAÇÃO'!$P:$P,MATCH(MEDIÇÃO!R1080,'PROJETO PERFURAÇÃO'!$B:$B,0))="Buffer","B",IF(INDEX('PROJETO PERFURAÇÃO'!$P:$P,MATCH(MEDIÇÃO!R1080,'PROJETO PERFURAÇÃO'!$B:$B,0))="Pre-Splitting","S"))),"")</f>
        <v/>
      </c>
      <c r="R1080" s="14">
        <f t="shared" si="104"/>
        <v>2414</v>
      </c>
      <c r="S1080" s="4" t="str">
        <f>IFERROR(INDEX('LEV R&amp;D'!$D:$D,MATCH(MEDIÇÃO!R1080,'LEV R&amp;D'!$A:$A,0))-INDEX('PROJETO PERFURAÇÃO'!$AH:$AH,MATCH(MEDIÇÃO!R1080,'PROJETO PERFURAÇÃO'!$B:$B,0)),"")</f>
        <v/>
      </c>
      <c r="T1080" s="8" t="str">
        <f>IFERROR(INDEX('PROJETO PERFURAÇÃO'!$AN:$AN,MATCH(MEDIÇÃO!R1080,'PROJETO PERFURAÇÃO'!$B:$B,0)),"")</f>
        <v/>
      </c>
      <c r="U1080" s="3"/>
      <c r="V1080" s="3"/>
    </row>
    <row r="1081" spans="2:22" ht="45" customHeight="1">
      <c r="B1081" s="3" t="str">
        <f>IFERROR(ROUND(INDEX('PROJETO PERFURAÇÃO'!$AB:$AB,MATCH(MEDIÇÃO!D1081,'PROJETO PERFURAÇÃO'!$B:$B,0)),1)&amp;"''","")</f>
        <v/>
      </c>
      <c r="C1081" s="3" t="str">
        <f>IFERROR(IF(INDEX('PROJETO PERFURAÇÃO'!$P:$P,MATCH(MEDIÇÃO!D1081,'PROJETO PERFURAÇÃO'!$B:$B,0))="Production","P",IF(INDEX('PROJETO PERFURAÇÃO'!$P:$P,MATCH(MEDIÇÃO!D1081,'PROJETO PERFURAÇÃO'!$B:$B,0))="Buffer","B",IF(INDEX('PROJETO PERFURAÇÃO'!$P:$P,MATCH(MEDIÇÃO!D1081,'PROJETO PERFURAÇÃO'!$B:$B,0))="Pre-Splitting","S"))),"")</f>
        <v/>
      </c>
      <c r="D1081" s="14">
        <f t="shared" si="102"/>
        <v>2369</v>
      </c>
      <c r="E1081" s="4" t="str">
        <f>IFERROR(INDEX('LEV R&amp;D'!$D:$D,MATCH(MEDIÇÃO!D1081,'LEV R&amp;D'!$A:$A,0))-INDEX('PROJETO PERFURAÇÃO'!$AH:$AH,MATCH(MEDIÇÃO!D1081,'PROJETO PERFURAÇÃO'!$B:$B,0)),"")</f>
        <v/>
      </c>
      <c r="F1081" s="8" t="str">
        <f>IFERROR(INDEX('PROJETO PERFURAÇÃO'!$AN:$AN,MATCH(MEDIÇÃO!D1081,'PROJETO PERFURAÇÃO'!$B:$B,0)),"")</f>
        <v/>
      </c>
      <c r="G1081" s="3"/>
      <c r="H1081" s="3"/>
      <c r="I1081" s="3" t="str">
        <f>IFERROR(ROUND(INDEX('PROJETO PERFURAÇÃO'!$AB:$AB,MATCH(MEDIÇÃO!K1081,'PROJETO PERFURAÇÃO'!$B:$B,0)),1)&amp;"''","")</f>
        <v/>
      </c>
      <c r="J1081" s="3" t="str">
        <f>IFERROR(IF(INDEX('PROJETO PERFURAÇÃO'!$P:$P,MATCH(MEDIÇÃO!K1081,'PROJETO PERFURAÇÃO'!$B:$B,0))="Production","P",IF(INDEX('PROJETO PERFURAÇÃO'!$P:$P,MATCH(MEDIÇÃO!K1081,'PROJETO PERFURAÇÃO'!$B:$B,0))="Buffer","B",IF(INDEX('PROJETO PERFURAÇÃO'!$P:$P,MATCH(MEDIÇÃO!K1081,'PROJETO PERFURAÇÃO'!$B:$B,0))="Pre-Splitting","S"))),"")</f>
        <v/>
      </c>
      <c r="K1081" s="14">
        <f>K1080+1</f>
        <v>2392</v>
      </c>
      <c r="L1081" s="4" t="str">
        <f>IFERROR(INDEX('LEV R&amp;D'!$D:$D,MATCH(MEDIÇÃO!K1081,'LEV R&amp;D'!$A:$A,0))-INDEX('PROJETO PERFURAÇÃO'!$AH:$AH,MATCH(MEDIÇÃO!K1081,'PROJETO PERFURAÇÃO'!$B:$B,0)),"")</f>
        <v/>
      </c>
      <c r="M1081" s="8" t="str">
        <f>IFERROR(INDEX('PROJETO PERFURAÇÃO'!$AN:$AN,MATCH(MEDIÇÃO!K1081,'PROJETO PERFURAÇÃO'!$B:$B,0)),"")</f>
        <v/>
      </c>
      <c r="N1081" s="3"/>
      <c r="O1081" s="3"/>
      <c r="P1081" s="3" t="str">
        <f>IFERROR(ROUND(INDEX('PROJETO PERFURAÇÃO'!$AB:$AB,MATCH(MEDIÇÃO!R1081,'PROJETO PERFURAÇÃO'!$B:$B,0)),1)&amp;"''","")</f>
        <v/>
      </c>
      <c r="Q1081" s="3" t="str">
        <f>IFERROR(IF(INDEX('PROJETO PERFURAÇÃO'!$P:$P,MATCH(MEDIÇÃO!R1081,'PROJETO PERFURAÇÃO'!$B:$B,0))="Production","P",IF(INDEX('PROJETO PERFURAÇÃO'!$P:$P,MATCH(MEDIÇÃO!R1081,'PROJETO PERFURAÇÃO'!$B:$B,0))="Buffer","B",IF(INDEX('PROJETO PERFURAÇÃO'!$P:$P,MATCH(MEDIÇÃO!R1081,'PROJETO PERFURAÇÃO'!$B:$B,0))="Pre-Splitting","S"))),"")</f>
        <v/>
      </c>
      <c r="R1081" s="14">
        <f>R1080+1</f>
        <v>2415</v>
      </c>
      <c r="S1081" s="4" t="str">
        <f>IFERROR(INDEX('LEV R&amp;D'!$D:$D,MATCH(MEDIÇÃO!R1081,'LEV R&amp;D'!$A:$A,0))-INDEX('PROJETO PERFURAÇÃO'!$AH:$AH,MATCH(MEDIÇÃO!R1081,'PROJETO PERFURAÇÃO'!$B:$B,0)),"")</f>
        <v/>
      </c>
      <c r="T1081" s="8" t="str">
        <f>IFERROR(INDEX('PROJETO PERFURAÇÃO'!$AN:$AN,MATCH(MEDIÇÃO!R1081,'PROJETO PERFURAÇÃO'!$B:$B,0)),"")</f>
        <v/>
      </c>
      <c r="U1081" s="3"/>
      <c r="V1081" s="3"/>
    </row>
    <row r="1082" spans="2:22" ht="30" customHeight="1">
      <c r="B1082" s="1"/>
      <c r="C1082" s="1"/>
      <c r="D1082" s="15"/>
      <c r="E1082" s="2"/>
      <c r="F1082" s="16"/>
      <c r="G1082" s="1"/>
      <c r="H1082" s="1"/>
      <c r="I1082" s="1"/>
      <c r="J1082" s="1"/>
      <c r="K1082" s="15"/>
      <c r="L1082" s="2"/>
      <c r="M1082" s="16"/>
      <c r="N1082" s="1"/>
      <c r="O1082" s="1"/>
      <c r="P1082" s="1"/>
      <c r="Q1082" s="1"/>
      <c r="R1082" s="15"/>
      <c r="S1082" s="2"/>
      <c r="T1082" s="16"/>
      <c r="U1082" s="1"/>
      <c r="V1082" s="1"/>
    </row>
    <row r="1083" spans="2:22" ht="30" customHeight="1">
      <c r="C1083" s="20"/>
      <c r="D1083" s="20"/>
      <c r="E1083" s="20"/>
      <c r="F1083" s="20"/>
      <c r="G1083" s="20"/>
      <c r="H1083" s="20"/>
      <c r="I1083" s="20"/>
      <c r="J1083" s="20"/>
      <c r="K1083" s="20"/>
      <c r="M1083" s="20"/>
      <c r="N1083" s="20"/>
      <c r="O1083" s="20"/>
      <c r="P1083" s="20"/>
      <c r="Q1083" s="20"/>
      <c r="R1083" s="20"/>
      <c r="S1083" s="20"/>
      <c r="T1083" s="20"/>
      <c r="U1083" s="20"/>
    </row>
    <row r="1084" spans="2:22" ht="30" customHeight="1">
      <c r="C1084" s="21" t="s">
        <v>40</v>
      </c>
      <c r="D1084" s="21"/>
      <c r="E1084" s="21"/>
      <c r="F1084" s="21"/>
      <c r="G1084" s="21"/>
      <c r="H1084" s="21"/>
      <c r="I1084" s="21"/>
      <c r="J1084" s="21"/>
      <c r="K1084" s="21"/>
      <c r="L1084" s="9"/>
      <c r="M1084" s="21" t="s">
        <v>40</v>
      </c>
      <c r="N1084" s="21"/>
      <c r="O1084" s="21"/>
      <c r="P1084" s="21"/>
      <c r="Q1084" s="21"/>
      <c r="R1084" s="21"/>
      <c r="S1084" s="21"/>
      <c r="T1084" s="21"/>
      <c r="U1084" s="21"/>
      <c r="V1084" s="9"/>
    </row>
    <row r="1085" spans="2:22" ht="30" customHeight="1">
      <c r="D1085" s="9"/>
      <c r="E1085" s="9"/>
      <c r="F1085" s="9"/>
      <c r="G1085" s="9"/>
      <c r="H1085" s="9"/>
      <c r="I1085" s="9"/>
      <c r="J1085" s="9"/>
      <c r="K1085" s="9"/>
      <c r="L1085" s="9"/>
      <c r="M1085" s="9"/>
      <c r="N1085" s="9"/>
      <c r="Q1085" s="9"/>
      <c r="R1085" s="9"/>
      <c r="S1085" s="9"/>
      <c r="T1085" s="9"/>
      <c r="U1085" s="9"/>
      <c r="V1085" s="9"/>
    </row>
    <row r="1086" spans="2:22" ht="30" customHeight="1">
      <c r="B1086" s="19" t="str">
        <f>'PROJETO PERFURAÇÃO'!$C$2&amp;" - "&amp;'PROJETO PERFURAÇÃO'!$H$2</f>
        <v>LIB037 - PP0370626</v>
      </c>
      <c r="C1086" s="19"/>
      <c r="D1086" s="19"/>
      <c r="E1086" s="19"/>
      <c r="F1086" s="19"/>
      <c r="G1086" s="19"/>
      <c r="H1086" s="19"/>
      <c r="I1086" s="11" t="s">
        <v>34</v>
      </c>
      <c r="J1086" s="10" t="s">
        <v>37</v>
      </c>
    </row>
    <row r="1087" spans="2:22" ht="30" customHeight="1">
      <c r="B1087" s="19"/>
      <c r="C1087" s="19"/>
      <c r="D1087" s="19"/>
      <c r="E1087" s="19"/>
      <c r="F1087" s="19"/>
      <c r="G1087" s="19"/>
      <c r="H1087" s="19"/>
      <c r="I1087" s="12" t="s">
        <v>35</v>
      </c>
      <c r="J1087" s="10" t="s">
        <v>38</v>
      </c>
      <c r="K1087" s="9"/>
      <c r="L1087" s="9"/>
      <c r="M1087" s="9"/>
      <c r="N1087" s="9"/>
      <c r="O1087" s="9"/>
      <c r="P1087" s="9"/>
      <c r="Q1087" s="9"/>
      <c r="R1087" s="9"/>
      <c r="S1087" s="9"/>
      <c r="T1087" s="9"/>
      <c r="U1087" s="9"/>
      <c r="V1087" s="9"/>
    </row>
    <row r="1088" spans="2:22" ht="30" customHeight="1">
      <c r="B1088" s="19"/>
      <c r="C1088" s="19"/>
      <c r="D1088" s="19"/>
      <c r="E1088" s="19"/>
      <c r="F1088" s="19"/>
      <c r="G1088" s="19"/>
      <c r="H1088" s="19"/>
      <c r="I1088" s="13" t="s">
        <v>36</v>
      </c>
      <c r="J1088" s="10" t="s">
        <v>39</v>
      </c>
    </row>
    <row r="1089" spans="1:23" ht="30" customHeight="1">
      <c r="A1089" s="1"/>
      <c r="B1089" s="6" t="s">
        <v>33</v>
      </c>
      <c r="C1089" s="6" t="s">
        <v>13</v>
      </c>
      <c r="D1089" s="7" t="s">
        <v>1</v>
      </c>
      <c r="E1089" s="7" t="s">
        <v>29</v>
      </c>
      <c r="F1089" s="7" t="s">
        <v>30</v>
      </c>
      <c r="G1089" s="7" t="s">
        <v>31</v>
      </c>
      <c r="H1089" s="7" t="s">
        <v>32</v>
      </c>
      <c r="I1089" s="6" t="s">
        <v>33</v>
      </c>
      <c r="J1089" s="6" t="s">
        <v>13</v>
      </c>
      <c r="K1089" s="7" t="s">
        <v>1</v>
      </c>
      <c r="L1089" s="7" t="s">
        <v>29</v>
      </c>
      <c r="M1089" s="7" t="s">
        <v>30</v>
      </c>
      <c r="N1089" s="7" t="s">
        <v>31</v>
      </c>
      <c r="O1089" s="7" t="s">
        <v>32</v>
      </c>
      <c r="P1089" s="6" t="s">
        <v>33</v>
      </c>
      <c r="Q1089" s="6" t="s">
        <v>13</v>
      </c>
      <c r="R1089" s="7" t="s">
        <v>1</v>
      </c>
      <c r="S1089" s="7" t="s">
        <v>29</v>
      </c>
      <c r="T1089" s="7" t="s">
        <v>30</v>
      </c>
      <c r="U1089" s="7" t="s">
        <v>31</v>
      </c>
      <c r="V1089" s="7" t="s">
        <v>32</v>
      </c>
      <c r="W1089" s="1"/>
    </row>
    <row r="1090" spans="1:23" ht="45" customHeight="1">
      <c r="B1090" s="3" t="str">
        <f>IFERROR(ROUND(INDEX('PROJETO PERFURAÇÃO'!$AB:$AB,MATCH(MEDIÇÃO!D1090,'PROJETO PERFURAÇÃO'!$B:$B,0)),1)&amp;"''","")</f>
        <v/>
      </c>
      <c r="C1090" s="3" t="str">
        <f>IFERROR(IF(INDEX('PROJETO PERFURAÇÃO'!$P:$P,MATCH(MEDIÇÃO!D1090,'PROJETO PERFURAÇÃO'!$B:$B,0))="Production","P",IF(INDEX('PROJETO PERFURAÇÃO'!$P:$P,MATCH(MEDIÇÃO!D1090,'PROJETO PERFURAÇÃO'!$B:$B,0))="Buffer","B",IF(INDEX('PROJETO PERFURAÇÃO'!$P:$P,MATCH(MEDIÇÃO!D1090,'PROJETO PERFURAÇÃO'!$B:$B,0))="Pre-Splitting","S"))),"")</f>
        <v/>
      </c>
      <c r="D1090" s="14">
        <f>R1081+1</f>
        <v>2416</v>
      </c>
      <c r="E1090" s="4" t="str">
        <f>IFERROR(INDEX('LEV R&amp;D'!$D:$D,MATCH(MEDIÇÃO!D1090,'LEV R&amp;D'!$A:$A,0))-INDEX('PROJETO PERFURAÇÃO'!$AH:$AH,MATCH(MEDIÇÃO!D1090,'PROJETO PERFURAÇÃO'!$B:$B,0)),"")</f>
        <v/>
      </c>
      <c r="F1090" s="8" t="str">
        <f>IFERROR(INDEX('PROJETO PERFURAÇÃO'!$AN:$AN,MATCH(MEDIÇÃO!D1090,'PROJETO PERFURAÇÃO'!$B:$B,0)),"")</f>
        <v/>
      </c>
      <c r="G1090" s="3"/>
      <c r="H1090" s="3"/>
      <c r="I1090" s="3" t="str">
        <f>IFERROR(ROUND(INDEX('PROJETO PERFURAÇÃO'!$AB:$AB,MATCH(MEDIÇÃO!K1090,'PROJETO PERFURAÇÃO'!$B:$B,0)),1)&amp;"''","")</f>
        <v/>
      </c>
      <c r="J1090" s="3" t="str">
        <f>IFERROR(IF(INDEX('PROJETO PERFURAÇÃO'!$P:$P,MATCH(MEDIÇÃO!K1090,'PROJETO PERFURAÇÃO'!$B:$B,0))="Production","P",IF(INDEX('PROJETO PERFURAÇÃO'!$P:$P,MATCH(MEDIÇÃO!K1090,'PROJETO PERFURAÇÃO'!$B:$B,0))="Buffer","B",IF(INDEX('PROJETO PERFURAÇÃO'!$P:$P,MATCH(MEDIÇÃO!K1090,'PROJETO PERFURAÇÃO'!$B:$B,0))="Pre-Splitting","S"))),"")</f>
        <v/>
      </c>
      <c r="K1090" s="14">
        <f>D1112+1</f>
        <v>2439</v>
      </c>
      <c r="L1090" s="4" t="str">
        <f>IFERROR(INDEX('LEV R&amp;D'!$D:$D,MATCH(MEDIÇÃO!K1090,'LEV R&amp;D'!$A:$A,0))-INDEX('PROJETO PERFURAÇÃO'!$AH:$AH,MATCH(MEDIÇÃO!K1090,'PROJETO PERFURAÇÃO'!$B:$B,0)),"")</f>
        <v/>
      </c>
      <c r="M1090" s="8" t="str">
        <f>IFERROR(INDEX('PROJETO PERFURAÇÃO'!$AN:$AN,MATCH(MEDIÇÃO!K1090,'PROJETO PERFURAÇÃO'!$B:$B,0)),"")</f>
        <v/>
      </c>
      <c r="N1090" s="3"/>
      <c r="O1090" s="3"/>
      <c r="P1090" s="3" t="str">
        <f>IFERROR(ROUND(INDEX('PROJETO PERFURAÇÃO'!$AB:$AB,MATCH(MEDIÇÃO!R1090,'PROJETO PERFURAÇÃO'!$B:$B,0)),1)&amp;"''","")</f>
        <v/>
      </c>
      <c r="Q1090" s="3" t="str">
        <f>IFERROR(IF(INDEX('PROJETO PERFURAÇÃO'!$P:$P,MATCH(MEDIÇÃO!R1090,'PROJETO PERFURAÇÃO'!$B:$B,0))="Production","P",IF(INDEX('PROJETO PERFURAÇÃO'!$P:$P,MATCH(MEDIÇÃO!R1090,'PROJETO PERFURAÇÃO'!$B:$B,0))="Buffer","B",IF(INDEX('PROJETO PERFURAÇÃO'!$P:$P,MATCH(MEDIÇÃO!R1090,'PROJETO PERFURAÇÃO'!$B:$B,0))="Pre-Splitting","S"))),"")</f>
        <v/>
      </c>
      <c r="R1090" s="14">
        <f>K1112+1</f>
        <v>2462</v>
      </c>
      <c r="S1090" s="4" t="str">
        <f>IFERROR(INDEX('LEV R&amp;D'!$D:$D,MATCH(MEDIÇÃO!R1090,'LEV R&amp;D'!$A:$A,0))-INDEX('PROJETO PERFURAÇÃO'!$AH:$AH,MATCH(MEDIÇÃO!R1090,'PROJETO PERFURAÇÃO'!$B:$B,0)),"")</f>
        <v/>
      </c>
      <c r="T1090" s="8" t="str">
        <f>IFERROR(INDEX('PROJETO PERFURAÇÃO'!$AN:$AN,MATCH(MEDIÇÃO!R1090,'PROJETO PERFURAÇÃO'!$B:$B,0)),"")</f>
        <v/>
      </c>
      <c r="U1090" s="3"/>
      <c r="V1090" s="3"/>
    </row>
    <row r="1091" spans="1:23" ht="45" customHeight="1">
      <c r="B1091" s="3" t="str">
        <f>IFERROR(ROUND(INDEX('PROJETO PERFURAÇÃO'!$AB:$AB,MATCH(MEDIÇÃO!D1091,'PROJETO PERFURAÇÃO'!$B:$B,0)),1)&amp;"''","")</f>
        <v/>
      </c>
      <c r="C1091" s="3" t="str">
        <f>IFERROR(IF(INDEX('PROJETO PERFURAÇÃO'!$P:$P,MATCH(MEDIÇÃO!D1091,'PROJETO PERFURAÇÃO'!$B:$B,0))="Production","P",IF(INDEX('PROJETO PERFURAÇÃO'!$P:$P,MATCH(MEDIÇÃO!D1091,'PROJETO PERFURAÇÃO'!$B:$B,0))="Buffer","B",IF(INDEX('PROJETO PERFURAÇÃO'!$P:$P,MATCH(MEDIÇÃO!D1091,'PROJETO PERFURAÇÃO'!$B:$B,0))="Pre-Splitting","S"))),"")</f>
        <v/>
      </c>
      <c r="D1091" s="14">
        <f>D1090+1</f>
        <v>2417</v>
      </c>
      <c r="E1091" s="4" t="str">
        <f>IFERROR(INDEX('LEV R&amp;D'!$D:$D,MATCH(MEDIÇÃO!D1091,'LEV R&amp;D'!$A:$A,0))-INDEX('PROJETO PERFURAÇÃO'!$AH:$AH,MATCH(MEDIÇÃO!D1091,'PROJETO PERFURAÇÃO'!$B:$B,0)),"")</f>
        <v/>
      </c>
      <c r="F1091" s="8" t="str">
        <f>IFERROR(INDEX('PROJETO PERFURAÇÃO'!$AN:$AN,MATCH(MEDIÇÃO!D1091,'PROJETO PERFURAÇÃO'!$B:$B,0)),"")</f>
        <v/>
      </c>
      <c r="G1091" s="3"/>
      <c r="H1091" s="3"/>
      <c r="I1091" s="3" t="str">
        <f>IFERROR(ROUND(INDEX('PROJETO PERFURAÇÃO'!$AB:$AB,MATCH(MEDIÇÃO!K1091,'PROJETO PERFURAÇÃO'!$B:$B,0)),1)&amp;"''","")</f>
        <v/>
      </c>
      <c r="J1091" s="3" t="str">
        <f>IFERROR(IF(INDEX('PROJETO PERFURAÇÃO'!$P:$P,MATCH(MEDIÇÃO!K1091,'PROJETO PERFURAÇÃO'!$B:$B,0))="Production","P",IF(INDEX('PROJETO PERFURAÇÃO'!$P:$P,MATCH(MEDIÇÃO!K1091,'PROJETO PERFURAÇÃO'!$B:$B,0))="Buffer","B",IF(INDEX('PROJETO PERFURAÇÃO'!$P:$P,MATCH(MEDIÇÃO!K1091,'PROJETO PERFURAÇÃO'!$B:$B,0))="Pre-Splitting","S"))),"")</f>
        <v/>
      </c>
      <c r="K1091" s="14">
        <f>K1090+1</f>
        <v>2440</v>
      </c>
      <c r="L1091" s="4" t="str">
        <f>IFERROR(INDEX('LEV R&amp;D'!$D:$D,MATCH(MEDIÇÃO!K1091,'LEV R&amp;D'!$A:$A,0))-INDEX('PROJETO PERFURAÇÃO'!$AH:$AH,MATCH(MEDIÇÃO!K1091,'PROJETO PERFURAÇÃO'!$B:$B,0)),"")</f>
        <v/>
      </c>
      <c r="M1091" s="8" t="str">
        <f>IFERROR(INDEX('PROJETO PERFURAÇÃO'!$AN:$AN,MATCH(MEDIÇÃO!K1091,'PROJETO PERFURAÇÃO'!$B:$B,0)),"")</f>
        <v/>
      </c>
      <c r="N1091" s="3"/>
      <c r="O1091" s="3"/>
      <c r="P1091" s="3" t="str">
        <f>IFERROR(ROUND(INDEX('PROJETO PERFURAÇÃO'!$AB:$AB,MATCH(MEDIÇÃO!R1091,'PROJETO PERFURAÇÃO'!$B:$B,0)),1)&amp;"''","")</f>
        <v/>
      </c>
      <c r="Q1091" s="3" t="str">
        <f>IFERROR(IF(INDEX('PROJETO PERFURAÇÃO'!$P:$P,MATCH(MEDIÇÃO!R1091,'PROJETO PERFURAÇÃO'!$B:$B,0))="Production","P",IF(INDEX('PROJETO PERFURAÇÃO'!$P:$P,MATCH(MEDIÇÃO!R1091,'PROJETO PERFURAÇÃO'!$B:$B,0))="Buffer","B",IF(INDEX('PROJETO PERFURAÇÃO'!$P:$P,MATCH(MEDIÇÃO!R1091,'PROJETO PERFURAÇÃO'!$B:$B,0))="Pre-Splitting","S"))),"")</f>
        <v/>
      </c>
      <c r="R1091" s="14">
        <f>R1090+1</f>
        <v>2463</v>
      </c>
      <c r="S1091" s="4" t="str">
        <f>IFERROR(INDEX('LEV R&amp;D'!$D:$D,MATCH(MEDIÇÃO!R1091,'LEV R&amp;D'!$A:$A,0))-INDEX('PROJETO PERFURAÇÃO'!$AH:$AH,MATCH(MEDIÇÃO!R1091,'PROJETO PERFURAÇÃO'!$B:$B,0)),"")</f>
        <v/>
      </c>
      <c r="T1091" s="8" t="str">
        <f>IFERROR(INDEX('PROJETO PERFURAÇÃO'!$AN:$AN,MATCH(MEDIÇÃO!R1091,'PROJETO PERFURAÇÃO'!$B:$B,0)),"")</f>
        <v/>
      </c>
      <c r="U1091" s="3"/>
      <c r="V1091" s="3"/>
    </row>
    <row r="1092" spans="1:23" ht="45" customHeight="1">
      <c r="B1092" s="3" t="str">
        <f>IFERROR(ROUND(INDEX('PROJETO PERFURAÇÃO'!$AB:$AB,MATCH(MEDIÇÃO!D1092,'PROJETO PERFURAÇÃO'!$B:$B,0)),1)&amp;"''","")</f>
        <v/>
      </c>
      <c r="C1092" s="3" t="str">
        <f>IFERROR(IF(INDEX('PROJETO PERFURAÇÃO'!$P:$P,MATCH(MEDIÇÃO!D1092,'PROJETO PERFURAÇÃO'!$B:$B,0))="Production","P",IF(INDEX('PROJETO PERFURAÇÃO'!$P:$P,MATCH(MEDIÇÃO!D1092,'PROJETO PERFURAÇÃO'!$B:$B,0))="Buffer","B",IF(INDEX('PROJETO PERFURAÇÃO'!$P:$P,MATCH(MEDIÇÃO!D1092,'PROJETO PERFURAÇÃO'!$B:$B,0))="Pre-Splitting","S"))),"")</f>
        <v/>
      </c>
      <c r="D1092" s="14">
        <f t="shared" ref="D1092:D1112" si="105">D1091+1</f>
        <v>2418</v>
      </c>
      <c r="E1092" s="4" t="str">
        <f>IFERROR(INDEX('LEV R&amp;D'!$D:$D,MATCH(MEDIÇÃO!D1092,'LEV R&amp;D'!$A:$A,0))-INDEX('PROJETO PERFURAÇÃO'!$AH:$AH,MATCH(MEDIÇÃO!D1092,'PROJETO PERFURAÇÃO'!$B:$B,0)),"")</f>
        <v/>
      </c>
      <c r="F1092" s="8" t="str">
        <f>IFERROR(INDEX('PROJETO PERFURAÇÃO'!$AN:$AN,MATCH(MEDIÇÃO!D1092,'PROJETO PERFURAÇÃO'!$B:$B,0)),"")</f>
        <v/>
      </c>
      <c r="G1092" s="3"/>
      <c r="H1092" s="3"/>
      <c r="I1092" s="3" t="str">
        <f>IFERROR(ROUND(INDEX('PROJETO PERFURAÇÃO'!$AB:$AB,MATCH(MEDIÇÃO!K1092,'PROJETO PERFURAÇÃO'!$B:$B,0)),1)&amp;"''","")</f>
        <v/>
      </c>
      <c r="J1092" s="3" t="str">
        <f>IFERROR(IF(INDEX('PROJETO PERFURAÇÃO'!$P:$P,MATCH(MEDIÇÃO!K1092,'PROJETO PERFURAÇÃO'!$B:$B,0))="Production","P",IF(INDEX('PROJETO PERFURAÇÃO'!$P:$P,MATCH(MEDIÇÃO!K1092,'PROJETO PERFURAÇÃO'!$B:$B,0))="Buffer","B",IF(INDEX('PROJETO PERFURAÇÃO'!$P:$P,MATCH(MEDIÇÃO!K1092,'PROJETO PERFURAÇÃO'!$B:$B,0))="Pre-Splitting","S"))),"")</f>
        <v/>
      </c>
      <c r="K1092" s="14">
        <f t="shared" ref="K1092:K1111" si="106">K1091+1</f>
        <v>2441</v>
      </c>
      <c r="L1092" s="4" t="str">
        <f>IFERROR(INDEX('LEV R&amp;D'!$D:$D,MATCH(MEDIÇÃO!K1092,'LEV R&amp;D'!$A:$A,0))-INDEX('PROJETO PERFURAÇÃO'!$AH:$AH,MATCH(MEDIÇÃO!K1092,'PROJETO PERFURAÇÃO'!$B:$B,0)),"")</f>
        <v/>
      </c>
      <c r="M1092" s="8" t="str">
        <f>IFERROR(INDEX('PROJETO PERFURAÇÃO'!$AN:$AN,MATCH(MEDIÇÃO!K1092,'PROJETO PERFURAÇÃO'!$B:$B,0)),"")</f>
        <v/>
      </c>
      <c r="N1092" s="3"/>
      <c r="O1092" s="3"/>
      <c r="P1092" s="3" t="str">
        <f>IFERROR(ROUND(INDEX('PROJETO PERFURAÇÃO'!$AB:$AB,MATCH(MEDIÇÃO!R1092,'PROJETO PERFURAÇÃO'!$B:$B,0)),1)&amp;"''","")</f>
        <v/>
      </c>
      <c r="Q1092" s="3" t="str">
        <f>IFERROR(IF(INDEX('PROJETO PERFURAÇÃO'!$P:$P,MATCH(MEDIÇÃO!R1092,'PROJETO PERFURAÇÃO'!$B:$B,0))="Production","P",IF(INDEX('PROJETO PERFURAÇÃO'!$P:$P,MATCH(MEDIÇÃO!R1092,'PROJETO PERFURAÇÃO'!$B:$B,0))="Buffer","B",IF(INDEX('PROJETO PERFURAÇÃO'!$P:$P,MATCH(MEDIÇÃO!R1092,'PROJETO PERFURAÇÃO'!$B:$B,0))="Pre-Splitting","S"))),"")</f>
        <v/>
      </c>
      <c r="R1092" s="14">
        <f t="shared" ref="R1092:R1111" si="107">R1091+1</f>
        <v>2464</v>
      </c>
      <c r="S1092" s="4" t="str">
        <f>IFERROR(INDEX('LEV R&amp;D'!$D:$D,MATCH(MEDIÇÃO!R1092,'LEV R&amp;D'!$A:$A,0))-INDEX('PROJETO PERFURAÇÃO'!$AH:$AH,MATCH(MEDIÇÃO!R1092,'PROJETO PERFURAÇÃO'!$B:$B,0)),"")</f>
        <v/>
      </c>
      <c r="T1092" s="8" t="str">
        <f>IFERROR(INDEX('PROJETO PERFURAÇÃO'!$AN:$AN,MATCH(MEDIÇÃO!R1092,'PROJETO PERFURAÇÃO'!$B:$B,0)),"")</f>
        <v/>
      </c>
      <c r="U1092" s="3"/>
      <c r="V1092" s="3"/>
    </row>
    <row r="1093" spans="1:23" ht="45" customHeight="1">
      <c r="B1093" s="3" t="str">
        <f>IFERROR(ROUND(INDEX('PROJETO PERFURAÇÃO'!$AB:$AB,MATCH(MEDIÇÃO!D1093,'PROJETO PERFURAÇÃO'!$B:$B,0)),1)&amp;"''","")</f>
        <v/>
      </c>
      <c r="C1093" s="3" t="str">
        <f>IFERROR(IF(INDEX('PROJETO PERFURAÇÃO'!$P:$P,MATCH(MEDIÇÃO!D1093,'PROJETO PERFURAÇÃO'!$B:$B,0))="Production","P",IF(INDEX('PROJETO PERFURAÇÃO'!$P:$P,MATCH(MEDIÇÃO!D1093,'PROJETO PERFURAÇÃO'!$B:$B,0))="Buffer","B",IF(INDEX('PROJETO PERFURAÇÃO'!$P:$P,MATCH(MEDIÇÃO!D1093,'PROJETO PERFURAÇÃO'!$B:$B,0))="Pre-Splitting","S"))),"")</f>
        <v/>
      </c>
      <c r="D1093" s="14">
        <f t="shared" si="105"/>
        <v>2419</v>
      </c>
      <c r="E1093" s="4" t="str">
        <f>IFERROR(INDEX('LEV R&amp;D'!$D:$D,MATCH(MEDIÇÃO!D1093,'LEV R&amp;D'!$A:$A,0))-INDEX('PROJETO PERFURAÇÃO'!$AH:$AH,MATCH(MEDIÇÃO!D1093,'PROJETO PERFURAÇÃO'!$B:$B,0)),"")</f>
        <v/>
      </c>
      <c r="F1093" s="8" t="str">
        <f>IFERROR(INDEX('PROJETO PERFURAÇÃO'!$AN:$AN,MATCH(MEDIÇÃO!D1093,'PROJETO PERFURAÇÃO'!$B:$B,0)),"")</f>
        <v/>
      </c>
      <c r="G1093" s="3"/>
      <c r="H1093" s="3"/>
      <c r="I1093" s="3" t="str">
        <f>IFERROR(ROUND(INDEX('PROJETO PERFURAÇÃO'!$AB:$AB,MATCH(MEDIÇÃO!K1093,'PROJETO PERFURAÇÃO'!$B:$B,0)),1)&amp;"''","")</f>
        <v/>
      </c>
      <c r="J1093" s="3" t="str">
        <f>IFERROR(IF(INDEX('PROJETO PERFURAÇÃO'!$P:$P,MATCH(MEDIÇÃO!K1093,'PROJETO PERFURAÇÃO'!$B:$B,0))="Production","P",IF(INDEX('PROJETO PERFURAÇÃO'!$P:$P,MATCH(MEDIÇÃO!K1093,'PROJETO PERFURAÇÃO'!$B:$B,0))="Buffer","B",IF(INDEX('PROJETO PERFURAÇÃO'!$P:$P,MATCH(MEDIÇÃO!K1093,'PROJETO PERFURAÇÃO'!$B:$B,0))="Pre-Splitting","S"))),"")</f>
        <v/>
      </c>
      <c r="K1093" s="14">
        <f t="shared" si="106"/>
        <v>2442</v>
      </c>
      <c r="L1093" s="4" t="str">
        <f>IFERROR(INDEX('LEV R&amp;D'!$D:$D,MATCH(MEDIÇÃO!K1093,'LEV R&amp;D'!$A:$A,0))-INDEX('PROJETO PERFURAÇÃO'!$AH:$AH,MATCH(MEDIÇÃO!K1093,'PROJETO PERFURAÇÃO'!$B:$B,0)),"")</f>
        <v/>
      </c>
      <c r="M1093" s="8" t="str">
        <f>IFERROR(INDEX('PROJETO PERFURAÇÃO'!$AN:$AN,MATCH(MEDIÇÃO!K1093,'PROJETO PERFURAÇÃO'!$B:$B,0)),"")</f>
        <v/>
      </c>
      <c r="N1093" s="3"/>
      <c r="O1093" s="3"/>
      <c r="P1093" s="3" t="str">
        <f>IFERROR(ROUND(INDEX('PROJETO PERFURAÇÃO'!$AB:$AB,MATCH(MEDIÇÃO!R1093,'PROJETO PERFURAÇÃO'!$B:$B,0)),1)&amp;"''","")</f>
        <v/>
      </c>
      <c r="Q1093" s="3" t="str">
        <f>IFERROR(IF(INDEX('PROJETO PERFURAÇÃO'!$P:$P,MATCH(MEDIÇÃO!R1093,'PROJETO PERFURAÇÃO'!$B:$B,0))="Production","P",IF(INDEX('PROJETO PERFURAÇÃO'!$P:$P,MATCH(MEDIÇÃO!R1093,'PROJETO PERFURAÇÃO'!$B:$B,0))="Buffer","B",IF(INDEX('PROJETO PERFURAÇÃO'!$P:$P,MATCH(MEDIÇÃO!R1093,'PROJETO PERFURAÇÃO'!$B:$B,0))="Pre-Splitting","S"))),"")</f>
        <v/>
      </c>
      <c r="R1093" s="14">
        <f t="shared" si="107"/>
        <v>2465</v>
      </c>
      <c r="S1093" s="4" t="str">
        <f>IFERROR(INDEX('LEV R&amp;D'!$D:$D,MATCH(MEDIÇÃO!R1093,'LEV R&amp;D'!$A:$A,0))-INDEX('PROJETO PERFURAÇÃO'!$AH:$AH,MATCH(MEDIÇÃO!R1093,'PROJETO PERFURAÇÃO'!$B:$B,0)),"")</f>
        <v/>
      </c>
      <c r="T1093" s="8" t="str">
        <f>IFERROR(INDEX('PROJETO PERFURAÇÃO'!$AN:$AN,MATCH(MEDIÇÃO!R1093,'PROJETO PERFURAÇÃO'!$B:$B,0)),"")</f>
        <v/>
      </c>
      <c r="U1093" s="3"/>
      <c r="V1093" s="3"/>
    </row>
    <row r="1094" spans="1:23" ht="45" customHeight="1">
      <c r="B1094" s="3" t="str">
        <f>IFERROR(ROUND(INDEX('PROJETO PERFURAÇÃO'!$AB:$AB,MATCH(MEDIÇÃO!D1094,'PROJETO PERFURAÇÃO'!$B:$B,0)),1)&amp;"''","")</f>
        <v/>
      </c>
      <c r="C1094" s="3" t="str">
        <f>IFERROR(IF(INDEX('PROJETO PERFURAÇÃO'!$P:$P,MATCH(MEDIÇÃO!D1094,'PROJETO PERFURAÇÃO'!$B:$B,0))="Production","P",IF(INDEX('PROJETO PERFURAÇÃO'!$P:$P,MATCH(MEDIÇÃO!D1094,'PROJETO PERFURAÇÃO'!$B:$B,0))="Buffer","B",IF(INDEX('PROJETO PERFURAÇÃO'!$P:$P,MATCH(MEDIÇÃO!D1094,'PROJETO PERFURAÇÃO'!$B:$B,0))="Pre-Splitting","S"))),"")</f>
        <v/>
      </c>
      <c r="D1094" s="14">
        <f t="shared" si="105"/>
        <v>2420</v>
      </c>
      <c r="E1094" s="4" t="str">
        <f>IFERROR(INDEX('LEV R&amp;D'!$D:$D,MATCH(MEDIÇÃO!D1094,'LEV R&amp;D'!$A:$A,0))-INDEX('PROJETO PERFURAÇÃO'!$AH:$AH,MATCH(MEDIÇÃO!D1094,'PROJETO PERFURAÇÃO'!$B:$B,0)),"")</f>
        <v/>
      </c>
      <c r="F1094" s="8" t="str">
        <f>IFERROR(INDEX('PROJETO PERFURAÇÃO'!$AN:$AN,MATCH(MEDIÇÃO!D1094,'PROJETO PERFURAÇÃO'!$B:$B,0)),"")</f>
        <v/>
      </c>
      <c r="G1094" s="3"/>
      <c r="H1094" s="3"/>
      <c r="I1094" s="3" t="str">
        <f>IFERROR(ROUND(INDEX('PROJETO PERFURAÇÃO'!$AB:$AB,MATCH(MEDIÇÃO!K1094,'PROJETO PERFURAÇÃO'!$B:$B,0)),1)&amp;"''","")</f>
        <v/>
      </c>
      <c r="J1094" s="3" t="str">
        <f>IFERROR(IF(INDEX('PROJETO PERFURAÇÃO'!$P:$P,MATCH(MEDIÇÃO!K1094,'PROJETO PERFURAÇÃO'!$B:$B,0))="Production","P",IF(INDEX('PROJETO PERFURAÇÃO'!$P:$P,MATCH(MEDIÇÃO!K1094,'PROJETO PERFURAÇÃO'!$B:$B,0))="Buffer","B",IF(INDEX('PROJETO PERFURAÇÃO'!$P:$P,MATCH(MEDIÇÃO!K1094,'PROJETO PERFURAÇÃO'!$B:$B,0))="Pre-Splitting","S"))),"")</f>
        <v/>
      </c>
      <c r="K1094" s="14">
        <f t="shared" si="106"/>
        <v>2443</v>
      </c>
      <c r="L1094" s="4" t="str">
        <f>IFERROR(INDEX('LEV R&amp;D'!$D:$D,MATCH(MEDIÇÃO!K1094,'LEV R&amp;D'!$A:$A,0))-INDEX('PROJETO PERFURAÇÃO'!$AH:$AH,MATCH(MEDIÇÃO!K1094,'PROJETO PERFURAÇÃO'!$B:$B,0)),"")</f>
        <v/>
      </c>
      <c r="M1094" s="8" t="str">
        <f>IFERROR(INDEX('PROJETO PERFURAÇÃO'!$AN:$AN,MATCH(MEDIÇÃO!K1094,'PROJETO PERFURAÇÃO'!$B:$B,0)),"")</f>
        <v/>
      </c>
      <c r="N1094" s="3"/>
      <c r="O1094" s="3"/>
      <c r="P1094" s="3" t="str">
        <f>IFERROR(ROUND(INDEX('PROJETO PERFURAÇÃO'!$AB:$AB,MATCH(MEDIÇÃO!R1094,'PROJETO PERFURAÇÃO'!$B:$B,0)),1)&amp;"''","")</f>
        <v/>
      </c>
      <c r="Q1094" s="3" t="str">
        <f>IFERROR(IF(INDEX('PROJETO PERFURAÇÃO'!$P:$P,MATCH(MEDIÇÃO!R1094,'PROJETO PERFURAÇÃO'!$B:$B,0))="Production","P",IF(INDEX('PROJETO PERFURAÇÃO'!$P:$P,MATCH(MEDIÇÃO!R1094,'PROJETO PERFURAÇÃO'!$B:$B,0))="Buffer","B",IF(INDEX('PROJETO PERFURAÇÃO'!$P:$P,MATCH(MEDIÇÃO!R1094,'PROJETO PERFURAÇÃO'!$B:$B,0))="Pre-Splitting","S"))),"")</f>
        <v/>
      </c>
      <c r="R1094" s="14">
        <f t="shared" si="107"/>
        <v>2466</v>
      </c>
      <c r="S1094" s="4" t="str">
        <f>IFERROR(INDEX('LEV R&amp;D'!$D:$D,MATCH(MEDIÇÃO!R1094,'LEV R&amp;D'!$A:$A,0))-INDEX('PROJETO PERFURAÇÃO'!$AH:$AH,MATCH(MEDIÇÃO!R1094,'PROJETO PERFURAÇÃO'!$B:$B,0)),"")</f>
        <v/>
      </c>
      <c r="T1094" s="8" t="str">
        <f>IFERROR(INDEX('PROJETO PERFURAÇÃO'!$AN:$AN,MATCH(MEDIÇÃO!R1094,'PROJETO PERFURAÇÃO'!$B:$B,0)),"")</f>
        <v/>
      </c>
      <c r="U1094" s="3"/>
      <c r="V1094" s="3"/>
    </row>
    <row r="1095" spans="1:23" ht="45" customHeight="1">
      <c r="B1095" s="3" t="str">
        <f>IFERROR(ROUND(INDEX('PROJETO PERFURAÇÃO'!$AB:$AB,MATCH(MEDIÇÃO!D1095,'PROJETO PERFURAÇÃO'!$B:$B,0)),1)&amp;"''","")</f>
        <v/>
      </c>
      <c r="C1095" s="3" t="str">
        <f>IFERROR(IF(INDEX('PROJETO PERFURAÇÃO'!$P:$P,MATCH(MEDIÇÃO!D1095,'PROJETO PERFURAÇÃO'!$B:$B,0))="Production","P",IF(INDEX('PROJETO PERFURAÇÃO'!$P:$P,MATCH(MEDIÇÃO!D1095,'PROJETO PERFURAÇÃO'!$B:$B,0))="Buffer","B",IF(INDEX('PROJETO PERFURAÇÃO'!$P:$P,MATCH(MEDIÇÃO!D1095,'PROJETO PERFURAÇÃO'!$B:$B,0))="Pre-Splitting","S"))),"")</f>
        <v/>
      </c>
      <c r="D1095" s="14">
        <f t="shared" si="105"/>
        <v>2421</v>
      </c>
      <c r="E1095" s="4" t="str">
        <f>IFERROR(INDEX('LEV R&amp;D'!$D:$D,MATCH(MEDIÇÃO!D1095,'LEV R&amp;D'!$A:$A,0))-INDEX('PROJETO PERFURAÇÃO'!$AH:$AH,MATCH(MEDIÇÃO!D1095,'PROJETO PERFURAÇÃO'!$B:$B,0)),"")</f>
        <v/>
      </c>
      <c r="F1095" s="8" t="str">
        <f>IFERROR(INDEX('PROJETO PERFURAÇÃO'!$AN:$AN,MATCH(MEDIÇÃO!D1095,'PROJETO PERFURAÇÃO'!$B:$B,0)),"")</f>
        <v/>
      </c>
      <c r="G1095" s="3"/>
      <c r="H1095" s="3"/>
      <c r="I1095" s="3" t="str">
        <f>IFERROR(ROUND(INDEX('PROJETO PERFURAÇÃO'!$AB:$AB,MATCH(MEDIÇÃO!K1095,'PROJETO PERFURAÇÃO'!$B:$B,0)),1)&amp;"''","")</f>
        <v/>
      </c>
      <c r="J1095" s="3" t="str">
        <f>IFERROR(IF(INDEX('PROJETO PERFURAÇÃO'!$P:$P,MATCH(MEDIÇÃO!K1095,'PROJETO PERFURAÇÃO'!$B:$B,0))="Production","P",IF(INDEX('PROJETO PERFURAÇÃO'!$P:$P,MATCH(MEDIÇÃO!K1095,'PROJETO PERFURAÇÃO'!$B:$B,0))="Buffer","B",IF(INDEX('PROJETO PERFURAÇÃO'!$P:$P,MATCH(MEDIÇÃO!K1095,'PROJETO PERFURAÇÃO'!$B:$B,0))="Pre-Splitting","S"))),"")</f>
        <v/>
      </c>
      <c r="K1095" s="14">
        <f t="shared" si="106"/>
        <v>2444</v>
      </c>
      <c r="L1095" s="4" t="str">
        <f>IFERROR(INDEX('LEV R&amp;D'!$D:$D,MATCH(MEDIÇÃO!K1095,'LEV R&amp;D'!$A:$A,0))-INDEX('PROJETO PERFURAÇÃO'!$AH:$AH,MATCH(MEDIÇÃO!K1095,'PROJETO PERFURAÇÃO'!$B:$B,0)),"")</f>
        <v/>
      </c>
      <c r="M1095" s="8" t="str">
        <f>IFERROR(INDEX('PROJETO PERFURAÇÃO'!$AN:$AN,MATCH(MEDIÇÃO!K1095,'PROJETO PERFURAÇÃO'!$B:$B,0)),"")</f>
        <v/>
      </c>
      <c r="N1095" s="3"/>
      <c r="O1095" s="3"/>
      <c r="P1095" s="3" t="str">
        <f>IFERROR(ROUND(INDEX('PROJETO PERFURAÇÃO'!$AB:$AB,MATCH(MEDIÇÃO!R1095,'PROJETO PERFURAÇÃO'!$B:$B,0)),1)&amp;"''","")</f>
        <v/>
      </c>
      <c r="Q1095" s="3" t="str">
        <f>IFERROR(IF(INDEX('PROJETO PERFURAÇÃO'!$P:$P,MATCH(MEDIÇÃO!R1095,'PROJETO PERFURAÇÃO'!$B:$B,0))="Production","P",IF(INDEX('PROJETO PERFURAÇÃO'!$P:$P,MATCH(MEDIÇÃO!R1095,'PROJETO PERFURAÇÃO'!$B:$B,0))="Buffer","B",IF(INDEX('PROJETO PERFURAÇÃO'!$P:$P,MATCH(MEDIÇÃO!R1095,'PROJETO PERFURAÇÃO'!$B:$B,0))="Pre-Splitting","S"))),"")</f>
        <v/>
      </c>
      <c r="R1095" s="14">
        <f t="shared" si="107"/>
        <v>2467</v>
      </c>
      <c r="S1095" s="4" t="str">
        <f>IFERROR(INDEX('LEV R&amp;D'!$D:$D,MATCH(MEDIÇÃO!R1095,'LEV R&amp;D'!$A:$A,0))-INDEX('PROJETO PERFURAÇÃO'!$AH:$AH,MATCH(MEDIÇÃO!R1095,'PROJETO PERFURAÇÃO'!$B:$B,0)),"")</f>
        <v/>
      </c>
      <c r="T1095" s="8" t="str">
        <f>IFERROR(INDEX('PROJETO PERFURAÇÃO'!$AN:$AN,MATCH(MEDIÇÃO!R1095,'PROJETO PERFURAÇÃO'!$B:$B,0)),"")</f>
        <v/>
      </c>
      <c r="U1095" s="3"/>
      <c r="V1095" s="3"/>
    </row>
    <row r="1096" spans="1:23" ht="45" customHeight="1">
      <c r="B1096" s="3" t="str">
        <f>IFERROR(ROUND(INDEX('PROJETO PERFURAÇÃO'!$AB:$AB,MATCH(MEDIÇÃO!D1096,'PROJETO PERFURAÇÃO'!$B:$B,0)),1)&amp;"''","")</f>
        <v/>
      </c>
      <c r="C1096" s="3" t="str">
        <f>IFERROR(IF(INDEX('PROJETO PERFURAÇÃO'!$P:$P,MATCH(MEDIÇÃO!D1096,'PROJETO PERFURAÇÃO'!$B:$B,0))="Production","P",IF(INDEX('PROJETO PERFURAÇÃO'!$P:$P,MATCH(MEDIÇÃO!D1096,'PROJETO PERFURAÇÃO'!$B:$B,0))="Buffer","B",IF(INDEX('PROJETO PERFURAÇÃO'!$P:$P,MATCH(MEDIÇÃO!D1096,'PROJETO PERFURAÇÃO'!$B:$B,0))="Pre-Splitting","S"))),"")</f>
        <v/>
      </c>
      <c r="D1096" s="14">
        <f t="shared" si="105"/>
        <v>2422</v>
      </c>
      <c r="E1096" s="4" t="str">
        <f>IFERROR(INDEX('LEV R&amp;D'!$D:$D,MATCH(MEDIÇÃO!D1096,'LEV R&amp;D'!$A:$A,0))-INDEX('PROJETO PERFURAÇÃO'!$AH:$AH,MATCH(MEDIÇÃO!D1096,'PROJETO PERFURAÇÃO'!$B:$B,0)),"")</f>
        <v/>
      </c>
      <c r="F1096" s="8" t="str">
        <f>IFERROR(INDEX('PROJETO PERFURAÇÃO'!$AN:$AN,MATCH(MEDIÇÃO!D1096,'PROJETO PERFURAÇÃO'!$B:$B,0)),"")</f>
        <v/>
      </c>
      <c r="G1096" s="3"/>
      <c r="H1096" s="3"/>
      <c r="I1096" s="3" t="str">
        <f>IFERROR(ROUND(INDEX('PROJETO PERFURAÇÃO'!$AB:$AB,MATCH(MEDIÇÃO!K1096,'PROJETO PERFURAÇÃO'!$B:$B,0)),1)&amp;"''","")</f>
        <v/>
      </c>
      <c r="J1096" s="3" t="str">
        <f>IFERROR(IF(INDEX('PROJETO PERFURAÇÃO'!$P:$P,MATCH(MEDIÇÃO!K1096,'PROJETO PERFURAÇÃO'!$B:$B,0))="Production","P",IF(INDEX('PROJETO PERFURAÇÃO'!$P:$P,MATCH(MEDIÇÃO!K1096,'PROJETO PERFURAÇÃO'!$B:$B,0))="Buffer","B",IF(INDEX('PROJETO PERFURAÇÃO'!$P:$P,MATCH(MEDIÇÃO!K1096,'PROJETO PERFURAÇÃO'!$B:$B,0))="Pre-Splitting","S"))),"")</f>
        <v/>
      </c>
      <c r="K1096" s="14">
        <f t="shared" si="106"/>
        <v>2445</v>
      </c>
      <c r="L1096" s="4" t="str">
        <f>IFERROR(INDEX('LEV R&amp;D'!$D:$D,MATCH(MEDIÇÃO!K1096,'LEV R&amp;D'!$A:$A,0))-INDEX('PROJETO PERFURAÇÃO'!$AH:$AH,MATCH(MEDIÇÃO!K1096,'PROJETO PERFURAÇÃO'!$B:$B,0)),"")</f>
        <v/>
      </c>
      <c r="M1096" s="8" t="str">
        <f>IFERROR(INDEX('PROJETO PERFURAÇÃO'!$AN:$AN,MATCH(MEDIÇÃO!K1096,'PROJETO PERFURAÇÃO'!$B:$B,0)),"")</f>
        <v/>
      </c>
      <c r="N1096" s="3"/>
      <c r="O1096" s="3"/>
      <c r="P1096" s="3" t="str">
        <f>IFERROR(ROUND(INDEX('PROJETO PERFURAÇÃO'!$AB:$AB,MATCH(MEDIÇÃO!R1096,'PROJETO PERFURAÇÃO'!$B:$B,0)),1)&amp;"''","")</f>
        <v/>
      </c>
      <c r="Q1096" s="3" t="str">
        <f>IFERROR(IF(INDEX('PROJETO PERFURAÇÃO'!$P:$P,MATCH(MEDIÇÃO!R1096,'PROJETO PERFURAÇÃO'!$B:$B,0))="Production","P",IF(INDEX('PROJETO PERFURAÇÃO'!$P:$P,MATCH(MEDIÇÃO!R1096,'PROJETO PERFURAÇÃO'!$B:$B,0))="Buffer","B",IF(INDEX('PROJETO PERFURAÇÃO'!$P:$P,MATCH(MEDIÇÃO!R1096,'PROJETO PERFURAÇÃO'!$B:$B,0))="Pre-Splitting","S"))),"")</f>
        <v/>
      </c>
      <c r="R1096" s="14">
        <f t="shared" si="107"/>
        <v>2468</v>
      </c>
      <c r="S1096" s="4" t="str">
        <f>IFERROR(INDEX('LEV R&amp;D'!$D:$D,MATCH(MEDIÇÃO!R1096,'LEV R&amp;D'!$A:$A,0))-INDEX('PROJETO PERFURAÇÃO'!$AH:$AH,MATCH(MEDIÇÃO!R1096,'PROJETO PERFURAÇÃO'!$B:$B,0)),"")</f>
        <v/>
      </c>
      <c r="T1096" s="8" t="str">
        <f>IFERROR(INDEX('PROJETO PERFURAÇÃO'!$AN:$AN,MATCH(MEDIÇÃO!R1096,'PROJETO PERFURAÇÃO'!$B:$B,0)),"")</f>
        <v/>
      </c>
      <c r="U1096" s="3"/>
      <c r="V1096" s="3"/>
    </row>
    <row r="1097" spans="1:23" ht="45" customHeight="1">
      <c r="B1097" s="3" t="str">
        <f>IFERROR(ROUND(INDEX('PROJETO PERFURAÇÃO'!$AB:$AB,MATCH(MEDIÇÃO!D1097,'PROJETO PERFURAÇÃO'!$B:$B,0)),1)&amp;"''","")</f>
        <v/>
      </c>
      <c r="C1097" s="3" t="str">
        <f>IFERROR(IF(INDEX('PROJETO PERFURAÇÃO'!$P:$P,MATCH(MEDIÇÃO!D1097,'PROJETO PERFURAÇÃO'!$B:$B,0))="Production","P",IF(INDEX('PROJETO PERFURAÇÃO'!$P:$P,MATCH(MEDIÇÃO!D1097,'PROJETO PERFURAÇÃO'!$B:$B,0))="Buffer","B",IF(INDEX('PROJETO PERFURAÇÃO'!$P:$P,MATCH(MEDIÇÃO!D1097,'PROJETO PERFURAÇÃO'!$B:$B,0))="Pre-Splitting","S"))),"")</f>
        <v/>
      </c>
      <c r="D1097" s="14">
        <f t="shared" si="105"/>
        <v>2423</v>
      </c>
      <c r="E1097" s="4" t="str">
        <f>IFERROR(INDEX('LEV R&amp;D'!$D:$D,MATCH(MEDIÇÃO!D1097,'LEV R&amp;D'!$A:$A,0))-INDEX('PROJETO PERFURAÇÃO'!$AH:$AH,MATCH(MEDIÇÃO!D1097,'PROJETO PERFURAÇÃO'!$B:$B,0)),"")</f>
        <v/>
      </c>
      <c r="F1097" s="8" t="str">
        <f>IFERROR(INDEX('PROJETO PERFURAÇÃO'!$AN:$AN,MATCH(MEDIÇÃO!D1097,'PROJETO PERFURAÇÃO'!$B:$B,0)),"")</f>
        <v/>
      </c>
      <c r="G1097" s="3"/>
      <c r="H1097" s="3"/>
      <c r="I1097" s="3" t="str">
        <f>IFERROR(ROUND(INDEX('PROJETO PERFURAÇÃO'!$AB:$AB,MATCH(MEDIÇÃO!K1097,'PROJETO PERFURAÇÃO'!$B:$B,0)),1)&amp;"''","")</f>
        <v/>
      </c>
      <c r="J1097" s="3" t="str">
        <f>IFERROR(IF(INDEX('PROJETO PERFURAÇÃO'!$P:$P,MATCH(MEDIÇÃO!K1097,'PROJETO PERFURAÇÃO'!$B:$B,0))="Production","P",IF(INDEX('PROJETO PERFURAÇÃO'!$P:$P,MATCH(MEDIÇÃO!K1097,'PROJETO PERFURAÇÃO'!$B:$B,0))="Buffer","B",IF(INDEX('PROJETO PERFURAÇÃO'!$P:$P,MATCH(MEDIÇÃO!K1097,'PROJETO PERFURAÇÃO'!$B:$B,0))="Pre-Splitting","S"))),"")</f>
        <v/>
      </c>
      <c r="K1097" s="14">
        <f t="shared" si="106"/>
        <v>2446</v>
      </c>
      <c r="L1097" s="4" t="str">
        <f>IFERROR(INDEX('LEV R&amp;D'!$D:$D,MATCH(MEDIÇÃO!K1097,'LEV R&amp;D'!$A:$A,0))-INDEX('PROJETO PERFURAÇÃO'!$AH:$AH,MATCH(MEDIÇÃO!K1097,'PROJETO PERFURAÇÃO'!$B:$B,0)),"")</f>
        <v/>
      </c>
      <c r="M1097" s="8" t="str">
        <f>IFERROR(INDEX('PROJETO PERFURAÇÃO'!$AN:$AN,MATCH(MEDIÇÃO!K1097,'PROJETO PERFURAÇÃO'!$B:$B,0)),"")</f>
        <v/>
      </c>
      <c r="N1097" s="3"/>
      <c r="O1097" s="3"/>
      <c r="P1097" s="3" t="str">
        <f>IFERROR(ROUND(INDEX('PROJETO PERFURAÇÃO'!$AB:$AB,MATCH(MEDIÇÃO!R1097,'PROJETO PERFURAÇÃO'!$B:$B,0)),1)&amp;"''","")</f>
        <v/>
      </c>
      <c r="Q1097" s="3" t="str">
        <f>IFERROR(IF(INDEX('PROJETO PERFURAÇÃO'!$P:$P,MATCH(MEDIÇÃO!R1097,'PROJETO PERFURAÇÃO'!$B:$B,0))="Production","P",IF(INDEX('PROJETO PERFURAÇÃO'!$P:$P,MATCH(MEDIÇÃO!R1097,'PROJETO PERFURAÇÃO'!$B:$B,0))="Buffer","B",IF(INDEX('PROJETO PERFURAÇÃO'!$P:$P,MATCH(MEDIÇÃO!R1097,'PROJETO PERFURAÇÃO'!$B:$B,0))="Pre-Splitting","S"))),"")</f>
        <v/>
      </c>
      <c r="R1097" s="14">
        <f t="shared" si="107"/>
        <v>2469</v>
      </c>
      <c r="S1097" s="4" t="str">
        <f>IFERROR(INDEX('LEV R&amp;D'!$D:$D,MATCH(MEDIÇÃO!R1097,'LEV R&amp;D'!$A:$A,0))-INDEX('PROJETO PERFURAÇÃO'!$AH:$AH,MATCH(MEDIÇÃO!R1097,'PROJETO PERFURAÇÃO'!$B:$B,0)),"")</f>
        <v/>
      </c>
      <c r="T1097" s="8" t="str">
        <f>IFERROR(INDEX('PROJETO PERFURAÇÃO'!$AN:$AN,MATCH(MEDIÇÃO!R1097,'PROJETO PERFURAÇÃO'!$B:$B,0)),"")</f>
        <v/>
      </c>
      <c r="U1097" s="3"/>
      <c r="V1097" s="3"/>
    </row>
    <row r="1098" spans="1:23" ht="45" customHeight="1">
      <c r="B1098" s="3" t="str">
        <f>IFERROR(ROUND(INDEX('PROJETO PERFURAÇÃO'!$AB:$AB,MATCH(MEDIÇÃO!D1098,'PROJETO PERFURAÇÃO'!$B:$B,0)),1)&amp;"''","")</f>
        <v/>
      </c>
      <c r="C1098" s="3" t="str">
        <f>IFERROR(IF(INDEX('PROJETO PERFURAÇÃO'!$P:$P,MATCH(MEDIÇÃO!D1098,'PROJETO PERFURAÇÃO'!$B:$B,0))="Production","P",IF(INDEX('PROJETO PERFURAÇÃO'!$P:$P,MATCH(MEDIÇÃO!D1098,'PROJETO PERFURAÇÃO'!$B:$B,0))="Buffer","B",IF(INDEX('PROJETO PERFURAÇÃO'!$P:$P,MATCH(MEDIÇÃO!D1098,'PROJETO PERFURAÇÃO'!$B:$B,0))="Pre-Splitting","S"))),"")</f>
        <v/>
      </c>
      <c r="D1098" s="14">
        <f t="shared" si="105"/>
        <v>2424</v>
      </c>
      <c r="E1098" s="4" t="str">
        <f>IFERROR(INDEX('LEV R&amp;D'!$D:$D,MATCH(MEDIÇÃO!D1098,'LEV R&amp;D'!$A:$A,0))-INDEX('PROJETO PERFURAÇÃO'!$AH:$AH,MATCH(MEDIÇÃO!D1098,'PROJETO PERFURAÇÃO'!$B:$B,0)),"")</f>
        <v/>
      </c>
      <c r="F1098" s="8" t="str">
        <f>IFERROR(INDEX('PROJETO PERFURAÇÃO'!$AN:$AN,MATCH(MEDIÇÃO!D1098,'PROJETO PERFURAÇÃO'!$B:$B,0)),"")</f>
        <v/>
      </c>
      <c r="G1098" s="3"/>
      <c r="H1098" s="3"/>
      <c r="I1098" s="3" t="str">
        <f>IFERROR(ROUND(INDEX('PROJETO PERFURAÇÃO'!$AB:$AB,MATCH(MEDIÇÃO!K1098,'PROJETO PERFURAÇÃO'!$B:$B,0)),1)&amp;"''","")</f>
        <v/>
      </c>
      <c r="J1098" s="3" t="str">
        <f>IFERROR(IF(INDEX('PROJETO PERFURAÇÃO'!$P:$P,MATCH(MEDIÇÃO!K1098,'PROJETO PERFURAÇÃO'!$B:$B,0))="Production","P",IF(INDEX('PROJETO PERFURAÇÃO'!$P:$P,MATCH(MEDIÇÃO!K1098,'PROJETO PERFURAÇÃO'!$B:$B,0))="Buffer","B",IF(INDEX('PROJETO PERFURAÇÃO'!$P:$P,MATCH(MEDIÇÃO!K1098,'PROJETO PERFURAÇÃO'!$B:$B,0))="Pre-Splitting","S"))),"")</f>
        <v/>
      </c>
      <c r="K1098" s="14">
        <f t="shared" si="106"/>
        <v>2447</v>
      </c>
      <c r="L1098" s="4" t="str">
        <f>IFERROR(INDEX('LEV R&amp;D'!$D:$D,MATCH(MEDIÇÃO!K1098,'LEV R&amp;D'!$A:$A,0))-INDEX('PROJETO PERFURAÇÃO'!$AH:$AH,MATCH(MEDIÇÃO!K1098,'PROJETO PERFURAÇÃO'!$B:$B,0)),"")</f>
        <v/>
      </c>
      <c r="M1098" s="8" t="str">
        <f>IFERROR(INDEX('PROJETO PERFURAÇÃO'!$AN:$AN,MATCH(MEDIÇÃO!K1098,'PROJETO PERFURAÇÃO'!$B:$B,0)),"")</f>
        <v/>
      </c>
      <c r="N1098" s="3"/>
      <c r="O1098" s="3"/>
      <c r="P1098" s="3" t="str">
        <f>IFERROR(ROUND(INDEX('PROJETO PERFURAÇÃO'!$AB:$AB,MATCH(MEDIÇÃO!R1098,'PROJETO PERFURAÇÃO'!$B:$B,0)),1)&amp;"''","")</f>
        <v/>
      </c>
      <c r="Q1098" s="3" t="str">
        <f>IFERROR(IF(INDEX('PROJETO PERFURAÇÃO'!$P:$P,MATCH(MEDIÇÃO!R1098,'PROJETO PERFURAÇÃO'!$B:$B,0))="Production","P",IF(INDEX('PROJETO PERFURAÇÃO'!$P:$P,MATCH(MEDIÇÃO!R1098,'PROJETO PERFURAÇÃO'!$B:$B,0))="Buffer","B",IF(INDEX('PROJETO PERFURAÇÃO'!$P:$P,MATCH(MEDIÇÃO!R1098,'PROJETO PERFURAÇÃO'!$B:$B,0))="Pre-Splitting","S"))),"")</f>
        <v/>
      </c>
      <c r="R1098" s="14">
        <f t="shared" si="107"/>
        <v>2470</v>
      </c>
      <c r="S1098" s="4" t="str">
        <f>IFERROR(INDEX('LEV R&amp;D'!$D:$D,MATCH(MEDIÇÃO!R1098,'LEV R&amp;D'!$A:$A,0))-INDEX('PROJETO PERFURAÇÃO'!$AH:$AH,MATCH(MEDIÇÃO!R1098,'PROJETO PERFURAÇÃO'!$B:$B,0)),"")</f>
        <v/>
      </c>
      <c r="T1098" s="8" t="str">
        <f>IFERROR(INDEX('PROJETO PERFURAÇÃO'!$AN:$AN,MATCH(MEDIÇÃO!R1098,'PROJETO PERFURAÇÃO'!$B:$B,0)),"")</f>
        <v/>
      </c>
      <c r="U1098" s="3"/>
      <c r="V1098" s="3"/>
    </row>
    <row r="1099" spans="1:23" ht="45" customHeight="1">
      <c r="B1099" s="3" t="str">
        <f>IFERROR(ROUND(INDEX('PROJETO PERFURAÇÃO'!$AB:$AB,MATCH(MEDIÇÃO!D1099,'PROJETO PERFURAÇÃO'!$B:$B,0)),1)&amp;"''","")</f>
        <v/>
      </c>
      <c r="C1099" s="3" t="str">
        <f>IFERROR(IF(INDEX('PROJETO PERFURAÇÃO'!$P:$P,MATCH(MEDIÇÃO!D1099,'PROJETO PERFURAÇÃO'!$B:$B,0))="Production","P",IF(INDEX('PROJETO PERFURAÇÃO'!$P:$P,MATCH(MEDIÇÃO!D1099,'PROJETO PERFURAÇÃO'!$B:$B,0))="Buffer","B",IF(INDEX('PROJETO PERFURAÇÃO'!$P:$P,MATCH(MEDIÇÃO!D1099,'PROJETO PERFURAÇÃO'!$B:$B,0))="Pre-Splitting","S"))),"")</f>
        <v/>
      </c>
      <c r="D1099" s="14">
        <f t="shared" si="105"/>
        <v>2425</v>
      </c>
      <c r="E1099" s="4" t="str">
        <f>IFERROR(INDEX('LEV R&amp;D'!$D:$D,MATCH(MEDIÇÃO!D1099,'LEV R&amp;D'!$A:$A,0))-INDEX('PROJETO PERFURAÇÃO'!$AH:$AH,MATCH(MEDIÇÃO!D1099,'PROJETO PERFURAÇÃO'!$B:$B,0)),"")</f>
        <v/>
      </c>
      <c r="F1099" s="8" t="str">
        <f>IFERROR(INDEX('PROJETO PERFURAÇÃO'!$AN:$AN,MATCH(MEDIÇÃO!D1099,'PROJETO PERFURAÇÃO'!$B:$B,0)),"")</f>
        <v/>
      </c>
      <c r="G1099" s="3"/>
      <c r="H1099" s="3"/>
      <c r="I1099" s="3" t="str">
        <f>IFERROR(ROUND(INDEX('PROJETO PERFURAÇÃO'!$AB:$AB,MATCH(MEDIÇÃO!K1099,'PROJETO PERFURAÇÃO'!$B:$B,0)),1)&amp;"''","")</f>
        <v/>
      </c>
      <c r="J1099" s="3" t="str">
        <f>IFERROR(IF(INDEX('PROJETO PERFURAÇÃO'!$P:$P,MATCH(MEDIÇÃO!K1099,'PROJETO PERFURAÇÃO'!$B:$B,0))="Production","P",IF(INDEX('PROJETO PERFURAÇÃO'!$P:$P,MATCH(MEDIÇÃO!K1099,'PROJETO PERFURAÇÃO'!$B:$B,0))="Buffer","B",IF(INDEX('PROJETO PERFURAÇÃO'!$P:$P,MATCH(MEDIÇÃO!K1099,'PROJETO PERFURAÇÃO'!$B:$B,0))="Pre-Splitting","S"))),"")</f>
        <v/>
      </c>
      <c r="K1099" s="14">
        <f t="shared" si="106"/>
        <v>2448</v>
      </c>
      <c r="L1099" s="4" t="str">
        <f>IFERROR(INDEX('LEV R&amp;D'!$D:$D,MATCH(MEDIÇÃO!K1099,'LEV R&amp;D'!$A:$A,0))-INDEX('PROJETO PERFURAÇÃO'!$AH:$AH,MATCH(MEDIÇÃO!K1099,'PROJETO PERFURAÇÃO'!$B:$B,0)),"")</f>
        <v/>
      </c>
      <c r="M1099" s="8" t="str">
        <f>IFERROR(INDEX('PROJETO PERFURAÇÃO'!$AN:$AN,MATCH(MEDIÇÃO!K1099,'PROJETO PERFURAÇÃO'!$B:$B,0)),"")</f>
        <v/>
      </c>
      <c r="N1099" s="3"/>
      <c r="O1099" s="3"/>
      <c r="P1099" s="3" t="str">
        <f>IFERROR(ROUND(INDEX('PROJETO PERFURAÇÃO'!$AB:$AB,MATCH(MEDIÇÃO!R1099,'PROJETO PERFURAÇÃO'!$B:$B,0)),1)&amp;"''","")</f>
        <v/>
      </c>
      <c r="Q1099" s="3" t="str">
        <f>IFERROR(IF(INDEX('PROJETO PERFURAÇÃO'!$P:$P,MATCH(MEDIÇÃO!R1099,'PROJETO PERFURAÇÃO'!$B:$B,0))="Production","P",IF(INDEX('PROJETO PERFURAÇÃO'!$P:$P,MATCH(MEDIÇÃO!R1099,'PROJETO PERFURAÇÃO'!$B:$B,0))="Buffer","B",IF(INDEX('PROJETO PERFURAÇÃO'!$P:$P,MATCH(MEDIÇÃO!R1099,'PROJETO PERFURAÇÃO'!$B:$B,0))="Pre-Splitting","S"))),"")</f>
        <v/>
      </c>
      <c r="R1099" s="14">
        <f t="shared" si="107"/>
        <v>2471</v>
      </c>
      <c r="S1099" s="4" t="str">
        <f>IFERROR(INDEX('LEV R&amp;D'!$D:$D,MATCH(MEDIÇÃO!R1099,'LEV R&amp;D'!$A:$A,0))-INDEX('PROJETO PERFURAÇÃO'!$AH:$AH,MATCH(MEDIÇÃO!R1099,'PROJETO PERFURAÇÃO'!$B:$B,0)),"")</f>
        <v/>
      </c>
      <c r="T1099" s="8" t="str">
        <f>IFERROR(INDEX('PROJETO PERFURAÇÃO'!$AN:$AN,MATCH(MEDIÇÃO!R1099,'PROJETO PERFURAÇÃO'!$B:$B,0)),"")</f>
        <v/>
      </c>
      <c r="U1099" s="3"/>
      <c r="V1099" s="3"/>
    </row>
    <row r="1100" spans="1:23" ht="45" customHeight="1">
      <c r="B1100" s="3" t="str">
        <f>IFERROR(ROUND(INDEX('PROJETO PERFURAÇÃO'!$AB:$AB,MATCH(MEDIÇÃO!D1100,'PROJETO PERFURAÇÃO'!$B:$B,0)),1)&amp;"''","")</f>
        <v/>
      </c>
      <c r="C1100" s="3" t="str">
        <f>IFERROR(IF(INDEX('PROJETO PERFURAÇÃO'!$P:$P,MATCH(MEDIÇÃO!D1100,'PROJETO PERFURAÇÃO'!$B:$B,0))="Production","P",IF(INDEX('PROJETO PERFURAÇÃO'!$P:$P,MATCH(MEDIÇÃO!D1100,'PROJETO PERFURAÇÃO'!$B:$B,0))="Buffer","B",IF(INDEX('PROJETO PERFURAÇÃO'!$P:$P,MATCH(MEDIÇÃO!D1100,'PROJETO PERFURAÇÃO'!$B:$B,0))="Pre-Splitting","S"))),"")</f>
        <v/>
      </c>
      <c r="D1100" s="14">
        <f t="shared" si="105"/>
        <v>2426</v>
      </c>
      <c r="E1100" s="4" t="str">
        <f>IFERROR(INDEX('LEV R&amp;D'!$D:$D,MATCH(MEDIÇÃO!D1100,'LEV R&amp;D'!$A:$A,0))-INDEX('PROJETO PERFURAÇÃO'!$AH:$AH,MATCH(MEDIÇÃO!D1100,'PROJETO PERFURAÇÃO'!$B:$B,0)),"")</f>
        <v/>
      </c>
      <c r="F1100" s="8" t="str">
        <f>IFERROR(INDEX('PROJETO PERFURAÇÃO'!$AN:$AN,MATCH(MEDIÇÃO!D1100,'PROJETO PERFURAÇÃO'!$B:$B,0)),"")</f>
        <v/>
      </c>
      <c r="G1100" s="3"/>
      <c r="H1100" s="3"/>
      <c r="I1100" s="3" t="str">
        <f>IFERROR(ROUND(INDEX('PROJETO PERFURAÇÃO'!$AB:$AB,MATCH(MEDIÇÃO!K1100,'PROJETO PERFURAÇÃO'!$B:$B,0)),1)&amp;"''","")</f>
        <v/>
      </c>
      <c r="J1100" s="3" t="str">
        <f>IFERROR(IF(INDEX('PROJETO PERFURAÇÃO'!$P:$P,MATCH(MEDIÇÃO!K1100,'PROJETO PERFURAÇÃO'!$B:$B,0))="Production","P",IF(INDEX('PROJETO PERFURAÇÃO'!$P:$P,MATCH(MEDIÇÃO!K1100,'PROJETO PERFURAÇÃO'!$B:$B,0))="Buffer","B",IF(INDEX('PROJETO PERFURAÇÃO'!$P:$P,MATCH(MEDIÇÃO!K1100,'PROJETO PERFURAÇÃO'!$B:$B,0))="Pre-Splitting","S"))),"")</f>
        <v/>
      </c>
      <c r="K1100" s="14">
        <f t="shared" si="106"/>
        <v>2449</v>
      </c>
      <c r="L1100" s="4" t="str">
        <f>IFERROR(INDEX('LEV R&amp;D'!$D:$D,MATCH(MEDIÇÃO!K1100,'LEV R&amp;D'!$A:$A,0))-INDEX('PROJETO PERFURAÇÃO'!$AH:$AH,MATCH(MEDIÇÃO!K1100,'PROJETO PERFURAÇÃO'!$B:$B,0)),"")</f>
        <v/>
      </c>
      <c r="M1100" s="8" t="str">
        <f>IFERROR(INDEX('PROJETO PERFURAÇÃO'!$AN:$AN,MATCH(MEDIÇÃO!K1100,'PROJETO PERFURAÇÃO'!$B:$B,0)),"")</f>
        <v/>
      </c>
      <c r="N1100" s="3"/>
      <c r="O1100" s="3"/>
      <c r="P1100" s="3" t="str">
        <f>IFERROR(ROUND(INDEX('PROJETO PERFURAÇÃO'!$AB:$AB,MATCH(MEDIÇÃO!R1100,'PROJETO PERFURAÇÃO'!$B:$B,0)),1)&amp;"''","")</f>
        <v/>
      </c>
      <c r="Q1100" s="3" t="str">
        <f>IFERROR(IF(INDEX('PROJETO PERFURAÇÃO'!$P:$P,MATCH(MEDIÇÃO!R1100,'PROJETO PERFURAÇÃO'!$B:$B,0))="Production","P",IF(INDEX('PROJETO PERFURAÇÃO'!$P:$P,MATCH(MEDIÇÃO!R1100,'PROJETO PERFURAÇÃO'!$B:$B,0))="Buffer","B",IF(INDEX('PROJETO PERFURAÇÃO'!$P:$P,MATCH(MEDIÇÃO!R1100,'PROJETO PERFURAÇÃO'!$B:$B,0))="Pre-Splitting","S"))),"")</f>
        <v/>
      </c>
      <c r="R1100" s="14">
        <f t="shared" si="107"/>
        <v>2472</v>
      </c>
      <c r="S1100" s="4" t="str">
        <f>IFERROR(INDEX('LEV R&amp;D'!$D:$D,MATCH(MEDIÇÃO!R1100,'LEV R&amp;D'!$A:$A,0))-INDEX('PROJETO PERFURAÇÃO'!$AH:$AH,MATCH(MEDIÇÃO!R1100,'PROJETO PERFURAÇÃO'!$B:$B,0)),"")</f>
        <v/>
      </c>
      <c r="T1100" s="8" t="str">
        <f>IFERROR(INDEX('PROJETO PERFURAÇÃO'!$AN:$AN,MATCH(MEDIÇÃO!R1100,'PROJETO PERFURAÇÃO'!$B:$B,0)),"")</f>
        <v/>
      </c>
      <c r="U1100" s="3"/>
      <c r="V1100" s="3"/>
    </row>
    <row r="1101" spans="1:23" ht="45" customHeight="1">
      <c r="B1101" s="3" t="str">
        <f>IFERROR(ROUND(INDEX('PROJETO PERFURAÇÃO'!$AB:$AB,MATCH(MEDIÇÃO!D1101,'PROJETO PERFURAÇÃO'!$B:$B,0)),1)&amp;"''","")</f>
        <v/>
      </c>
      <c r="C1101" s="3" t="str">
        <f>IFERROR(IF(INDEX('PROJETO PERFURAÇÃO'!$P:$P,MATCH(MEDIÇÃO!D1101,'PROJETO PERFURAÇÃO'!$B:$B,0))="Production","P",IF(INDEX('PROJETO PERFURAÇÃO'!$P:$P,MATCH(MEDIÇÃO!D1101,'PROJETO PERFURAÇÃO'!$B:$B,0))="Buffer","B",IF(INDEX('PROJETO PERFURAÇÃO'!$P:$P,MATCH(MEDIÇÃO!D1101,'PROJETO PERFURAÇÃO'!$B:$B,0))="Pre-Splitting","S"))),"")</f>
        <v/>
      </c>
      <c r="D1101" s="14">
        <f t="shared" si="105"/>
        <v>2427</v>
      </c>
      <c r="E1101" s="4" t="str">
        <f>IFERROR(INDEX('LEV R&amp;D'!$D:$D,MATCH(MEDIÇÃO!D1101,'LEV R&amp;D'!$A:$A,0))-INDEX('PROJETO PERFURAÇÃO'!$AH:$AH,MATCH(MEDIÇÃO!D1101,'PROJETO PERFURAÇÃO'!$B:$B,0)),"")</f>
        <v/>
      </c>
      <c r="F1101" s="8" t="str">
        <f>IFERROR(INDEX('PROJETO PERFURAÇÃO'!$AN:$AN,MATCH(MEDIÇÃO!D1101,'PROJETO PERFURAÇÃO'!$B:$B,0)),"")</f>
        <v/>
      </c>
      <c r="G1101" s="3"/>
      <c r="H1101" s="3"/>
      <c r="I1101" s="3" t="str">
        <f>IFERROR(ROUND(INDEX('PROJETO PERFURAÇÃO'!$AB:$AB,MATCH(MEDIÇÃO!K1101,'PROJETO PERFURAÇÃO'!$B:$B,0)),1)&amp;"''","")</f>
        <v/>
      </c>
      <c r="J1101" s="3" t="str">
        <f>IFERROR(IF(INDEX('PROJETO PERFURAÇÃO'!$P:$P,MATCH(MEDIÇÃO!K1101,'PROJETO PERFURAÇÃO'!$B:$B,0))="Production","P",IF(INDEX('PROJETO PERFURAÇÃO'!$P:$P,MATCH(MEDIÇÃO!K1101,'PROJETO PERFURAÇÃO'!$B:$B,0))="Buffer","B",IF(INDEX('PROJETO PERFURAÇÃO'!$P:$P,MATCH(MEDIÇÃO!K1101,'PROJETO PERFURAÇÃO'!$B:$B,0))="Pre-Splitting","S"))),"")</f>
        <v/>
      </c>
      <c r="K1101" s="14">
        <f t="shared" si="106"/>
        <v>2450</v>
      </c>
      <c r="L1101" s="4" t="str">
        <f>IFERROR(INDEX('LEV R&amp;D'!$D:$D,MATCH(MEDIÇÃO!K1101,'LEV R&amp;D'!$A:$A,0))-INDEX('PROJETO PERFURAÇÃO'!$AH:$AH,MATCH(MEDIÇÃO!K1101,'PROJETO PERFURAÇÃO'!$B:$B,0)),"")</f>
        <v/>
      </c>
      <c r="M1101" s="8" t="str">
        <f>IFERROR(INDEX('PROJETO PERFURAÇÃO'!$AN:$AN,MATCH(MEDIÇÃO!K1101,'PROJETO PERFURAÇÃO'!$B:$B,0)),"")</f>
        <v/>
      </c>
      <c r="N1101" s="3"/>
      <c r="O1101" s="3"/>
      <c r="P1101" s="3" t="str">
        <f>IFERROR(ROUND(INDEX('PROJETO PERFURAÇÃO'!$AB:$AB,MATCH(MEDIÇÃO!R1101,'PROJETO PERFURAÇÃO'!$B:$B,0)),1)&amp;"''","")</f>
        <v/>
      </c>
      <c r="Q1101" s="3" t="str">
        <f>IFERROR(IF(INDEX('PROJETO PERFURAÇÃO'!$P:$P,MATCH(MEDIÇÃO!R1101,'PROJETO PERFURAÇÃO'!$B:$B,0))="Production","P",IF(INDEX('PROJETO PERFURAÇÃO'!$P:$P,MATCH(MEDIÇÃO!R1101,'PROJETO PERFURAÇÃO'!$B:$B,0))="Buffer","B",IF(INDEX('PROJETO PERFURAÇÃO'!$P:$P,MATCH(MEDIÇÃO!R1101,'PROJETO PERFURAÇÃO'!$B:$B,0))="Pre-Splitting","S"))),"")</f>
        <v/>
      </c>
      <c r="R1101" s="14">
        <f t="shared" si="107"/>
        <v>2473</v>
      </c>
      <c r="S1101" s="4" t="str">
        <f>IFERROR(INDEX('LEV R&amp;D'!$D:$D,MATCH(MEDIÇÃO!R1101,'LEV R&amp;D'!$A:$A,0))-INDEX('PROJETO PERFURAÇÃO'!$AH:$AH,MATCH(MEDIÇÃO!R1101,'PROJETO PERFURAÇÃO'!$B:$B,0)),"")</f>
        <v/>
      </c>
      <c r="T1101" s="8" t="str">
        <f>IFERROR(INDEX('PROJETO PERFURAÇÃO'!$AN:$AN,MATCH(MEDIÇÃO!R1101,'PROJETO PERFURAÇÃO'!$B:$B,0)),"")</f>
        <v/>
      </c>
      <c r="U1101" s="3"/>
      <c r="V1101" s="3"/>
    </row>
    <row r="1102" spans="1:23" ht="45" customHeight="1">
      <c r="B1102" s="3" t="str">
        <f>IFERROR(ROUND(INDEX('PROJETO PERFURAÇÃO'!$AB:$AB,MATCH(MEDIÇÃO!D1102,'PROJETO PERFURAÇÃO'!$B:$B,0)),1)&amp;"''","")</f>
        <v/>
      </c>
      <c r="C1102" s="3" t="str">
        <f>IFERROR(IF(INDEX('PROJETO PERFURAÇÃO'!$P:$P,MATCH(MEDIÇÃO!D1102,'PROJETO PERFURAÇÃO'!$B:$B,0))="Production","P",IF(INDEX('PROJETO PERFURAÇÃO'!$P:$P,MATCH(MEDIÇÃO!D1102,'PROJETO PERFURAÇÃO'!$B:$B,0))="Buffer","B",IF(INDEX('PROJETO PERFURAÇÃO'!$P:$P,MATCH(MEDIÇÃO!D1102,'PROJETO PERFURAÇÃO'!$B:$B,0))="Pre-Splitting","S"))),"")</f>
        <v/>
      </c>
      <c r="D1102" s="14">
        <f t="shared" si="105"/>
        <v>2428</v>
      </c>
      <c r="E1102" s="4" t="str">
        <f>IFERROR(INDEX('LEV R&amp;D'!$D:$D,MATCH(MEDIÇÃO!D1102,'LEV R&amp;D'!$A:$A,0))-INDEX('PROJETO PERFURAÇÃO'!$AH:$AH,MATCH(MEDIÇÃO!D1102,'PROJETO PERFURAÇÃO'!$B:$B,0)),"")</f>
        <v/>
      </c>
      <c r="F1102" s="8" t="str">
        <f>IFERROR(INDEX('PROJETO PERFURAÇÃO'!$AN:$AN,MATCH(MEDIÇÃO!D1102,'PROJETO PERFURAÇÃO'!$B:$B,0)),"")</f>
        <v/>
      </c>
      <c r="G1102" s="3"/>
      <c r="H1102" s="3"/>
      <c r="I1102" s="3" t="str">
        <f>IFERROR(ROUND(INDEX('PROJETO PERFURAÇÃO'!$AB:$AB,MATCH(MEDIÇÃO!K1102,'PROJETO PERFURAÇÃO'!$B:$B,0)),1)&amp;"''","")</f>
        <v/>
      </c>
      <c r="J1102" s="3" t="str">
        <f>IFERROR(IF(INDEX('PROJETO PERFURAÇÃO'!$P:$P,MATCH(MEDIÇÃO!K1102,'PROJETO PERFURAÇÃO'!$B:$B,0))="Production","P",IF(INDEX('PROJETO PERFURAÇÃO'!$P:$P,MATCH(MEDIÇÃO!K1102,'PROJETO PERFURAÇÃO'!$B:$B,0))="Buffer","B",IF(INDEX('PROJETO PERFURAÇÃO'!$P:$P,MATCH(MEDIÇÃO!K1102,'PROJETO PERFURAÇÃO'!$B:$B,0))="Pre-Splitting","S"))),"")</f>
        <v/>
      </c>
      <c r="K1102" s="14">
        <f t="shared" si="106"/>
        <v>2451</v>
      </c>
      <c r="L1102" s="4" t="str">
        <f>IFERROR(INDEX('LEV R&amp;D'!$D:$D,MATCH(MEDIÇÃO!K1102,'LEV R&amp;D'!$A:$A,0))-INDEX('PROJETO PERFURAÇÃO'!$AH:$AH,MATCH(MEDIÇÃO!K1102,'PROJETO PERFURAÇÃO'!$B:$B,0)),"")</f>
        <v/>
      </c>
      <c r="M1102" s="8" t="str">
        <f>IFERROR(INDEX('PROJETO PERFURAÇÃO'!$AN:$AN,MATCH(MEDIÇÃO!K1102,'PROJETO PERFURAÇÃO'!$B:$B,0)),"")</f>
        <v/>
      </c>
      <c r="N1102" s="3"/>
      <c r="O1102" s="3"/>
      <c r="P1102" s="3" t="str">
        <f>IFERROR(ROUND(INDEX('PROJETO PERFURAÇÃO'!$AB:$AB,MATCH(MEDIÇÃO!R1102,'PROJETO PERFURAÇÃO'!$B:$B,0)),1)&amp;"''","")</f>
        <v/>
      </c>
      <c r="Q1102" s="3" t="str">
        <f>IFERROR(IF(INDEX('PROJETO PERFURAÇÃO'!$P:$P,MATCH(MEDIÇÃO!R1102,'PROJETO PERFURAÇÃO'!$B:$B,0))="Production","P",IF(INDEX('PROJETO PERFURAÇÃO'!$P:$P,MATCH(MEDIÇÃO!R1102,'PROJETO PERFURAÇÃO'!$B:$B,0))="Buffer","B",IF(INDEX('PROJETO PERFURAÇÃO'!$P:$P,MATCH(MEDIÇÃO!R1102,'PROJETO PERFURAÇÃO'!$B:$B,0))="Pre-Splitting","S"))),"")</f>
        <v/>
      </c>
      <c r="R1102" s="14">
        <f t="shared" si="107"/>
        <v>2474</v>
      </c>
      <c r="S1102" s="4" t="str">
        <f>IFERROR(INDEX('LEV R&amp;D'!$D:$D,MATCH(MEDIÇÃO!R1102,'LEV R&amp;D'!$A:$A,0))-INDEX('PROJETO PERFURAÇÃO'!$AH:$AH,MATCH(MEDIÇÃO!R1102,'PROJETO PERFURAÇÃO'!$B:$B,0)),"")</f>
        <v/>
      </c>
      <c r="T1102" s="8" t="str">
        <f>IFERROR(INDEX('PROJETO PERFURAÇÃO'!$AN:$AN,MATCH(MEDIÇÃO!R1102,'PROJETO PERFURAÇÃO'!$B:$B,0)),"")</f>
        <v/>
      </c>
      <c r="U1102" s="3"/>
      <c r="V1102" s="3"/>
    </row>
    <row r="1103" spans="1:23" ht="45" customHeight="1">
      <c r="B1103" s="3" t="str">
        <f>IFERROR(ROUND(INDEX('PROJETO PERFURAÇÃO'!$AB:$AB,MATCH(MEDIÇÃO!D1103,'PROJETO PERFURAÇÃO'!$B:$B,0)),1)&amp;"''","")</f>
        <v/>
      </c>
      <c r="C1103" s="3" t="str">
        <f>IFERROR(IF(INDEX('PROJETO PERFURAÇÃO'!$P:$P,MATCH(MEDIÇÃO!D1103,'PROJETO PERFURAÇÃO'!$B:$B,0))="Production","P",IF(INDEX('PROJETO PERFURAÇÃO'!$P:$P,MATCH(MEDIÇÃO!D1103,'PROJETO PERFURAÇÃO'!$B:$B,0))="Buffer","B",IF(INDEX('PROJETO PERFURAÇÃO'!$P:$P,MATCH(MEDIÇÃO!D1103,'PROJETO PERFURAÇÃO'!$B:$B,0))="Pre-Splitting","S"))),"")</f>
        <v/>
      </c>
      <c r="D1103" s="14">
        <f t="shared" si="105"/>
        <v>2429</v>
      </c>
      <c r="E1103" s="4" t="str">
        <f>IFERROR(INDEX('LEV R&amp;D'!$D:$D,MATCH(MEDIÇÃO!D1103,'LEV R&amp;D'!$A:$A,0))-INDEX('PROJETO PERFURAÇÃO'!$AH:$AH,MATCH(MEDIÇÃO!D1103,'PROJETO PERFURAÇÃO'!$B:$B,0)),"")</f>
        <v/>
      </c>
      <c r="F1103" s="8" t="str">
        <f>IFERROR(INDEX('PROJETO PERFURAÇÃO'!$AN:$AN,MATCH(MEDIÇÃO!D1103,'PROJETO PERFURAÇÃO'!$B:$B,0)),"")</f>
        <v/>
      </c>
      <c r="G1103" s="3"/>
      <c r="H1103" s="3"/>
      <c r="I1103" s="3" t="str">
        <f>IFERROR(ROUND(INDEX('PROJETO PERFURAÇÃO'!$AB:$AB,MATCH(MEDIÇÃO!K1103,'PROJETO PERFURAÇÃO'!$B:$B,0)),1)&amp;"''","")</f>
        <v/>
      </c>
      <c r="J1103" s="3" t="str">
        <f>IFERROR(IF(INDEX('PROJETO PERFURAÇÃO'!$P:$P,MATCH(MEDIÇÃO!K1103,'PROJETO PERFURAÇÃO'!$B:$B,0))="Production","P",IF(INDEX('PROJETO PERFURAÇÃO'!$P:$P,MATCH(MEDIÇÃO!K1103,'PROJETO PERFURAÇÃO'!$B:$B,0))="Buffer","B",IF(INDEX('PROJETO PERFURAÇÃO'!$P:$P,MATCH(MEDIÇÃO!K1103,'PROJETO PERFURAÇÃO'!$B:$B,0))="Pre-Splitting","S"))),"")</f>
        <v/>
      </c>
      <c r="K1103" s="14">
        <f t="shared" si="106"/>
        <v>2452</v>
      </c>
      <c r="L1103" s="4" t="str">
        <f>IFERROR(INDEX('LEV R&amp;D'!$D:$D,MATCH(MEDIÇÃO!K1103,'LEV R&amp;D'!$A:$A,0))-INDEX('PROJETO PERFURAÇÃO'!$AH:$AH,MATCH(MEDIÇÃO!K1103,'PROJETO PERFURAÇÃO'!$B:$B,0)),"")</f>
        <v/>
      </c>
      <c r="M1103" s="8" t="str">
        <f>IFERROR(INDEX('PROJETO PERFURAÇÃO'!$AN:$AN,MATCH(MEDIÇÃO!K1103,'PROJETO PERFURAÇÃO'!$B:$B,0)),"")</f>
        <v/>
      </c>
      <c r="N1103" s="3"/>
      <c r="O1103" s="3"/>
      <c r="P1103" s="3" t="str">
        <f>IFERROR(ROUND(INDEX('PROJETO PERFURAÇÃO'!$AB:$AB,MATCH(MEDIÇÃO!R1103,'PROJETO PERFURAÇÃO'!$B:$B,0)),1)&amp;"''","")</f>
        <v/>
      </c>
      <c r="Q1103" s="3" t="str">
        <f>IFERROR(IF(INDEX('PROJETO PERFURAÇÃO'!$P:$P,MATCH(MEDIÇÃO!R1103,'PROJETO PERFURAÇÃO'!$B:$B,0))="Production","P",IF(INDEX('PROJETO PERFURAÇÃO'!$P:$P,MATCH(MEDIÇÃO!R1103,'PROJETO PERFURAÇÃO'!$B:$B,0))="Buffer","B",IF(INDEX('PROJETO PERFURAÇÃO'!$P:$P,MATCH(MEDIÇÃO!R1103,'PROJETO PERFURAÇÃO'!$B:$B,0))="Pre-Splitting","S"))),"")</f>
        <v/>
      </c>
      <c r="R1103" s="14">
        <f t="shared" si="107"/>
        <v>2475</v>
      </c>
      <c r="S1103" s="4" t="str">
        <f>IFERROR(INDEX('LEV R&amp;D'!$D:$D,MATCH(MEDIÇÃO!R1103,'LEV R&amp;D'!$A:$A,0))-INDEX('PROJETO PERFURAÇÃO'!$AH:$AH,MATCH(MEDIÇÃO!R1103,'PROJETO PERFURAÇÃO'!$B:$B,0)),"")</f>
        <v/>
      </c>
      <c r="T1103" s="8" t="str">
        <f>IFERROR(INDEX('PROJETO PERFURAÇÃO'!$AN:$AN,MATCH(MEDIÇÃO!R1103,'PROJETO PERFURAÇÃO'!$B:$B,0)),"")</f>
        <v/>
      </c>
      <c r="U1103" s="3"/>
      <c r="V1103" s="3"/>
    </row>
    <row r="1104" spans="1:23" ht="45" customHeight="1">
      <c r="B1104" s="3" t="str">
        <f>IFERROR(ROUND(INDEX('PROJETO PERFURAÇÃO'!$AB:$AB,MATCH(MEDIÇÃO!D1104,'PROJETO PERFURAÇÃO'!$B:$B,0)),1)&amp;"''","")</f>
        <v/>
      </c>
      <c r="C1104" s="3" t="str">
        <f>IFERROR(IF(INDEX('PROJETO PERFURAÇÃO'!$P:$P,MATCH(MEDIÇÃO!D1104,'PROJETO PERFURAÇÃO'!$B:$B,0))="Production","P",IF(INDEX('PROJETO PERFURAÇÃO'!$P:$P,MATCH(MEDIÇÃO!D1104,'PROJETO PERFURAÇÃO'!$B:$B,0))="Buffer","B",IF(INDEX('PROJETO PERFURAÇÃO'!$P:$P,MATCH(MEDIÇÃO!D1104,'PROJETO PERFURAÇÃO'!$B:$B,0))="Pre-Splitting","S"))),"")</f>
        <v/>
      </c>
      <c r="D1104" s="14">
        <f t="shared" si="105"/>
        <v>2430</v>
      </c>
      <c r="E1104" s="4" t="str">
        <f>IFERROR(INDEX('LEV R&amp;D'!$D:$D,MATCH(MEDIÇÃO!D1104,'LEV R&amp;D'!$A:$A,0))-INDEX('PROJETO PERFURAÇÃO'!$AH:$AH,MATCH(MEDIÇÃO!D1104,'PROJETO PERFURAÇÃO'!$B:$B,0)),"")</f>
        <v/>
      </c>
      <c r="F1104" s="8" t="str">
        <f>IFERROR(INDEX('PROJETO PERFURAÇÃO'!$AN:$AN,MATCH(MEDIÇÃO!D1104,'PROJETO PERFURAÇÃO'!$B:$B,0)),"")</f>
        <v/>
      </c>
      <c r="G1104" s="3"/>
      <c r="H1104" s="3"/>
      <c r="I1104" s="3" t="str">
        <f>IFERROR(ROUND(INDEX('PROJETO PERFURAÇÃO'!$AB:$AB,MATCH(MEDIÇÃO!K1104,'PROJETO PERFURAÇÃO'!$B:$B,0)),1)&amp;"''","")</f>
        <v/>
      </c>
      <c r="J1104" s="3" t="str">
        <f>IFERROR(IF(INDEX('PROJETO PERFURAÇÃO'!$P:$P,MATCH(MEDIÇÃO!K1104,'PROJETO PERFURAÇÃO'!$B:$B,0))="Production","P",IF(INDEX('PROJETO PERFURAÇÃO'!$P:$P,MATCH(MEDIÇÃO!K1104,'PROJETO PERFURAÇÃO'!$B:$B,0))="Buffer","B",IF(INDEX('PROJETO PERFURAÇÃO'!$P:$P,MATCH(MEDIÇÃO!K1104,'PROJETO PERFURAÇÃO'!$B:$B,0))="Pre-Splitting","S"))),"")</f>
        <v/>
      </c>
      <c r="K1104" s="14">
        <f t="shared" si="106"/>
        <v>2453</v>
      </c>
      <c r="L1104" s="4" t="str">
        <f>IFERROR(INDEX('LEV R&amp;D'!$D:$D,MATCH(MEDIÇÃO!K1104,'LEV R&amp;D'!$A:$A,0))-INDEX('PROJETO PERFURAÇÃO'!$AH:$AH,MATCH(MEDIÇÃO!K1104,'PROJETO PERFURAÇÃO'!$B:$B,0)),"")</f>
        <v/>
      </c>
      <c r="M1104" s="8" t="str">
        <f>IFERROR(INDEX('PROJETO PERFURAÇÃO'!$AN:$AN,MATCH(MEDIÇÃO!K1104,'PROJETO PERFURAÇÃO'!$B:$B,0)),"")</f>
        <v/>
      </c>
      <c r="N1104" s="3"/>
      <c r="O1104" s="3"/>
      <c r="P1104" s="3" t="str">
        <f>IFERROR(ROUND(INDEX('PROJETO PERFURAÇÃO'!$AB:$AB,MATCH(MEDIÇÃO!R1104,'PROJETO PERFURAÇÃO'!$B:$B,0)),1)&amp;"''","")</f>
        <v/>
      </c>
      <c r="Q1104" s="3" t="str">
        <f>IFERROR(IF(INDEX('PROJETO PERFURAÇÃO'!$P:$P,MATCH(MEDIÇÃO!R1104,'PROJETO PERFURAÇÃO'!$B:$B,0))="Production","P",IF(INDEX('PROJETO PERFURAÇÃO'!$P:$P,MATCH(MEDIÇÃO!R1104,'PROJETO PERFURAÇÃO'!$B:$B,0))="Buffer","B",IF(INDEX('PROJETO PERFURAÇÃO'!$P:$P,MATCH(MEDIÇÃO!R1104,'PROJETO PERFURAÇÃO'!$B:$B,0))="Pre-Splitting","S"))),"")</f>
        <v/>
      </c>
      <c r="R1104" s="14">
        <f t="shared" si="107"/>
        <v>2476</v>
      </c>
      <c r="S1104" s="4" t="str">
        <f>IFERROR(INDEX('LEV R&amp;D'!$D:$D,MATCH(MEDIÇÃO!R1104,'LEV R&amp;D'!$A:$A,0))-INDEX('PROJETO PERFURAÇÃO'!$AH:$AH,MATCH(MEDIÇÃO!R1104,'PROJETO PERFURAÇÃO'!$B:$B,0)),"")</f>
        <v/>
      </c>
      <c r="T1104" s="8" t="str">
        <f>IFERROR(INDEX('PROJETO PERFURAÇÃO'!$AN:$AN,MATCH(MEDIÇÃO!R1104,'PROJETO PERFURAÇÃO'!$B:$B,0)),"")</f>
        <v/>
      </c>
      <c r="U1104" s="3"/>
      <c r="V1104" s="3"/>
    </row>
    <row r="1105" spans="1:23" ht="45" customHeight="1">
      <c r="B1105" s="3" t="str">
        <f>IFERROR(ROUND(INDEX('PROJETO PERFURAÇÃO'!$AB:$AB,MATCH(MEDIÇÃO!D1105,'PROJETO PERFURAÇÃO'!$B:$B,0)),1)&amp;"''","")</f>
        <v/>
      </c>
      <c r="C1105" s="3" t="str">
        <f>IFERROR(IF(INDEX('PROJETO PERFURAÇÃO'!$P:$P,MATCH(MEDIÇÃO!D1105,'PROJETO PERFURAÇÃO'!$B:$B,0))="Production","P",IF(INDEX('PROJETO PERFURAÇÃO'!$P:$P,MATCH(MEDIÇÃO!D1105,'PROJETO PERFURAÇÃO'!$B:$B,0))="Buffer","B",IF(INDEX('PROJETO PERFURAÇÃO'!$P:$P,MATCH(MEDIÇÃO!D1105,'PROJETO PERFURAÇÃO'!$B:$B,0))="Pre-Splitting","S"))),"")</f>
        <v/>
      </c>
      <c r="D1105" s="14">
        <f t="shared" si="105"/>
        <v>2431</v>
      </c>
      <c r="E1105" s="4" t="str">
        <f>IFERROR(INDEX('LEV R&amp;D'!$D:$D,MATCH(MEDIÇÃO!D1105,'LEV R&amp;D'!$A:$A,0))-INDEX('PROJETO PERFURAÇÃO'!$AH:$AH,MATCH(MEDIÇÃO!D1105,'PROJETO PERFURAÇÃO'!$B:$B,0)),"")</f>
        <v/>
      </c>
      <c r="F1105" s="8" t="str">
        <f>IFERROR(INDEX('PROJETO PERFURAÇÃO'!$AN:$AN,MATCH(MEDIÇÃO!D1105,'PROJETO PERFURAÇÃO'!$B:$B,0)),"")</f>
        <v/>
      </c>
      <c r="G1105" s="3"/>
      <c r="H1105" s="3"/>
      <c r="I1105" s="3" t="str">
        <f>IFERROR(ROUND(INDEX('PROJETO PERFURAÇÃO'!$AB:$AB,MATCH(MEDIÇÃO!K1105,'PROJETO PERFURAÇÃO'!$B:$B,0)),1)&amp;"''","")</f>
        <v/>
      </c>
      <c r="J1105" s="3" t="str">
        <f>IFERROR(IF(INDEX('PROJETO PERFURAÇÃO'!$P:$P,MATCH(MEDIÇÃO!K1105,'PROJETO PERFURAÇÃO'!$B:$B,0))="Production","P",IF(INDEX('PROJETO PERFURAÇÃO'!$P:$P,MATCH(MEDIÇÃO!K1105,'PROJETO PERFURAÇÃO'!$B:$B,0))="Buffer","B",IF(INDEX('PROJETO PERFURAÇÃO'!$P:$P,MATCH(MEDIÇÃO!K1105,'PROJETO PERFURAÇÃO'!$B:$B,0))="Pre-Splitting","S"))),"")</f>
        <v/>
      </c>
      <c r="K1105" s="14">
        <f t="shared" si="106"/>
        <v>2454</v>
      </c>
      <c r="L1105" s="4" t="str">
        <f>IFERROR(INDEX('LEV R&amp;D'!$D:$D,MATCH(MEDIÇÃO!K1105,'LEV R&amp;D'!$A:$A,0))-INDEX('PROJETO PERFURAÇÃO'!$AH:$AH,MATCH(MEDIÇÃO!K1105,'PROJETO PERFURAÇÃO'!$B:$B,0)),"")</f>
        <v/>
      </c>
      <c r="M1105" s="8" t="str">
        <f>IFERROR(INDEX('PROJETO PERFURAÇÃO'!$AN:$AN,MATCH(MEDIÇÃO!K1105,'PROJETO PERFURAÇÃO'!$B:$B,0)),"")</f>
        <v/>
      </c>
      <c r="N1105" s="3"/>
      <c r="O1105" s="3"/>
      <c r="P1105" s="3" t="str">
        <f>IFERROR(ROUND(INDEX('PROJETO PERFURAÇÃO'!$AB:$AB,MATCH(MEDIÇÃO!R1105,'PROJETO PERFURAÇÃO'!$B:$B,0)),1)&amp;"''","")</f>
        <v/>
      </c>
      <c r="Q1105" s="3" t="str">
        <f>IFERROR(IF(INDEX('PROJETO PERFURAÇÃO'!$P:$P,MATCH(MEDIÇÃO!R1105,'PROJETO PERFURAÇÃO'!$B:$B,0))="Production","P",IF(INDEX('PROJETO PERFURAÇÃO'!$P:$P,MATCH(MEDIÇÃO!R1105,'PROJETO PERFURAÇÃO'!$B:$B,0))="Buffer","B",IF(INDEX('PROJETO PERFURAÇÃO'!$P:$P,MATCH(MEDIÇÃO!R1105,'PROJETO PERFURAÇÃO'!$B:$B,0))="Pre-Splitting","S"))),"")</f>
        <v/>
      </c>
      <c r="R1105" s="14">
        <f t="shared" si="107"/>
        <v>2477</v>
      </c>
      <c r="S1105" s="4" t="str">
        <f>IFERROR(INDEX('LEV R&amp;D'!$D:$D,MATCH(MEDIÇÃO!R1105,'LEV R&amp;D'!$A:$A,0))-INDEX('PROJETO PERFURAÇÃO'!$AH:$AH,MATCH(MEDIÇÃO!R1105,'PROJETO PERFURAÇÃO'!$B:$B,0)),"")</f>
        <v/>
      </c>
      <c r="T1105" s="8" t="str">
        <f>IFERROR(INDEX('PROJETO PERFURAÇÃO'!$AN:$AN,MATCH(MEDIÇÃO!R1105,'PROJETO PERFURAÇÃO'!$B:$B,0)),"")</f>
        <v/>
      </c>
      <c r="U1105" s="3"/>
      <c r="V1105" s="3"/>
    </row>
    <row r="1106" spans="1:23" ht="45" customHeight="1">
      <c r="B1106" s="3" t="str">
        <f>IFERROR(ROUND(INDEX('PROJETO PERFURAÇÃO'!$AB:$AB,MATCH(MEDIÇÃO!D1106,'PROJETO PERFURAÇÃO'!$B:$B,0)),1)&amp;"''","")</f>
        <v/>
      </c>
      <c r="C1106" s="3" t="str">
        <f>IFERROR(IF(INDEX('PROJETO PERFURAÇÃO'!$P:$P,MATCH(MEDIÇÃO!D1106,'PROJETO PERFURAÇÃO'!$B:$B,0))="Production","P",IF(INDEX('PROJETO PERFURAÇÃO'!$P:$P,MATCH(MEDIÇÃO!D1106,'PROJETO PERFURAÇÃO'!$B:$B,0))="Buffer","B",IF(INDEX('PROJETO PERFURAÇÃO'!$P:$P,MATCH(MEDIÇÃO!D1106,'PROJETO PERFURAÇÃO'!$B:$B,0))="Pre-Splitting","S"))),"")</f>
        <v/>
      </c>
      <c r="D1106" s="14">
        <f t="shared" si="105"/>
        <v>2432</v>
      </c>
      <c r="E1106" s="4" t="str">
        <f>IFERROR(INDEX('LEV R&amp;D'!$D:$D,MATCH(MEDIÇÃO!D1106,'LEV R&amp;D'!$A:$A,0))-INDEX('PROJETO PERFURAÇÃO'!$AH:$AH,MATCH(MEDIÇÃO!D1106,'PROJETO PERFURAÇÃO'!$B:$B,0)),"")</f>
        <v/>
      </c>
      <c r="F1106" s="8" t="str">
        <f>IFERROR(INDEX('PROJETO PERFURAÇÃO'!$AN:$AN,MATCH(MEDIÇÃO!D1106,'PROJETO PERFURAÇÃO'!$B:$B,0)),"")</f>
        <v/>
      </c>
      <c r="G1106" s="3"/>
      <c r="H1106" s="3"/>
      <c r="I1106" s="3" t="str">
        <f>IFERROR(ROUND(INDEX('PROJETO PERFURAÇÃO'!$AB:$AB,MATCH(MEDIÇÃO!K1106,'PROJETO PERFURAÇÃO'!$B:$B,0)),1)&amp;"''","")</f>
        <v/>
      </c>
      <c r="J1106" s="3" t="str">
        <f>IFERROR(IF(INDEX('PROJETO PERFURAÇÃO'!$P:$P,MATCH(MEDIÇÃO!K1106,'PROJETO PERFURAÇÃO'!$B:$B,0))="Production","P",IF(INDEX('PROJETO PERFURAÇÃO'!$P:$P,MATCH(MEDIÇÃO!K1106,'PROJETO PERFURAÇÃO'!$B:$B,0))="Buffer","B",IF(INDEX('PROJETO PERFURAÇÃO'!$P:$P,MATCH(MEDIÇÃO!K1106,'PROJETO PERFURAÇÃO'!$B:$B,0))="Pre-Splitting","S"))),"")</f>
        <v/>
      </c>
      <c r="K1106" s="14">
        <f t="shared" si="106"/>
        <v>2455</v>
      </c>
      <c r="L1106" s="4" t="str">
        <f>IFERROR(INDEX('LEV R&amp;D'!$D:$D,MATCH(MEDIÇÃO!K1106,'LEV R&amp;D'!$A:$A,0))-INDEX('PROJETO PERFURAÇÃO'!$AH:$AH,MATCH(MEDIÇÃO!K1106,'PROJETO PERFURAÇÃO'!$B:$B,0)),"")</f>
        <v/>
      </c>
      <c r="M1106" s="8" t="str">
        <f>IFERROR(INDEX('PROJETO PERFURAÇÃO'!$AN:$AN,MATCH(MEDIÇÃO!K1106,'PROJETO PERFURAÇÃO'!$B:$B,0)),"")</f>
        <v/>
      </c>
      <c r="N1106" s="3"/>
      <c r="O1106" s="3"/>
      <c r="P1106" s="3" t="str">
        <f>IFERROR(ROUND(INDEX('PROJETO PERFURAÇÃO'!$AB:$AB,MATCH(MEDIÇÃO!R1106,'PROJETO PERFURAÇÃO'!$B:$B,0)),1)&amp;"''","")</f>
        <v/>
      </c>
      <c r="Q1106" s="3" t="str">
        <f>IFERROR(IF(INDEX('PROJETO PERFURAÇÃO'!$P:$P,MATCH(MEDIÇÃO!R1106,'PROJETO PERFURAÇÃO'!$B:$B,0))="Production","P",IF(INDEX('PROJETO PERFURAÇÃO'!$P:$P,MATCH(MEDIÇÃO!R1106,'PROJETO PERFURAÇÃO'!$B:$B,0))="Buffer","B",IF(INDEX('PROJETO PERFURAÇÃO'!$P:$P,MATCH(MEDIÇÃO!R1106,'PROJETO PERFURAÇÃO'!$B:$B,0))="Pre-Splitting","S"))),"")</f>
        <v/>
      </c>
      <c r="R1106" s="14">
        <f t="shared" si="107"/>
        <v>2478</v>
      </c>
      <c r="S1106" s="4" t="str">
        <f>IFERROR(INDEX('LEV R&amp;D'!$D:$D,MATCH(MEDIÇÃO!R1106,'LEV R&amp;D'!$A:$A,0))-INDEX('PROJETO PERFURAÇÃO'!$AH:$AH,MATCH(MEDIÇÃO!R1106,'PROJETO PERFURAÇÃO'!$B:$B,0)),"")</f>
        <v/>
      </c>
      <c r="T1106" s="8" t="str">
        <f>IFERROR(INDEX('PROJETO PERFURAÇÃO'!$AN:$AN,MATCH(MEDIÇÃO!R1106,'PROJETO PERFURAÇÃO'!$B:$B,0)),"")</f>
        <v/>
      </c>
      <c r="U1106" s="3"/>
      <c r="V1106" s="3"/>
    </row>
    <row r="1107" spans="1:23" ht="45" customHeight="1">
      <c r="B1107" s="3" t="str">
        <f>IFERROR(ROUND(INDEX('PROJETO PERFURAÇÃO'!$AB:$AB,MATCH(MEDIÇÃO!D1107,'PROJETO PERFURAÇÃO'!$B:$B,0)),1)&amp;"''","")</f>
        <v/>
      </c>
      <c r="C1107" s="3" t="str">
        <f>IFERROR(IF(INDEX('PROJETO PERFURAÇÃO'!$P:$P,MATCH(MEDIÇÃO!D1107,'PROJETO PERFURAÇÃO'!$B:$B,0))="Production","P",IF(INDEX('PROJETO PERFURAÇÃO'!$P:$P,MATCH(MEDIÇÃO!D1107,'PROJETO PERFURAÇÃO'!$B:$B,0))="Buffer","B",IF(INDEX('PROJETO PERFURAÇÃO'!$P:$P,MATCH(MEDIÇÃO!D1107,'PROJETO PERFURAÇÃO'!$B:$B,0))="Pre-Splitting","S"))),"")</f>
        <v/>
      </c>
      <c r="D1107" s="14">
        <f t="shared" si="105"/>
        <v>2433</v>
      </c>
      <c r="E1107" s="4" t="str">
        <f>IFERROR(INDEX('LEV R&amp;D'!$D:$D,MATCH(MEDIÇÃO!D1107,'LEV R&amp;D'!$A:$A,0))-INDEX('PROJETO PERFURAÇÃO'!$AH:$AH,MATCH(MEDIÇÃO!D1107,'PROJETO PERFURAÇÃO'!$B:$B,0)),"")</f>
        <v/>
      </c>
      <c r="F1107" s="8" t="str">
        <f>IFERROR(INDEX('PROJETO PERFURAÇÃO'!$AN:$AN,MATCH(MEDIÇÃO!D1107,'PROJETO PERFURAÇÃO'!$B:$B,0)),"")</f>
        <v/>
      </c>
      <c r="G1107" s="3"/>
      <c r="H1107" s="3"/>
      <c r="I1107" s="3" t="str">
        <f>IFERROR(ROUND(INDEX('PROJETO PERFURAÇÃO'!$AB:$AB,MATCH(MEDIÇÃO!K1107,'PROJETO PERFURAÇÃO'!$B:$B,0)),1)&amp;"''","")</f>
        <v/>
      </c>
      <c r="J1107" s="3" t="str">
        <f>IFERROR(IF(INDEX('PROJETO PERFURAÇÃO'!$P:$P,MATCH(MEDIÇÃO!K1107,'PROJETO PERFURAÇÃO'!$B:$B,0))="Production","P",IF(INDEX('PROJETO PERFURAÇÃO'!$P:$P,MATCH(MEDIÇÃO!K1107,'PROJETO PERFURAÇÃO'!$B:$B,0))="Buffer","B",IF(INDEX('PROJETO PERFURAÇÃO'!$P:$P,MATCH(MEDIÇÃO!K1107,'PROJETO PERFURAÇÃO'!$B:$B,0))="Pre-Splitting","S"))),"")</f>
        <v/>
      </c>
      <c r="K1107" s="14">
        <f t="shared" si="106"/>
        <v>2456</v>
      </c>
      <c r="L1107" s="4" t="str">
        <f>IFERROR(INDEX('LEV R&amp;D'!$D:$D,MATCH(MEDIÇÃO!K1107,'LEV R&amp;D'!$A:$A,0))-INDEX('PROJETO PERFURAÇÃO'!$AH:$AH,MATCH(MEDIÇÃO!K1107,'PROJETO PERFURAÇÃO'!$B:$B,0)),"")</f>
        <v/>
      </c>
      <c r="M1107" s="8" t="str">
        <f>IFERROR(INDEX('PROJETO PERFURAÇÃO'!$AN:$AN,MATCH(MEDIÇÃO!K1107,'PROJETO PERFURAÇÃO'!$B:$B,0)),"")</f>
        <v/>
      </c>
      <c r="N1107" s="3"/>
      <c r="O1107" s="3"/>
      <c r="P1107" s="3" t="str">
        <f>IFERROR(ROUND(INDEX('PROJETO PERFURAÇÃO'!$AB:$AB,MATCH(MEDIÇÃO!R1107,'PROJETO PERFURAÇÃO'!$B:$B,0)),1)&amp;"''","")</f>
        <v/>
      </c>
      <c r="Q1107" s="3" t="str">
        <f>IFERROR(IF(INDEX('PROJETO PERFURAÇÃO'!$P:$P,MATCH(MEDIÇÃO!R1107,'PROJETO PERFURAÇÃO'!$B:$B,0))="Production","P",IF(INDEX('PROJETO PERFURAÇÃO'!$P:$P,MATCH(MEDIÇÃO!R1107,'PROJETO PERFURAÇÃO'!$B:$B,0))="Buffer","B",IF(INDEX('PROJETO PERFURAÇÃO'!$P:$P,MATCH(MEDIÇÃO!R1107,'PROJETO PERFURAÇÃO'!$B:$B,0))="Pre-Splitting","S"))),"")</f>
        <v/>
      </c>
      <c r="R1107" s="14">
        <f t="shared" si="107"/>
        <v>2479</v>
      </c>
      <c r="S1107" s="4" t="str">
        <f>IFERROR(INDEX('LEV R&amp;D'!$D:$D,MATCH(MEDIÇÃO!R1107,'LEV R&amp;D'!$A:$A,0))-INDEX('PROJETO PERFURAÇÃO'!$AH:$AH,MATCH(MEDIÇÃO!R1107,'PROJETO PERFURAÇÃO'!$B:$B,0)),"")</f>
        <v/>
      </c>
      <c r="T1107" s="8" t="str">
        <f>IFERROR(INDEX('PROJETO PERFURAÇÃO'!$AN:$AN,MATCH(MEDIÇÃO!R1107,'PROJETO PERFURAÇÃO'!$B:$B,0)),"")</f>
        <v/>
      </c>
      <c r="U1107" s="3"/>
      <c r="V1107" s="3"/>
    </row>
    <row r="1108" spans="1:23" ht="45" customHeight="1">
      <c r="B1108" s="3" t="str">
        <f>IFERROR(ROUND(INDEX('PROJETO PERFURAÇÃO'!$AB:$AB,MATCH(MEDIÇÃO!D1108,'PROJETO PERFURAÇÃO'!$B:$B,0)),1)&amp;"''","")</f>
        <v/>
      </c>
      <c r="C1108" s="3" t="str">
        <f>IFERROR(IF(INDEX('PROJETO PERFURAÇÃO'!$P:$P,MATCH(MEDIÇÃO!D1108,'PROJETO PERFURAÇÃO'!$B:$B,0))="Production","P",IF(INDEX('PROJETO PERFURAÇÃO'!$P:$P,MATCH(MEDIÇÃO!D1108,'PROJETO PERFURAÇÃO'!$B:$B,0))="Buffer","B",IF(INDEX('PROJETO PERFURAÇÃO'!$P:$P,MATCH(MEDIÇÃO!D1108,'PROJETO PERFURAÇÃO'!$B:$B,0))="Pre-Splitting","S"))),"")</f>
        <v/>
      </c>
      <c r="D1108" s="14">
        <f t="shared" si="105"/>
        <v>2434</v>
      </c>
      <c r="E1108" s="4" t="str">
        <f>IFERROR(INDEX('LEV R&amp;D'!$D:$D,MATCH(MEDIÇÃO!D1108,'LEV R&amp;D'!$A:$A,0))-INDEX('PROJETO PERFURAÇÃO'!$AH:$AH,MATCH(MEDIÇÃO!D1108,'PROJETO PERFURAÇÃO'!$B:$B,0)),"")</f>
        <v/>
      </c>
      <c r="F1108" s="8" t="str">
        <f>IFERROR(INDEX('PROJETO PERFURAÇÃO'!$AN:$AN,MATCH(MEDIÇÃO!D1108,'PROJETO PERFURAÇÃO'!$B:$B,0)),"")</f>
        <v/>
      </c>
      <c r="G1108" s="3"/>
      <c r="H1108" s="3"/>
      <c r="I1108" s="3" t="str">
        <f>IFERROR(ROUND(INDEX('PROJETO PERFURAÇÃO'!$AB:$AB,MATCH(MEDIÇÃO!K1108,'PROJETO PERFURAÇÃO'!$B:$B,0)),1)&amp;"''","")</f>
        <v/>
      </c>
      <c r="J1108" s="3" t="str">
        <f>IFERROR(IF(INDEX('PROJETO PERFURAÇÃO'!$P:$P,MATCH(MEDIÇÃO!K1108,'PROJETO PERFURAÇÃO'!$B:$B,0))="Production","P",IF(INDEX('PROJETO PERFURAÇÃO'!$P:$P,MATCH(MEDIÇÃO!K1108,'PROJETO PERFURAÇÃO'!$B:$B,0))="Buffer","B",IF(INDEX('PROJETO PERFURAÇÃO'!$P:$P,MATCH(MEDIÇÃO!K1108,'PROJETO PERFURAÇÃO'!$B:$B,0))="Pre-Splitting","S"))),"")</f>
        <v/>
      </c>
      <c r="K1108" s="14">
        <f t="shared" si="106"/>
        <v>2457</v>
      </c>
      <c r="L1108" s="4" t="str">
        <f>IFERROR(INDEX('LEV R&amp;D'!$D:$D,MATCH(MEDIÇÃO!K1108,'LEV R&amp;D'!$A:$A,0))-INDEX('PROJETO PERFURAÇÃO'!$AH:$AH,MATCH(MEDIÇÃO!K1108,'PROJETO PERFURAÇÃO'!$B:$B,0)),"")</f>
        <v/>
      </c>
      <c r="M1108" s="8" t="str">
        <f>IFERROR(INDEX('PROJETO PERFURAÇÃO'!$AN:$AN,MATCH(MEDIÇÃO!K1108,'PROJETO PERFURAÇÃO'!$B:$B,0)),"")</f>
        <v/>
      </c>
      <c r="N1108" s="3"/>
      <c r="O1108" s="3"/>
      <c r="P1108" s="3" t="str">
        <f>IFERROR(ROUND(INDEX('PROJETO PERFURAÇÃO'!$AB:$AB,MATCH(MEDIÇÃO!R1108,'PROJETO PERFURAÇÃO'!$B:$B,0)),1)&amp;"''","")</f>
        <v/>
      </c>
      <c r="Q1108" s="3" t="str">
        <f>IFERROR(IF(INDEX('PROJETO PERFURAÇÃO'!$P:$P,MATCH(MEDIÇÃO!R1108,'PROJETO PERFURAÇÃO'!$B:$B,0))="Production","P",IF(INDEX('PROJETO PERFURAÇÃO'!$P:$P,MATCH(MEDIÇÃO!R1108,'PROJETO PERFURAÇÃO'!$B:$B,0))="Buffer","B",IF(INDEX('PROJETO PERFURAÇÃO'!$P:$P,MATCH(MEDIÇÃO!R1108,'PROJETO PERFURAÇÃO'!$B:$B,0))="Pre-Splitting","S"))),"")</f>
        <v/>
      </c>
      <c r="R1108" s="14">
        <f t="shared" si="107"/>
        <v>2480</v>
      </c>
      <c r="S1108" s="4" t="str">
        <f>IFERROR(INDEX('LEV R&amp;D'!$D:$D,MATCH(MEDIÇÃO!R1108,'LEV R&amp;D'!$A:$A,0))-INDEX('PROJETO PERFURAÇÃO'!$AH:$AH,MATCH(MEDIÇÃO!R1108,'PROJETO PERFURAÇÃO'!$B:$B,0)),"")</f>
        <v/>
      </c>
      <c r="T1108" s="8" t="str">
        <f>IFERROR(INDEX('PROJETO PERFURAÇÃO'!$AN:$AN,MATCH(MEDIÇÃO!R1108,'PROJETO PERFURAÇÃO'!$B:$B,0)),"")</f>
        <v/>
      </c>
      <c r="U1108" s="3"/>
      <c r="V1108" s="3"/>
    </row>
    <row r="1109" spans="1:23" ht="45" customHeight="1">
      <c r="B1109" s="3" t="str">
        <f>IFERROR(ROUND(INDEX('PROJETO PERFURAÇÃO'!$AB:$AB,MATCH(MEDIÇÃO!D1109,'PROJETO PERFURAÇÃO'!$B:$B,0)),1)&amp;"''","")</f>
        <v/>
      </c>
      <c r="C1109" s="3" t="str">
        <f>IFERROR(IF(INDEX('PROJETO PERFURAÇÃO'!$P:$P,MATCH(MEDIÇÃO!D1109,'PROJETO PERFURAÇÃO'!$B:$B,0))="Production","P",IF(INDEX('PROJETO PERFURAÇÃO'!$P:$P,MATCH(MEDIÇÃO!D1109,'PROJETO PERFURAÇÃO'!$B:$B,0))="Buffer","B",IF(INDEX('PROJETO PERFURAÇÃO'!$P:$P,MATCH(MEDIÇÃO!D1109,'PROJETO PERFURAÇÃO'!$B:$B,0))="Pre-Splitting","S"))),"")</f>
        <v/>
      </c>
      <c r="D1109" s="14">
        <f t="shared" si="105"/>
        <v>2435</v>
      </c>
      <c r="E1109" s="4" t="str">
        <f>IFERROR(INDEX('LEV R&amp;D'!$D:$D,MATCH(MEDIÇÃO!D1109,'LEV R&amp;D'!$A:$A,0))-INDEX('PROJETO PERFURAÇÃO'!$AH:$AH,MATCH(MEDIÇÃO!D1109,'PROJETO PERFURAÇÃO'!$B:$B,0)),"")</f>
        <v/>
      </c>
      <c r="F1109" s="8" t="str">
        <f>IFERROR(INDEX('PROJETO PERFURAÇÃO'!$AN:$AN,MATCH(MEDIÇÃO!D1109,'PROJETO PERFURAÇÃO'!$B:$B,0)),"")</f>
        <v/>
      </c>
      <c r="G1109" s="3"/>
      <c r="H1109" s="3"/>
      <c r="I1109" s="3" t="str">
        <f>IFERROR(ROUND(INDEX('PROJETO PERFURAÇÃO'!$AB:$AB,MATCH(MEDIÇÃO!K1109,'PROJETO PERFURAÇÃO'!$B:$B,0)),1)&amp;"''","")</f>
        <v/>
      </c>
      <c r="J1109" s="3" t="str">
        <f>IFERROR(IF(INDEX('PROJETO PERFURAÇÃO'!$P:$P,MATCH(MEDIÇÃO!K1109,'PROJETO PERFURAÇÃO'!$B:$B,0))="Production","P",IF(INDEX('PROJETO PERFURAÇÃO'!$P:$P,MATCH(MEDIÇÃO!K1109,'PROJETO PERFURAÇÃO'!$B:$B,0))="Buffer","B",IF(INDEX('PROJETO PERFURAÇÃO'!$P:$P,MATCH(MEDIÇÃO!K1109,'PROJETO PERFURAÇÃO'!$B:$B,0))="Pre-Splitting","S"))),"")</f>
        <v/>
      </c>
      <c r="K1109" s="14">
        <f t="shared" si="106"/>
        <v>2458</v>
      </c>
      <c r="L1109" s="4" t="str">
        <f>IFERROR(INDEX('LEV R&amp;D'!$D:$D,MATCH(MEDIÇÃO!K1109,'LEV R&amp;D'!$A:$A,0))-INDEX('PROJETO PERFURAÇÃO'!$AH:$AH,MATCH(MEDIÇÃO!K1109,'PROJETO PERFURAÇÃO'!$B:$B,0)),"")</f>
        <v/>
      </c>
      <c r="M1109" s="8" t="str">
        <f>IFERROR(INDEX('PROJETO PERFURAÇÃO'!$AN:$AN,MATCH(MEDIÇÃO!K1109,'PROJETO PERFURAÇÃO'!$B:$B,0)),"")</f>
        <v/>
      </c>
      <c r="N1109" s="3"/>
      <c r="O1109" s="3"/>
      <c r="P1109" s="3" t="str">
        <f>IFERROR(ROUND(INDEX('PROJETO PERFURAÇÃO'!$AB:$AB,MATCH(MEDIÇÃO!R1109,'PROJETO PERFURAÇÃO'!$B:$B,0)),1)&amp;"''","")</f>
        <v/>
      </c>
      <c r="Q1109" s="3" t="str">
        <f>IFERROR(IF(INDEX('PROJETO PERFURAÇÃO'!$P:$P,MATCH(MEDIÇÃO!R1109,'PROJETO PERFURAÇÃO'!$B:$B,0))="Production","P",IF(INDEX('PROJETO PERFURAÇÃO'!$P:$P,MATCH(MEDIÇÃO!R1109,'PROJETO PERFURAÇÃO'!$B:$B,0))="Buffer","B",IF(INDEX('PROJETO PERFURAÇÃO'!$P:$P,MATCH(MEDIÇÃO!R1109,'PROJETO PERFURAÇÃO'!$B:$B,0))="Pre-Splitting","S"))),"")</f>
        <v/>
      </c>
      <c r="R1109" s="14">
        <f t="shared" si="107"/>
        <v>2481</v>
      </c>
      <c r="S1109" s="4" t="str">
        <f>IFERROR(INDEX('LEV R&amp;D'!$D:$D,MATCH(MEDIÇÃO!R1109,'LEV R&amp;D'!$A:$A,0))-INDEX('PROJETO PERFURAÇÃO'!$AH:$AH,MATCH(MEDIÇÃO!R1109,'PROJETO PERFURAÇÃO'!$B:$B,0)),"")</f>
        <v/>
      </c>
      <c r="T1109" s="8" t="str">
        <f>IFERROR(INDEX('PROJETO PERFURAÇÃO'!$AN:$AN,MATCH(MEDIÇÃO!R1109,'PROJETO PERFURAÇÃO'!$B:$B,0)),"")</f>
        <v/>
      </c>
      <c r="U1109" s="3"/>
      <c r="V1109" s="3"/>
    </row>
    <row r="1110" spans="1:23" ht="45" customHeight="1">
      <c r="B1110" s="3" t="str">
        <f>IFERROR(ROUND(INDEX('PROJETO PERFURAÇÃO'!$AB:$AB,MATCH(MEDIÇÃO!D1110,'PROJETO PERFURAÇÃO'!$B:$B,0)),1)&amp;"''","")</f>
        <v/>
      </c>
      <c r="C1110" s="3" t="str">
        <f>IFERROR(IF(INDEX('PROJETO PERFURAÇÃO'!$P:$P,MATCH(MEDIÇÃO!D1110,'PROJETO PERFURAÇÃO'!$B:$B,0))="Production","P",IF(INDEX('PROJETO PERFURAÇÃO'!$P:$P,MATCH(MEDIÇÃO!D1110,'PROJETO PERFURAÇÃO'!$B:$B,0))="Buffer","B",IF(INDEX('PROJETO PERFURAÇÃO'!$P:$P,MATCH(MEDIÇÃO!D1110,'PROJETO PERFURAÇÃO'!$B:$B,0))="Pre-Splitting","S"))),"")</f>
        <v/>
      </c>
      <c r="D1110" s="14">
        <f t="shared" si="105"/>
        <v>2436</v>
      </c>
      <c r="E1110" s="4" t="str">
        <f>IFERROR(INDEX('LEV R&amp;D'!$D:$D,MATCH(MEDIÇÃO!D1110,'LEV R&amp;D'!$A:$A,0))-INDEX('PROJETO PERFURAÇÃO'!$AH:$AH,MATCH(MEDIÇÃO!D1110,'PROJETO PERFURAÇÃO'!$B:$B,0)),"")</f>
        <v/>
      </c>
      <c r="F1110" s="8" t="str">
        <f>IFERROR(INDEX('PROJETO PERFURAÇÃO'!$AN:$AN,MATCH(MEDIÇÃO!D1110,'PROJETO PERFURAÇÃO'!$B:$B,0)),"")</f>
        <v/>
      </c>
      <c r="G1110" s="3"/>
      <c r="H1110" s="3"/>
      <c r="I1110" s="3" t="str">
        <f>IFERROR(ROUND(INDEX('PROJETO PERFURAÇÃO'!$AB:$AB,MATCH(MEDIÇÃO!K1110,'PROJETO PERFURAÇÃO'!$B:$B,0)),1)&amp;"''","")</f>
        <v/>
      </c>
      <c r="J1110" s="3" t="str">
        <f>IFERROR(IF(INDEX('PROJETO PERFURAÇÃO'!$P:$P,MATCH(MEDIÇÃO!K1110,'PROJETO PERFURAÇÃO'!$B:$B,0))="Production","P",IF(INDEX('PROJETO PERFURAÇÃO'!$P:$P,MATCH(MEDIÇÃO!K1110,'PROJETO PERFURAÇÃO'!$B:$B,0))="Buffer","B",IF(INDEX('PROJETO PERFURAÇÃO'!$P:$P,MATCH(MEDIÇÃO!K1110,'PROJETO PERFURAÇÃO'!$B:$B,0))="Pre-Splitting","S"))),"")</f>
        <v/>
      </c>
      <c r="K1110" s="14">
        <f t="shared" si="106"/>
        <v>2459</v>
      </c>
      <c r="L1110" s="4" t="str">
        <f>IFERROR(INDEX('LEV R&amp;D'!$D:$D,MATCH(MEDIÇÃO!K1110,'LEV R&amp;D'!$A:$A,0))-INDEX('PROJETO PERFURAÇÃO'!$AH:$AH,MATCH(MEDIÇÃO!K1110,'PROJETO PERFURAÇÃO'!$B:$B,0)),"")</f>
        <v/>
      </c>
      <c r="M1110" s="8" t="str">
        <f>IFERROR(INDEX('PROJETO PERFURAÇÃO'!$AN:$AN,MATCH(MEDIÇÃO!K1110,'PROJETO PERFURAÇÃO'!$B:$B,0)),"")</f>
        <v/>
      </c>
      <c r="N1110" s="3"/>
      <c r="O1110" s="3"/>
      <c r="P1110" s="3" t="str">
        <f>IFERROR(ROUND(INDEX('PROJETO PERFURAÇÃO'!$AB:$AB,MATCH(MEDIÇÃO!R1110,'PROJETO PERFURAÇÃO'!$B:$B,0)),1)&amp;"''","")</f>
        <v/>
      </c>
      <c r="Q1110" s="3" t="str">
        <f>IFERROR(IF(INDEX('PROJETO PERFURAÇÃO'!$P:$P,MATCH(MEDIÇÃO!R1110,'PROJETO PERFURAÇÃO'!$B:$B,0))="Production","P",IF(INDEX('PROJETO PERFURAÇÃO'!$P:$P,MATCH(MEDIÇÃO!R1110,'PROJETO PERFURAÇÃO'!$B:$B,0))="Buffer","B",IF(INDEX('PROJETO PERFURAÇÃO'!$P:$P,MATCH(MEDIÇÃO!R1110,'PROJETO PERFURAÇÃO'!$B:$B,0))="Pre-Splitting","S"))),"")</f>
        <v/>
      </c>
      <c r="R1110" s="14">
        <f t="shared" si="107"/>
        <v>2482</v>
      </c>
      <c r="S1110" s="4" t="str">
        <f>IFERROR(INDEX('LEV R&amp;D'!$D:$D,MATCH(MEDIÇÃO!R1110,'LEV R&amp;D'!$A:$A,0))-INDEX('PROJETO PERFURAÇÃO'!$AH:$AH,MATCH(MEDIÇÃO!R1110,'PROJETO PERFURAÇÃO'!$B:$B,0)),"")</f>
        <v/>
      </c>
      <c r="T1110" s="8" t="str">
        <f>IFERROR(INDEX('PROJETO PERFURAÇÃO'!$AN:$AN,MATCH(MEDIÇÃO!R1110,'PROJETO PERFURAÇÃO'!$B:$B,0)),"")</f>
        <v/>
      </c>
      <c r="U1110" s="3"/>
      <c r="V1110" s="3"/>
    </row>
    <row r="1111" spans="1:23" ht="45" customHeight="1">
      <c r="B1111" s="3" t="str">
        <f>IFERROR(ROUND(INDEX('PROJETO PERFURAÇÃO'!$AB:$AB,MATCH(MEDIÇÃO!D1111,'PROJETO PERFURAÇÃO'!$B:$B,0)),1)&amp;"''","")</f>
        <v/>
      </c>
      <c r="C1111" s="3" t="str">
        <f>IFERROR(IF(INDEX('PROJETO PERFURAÇÃO'!$P:$P,MATCH(MEDIÇÃO!D1111,'PROJETO PERFURAÇÃO'!$B:$B,0))="Production","P",IF(INDEX('PROJETO PERFURAÇÃO'!$P:$P,MATCH(MEDIÇÃO!D1111,'PROJETO PERFURAÇÃO'!$B:$B,0))="Buffer","B",IF(INDEX('PROJETO PERFURAÇÃO'!$P:$P,MATCH(MEDIÇÃO!D1111,'PROJETO PERFURAÇÃO'!$B:$B,0))="Pre-Splitting","S"))),"")</f>
        <v/>
      </c>
      <c r="D1111" s="14">
        <f t="shared" si="105"/>
        <v>2437</v>
      </c>
      <c r="E1111" s="4" t="str">
        <f>IFERROR(INDEX('LEV R&amp;D'!$D:$D,MATCH(MEDIÇÃO!D1111,'LEV R&amp;D'!$A:$A,0))-INDEX('PROJETO PERFURAÇÃO'!$AH:$AH,MATCH(MEDIÇÃO!D1111,'PROJETO PERFURAÇÃO'!$B:$B,0)),"")</f>
        <v/>
      </c>
      <c r="F1111" s="8" t="str">
        <f>IFERROR(INDEX('PROJETO PERFURAÇÃO'!$AN:$AN,MATCH(MEDIÇÃO!D1111,'PROJETO PERFURAÇÃO'!$B:$B,0)),"")</f>
        <v/>
      </c>
      <c r="G1111" s="3"/>
      <c r="H1111" s="3"/>
      <c r="I1111" s="3" t="str">
        <f>IFERROR(ROUND(INDEX('PROJETO PERFURAÇÃO'!$AB:$AB,MATCH(MEDIÇÃO!K1111,'PROJETO PERFURAÇÃO'!$B:$B,0)),1)&amp;"''","")</f>
        <v/>
      </c>
      <c r="J1111" s="3" t="str">
        <f>IFERROR(IF(INDEX('PROJETO PERFURAÇÃO'!$P:$P,MATCH(MEDIÇÃO!K1111,'PROJETO PERFURAÇÃO'!$B:$B,0))="Production","P",IF(INDEX('PROJETO PERFURAÇÃO'!$P:$P,MATCH(MEDIÇÃO!K1111,'PROJETO PERFURAÇÃO'!$B:$B,0))="Buffer","B",IF(INDEX('PROJETO PERFURAÇÃO'!$P:$P,MATCH(MEDIÇÃO!K1111,'PROJETO PERFURAÇÃO'!$B:$B,0))="Pre-Splitting","S"))),"")</f>
        <v/>
      </c>
      <c r="K1111" s="14">
        <f t="shared" si="106"/>
        <v>2460</v>
      </c>
      <c r="L1111" s="4" t="str">
        <f>IFERROR(INDEX('LEV R&amp;D'!$D:$D,MATCH(MEDIÇÃO!K1111,'LEV R&amp;D'!$A:$A,0))-INDEX('PROJETO PERFURAÇÃO'!$AH:$AH,MATCH(MEDIÇÃO!K1111,'PROJETO PERFURAÇÃO'!$B:$B,0)),"")</f>
        <v/>
      </c>
      <c r="M1111" s="8" t="str">
        <f>IFERROR(INDEX('PROJETO PERFURAÇÃO'!$AN:$AN,MATCH(MEDIÇÃO!K1111,'PROJETO PERFURAÇÃO'!$B:$B,0)),"")</f>
        <v/>
      </c>
      <c r="N1111" s="3"/>
      <c r="O1111" s="3"/>
      <c r="P1111" s="3" t="str">
        <f>IFERROR(ROUND(INDEX('PROJETO PERFURAÇÃO'!$AB:$AB,MATCH(MEDIÇÃO!R1111,'PROJETO PERFURAÇÃO'!$B:$B,0)),1)&amp;"''","")</f>
        <v/>
      </c>
      <c r="Q1111" s="3" t="str">
        <f>IFERROR(IF(INDEX('PROJETO PERFURAÇÃO'!$P:$P,MATCH(MEDIÇÃO!R1111,'PROJETO PERFURAÇÃO'!$B:$B,0))="Production","P",IF(INDEX('PROJETO PERFURAÇÃO'!$P:$P,MATCH(MEDIÇÃO!R1111,'PROJETO PERFURAÇÃO'!$B:$B,0))="Buffer","B",IF(INDEX('PROJETO PERFURAÇÃO'!$P:$P,MATCH(MEDIÇÃO!R1111,'PROJETO PERFURAÇÃO'!$B:$B,0))="Pre-Splitting","S"))),"")</f>
        <v/>
      </c>
      <c r="R1111" s="14">
        <f t="shared" si="107"/>
        <v>2483</v>
      </c>
      <c r="S1111" s="4" t="str">
        <f>IFERROR(INDEX('LEV R&amp;D'!$D:$D,MATCH(MEDIÇÃO!R1111,'LEV R&amp;D'!$A:$A,0))-INDEX('PROJETO PERFURAÇÃO'!$AH:$AH,MATCH(MEDIÇÃO!R1111,'PROJETO PERFURAÇÃO'!$B:$B,0)),"")</f>
        <v/>
      </c>
      <c r="T1111" s="8" t="str">
        <f>IFERROR(INDEX('PROJETO PERFURAÇÃO'!$AN:$AN,MATCH(MEDIÇÃO!R1111,'PROJETO PERFURAÇÃO'!$B:$B,0)),"")</f>
        <v/>
      </c>
      <c r="U1111" s="3"/>
      <c r="V1111" s="3"/>
    </row>
    <row r="1112" spans="1:23" ht="45" customHeight="1">
      <c r="B1112" s="3" t="str">
        <f>IFERROR(ROUND(INDEX('PROJETO PERFURAÇÃO'!$AB:$AB,MATCH(MEDIÇÃO!D1112,'PROJETO PERFURAÇÃO'!$B:$B,0)),1)&amp;"''","")</f>
        <v/>
      </c>
      <c r="C1112" s="3" t="str">
        <f>IFERROR(IF(INDEX('PROJETO PERFURAÇÃO'!$P:$P,MATCH(MEDIÇÃO!D1112,'PROJETO PERFURAÇÃO'!$B:$B,0))="Production","P",IF(INDEX('PROJETO PERFURAÇÃO'!$P:$P,MATCH(MEDIÇÃO!D1112,'PROJETO PERFURAÇÃO'!$B:$B,0))="Buffer","B",IF(INDEX('PROJETO PERFURAÇÃO'!$P:$P,MATCH(MEDIÇÃO!D1112,'PROJETO PERFURAÇÃO'!$B:$B,0))="Pre-Splitting","S"))),"")</f>
        <v/>
      </c>
      <c r="D1112" s="14">
        <f t="shared" si="105"/>
        <v>2438</v>
      </c>
      <c r="E1112" s="4" t="str">
        <f>IFERROR(INDEX('LEV R&amp;D'!$D:$D,MATCH(MEDIÇÃO!D1112,'LEV R&amp;D'!$A:$A,0))-INDEX('PROJETO PERFURAÇÃO'!$AH:$AH,MATCH(MEDIÇÃO!D1112,'PROJETO PERFURAÇÃO'!$B:$B,0)),"")</f>
        <v/>
      </c>
      <c r="F1112" s="8" t="str">
        <f>IFERROR(INDEX('PROJETO PERFURAÇÃO'!$AN:$AN,MATCH(MEDIÇÃO!D1112,'PROJETO PERFURAÇÃO'!$B:$B,0)),"")</f>
        <v/>
      </c>
      <c r="G1112" s="3"/>
      <c r="H1112" s="3"/>
      <c r="I1112" s="3" t="str">
        <f>IFERROR(ROUND(INDEX('PROJETO PERFURAÇÃO'!$AB:$AB,MATCH(MEDIÇÃO!K1112,'PROJETO PERFURAÇÃO'!$B:$B,0)),1)&amp;"''","")</f>
        <v/>
      </c>
      <c r="J1112" s="3" t="str">
        <f>IFERROR(IF(INDEX('PROJETO PERFURAÇÃO'!$P:$P,MATCH(MEDIÇÃO!K1112,'PROJETO PERFURAÇÃO'!$B:$B,0))="Production","P",IF(INDEX('PROJETO PERFURAÇÃO'!$P:$P,MATCH(MEDIÇÃO!K1112,'PROJETO PERFURAÇÃO'!$B:$B,0))="Buffer","B",IF(INDEX('PROJETO PERFURAÇÃO'!$P:$P,MATCH(MEDIÇÃO!K1112,'PROJETO PERFURAÇÃO'!$B:$B,0))="Pre-Splitting","S"))),"")</f>
        <v/>
      </c>
      <c r="K1112" s="14">
        <f>K1111+1</f>
        <v>2461</v>
      </c>
      <c r="L1112" s="4" t="str">
        <f>IFERROR(INDEX('LEV R&amp;D'!$D:$D,MATCH(MEDIÇÃO!K1112,'LEV R&amp;D'!$A:$A,0))-INDEX('PROJETO PERFURAÇÃO'!$AH:$AH,MATCH(MEDIÇÃO!K1112,'PROJETO PERFURAÇÃO'!$B:$B,0)),"")</f>
        <v/>
      </c>
      <c r="M1112" s="8" t="str">
        <f>IFERROR(INDEX('PROJETO PERFURAÇÃO'!$AN:$AN,MATCH(MEDIÇÃO!K1112,'PROJETO PERFURAÇÃO'!$B:$B,0)),"")</f>
        <v/>
      </c>
      <c r="N1112" s="3"/>
      <c r="O1112" s="3"/>
      <c r="P1112" s="3" t="str">
        <f>IFERROR(ROUND(INDEX('PROJETO PERFURAÇÃO'!$AB:$AB,MATCH(MEDIÇÃO!R1112,'PROJETO PERFURAÇÃO'!$B:$B,0)),1)&amp;"''","")</f>
        <v/>
      </c>
      <c r="Q1112" s="3" t="str">
        <f>IFERROR(IF(INDEX('PROJETO PERFURAÇÃO'!$P:$P,MATCH(MEDIÇÃO!R1112,'PROJETO PERFURAÇÃO'!$B:$B,0))="Production","P",IF(INDEX('PROJETO PERFURAÇÃO'!$P:$P,MATCH(MEDIÇÃO!R1112,'PROJETO PERFURAÇÃO'!$B:$B,0))="Buffer","B",IF(INDEX('PROJETO PERFURAÇÃO'!$P:$P,MATCH(MEDIÇÃO!R1112,'PROJETO PERFURAÇÃO'!$B:$B,0))="Pre-Splitting","S"))),"")</f>
        <v/>
      </c>
      <c r="R1112" s="14">
        <f>R1111+1</f>
        <v>2484</v>
      </c>
      <c r="S1112" s="4" t="str">
        <f>IFERROR(INDEX('LEV R&amp;D'!$D:$D,MATCH(MEDIÇÃO!R1112,'LEV R&amp;D'!$A:$A,0))-INDEX('PROJETO PERFURAÇÃO'!$AH:$AH,MATCH(MEDIÇÃO!R1112,'PROJETO PERFURAÇÃO'!$B:$B,0)),"")</f>
        <v/>
      </c>
      <c r="T1112" s="8" t="str">
        <f>IFERROR(INDEX('PROJETO PERFURAÇÃO'!$AN:$AN,MATCH(MEDIÇÃO!R1112,'PROJETO PERFURAÇÃO'!$B:$B,0)),"")</f>
        <v/>
      </c>
      <c r="U1112" s="3"/>
      <c r="V1112" s="3"/>
    </row>
    <row r="1113" spans="1:23" ht="30" customHeight="1">
      <c r="B1113" s="1"/>
      <c r="C1113" s="1"/>
      <c r="D1113" s="15"/>
      <c r="E1113" s="2"/>
      <c r="F1113" s="16"/>
      <c r="G1113" s="1"/>
      <c r="H1113" s="1"/>
      <c r="I1113" s="1"/>
      <c r="J1113" s="1"/>
      <c r="K1113" s="15"/>
      <c r="L1113" s="2"/>
      <c r="M1113" s="16"/>
      <c r="N1113" s="1"/>
      <c r="O1113" s="1"/>
      <c r="P1113" s="1"/>
      <c r="Q1113" s="1"/>
      <c r="R1113" s="15"/>
      <c r="S1113" s="2"/>
      <c r="T1113" s="16"/>
      <c r="U1113" s="1"/>
      <c r="V1113" s="1"/>
    </row>
    <row r="1114" spans="1:23" ht="30" customHeight="1">
      <c r="C1114" s="20"/>
      <c r="D1114" s="20"/>
      <c r="E1114" s="20"/>
      <c r="F1114" s="20"/>
      <c r="G1114" s="20"/>
      <c r="H1114" s="20"/>
      <c r="I1114" s="20"/>
      <c r="J1114" s="20"/>
      <c r="K1114" s="20"/>
      <c r="M1114" s="20"/>
      <c r="N1114" s="20"/>
      <c r="O1114" s="20"/>
      <c r="P1114" s="20"/>
      <c r="Q1114" s="20"/>
      <c r="R1114" s="20"/>
      <c r="S1114" s="20"/>
      <c r="T1114" s="20"/>
      <c r="U1114" s="20"/>
    </row>
    <row r="1115" spans="1:23" ht="30" customHeight="1">
      <c r="C1115" s="21" t="s">
        <v>40</v>
      </c>
      <c r="D1115" s="21"/>
      <c r="E1115" s="21"/>
      <c r="F1115" s="21"/>
      <c r="G1115" s="21"/>
      <c r="H1115" s="21"/>
      <c r="I1115" s="21"/>
      <c r="J1115" s="21"/>
      <c r="K1115" s="21"/>
      <c r="L1115" s="9"/>
      <c r="M1115" s="21" t="s">
        <v>40</v>
      </c>
      <c r="N1115" s="21"/>
      <c r="O1115" s="21"/>
      <c r="P1115" s="21"/>
      <c r="Q1115" s="21"/>
      <c r="R1115" s="21"/>
      <c r="S1115" s="21"/>
      <c r="T1115" s="21"/>
      <c r="U1115" s="21"/>
      <c r="V1115" s="9"/>
    </row>
    <row r="1116" spans="1:23" ht="30" customHeight="1">
      <c r="D1116" s="9"/>
      <c r="E1116" s="9"/>
      <c r="F1116" s="9"/>
      <c r="G1116" s="9"/>
      <c r="H1116" s="9"/>
      <c r="I1116" s="9"/>
      <c r="J1116" s="9"/>
      <c r="K1116" s="9"/>
      <c r="L1116" s="9"/>
      <c r="M1116" s="9"/>
      <c r="N1116" s="9"/>
      <c r="Q1116" s="9"/>
      <c r="R1116" s="9"/>
      <c r="S1116" s="9"/>
      <c r="T1116" s="9"/>
      <c r="U1116" s="9"/>
      <c r="V1116" s="9"/>
    </row>
    <row r="1117" spans="1:23" ht="30" customHeight="1">
      <c r="B1117" s="19" t="str">
        <f>'PROJETO PERFURAÇÃO'!$C$2&amp;" - "&amp;'PROJETO PERFURAÇÃO'!$H$2</f>
        <v>LIB037 - PP0370626</v>
      </c>
      <c r="C1117" s="19"/>
      <c r="D1117" s="19"/>
      <c r="E1117" s="19"/>
      <c r="F1117" s="19"/>
      <c r="G1117" s="19"/>
      <c r="H1117" s="19"/>
      <c r="I1117" s="11" t="s">
        <v>34</v>
      </c>
      <c r="J1117" s="10" t="s">
        <v>37</v>
      </c>
    </row>
    <row r="1118" spans="1:23" ht="30" customHeight="1">
      <c r="B1118" s="19"/>
      <c r="C1118" s="19"/>
      <c r="D1118" s="19"/>
      <c r="E1118" s="19"/>
      <c r="F1118" s="19"/>
      <c r="G1118" s="19"/>
      <c r="H1118" s="19"/>
      <c r="I1118" s="12" t="s">
        <v>35</v>
      </c>
      <c r="J1118" s="10" t="s">
        <v>38</v>
      </c>
      <c r="K1118" s="9"/>
      <c r="L1118" s="9"/>
      <c r="M1118" s="9"/>
      <c r="N1118" s="9"/>
      <c r="O1118" s="9"/>
      <c r="P1118" s="9"/>
      <c r="Q1118" s="9"/>
      <c r="R1118" s="9"/>
      <c r="S1118" s="9"/>
      <c r="T1118" s="9"/>
      <c r="U1118" s="9"/>
      <c r="V1118" s="9"/>
    </row>
    <row r="1119" spans="1:23" ht="30" customHeight="1">
      <c r="B1119" s="19"/>
      <c r="C1119" s="19"/>
      <c r="D1119" s="19"/>
      <c r="E1119" s="19"/>
      <c r="F1119" s="19"/>
      <c r="G1119" s="19"/>
      <c r="H1119" s="19"/>
      <c r="I1119" s="13" t="s">
        <v>36</v>
      </c>
      <c r="J1119" s="10" t="s">
        <v>39</v>
      </c>
    </row>
    <row r="1120" spans="1:23" ht="30" customHeight="1">
      <c r="A1120" s="1"/>
      <c r="B1120" s="6" t="s">
        <v>33</v>
      </c>
      <c r="C1120" s="6" t="s">
        <v>13</v>
      </c>
      <c r="D1120" s="7" t="s">
        <v>1</v>
      </c>
      <c r="E1120" s="7" t="s">
        <v>29</v>
      </c>
      <c r="F1120" s="7" t="s">
        <v>30</v>
      </c>
      <c r="G1120" s="7" t="s">
        <v>31</v>
      </c>
      <c r="H1120" s="7" t="s">
        <v>32</v>
      </c>
      <c r="I1120" s="6" t="s">
        <v>33</v>
      </c>
      <c r="J1120" s="6" t="s">
        <v>13</v>
      </c>
      <c r="K1120" s="7" t="s">
        <v>1</v>
      </c>
      <c r="L1120" s="7" t="s">
        <v>29</v>
      </c>
      <c r="M1120" s="7" t="s">
        <v>30</v>
      </c>
      <c r="N1120" s="7" t="s">
        <v>31</v>
      </c>
      <c r="O1120" s="7" t="s">
        <v>32</v>
      </c>
      <c r="P1120" s="6" t="s">
        <v>33</v>
      </c>
      <c r="Q1120" s="6" t="s">
        <v>13</v>
      </c>
      <c r="R1120" s="7" t="s">
        <v>1</v>
      </c>
      <c r="S1120" s="7" t="s">
        <v>29</v>
      </c>
      <c r="T1120" s="7" t="s">
        <v>30</v>
      </c>
      <c r="U1120" s="7" t="s">
        <v>31</v>
      </c>
      <c r="V1120" s="7" t="s">
        <v>32</v>
      </c>
      <c r="W1120" s="1"/>
    </row>
    <row r="1121" spans="2:22" ht="45" customHeight="1">
      <c r="B1121" s="3" t="str">
        <f>IFERROR(ROUND(INDEX('PROJETO PERFURAÇÃO'!$AB:$AB,MATCH(MEDIÇÃO!D1121,'PROJETO PERFURAÇÃO'!$B:$B,0)),1)&amp;"''","")</f>
        <v/>
      </c>
      <c r="C1121" s="3" t="str">
        <f>IFERROR(IF(INDEX('PROJETO PERFURAÇÃO'!$P:$P,MATCH(MEDIÇÃO!D1121,'PROJETO PERFURAÇÃO'!$B:$B,0))="Production","P",IF(INDEX('PROJETO PERFURAÇÃO'!$P:$P,MATCH(MEDIÇÃO!D1121,'PROJETO PERFURAÇÃO'!$B:$B,0))="Buffer","B",IF(INDEX('PROJETO PERFURAÇÃO'!$P:$P,MATCH(MEDIÇÃO!D1121,'PROJETO PERFURAÇÃO'!$B:$B,0))="Pre-Splitting","S"))),"")</f>
        <v/>
      </c>
      <c r="D1121" s="14">
        <f>R1112+1</f>
        <v>2485</v>
      </c>
      <c r="E1121" s="4" t="str">
        <f>IFERROR(INDEX('LEV R&amp;D'!$D:$D,MATCH(MEDIÇÃO!D1121,'LEV R&amp;D'!$A:$A,0))-INDEX('PROJETO PERFURAÇÃO'!$AH:$AH,MATCH(MEDIÇÃO!D1121,'PROJETO PERFURAÇÃO'!$B:$B,0)),"")</f>
        <v/>
      </c>
      <c r="F1121" s="8" t="str">
        <f>IFERROR(INDEX('PROJETO PERFURAÇÃO'!$AN:$AN,MATCH(MEDIÇÃO!D1121,'PROJETO PERFURAÇÃO'!$B:$B,0)),"")</f>
        <v/>
      </c>
      <c r="G1121" s="3"/>
      <c r="H1121" s="3"/>
      <c r="I1121" s="3" t="str">
        <f>IFERROR(ROUND(INDEX('PROJETO PERFURAÇÃO'!$AB:$AB,MATCH(MEDIÇÃO!K1121,'PROJETO PERFURAÇÃO'!$B:$B,0)),1)&amp;"''","")</f>
        <v/>
      </c>
      <c r="J1121" s="3" t="str">
        <f>IFERROR(IF(INDEX('PROJETO PERFURAÇÃO'!$P:$P,MATCH(MEDIÇÃO!K1121,'PROJETO PERFURAÇÃO'!$B:$B,0))="Production","P",IF(INDEX('PROJETO PERFURAÇÃO'!$P:$P,MATCH(MEDIÇÃO!K1121,'PROJETO PERFURAÇÃO'!$B:$B,0))="Buffer","B",IF(INDEX('PROJETO PERFURAÇÃO'!$P:$P,MATCH(MEDIÇÃO!K1121,'PROJETO PERFURAÇÃO'!$B:$B,0))="Pre-Splitting","S"))),"")</f>
        <v/>
      </c>
      <c r="K1121" s="14">
        <f>D1143+1</f>
        <v>2508</v>
      </c>
      <c r="L1121" s="4" t="str">
        <f>IFERROR(INDEX('LEV R&amp;D'!$D:$D,MATCH(MEDIÇÃO!K1121,'LEV R&amp;D'!$A:$A,0))-INDEX('PROJETO PERFURAÇÃO'!$AH:$AH,MATCH(MEDIÇÃO!K1121,'PROJETO PERFURAÇÃO'!$B:$B,0)),"")</f>
        <v/>
      </c>
      <c r="M1121" s="8" t="str">
        <f>IFERROR(INDEX('PROJETO PERFURAÇÃO'!$AN:$AN,MATCH(MEDIÇÃO!K1121,'PROJETO PERFURAÇÃO'!$B:$B,0)),"")</f>
        <v/>
      </c>
      <c r="N1121" s="3"/>
      <c r="O1121" s="3"/>
      <c r="P1121" s="3" t="str">
        <f>IFERROR(ROUND(INDEX('PROJETO PERFURAÇÃO'!$AB:$AB,MATCH(MEDIÇÃO!R1121,'PROJETO PERFURAÇÃO'!$B:$B,0)),1)&amp;"''","")</f>
        <v/>
      </c>
      <c r="Q1121" s="3" t="str">
        <f>IFERROR(IF(INDEX('PROJETO PERFURAÇÃO'!$P:$P,MATCH(MEDIÇÃO!R1121,'PROJETO PERFURAÇÃO'!$B:$B,0))="Production","P",IF(INDEX('PROJETO PERFURAÇÃO'!$P:$P,MATCH(MEDIÇÃO!R1121,'PROJETO PERFURAÇÃO'!$B:$B,0))="Buffer","B",IF(INDEX('PROJETO PERFURAÇÃO'!$P:$P,MATCH(MEDIÇÃO!R1121,'PROJETO PERFURAÇÃO'!$B:$B,0))="Pre-Splitting","S"))),"")</f>
        <v/>
      </c>
      <c r="R1121" s="14">
        <f>K1143+1</f>
        <v>2531</v>
      </c>
      <c r="S1121" s="4" t="str">
        <f>IFERROR(INDEX('LEV R&amp;D'!$D:$D,MATCH(MEDIÇÃO!R1121,'LEV R&amp;D'!$A:$A,0))-INDEX('PROJETO PERFURAÇÃO'!$AH:$AH,MATCH(MEDIÇÃO!R1121,'PROJETO PERFURAÇÃO'!$B:$B,0)),"")</f>
        <v/>
      </c>
      <c r="T1121" s="8" t="str">
        <f>IFERROR(INDEX('PROJETO PERFURAÇÃO'!$AN:$AN,MATCH(MEDIÇÃO!R1121,'PROJETO PERFURAÇÃO'!$B:$B,0)),"")</f>
        <v/>
      </c>
      <c r="U1121" s="3"/>
      <c r="V1121" s="3"/>
    </row>
    <row r="1122" spans="2:22" ht="45" customHeight="1">
      <c r="B1122" s="3" t="str">
        <f>IFERROR(ROUND(INDEX('PROJETO PERFURAÇÃO'!$AB:$AB,MATCH(MEDIÇÃO!D1122,'PROJETO PERFURAÇÃO'!$B:$B,0)),1)&amp;"''","")</f>
        <v/>
      </c>
      <c r="C1122" s="3" t="str">
        <f>IFERROR(IF(INDEX('PROJETO PERFURAÇÃO'!$P:$P,MATCH(MEDIÇÃO!D1122,'PROJETO PERFURAÇÃO'!$B:$B,0))="Production","P",IF(INDEX('PROJETO PERFURAÇÃO'!$P:$P,MATCH(MEDIÇÃO!D1122,'PROJETO PERFURAÇÃO'!$B:$B,0))="Buffer","B",IF(INDEX('PROJETO PERFURAÇÃO'!$P:$P,MATCH(MEDIÇÃO!D1122,'PROJETO PERFURAÇÃO'!$B:$B,0))="Pre-Splitting","S"))),"")</f>
        <v/>
      </c>
      <c r="D1122" s="14">
        <f>D1121+1</f>
        <v>2486</v>
      </c>
      <c r="E1122" s="4" t="str">
        <f>IFERROR(INDEX('LEV R&amp;D'!$D:$D,MATCH(MEDIÇÃO!D1122,'LEV R&amp;D'!$A:$A,0))-INDEX('PROJETO PERFURAÇÃO'!$AH:$AH,MATCH(MEDIÇÃO!D1122,'PROJETO PERFURAÇÃO'!$B:$B,0)),"")</f>
        <v/>
      </c>
      <c r="F1122" s="8" t="str">
        <f>IFERROR(INDEX('PROJETO PERFURAÇÃO'!$AN:$AN,MATCH(MEDIÇÃO!D1122,'PROJETO PERFURAÇÃO'!$B:$B,0)),"")</f>
        <v/>
      </c>
      <c r="G1122" s="3"/>
      <c r="H1122" s="3"/>
      <c r="I1122" s="3" t="str">
        <f>IFERROR(ROUND(INDEX('PROJETO PERFURAÇÃO'!$AB:$AB,MATCH(MEDIÇÃO!K1122,'PROJETO PERFURAÇÃO'!$B:$B,0)),1)&amp;"''","")</f>
        <v/>
      </c>
      <c r="J1122" s="3" t="str">
        <f>IFERROR(IF(INDEX('PROJETO PERFURAÇÃO'!$P:$P,MATCH(MEDIÇÃO!K1122,'PROJETO PERFURAÇÃO'!$B:$B,0))="Production","P",IF(INDEX('PROJETO PERFURAÇÃO'!$P:$P,MATCH(MEDIÇÃO!K1122,'PROJETO PERFURAÇÃO'!$B:$B,0))="Buffer","B",IF(INDEX('PROJETO PERFURAÇÃO'!$P:$P,MATCH(MEDIÇÃO!K1122,'PROJETO PERFURAÇÃO'!$B:$B,0))="Pre-Splitting","S"))),"")</f>
        <v/>
      </c>
      <c r="K1122" s="14">
        <f>K1121+1</f>
        <v>2509</v>
      </c>
      <c r="L1122" s="4" t="str">
        <f>IFERROR(INDEX('LEV R&amp;D'!$D:$D,MATCH(MEDIÇÃO!K1122,'LEV R&amp;D'!$A:$A,0))-INDEX('PROJETO PERFURAÇÃO'!$AH:$AH,MATCH(MEDIÇÃO!K1122,'PROJETO PERFURAÇÃO'!$B:$B,0)),"")</f>
        <v/>
      </c>
      <c r="M1122" s="8" t="str">
        <f>IFERROR(INDEX('PROJETO PERFURAÇÃO'!$AN:$AN,MATCH(MEDIÇÃO!K1122,'PROJETO PERFURAÇÃO'!$B:$B,0)),"")</f>
        <v/>
      </c>
      <c r="N1122" s="3"/>
      <c r="O1122" s="3"/>
      <c r="P1122" s="3" t="str">
        <f>IFERROR(ROUND(INDEX('PROJETO PERFURAÇÃO'!$AB:$AB,MATCH(MEDIÇÃO!R1122,'PROJETO PERFURAÇÃO'!$B:$B,0)),1)&amp;"''","")</f>
        <v/>
      </c>
      <c r="Q1122" s="3" t="str">
        <f>IFERROR(IF(INDEX('PROJETO PERFURAÇÃO'!$P:$P,MATCH(MEDIÇÃO!R1122,'PROJETO PERFURAÇÃO'!$B:$B,0))="Production","P",IF(INDEX('PROJETO PERFURAÇÃO'!$P:$P,MATCH(MEDIÇÃO!R1122,'PROJETO PERFURAÇÃO'!$B:$B,0))="Buffer","B",IF(INDEX('PROJETO PERFURAÇÃO'!$P:$P,MATCH(MEDIÇÃO!R1122,'PROJETO PERFURAÇÃO'!$B:$B,0))="Pre-Splitting","S"))),"")</f>
        <v/>
      </c>
      <c r="R1122" s="14">
        <f>R1121+1</f>
        <v>2532</v>
      </c>
      <c r="S1122" s="4" t="str">
        <f>IFERROR(INDEX('LEV R&amp;D'!$D:$D,MATCH(MEDIÇÃO!R1122,'LEV R&amp;D'!$A:$A,0))-INDEX('PROJETO PERFURAÇÃO'!$AH:$AH,MATCH(MEDIÇÃO!R1122,'PROJETO PERFURAÇÃO'!$B:$B,0)),"")</f>
        <v/>
      </c>
      <c r="T1122" s="8" t="str">
        <f>IFERROR(INDEX('PROJETO PERFURAÇÃO'!$AN:$AN,MATCH(MEDIÇÃO!R1122,'PROJETO PERFURAÇÃO'!$B:$B,0)),"")</f>
        <v/>
      </c>
      <c r="U1122" s="3"/>
      <c r="V1122" s="3"/>
    </row>
    <row r="1123" spans="2:22" ht="45" customHeight="1">
      <c r="B1123" s="3" t="str">
        <f>IFERROR(ROUND(INDEX('PROJETO PERFURAÇÃO'!$AB:$AB,MATCH(MEDIÇÃO!D1123,'PROJETO PERFURAÇÃO'!$B:$B,0)),1)&amp;"''","")</f>
        <v/>
      </c>
      <c r="C1123" s="3" t="str">
        <f>IFERROR(IF(INDEX('PROJETO PERFURAÇÃO'!$P:$P,MATCH(MEDIÇÃO!D1123,'PROJETO PERFURAÇÃO'!$B:$B,0))="Production","P",IF(INDEX('PROJETO PERFURAÇÃO'!$P:$P,MATCH(MEDIÇÃO!D1123,'PROJETO PERFURAÇÃO'!$B:$B,0))="Buffer","B",IF(INDEX('PROJETO PERFURAÇÃO'!$P:$P,MATCH(MEDIÇÃO!D1123,'PROJETO PERFURAÇÃO'!$B:$B,0))="Pre-Splitting","S"))),"")</f>
        <v/>
      </c>
      <c r="D1123" s="14">
        <f t="shared" ref="D1123:D1143" si="108">D1122+1</f>
        <v>2487</v>
      </c>
      <c r="E1123" s="4" t="str">
        <f>IFERROR(INDEX('LEV R&amp;D'!$D:$D,MATCH(MEDIÇÃO!D1123,'LEV R&amp;D'!$A:$A,0))-INDEX('PROJETO PERFURAÇÃO'!$AH:$AH,MATCH(MEDIÇÃO!D1123,'PROJETO PERFURAÇÃO'!$B:$B,0)),"")</f>
        <v/>
      </c>
      <c r="F1123" s="8" t="str">
        <f>IFERROR(INDEX('PROJETO PERFURAÇÃO'!$AN:$AN,MATCH(MEDIÇÃO!D1123,'PROJETO PERFURAÇÃO'!$B:$B,0)),"")</f>
        <v/>
      </c>
      <c r="G1123" s="3"/>
      <c r="H1123" s="3"/>
      <c r="I1123" s="3" t="str">
        <f>IFERROR(ROUND(INDEX('PROJETO PERFURAÇÃO'!$AB:$AB,MATCH(MEDIÇÃO!K1123,'PROJETO PERFURAÇÃO'!$B:$B,0)),1)&amp;"''","")</f>
        <v/>
      </c>
      <c r="J1123" s="3" t="str">
        <f>IFERROR(IF(INDEX('PROJETO PERFURAÇÃO'!$P:$P,MATCH(MEDIÇÃO!K1123,'PROJETO PERFURAÇÃO'!$B:$B,0))="Production","P",IF(INDEX('PROJETO PERFURAÇÃO'!$P:$P,MATCH(MEDIÇÃO!K1123,'PROJETO PERFURAÇÃO'!$B:$B,0))="Buffer","B",IF(INDEX('PROJETO PERFURAÇÃO'!$P:$P,MATCH(MEDIÇÃO!K1123,'PROJETO PERFURAÇÃO'!$B:$B,0))="Pre-Splitting","S"))),"")</f>
        <v/>
      </c>
      <c r="K1123" s="14">
        <f t="shared" ref="K1123:K1142" si="109">K1122+1</f>
        <v>2510</v>
      </c>
      <c r="L1123" s="4" t="str">
        <f>IFERROR(INDEX('LEV R&amp;D'!$D:$D,MATCH(MEDIÇÃO!K1123,'LEV R&amp;D'!$A:$A,0))-INDEX('PROJETO PERFURAÇÃO'!$AH:$AH,MATCH(MEDIÇÃO!K1123,'PROJETO PERFURAÇÃO'!$B:$B,0)),"")</f>
        <v/>
      </c>
      <c r="M1123" s="8" t="str">
        <f>IFERROR(INDEX('PROJETO PERFURAÇÃO'!$AN:$AN,MATCH(MEDIÇÃO!K1123,'PROJETO PERFURAÇÃO'!$B:$B,0)),"")</f>
        <v/>
      </c>
      <c r="N1123" s="3"/>
      <c r="O1123" s="3"/>
      <c r="P1123" s="3" t="str">
        <f>IFERROR(ROUND(INDEX('PROJETO PERFURAÇÃO'!$AB:$AB,MATCH(MEDIÇÃO!R1123,'PROJETO PERFURAÇÃO'!$B:$B,0)),1)&amp;"''","")</f>
        <v/>
      </c>
      <c r="Q1123" s="3" t="str">
        <f>IFERROR(IF(INDEX('PROJETO PERFURAÇÃO'!$P:$P,MATCH(MEDIÇÃO!R1123,'PROJETO PERFURAÇÃO'!$B:$B,0))="Production","P",IF(INDEX('PROJETO PERFURAÇÃO'!$P:$P,MATCH(MEDIÇÃO!R1123,'PROJETO PERFURAÇÃO'!$B:$B,0))="Buffer","B",IF(INDEX('PROJETO PERFURAÇÃO'!$P:$P,MATCH(MEDIÇÃO!R1123,'PROJETO PERFURAÇÃO'!$B:$B,0))="Pre-Splitting","S"))),"")</f>
        <v/>
      </c>
      <c r="R1123" s="14">
        <f t="shared" ref="R1123:R1142" si="110">R1122+1</f>
        <v>2533</v>
      </c>
      <c r="S1123" s="4" t="str">
        <f>IFERROR(INDEX('LEV R&amp;D'!$D:$D,MATCH(MEDIÇÃO!R1123,'LEV R&amp;D'!$A:$A,0))-INDEX('PROJETO PERFURAÇÃO'!$AH:$AH,MATCH(MEDIÇÃO!R1123,'PROJETO PERFURAÇÃO'!$B:$B,0)),"")</f>
        <v/>
      </c>
      <c r="T1123" s="8" t="str">
        <f>IFERROR(INDEX('PROJETO PERFURAÇÃO'!$AN:$AN,MATCH(MEDIÇÃO!R1123,'PROJETO PERFURAÇÃO'!$B:$B,0)),"")</f>
        <v/>
      </c>
      <c r="U1123" s="3"/>
      <c r="V1123" s="3"/>
    </row>
    <row r="1124" spans="2:22" ht="45" customHeight="1">
      <c r="B1124" s="3" t="str">
        <f>IFERROR(ROUND(INDEX('PROJETO PERFURAÇÃO'!$AB:$AB,MATCH(MEDIÇÃO!D1124,'PROJETO PERFURAÇÃO'!$B:$B,0)),1)&amp;"''","")</f>
        <v/>
      </c>
      <c r="C1124" s="3" t="str">
        <f>IFERROR(IF(INDEX('PROJETO PERFURAÇÃO'!$P:$P,MATCH(MEDIÇÃO!D1124,'PROJETO PERFURAÇÃO'!$B:$B,0))="Production","P",IF(INDEX('PROJETO PERFURAÇÃO'!$P:$P,MATCH(MEDIÇÃO!D1124,'PROJETO PERFURAÇÃO'!$B:$B,0))="Buffer","B",IF(INDEX('PROJETO PERFURAÇÃO'!$P:$P,MATCH(MEDIÇÃO!D1124,'PROJETO PERFURAÇÃO'!$B:$B,0))="Pre-Splitting","S"))),"")</f>
        <v/>
      </c>
      <c r="D1124" s="14">
        <f t="shared" si="108"/>
        <v>2488</v>
      </c>
      <c r="E1124" s="4" t="str">
        <f>IFERROR(INDEX('LEV R&amp;D'!$D:$D,MATCH(MEDIÇÃO!D1124,'LEV R&amp;D'!$A:$A,0))-INDEX('PROJETO PERFURAÇÃO'!$AH:$AH,MATCH(MEDIÇÃO!D1124,'PROJETO PERFURAÇÃO'!$B:$B,0)),"")</f>
        <v/>
      </c>
      <c r="F1124" s="8" t="str">
        <f>IFERROR(INDEX('PROJETO PERFURAÇÃO'!$AN:$AN,MATCH(MEDIÇÃO!D1124,'PROJETO PERFURAÇÃO'!$B:$B,0)),"")</f>
        <v/>
      </c>
      <c r="G1124" s="3"/>
      <c r="H1124" s="3"/>
      <c r="I1124" s="3" t="str">
        <f>IFERROR(ROUND(INDEX('PROJETO PERFURAÇÃO'!$AB:$AB,MATCH(MEDIÇÃO!K1124,'PROJETO PERFURAÇÃO'!$B:$B,0)),1)&amp;"''","")</f>
        <v/>
      </c>
      <c r="J1124" s="3" t="str">
        <f>IFERROR(IF(INDEX('PROJETO PERFURAÇÃO'!$P:$P,MATCH(MEDIÇÃO!K1124,'PROJETO PERFURAÇÃO'!$B:$B,0))="Production","P",IF(INDEX('PROJETO PERFURAÇÃO'!$P:$P,MATCH(MEDIÇÃO!K1124,'PROJETO PERFURAÇÃO'!$B:$B,0))="Buffer","B",IF(INDEX('PROJETO PERFURAÇÃO'!$P:$P,MATCH(MEDIÇÃO!K1124,'PROJETO PERFURAÇÃO'!$B:$B,0))="Pre-Splitting","S"))),"")</f>
        <v/>
      </c>
      <c r="K1124" s="14">
        <f t="shared" si="109"/>
        <v>2511</v>
      </c>
      <c r="L1124" s="4" t="str">
        <f>IFERROR(INDEX('LEV R&amp;D'!$D:$D,MATCH(MEDIÇÃO!K1124,'LEV R&amp;D'!$A:$A,0))-INDEX('PROJETO PERFURAÇÃO'!$AH:$AH,MATCH(MEDIÇÃO!K1124,'PROJETO PERFURAÇÃO'!$B:$B,0)),"")</f>
        <v/>
      </c>
      <c r="M1124" s="8" t="str">
        <f>IFERROR(INDEX('PROJETO PERFURAÇÃO'!$AN:$AN,MATCH(MEDIÇÃO!K1124,'PROJETO PERFURAÇÃO'!$B:$B,0)),"")</f>
        <v/>
      </c>
      <c r="N1124" s="3"/>
      <c r="O1124" s="3"/>
      <c r="P1124" s="3" t="str">
        <f>IFERROR(ROUND(INDEX('PROJETO PERFURAÇÃO'!$AB:$AB,MATCH(MEDIÇÃO!R1124,'PROJETO PERFURAÇÃO'!$B:$B,0)),1)&amp;"''","")</f>
        <v/>
      </c>
      <c r="Q1124" s="3" t="str">
        <f>IFERROR(IF(INDEX('PROJETO PERFURAÇÃO'!$P:$P,MATCH(MEDIÇÃO!R1124,'PROJETO PERFURAÇÃO'!$B:$B,0))="Production","P",IF(INDEX('PROJETO PERFURAÇÃO'!$P:$P,MATCH(MEDIÇÃO!R1124,'PROJETO PERFURAÇÃO'!$B:$B,0))="Buffer","B",IF(INDEX('PROJETO PERFURAÇÃO'!$P:$P,MATCH(MEDIÇÃO!R1124,'PROJETO PERFURAÇÃO'!$B:$B,0))="Pre-Splitting","S"))),"")</f>
        <v/>
      </c>
      <c r="R1124" s="14">
        <f t="shared" si="110"/>
        <v>2534</v>
      </c>
      <c r="S1124" s="4" t="str">
        <f>IFERROR(INDEX('LEV R&amp;D'!$D:$D,MATCH(MEDIÇÃO!R1124,'LEV R&amp;D'!$A:$A,0))-INDEX('PROJETO PERFURAÇÃO'!$AH:$AH,MATCH(MEDIÇÃO!R1124,'PROJETO PERFURAÇÃO'!$B:$B,0)),"")</f>
        <v/>
      </c>
      <c r="T1124" s="8" t="str">
        <f>IFERROR(INDEX('PROJETO PERFURAÇÃO'!$AN:$AN,MATCH(MEDIÇÃO!R1124,'PROJETO PERFURAÇÃO'!$B:$B,0)),"")</f>
        <v/>
      </c>
      <c r="U1124" s="3"/>
      <c r="V1124" s="3"/>
    </row>
    <row r="1125" spans="2:22" ht="45" customHeight="1">
      <c r="B1125" s="3" t="str">
        <f>IFERROR(ROUND(INDEX('PROJETO PERFURAÇÃO'!$AB:$AB,MATCH(MEDIÇÃO!D1125,'PROJETO PERFURAÇÃO'!$B:$B,0)),1)&amp;"''","")</f>
        <v/>
      </c>
      <c r="C1125" s="3" t="str">
        <f>IFERROR(IF(INDEX('PROJETO PERFURAÇÃO'!$P:$P,MATCH(MEDIÇÃO!D1125,'PROJETO PERFURAÇÃO'!$B:$B,0))="Production","P",IF(INDEX('PROJETO PERFURAÇÃO'!$P:$P,MATCH(MEDIÇÃO!D1125,'PROJETO PERFURAÇÃO'!$B:$B,0))="Buffer","B",IF(INDEX('PROJETO PERFURAÇÃO'!$P:$P,MATCH(MEDIÇÃO!D1125,'PROJETO PERFURAÇÃO'!$B:$B,0))="Pre-Splitting","S"))),"")</f>
        <v/>
      </c>
      <c r="D1125" s="14">
        <f t="shared" si="108"/>
        <v>2489</v>
      </c>
      <c r="E1125" s="4" t="str">
        <f>IFERROR(INDEX('LEV R&amp;D'!$D:$D,MATCH(MEDIÇÃO!D1125,'LEV R&amp;D'!$A:$A,0))-INDEX('PROJETO PERFURAÇÃO'!$AH:$AH,MATCH(MEDIÇÃO!D1125,'PROJETO PERFURAÇÃO'!$B:$B,0)),"")</f>
        <v/>
      </c>
      <c r="F1125" s="8" t="str">
        <f>IFERROR(INDEX('PROJETO PERFURAÇÃO'!$AN:$AN,MATCH(MEDIÇÃO!D1125,'PROJETO PERFURAÇÃO'!$B:$B,0)),"")</f>
        <v/>
      </c>
      <c r="G1125" s="3"/>
      <c r="H1125" s="3"/>
      <c r="I1125" s="3" t="str">
        <f>IFERROR(ROUND(INDEX('PROJETO PERFURAÇÃO'!$AB:$AB,MATCH(MEDIÇÃO!K1125,'PROJETO PERFURAÇÃO'!$B:$B,0)),1)&amp;"''","")</f>
        <v/>
      </c>
      <c r="J1125" s="3" t="str">
        <f>IFERROR(IF(INDEX('PROJETO PERFURAÇÃO'!$P:$P,MATCH(MEDIÇÃO!K1125,'PROJETO PERFURAÇÃO'!$B:$B,0))="Production","P",IF(INDEX('PROJETO PERFURAÇÃO'!$P:$P,MATCH(MEDIÇÃO!K1125,'PROJETO PERFURAÇÃO'!$B:$B,0))="Buffer","B",IF(INDEX('PROJETO PERFURAÇÃO'!$P:$P,MATCH(MEDIÇÃO!K1125,'PROJETO PERFURAÇÃO'!$B:$B,0))="Pre-Splitting","S"))),"")</f>
        <v/>
      </c>
      <c r="K1125" s="14">
        <f t="shared" si="109"/>
        <v>2512</v>
      </c>
      <c r="L1125" s="4" t="str">
        <f>IFERROR(INDEX('LEV R&amp;D'!$D:$D,MATCH(MEDIÇÃO!K1125,'LEV R&amp;D'!$A:$A,0))-INDEX('PROJETO PERFURAÇÃO'!$AH:$AH,MATCH(MEDIÇÃO!K1125,'PROJETO PERFURAÇÃO'!$B:$B,0)),"")</f>
        <v/>
      </c>
      <c r="M1125" s="8" t="str">
        <f>IFERROR(INDEX('PROJETO PERFURAÇÃO'!$AN:$AN,MATCH(MEDIÇÃO!K1125,'PROJETO PERFURAÇÃO'!$B:$B,0)),"")</f>
        <v/>
      </c>
      <c r="N1125" s="3"/>
      <c r="O1125" s="3"/>
      <c r="P1125" s="3" t="str">
        <f>IFERROR(ROUND(INDEX('PROJETO PERFURAÇÃO'!$AB:$AB,MATCH(MEDIÇÃO!R1125,'PROJETO PERFURAÇÃO'!$B:$B,0)),1)&amp;"''","")</f>
        <v/>
      </c>
      <c r="Q1125" s="3" t="str">
        <f>IFERROR(IF(INDEX('PROJETO PERFURAÇÃO'!$P:$P,MATCH(MEDIÇÃO!R1125,'PROJETO PERFURAÇÃO'!$B:$B,0))="Production","P",IF(INDEX('PROJETO PERFURAÇÃO'!$P:$P,MATCH(MEDIÇÃO!R1125,'PROJETO PERFURAÇÃO'!$B:$B,0))="Buffer","B",IF(INDEX('PROJETO PERFURAÇÃO'!$P:$P,MATCH(MEDIÇÃO!R1125,'PROJETO PERFURAÇÃO'!$B:$B,0))="Pre-Splitting","S"))),"")</f>
        <v/>
      </c>
      <c r="R1125" s="14">
        <f t="shared" si="110"/>
        <v>2535</v>
      </c>
      <c r="S1125" s="4" t="str">
        <f>IFERROR(INDEX('LEV R&amp;D'!$D:$D,MATCH(MEDIÇÃO!R1125,'LEV R&amp;D'!$A:$A,0))-INDEX('PROJETO PERFURAÇÃO'!$AH:$AH,MATCH(MEDIÇÃO!R1125,'PROJETO PERFURAÇÃO'!$B:$B,0)),"")</f>
        <v/>
      </c>
      <c r="T1125" s="8" t="str">
        <f>IFERROR(INDEX('PROJETO PERFURAÇÃO'!$AN:$AN,MATCH(MEDIÇÃO!R1125,'PROJETO PERFURAÇÃO'!$B:$B,0)),"")</f>
        <v/>
      </c>
      <c r="U1125" s="3"/>
      <c r="V1125" s="3"/>
    </row>
    <row r="1126" spans="2:22" ht="45" customHeight="1">
      <c r="B1126" s="3" t="str">
        <f>IFERROR(ROUND(INDEX('PROJETO PERFURAÇÃO'!$AB:$AB,MATCH(MEDIÇÃO!D1126,'PROJETO PERFURAÇÃO'!$B:$B,0)),1)&amp;"''","")</f>
        <v/>
      </c>
      <c r="C1126" s="3" t="str">
        <f>IFERROR(IF(INDEX('PROJETO PERFURAÇÃO'!$P:$P,MATCH(MEDIÇÃO!D1126,'PROJETO PERFURAÇÃO'!$B:$B,0))="Production","P",IF(INDEX('PROJETO PERFURAÇÃO'!$P:$P,MATCH(MEDIÇÃO!D1126,'PROJETO PERFURAÇÃO'!$B:$B,0))="Buffer","B",IF(INDEX('PROJETO PERFURAÇÃO'!$P:$P,MATCH(MEDIÇÃO!D1126,'PROJETO PERFURAÇÃO'!$B:$B,0))="Pre-Splitting","S"))),"")</f>
        <v/>
      </c>
      <c r="D1126" s="14">
        <f t="shared" si="108"/>
        <v>2490</v>
      </c>
      <c r="E1126" s="4" t="str">
        <f>IFERROR(INDEX('LEV R&amp;D'!$D:$D,MATCH(MEDIÇÃO!D1126,'LEV R&amp;D'!$A:$A,0))-INDEX('PROJETO PERFURAÇÃO'!$AH:$AH,MATCH(MEDIÇÃO!D1126,'PROJETO PERFURAÇÃO'!$B:$B,0)),"")</f>
        <v/>
      </c>
      <c r="F1126" s="8" t="str">
        <f>IFERROR(INDEX('PROJETO PERFURAÇÃO'!$AN:$AN,MATCH(MEDIÇÃO!D1126,'PROJETO PERFURAÇÃO'!$B:$B,0)),"")</f>
        <v/>
      </c>
      <c r="G1126" s="3"/>
      <c r="H1126" s="3"/>
      <c r="I1126" s="3" t="str">
        <f>IFERROR(ROUND(INDEX('PROJETO PERFURAÇÃO'!$AB:$AB,MATCH(MEDIÇÃO!K1126,'PROJETO PERFURAÇÃO'!$B:$B,0)),1)&amp;"''","")</f>
        <v/>
      </c>
      <c r="J1126" s="3" t="str">
        <f>IFERROR(IF(INDEX('PROJETO PERFURAÇÃO'!$P:$P,MATCH(MEDIÇÃO!K1126,'PROJETO PERFURAÇÃO'!$B:$B,0))="Production","P",IF(INDEX('PROJETO PERFURAÇÃO'!$P:$P,MATCH(MEDIÇÃO!K1126,'PROJETO PERFURAÇÃO'!$B:$B,0))="Buffer","B",IF(INDEX('PROJETO PERFURAÇÃO'!$P:$P,MATCH(MEDIÇÃO!K1126,'PROJETO PERFURAÇÃO'!$B:$B,0))="Pre-Splitting","S"))),"")</f>
        <v/>
      </c>
      <c r="K1126" s="14">
        <f t="shared" si="109"/>
        <v>2513</v>
      </c>
      <c r="L1126" s="4" t="str">
        <f>IFERROR(INDEX('LEV R&amp;D'!$D:$D,MATCH(MEDIÇÃO!K1126,'LEV R&amp;D'!$A:$A,0))-INDEX('PROJETO PERFURAÇÃO'!$AH:$AH,MATCH(MEDIÇÃO!K1126,'PROJETO PERFURAÇÃO'!$B:$B,0)),"")</f>
        <v/>
      </c>
      <c r="M1126" s="8" t="str">
        <f>IFERROR(INDEX('PROJETO PERFURAÇÃO'!$AN:$AN,MATCH(MEDIÇÃO!K1126,'PROJETO PERFURAÇÃO'!$B:$B,0)),"")</f>
        <v/>
      </c>
      <c r="N1126" s="3"/>
      <c r="O1126" s="3"/>
      <c r="P1126" s="3" t="str">
        <f>IFERROR(ROUND(INDEX('PROJETO PERFURAÇÃO'!$AB:$AB,MATCH(MEDIÇÃO!R1126,'PROJETO PERFURAÇÃO'!$B:$B,0)),1)&amp;"''","")</f>
        <v/>
      </c>
      <c r="Q1126" s="3" t="str">
        <f>IFERROR(IF(INDEX('PROJETO PERFURAÇÃO'!$P:$P,MATCH(MEDIÇÃO!R1126,'PROJETO PERFURAÇÃO'!$B:$B,0))="Production","P",IF(INDEX('PROJETO PERFURAÇÃO'!$P:$P,MATCH(MEDIÇÃO!R1126,'PROJETO PERFURAÇÃO'!$B:$B,0))="Buffer","B",IF(INDEX('PROJETO PERFURAÇÃO'!$P:$P,MATCH(MEDIÇÃO!R1126,'PROJETO PERFURAÇÃO'!$B:$B,0))="Pre-Splitting","S"))),"")</f>
        <v/>
      </c>
      <c r="R1126" s="14">
        <f t="shared" si="110"/>
        <v>2536</v>
      </c>
      <c r="S1126" s="4" t="str">
        <f>IFERROR(INDEX('LEV R&amp;D'!$D:$D,MATCH(MEDIÇÃO!R1126,'LEV R&amp;D'!$A:$A,0))-INDEX('PROJETO PERFURAÇÃO'!$AH:$AH,MATCH(MEDIÇÃO!R1126,'PROJETO PERFURAÇÃO'!$B:$B,0)),"")</f>
        <v/>
      </c>
      <c r="T1126" s="8" t="str">
        <f>IFERROR(INDEX('PROJETO PERFURAÇÃO'!$AN:$AN,MATCH(MEDIÇÃO!R1126,'PROJETO PERFURAÇÃO'!$B:$B,0)),"")</f>
        <v/>
      </c>
      <c r="U1126" s="3"/>
      <c r="V1126" s="3"/>
    </row>
    <row r="1127" spans="2:22" ht="45" customHeight="1">
      <c r="B1127" s="3" t="str">
        <f>IFERROR(ROUND(INDEX('PROJETO PERFURAÇÃO'!$AB:$AB,MATCH(MEDIÇÃO!D1127,'PROJETO PERFURAÇÃO'!$B:$B,0)),1)&amp;"''","")</f>
        <v/>
      </c>
      <c r="C1127" s="3" t="str">
        <f>IFERROR(IF(INDEX('PROJETO PERFURAÇÃO'!$P:$P,MATCH(MEDIÇÃO!D1127,'PROJETO PERFURAÇÃO'!$B:$B,0))="Production","P",IF(INDEX('PROJETO PERFURAÇÃO'!$P:$P,MATCH(MEDIÇÃO!D1127,'PROJETO PERFURAÇÃO'!$B:$B,0))="Buffer","B",IF(INDEX('PROJETO PERFURAÇÃO'!$P:$P,MATCH(MEDIÇÃO!D1127,'PROJETO PERFURAÇÃO'!$B:$B,0))="Pre-Splitting","S"))),"")</f>
        <v/>
      </c>
      <c r="D1127" s="14">
        <f t="shared" si="108"/>
        <v>2491</v>
      </c>
      <c r="E1127" s="4" t="str">
        <f>IFERROR(INDEX('LEV R&amp;D'!$D:$D,MATCH(MEDIÇÃO!D1127,'LEV R&amp;D'!$A:$A,0))-INDEX('PROJETO PERFURAÇÃO'!$AH:$AH,MATCH(MEDIÇÃO!D1127,'PROJETO PERFURAÇÃO'!$B:$B,0)),"")</f>
        <v/>
      </c>
      <c r="F1127" s="8" t="str">
        <f>IFERROR(INDEX('PROJETO PERFURAÇÃO'!$AN:$AN,MATCH(MEDIÇÃO!D1127,'PROJETO PERFURAÇÃO'!$B:$B,0)),"")</f>
        <v/>
      </c>
      <c r="G1127" s="3"/>
      <c r="H1127" s="3"/>
      <c r="I1127" s="3" t="str">
        <f>IFERROR(ROUND(INDEX('PROJETO PERFURAÇÃO'!$AB:$AB,MATCH(MEDIÇÃO!K1127,'PROJETO PERFURAÇÃO'!$B:$B,0)),1)&amp;"''","")</f>
        <v/>
      </c>
      <c r="J1127" s="3" t="str">
        <f>IFERROR(IF(INDEX('PROJETO PERFURAÇÃO'!$P:$P,MATCH(MEDIÇÃO!K1127,'PROJETO PERFURAÇÃO'!$B:$B,0))="Production","P",IF(INDEX('PROJETO PERFURAÇÃO'!$P:$P,MATCH(MEDIÇÃO!K1127,'PROJETO PERFURAÇÃO'!$B:$B,0))="Buffer","B",IF(INDEX('PROJETO PERFURAÇÃO'!$P:$P,MATCH(MEDIÇÃO!K1127,'PROJETO PERFURAÇÃO'!$B:$B,0))="Pre-Splitting","S"))),"")</f>
        <v/>
      </c>
      <c r="K1127" s="14">
        <f t="shared" si="109"/>
        <v>2514</v>
      </c>
      <c r="L1127" s="4" t="str">
        <f>IFERROR(INDEX('LEV R&amp;D'!$D:$D,MATCH(MEDIÇÃO!K1127,'LEV R&amp;D'!$A:$A,0))-INDEX('PROJETO PERFURAÇÃO'!$AH:$AH,MATCH(MEDIÇÃO!K1127,'PROJETO PERFURAÇÃO'!$B:$B,0)),"")</f>
        <v/>
      </c>
      <c r="M1127" s="8" t="str">
        <f>IFERROR(INDEX('PROJETO PERFURAÇÃO'!$AN:$AN,MATCH(MEDIÇÃO!K1127,'PROJETO PERFURAÇÃO'!$B:$B,0)),"")</f>
        <v/>
      </c>
      <c r="N1127" s="3"/>
      <c r="O1127" s="3"/>
      <c r="P1127" s="3" t="str">
        <f>IFERROR(ROUND(INDEX('PROJETO PERFURAÇÃO'!$AB:$AB,MATCH(MEDIÇÃO!R1127,'PROJETO PERFURAÇÃO'!$B:$B,0)),1)&amp;"''","")</f>
        <v/>
      </c>
      <c r="Q1127" s="3" t="str">
        <f>IFERROR(IF(INDEX('PROJETO PERFURAÇÃO'!$P:$P,MATCH(MEDIÇÃO!R1127,'PROJETO PERFURAÇÃO'!$B:$B,0))="Production","P",IF(INDEX('PROJETO PERFURAÇÃO'!$P:$P,MATCH(MEDIÇÃO!R1127,'PROJETO PERFURAÇÃO'!$B:$B,0))="Buffer","B",IF(INDEX('PROJETO PERFURAÇÃO'!$P:$P,MATCH(MEDIÇÃO!R1127,'PROJETO PERFURAÇÃO'!$B:$B,0))="Pre-Splitting","S"))),"")</f>
        <v/>
      </c>
      <c r="R1127" s="14">
        <f t="shared" si="110"/>
        <v>2537</v>
      </c>
      <c r="S1127" s="4" t="str">
        <f>IFERROR(INDEX('LEV R&amp;D'!$D:$D,MATCH(MEDIÇÃO!R1127,'LEV R&amp;D'!$A:$A,0))-INDEX('PROJETO PERFURAÇÃO'!$AH:$AH,MATCH(MEDIÇÃO!R1127,'PROJETO PERFURAÇÃO'!$B:$B,0)),"")</f>
        <v/>
      </c>
      <c r="T1127" s="8" t="str">
        <f>IFERROR(INDEX('PROJETO PERFURAÇÃO'!$AN:$AN,MATCH(MEDIÇÃO!R1127,'PROJETO PERFURAÇÃO'!$B:$B,0)),"")</f>
        <v/>
      </c>
      <c r="U1127" s="3"/>
      <c r="V1127" s="3"/>
    </row>
    <row r="1128" spans="2:22" ht="45" customHeight="1">
      <c r="B1128" s="3" t="str">
        <f>IFERROR(ROUND(INDEX('PROJETO PERFURAÇÃO'!$AB:$AB,MATCH(MEDIÇÃO!D1128,'PROJETO PERFURAÇÃO'!$B:$B,0)),1)&amp;"''","")</f>
        <v/>
      </c>
      <c r="C1128" s="3" t="str">
        <f>IFERROR(IF(INDEX('PROJETO PERFURAÇÃO'!$P:$P,MATCH(MEDIÇÃO!D1128,'PROJETO PERFURAÇÃO'!$B:$B,0))="Production","P",IF(INDEX('PROJETO PERFURAÇÃO'!$P:$P,MATCH(MEDIÇÃO!D1128,'PROJETO PERFURAÇÃO'!$B:$B,0))="Buffer","B",IF(INDEX('PROJETO PERFURAÇÃO'!$P:$P,MATCH(MEDIÇÃO!D1128,'PROJETO PERFURAÇÃO'!$B:$B,0))="Pre-Splitting","S"))),"")</f>
        <v/>
      </c>
      <c r="D1128" s="14">
        <f t="shared" si="108"/>
        <v>2492</v>
      </c>
      <c r="E1128" s="4" t="str">
        <f>IFERROR(INDEX('LEV R&amp;D'!$D:$D,MATCH(MEDIÇÃO!D1128,'LEV R&amp;D'!$A:$A,0))-INDEX('PROJETO PERFURAÇÃO'!$AH:$AH,MATCH(MEDIÇÃO!D1128,'PROJETO PERFURAÇÃO'!$B:$B,0)),"")</f>
        <v/>
      </c>
      <c r="F1128" s="8" t="str">
        <f>IFERROR(INDEX('PROJETO PERFURAÇÃO'!$AN:$AN,MATCH(MEDIÇÃO!D1128,'PROJETO PERFURAÇÃO'!$B:$B,0)),"")</f>
        <v/>
      </c>
      <c r="G1128" s="3"/>
      <c r="H1128" s="3"/>
      <c r="I1128" s="3" t="str">
        <f>IFERROR(ROUND(INDEX('PROJETO PERFURAÇÃO'!$AB:$AB,MATCH(MEDIÇÃO!K1128,'PROJETO PERFURAÇÃO'!$B:$B,0)),1)&amp;"''","")</f>
        <v/>
      </c>
      <c r="J1128" s="3" t="str">
        <f>IFERROR(IF(INDEX('PROJETO PERFURAÇÃO'!$P:$P,MATCH(MEDIÇÃO!K1128,'PROJETO PERFURAÇÃO'!$B:$B,0))="Production","P",IF(INDEX('PROJETO PERFURAÇÃO'!$P:$P,MATCH(MEDIÇÃO!K1128,'PROJETO PERFURAÇÃO'!$B:$B,0))="Buffer","B",IF(INDEX('PROJETO PERFURAÇÃO'!$P:$P,MATCH(MEDIÇÃO!K1128,'PROJETO PERFURAÇÃO'!$B:$B,0))="Pre-Splitting","S"))),"")</f>
        <v/>
      </c>
      <c r="K1128" s="14">
        <f t="shared" si="109"/>
        <v>2515</v>
      </c>
      <c r="L1128" s="4" t="str">
        <f>IFERROR(INDEX('LEV R&amp;D'!$D:$D,MATCH(MEDIÇÃO!K1128,'LEV R&amp;D'!$A:$A,0))-INDEX('PROJETO PERFURAÇÃO'!$AH:$AH,MATCH(MEDIÇÃO!K1128,'PROJETO PERFURAÇÃO'!$B:$B,0)),"")</f>
        <v/>
      </c>
      <c r="M1128" s="8" t="str">
        <f>IFERROR(INDEX('PROJETO PERFURAÇÃO'!$AN:$AN,MATCH(MEDIÇÃO!K1128,'PROJETO PERFURAÇÃO'!$B:$B,0)),"")</f>
        <v/>
      </c>
      <c r="N1128" s="3"/>
      <c r="O1128" s="3"/>
      <c r="P1128" s="3" t="str">
        <f>IFERROR(ROUND(INDEX('PROJETO PERFURAÇÃO'!$AB:$AB,MATCH(MEDIÇÃO!R1128,'PROJETO PERFURAÇÃO'!$B:$B,0)),1)&amp;"''","")</f>
        <v/>
      </c>
      <c r="Q1128" s="3" t="str">
        <f>IFERROR(IF(INDEX('PROJETO PERFURAÇÃO'!$P:$P,MATCH(MEDIÇÃO!R1128,'PROJETO PERFURAÇÃO'!$B:$B,0))="Production","P",IF(INDEX('PROJETO PERFURAÇÃO'!$P:$P,MATCH(MEDIÇÃO!R1128,'PROJETO PERFURAÇÃO'!$B:$B,0))="Buffer","B",IF(INDEX('PROJETO PERFURAÇÃO'!$P:$P,MATCH(MEDIÇÃO!R1128,'PROJETO PERFURAÇÃO'!$B:$B,0))="Pre-Splitting","S"))),"")</f>
        <v/>
      </c>
      <c r="R1128" s="14">
        <f t="shared" si="110"/>
        <v>2538</v>
      </c>
      <c r="S1128" s="4" t="str">
        <f>IFERROR(INDEX('LEV R&amp;D'!$D:$D,MATCH(MEDIÇÃO!R1128,'LEV R&amp;D'!$A:$A,0))-INDEX('PROJETO PERFURAÇÃO'!$AH:$AH,MATCH(MEDIÇÃO!R1128,'PROJETO PERFURAÇÃO'!$B:$B,0)),"")</f>
        <v/>
      </c>
      <c r="T1128" s="8" t="str">
        <f>IFERROR(INDEX('PROJETO PERFURAÇÃO'!$AN:$AN,MATCH(MEDIÇÃO!R1128,'PROJETO PERFURAÇÃO'!$B:$B,0)),"")</f>
        <v/>
      </c>
      <c r="U1128" s="3"/>
      <c r="V1128" s="3"/>
    </row>
    <row r="1129" spans="2:22" ht="45" customHeight="1">
      <c r="B1129" s="3" t="str">
        <f>IFERROR(ROUND(INDEX('PROJETO PERFURAÇÃO'!$AB:$AB,MATCH(MEDIÇÃO!D1129,'PROJETO PERFURAÇÃO'!$B:$B,0)),1)&amp;"''","")</f>
        <v/>
      </c>
      <c r="C1129" s="3" t="str">
        <f>IFERROR(IF(INDEX('PROJETO PERFURAÇÃO'!$P:$P,MATCH(MEDIÇÃO!D1129,'PROJETO PERFURAÇÃO'!$B:$B,0))="Production","P",IF(INDEX('PROJETO PERFURAÇÃO'!$P:$P,MATCH(MEDIÇÃO!D1129,'PROJETO PERFURAÇÃO'!$B:$B,0))="Buffer","B",IF(INDEX('PROJETO PERFURAÇÃO'!$P:$P,MATCH(MEDIÇÃO!D1129,'PROJETO PERFURAÇÃO'!$B:$B,0))="Pre-Splitting","S"))),"")</f>
        <v/>
      </c>
      <c r="D1129" s="14">
        <f t="shared" si="108"/>
        <v>2493</v>
      </c>
      <c r="E1129" s="4" t="str">
        <f>IFERROR(INDEX('LEV R&amp;D'!$D:$D,MATCH(MEDIÇÃO!D1129,'LEV R&amp;D'!$A:$A,0))-INDEX('PROJETO PERFURAÇÃO'!$AH:$AH,MATCH(MEDIÇÃO!D1129,'PROJETO PERFURAÇÃO'!$B:$B,0)),"")</f>
        <v/>
      </c>
      <c r="F1129" s="8" t="str">
        <f>IFERROR(INDEX('PROJETO PERFURAÇÃO'!$AN:$AN,MATCH(MEDIÇÃO!D1129,'PROJETO PERFURAÇÃO'!$B:$B,0)),"")</f>
        <v/>
      </c>
      <c r="G1129" s="3"/>
      <c r="H1129" s="3"/>
      <c r="I1129" s="3" t="str">
        <f>IFERROR(ROUND(INDEX('PROJETO PERFURAÇÃO'!$AB:$AB,MATCH(MEDIÇÃO!K1129,'PROJETO PERFURAÇÃO'!$B:$B,0)),1)&amp;"''","")</f>
        <v/>
      </c>
      <c r="J1129" s="3" t="str">
        <f>IFERROR(IF(INDEX('PROJETO PERFURAÇÃO'!$P:$P,MATCH(MEDIÇÃO!K1129,'PROJETO PERFURAÇÃO'!$B:$B,0))="Production","P",IF(INDEX('PROJETO PERFURAÇÃO'!$P:$P,MATCH(MEDIÇÃO!K1129,'PROJETO PERFURAÇÃO'!$B:$B,0))="Buffer","B",IF(INDEX('PROJETO PERFURAÇÃO'!$P:$P,MATCH(MEDIÇÃO!K1129,'PROJETO PERFURAÇÃO'!$B:$B,0))="Pre-Splitting","S"))),"")</f>
        <v/>
      </c>
      <c r="K1129" s="14">
        <f t="shared" si="109"/>
        <v>2516</v>
      </c>
      <c r="L1129" s="4" t="str">
        <f>IFERROR(INDEX('LEV R&amp;D'!$D:$D,MATCH(MEDIÇÃO!K1129,'LEV R&amp;D'!$A:$A,0))-INDEX('PROJETO PERFURAÇÃO'!$AH:$AH,MATCH(MEDIÇÃO!K1129,'PROJETO PERFURAÇÃO'!$B:$B,0)),"")</f>
        <v/>
      </c>
      <c r="M1129" s="8" t="str">
        <f>IFERROR(INDEX('PROJETO PERFURAÇÃO'!$AN:$AN,MATCH(MEDIÇÃO!K1129,'PROJETO PERFURAÇÃO'!$B:$B,0)),"")</f>
        <v/>
      </c>
      <c r="N1129" s="3"/>
      <c r="O1129" s="3"/>
      <c r="P1129" s="3" t="str">
        <f>IFERROR(ROUND(INDEX('PROJETO PERFURAÇÃO'!$AB:$AB,MATCH(MEDIÇÃO!R1129,'PROJETO PERFURAÇÃO'!$B:$B,0)),1)&amp;"''","")</f>
        <v/>
      </c>
      <c r="Q1129" s="3" t="str">
        <f>IFERROR(IF(INDEX('PROJETO PERFURAÇÃO'!$P:$P,MATCH(MEDIÇÃO!R1129,'PROJETO PERFURAÇÃO'!$B:$B,0))="Production","P",IF(INDEX('PROJETO PERFURAÇÃO'!$P:$P,MATCH(MEDIÇÃO!R1129,'PROJETO PERFURAÇÃO'!$B:$B,0))="Buffer","B",IF(INDEX('PROJETO PERFURAÇÃO'!$P:$P,MATCH(MEDIÇÃO!R1129,'PROJETO PERFURAÇÃO'!$B:$B,0))="Pre-Splitting","S"))),"")</f>
        <v/>
      </c>
      <c r="R1129" s="14">
        <f t="shared" si="110"/>
        <v>2539</v>
      </c>
      <c r="S1129" s="4" t="str">
        <f>IFERROR(INDEX('LEV R&amp;D'!$D:$D,MATCH(MEDIÇÃO!R1129,'LEV R&amp;D'!$A:$A,0))-INDEX('PROJETO PERFURAÇÃO'!$AH:$AH,MATCH(MEDIÇÃO!R1129,'PROJETO PERFURAÇÃO'!$B:$B,0)),"")</f>
        <v/>
      </c>
      <c r="T1129" s="8" t="str">
        <f>IFERROR(INDEX('PROJETO PERFURAÇÃO'!$AN:$AN,MATCH(MEDIÇÃO!R1129,'PROJETO PERFURAÇÃO'!$B:$B,0)),"")</f>
        <v/>
      </c>
      <c r="U1129" s="3"/>
      <c r="V1129" s="3"/>
    </row>
    <row r="1130" spans="2:22" ht="45" customHeight="1">
      <c r="B1130" s="3" t="str">
        <f>IFERROR(ROUND(INDEX('PROJETO PERFURAÇÃO'!$AB:$AB,MATCH(MEDIÇÃO!D1130,'PROJETO PERFURAÇÃO'!$B:$B,0)),1)&amp;"''","")</f>
        <v/>
      </c>
      <c r="C1130" s="3" t="str">
        <f>IFERROR(IF(INDEX('PROJETO PERFURAÇÃO'!$P:$P,MATCH(MEDIÇÃO!D1130,'PROJETO PERFURAÇÃO'!$B:$B,0))="Production","P",IF(INDEX('PROJETO PERFURAÇÃO'!$P:$P,MATCH(MEDIÇÃO!D1130,'PROJETO PERFURAÇÃO'!$B:$B,0))="Buffer","B",IF(INDEX('PROJETO PERFURAÇÃO'!$P:$P,MATCH(MEDIÇÃO!D1130,'PROJETO PERFURAÇÃO'!$B:$B,0))="Pre-Splitting","S"))),"")</f>
        <v/>
      </c>
      <c r="D1130" s="14">
        <f t="shared" si="108"/>
        <v>2494</v>
      </c>
      <c r="E1130" s="4" t="str">
        <f>IFERROR(INDEX('LEV R&amp;D'!$D:$D,MATCH(MEDIÇÃO!D1130,'LEV R&amp;D'!$A:$A,0))-INDEX('PROJETO PERFURAÇÃO'!$AH:$AH,MATCH(MEDIÇÃO!D1130,'PROJETO PERFURAÇÃO'!$B:$B,0)),"")</f>
        <v/>
      </c>
      <c r="F1130" s="8" t="str">
        <f>IFERROR(INDEX('PROJETO PERFURAÇÃO'!$AN:$AN,MATCH(MEDIÇÃO!D1130,'PROJETO PERFURAÇÃO'!$B:$B,0)),"")</f>
        <v/>
      </c>
      <c r="G1130" s="3"/>
      <c r="H1130" s="3"/>
      <c r="I1130" s="3" t="str">
        <f>IFERROR(ROUND(INDEX('PROJETO PERFURAÇÃO'!$AB:$AB,MATCH(MEDIÇÃO!K1130,'PROJETO PERFURAÇÃO'!$B:$B,0)),1)&amp;"''","")</f>
        <v/>
      </c>
      <c r="J1130" s="3" t="str">
        <f>IFERROR(IF(INDEX('PROJETO PERFURAÇÃO'!$P:$P,MATCH(MEDIÇÃO!K1130,'PROJETO PERFURAÇÃO'!$B:$B,0))="Production","P",IF(INDEX('PROJETO PERFURAÇÃO'!$P:$P,MATCH(MEDIÇÃO!K1130,'PROJETO PERFURAÇÃO'!$B:$B,0))="Buffer","B",IF(INDEX('PROJETO PERFURAÇÃO'!$P:$P,MATCH(MEDIÇÃO!K1130,'PROJETO PERFURAÇÃO'!$B:$B,0))="Pre-Splitting","S"))),"")</f>
        <v/>
      </c>
      <c r="K1130" s="14">
        <f t="shared" si="109"/>
        <v>2517</v>
      </c>
      <c r="L1130" s="4" t="str">
        <f>IFERROR(INDEX('LEV R&amp;D'!$D:$D,MATCH(MEDIÇÃO!K1130,'LEV R&amp;D'!$A:$A,0))-INDEX('PROJETO PERFURAÇÃO'!$AH:$AH,MATCH(MEDIÇÃO!K1130,'PROJETO PERFURAÇÃO'!$B:$B,0)),"")</f>
        <v/>
      </c>
      <c r="M1130" s="8" t="str">
        <f>IFERROR(INDEX('PROJETO PERFURAÇÃO'!$AN:$AN,MATCH(MEDIÇÃO!K1130,'PROJETO PERFURAÇÃO'!$B:$B,0)),"")</f>
        <v/>
      </c>
      <c r="N1130" s="3"/>
      <c r="O1130" s="3"/>
      <c r="P1130" s="3" t="str">
        <f>IFERROR(ROUND(INDEX('PROJETO PERFURAÇÃO'!$AB:$AB,MATCH(MEDIÇÃO!R1130,'PROJETO PERFURAÇÃO'!$B:$B,0)),1)&amp;"''","")</f>
        <v/>
      </c>
      <c r="Q1130" s="3" t="str">
        <f>IFERROR(IF(INDEX('PROJETO PERFURAÇÃO'!$P:$P,MATCH(MEDIÇÃO!R1130,'PROJETO PERFURAÇÃO'!$B:$B,0))="Production","P",IF(INDEX('PROJETO PERFURAÇÃO'!$P:$P,MATCH(MEDIÇÃO!R1130,'PROJETO PERFURAÇÃO'!$B:$B,0))="Buffer","B",IF(INDEX('PROJETO PERFURAÇÃO'!$P:$P,MATCH(MEDIÇÃO!R1130,'PROJETO PERFURAÇÃO'!$B:$B,0))="Pre-Splitting","S"))),"")</f>
        <v/>
      </c>
      <c r="R1130" s="14">
        <f t="shared" si="110"/>
        <v>2540</v>
      </c>
      <c r="S1130" s="4" t="str">
        <f>IFERROR(INDEX('LEV R&amp;D'!$D:$D,MATCH(MEDIÇÃO!R1130,'LEV R&amp;D'!$A:$A,0))-INDEX('PROJETO PERFURAÇÃO'!$AH:$AH,MATCH(MEDIÇÃO!R1130,'PROJETO PERFURAÇÃO'!$B:$B,0)),"")</f>
        <v/>
      </c>
      <c r="T1130" s="8" t="str">
        <f>IFERROR(INDEX('PROJETO PERFURAÇÃO'!$AN:$AN,MATCH(MEDIÇÃO!R1130,'PROJETO PERFURAÇÃO'!$B:$B,0)),"")</f>
        <v/>
      </c>
      <c r="U1130" s="3"/>
      <c r="V1130" s="3"/>
    </row>
    <row r="1131" spans="2:22" ht="45" customHeight="1">
      <c r="B1131" s="3" t="str">
        <f>IFERROR(ROUND(INDEX('PROJETO PERFURAÇÃO'!$AB:$AB,MATCH(MEDIÇÃO!D1131,'PROJETO PERFURAÇÃO'!$B:$B,0)),1)&amp;"''","")</f>
        <v/>
      </c>
      <c r="C1131" s="3" t="str">
        <f>IFERROR(IF(INDEX('PROJETO PERFURAÇÃO'!$P:$P,MATCH(MEDIÇÃO!D1131,'PROJETO PERFURAÇÃO'!$B:$B,0))="Production","P",IF(INDEX('PROJETO PERFURAÇÃO'!$P:$P,MATCH(MEDIÇÃO!D1131,'PROJETO PERFURAÇÃO'!$B:$B,0))="Buffer","B",IF(INDEX('PROJETO PERFURAÇÃO'!$P:$P,MATCH(MEDIÇÃO!D1131,'PROJETO PERFURAÇÃO'!$B:$B,0))="Pre-Splitting","S"))),"")</f>
        <v/>
      </c>
      <c r="D1131" s="14">
        <f t="shared" si="108"/>
        <v>2495</v>
      </c>
      <c r="E1131" s="4" t="str">
        <f>IFERROR(INDEX('LEV R&amp;D'!$D:$D,MATCH(MEDIÇÃO!D1131,'LEV R&amp;D'!$A:$A,0))-INDEX('PROJETO PERFURAÇÃO'!$AH:$AH,MATCH(MEDIÇÃO!D1131,'PROJETO PERFURAÇÃO'!$B:$B,0)),"")</f>
        <v/>
      </c>
      <c r="F1131" s="8" t="str">
        <f>IFERROR(INDEX('PROJETO PERFURAÇÃO'!$AN:$AN,MATCH(MEDIÇÃO!D1131,'PROJETO PERFURAÇÃO'!$B:$B,0)),"")</f>
        <v/>
      </c>
      <c r="G1131" s="3"/>
      <c r="H1131" s="3"/>
      <c r="I1131" s="3" t="str">
        <f>IFERROR(ROUND(INDEX('PROJETO PERFURAÇÃO'!$AB:$AB,MATCH(MEDIÇÃO!K1131,'PROJETO PERFURAÇÃO'!$B:$B,0)),1)&amp;"''","")</f>
        <v/>
      </c>
      <c r="J1131" s="3" t="str">
        <f>IFERROR(IF(INDEX('PROJETO PERFURAÇÃO'!$P:$P,MATCH(MEDIÇÃO!K1131,'PROJETO PERFURAÇÃO'!$B:$B,0))="Production","P",IF(INDEX('PROJETO PERFURAÇÃO'!$P:$P,MATCH(MEDIÇÃO!K1131,'PROJETO PERFURAÇÃO'!$B:$B,0))="Buffer","B",IF(INDEX('PROJETO PERFURAÇÃO'!$P:$P,MATCH(MEDIÇÃO!K1131,'PROJETO PERFURAÇÃO'!$B:$B,0))="Pre-Splitting","S"))),"")</f>
        <v/>
      </c>
      <c r="K1131" s="14">
        <f t="shared" si="109"/>
        <v>2518</v>
      </c>
      <c r="L1131" s="4" t="str">
        <f>IFERROR(INDEX('LEV R&amp;D'!$D:$D,MATCH(MEDIÇÃO!K1131,'LEV R&amp;D'!$A:$A,0))-INDEX('PROJETO PERFURAÇÃO'!$AH:$AH,MATCH(MEDIÇÃO!K1131,'PROJETO PERFURAÇÃO'!$B:$B,0)),"")</f>
        <v/>
      </c>
      <c r="M1131" s="8" t="str">
        <f>IFERROR(INDEX('PROJETO PERFURAÇÃO'!$AN:$AN,MATCH(MEDIÇÃO!K1131,'PROJETO PERFURAÇÃO'!$B:$B,0)),"")</f>
        <v/>
      </c>
      <c r="N1131" s="3"/>
      <c r="O1131" s="3"/>
      <c r="P1131" s="3" t="str">
        <f>IFERROR(ROUND(INDEX('PROJETO PERFURAÇÃO'!$AB:$AB,MATCH(MEDIÇÃO!R1131,'PROJETO PERFURAÇÃO'!$B:$B,0)),1)&amp;"''","")</f>
        <v/>
      </c>
      <c r="Q1131" s="3" t="str">
        <f>IFERROR(IF(INDEX('PROJETO PERFURAÇÃO'!$P:$P,MATCH(MEDIÇÃO!R1131,'PROJETO PERFURAÇÃO'!$B:$B,0))="Production","P",IF(INDEX('PROJETO PERFURAÇÃO'!$P:$P,MATCH(MEDIÇÃO!R1131,'PROJETO PERFURAÇÃO'!$B:$B,0))="Buffer","B",IF(INDEX('PROJETO PERFURAÇÃO'!$P:$P,MATCH(MEDIÇÃO!R1131,'PROJETO PERFURAÇÃO'!$B:$B,0))="Pre-Splitting","S"))),"")</f>
        <v/>
      </c>
      <c r="R1131" s="14">
        <f t="shared" si="110"/>
        <v>2541</v>
      </c>
      <c r="S1131" s="4" t="str">
        <f>IFERROR(INDEX('LEV R&amp;D'!$D:$D,MATCH(MEDIÇÃO!R1131,'LEV R&amp;D'!$A:$A,0))-INDEX('PROJETO PERFURAÇÃO'!$AH:$AH,MATCH(MEDIÇÃO!R1131,'PROJETO PERFURAÇÃO'!$B:$B,0)),"")</f>
        <v/>
      </c>
      <c r="T1131" s="8" t="str">
        <f>IFERROR(INDEX('PROJETO PERFURAÇÃO'!$AN:$AN,MATCH(MEDIÇÃO!R1131,'PROJETO PERFURAÇÃO'!$B:$B,0)),"")</f>
        <v/>
      </c>
      <c r="U1131" s="3"/>
      <c r="V1131" s="3"/>
    </row>
    <row r="1132" spans="2:22" ht="45" customHeight="1">
      <c r="B1132" s="3" t="str">
        <f>IFERROR(ROUND(INDEX('PROJETO PERFURAÇÃO'!$AB:$AB,MATCH(MEDIÇÃO!D1132,'PROJETO PERFURAÇÃO'!$B:$B,0)),1)&amp;"''","")</f>
        <v/>
      </c>
      <c r="C1132" s="3" t="str">
        <f>IFERROR(IF(INDEX('PROJETO PERFURAÇÃO'!$P:$P,MATCH(MEDIÇÃO!D1132,'PROJETO PERFURAÇÃO'!$B:$B,0))="Production","P",IF(INDEX('PROJETO PERFURAÇÃO'!$P:$P,MATCH(MEDIÇÃO!D1132,'PROJETO PERFURAÇÃO'!$B:$B,0))="Buffer","B",IF(INDEX('PROJETO PERFURAÇÃO'!$P:$P,MATCH(MEDIÇÃO!D1132,'PROJETO PERFURAÇÃO'!$B:$B,0))="Pre-Splitting","S"))),"")</f>
        <v/>
      </c>
      <c r="D1132" s="14">
        <f t="shared" si="108"/>
        <v>2496</v>
      </c>
      <c r="E1132" s="4" t="str">
        <f>IFERROR(INDEX('LEV R&amp;D'!$D:$D,MATCH(MEDIÇÃO!D1132,'LEV R&amp;D'!$A:$A,0))-INDEX('PROJETO PERFURAÇÃO'!$AH:$AH,MATCH(MEDIÇÃO!D1132,'PROJETO PERFURAÇÃO'!$B:$B,0)),"")</f>
        <v/>
      </c>
      <c r="F1132" s="8" t="str">
        <f>IFERROR(INDEX('PROJETO PERFURAÇÃO'!$AN:$AN,MATCH(MEDIÇÃO!D1132,'PROJETO PERFURAÇÃO'!$B:$B,0)),"")</f>
        <v/>
      </c>
      <c r="G1132" s="3"/>
      <c r="H1132" s="3"/>
      <c r="I1132" s="3" t="str">
        <f>IFERROR(ROUND(INDEX('PROJETO PERFURAÇÃO'!$AB:$AB,MATCH(MEDIÇÃO!K1132,'PROJETO PERFURAÇÃO'!$B:$B,0)),1)&amp;"''","")</f>
        <v/>
      </c>
      <c r="J1132" s="3" t="str">
        <f>IFERROR(IF(INDEX('PROJETO PERFURAÇÃO'!$P:$P,MATCH(MEDIÇÃO!K1132,'PROJETO PERFURAÇÃO'!$B:$B,0))="Production","P",IF(INDEX('PROJETO PERFURAÇÃO'!$P:$P,MATCH(MEDIÇÃO!K1132,'PROJETO PERFURAÇÃO'!$B:$B,0))="Buffer","B",IF(INDEX('PROJETO PERFURAÇÃO'!$P:$P,MATCH(MEDIÇÃO!K1132,'PROJETO PERFURAÇÃO'!$B:$B,0))="Pre-Splitting","S"))),"")</f>
        <v/>
      </c>
      <c r="K1132" s="14">
        <f t="shared" si="109"/>
        <v>2519</v>
      </c>
      <c r="L1132" s="4" t="str">
        <f>IFERROR(INDEX('LEV R&amp;D'!$D:$D,MATCH(MEDIÇÃO!K1132,'LEV R&amp;D'!$A:$A,0))-INDEX('PROJETO PERFURAÇÃO'!$AH:$AH,MATCH(MEDIÇÃO!K1132,'PROJETO PERFURAÇÃO'!$B:$B,0)),"")</f>
        <v/>
      </c>
      <c r="M1132" s="8" t="str">
        <f>IFERROR(INDEX('PROJETO PERFURAÇÃO'!$AN:$AN,MATCH(MEDIÇÃO!K1132,'PROJETO PERFURAÇÃO'!$B:$B,0)),"")</f>
        <v/>
      </c>
      <c r="N1132" s="3"/>
      <c r="O1132" s="3"/>
      <c r="P1132" s="3" t="str">
        <f>IFERROR(ROUND(INDEX('PROJETO PERFURAÇÃO'!$AB:$AB,MATCH(MEDIÇÃO!R1132,'PROJETO PERFURAÇÃO'!$B:$B,0)),1)&amp;"''","")</f>
        <v/>
      </c>
      <c r="Q1132" s="3" t="str">
        <f>IFERROR(IF(INDEX('PROJETO PERFURAÇÃO'!$P:$P,MATCH(MEDIÇÃO!R1132,'PROJETO PERFURAÇÃO'!$B:$B,0))="Production","P",IF(INDEX('PROJETO PERFURAÇÃO'!$P:$P,MATCH(MEDIÇÃO!R1132,'PROJETO PERFURAÇÃO'!$B:$B,0))="Buffer","B",IF(INDEX('PROJETO PERFURAÇÃO'!$P:$P,MATCH(MEDIÇÃO!R1132,'PROJETO PERFURAÇÃO'!$B:$B,0))="Pre-Splitting","S"))),"")</f>
        <v/>
      </c>
      <c r="R1132" s="14">
        <f t="shared" si="110"/>
        <v>2542</v>
      </c>
      <c r="S1132" s="4" t="str">
        <f>IFERROR(INDEX('LEV R&amp;D'!$D:$D,MATCH(MEDIÇÃO!R1132,'LEV R&amp;D'!$A:$A,0))-INDEX('PROJETO PERFURAÇÃO'!$AH:$AH,MATCH(MEDIÇÃO!R1132,'PROJETO PERFURAÇÃO'!$B:$B,0)),"")</f>
        <v/>
      </c>
      <c r="T1132" s="8" t="str">
        <f>IFERROR(INDEX('PROJETO PERFURAÇÃO'!$AN:$AN,MATCH(MEDIÇÃO!R1132,'PROJETO PERFURAÇÃO'!$B:$B,0)),"")</f>
        <v/>
      </c>
      <c r="U1132" s="3"/>
      <c r="V1132" s="3"/>
    </row>
    <row r="1133" spans="2:22" ht="45" customHeight="1">
      <c r="B1133" s="3" t="str">
        <f>IFERROR(ROUND(INDEX('PROJETO PERFURAÇÃO'!$AB:$AB,MATCH(MEDIÇÃO!D1133,'PROJETO PERFURAÇÃO'!$B:$B,0)),1)&amp;"''","")</f>
        <v/>
      </c>
      <c r="C1133" s="3" t="str">
        <f>IFERROR(IF(INDEX('PROJETO PERFURAÇÃO'!$P:$P,MATCH(MEDIÇÃO!D1133,'PROJETO PERFURAÇÃO'!$B:$B,0))="Production","P",IF(INDEX('PROJETO PERFURAÇÃO'!$P:$P,MATCH(MEDIÇÃO!D1133,'PROJETO PERFURAÇÃO'!$B:$B,0))="Buffer","B",IF(INDEX('PROJETO PERFURAÇÃO'!$P:$P,MATCH(MEDIÇÃO!D1133,'PROJETO PERFURAÇÃO'!$B:$B,0))="Pre-Splitting","S"))),"")</f>
        <v/>
      </c>
      <c r="D1133" s="14">
        <f t="shared" si="108"/>
        <v>2497</v>
      </c>
      <c r="E1133" s="4" t="str">
        <f>IFERROR(INDEX('LEV R&amp;D'!$D:$D,MATCH(MEDIÇÃO!D1133,'LEV R&amp;D'!$A:$A,0))-INDEX('PROJETO PERFURAÇÃO'!$AH:$AH,MATCH(MEDIÇÃO!D1133,'PROJETO PERFURAÇÃO'!$B:$B,0)),"")</f>
        <v/>
      </c>
      <c r="F1133" s="8" t="str">
        <f>IFERROR(INDEX('PROJETO PERFURAÇÃO'!$AN:$AN,MATCH(MEDIÇÃO!D1133,'PROJETO PERFURAÇÃO'!$B:$B,0)),"")</f>
        <v/>
      </c>
      <c r="G1133" s="3"/>
      <c r="H1133" s="3"/>
      <c r="I1133" s="3" t="str">
        <f>IFERROR(ROUND(INDEX('PROJETO PERFURAÇÃO'!$AB:$AB,MATCH(MEDIÇÃO!K1133,'PROJETO PERFURAÇÃO'!$B:$B,0)),1)&amp;"''","")</f>
        <v/>
      </c>
      <c r="J1133" s="3" t="str">
        <f>IFERROR(IF(INDEX('PROJETO PERFURAÇÃO'!$P:$P,MATCH(MEDIÇÃO!K1133,'PROJETO PERFURAÇÃO'!$B:$B,0))="Production","P",IF(INDEX('PROJETO PERFURAÇÃO'!$P:$P,MATCH(MEDIÇÃO!K1133,'PROJETO PERFURAÇÃO'!$B:$B,0))="Buffer","B",IF(INDEX('PROJETO PERFURAÇÃO'!$P:$P,MATCH(MEDIÇÃO!K1133,'PROJETO PERFURAÇÃO'!$B:$B,0))="Pre-Splitting","S"))),"")</f>
        <v/>
      </c>
      <c r="K1133" s="14">
        <f t="shared" si="109"/>
        <v>2520</v>
      </c>
      <c r="L1133" s="4" t="str">
        <f>IFERROR(INDEX('LEV R&amp;D'!$D:$D,MATCH(MEDIÇÃO!K1133,'LEV R&amp;D'!$A:$A,0))-INDEX('PROJETO PERFURAÇÃO'!$AH:$AH,MATCH(MEDIÇÃO!K1133,'PROJETO PERFURAÇÃO'!$B:$B,0)),"")</f>
        <v/>
      </c>
      <c r="M1133" s="8" t="str">
        <f>IFERROR(INDEX('PROJETO PERFURAÇÃO'!$AN:$AN,MATCH(MEDIÇÃO!K1133,'PROJETO PERFURAÇÃO'!$B:$B,0)),"")</f>
        <v/>
      </c>
      <c r="N1133" s="3"/>
      <c r="O1133" s="3"/>
      <c r="P1133" s="3" t="str">
        <f>IFERROR(ROUND(INDEX('PROJETO PERFURAÇÃO'!$AB:$AB,MATCH(MEDIÇÃO!R1133,'PROJETO PERFURAÇÃO'!$B:$B,0)),1)&amp;"''","")</f>
        <v/>
      </c>
      <c r="Q1133" s="3" t="str">
        <f>IFERROR(IF(INDEX('PROJETO PERFURAÇÃO'!$P:$P,MATCH(MEDIÇÃO!R1133,'PROJETO PERFURAÇÃO'!$B:$B,0))="Production","P",IF(INDEX('PROJETO PERFURAÇÃO'!$P:$P,MATCH(MEDIÇÃO!R1133,'PROJETO PERFURAÇÃO'!$B:$B,0))="Buffer","B",IF(INDEX('PROJETO PERFURAÇÃO'!$P:$P,MATCH(MEDIÇÃO!R1133,'PROJETO PERFURAÇÃO'!$B:$B,0))="Pre-Splitting","S"))),"")</f>
        <v/>
      </c>
      <c r="R1133" s="14">
        <f t="shared" si="110"/>
        <v>2543</v>
      </c>
      <c r="S1133" s="4" t="str">
        <f>IFERROR(INDEX('LEV R&amp;D'!$D:$D,MATCH(MEDIÇÃO!R1133,'LEV R&amp;D'!$A:$A,0))-INDEX('PROJETO PERFURAÇÃO'!$AH:$AH,MATCH(MEDIÇÃO!R1133,'PROJETO PERFURAÇÃO'!$B:$B,0)),"")</f>
        <v/>
      </c>
      <c r="T1133" s="8" t="str">
        <f>IFERROR(INDEX('PROJETO PERFURAÇÃO'!$AN:$AN,MATCH(MEDIÇÃO!R1133,'PROJETO PERFURAÇÃO'!$B:$B,0)),"")</f>
        <v/>
      </c>
      <c r="U1133" s="3"/>
      <c r="V1133" s="3"/>
    </row>
    <row r="1134" spans="2:22" ht="45" customHeight="1">
      <c r="B1134" s="3" t="str">
        <f>IFERROR(ROUND(INDEX('PROJETO PERFURAÇÃO'!$AB:$AB,MATCH(MEDIÇÃO!D1134,'PROJETO PERFURAÇÃO'!$B:$B,0)),1)&amp;"''","")</f>
        <v/>
      </c>
      <c r="C1134" s="3" t="str">
        <f>IFERROR(IF(INDEX('PROJETO PERFURAÇÃO'!$P:$P,MATCH(MEDIÇÃO!D1134,'PROJETO PERFURAÇÃO'!$B:$B,0))="Production","P",IF(INDEX('PROJETO PERFURAÇÃO'!$P:$P,MATCH(MEDIÇÃO!D1134,'PROJETO PERFURAÇÃO'!$B:$B,0))="Buffer","B",IF(INDEX('PROJETO PERFURAÇÃO'!$P:$P,MATCH(MEDIÇÃO!D1134,'PROJETO PERFURAÇÃO'!$B:$B,0))="Pre-Splitting","S"))),"")</f>
        <v/>
      </c>
      <c r="D1134" s="14">
        <f t="shared" si="108"/>
        <v>2498</v>
      </c>
      <c r="E1134" s="4" t="str">
        <f>IFERROR(INDEX('LEV R&amp;D'!$D:$D,MATCH(MEDIÇÃO!D1134,'LEV R&amp;D'!$A:$A,0))-INDEX('PROJETO PERFURAÇÃO'!$AH:$AH,MATCH(MEDIÇÃO!D1134,'PROJETO PERFURAÇÃO'!$B:$B,0)),"")</f>
        <v/>
      </c>
      <c r="F1134" s="8" t="str">
        <f>IFERROR(INDEX('PROJETO PERFURAÇÃO'!$AN:$AN,MATCH(MEDIÇÃO!D1134,'PROJETO PERFURAÇÃO'!$B:$B,0)),"")</f>
        <v/>
      </c>
      <c r="G1134" s="3"/>
      <c r="H1134" s="3"/>
      <c r="I1134" s="3" t="str">
        <f>IFERROR(ROUND(INDEX('PROJETO PERFURAÇÃO'!$AB:$AB,MATCH(MEDIÇÃO!K1134,'PROJETO PERFURAÇÃO'!$B:$B,0)),1)&amp;"''","")</f>
        <v/>
      </c>
      <c r="J1134" s="3" t="str">
        <f>IFERROR(IF(INDEX('PROJETO PERFURAÇÃO'!$P:$P,MATCH(MEDIÇÃO!K1134,'PROJETO PERFURAÇÃO'!$B:$B,0))="Production","P",IF(INDEX('PROJETO PERFURAÇÃO'!$P:$P,MATCH(MEDIÇÃO!K1134,'PROJETO PERFURAÇÃO'!$B:$B,0))="Buffer","B",IF(INDEX('PROJETO PERFURAÇÃO'!$P:$P,MATCH(MEDIÇÃO!K1134,'PROJETO PERFURAÇÃO'!$B:$B,0))="Pre-Splitting","S"))),"")</f>
        <v/>
      </c>
      <c r="K1134" s="14">
        <f t="shared" si="109"/>
        <v>2521</v>
      </c>
      <c r="L1134" s="4" t="str">
        <f>IFERROR(INDEX('LEV R&amp;D'!$D:$D,MATCH(MEDIÇÃO!K1134,'LEV R&amp;D'!$A:$A,0))-INDEX('PROJETO PERFURAÇÃO'!$AH:$AH,MATCH(MEDIÇÃO!K1134,'PROJETO PERFURAÇÃO'!$B:$B,0)),"")</f>
        <v/>
      </c>
      <c r="M1134" s="8" t="str">
        <f>IFERROR(INDEX('PROJETO PERFURAÇÃO'!$AN:$AN,MATCH(MEDIÇÃO!K1134,'PROJETO PERFURAÇÃO'!$B:$B,0)),"")</f>
        <v/>
      </c>
      <c r="N1134" s="3"/>
      <c r="O1134" s="3"/>
      <c r="P1134" s="3" t="str">
        <f>IFERROR(ROUND(INDEX('PROJETO PERFURAÇÃO'!$AB:$AB,MATCH(MEDIÇÃO!R1134,'PROJETO PERFURAÇÃO'!$B:$B,0)),1)&amp;"''","")</f>
        <v/>
      </c>
      <c r="Q1134" s="3" t="str">
        <f>IFERROR(IF(INDEX('PROJETO PERFURAÇÃO'!$P:$P,MATCH(MEDIÇÃO!R1134,'PROJETO PERFURAÇÃO'!$B:$B,0))="Production","P",IF(INDEX('PROJETO PERFURAÇÃO'!$P:$P,MATCH(MEDIÇÃO!R1134,'PROJETO PERFURAÇÃO'!$B:$B,0))="Buffer","B",IF(INDEX('PROJETO PERFURAÇÃO'!$P:$P,MATCH(MEDIÇÃO!R1134,'PROJETO PERFURAÇÃO'!$B:$B,0))="Pre-Splitting","S"))),"")</f>
        <v/>
      </c>
      <c r="R1134" s="14">
        <f t="shared" si="110"/>
        <v>2544</v>
      </c>
      <c r="S1134" s="4" t="str">
        <f>IFERROR(INDEX('LEV R&amp;D'!$D:$D,MATCH(MEDIÇÃO!R1134,'LEV R&amp;D'!$A:$A,0))-INDEX('PROJETO PERFURAÇÃO'!$AH:$AH,MATCH(MEDIÇÃO!R1134,'PROJETO PERFURAÇÃO'!$B:$B,0)),"")</f>
        <v/>
      </c>
      <c r="T1134" s="8" t="str">
        <f>IFERROR(INDEX('PROJETO PERFURAÇÃO'!$AN:$AN,MATCH(MEDIÇÃO!R1134,'PROJETO PERFURAÇÃO'!$B:$B,0)),"")</f>
        <v/>
      </c>
      <c r="U1134" s="3"/>
      <c r="V1134" s="3"/>
    </row>
    <row r="1135" spans="2:22" ht="45" customHeight="1">
      <c r="B1135" s="3" t="str">
        <f>IFERROR(ROUND(INDEX('PROJETO PERFURAÇÃO'!$AB:$AB,MATCH(MEDIÇÃO!D1135,'PROJETO PERFURAÇÃO'!$B:$B,0)),1)&amp;"''","")</f>
        <v/>
      </c>
      <c r="C1135" s="3" t="str">
        <f>IFERROR(IF(INDEX('PROJETO PERFURAÇÃO'!$P:$P,MATCH(MEDIÇÃO!D1135,'PROJETO PERFURAÇÃO'!$B:$B,0))="Production","P",IF(INDEX('PROJETO PERFURAÇÃO'!$P:$P,MATCH(MEDIÇÃO!D1135,'PROJETO PERFURAÇÃO'!$B:$B,0))="Buffer","B",IF(INDEX('PROJETO PERFURAÇÃO'!$P:$P,MATCH(MEDIÇÃO!D1135,'PROJETO PERFURAÇÃO'!$B:$B,0))="Pre-Splitting","S"))),"")</f>
        <v/>
      </c>
      <c r="D1135" s="14">
        <f t="shared" si="108"/>
        <v>2499</v>
      </c>
      <c r="E1135" s="4" t="str">
        <f>IFERROR(INDEX('LEV R&amp;D'!$D:$D,MATCH(MEDIÇÃO!D1135,'LEV R&amp;D'!$A:$A,0))-INDEX('PROJETO PERFURAÇÃO'!$AH:$AH,MATCH(MEDIÇÃO!D1135,'PROJETO PERFURAÇÃO'!$B:$B,0)),"")</f>
        <v/>
      </c>
      <c r="F1135" s="8" t="str">
        <f>IFERROR(INDEX('PROJETO PERFURAÇÃO'!$AN:$AN,MATCH(MEDIÇÃO!D1135,'PROJETO PERFURAÇÃO'!$B:$B,0)),"")</f>
        <v/>
      </c>
      <c r="G1135" s="3"/>
      <c r="H1135" s="3"/>
      <c r="I1135" s="3" t="str">
        <f>IFERROR(ROUND(INDEX('PROJETO PERFURAÇÃO'!$AB:$AB,MATCH(MEDIÇÃO!K1135,'PROJETO PERFURAÇÃO'!$B:$B,0)),1)&amp;"''","")</f>
        <v/>
      </c>
      <c r="J1135" s="3" t="str">
        <f>IFERROR(IF(INDEX('PROJETO PERFURAÇÃO'!$P:$P,MATCH(MEDIÇÃO!K1135,'PROJETO PERFURAÇÃO'!$B:$B,0))="Production","P",IF(INDEX('PROJETO PERFURAÇÃO'!$P:$P,MATCH(MEDIÇÃO!K1135,'PROJETO PERFURAÇÃO'!$B:$B,0))="Buffer","B",IF(INDEX('PROJETO PERFURAÇÃO'!$P:$P,MATCH(MEDIÇÃO!K1135,'PROJETO PERFURAÇÃO'!$B:$B,0))="Pre-Splitting","S"))),"")</f>
        <v/>
      </c>
      <c r="K1135" s="14">
        <f t="shared" si="109"/>
        <v>2522</v>
      </c>
      <c r="L1135" s="4" t="str">
        <f>IFERROR(INDEX('LEV R&amp;D'!$D:$D,MATCH(MEDIÇÃO!K1135,'LEV R&amp;D'!$A:$A,0))-INDEX('PROJETO PERFURAÇÃO'!$AH:$AH,MATCH(MEDIÇÃO!K1135,'PROJETO PERFURAÇÃO'!$B:$B,0)),"")</f>
        <v/>
      </c>
      <c r="M1135" s="8" t="str">
        <f>IFERROR(INDEX('PROJETO PERFURAÇÃO'!$AN:$AN,MATCH(MEDIÇÃO!K1135,'PROJETO PERFURAÇÃO'!$B:$B,0)),"")</f>
        <v/>
      </c>
      <c r="N1135" s="3"/>
      <c r="O1135" s="3"/>
      <c r="P1135" s="3" t="str">
        <f>IFERROR(ROUND(INDEX('PROJETO PERFURAÇÃO'!$AB:$AB,MATCH(MEDIÇÃO!R1135,'PROJETO PERFURAÇÃO'!$B:$B,0)),1)&amp;"''","")</f>
        <v/>
      </c>
      <c r="Q1135" s="3" t="str">
        <f>IFERROR(IF(INDEX('PROJETO PERFURAÇÃO'!$P:$P,MATCH(MEDIÇÃO!R1135,'PROJETO PERFURAÇÃO'!$B:$B,0))="Production","P",IF(INDEX('PROJETO PERFURAÇÃO'!$P:$P,MATCH(MEDIÇÃO!R1135,'PROJETO PERFURAÇÃO'!$B:$B,0))="Buffer","B",IF(INDEX('PROJETO PERFURAÇÃO'!$P:$P,MATCH(MEDIÇÃO!R1135,'PROJETO PERFURAÇÃO'!$B:$B,0))="Pre-Splitting","S"))),"")</f>
        <v/>
      </c>
      <c r="R1135" s="14">
        <f t="shared" si="110"/>
        <v>2545</v>
      </c>
      <c r="S1135" s="4" t="str">
        <f>IFERROR(INDEX('LEV R&amp;D'!$D:$D,MATCH(MEDIÇÃO!R1135,'LEV R&amp;D'!$A:$A,0))-INDEX('PROJETO PERFURAÇÃO'!$AH:$AH,MATCH(MEDIÇÃO!R1135,'PROJETO PERFURAÇÃO'!$B:$B,0)),"")</f>
        <v/>
      </c>
      <c r="T1135" s="8" t="str">
        <f>IFERROR(INDEX('PROJETO PERFURAÇÃO'!$AN:$AN,MATCH(MEDIÇÃO!R1135,'PROJETO PERFURAÇÃO'!$B:$B,0)),"")</f>
        <v/>
      </c>
      <c r="U1135" s="3"/>
      <c r="V1135" s="3"/>
    </row>
    <row r="1136" spans="2:22" ht="45" customHeight="1">
      <c r="B1136" s="3" t="str">
        <f>IFERROR(ROUND(INDEX('PROJETO PERFURAÇÃO'!$AB:$AB,MATCH(MEDIÇÃO!D1136,'PROJETO PERFURAÇÃO'!$B:$B,0)),1)&amp;"''","")</f>
        <v/>
      </c>
      <c r="C1136" s="3" t="str">
        <f>IFERROR(IF(INDEX('PROJETO PERFURAÇÃO'!$P:$P,MATCH(MEDIÇÃO!D1136,'PROJETO PERFURAÇÃO'!$B:$B,0))="Production","P",IF(INDEX('PROJETO PERFURAÇÃO'!$P:$P,MATCH(MEDIÇÃO!D1136,'PROJETO PERFURAÇÃO'!$B:$B,0))="Buffer","B",IF(INDEX('PROJETO PERFURAÇÃO'!$P:$P,MATCH(MEDIÇÃO!D1136,'PROJETO PERFURAÇÃO'!$B:$B,0))="Pre-Splitting","S"))),"")</f>
        <v/>
      </c>
      <c r="D1136" s="14">
        <f t="shared" si="108"/>
        <v>2500</v>
      </c>
      <c r="E1136" s="4" t="str">
        <f>IFERROR(INDEX('LEV R&amp;D'!$D:$D,MATCH(MEDIÇÃO!D1136,'LEV R&amp;D'!$A:$A,0))-INDEX('PROJETO PERFURAÇÃO'!$AH:$AH,MATCH(MEDIÇÃO!D1136,'PROJETO PERFURAÇÃO'!$B:$B,0)),"")</f>
        <v/>
      </c>
      <c r="F1136" s="8" t="str">
        <f>IFERROR(INDEX('PROJETO PERFURAÇÃO'!$AN:$AN,MATCH(MEDIÇÃO!D1136,'PROJETO PERFURAÇÃO'!$B:$B,0)),"")</f>
        <v/>
      </c>
      <c r="G1136" s="3"/>
      <c r="H1136" s="3"/>
      <c r="I1136" s="3" t="str">
        <f>IFERROR(ROUND(INDEX('PROJETO PERFURAÇÃO'!$AB:$AB,MATCH(MEDIÇÃO!K1136,'PROJETO PERFURAÇÃO'!$B:$B,0)),1)&amp;"''","")</f>
        <v/>
      </c>
      <c r="J1136" s="3" t="str">
        <f>IFERROR(IF(INDEX('PROJETO PERFURAÇÃO'!$P:$P,MATCH(MEDIÇÃO!K1136,'PROJETO PERFURAÇÃO'!$B:$B,0))="Production","P",IF(INDEX('PROJETO PERFURAÇÃO'!$P:$P,MATCH(MEDIÇÃO!K1136,'PROJETO PERFURAÇÃO'!$B:$B,0))="Buffer","B",IF(INDEX('PROJETO PERFURAÇÃO'!$P:$P,MATCH(MEDIÇÃO!K1136,'PROJETO PERFURAÇÃO'!$B:$B,0))="Pre-Splitting","S"))),"")</f>
        <v/>
      </c>
      <c r="K1136" s="14">
        <f t="shared" si="109"/>
        <v>2523</v>
      </c>
      <c r="L1136" s="4" t="str">
        <f>IFERROR(INDEX('LEV R&amp;D'!$D:$D,MATCH(MEDIÇÃO!K1136,'LEV R&amp;D'!$A:$A,0))-INDEX('PROJETO PERFURAÇÃO'!$AH:$AH,MATCH(MEDIÇÃO!K1136,'PROJETO PERFURAÇÃO'!$B:$B,0)),"")</f>
        <v/>
      </c>
      <c r="M1136" s="8" t="str">
        <f>IFERROR(INDEX('PROJETO PERFURAÇÃO'!$AN:$AN,MATCH(MEDIÇÃO!K1136,'PROJETO PERFURAÇÃO'!$B:$B,0)),"")</f>
        <v/>
      </c>
      <c r="N1136" s="3"/>
      <c r="O1136" s="3"/>
      <c r="P1136" s="3" t="str">
        <f>IFERROR(ROUND(INDEX('PROJETO PERFURAÇÃO'!$AB:$AB,MATCH(MEDIÇÃO!R1136,'PROJETO PERFURAÇÃO'!$B:$B,0)),1)&amp;"''","")</f>
        <v/>
      </c>
      <c r="Q1136" s="3" t="str">
        <f>IFERROR(IF(INDEX('PROJETO PERFURAÇÃO'!$P:$P,MATCH(MEDIÇÃO!R1136,'PROJETO PERFURAÇÃO'!$B:$B,0))="Production","P",IF(INDEX('PROJETO PERFURAÇÃO'!$P:$P,MATCH(MEDIÇÃO!R1136,'PROJETO PERFURAÇÃO'!$B:$B,0))="Buffer","B",IF(INDEX('PROJETO PERFURAÇÃO'!$P:$P,MATCH(MEDIÇÃO!R1136,'PROJETO PERFURAÇÃO'!$B:$B,0))="Pre-Splitting","S"))),"")</f>
        <v/>
      </c>
      <c r="R1136" s="14">
        <f t="shared" si="110"/>
        <v>2546</v>
      </c>
      <c r="S1136" s="4" t="str">
        <f>IFERROR(INDEX('LEV R&amp;D'!$D:$D,MATCH(MEDIÇÃO!R1136,'LEV R&amp;D'!$A:$A,0))-INDEX('PROJETO PERFURAÇÃO'!$AH:$AH,MATCH(MEDIÇÃO!R1136,'PROJETO PERFURAÇÃO'!$B:$B,0)),"")</f>
        <v/>
      </c>
      <c r="T1136" s="8" t="str">
        <f>IFERROR(INDEX('PROJETO PERFURAÇÃO'!$AN:$AN,MATCH(MEDIÇÃO!R1136,'PROJETO PERFURAÇÃO'!$B:$B,0)),"")</f>
        <v/>
      </c>
      <c r="U1136" s="3"/>
      <c r="V1136" s="3"/>
    </row>
    <row r="1137" spans="1:23" ht="45" customHeight="1">
      <c r="B1137" s="3" t="str">
        <f>IFERROR(ROUND(INDEX('PROJETO PERFURAÇÃO'!$AB:$AB,MATCH(MEDIÇÃO!D1137,'PROJETO PERFURAÇÃO'!$B:$B,0)),1)&amp;"''","")</f>
        <v/>
      </c>
      <c r="C1137" s="3" t="str">
        <f>IFERROR(IF(INDEX('PROJETO PERFURAÇÃO'!$P:$P,MATCH(MEDIÇÃO!D1137,'PROJETO PERFURAÇÃO'!$B:$B,0))="Production","P",IF(INDEX('PROJETO PERFURAÇÃO'!$P:$P,MATCH(MEDIÇÃO!D1137,'PROJETO PERFURAÇÃO'!$B:$B,0))="Buffer","B",IF(INDEX('PROJETO PERFURAÇÃO'!$P:$P,MATCH(MEDIÇÃO!D1137,'PROJETO PERFURAÇÃO'!$B:$B,0))="Pre-Splitting","S"))),"")</f>
        <v/>
      </c>
      <c r="D1137" s="14">
        <f t="shared" si="108"/>
        <v>2501</v>
      </c>
      <c r="E1137" s="4" t="str">
        <f>IFERROR(INDEX('LEV R&amp;D'!$D:$D,MATCH(MEDIÇÃO!D1137,'LEV R&amp;D'!$A:$A,0))-INDEX('PROJETO PERFURAÇÃO'!$AH:$AH,MATCH(MEDIÇÃO!D1137,'PROJETO PERFURAÇÃO'!$B:$B,0)),"")</f>
        <v/>
      </c>
      <c r="F1137" s="8" t="str">
        <f>IFERROR(INDEX('PROJETO PERFURAÇÃO'!$AN:$AN,MATCH(MEDIÇÃO!D1137,'PROJETO PERFURAÇÃO'!$B:$B,0)),"")</f>
        <v/>
      </c>
      <c r="G1137" s="3"/>
      <c r="H1137" s="3"/>
      <c r="I1137" s="3" t="str">
        <f>IFERROR(ROUND(INDEX('PROJETO PERFURAÇÃO'!$AB:$AB,MATCH(MEDIÇÃO!K1137,'PROJETO PERFURAÇÃO'!$B:$B,0)),1)&amp;"''","")</f>
        <v/>
      </c>
      <c r="J1137" s="3" t="str">
        <f>IFERROR(IF(INDEX('PROJETO PERFURAÇÃO'!$P:$P,MATCH(MEDIÇÃO!K1137,'PROJETO PERFURAÇÃO'!$B:$B,0))="Production","P",IF(INDEX('PROJETO PERFURAÇÃO'!$P:$P,MATCH(MEDIÇÃO!K1137,'PROJETO PERFURAÇÃO'!$B:$B,0))="Buffer","B",IF(INDEX('PROJETO PERFURAÇÃO'!$P:$P,MATCH(MEDIÇÃO!K1137,'PROJETO PERFURAÇÃO'!$B:$B,0))="Pre-Splitting","S"))),"")</f>
        <v/>
      </c>
      <c r="K1137" s="14">
        <f t="shared" si="109"/>
        <v>2524</v>
      </c>
      <c r="L1137" s="4" t="str">
        <f>IFERROR(INDEX('LEV R&amp;D'!$D:$D,MATCH(MEDIÇÃO!K1137,'LEV R&amp;D'!$A:$A,0))-INDEX('PROJETO PERFURAÇÃO'!$AH:$AH,MATCH(MEDIÇÃO!K1137,'PROJETO PERFURAÇÃO'!$B:$B,0)),"")</f>
        <v/>
      </c>
      <c r="M1137" s="8" t="str">
        <f>IFERROR(INDEX('PROJETO PERFURAÇÃO'!$AN:$AN,MATCH(MEDIÇÃO!K1137,'PROJETO PERFURAÇÃO'!$B:$B,0)),"")</f>
        <v/>
      </c>
      <c r="N1137" s="3"/>
      <c r="O1137" s="3"/>
      <c r="P1137" s="3" t="str">
        <f>IFERROR(ROUND(INDEX('PROJETO PERFURAÇÃO'!$AB:$AB,MATCH(MEDIÇÃO!R1137,'PROJETO PERFURAÇÃO'!$B:$B,0)),1)&amp;"''","")</f>
        <v/>
      </c>
      <c r="Q1137" s="3" t="str">
        <f>IFERROR(IF(INDEX('PROJETO PERFURAÇÃO'!$P:$P,MATCH(MEDIÇÃO!R1137,'PROJETO PERFURAÇÃO'!$B:$B,0))="Production","P",IF(INDEX('PROJETO PERFURAÇÃO'!$P:$P,MATCH(MEDIÇÃO!R1137,'PROJETO PERFURAÇÃO'!$B:$B,0))="Buffer","B",IF(INDEX('PROJETO PERFURAÇÃO'!$P:$P,MATCH(MEDIÇÃO!R1137,'PROJETO PERFURAÇÃO'!$B:$B,0))="Pre-Splitting","S"))),"")</f>
        <v/>
      </c>
      <c r="R1137" s="14">
        <f t="shared" si="110"/>
        <v>2547</v>
      </c>
      <c r="S1137" s="4" t="str">
        <f>IFERROR(INDEX('LEV R&amp;D'!$D:$D,MATCH(MEDIÇÃO!R1137,'LEV R&amp;D'!$A:$A,0))-INDEX('PROJETO PERFURAÇÃO'!$AH:$AH,MATCH(MEDIÇÃO!R1137,'PROJETO PERFURAÇÃO'!$B:$B,0)),"")</f>
        <v/>
      </c>
      <c r="T1137" s="8" t="str">
        <f>IFERROR(INDEX('PROJETO PERFURAÇÃO'!$AN:$AN,MATCH(MEDIÇÃO!R1137,'PROJETO PERFURAÇÃO'!$B:$B,0)),"")</f>
        <v/>
      </c>
      <c r="U1137" s="3"/>
      <c r="V1137" s="3"/>
    </row>
    <row r="1138" spans="1:23" ht="45" customHeight="1">
      <c r="B1138" s="3" t="str">
        <f>IFERROR(ROUND(INDEX('PROJETO PERFURAÇÃO'!$AB:$AB,MATCH(MEDIÇÃO!D1138,'PROJETO PERFURAÇÃO'!$B:$B,0)),1)&amp;"''","")</f>
        <v/>
      </c>
      <c r="C1138" s="3" t="str">
        <f>IFERROR(IF(INDEX('PROJETO PERFURAÇÃO'!$P:$P,MATCH(MEDIÇÃO!D1138,'PROJETO PERFURAÇÃO'!$B:$B,0))="Production","P",IF(INDEX('PROJETO PERFURAÇÃO'!$P:$P,MATCH(MEDIÇÃO!D1138,'PROJETO PERFURAÇÃO'!$B:$B,0))="Buffer","B",IF(INDEX('PROJETO PERFURAÇÃO'!$P:$P,MATCH(MEDIÇÃO!D1138,'PROJETO PERFURAÇÃO'!$B:$B,0))="Pre-Splitting","S"))),"")</f>
        <v/>
      </c>
      <c r="D1138" s="14">
        <f t="shared" si="108"/>
        <v>2502</v>
      </c>
      <c r="E1138" s="4" t="str">
        <f>IFERROR(INDEX('LEV R&amp;D'!$D:$D,MATCH(MEDIÇÃO!D1138,'LEV R&amp;D'!$A:$A,0))-INDEX('PROJETO PERFURAÇÃO'!$AH:$AH,MATCH(MEDIÇÃO!D1138,'PROJETO PERFURAÇÃO'!$B:$B,0)),"")</f>
        <v/>
      </c>
      <c r="F1138" s="8" t="str">
        <f>IFERROR(INDEX('PROJETO PERFURAÇÃO'!$AN:$AN,MATCH(MEDIÇÃO!D1138,'PROJETO PERFURAÇÃO'!$B:$B,0)),"")</f>
        <v/>
      </c>
      <c r="G1138" s="3"/>
      <c r="H1138" s="3"/>
      <c r="I1138" s="3" t="str">
        <f>IFERROR(ROUND(INDEX('PROJETO PERFURAÇÃO'!$AB:$AB,MATCH(MEDIÇÃO!K1138,'PROJETO PERFURAÇÃO'!$B:$B,0)),1)&amp;"''","")</f>
        <v/>
      </c>
      <c r="J1138" s="3" t="str">
        <f>IFERROR(IF(INDEX('PROJETO PERFURAÇÃO'!$P:$P,MATCH(MEDIÇÃO!K1138,'PROJETO PERFURAÇÃO'!$B:$B,0))="Production","P",IF(INDEX('PROJETO PERFURAÇÃO'!$P:$P,MATCH(MEDIÇÃO!K1138,'PROJETO PERFURAÇÃO'!$B:$B,0))="Buffer","B",IF(INDEX('PROJETO PERFURAÇÃO'!$P:$P,MATCH(MEDIÇÃO!K1138,'PROJETO PERFURAÇÃO'!$B:$B,0))="Pre-Splitting","S"))),"")</f>
        <v/>
      </c>
      <c r="K1138" s="14">
        <f t="shared" si="109"/>
        <v>2525</v>
      </c>
      <c r="L1138" s="4" t="str">
        <f>IFERROR(INDEX('LEV R&amp;D'!$D:$D,MATCH(MEDIÇÃO!K1138,'LEV R&amp;D'!$A:$A,0))-INDEX('PROJETO PERFURAÇÃO'!$AH:$AH,MATCH(MEDIÇÃO!K1138,'PROJETO PERFURAÇÃO'!$B:$B,0)),"")</f>
        <v/>
      </c>
      <c r="M1138" s="8" t="str">
        <f>IFERROR(INDEX('PROJETO PERFURAÇÃO'!$AN:$AN,MATCH(MEDIÇÃO!K1138,'PROJETO PERFURAÇÃO'!$B:$B,0)),"")</f>
        <v/>
      </c>
      <c r="N1138" s="3"/>
      <c r="O1138" s="3"/>
      <c r="P1138" s="3" t="str">
        <f>IFERROR(ROUND(INDEX('PROJETO PERFURAÇÃO'!$AB:$AB,MATCH(MEDIÇÃO!R1138,'PROJETO PERFURAÇÃO'!$B:$B,0)),1)&amp;"''","")</f>
        <v/>
      </c>
      <c r="Q1138" s="3" t="str">
        <f>IFERROR(IF(INDEX('PROJETO PERFURAÇÃO'!$P:$P,MATCH(MEDIÇÃO!R1138,'PROJETO PERFURAÇÃO'!$B:$B,0))="Production","P",IF(INDEX('PROJETO PERFURAÇÃO'!$P:$P,MATCH(MEDIÇÃO!R1138,'PROJETO PERFURAÇÃO'!$B:$B,0))="Buffer","B",IF(INDEX('PROJETO PERFURAÇÃO'!$P:$P,MATCH(MEDIÇÃO!R1138,'PROJETO PERFURAÇÃO'!$B:$B,0))="Pre-Splitting","S"))),"")</f>
        <v/>
      </c>
      <c r="R1138" s="14">
        <f t="shared" si="110"/>
        <v>2548</v>
      </c>
      <c r="S1138" s="4" t="str">
        <f>IFERROR(INDEX('LEV R&amp;D'!$D:$D,MATCH(MEDIÇÃO!R1138,'LEV R&amp;D'!$A:$A,0))-INDEX('PROJETO PERFURAÇÃO'!$AH:$AH,MATCH(MEDIÇÃO!R1138,'PROJETO PERFURAÇÃO'!$B:$B,0)),"")</f>
        <v/>
      </c>
      <c r="T1138" s="8" t="str">
        <f>IFERROR(INDEX('PROJETO PERFURAÇÃO'!$AN:$AN,MATCH(MEDIÇÃO!R1138,'PROJETO PERFURAÇÃO'!$B:$B,0)),"")</f>
        <v/>
      </c>
      <c r="U1138" s="3"/>
      <c r="V1138" s="3"/>
    </row>
    <row r="1139" spans="1:23" ht="45" customHeight="1">
      <c r="B1139" s="3" t="str">
        <f>IFERROR(ROUND(INDEX('PROJETO PERFURAÇÃO'!$AB:$AB,MATCH(MEDIÇÃO!D1139,'PROJETO PERFURAÇÃO'!$B:$B,0)),1)&amp;"''","")</f>
        <v/>
      </c>
      <c r="C1139" s="3" t="str">
        <f>IFERROR(IF(INDEX('PROJETO PERFURAÇÃO'!$P:$P,MATCH(MEDIÇÃO!D1139,'PROJETO PERFURAÇÃO'!$B:$B,0))="Production","P",IF(INDEX('PROJETO PERFURAÇÃO'!$P:$P,MATCH(MEDIÇÃO!D1139,'PROJETO PERFURAÇÃO'!$B:$B,0))="Buffer","B",IF(INDEX('PROJETO PERFURAÇÃO'!$P:$P,MATCH(MEDIÇÃO!D1139,'PROJETO PERFURAÇÃO'!$B:$B,0))="Pre-Splitting","S"))),"")</f>
        <v/>
      </c>
      <c r="D1139" s="14">
        <f t="shared" si="108"/>
        <v>2503</v>
      </c>
      <c r="E1139" s="4" t="str">
        <f>IFERROR(INDEX('LEV R&amp;D'!$D:$D,MATCH(MEDIÇÃO!D1139,'LEV R&amp;D'!$A:$A,0))-INDEX('PROJETO PERFURAÇÃO'!$AH:$AH,MATCH(MEDIÇÃO!D1139,'PROJETO PERFURAÇÃO'!$B:$B,0)),"")</f>
        <v/>
      </c>
      <c r="F1139" s="8" t="str">
        <f>IFERROR(INDEX('PROJETO PERFURAÇÃO'!$AN:$AN,MATCH(MEDIÇÃO!D1139,'PROJETO PERFURAÇÃO'!$B:$B,0)),"")</f>
        <v/>
      </c>
      <c r="G1139" s="3"/>
      <c r="H1139" s="3"/>
      <c r="I1139" s="3" t="str">
        <f>IFERROR(ROUND(INDEX('PROJETO PERFURAÇÃO'!$AB:$AB,MATCH(MEDIÇÃO!K1139,'PROJETO PERFURAÇÃO'!$B:$B,0)),1)&amp;"''","")</f>
        <v/>
      </c>
      <c r="J1139" s="3" t="str">
        <f>IFERROR(IF(INDEX('PROJETO PERFURAÇÃO'!$P:$P,MATCH(MEDIÇÃO!K1139,'PROJETO PERFURAÇÃO'!$B:$B,0))="Production","P",IF(INDEX('PROJETO PERFURAÇÃO'!$P:$P,MATCH(MEDIÇÃO!K1139,'PROJETO PERFURAÇÃO'!$B:$B,0))="Buffer","B",IF(INDEX('PROJETO PERFURAÇÃO'!$P:$P,MATCH(MEDIÇÃO!K1139,'PROJETO PERFURAÇÃO'!$B:$B,0))="Pre-Splitting","S"))),"")</f>
        <v/>
      </c>
      <c r="K1139" s="14">
        <f t="shared" si="109"/>
        <v>2526</v>
      </c>
      <c r="L1139" s="4" t="str">
        <f>IFERROR(INDEX('LEV R&amp;D'!$D:$D,MATCH(MEDIÇÃO!K1139,'LEV R&amp;D'!$A:$A,0))-INDEX('PROJETO PERFURAÇÃO'!$AH:$AH,MATCH(MEDIÇÃO!K1139,'PROJETO PERFURAÇÃO'!$B:$B,0)),"")</f>
        <v/>
      </c>
      <c r="M1139" s="8" t="str">
        <f>IFERROR(INDEX('PROJETO PERFURAÇÃO'!$AN:$AN,MATCH(MEDIÇÃO!K1139,'PROJETO PERFURAÇÃO'!$B:$B,0)),"")</f>
        <v/>
      </c>
      <c r="N1139" s="3"/>
      <c r="O1139" s="3"/>
      <c r="P1139" s="3" t="str">
        <f>IFERROR(ROUND(INDEX('PROJETO PERFURAÇÃO'!$AB:$AB,MATCH(MEDIÇÃO!R1139,'PROJETO PERFURAÇÃO'!$B:$B,0)),1)&amp;"''","")</f>
        <v/>
      </c>
      <c r="Q1139" s="3" t="str">
        <f>IFERROR(IF(INDEX('PROJETO PERFURAÇÃO'!$P:$P,MATCH(MEDIÇÃO!R1139,'PROJETO PERFURAÇÃO'!$B:$B,0))="Production","P",IF(INDEX('PROJETO PERFURAÇÃO'!$P:$P,MATCH(MEDIÇÃO!R1139,'PROJETO PERFURAÇÃO'!$B:$B,0))="Buffer","B",IF(INDEX('PROJETO PERFURAÇÃO'!$P:$P,MATCH(MEDIÇÃO!R1139,'PROJETO PERFURAÇÃO'!$B:$B,0))="Pre-Splitting","S"))),"")</f>
        <v/>
      </c>
      <c r="R1139" s="14">
        <f t="shared" si="110"/>
        <v>2549</v>
      </c>
      <c r="S1139" s="4" t="str">
        <f>IFERROR(INDEX('LEV R&amp;D'!$D:$D,MATCH(MEDIÇÃO!R1139,'LEV R&amp;D'!$A:$A,0))-INDEX('PROJETO PERFURAÇÃO'!$AH:$AH,MATCH(MEDIÇÃO!R1139,'PROJETO PERFURAÇÃO'!$B:$B,0)),"")</f>
        <v/>
      </c>
      <c r="T1139" s="8" t="str">
        <f>IFERROR(INDEX('PROJETO PERFURAÇÃO'!$AN:$AN,MATCH(MEDIÇÃO!R1139,'PROJETO PERFURAÇÃO'!$B:$B,0)),"")</f>
        <v/>
      </c>
      <c r="U1139" s="3"/>
      <c r="V1139" s="3"/>
    </row>
    <row r="1140" spans="1:23" ht="45" customHeight="1">
      <c r="B1140" s="3" t="str">
        <f>IFERROR(ROUND(INDEX('PROJETO PERFURAÇÃO'!$AB:$AB,MATCH(MEDIÇÃO!D1140,'PROJETO PERFURAÇÃO'!$B:$B,0)),1)&amp;"''","")</f>
        <v/>
      </c>
      <c r="C1140" s="3" t="str">
        <f>IFERROR(IF(INDEX('PROJETO PERFURAÇÃO'!$P:$P,MATCH(MEDIÇÃO!D1140,'PROJETO PERFURAÇÃO'!$B:$B,0))="Production","P",IF(INDEX('PROJETO PERFURAÇÃO'!$P:$P,MATCH(MEDIÇÃO!D1140,'PROJETO PERFURAÇÃO'!$B:$B,0))="Buffer","B",IF(INDEX('PROJETO PERFURAÇÃO'!$P:$P,MATCH(MEDIÇÃO!D1140,'PROJETO PERFURAÇÃO'!$B:$B,0))="Pre-Splitting","S"))),"")</f>
        <v/>
      </c>
      <c r="D1140" s="14">
        <f t="shared" si="108"/>
        <v>2504</v>
      </c>
      <c r="E1140" s="4" t="str">
        <f>IFERROR(INDEX('LEV R&amp;D'!$D:$D,MATCH(MEDIÇÃO!D1140,'LEV R&amp;D'!$A:$A,0))-INDEX('PROJETO PERFURAÇÃO'!$AH:$AH,MATCH(MEDIÇÃO!D1140,'PROJETO PERFURAÇÃO'!$B:$B,0)),"")</f>
        <v/>
      </c>
      <c r="F1140" s="8" t="str">
        <f>IFERROR(INDEX('PROJETO PERFURAÇÃO'!$AN:$AN,MATCH(MEDIÇÃO!D1140,'PROJETO PERFURAÇÃO'!$B:$B,0)),"")</f>
        <v/>
      </c>
      <c r="G1140" s="3"/>
      <c r="H1140" s="3"/>
      <c r="I1140" s="3" t="str">
        <f>IFERROR(ROUND(INDEX('PROJETO PERFURAÇÃO'!$AB:$AB,MATCH(MEDIÇÃO!K1140,'PROJETO PERFURAÇÃO'!$B:$B,0)),1)&amp;"''","")</f>
        <v/>
      </c>
      <c r="J1140" s="3" t="str">
        <f>IFERROR(IF(INDEX('PROJETO PERFURAÇÃO'!$P:$P,MATCH(MEDIÇÃO!K1140,'PROJETO PERFURAÇÃO'!$B:$B,0))="Production","P",IF(INDEX('PROJETO PERFURAÇÃO'!$P:$P,MATCH(MEDIÇÃO!K1140,'PROJETO PERFURAÇÃO'!$B:$B,0))="Buffer","B",IF(INDEX('PROJETO PERFURAÇÃO'!$P:$P,MATCH(MEDIÇÃO!K1140,'PROJETO PERFURAÇÃO'!$B:$B,0))="Pre-Splitting","S"))),"")</f>
        <v/>
      </c>
      <c r="K1140" s="14">
        <f t="shared" si="109"/>
        <v>2527</v>
      </c>
      <c r="L1140" s="4" t="str">
        <f>IFERROR(INDEX('LEV R&amp;D'!$D:$D,MATCH(MEDIÇÃO!K1140,'LEV R&amp;D'!$A:$A,0))-INDEX('PROJETO PERFURAÇÃO'!$AH:$AH,MATCH(MEDIÇÃO!K1140,'PROJETO PERFURAÇÃO'!$B:$B,0)),"")</f>
        <v/>
      </c>
      <c r="M1140" s="8" t="str">
        <f>IFERROR(INDEX('PROJETO PERFURAÇÃO'!$AN:$AN,MATCH(MEDIÇÃO!K1140,'PROJETO PERFURAÇÃO'!$B:$B,0)),"")</f>
        <v/>
      </c>
      <c r="N1140" s="3"/>
      <c r="O1140" s="3"/>
      <c r="P1140" s="3" t="str">
        <f>IFERROR(ROUND(INDEX('PROJETO PERFURAÇÃO'!$AB:$AB,MATCH(MEDIÇÃO!R1140,'PROJETO PERFURAÇÃO'!$B:$B,0)),1)&amp;"''","")</f>
        <v/>
      </c>
      <c r="Q1140" s="3" t="str">
        <f>IFERROR(IF(INDEX('PROJETO PERFURAÇÃO'!$P:$P,MATCH(MEDIÇÃO!R1140,'PROJETO PERFURAÇÃO'!$B:$B,0))="Production","P",IF(INDEX('PROJETO PERFURAÇÃO'!$P:$P,MATCH(MEDIÇÃO!R1140,'PROJETO PERFURAÇÃO'!$B:$B,0))="Buffer","B",IF(INDEX('PROJETO PERFURAÇÃO'!$P:$P,MATCH(MEDIÇÃO!R1140,'PROJETO PERFURAÇÃO'!$B:$B,0))="Pre-Splitting","S"))),"")</f>
        <v/>
      </c>
      <c r="R1140" s="14">
        <f t="shared" si="110"/>
        <v>2550</v>
      </c>
      <c r="S1140" s="4" t="str">
        <f>IFERROR(INDEX('LEV R&amp;D'!$D:$D,MATCH(MEDIÇÃO!R1140,'LEV R&amp;D'!$A:$A,0))-INDEX('PROJETO PERFURAÇÃO'!$AH:$AH,MATCH(MEDIÇÃO!R1140,'PROJETO PERFURAÇÃO'!$B:$B,0)),"")</f>
        <v/>
      </c>
      <c r="T1140" s="8" t="str">
        <f>IFERROR(INDEX('PROJETO PERFURAÇÃO'!$AN:$AN,MATCH(MEDIÇÃO!R1140,'PROJETO PERFURAÇÃO'!$B:$B,0)),"")</f>
        <v/>
      </c>
      <c r="U1140" s="3"/>
      <c r="V1140" s="3"/>
    </row>
    <row r="1141" spans="1:23" ht="45" customHeight="1">
      <c r="B1141" s="3" t="str">
        <f>IFERROR(ROUND(INDEX('PROJETO PERFURAÇÃO'!$AB:$AB,MATCH(MEDIÇÃO!D1141,'PROJETO PERFURAÇÃO'!$B:$B,0)),1)&amp;"''","")</f>
        <v/>
      </c>
      <c r="C1141" s="3" t="str">
        <f>IFERROR(IF(INDEX('PROJETO PERFURAÇÃO'!$P:$P,MATCH(MEDIÇÃO!D1141,'PROJETO PERFURAÇÃO'!$B:$B,0))="Production","P",IF(INDEX('PROJETO PERFURAÇÃO'!$P:$P,MATCH(MEDIÇÃO!D1141,'PROJETO PERFURAÇÃO'!$B:$B,0))="Buffer","B",IF(INDEX('PROJETO PERFURAÇÃO'!$P:$P,MATCH(MEDIÇÃO!D1141,'PROJETO PERFURAÇÃO'!$B:$B,0))="Pre-Splitting","S"))),"")</f>
        <v/>
      </c>
      <c r="D1141" s="14">
        <f t="shared" si="108"/>
        <v>2505</v>
      </c>
      <c r="E1141" s="4" t="str">
        <f>IFERROR(INDEX('LEV R&amp;D'!$D:$D,MATCH(MEDIÇÃO!D1141,'LEV R&amp;D'!$A:$A,0))-INDEX('PROJETO PERFURAÇÃO'!$AH:$AH,MATCH(MEDIÇÃO!D1141,'PROJETO PERFURAÇÃO'!$B:$B,0)),"")</f>
        <v/>
      </c>
      <c r="F1141" s="8" t="str">
        <f>IFERROR(INDEX('PROJETO PERFURAÇÃO'!$AN:$AN,MATCH(MEDIÇÃO!D1141,'PROJETO PERFURAÇÃO'!$B:$B,0)),"")</f>
        <v/>
      </c>
      <c r="G1141" s="3"/>
      <c r="H1141" s="3"/>
      <c r="I1141" s="3" t="str">
        <f>IFERROR(ROUND(INDEX('PROJETO PERFURAÇÃO'!$AB:$AB,MATCH(MEDIÇÃO!K1141,'PROJETO PERFURAÇÃO'!$B:$B,0)),1)&amp;"''","")</f>
        <v/>
      </c>
      <c r="J1141" s="3" t="str">
        <f>IFERROR(IF(INDEX('PROJETO PERFURAÇÃO'!$P:$P,MATCH(MEDIÇÃO!K1141,'PROJETO PERFURAÇÃO'!$B:$B,0))="Production","P",IF(INDEX('PROJETO PERFURAÇÃO'!$P:$P,MATCH(MEDIÇÃO!K1141,'PROJETO PERFURAÇÃO'!$B:$B,0))="Buffer","B",IF(INDEX('PROJETO PERFURAÇÃO'!$P:$P,MATCH(MEDIÇÃO!K1141,'PROJETO PERFURAÇÃO'!$B:$B,0))="Pre-Splitting","S"))),"")</f>
        <v/>
      </c>
      <c r="K1141" s="14">
        <f t="shared" si="109"/>
        <v>2528</v>
      </c>
      <c r="L1141" s="4" t="str">
        <f>IFERROR(INDEX('LEV R&amp;D'!$D:$D,MATCH(MEDIÇÃO!K1141,'LEV R&amp;D'!$A:$A,0))-INDEX('PROJETO PERFURAÇÃO'!$AH:$AH,MATCH(MEDIÇÃO!K1141,'PROJETO PERFURAÇÃO'!$B:$B,0)),"")</f>
        <v/>
      </c>
      <c r="M1141" s="8" t="str">
        <f>IFERROR(INDEX('PROJETO PERFURAÇÃO'!$AN:$AN,MATCH(MEDIÇÃO!K1141,'PROJETO PERFURAÇÃO'!$B:$B,0)),"")</f>
        <v/>
      </c>
      <c r="N1141" s="3"/>
      <c r="O1141" s="3"/>
      <c r="P1141" s="3" t="str">
        <f>IFERROR(ROUND(INDEX('PROJETO PERFURAÇÃO'!$AB:$AB,MATCH(MEDIÇÃO!R1141,'PROJETO PERFURAÇÃO'!$B:$B,0)),1)&amp;"''","")</f>
        <v/>
      </c>
      <c r="Q1141" s="3" t="str">
        <f>IFERROR(IF(INDEX('PROJETO PERFURAÇÃO'!$P:$P,MATCH(MEDIÇÃO!R1141,'PROJETO PERFURAÇÃO'!$B:$B,0))="Production","P",IF(INDEX('PROJETO PERFURAÇÃO'!$P:$P,MATCH(MEDIÇÃO!R1141,'PROJETO PERFURAÇÃO'!$B:$B,0))="Buffer","B",IF(INDEX('PROJETO PERFURAÇÃO'!$P:$P,MATCH(MEDIÇÃO!R1141,'PROJETO PERFURAÇÃO'!$B:$B,0))="Pre-Splitting","S"))),"")</f>
        <v/>
      </c>
      <c r="R1141" s="14">
        <f t="shared" si="110"/>
        <v>2551</v>
      </c>
      <c r="S1141" s="4" t="str">
        <f>IFERROR(INDEX('LEV R&amp;D'!$D:$D,MATCH(MEDIÇÃO!R1141,'LEV R&amp;D'!$A:$A,0))-INDEX('PROJETO PERFURAÇÃO'!$AH:$AH,MATCH(MEDIÇÃO!R1141,'PROJETO PERFURAÇÃO'!$B:$B,0)),"")</f>
        <v/>
      </c>
      <c r="T1141" s="8" t="str">
        <f>IFERROR(INDEX('PROJETO PERFURAÇÃO'!$AN:$AN,MATCH(MEDIÇÃO!R1141,'PROJETO PERFURAÇÃO'!$B:$B,0)),"")</f>
        <v/>
      </c>
      <c r="U1141" s="3"/>
      <c r="V1141" s="3"/>
    </row>
    <row r="1142" spans="1:23" ht="45" customHeight="1">
      <c r="B1142" s="3" t="str">
        <f>IFERROR(ROUND(INDEX('PROJETO PERFURAÇÃO'!$AB:$AB,MATCH(MEDIÇÃO!D1142,'PROJETO PERFURAÇÃO'!$B:$B,0)),1)&amp;"''","")</f>
        <v/>
      </c>
      <c r="C1142" s="3" t="str">
        <f>IFERROR(IF(INDEX('PROJETO PERFURAÇÃO'!$P:$P,MATCH(MEDIÇÃO!D1142,'PROJETO PERFURAÇÃO'!$B:$B,0))="Production","P",IF(INDEX('PROJETO PERFURAÇÃO'!$P:$P,MATCH(MEDIÇÃO!D1142,'PROJETO PERFURAÇÃO'!$B:$B,0))="Buffer","B",IF(INDEX('PROJETO PERFURAÇÃO'!$P:$P,MATCH(MEDIÇÃO!D1142,'PROJETO PERFURAÇÃO'!$B:$B,0))="Pre-Splitting","S"))),"")</f>
        <v/>
      </c>
      <c r="D1142" s="14">
        <f t="shared" si="108"/>
        <v>2506</v>
      </c>
      <c r="E1142" s="4" t="str">
        <f>IFERROR(INDEX('LEV R&amp;D'!$D:$D,MATCH(MEDIÇÃO!D1142,'LEV R&amp;D'!$A:$A,0))-INDEX('PROJETO PERFURAÇÃO'!$AH:$AH,MATCH(MEDIÇÃO!D1142,'PROJETO PERFURAÇÃO'!$B:$B,0)),"")</f>
        <v/>
      </c>
      <c r="F1142" s="8" t="str">
        <f>IFERROR(INDEX('PROJETO PERFURAÇÃO'!$AN:$AN,MATCH(MEDIÇÃO!D1142,'PROJETO PERFURAÇÃO'!$B:$B,0)),"")</f>
        <v/>
      </c>
      <c r="G1142" s="3"/>
      <c r="H1142" s="3"/>
      <c r="I1142" s="3" t="str">
        <f>IFERROR(ROUND(INDEX('PROJETO PERFURAÇÃO'!$AB:$AB,MATCH(MEDIÇÃO!K1142,'PROJETO PERFURAÇÃO'!$B:$B,0)),1)&amp;"''","")</f>
        <v/>
      </c>
      <c r="J1142" s="3" t="str">
        <f>IFERROR(IF(INDEX('PROJETO PERFURAÇÃO'!$P:$P,MATCH(MEDIÇÃO!K1142,'PROJETO PERFURAÇÃO'!$B:$B,0))="Production","P",IF(INDEX('PROJETO PERFURAÇÃO'!$P:$P,MATCH(MEDIÇÃO!K1142,'PROJETO PERFURAÇÃO'!$B:$B,0))="Buffer","B",IF(INDEX('PROJETO PERFURAÇÃO'!$P:$P,MATCH(MEDIÇÃO!K1142,'PROJETO PERFURAÇÃO'!$B:$B,0))="Pre-Splitting","S"))),"")</f>
        <v/>
      </c>
      <c r="K1142" s="14">
        <f t="shared" si="109"/>
        <v>2529</v>
      </c>
      <c r="L1142" s="4" t="str">
        <f>IFERROR(INDEX('LEV R&amp;D'!$D:$D,MATCH(MEDIÇÃO!K1142,'LEV R&amp;D'!$A:$A,0))-INDEX('PROJETO PERFURAÇÃO'!$AH:$AH,MATCH(MEDIÇÃO!K1142,'PROJETO PERFURAÇÃO'!$B:$B,0)),"")</f>
        <v/>
      </c>
      <c r="M1142" s="8" t="str">
        <f>IFERROR(INDEX('PROJETO PERFURAÇÃO'!$AN:$AN,MATCH(MEDIÇÃO!K1142,'PROJETO PERFURAÇÃO'!$B:$B,0)),"")</f>
        <v/>
      </c>
      <c r="N1142" s="3"/>
      <c r="O1142" s="3"/>
      <c r="P1142" s="3" t="str">
        <f>IFERROR(ROUND(INDEX('PROJETO PERFURAÇÃO'!$AB:$AB,MATCH(MEDIÇÃO!R1142,'PROJETO PERFURAÇÃO'!$B:$B,0)),1)&amp;"''","")</f>
        <v/>
      </c>
      <c r="Q1142" s="3" t="str">
        <f>IFERROR(IF(INDEX('PROJETO PERFURAÇÃO'!$P:$P,MATCH(MEDIÇÃO!R1142,'PROJETO PERFURAÇÃO'!$B:$B,0))="Production","P",IF(INDEX('PROJETO PERFURAÇÃO'!$P:$P,MATCH(MEDIÇÃO!R1142,'PROJETO PERFURAÇÃO'!$B:$B,0))="Buffer","B",IF(INDEX('PROJETO PERFURAÇÃO'!$P:$P,MATCH(MEDIÇÃO!R1142,'PROJETO PERFURAÇÃO'!$B:$B,0))="Pre-Splitting","S"))),"")</f>
        <v/>
      </c>
      <c r="R1142" s="14">
        <f t="shared" si="110"/>
        <v>2552</v>
      </c>
      <c r="S1142" s="4" t="str">
        <f>IFERROR(INDEX('LEV R&amp;D'!$D:$D,MATCH(MEDIÇÃO!R1142,'LEV R&amp;D'!$A:$A,0))-INDEX('PROJETO PERFURAÇÃO'!$AH:$AH,MATCH(MEDIÇÃO!R1142,'PROJETO PERFURAÇÃO'!$B:$B,0)),"")</f>
        <v/>
      </c>
      <c r="T1142" s="8" t="str">
        <f>IFERROR(INDEX('PROJETO PERFURAÇÃO'!$AN:$AN,MATCH(MEDIÇÃO!R1142,'PROJETO PERFURAÇÃO'!$B:$B,0)),"")</f>
        <v/>
      </c>
      <c r="U1142" s="3"/>
      <c r="V1142" s="3"/>
    </row>
    <row r="1143" spans="1:23" ht="45" customHeight="1">
      <c r="B1143" s="3" t="str">
        <f>IFERROR(ROUND(INDEX('PROJETO PERFURAÇÃO'!$AB:$AB,MATCH(MEDIÇÃO!D1143,'PROJETO PERFURAÇÃO'!$B:$B,0)),1)&amp;"''","")</f>
        <v/>
      </c>
      <c r="C1143" s="3" t="str">
        <f>IFERROR(IF(INDEX('PROJETO PERFURAÇÃO'!$P:$P,MATCH(MEDIÇÃO!D1143,'PROJETO PERFURAÇÃO'!$B:$B,0))="Production","P",IF(INDEX('PROJETO PERFURAÇÃO'!$P:$P,MATCH(MEDIÇÃO!D1143,'PROJETO PERFURAÇÃO'!$B:$B,0))="Buffer","B",IF(INDEX('PROJETO PERFURAÇÃO'!$P:$P,MATCH(MEDIÇÃO!D1143,'PROJETO PERFURAÇÃO'!$B:$B,0))="Pre-Splitting","S"))),"")</f>
        <v/>
      </c>
      <c r="D1143" s="14">
        <f t="shared" si="108"/>
        <v>2507</v>
      </c>
      <c r="E1143" s="4" t="str">
        <f>IFERROR(INDEX('LEV R&amp;D'!$D:$D,MATCH(MEDIÇÃO!D1143,'LEV R&amp;D'!$A:$A,0))-INDEX('PROJETO PERFURAÇÃO'!$AH:$AH,MATCH(MEDIÇÃO!D1143,'PROJETO PERFURAÇÃO'!$B:$B,0)),"")</f>
        <v/>
      </c>
      <c r="F1143" s="8" t="str">
        <f>IFERROR(INDEX('PROJETO PERFURAÇÃO'!$AN:$AN,MATCH(MEDIÇÃO!D1143,'PROJETO PERFURAÇÃO'!$B:$B,0)),"")</f>
        <v/>
      </c>
      <c r="G1143" s="3"/>
      <c r="H1143" s="3"/>
      <c r="I1143" s="3" t="str">
        <f>IFERROR(ROUND(INDEX('PROJETO PERFURAÇÃO'!$AB:$AB,MATCH(MEDIÇÃO!K1143,'PROJETO PERFURAÇÃO'!$B:$B,0)),1)&amp;"''","")</f>
        <v/>
      </c>
      <c r="J1143" s="3" t="str">
        <f>IFERROR(IF(INDEX('PROJETO PERFURAÇÃO'!$P:$P,MATCH(MEDIÇÃO!K1143,'PROJETO PERFURAÇÃO'!$B:$B,0))="Production","P",IF(INDEX('PROJETO PERFURAÇÃO'!$P:$P,MATCH(MEDIÇÃO!K1143,'PROJETO PERFURAÇÃO'!$B:$B,0))="Buffer","B",IF(INDEX('PROJETO PERFURAÇÃO'!$P:$P,MATCH(MEDIÇÃO!K1143,'PROJETO PERFURAÇÃO'!$B:$B,0))="Pre-Splitting","S"))),"")</f>
        <v/>
      </c>
      <c r="K1143" s="14">
        <f>K1142+1</f>
        <v>2530</v>
      </c>
      <c r="L1143" s="4" t="str">
        <f>IFERROR(INDEX('LEV R&amp;D'!$D:$D,MATCH(MEDIÇÃO!K1143,'LEV R&amp;D'!$A:$A,0))-INDEX('PROJETO PERFURAÇÃO'!$AH:$AH,MATCH(MEDIÇÃO!K1143,'PROJETO PERFURAÇÃO'!$B:$B,0)),"")</f>
        <v/>
      </c>
      <c r="M1143" s="8" t="str">
        <f>IFERROR(INDEX('PROJETO PERFURAÇÃO'!$AN:$AN,MATCH(MEDIÇÃO!K1143,'PROJETO PERFURAÇÃO'!$B:$B,0)),"")</f>
        <v/>
      </c>
      <c r="N1143" s="3"/>
      <c r="O1143" s="3"/>
      <c r="P1143" s="3" t="str">
        <f>IFERROR(ROUND(INDEX('PROJETO PERFURAÇÃO'!$AB:$AB,MATCH(MEDIÇÃO!R1143,'PROJETO PERFURAÇÃO'!$B:$B,0)),1)&amp;"''","")</f>
        <v/>
      </c>
      <c r="Q1143" s="3" t="str">
        <f>IFERROR(IF(INDEX('PROJETO PERFURAÇÃO'!$P:$P,MATCH(MEDIÇÃO!R1143,'PROJETO PERFURAÇÃO'!$B:$B,0))="Production","P",IF(INDEX('PROJETO PERFURAÇÃO'!$P:$P,MATCH(MEDIÇÃO!R1143,'PROJETO PERFURAÇÃO'!$B:$B,0))="Buffer","B",IF(INDEX('PROJETO PERFURAÇÃO'!$P:$P,MATCH(MEDIÇÃO!R1143,'PROJETO PERFURAÇÃO'!$B:$B,0))="Pre-Splitting","S"))),"")</f>
        <v/>
      </c>
      <c r="R1143" s="14">
        <f>R1142+1</f>
        <v>2553</v>
      </c>
      <c r="S1143" s="4" t="str">
        <f>IFERROR(INDEX('LEV R&amp;D'!$D:$D,MATCH(MEDIÇÃO!R1143,'LEV R&amp;D'!$A:$A,0))-INDEX('PROJETO PERFURAÇÃO'!$AH:$AH,MATCH(MEDIÇÃO!R1143,'PROJETO PERFURAÇÃO'!$B:$B,0)),"")</f>
        <v/>
      </c>
      <c r="T1143" s="8" t="str">
        <f>IFERROR(INDEX('PROJETO PERFURAÇÃO'!$AN:$AN,MATCH(MEDIÇÃO!R1143,'PROJETO PERFURAÇÃO'!$B:$B,0)),"")</f>
        <v/>
      </c>
      <c r="U1143" s="3"/>
      <c r="V1143" s="3"/>
    </row>
    <row r="1144" spans="1:23" ht="30" customHeight="1">
      <c r="B1144" s="1"/>
      <c r="C1144" s="1"/>
      <c r="D1144" s="15"/>
      <c r="E1144" s="2"/>
      <c r="F1144" s="16"/>
      <c r="G1144" s="1"/>
      <c r="H1144" s="1"/>
      <c r="I1144" s="1"/>
      <c r="J1144" s="1"/>
      <c r="K1144" s="15"/>
      <c r="L1144" s="2"/>
      <c r="M1144" s="16"/>
      <c r="N1144" s="1"/>
      <c r="O1144" s="1"/>
      <c r="P1144" s="1"/>
      <c r="Q1144" s="1"/>
      <c r="R1144" s="15"/>
      <c r="S1144" s="2"/>
      <c r="T1144" s="16"/>
      <c r="U1144" s="1"/>
      <c r="V1144" s="1"/>
    </row>
    <row r="1145" spans="1:23" ht="30" customHeight="1">
      <c r="C1145" s="20"/>
      <c r="D1145" s="20"/>
      <c r="E1145" s="20"/>
      <c r="F1145" s="20"/>
      <c r="G1145" s="20"/>
      <c r="H1145" s="20"/>
      <c r="I1145" s="20"/>
      <c r="J1145" s="20"/>
      <c r="K1145" s="20"/>
      <c r="M1145" s="20"/>
      <c r="N1145" s="20"/>
      <c r="O1145" s="20"/>
      <c r="P1145" s="20"/>
      <c r="Q1145" s="20"/>
      <c r="R1145" s="20"/>
      <c r="S1145" s="20"/>
      <c r="T1145" s="20"/>
      <c r="U1145" s="20"/>
    </row>
    <row r="1146" spans="1:23" ht="30" customHeight="1">
      <c r="C1146" s="21" t="s">
        <v>40</v>
      </c>
      <c r="D1146" s="21"/>
      <c r="E1146" s="21"/>
      <c r="F1146" s="21"/>
      <c r="G1146" s="21"/>
      <c r="H1146" s="21"/>
      <c r="I1146" s="21"/>
      <c r="J1146" s="21"/>
      <c r="K1146" s="21"/>
      <c r="L1146" s="9"/>
      <c r="M1146" s="21" t="s">
        <v>40</v>
      </c>
      <c r="N1146" s="21"/>
      <c r="O1146" s="21"/>
      <c r="P1146" s="21"/>
      <c r="Q1146" s="21"/>
      <c r="R1146" s="21"/>
      <c r="S1146" s="21"/>
      <c r="T1146" s="21"/>
      <c r="U1146" s="21"/>
      <c r="V1146" s="9"/>
    </row>
    <row r="1147" spans="1:23" ht="30" customHeight="1">
      <c r="D1147" s="9"/>
      <c r="E1147" s="9"/>
      <c r="F1147" s="9"/>
      <c r="G1147" s="9"/>
      <c r="H1147" s="9"/>
      <c r="I1147" s="9"/>
      <c r="J1147" s="9"/>
      <c r="K1147" s="9"/>
      <c r="L1147" s="9"/>
      <c r="M1147" s="9"/>
      <c r="N1147" s="9"/>
      <c r="Q1147" s="9"/>
      <c r="R1147" s="9"/>
      <c r="S1147" s="9"/>
      <c r="T1147" s="9"/>
      <c r="U1147" s="9"/>
      <c r="V1147" s="9"/>
    </row>
    <row r="1148" spans="1:23" ht="30" customHeight="1">
      <c r="B1148" s="19" t="str">
        <f>'PROJETO PERFURAÇÃO'!$C$2&amp;" - "&amp;'PROJETO PERFURAÇÃO'!$H$2</f>
        <v>LIB037 - PP0370626</v>
      </c>
      <c r="C1148" s="19"/>
      <c r="D1148" s="19"/>
      <c r="E1148" s="19"/>
      <c r="F1148" s="19"/>
      <c r="G1148" s="19"/>
      <c r="H1148" s="19"/>
      <c r="I1148" s="11" t="s">
        <v>34</v>
      </c>
      <c r="J1148" s="10" t="s">
        <v>37</v>
      </c>
    </row>
    <row r="1149" spans="1:23" ht="30" customHeight="1">
      <c r="B1149" s="19"/>
      <c r="C1149" s="19"/>
      <c r="D1149" s="19"/>
      <c r="E1149" s="19"/>
      <c r="F1149" s="19"/>
      <c r="G1149" s="19"/>
      <c r="H1149" s="19"/>
      <c r="I1149" s="12" t="s">
        <v>35</v>
      </c>
      <c r="J1149" s="10" t="s">
        <v>38</v>
      </c>
      <c r="K1149" s="9"/>
      <c r="L1149" s="9"/>
      <c r="M1149" s="9"/>
      <c r="N1149" s="9"/>
      <c r="O1149" s="9"/>
      <c r="P1149" s="9"/>
      <c r="Q1149" s="9"/>
      <c r="R1149" s="9"/>
      <c r="S1149" s="9"/>
      <c r="T1149" s="9"/>
      <c r="U1149" s="9"/>
      <c r="V1149" s="9"/>
    </row>
    <row r="1150" spans="1:23" ht="30" customHeight="1">
      <c r="B1150" s="19"/>
      <c r="C1150" s="19"/>
      <c r="D1150" s="19"/>
      <c r="E1150" s="19"/>
      <c r="F1150" s="19"/>
      <c r="G1150" s="19"/>
      <c r="H1150" s="19"/>
      <c r="I1150" s="13" t="s">
        <v>36</v>
      </c>
      <c r="J1150" s="10" t="s">
        <v>39</v>
      </c>
    </row>
    <row r="1151" spans="1:23" ht="30" customHeight="1">
      <c r="A1151" s="1"/>
      <c r="B1151" s="6" t="s">
        <v>33</v>
      </c>
      <c r="C1151" s="6" t="s">
        <v>13</v>
      </c>
      <c r="D1151" s="7" t="s">
        <v>1</v>
      </c>
      <c r="E1151" s="7" t="s">
        <v>29</v>
      </c>
      <c r="F1151" s="7" t="s">
        <v>30</v>
      </c>
      <c r="G1151" s="7" t="s">
        <v>31</v>
      </c>
      <c r="H1151" s="7" t="s">
        <v>32</v>
      </c>
      <c r="I1151" s="6" t="s">
        <v>33</v>
      </c>
      <c r="J1151" s="6" t="s">
        <v>13</v>
      </c>
      <c r="K1151" s="7" t="s">
        <v>1</v>
      </c>
      <c r="L1151" s="7" t="s">
        <v>29</v>
      </c>
      <c r="M1151" s="7" t="s">
        <v>30</v>
      </c>
      <c r="N1151" s="7" t="s">
        <v>31</v>
      </c>
      <c r="O1151" s="7" t="s">
        <v>32</v>
      </c>
      <c r="P1151" s="6" t="s">
        <v>33</v>
      </c>
      <c r="Q1151" s="6" t="s">
        <v>13</v>
      </c>
      <c r="R1151" s="7" t="s">
        <v>1</v>
      </c>
      <c r="S1151" s="7" t="s">
        <v>29</v>
      </c>
      <c r="T1151" s="7" t="s">
        <v>30</v>
      </c>
      <c r="U1151" s="7" t="s">
        <v>31</v>
      </c>
      <c r="V1151" s="7" t="s">
        <v>32</v>
      </c>
      <c r="W1151" s="1"/>
    </row>
    <row r="1152" spans="1:23" ht="45" customHeight="1">
      <c r="B1152" s="3" t="str">
        <f>IFERROR(ROUND(INDEX('PROJETO PERFURAÇÃO'!$AB:$AB,MATCH(MEDIÇÃO!D1152,'PROJETO PERFURAÇÃO'!$B:$B,0)),1)&amp;"''","")</f>
        <v/>
      </c>
      <c r="C1152" s="3" t="str">
        <f>IFERROR(IF(INDEX('PROJETO PERFURAÇÃO'!$P:$P,MATCH(MEDIÇÃO!D1152,'PROJETO PERFURAÇÃO'!$B:$B,0))="Production","P",IF(INDEX('PROJETO PERFURAÇÃO'!$P:$P,MATCH(MEDIÇÃO!D1152,'PROJETO PERFURAÇÃO'!$B:$B,0))="Buffer","B",IF(INDEX('PROJETO PERFURAÇÃO'!$P:$P,MATCH(MEDIÇÃO!D1152,'PROJETO PERFURAÇÃO'!$B:$B,0))="Pre-Splitting","S"))),"")</f>
        <v/>
      </c>
      <c r="D1152" s="14">
        <f>R1143+1</f>
        <v>2554</v>
      </c>
      <c r="E1152" s="4" t="str">
        <f>IFERROR(INDEX('LEV R&amp;D'!$D:$D,MATCH(MEDIÇÃO!D1152,'LEV R&amp;D'!$A:$A,0))-INDEX('PROJETO PERFURAÇÃO'!$AH:$AH,MATCH(MEDIÇÃO!D1152,'PROJETO PERFURAÇÃO'!$B:$B,0)),"")</f>
        <v/>
      </c>
      <c r="F1152" s="8" t="str">
        <f>IFERROR(INDEX('PROJETO PERFURAÇÃO'!$AN:$AN,MATCH(MEDIÇÃO!D1152,'PROJETO PERFURAÇÃO'!$B:$B,0)),"")</f>
        <v/>
      </c>
      <c r="G1152" s="3"/>
      <c r="H1152" s="3"/>
      <c r="I1152" s="3" t="str">
        <f>IFERROR(ROUND(INDEX('PROJETO PERFURAÇÃO'!$AB:$AB,MATCH(MEDIÇÃO!K1152,'PROJETO PERFURAÇÃO'!$B:$B,0)),1)&amp;"''","")</f>
        <v/>
      </c>
      <c r="J1152" s="3" t="str">
        <f>IFERROR(IF(INDEX('PROJETO PERFURAÇÃO'!$P:$P,MATCH(MEDIÇÃO!K1152,'PROJETO PERFURAÇÃO'!$B:$B,0))="Production","P",IF(INDEX('PROJETO PERFURAÇÃO'!$P:$P,MATCH(MEDIÇÃO!K1152,'PROJETO PERFURAÇÃO'!$B:$B,0))="Buffer","B",IF(INDEX('PROJETO PERFURAÇÃO'!$P:$P,MATCH(MEDIÇÃO!K1152,'PROJETO PERFURAÇÃO'!$B:$B,0))="Pre-Splitting","S"))),"")</f>
        <v/>
      </c>
      <c r="K1152" s="14">
        <f>D1174+1</f>
        <v>2577</v>
      </c>
      <c r="L1152" s="4" t="str">
        <f>IFERROR(INDEX('LEV R&amp;D'!$D:$D,MATCH(MEDIÇÃO!K1152,'LEV R&amp;D'!$A:$A,0))-INDEX('PROJETO PERFURAÇÃO'!$AH:$AH,MATCH(MEDIÇÃO!K1152,'PROJETO PERFURAÇÃO'!$B:$B,0)),"")</f>
        <v/>
      </c>
      <c r="M1152" s="8" t="str">
        <f>IFERROR(INDEX('PROJETO PERFURAÇÃO'!$AN:$AN,MATCH(MEDIÇÃO!K1152,'PROJETO PERFURAÇÃO'!$B:$B,0)),"")</f>
        <v/>
      </c>
      <c r="N1152" s="3"/>
      <c r="O1152" s="3"/>
      <c r="P1152" s="3" t="str">
        <f>IFERROR(ROUND(INDEX('PROJETO PERFURAÇÃO'!$AB:$AB,MATCH(MEDIÇÃO!R1152,'PROJETO PERFURAÇÃO'!$B:$B,0)),1)&amp;"''","")</f>
        <v/>
      </c>
      <c r="Q1152" s="3" t="str">
        <f>IFERROR(IF(INDEX('PROJETO PERFURAÇÃO'!$P:$P,MATCH(MEDIÇÃO!R1152,'PROJETO PERFURAÇÃO'!$B:$B,0))="Production","P",IF(INDEX('PROJETO PERFURAÇÃO'!$P:$P,MATCH(MEDIÇÃO!R1152,'PROJETO PERFURAÇÃO'!$B:$B,0))="Buffer","B",IF(INDEX('PROJETO PERFURAÇÃO'!$P:$P,MATCH(MEDIÇÃO!R1152,'PROJETO PERFURAÇÃO'!$B:$B,0))="Pre-Splitting","S"))),"")</f>
        <v/>
      </c>
      <c r="R1152" s="14">
        <f>K1174+1</f>
        <v>2600</v>
      </c>
      <c r="S1152" s="4" t="str">
        <f>IFERROR(INDEX('LEV R&amp;D'!$D:$D,MATCH(MEDIÇÃO!R1152,'LEV R&amp;D'!$A:$A,0))-INDEX('PROJETO PERFURAÇÃO'!$AH:$AH,MATCH(MEDIÇÃO!R1152,'PROJETO PERFURAÇÃO'!$B:$B,0)),"")</f>
        <v/>
      </c>
      <c r="T1152" s="8" t="str">
        <f>IFERROR(INDEX('PROJETO PERFURAÇÃO'!$AN:$AN,MATCH(MEDIÇÃO!R1152,'PROJETO PERFURAÇÃO'!$B:$B,0)),"")</f>
        <v/>
      </c>
      <c r="U1152" s="3"/>
      <c r="V1152" s="3"/>
    </row>
    <row r="1153" spans="2:22" ht="45" customHeight="1">
      <c r="B1153" s="3" t="str">
        <f>IFERROR(ROUND(INDEX('PROJETO PERFURAÇÃO'!$AB:$AB,MATCH(MEDIÇÃO!D1153,'PROJETO PERFURAÇÃO'!$B:$B,0)),1)&amp;"''","")</f>
        <v/>
      </c>
      <c r="C1153" s="3" t="str">
        <f>IFERROR(IF(INDEX('PROJETO PERFURAÇÃO'!$P:$P,MATCH(MEDIÇÃO!D1153,'PROJETO PERFURAÇÃO'!$B:$B,0))="Production","P",IF(INDEX('PROJETO PERFURAÇÃO'!$P:$P,MATCH(MEDIÇÃO!D1153,'PROJETO PERFURAÇÃO'!$B:$B,0))="Buffer","B",IF(INDEX('PROJETO PERFURAÇÃO'!$P:$P,MATCH(MEDIÇÃO!D1153,'PROJETO PERFURAÇÃO'!$B:$B,0))="Pre-Splitting","S"))),"")</f>
        <v/>
      </c>
      <c r="D1153" s="14">
        <f>D1152+1</f>
        <v>2555</v>
      </c>
      <c r="E1153" s="4" t="str">
        <f>IFERROR(INDEX('LEV R&amp;D'!$D:$D,MATCH(MEDIÇÃO!D1153,'LEV R&amp;D'!$A:$A,0))-INDEX('PROJETO PERFURAÇÃO'!$AH:$AH,MATCH(MEDIÇÃO!D1153,'PROJETO PERFURAÇÃO'!$B:$B,0)),"")</f>
        <v/>
      </c>
      <c r="F1153" s="8" t="str">
        <f>IFERROR(INDEX('PROJETO PERFURAÇÃO'!$AN:$AN,MATCH(MEDIÇÃO!D1153,'PROJETO PERFURAÇÃO'!$B:$B,0)),"")</f>
        <v/>
      </c>
      <c r="G1153" s="3"/>
      <c r="H1153" s="3"/>
      <c r="I1153" s="3" t="str">
        <f>IFERROR(ROUND(INDEX('PROJETO PERFURAÇÃO'!$AB:$AB,MATCH(MEDIÇÃO!K1153,'PROJETO PERFURAÇÃO'!$B:$B,0)),1)&amp;"''","")</f>
        <v/>
      </c>
      <c r="J1153" s="3" t="str">
        <f>IFERROR(IF(INDEX('PROJETO PERFURAÇÃO'!$P:$P,MATCH(MEDIÇÃO!K1153,'PROJETO PERFURAÇÃO'!$B:$B,0))="Production","P",IF(INDEX('PROJETO PERFURAÇÃO'!$P:$P,MATCH(MEDIÇÃO!K1153,'PROJETO PERFURAÇÃO'!$B:$B,0))="Buffer","B",IF(INDEX('PROJETO PERFURAÇÃO'!$P:$P,MATCH(MEDIÇÃO!K1153,'PROJETO PERFURAÇÃO'!$B:$B,0))="Pre-Splitting","S"))),"")</f>
        <v/>
      </c>
      <c r="K1153" s="14">
        <f>K1152+1</f>
        <v>2578</v>
      </c>
      <c r="L1153" s="4" t="str">
        <f>IFERROR(INDEX('LEV R&amp;D'!$D:$D,MATCH(MEDIÇÃO!K1153,'LEV R&amp;D'!$A:$A,0))-INDEX('PROJETO PERFURAÇÃO'!$AH:$AH,MATCH(MEDIÇÃO!K1153,'PROJETO PERFURAÇÃO'!$B:$B,0)),"")</f>
        <v/>
      </c>
      <c r="M1153" s="8" t="str">
        <f>IFERROR(INDEX('PROJETO PERFURAÇÃO'!$AN:$AN,MATCH(MEDIÇÃO!K1153,'PROJETO PERFURAÇÃO'!$B:$B,0)),"")</f>
        <v/>
      </c>
      <c r="N1153" s="3"/>
      <c r="O1153" s="3"/>
      <c r="P1153" s="3" t="str">
        <f>IFERROR(ROUND(INDEX('PROJETO PERFURAÇÃO'!$AB:$AB,MATCH(MEDIÇÃO!R1153,'PROJETO PERFURAÇÃO'!$B:$B,0)),1)&amp;"''","")</f>
        <v/>
      </c>
      <c r="Q1153" s="3" t="str">
        <f>IFERROR(IF(INDEX('PROJETO PERFURAÇÃO'!$P:$P,MATCH(MEDIÇÃO!R1153,'PROJETO PERFURAÇÃO'!$B:$B,0))="Production","P",IF(INDEX('PROJETO PERFURAÇÃO'!$P:$P,MATCH(MEDIÇÃO!R1153,'PROJETO PERFURAÇÃO'!$B:$B,0))="Buffer","B",IF(INDEX('PROJETO PERFURAÇÃO'!$P:$P,MATCH(MEDIÇÃO!R1153,'PROJETO PERFURAÇÃO'!$B:$B,0))="Pre-Splitting","S"))),"")</f>
        <v/>
      </c>
      <c r="R1153" s="14">
        <f>R1152+1</f>
        <v>2601</v>
      </c>
      <c r="S1153" s="4" t="str">
        <f>IFERROR(INDEX('LEV R&amp;D'!$D:$D,MATCH(MEDIÇÃO!R1153,'LEV R&amp;D'!$A:$A,0))-INDEX('PROJETO PERFURAÇÃO'!$AH:$AH,MATCH(MEDIÇÃO!R1153,'PROJETO PERFURAÇÃO'!$B:$B,0)),"")</f>
        <v/>
      </c>
      <c r="T1153" s="8" t="str">
        <f>IFERROR(INDEX('PROJETO PERFURAÇÃO'!$AN:$AN,MATCH(MEDIÇÃO!R1153,'PROJETO PERFURAÇÃO'!$B:$B,0)),"")</f>
        <v/>
      </c>
      <c r="U1153" s="3"/>
      <c r="V1153" s="3"/>
    </row>
    <row r="1154" spans="2:22" ht="45" customHeight="1">
      <c r="B1154" s="3" t="str">
        <f>IFERROR(ROUND(INDEX('PROJETO PERFURAÇÃO'!$AB:$AB,MATCH(MEDIÇÃO!D1154,'PROJETO PERFURAÇÃO'!$B:$B,0)),1)&amp;"''","")</f>
        <v/>
      </c>
      <c r="C1154" s="3" t="str">
        <f>IFERROR(IF(INDEX('PROJETO PERFURAÇÃO'!$P:$P,MATCH(MEDIÇÃO!D1154,'PROJETO PERFURAÇÃO'!$B:$B,0))="Production","P",IF(INDEX('PROJETO PERFURAÇÃO'!$P:$P,MATCH(MEDIÇÃO!D1154,'PROJETO PERFURAÇÃO'!$B:$B,0))="Buffer","B",IF(INDEX('PROJETO PERFURAÇÃO'!$P:$P,MATCH(MEDIÇÃO!D1154,'PROJETO PERFURAÇÃO'!$B:$B,0))="Pre-Splitting","S"))),"")</f>
        <v/>
      </c>
      <c r="D1154" s="14">
        <f t="shared" ref="D1154:D1174" si="111">D1153+1</f>
        <v>2556</v>
      </c>
      <c r="E1154" s="4" t="str">
        <f>IFERROR(INDEX('LEV R&amp;D'!$D:$D,MATCH(MEDIÇÃO!D1154,'LEV R&amp;D'!$A:$A,0))-INDEX('PROJETO PERFURAÇÃO'!$AH:$AH,MATCH(MEDIÇÃO!D1154,'PROJETO PERFURAÇÃO'!$B:$B,0)),"")</f>
        <v/>
      </c>
      <c r="F1154" s="8" t="str">
        <f>IFERROR(INDEX('PROJETO PERFURAÇÃO'!$AN:$AN,MATCH(MEDIÇÃO!D1154,'PROJETO PERFURAÇÃO'!$B:$B,0)),"")</f>
        <v/>
      </c>
      <c r="G1154" s="3"/>
      <c r="H1154" s="3"/>
      <c r="I1154" s="3" t="str">
        <f>IFERROR(ROUND(INDEX('PROJETO PERFURAÇÃO'!$AB:$AB,MATCH(MEDIÇÃO!K1154,'PROJETO PERFURAÇÃO'!$B:$B,0)),1)&amp;"''","")</f>
        <v/>
      </c>
      <c r="J1154" s="3" t="str">
        <f>IFERROR(IF(INDEX('PROJETO PERFURAÇÃO'!$P:$P,MATCH(MEDIÇÃO!K1154,'PROJETO PERFURAÇÃO'!$B:$B,0))="Production","P",IF(INDEX('PROJETO PERFURAÇÃO'!$P:$P,MATCH(MEDIÇÃO!K1154,'PROJETO PERFURAÇÃO'!$B:$B,0))="Buffer","B",IF(INDEX('PROJETO PERFURAÇÃO'!$P:$P,MATCH(MEDIÇÃO!K1154,'PROJETO PERFURAÇÃO'!$B:$B,0))="Pre-Splitting","S"))),"")</f>
        <v/>
      </c>
      <c r="K1154" s="14">
        <f t="shared" ref="K1154:K1173" si="112">K1153+1</f>
        <v>2579</v>
      </c>
      <c r="L1154" s="4" t="str">
        <f>IFERROR(INDEX('LEV R&amp;D'!$D:$D,MATCH(MEDIÇÃO!K1154,'LEV R&amp;D'!$A:$A,0))-INDEX('PROJETO PERFURAÇÃO'!$AH:$AH,MATCH(MEDIÇÃO!K1154,'PROJETO PERFURAÇÃO'!$B:$B,0)),"")</f>
        <v/>
      </c>
      <c r="M1154" s="8" t="str">
        <f>IFERROR(INDEX('PROJETO PERFURAÇÃO'!$AN:$AN,MATCH(MEDIÇÃO!K1154,'PROJETO PERFURAÇÃO'!$B:$B,0)),"")</f>
        <v/>
      </c>
      <c r="N1154" s="3"/>
      <c r="O1154" s="3"/>
      <c r="P1154" s="3" t="str">
        <f>IFERROR(ROUND(INDEX('PROJETO PERFURAÇÃO'!$AB:$AB,MATCH(MEDIÇÃO!R1154,'PROJETO PERFURAÇÃO'!$B:$B,0)),1)&amp;"''","")</f>
        <v/>
      </c>
      <c r="Q1154" s="3" t="str">
        <f>IFERROR(IF(INDEX('PROJETO PERFURAÇÃO'!$P:$P,MATCH(MEDIÇÃO!R1154,'PROJETO PERFURAÇÃO'!$B:$B,0))="Production","P",IF(INDEX('PROJETO PERFURAÇÃO'!$P:$P,MATCH(MEDIÇÃO!R1154,'PROJETO PERFURAÇÃO'!$B:$B,0))="Buffer","B",IF(INDEX('PROJETO PERFURAÇÃO'!$P:$P,MATCH(MEDIÇÃO!R1154,'PROJETO PERFURAÇÃO'!$B:$B,0))="Pre-Splitting","S"))),"")</f>
        <v/>
      </c>
      <c r="R1154" s="14">
        <f t="shared" ref="R1154:R1173" si="113">R1153+1</f>
        <v>2602</v>
      </c>
      <c r="S1154" s="4" t="str">
        <f>IFERROR(INDEX('LEV R&amp;D'!$D:$D,MATCH(MEDIÇÃO!R1154,'LEV R&amp;D'!$A:$A,0))-INDEX('PROJETO PERFURAÇÃO'!$AH:$AH,MATCH(MEDIÇÃO!R1154,'PROJETO PERFURAÇÃO'!$B:$B,0)),"")</f>
        <v/>
      </c>
      <c r="T1154" s="8" t="str">
        <f>IFERROR(INDEX('PROJETO PERFURAÇÃO'!$AN:$AN,MATCH(MEDIÇÃO!R1154,'PROJETO PERFURAÇÃO'!$B:$B,0)),"")</f>
        <v/>
      </c>
      <c r="U1154" s="3"/>
      <c r="V1154" s="3"/>
    </row>
    <row r="1155" spans="2:22" ht="45" customHeight="1">
      <c r="B1155" s="3" t="str">
        <f>IFERROR(ROUND(INDEX('PROJETO PERFURAÇÃO'!$AB:$AB,MATCH(MEDIÇÃO!D1155,'PROJETO PERFURAÇÃO'!$B:$B,0)),1)&amp;"''","")</f>
        <v/>
      </c>
      <c r="C1155" s="3" t="str">
        <f>IFERROR(IF(INDEX('PROJETO PERFURAÇÃO'!$P:$P,MATCH(MEDIÇÃO!D1155,'PROJETO PERFURAÇÃO'!$B:$B,0))="Production","P",IF(INDEX('PROJETO PERFURAÇÃO'!$P:$P,MATCH(MEDIÇÃO!D1155,'PROJETO PERFURAÇÃO'!$B:$B,0))="Buffer","B",IF(INDEX('PROJETO PERFURAÇÃO'!$P:$P,MATCH(MEDIÇÃO!D1155,'PROJETO PERFURAÇÃO'!$B:$B,0))="Pre-Splitting","S"))),"")</f>
        <v/>
      </c>
      <c r="D1155" s="14">
        <f t="shared" si="111"/>
        <v>2557</v>
      </c>
      <c r="E1155" s="4" t="str">
        <f>IFERROR(INDEX('LEV R&amp;D'!$D:$D,MATCH(MEDIÇÃO!D1155,'LEV R&amp;D'!$A:$A,0))-INDEX('PROJETO PERFURAÇÃO'!$AH:$AH,MATCH(MEDIÇÃO!D1155,'PROJETO PERFURAÇÃO'!$B:$B,0)),"")</f>
        <v/>
      </c>
      <c r="F1155" s="8" t="str">
        <f>IFERROR(INDEX('PROJETO PERFURAÇÃO'!$AN:$AN,MATCH(MEDIÇÃO!D1155,'PROJETO PERFURAÇÃO'!$B:$B,0)),"")</f>
        <v/>
      </c>
      <c r="G1155" s="3"/>
      <c r="H1155" s="3"/>
      <c r="I1155" s="3" t="str">
        <f>IFERROR(ROUND(INDEX('PROJETO PERFURAÇÃO'!$AB:$AB,MATCH(MEDIÇÃO!K1155,'PROJETO PERFURAÇÃO'!$B:$B,0)),1)&amp;"''","")</f>
        <v/>
      </c>
      <c r="J1155" s="3" t="str">
        <f>IFERROR(IF(INDEX('PROJETO PERFURAÇÃO'!$P:$P,MATCH(MEDIÇÃO!K1155,'PROJETO PERFURAÇÃO'!$B:$B,0))="Production","P",IF(INDEX('PROJETO PERFURAÇÃO'!$P:$P,MATCH(MEDIÇÃO!K1155,'PROJETO PERFURAÇÃO'!$B:$B,0))="Buffer","B",IF(INDEX('PROJETO PERFURAÇÃO'!$P:$P,MATCH(MEDIÇÃO!K1155,'PROJETO PERFURAÇÃO'!$B:$B,0))="Pre-Splitting","S"))),"")</f>
        <v/>
      </c>
      <c r="K1155" s="14">
        <f t="shared" si="112"/>
        <v>2580</v>
      </c>
      <c r="L1155" s="4" t="str">
        <f>IFERROR(INDEX('LEV R&amp;D'!$D:$D,MATCH(MEDIÇÃO!K1155,'LEV R&amp;D'!$A:$A,0))-INDEX('PROJETO PERFURAÇÃO'!$AH:$AH,MATCH(MEDIÇÃO!K1155,'PROJETO PERFURAÇÃO'!$B:$B,0)),"")</f>
        <v/>
      </c>
      <c r="M1155" s="8" t="str">
        <f>IFERROR(INDEX('PROJETO PERFURAÇÃO'!$AN:$AN,MATCH(MEDIÇÃO!K1155,'PROJETO PERFURAÇÃO'!$B:$B,0)),"")</f>
        <v/>
      </c>
      <c r="N1155" s="3"/>
      <c r="O1155" s="3"/>
      <c r="P1155" s="3" t="str">
        <f>IFERROR(ROUND(INDEX('PROJETO PERFURAÇÃO'!$AB:$AB,MATCH(MEDIÇÃO!R1155,'PROJETO PERFURAÇÃO'!$B:$B,0)),1)&amp;"''","")</f>
        <v/>
      </c>
      <c r="Q1155" s="3" t="str">
        <f>IFERROR(IF(INDEX('PROJETO PERFURAÇÃO'!$P:$P,MATCH(MEDIÇÃO!R1155,'PROJETO PERFURAÇÃO'!$B:$B,0))="Production","P",IF(INDEX('PROJETO PERFURAÇÃO'!$P:$P,MATCH(MEDIÇÃO!R1155,'PROJETO PERFURAÇÃO'!$B:$B,0))="Buffer","B",IF(INDEX('PROJETO PERFURAÇÃO'!$P:$P,MATCH(MEDIÇÃO!R1155,'PROJETO PERFURAÇÃO'!$B:$B,0))="Pre-Splitting","S"))),"")</f>
        <v/>
      </c>
      <c r="R1155" s="14">
        <f t="shared" si="113"/>
        <v>2603</v>
      </c>
      <c r="S1155" s="4" t="str">
        <f>IFERROR(INDEX('LEV R&amp;D'!$D:$D,MATCH(MEDIÇÃO!R1155,'LEV R&amp;D'!$A:$A,0))-INDEX('PROJETO PERFURAÇÃO'!$AH:$AH,MATCH(MEDIÇÃO!R1155,'PROJETO PERFURAÇÃO'!$B:$B,0)),"")</f>
        <v/>
      </c>
      <c r="T1155" s="8" t="str">
        <f>IFERROR(INDEX('PROJETO PERFURAÇÃO'!$AN:$AN,MATCH(MEDIÇÃO!R1155,'PROJETO PERFURAÇÃO'!$B:$B,0)),"")</f>
        <v/>
      </c>
      <c r="U1155" s="3"/>
      <c r="V1155" s="3"/>
    </row>
    <row r="1156" spans="2:22" ht="45" customHeight="1">
      <c r="B1156" s="3" t="str">
        <f>IFERROR(ROUND(INDEX('PROJETO PERFURAÇÃO'!$AB:$AB,MATCH(MEDIÇÃO!D1156,'PROJETO PERFURAÇÃO'!$B:$B,0)),1)&amp;"''","")</f>
        <v/>
      </c>
      <c r="C1156" s="3" t="str">
        <f>IFERROR(IF(INDEX('PROJETO PERFURAÇÃO'!$P:$P,MATCH(MEDIÇÃO!D1156,'PROJETO PERFURAÇÃO'!$B:$B,0))="Production","P",IF(INDEX('PROJETO PERFURAÇÃO'!$P:$P,MATCH(MEDIÇÃO!D1156,'PROJETO PERFURAÇÃO'!$B:$B,0))="Buffer","B",IF(INDEX('PROJETO PERFURAÇÃO'!$P:$P,MATCH(MEDIÇÃO!D1156,'PROJETO PERFURAÇÃO'!$B:$B,0))="Pre-Splitting","S"))),"")</f>
        <v/>
      </c>
      <c r="D1156" s="14">
        <f t="shared" si="111"/>
        <v>2558</v>
      </c>
      <c r="E1156" s="4" t="str">
        <f>IFERROR(INDEX('LEV R&amp;D'!$D:$D,MATCH(MEDIÇÃO!D1156,'LEV R&amp;D'!$A:$A,0))-INDEX('PROJETO PERFURAÇÃO'!$AH:$AH,MATCH(MEDIÇÃO!D1156,'PROJETO PERFURAÇÃO'!$B:$B,0)),"")</f>
        <v/>
      </c>
      <c r="F1156" s="8" t="str">
        <f>IFERROR(INDEX('PROJETO PERFURAÇÃO'!$AN:$AN,MATCH(MEDIÇÃO!D1156,'PROJETO PERFURAÇÃO'!$B:$B,0)),"")</f>
        <v/>
      </c>
      <c r="G1156" s="3"/>
      <c r="H1156" s="3"/>
      <c r="I1156" s="3" t="str">
        <f>IFERROR(ROUND(INDEX('PROJETO PERFURAÇÃO'!$AB:$AB,MATCH(MEDIÇÃO!K1156,'PROJETO PERFURAÇÃO'!$B:$B,0)),1)&amp;"''","")</f>
        <v/>
      </c>
      <c r="J1156" s="3" t="str">
        <f>IFERROR(IF(INDEX('PROJETO PERFURAÇÃO'!$P:$P,MATCH(MEDIÇÃO!K1156,'PROJETO PERFURAÇÃO'!$B:$B,0))="Production","P",IF(INDEX('PROJETO PERFURAÇÃO'!$P:$P,MATCH(MEDIÇÃO!K1156,'PROJETO PERFURAÇÃO'!$B:$B,0))="Buffer","B",IF(INDEX('PROJETO PERFURAÇÃO'!$P:$P,MATCH(MEDIÇÃO!K1156,'PROJETO PERFURAÇÃO'!$B:$B,0))="Pre-Splitting","S"))),"")</f>
        <v/>
      </c>
      <c r="K1156" s="14">
        <f t="shared" si="112"/>
        <v>2581</v>
      </c>
      <c r="L1156" s="4" t="str">
        <f>IFERROR(INDEX('LEV R&amp;D'!$D:$D,MATCH(MEDIÇÃO!K1156,'LEV R&amp;D'!$A:$A,0))-INDEX('PROJETO PERFURAÇÃO'!$AH:$AH,MATCH(MEDIÇÃO!K1156,'PROJETO PERFURAÇÃO'!$B:$B,0)),"")</f>
        <v/>
      </c>
      <c r="M1156" s="8" t="str">
        <f>IFERROR(INDEX('PROJETO PERFURAÇÃO'!$AN:$AN,MATCH(MEDIÇÃO!K1156,'PROJETO PERFURAÇÃO'!$B:$B,0)),"")</f>
        <v/>
      </c>
      <c r="N1156" s="3"/>
      <c r="O1156" s="3"/>
      <c r="P1156" s="3" t="str">
        <f>IFERROR(ROUND(INDEX('PROJETO PERFURAÇÃO'!$AB:$AB,MATCH(MEDIÇÃO!R1156,'PROJETO PERFURAÇÃO'!$B:$B,0)),1)&amp;"''","")</f>
        <v/>
      </c>
      <c r="Q1156" s="3" t="str">
        <f>IFERROR(IF(INDEX('PROJETO PERFURAÇÃO'!$P:$P,MATCH(MEDIÇÃO!R1156,'PROJETO PERFURAÇÃO'!$B:$B,0))="Production","P",IF(INDEX('PROJETO PERFURAÇÃO'!$P:$P,MATCH(MEDIÇÃO!R1156,'PROJETO PERFURAÇÃO'!$B:$B,0))="Buffer","B",IF(INDEX('PROJETO PERFURAÇÃO'!$P:$P,MATCH(MEDIÇÃO!R1156,'PROJETO PERFURAÇÃO'!$B:$B,0))="Pre-Splitting","S"))),"")</f>
        <v/>
      </c>
      <c r="R1156" s="14">
        <f t="shared" si="113"/>
        <v>2604</v>
      </c>
      <c r="S1156" s="4" t="str">
        <f>IFERROR(INDEX('LEV R&amp;D'!$D:$D,MATCH(MEDIÇÃO!R1156,'LEV R&amp;D'!$A:$A,0))-INDEX('PROJETO PERFURAÇÃO'!$AH:$AH,MATCH(MEDIÇÃO!R1156,'PROJETO PERFURAÇÃO'!$B:$B,0)),"")</f>
        <v/>
      </c>
      <c r="T1156" s="8" t="str">
        <f>IFERROR(INDEX('PROJETO PERFURAÇÃO'!$AN:$AN,MATCH(MEDIÇÃO!R1156,'PROJETO PERFURAÇÃO'!$B:$B,0)),"")</f>
        <v/>
      </c>
      <c r="U1156" s="3"/>
      <c r="V1156" s="3"/>
    </row>
    <row r="1157" spans="2:22" ht="45" customHeight="1">
      <c r="B1157" s="3" t="str">
        <f>IFERROR(ROUND(INDEX('PROJETO PERFURAÇÃO'!$AB:$AB,MATCH(MEDIÇÃO!D1157,'PROJETO PERFURAÇÃO'!$B:$B,0)),1)&amp;"''","")</f>
        <v/>
      </c>
      <c r="C1157" s="3" t="str">
        <f>IFERROR(IF(INDEX('PROJETO PERFURAÇÃO'!$P:$P,MATCH(MEDIÇÃO!D1157,'PROJETO PERFURAÇÃO'!$B:$B,0))="Production","P",IF(INDEX('PROJETO PERFURAÇÃO'!$P:$P,MATCH(MEDIÇÃO!D1157,'PROJETO PERFURAÇÃO'!$B:$B,0))="Buffer","B",IF(INDEX('PROJETO PERFURAÇÃO'!$P:$P,MATCH(MEDIÇÃO!D1157,'PROJETO PERFURAÇÃO'!$B:$B,0))="Pre-Splitting","S"))),"")</f>
        <v/>
      </c>
      <c r="D1157" s="14">
        <f t="shared" si="111"/>
        <v>2559</v>
      </c>
      <c r="E1157" s="4" t="str">
        <f>IFERROR(INDEX('LEV R&amp;D'!$D:$D,MATCH(MEDIÇÃO!D1157,'LEV R&amp;D'!$A:$A,0))-INDEX('PROJETO PERFURAÇÃO'!$AH:$AH,MATCH(MEDIÇÃO!D1157,'PROJETO PERFURAÇÃO'!$B:$B,0)),"")</f>
        <v/>
      </c>
      <c r="F1157" s="8" t="str">
        <f>IFERROR(INDEX('PROJETO PERFURAÇÃO'!$AN:$AN,MATCH(MEDIÇÃO!D1157,'PROJETO PERFURAÇÃO'!$B:$B,0)),"")</f>
        <v/>
      </c>
      <c r="G1157" s="3"/>
      <c r="H1157" s="3"/>
      <c r="I1157" s="3" t="str">
        <f>IFERROR(ROUND(INDEX('PROJETO PERFURAÇÃO'!$AB:$AB,MATCH(MEDIÇÃO!K1157,'PROJETO PERFURAÇÃO'!$B:$B,0)),1)&amp;"''","")</f>
        <v/>
      </c>
      <c r="J1157" s="3" t="str">
        <f>IFERROR(IF(INDEX('PROJETO PERFURAÇÃO'!$P:$P,MATCH(MEDIÇÃO!K1157,'PROJETO PERFURAÇÃO'!$B:$B,0))="Production","P",IF(INDEX('PROJETO PERFURAÇÃO'!$P:$P,MATCH(MEDIÇÃO!K1157,'PROJETO PERFURAÇÃO'!$B:$B,0))="Buffer","B",IF(INDEX('PROJETO PERFURAÇÃO'!$P:$P,MATCH(MEDIÇÃO!K1157,'PROJETO PERFURAÇÃO'!$B:$B,0))="Pre-Splitting","S"))),"")</f>
        <v/>
      </c>
      <c r="K1157" s="14">
        <f t="shared" si="112"/>
        <v>2582</v>
      </c>
      <c r="L1157" s="4" t="str">
        <f>IFERROR(INDEX('LEV R&amp;D'!$D:$D,MATCH(MEDIÇÃO!K1157,'LEV R&amp;D'!$A:$A,0))-INDEX('PROJETO PERFURAÇÃO'!$AH:$AH,MATCH(MEDIÇÃO!K1157,'PROJETO PERFURAÇÃO'!$B:$B,0)),"")</f>
        <v/>
      </c>
      <c r="M1157" s="8" t="str">
        <f>IFERROR(INDEX('PROJETO PERFURAÇÃO'!$AN:$AN,MATCH(MEDIÇÃO!K1157,'PROJETO PERFURAÇÃO'!$B:$B,0)),"")</f>
        <v/>
      </c>
      <c r="N1157" s="3"/>
      <c r="O1157" s="3"/>
      <c r="P1157" s="3" t="str">
        <f>IFERROR(ROUND(INDEX('PROJETO PERFURAÇÃO'!$AB:$AB,MATCH(MEDIÇÃO!R1157,'PROJETO PERFURAÇÃO'!$B:$B,0)),1)&amp;"''","")</f>
        <v/>
      </c>
      <c r="Q1157" s="3" t="str">
        <f>IFERROR(IF(INDEX('PROJETO PERFURAÇÃO'!$P:$P,MATCH(MEDIÇÃO!R1157,'PROJETO PERFURAÇÃO'!$B:$B,0))="Production","P",IF(INDEX('PROJETO PERFURAÇÃO'!$P:$P,MATCH(MEDIÇÃO!R1157,'PROJETO PERFURAÇÃO'!$B:$B,0))="Buffer","B",IF(INDEX('PROJETO PERFURAÇÃO'!$P:$P,MATCH(MEDIÇÃO!R1157,'PROJETO PERFURAÇÃO'!$B:$B,0))="Pre-Splitting","S"))),"")</f>
        <v/>
      </c>
      <c r="R1157" s="14">
        <f t="shared" si="113"/>
        <v>2605</v>
      </c>
      <c r="S1157" s="4" t="str">
        <f>IFERROR(INDEX('LEV R&amp;D'!$D:$D,MATCH(MEDIÇÃO!R1157,'LEV R&amp;D'!$A:$A,0))-INDEX('PROJETO PERFURAÇÃO'!$AH:$AH,MATCH(MEDIÇÃO!R1157,'PROJETO PERFURAÇÃO'!$B:$B,0)),"")</f>
        <v/>
      </c>
      <c r="T1157" s="8" t="str">
        <f>IFERROR(INDEX('PROJETO PERFURAÇÃO'!$AN:$AN,MATCH(MEDIÇÃO!R1157,'PROJETO PERFURAÇÃO'!$B:$B,0)),"")</f>
        <v/>
      </c>
      <c r="U1157" s="3"/>
      <c r="V1157" s="3"/>
    </row>
    <row r="1158" spans="2:22" ht="45" customHeight="1">
      <c r="B1158" s="3" t="str">
        <f>IFERROR(ROUND(INDEX('PROJETO PERFURAÇÃO'!$AB:$AB,MATCH(MEDIÇÃO!D1158,'PROJETO PERFURAÇÃO'!$B:$B,0)),1)&amp;"''","")</f>
        <v/>
      </c>
      <c r="C1158" s="3" t="str">
        <f>IFERROR(IF(INDEX('PROJETO PERFURAÇÃO'!$P:$P,MATCH(MEDIÇÃO!D1158,'PROJETO PERFURAÇÃO'!$B:$B,0))="Production","P",IF(INDEX('PROJETO PERFURAÇÃO'!$P:$P,MATCH(MEDIÇÃO!D1158,'PROJETO PERFURAÇÃO'!$B:$B,0))="Buffer","B",IF(INDEX('PROJETO PERFURAÇÃO'!$P:$P,MATCH(MEDIÇÃO!D1158,'PROJETO PERFURAÇÃO'!$B:$B,0))="Pre-Splitting","S"))),"")</f>
        <v/>
      </c>
      <c r="D1158" s="14">
        <f t="shared" si="111"/>
        <v>2560</v>
      </c>
      <c r="E1158" s="4" t="str">
        <f>IFERROR(INDEX('LEV R&amp;D'!$D:$D,MATCH(MEDIÇÃO!D1158,'LEV R&amp;D'!$A:$A,0))-INDEX('PROJETO PERFURAÇÃO'!$AH:$AH,MATCH(MEDIÇÃO!D1158,'PROJETO PERFURAÇÃO'!$B:$B,0)),"")</f>
        <v/>
      </c>
      <c r="F1158" s="8" t="str">
        <f>IFERROR(INDEX('PROJETO PERFURAÇÃO'!$AN:$AN,MATCH(MEDIÇÃO!D1158,'PROJETO PERFURAÇÃO'!$B:$B,0)),"")</f>
        <v/>
      </c>
      <c r="G1158" s="3"/>
      <c r="H1158" s="3"/>
      <c r="I1158" s="3" t="str">
        <f>IFERROR(ROUND(INDEX('PROJETO PERFURAÇÃO'!$AB:$AB,MATCH(MEDIÇÃO!K1158,'PROJETO PERFURAÇÃO'!$B:$B,0)),1)&amp;"''","")</f>
        <v/>
      </c>
      <c r="J1158" s="3" t="str">
        <f>IFERROR(IF(INDEX('PROJETO PERFURAÇÃO'!$P:$P,MATCH(MEDIÇÃO!K1158,'PROJETO PERFURAÇÃO'!$B:$B,0))="Production","P",IF(INDEX('PROJETO PERFURAÇÃO'!$P:$P,MATCH(MEDIÇÃO!K1158,'PROJETO PERFURAÇÃO'!$B:$B,0))="Buffer","B",IF(INDEX('PROJETO PERFURAÇÃO'!$P:$P,MATCH(MEDIÇÃO!K1158,'PROJETO PERFURAÇÃO'!$B:$B,0))="Pre-Splitting","S"))),"")</f>
        <v/>
      </c>
      <c r="K1158" s="14">
        <f t="shared" si="112"/>
        <v>2583</v>
      </c>
      <c r="L1158" s="4" t="str">
        <f>IFERROR(INDEX('LEV R&amp;D'!$D:$D,MATCH(MEDIÇÃO!K1158,'LEV R&amp;D'!$A:$A,0))-INDEX('PROJETO PERFURAÇÃO'!$AH:$AH,MATCH(MEDIÇÃO!K1158,'PROJETO PERFURAÇÃO'!$B:$B,0)),"")</f>
        <v/>
      </c>
      <c r="M1158" s="8" t="str">
        <f>IFERROR(INDEX('PROJETO PERFURAÇÃO'!$AN:$AN,MATCH(MEDIÇÃO!K1158,'PROJETO PERFURAÇÃO'!$B:$B,0)),"")</f>
        <v/>
      </c>
      <c r="N1158" s="3"/>
      <c r="O1158" s="3"/>
      <c r="P1158" s="3" t="str">
        <f>IFERROR(ROUND(INDEX('PROJETO PERFURAÇÃO'!$AB:$AB,MATCH(MEDIÇÃO!R1158,'PROJETO PERFURAÇÃO'!$B:$B,0)),1)&amp;"''","")</f>
        <v/>
      </c>
      <c r="Q1158" s="3" t="str">
        <f>IFERROR(IF(INDEX('PROJETO PERFURAÇÃO'!$P:$P,MATCH(MEDIÇÃO!R1158,'PROJETO PERFURAÇÃO'!$B:$B,0))="Production","P",IF(INDEX('PROJETO PERFURAÇÃO'!$P:$P,MATCH(MEDIÇÃO!R1158,'PROJETO PERFURAÇÃO'!$B:$B,0))="Buffer","B",IF(INDEX('PROJETO PERFURAÇÃO'!$P:$P,MATCH(MEDIÇÃO!R1158,'PROJETO PERFURAÇÃO'!$B:$B,0))="Pre-Splitting","S"))),"")</f>
        <v/>
      </c>
      <c r="R1158" s="14">
        <f t="shared" si="113"/>
        <v>2606</v>
      </c>
      <c r="S1158" s="4" t="str">
        <f>IFERROR(INDEX('LEV R&amp;D'!$D:$D,MATCH(MEDIÇÃO!R1158,'LEV R&amp;D'!$A:$A,0))-INDEX('PROJETO PERFURAÇÃO'!$AH:$AH,MATCH(MEDIÇÃO!R1158,'PROJETO PERFURAÇÃO'!$B:$B,0)),"")</f>
        <v/>
      </c>
      <c r="T1158" s="8" t="str">
        <f>IFERROR(INDEX('PROJETO PERFURAÇÃO'!$AN:$AN,MATCH(MEDIÇÃO!R1158,'PROJETO PERFURAÇÃO'!$B:$B,0)),"")</f>
        <v/>
      </c>
      <c r="U1158" s="3"/>
      <c r="V1158" s="3"/>
    </row>
    <row r="1159" spans="2:22" ht="45" customHeight="1">
      <c r="B1159" s="3" t="str">
        <f>IFERROR(ROUND(INDEX('PROJETO PERFURAÇÃO'!$AB:$AB,MATCH(MEDIÇÃO!D1159,'PROJETO PERFURAÇÃO'!$B:$B,0)),1)&amp;"''","")</f>
        <v/>
      </c>
      <c r="C1159" s="3" t="str">
        <f>IFERROR(IF(INDEX('PROJETO PERFURAÇÃO'!$P:$P,MATCH(MEDIÇÃO!D1159,'PROJETO PERFURAÇÃO'!$B:$B,0))="Production","P",IF(INDEX('PROJETO PERFURAÇÃO'!$P:$P,MATCH(MEDIÇÃO!D1159,'PROJETO PERFURAÇÃO'!$B:$B,0))="Buffer","B",IF(INDEX('PROJETO PERFURAÇÃO'!$P:$P,MATCH(MEDIÇÃO!D1159,'PROJETO PERFURAÇÃO'!$B:$B,0))="Pre-Splitting","S"))),"")</f>
        <v/>
      </c>
      <c r="D1159" s="14">
        <f t="shared" si="111"/>
        <v>2561</v>
      </c>
      <c r="E1159" s="4" t="str">
        <f>IFERROR(INDEX('LEV R&amp;D'!$D:$D,MATCH(MEDIÇÃO!D1159,'LEV R&amp;D'!$A:$A,0))-INDEX('PROJETO PERFURAÇÃO'!$AH:$AH,MATCH(MEDIÇÃO!D1159,'PROJETO PERFURAÇÃO'!$B:$B,0)),"")</f>
        <v/>
      </c>
      <c r="F1159" s="8" t="str">
        <f>IFERROR(INDEX('PROJETO PERFURAÇÃO'!$AN:$AN,MATCH(MEDIÇÃO!D1159,'PROJETO PERFURAÇÃO'!$B:$B,0)),"")</f>
        <v/>
      </c>
      <c r="G1159" s="3"/>
      <c r="H1159" s="3"/>
      <c r="I1159" s="3" t="str">
        <f>IFERROR(ROUND(INDEX('PROJETO PERFURAÇÃO'!$AB:$AB,MATCH(MEDIÇÃO!K1159,'PROJETO PERFURAÇÃO'!$B:$B,0)),1)&amp;"''","")</f>
        <v/>
      </c>
      <c r="J1159" s="3" t="str">
        <f>IFERROR(IF(INDEX('PROJETO PERFURAÇÃO'!$P:$P,MATCH(MEDIÇÃO!K1159,'PROJETO PERFURAÇÃO'!$B:$B,0))="Production","P",IF(INDEX('PROJETO PERFURAÇÃO'!$P:$P,MATCH(MEDIÇÃO!K1159,'PROJETO PERFURAÇÃO'!$B:$B,0))="Buffer","B",IF(INDEX('PROJETO PERFURAÇÃO'!$P:$P,MATCH(MEDIÇÃO!K1159,'PROJETO PERFURAÇÃO'!$B:$B,0))="Pre-Splitting","S"))),"")</f>
        <v/>
      </c>
      <c r="K1159" s="14">
        <f t="shared" si="112"/>
        <v>2584</v>
      </c>
      <c r="L1159" s="4" t="str">
        <f>IFERROR(INDEX('LEV R&amp;D'!$D:$D,MATCH(MEDIÇÃO!K1159,'LEV R&amp;D'!$A:$A,0))-INDEX('PROJETO PERFURAÇÃO'!$AH:$AH,MATCH(MEDIÇÃO!K1159,'PROJETO PERFURAÇÃO'!$B:$B,0)),"")</f>
        <v/>
      </c>
      <c r="M1159" s="8" t="str">
        <f>IFERROR(INDEX('PROJETO PERFURAÇÃO'!$AN:$AN,MATCH(MEDIÇÃO!K1159,'PROJETO PERFURAÇÃO'!$B:$B,0)),"")</f>
        <v/>
      </c>
      <c r="N1159" s="3"/>
      <c r="O1159" s="3"/>
      <c r="P1159" s="3" t="str">
        <f>IFERROR(ROUND(INDEX('PROJETO PERFURAÇÃO'!$AB:$AB,MATCH(MEDIÇÃO!R1159,'PROJETO PERFURAÇÃO'!$B:$B,0)),1)&amp;"''","")</f>
        <v/>
      </c>
      <c r="Q1159" s="3" t="str">
        <f>IFERROR(IF(INDEX('PROJETO PERFURAÇÃO'!$P:$P,MATCH(MEDIÇÃO!R1159,'PROJETO PERFURAÇÃO'!$B:$B,0))="Production","P",IF(INDEX('PROJETO PERFURAÇÃO'!$P:$P,MATCH(MEDIÇÃO!R1159,'PROJETO PERFURAÇÃO'!$B:$B,0))="Buffer","B",IF(INDEX('PROJETO PERFURAÇÃO'!$P:$P,MATCH(MEDIÇÃO!R1159,'PROJETO PERFURAÇÃO'!$B:$B,0))="Pre-Splitting","S"))),"")</f>
        <v/>
      </c>
      <c r="R1159" s="14">
        <f t="shared" si="113"/>
        <v>2607</v>
      </c>
      <c r="S1159" s="4" t="str">
        <f>IFERROR(INDEX('LEV R&amp;D'!$D:$D,MATCH(MEDIÇÃO!R1159,'LEV R&amp;D'!$A:$A,0))-INDEX('PROJETO PERFURAÇÃO'!$AH:$AH,MATCH(MEDIÇÃO!R1159,'PROJETO PERFURAÇÃO'!$B:$B,0)),"")</f>
        <v/>
      </c>
      <c r="T1159" s="8" t="str">
        <f>IFERROR(INDEX('PROJETO PERFURAÇÃO'!$AN:$AN,MATCH(MEDIÇÃO!R1159,'PROJETO PERFURAÇÃO'!$B:$B,0)),"")</f>
        <v/>
      </c>
      <c r="U1159" s="3"/>
      <c r="V1159" s="3"/>
    </row>
    <row r="1160" spans="2:22" ht="45" customHeight="1">
      <c r="B1160" s="3" t="str">
        <f>IFERROR(ROUND(INDEX('PROJETO PERFURAÇÃO'!$AB:$AB,MATCH(MEDIÇÃO!D1160,'PROJETO PERFURAÇÃO'!$B:$B,0)),1)&amp;"''","")</f>
        <v/>
      </c>
      <c r="C1160" s="3" t="str">
        <f>IFERROR(IF(INDEX('PROJETO PERFURAÇÃO'!$P:$P,MATCH(MEDIÇÃO!D1160,'PROJETO PERFURAÇÃO'!$B:$B,0))="Production","P",IF(INDEX('PROJETO PERFURAÇÃO'!$P:$P,MATCH(MEDIÇÃO!D1160,'PROJETO PERFURAÇÃO'!$B:$B,0))="Buffer","B",IF(INDEX('PROJETO PERFURAÇÃO'!$P:$P,MATCH(MEDIÇÃO!D1160,'PROJETO PERFURAÇÃO'!$B:$B,0))="Pre-Splitting","S"))),"")</f>
        <v/>
      </c>
      <c r="D1160" s="14">
        <f t="shared" si="111"/>
        <v>2562</v>
      </c>
      <c r="E1160" s="4" t="str">
        <f>IFERROR(INDEX('LEV R&amp;D'!$D:$D,MATCH(MEDIÇÃO!D1160,'LEV R&amp;D'!$A:$A,0))-INDEX('PROJETO PERFURAÇÃO'!$AH:$AH,MATCH(MEDIÇÃO!D1160,'PROJETO PERFURAÇÃO'!$B:$B,0)),"")</f>
        <v/>
      </c>
      <c r="F1160" s="8" t="str">
        <f>IFERROR(INDEX('PROJETO PERFURAÇÃO'!$AN:$AN,MATCH(MEDIÇÃO!D1160,'PROJETO PERFURAÇÃO'!$B:$B,0)),"")</f>
        <v/>
      </c>
      <c r="G1160" s="3"/>
      <c r="H1160" s="3"/>
      <c r="I1160" s="3" t="str">
        <f>IFERROR(ROUND(INDEX('PROJETO PERFURAÇÃO'!$AB:$AB,MATCH(MEDIÇÃO!K1160,'PROJETO PERFURAÇÃO'!$B:$B,0)),1)&amp;"''","")</f>
        <v/>
      </c>
      <c r="J1160" s="3" t="str">
        <f>IFERROR(IF(INDEX('PROJETO PERFURAÇÃO'!$P:$P,MATCH(MEDIÇÃO!K1160,'PROJETO PERFURAÇÃO'!$B:$B,0))="Production","P",IF(INDEX('PROJETO PERFURAÇÃO'!$P:$P,MATCH(MEDIÇÃO!K1160,'PROJETO PERFURAÇÃO'!$B:$B,0))="Buffer","B",IF(INDEX('PROJETO PERFURAÇÃO'!$P:$P,MATCH(MEDIÇÃO!K1160,'PROJETO PERFURAÇÃO'!$B:$B,0))="Pre-Splitting","S"))),"")</f>
        <v/>
      </c>
      <c r="K1160" s="14">
        <f t="shared" si="112"/>
        <v>2585</v>
      </c>
      <c r="L1160" s="4" t="str">
        <f>IFERROR(INDEX('LEV R&amp;D'!$D:$D,MATCH(MEDIÇÃO!K1160,'LEV R&amp;D'!$A:$A,0))-INDEX('PROJETO PERFURAÇÃO'!$AH:$AH,MATCH(MEDIÇÃO!K1160,'PROJETO PERFURAÇÃO'!$B:$B,0)),"")</f>
        <v/>
      </c>
      <c r="M1160" s="8" t="str">
        <f>IFERROR(INDEX('PROJETO PERFURAÇÃO'!$AN:$AN,MATCH(MEDIÇÃO!K1160,'PROJETO PERFURAÇÃO'!$B:$B,0)),"")</f>
        <v/>
      </c>
      <c r="N1160" s="3"/>
      <c r="O1160" s="3"/>
      <c r="P1160" s="3" t="str">
        <f>IFERROR(ROUND(INDEX('PROJETO PERFURAÇÃO'!$AB:$AB,MATCH(MEDIÇÃO!R1160,'PROJETO PERFURAÇÃO'!$B:$B,0)),1)&amp;"''","")</f>
        <v/>
      </c>
      <c r="Q1160" s="3" t="str">
        <f>IFERROR(IF(INDEX('PROJETO PERFURAÇÃO'!$P:$P,MATCH(MEDIÇÃO!R1160,'PROJETO PERFURAÇÃO'!$B:$B,0))="Production","P",IF(INDEX('PROJETO PERFURAÇÃO'!$P:$P,MATCH(MEDIÇÃO!R1160,'PROJETO PERFURAÇÃO'!$B:$B,0))="Buffer","B",IF(INDEX('PROJETO PERFURAÇÃO'!$P:$P,MATCH(MEDIÇÃO!R1160,'PROJETO PERFURAÇÃO'!$B:$B,0))="Pre-Splitting","S"))),"")</f>
        <v/>
      </c>
      <c r="R1160" s="14">
        <f t="shared" si="113"/>
        <v>2608</v>
      </c>
      <c r="S1160" s="4" t="str">
        <f>IFERROR(INDEX('LEV R&amp;D'!$D:$D,MATCH(MEDIÇÃO!R1160,'LEV R&amp;D'!$A:$A,0))-INDEX('PROJETO PERFURAÇÃO'!$AH:$AH,MATCH(MEDIÇÃO!R1160,'PROJETO PERFURAÇÃO'!$B:$B,0)),"")</f>
        <v/>
      </c>
      <c r="T1160" s="8" t="str">
        <f>IFERROR(INDEX('PROJETO PERFURAÇÃO'!$AN:$AN,MATCH(MEDIÇÃO!R1160,'PROJETO PERFURAÇÃO'!$B:$B,0)),"")</f>
        <v/>
      </c>
      <c r="U1160" s="3"/>
      <c r="V1160" s="3"/>
    </row>
    <row r="1161" spans="2:22" ht="45" customHeight="1">
      <c r="B1161" s="3" t="str">
        <f>IFERROR(ROUND(INDEX('PROJETO PERFURAÇÃO'!$AB:$AB,MATCH(MEDIÇÃO!D1161,'PROJETO PERFURAÇÃO'!$B:$B,0)),1)&amp;"''","")</f>
        <v/>
      </c>
      <c r="C1161" s="3" t="str">
        <f>IFERROR(IF(INDEX('PROJETO PERFURAÇÃO'!$P:$P,MATCH(MEDIÇÃO!D1161,'PROJETO PERFURAÇÃO'!$B:$B,0))="Production","P",IF(INDEX('PROJETO PERFURAÇÃO'!$P:$P,MATCH(MEDIÇÃO!D1161,'PROJETO PERFURAÇÃO'!$B:$B,0))="Buffer","B",IF(INDEX('PROJETO PERFURAÇÃO'!$P:$P,MATCH(MEDIÇÃO!D1161,'PROJETO PERFURAÇÃO'!$B:$B,0))="Pre-Splitting","S"))),"")</f>
        <v/>
      </c>
      <c r="D1161" s="14">
        <f t="shared" si="111"/>
        <v>2563</v>
      </c>
      <c r="E1161" s="4" t="str">
        <f>IFERROR(INDEX('LEV R&amp;D'!$D:$D,MATCH(MEDIÇÃO!D1161,'LEV R&amp;D'!$A:$A,0))-INDEX('PROJETO PERFURAÇÃO'!$AH:$AH,MATCH(MEDIÇÃO!D1161,'PROJETO PERFURAÇÃO'!$B:$B,0)),"")</f>
        <v/>
      </c>
      <c r="F1161" s="8" t="str">
        <f>IFERROR(INDEX('PROJETO PERFURAÇÃO'!$AN:$AN,MATCH(MEDIÇÃO!D1161,'PROJETO PERFURAÇÃO'!$B:$B,0)),"")</f>
        <v/>
      </c>
      <c r="G1161" s="3"/>
      <c r="H1161" s="3"/>
      <c r="I1161" s="3" t="str">
        <f>IFERROR(ROUND(INDEX('PROJETO PERFURAÇÃO'!$AB:$AB,MATCH(MEDIÇÃO!K1161,'PROJETO PERFURAÇÃO'!$B:$B,0)),1)&amp;"''","")</f>
        <v/>
      </c>
      <c r="J1161" s="3" t="str">
        <f>IFERROR(IF(INDEX('PROJETO PERFURAÇÃO'!$P:$P,MATCH(MEDIÇÃO!K1161,'PROJETO PERFURAÇÃO'!$B:$B,0))="Production","P",IF(INDEX('PROJETO PERFURAÇÃO'!$P:$P,MATCH(MEDIÇÃO!K1161,'PROJETO PERFURAÇÃO'!$B:$B,0))="Buffer","B",IF(INDEX('PROJETO PERFURAÇÃO'!$P:$P,MATCH(MEDIÇÃO!K1161,'PROJETO PERFURAÇÃO'!$B:$B,0))="Pre-Splitting","S"))),"")</f>
        <v/>
      </c>
      <c r="K1161" s="14">
        <f t="shared" si="112"/>
        <v>2586</v>
      </c>
      <c r="L1161" s="4" t="str">
        <f>IFERROR(INDEX('LEV R&amp;D'!$D:$D,MATCH(MEDIÇÃO!K1161,'LEV R&amp;D'!$A:$A,0))-INDEX('PROJETO PERFURAÇÃO'!$AH:$AH,MATCH(MEDIÇÃO!K1161,'PROJETO PERFURAÇÃO'!$B:$B,0)),"")</f>
        <v/>
      </c>
      <c r="M1161" s="8" t="str">
        <f>IFERROR(INDEX('PROJETO PERFURAÇÃO'!$AN:$AN,MATCH(MEDIÇÃO!K1161,'PROJETO PERFURAÇÃO'!$B:$B,0)),"")</f>
        <v/>
      </c>
      <c r="N1161" s="3"/>
      <c r="O1161" s="3"/>
      <c r="P1161" s="3" t="str">
        <f>IFERROR(ROUND(INDEX('PROJETO PERFURAÇÃO'!$AB:$AB,MATCH(MEDIÇÃO!R1161,'PROJETO PERFURAÇÃO'!$B:$B,0)),1)&amp;"''","")</f>
        <v/>
      </c>
      <c r="Q1161" s="3" t="str">
        <f>IFERROR(IF(INDEX('PROJETO PERFURAÇÃO'!$P:$P,MATCH(MEDIÇÃO!R1161,'PROJETO PERFURAÇÃO'!$B:$B,0))="Production","P",IF(INDEX('PROJETO PERFURAÇÃO'!$P:$P,MATCH(MEDIÇÃO!R1161,'PROJETO PERFURAÇÃO'!$B:$B,0))="Buffer","B",IF(INDEX('PROJETO PERFURAÇÃO'!$P:$P,MATCH(MEDIÇÃO!R1161,'PROJETO PERFURAÇÃO'!$B:$B,0))="Pre-Splitting","S"))),"")</f>
        <v/>
      </c>
      <c r="R1161" s="14">
        <f t="shared" si="113"/>
        <v>2609</v>
      </c>
      <c r="S1161" s="4" t="str">
        <f>IFERROR(INDEX('LEV R&amp;D'!$D:$D,MATCH(MEDIÇÃO!R1161,'LEV R&amp;D'!$A:$A,0))-INDEX('PROJETO PERFURAÇÃO'!$AH:$AH,MATCH(MEDIÇÃO!R1161,'PROJETO PERFURAÇÃO'!$B:$B,0)),"")</f>
        <v/>
      </c>
      <c r="T1161" s="8" t="str">
        <f>IFERROR(INDEX('PROJETO PERFURAÇÃO'!$AN:$AN,MATCH(MEDIÇÃO!R1161,'PROJETO PERFURAÇÃO'!$B:$B,0)),"")</f>
        <v/>
      </c>
      <c r="U1161" s="3"/>
      <c r="V1161" s="3"/>
    </row>
    <row r="1162" spans="2:22" ht="45" customHeight="1">
      <c r="B1162" s="3" t="str">
        <f>IFERROR(ROUND(INDEX('PROJETO PERFURAÇÃO'!$AB:$AB,MATCH(MEDIÇÃO!D1162,'PROJETO PERFURAÇÃO'!$B:$B,0)),1)&amp;"''","")</f>
        <v/>
      </c>
      <c r="C1162" s="3" t="str">
        <f>IFERROR(IF(INDEX('PROJETO PERFURAÇÃO'!$P:$P,MATCH(MEDIÇÃO!D1162,'PROJETO PERFURAÇÃO'!$B:$B,0))="Production","P",IF(INDEX('PROJETO PERFURAÇÃO'!$P:$P,MATCH(MEDIÇÃO!D1162,'PROJETO PERFURAÇÃO'!$B:$B,0))="Buffer","B",IF(INDEX('PROJETO PERFURAÇÃO'!$P:$P,MATCH(MEDIÇÃO!D1162,'PROJETO PERFURAÇÃO'!$B:$B,0))="Pre-Splitting","S"))),"")</f>
        <v/>
      </c>
      <c r="D1162" s="14">
        <f t="shared" si="111"/>
        <v>2564</v>
      </c>
      <c r="E1162" s="4" t="str">
        <f>IFERROR(INDEX('LEV R&amp;D'!$D:$D,MATCH(MEDIÇÃO!D1162,'LEV R&amp;D'!$A:$A,0))-INDEX('PROJETO PERFURAÇÃO'!$AH:$AH,MATCH(MEDIÇÃO!D1162,'PROJETO PERFURAÇÃO'!$B:$B,0)),"")</f>
        <v/>
      </c>
      <c r="F1162" s="8" t="str">
        <f>IFERROR(INDEX('PROJETO PERFURAÇÃO'!$AN:$AN,MATCH(MEDIÇÃO!D1162,'PROJETO PERFURAÇÃO'!$B:$B,0)),"")</f>
        <v/>
      </c>
      <c r="G1162" s="3"/>
      <c r="H1162" s="3"/>
      <c r="I1162" s="3" t="str">
        <f>IFERROR(ROUND(INDEX('PROJETO PERFURAÇÃO'!$AB:$AB,MATCH(MEDIÇÃO!K1162,'PROJETO PERFURAÇÃO'!$B:$B,0)),1)&amp;"''","")</f>
        <v/>
      </c>
      <c r="J1162" s="3" t="str">
        <f>IFERROR(IF(INDEX('PROJETO PERFURAÇÃO'!$P:$P,MATCH(MEDIÇÃO!K1162,'PROJETO PERFURAÇÃO'!$B:$B,0))="Production","P",IF(INDEX('PROJETO PERFURAÇÃO'!$P:$P,MATCH(MEDIÇÃO!K1162,'PROJETO PERFURAÇÃO'!$B:$B,0))="Buffer","B",IF(INDEX('PROJETO PERFURAÇÃO'!$P:$P,MATCH(MEDIÇÃO!K1162,'PROJETO PERFURAÇÃO'!$B:$B,0))="Pre-Splitting","S"))),"")</f>
        <v/>
      </c>
      <c r="K1162" s="14">
        <f t="shared" si="112"/>
        <v>2587</v>
      </c>
      <c r="L1162" s="4" t="str">
        <f>IFERROR(INDEX('LEV R&amp;D'!$D:$D,MATCH(MEDIÇÃO!K1162,'LEV R&amp;D'!$A:$A,0))-INDEX('PROJETO PERFURAÇÃO'!$AH:$AH,MATCH(MEDIÇÃO!K1162,'PROJETO PERFURAÇÃO'!$B:$B,0)),"")</f>
        <v/>
      </c>
      <c r="M1162" s="8" t="str">
        <f>IFERROR(INDEX('PROJETO PERFURAÇÃO'!$AN:$AN,MATCH(MEDIÇÃO!K1162,'PROJETO PERFURAÇÃO'!$B:$B,0)),"")</f>
        <v/>
      </c>
      <c r="N1162" s="3"/>
      <c r="O1162" s="3"/>
      <c r="P1162" s="3" t="str">
        <f>IFERROR(ROUND(INDEX('PROJETO PERFURAÇÃO'!$AB:$AB,MATCH(MEDIÇÃO!R1162,'PROJETO PERFURAÇÃO'!$B:$B,0)),1)&amp;"''","")</f>
        <v/>
      </c>
      <c r="Q1162" s="3" t="str">
        <f>IFERROR(IF(INDEX('PROJETO PERFURAÇÃO'!$P:$P,MATCH(MEDIÇÃO!R1162,'PROJETO PERFURAÇÃO'!$B:$B,0))="Production","P",IF(INDEX('PROJETO PERFURAÇÃO'!$P:$P,MATCH(MEDIÇÃO!R1162,'PROJETO PERFURAÇÃO'!$B:$B,0))="Buffer","B",IF(INDEX('PROJETO PERFURAÇÃO'!$P:$P,MATCH(MEDIÇÃO!R1162,'PROJETO PERFURAÇÃO'!$B:$B,0))="Pre-Splitting","S"))),"")</f>
        <v/>
      </c>
      <c r="R1162" s="14">
        <f t="shared" si="113"/>
        <v>2610</v>
      </c>
      <c r="S1162" s="4" t="str">
        <f>IFERROR(INDEX('LEV R&amp;D'!$D:$D,MATCH(MEDIÇÃO!R1162,'LEV R&amp;D'!$A:$A,0))-INDEX('PROJETO PERFURAÇÃO'!$AH:$AH,MATCH(MEDIÇÃO!R1162,'PROJETO PERFURAÇÃO'!$B:$B,0)),"")</f>
        <v/>
      </c>
      <c r="T1162" s="8" t="str">
        <f>IFERROR(INDEX('PROJETO PERFURAÇÃO'!$AN:$AN,MATCH(MEDIÇÃO!R1162,'PROJETO PERFURAÇÃO'!$B:$B,0)),"")</f>
        <v/>
      </c>
      <c r="U1162" s="3"/>
      <c r="V1162" s="3"/>
    </row>
    <row r="1163" spans="2:22" ht="45" customHeight="1">
      <c r="B1163" s="3" t="str">
        <f>IFERROR(ROUND(INDEX('PROJETO PERFURAÇÃO'!$AB:$AB,MATCH(MEDIÇÃO!D1163,'PROJETO PERFURAÇÃO'!$B:$B,0)),1)&amp;"''","")</f>
        <v/>
      </c>
      <c r="C1163" s="3" t="str">
        <f>IFERROR(IF(INDEX('PROJETO PERFURAÇÃO'!$P:$P,MATCH(MEDIÇÃO!D1163,'PROJETO PERFURAÇÃO'!$B:$B,0))="Production","P",IF(INDEX('PROJETO PERFURAÇÃO'!$P:$P,MATCH(MEDIÇÃO!D1163,'PROJETO PERFURAÇÃO'!$B:$B,0))="Buffer","B",IF(INDEX('PROJETO PERFURAÇÃO'!$P:$P,MATCH(MEDIÇÃO!D1163,'PROJETO PERFURAÇÃO'!$B:$B,0))="Pre-Splitting","S"))),"")</f>
        <v/>
      </c>
      <c r="D1163" s="14">
        <f t="shared" si="111"/>
        <v>2565</v>
      </c>
      <c r="E1163" s="4" t="str">
        <f>IFERROR(INDEX('LEV R&amp;D'!$D:$D,MATCH(MEDIÇÃO!D1163,'LEV R&amp;D'!$A:$A,0))-INDEX('PROJETO PERFURAÇÃO'!$AH:$AH,MATCH(MEDIÇÃO!D1163,'PROJETO PERFURAÇÃO'!$B:$B,0)),"")</f>
        <v/>
      </c>
      <c r="F1163" s="8" t="str">
        <f>IFERROR(INDEX('PROJETO PERFURAÇÃO'!$AN:$AN,MATCH(MEDIÇÃO!D1163,'PROJETO PERFURAÇÃO'!$B:$B,0)),"")</f>
        <v/>
      </c>
      <c r="G1163" s="3"/>
      <c r="H1163" s="3"/>
      <c r="I1163" s="3" t="str">
        <f>IFERROR(ROUND(INDEX('PROJETO PERFURAÇÃO'!$AB:$AB,MATCH(MEDIÇÃO!K1163,'PROJETO PERFURAÇÃO'!$B:$B,0)),1)&amp;"''","")</f>
        <v/>
      </c>
      <c r="J1163" s="3" t="str">
        <f>IFERROR(IF(INDEX('PROJETO PERFURAÇÃO'!$P:$P,MATCH(MEDIÇÃO!K1163,'PROJETO PERFURAÇÃO'!$B:$B,0))="Production","P",IF(INDEX('PROJETO PERFURAÇÃO'!$P:$P,MATCH(MEDIÇÃO!K1163,'PROJETO PERFURAÇÃO'!$B:$B,0))="Buffer","B",IF(INDEX('PROJETO PERFURAÇÃO'!$P:$P,MATCH(MEDIÇÃO!K1163,'PROJETO PERFURAÇÃO'!$B:$B,0))="Pre-Splitting","S"))),"")</f>
        <v/>
      </c>
      <c r="K1163" s="14">
        <f t="shared" si="112"/>
        <v>2588</v>
      </c>
      <c r="L1163" s="4" t="str">
        <f>IFERROR(INDEX('LEV R&amp;D'!$D:$D,MATCH(MEDIÇÃO!K1163,'LEV R&amp;D'!$A:$A,0))-INDEX('PROJETO PERFURAÇÃO'!$AH:$AH,MATCH(MEDIÇÃO!K1163,'PROJETO PERFURAÇÃO'!$B:$B,0)),"")</f>
        <v/>
      </c>
      <c r="M1163" s="8" t="str">
        <f>IFERROR(INDEX('PROJETO PERFURAÇÃO'!$AN:$AN,MATCH(MEDIÇÃO!K1163,'PROJETO PERFURAÇÃO'!$B:$B,0)),"")</f>
        <v/>
      </c>
      <c r="N1163" s="3"/>
      <c r="O1163" s="3"/>
      <c r="P1163" s="3" t="str">
        <f>IFERROR(ROUND(INDEX('PROJETO PERFURAÇÃO'!$AB:$AB,MATCH(MEDIÇÃO!R1163,'PROJETO PERFURAÇÃO'!$B:$B,0)),1)&amp;"''","")</f>
        <v/>
      </c>
      <c r="Q1163" s="3" t="str">
        <f>IFERROR(IF(INDEX('PROJETO PERFURAÇÃO'!$P:$P,MATCH(MEDIÇÃO!R1163,'PROJETO PERFURAÇÃO'!$B:$B,0))="Production","P",IF(INDEX('PROJETO PERFURAÇÃO'!$P:$P,MATCH(MEDIÇÃO!R1163,'PROJETO PERFURAÇÃO'!$B:$B,0))="Buffer","B",IF(INDEX('PROJETO PERFURAÇÃO'!$P:$P,MATCH(MEDIÇÃO!R1163,'PROJETO PERFURAÇÃO'!$B:$B,0))="Pre-Splitting","S"))),"")</f>
        <v/>
      </c>
      <c r="R1163" s="14">
        <f t="shared" si="113"/>
        <v>2611</v>
      </c>
      <c r="S1163" s="4" t="str">
        <f>IFERROR(INDEX('LEV R&amp;D'!$D:$D,MATCH(MEDIÇÃO!R1163,'LEV R&amp;D'!$A:$A,0))-INDEX('PROJETO PERFURAÇÃO'!$AH:$AH,MATCH(MEDIÇÃO!R1163,'PROJETO PERFURAÇÃO'!$B:$B,0)),"")</f>
        <v/>
      </c>
      <c r="T1163" s="8" t="str">
        <f>IFERROR(INDEX('PROJETO PERFURAÇÃO'!$AN:$AN,MATCH(MEDIÇÃO!R1163,'PROJETO PERFURAÇÃO'!$B:$B,0)),"")</f>
        <v/>
      </c>
      <c r="U1163" s="3"/>
      <c r="V1163" s="3"/>
    </row>
    <row r="1164" spans="2:22" ht="45" customHeight="1">
      <c r="B1164" s="3" t="str">
        <f>IFERROR(ROUND(INDEX('PROJETO PERFURAÇÃO'!$AB:$AB,MATCH(MEDIÇÃO!D1164,'PROJETO PERFURAÇÃO'!$B:$B,0)),1)&amp;"''","")</f>
        <v/>
      </c>
      <c r="C1164" s="3" t="str">
        <f>IFERROR(IF(INDEX('PROJETO PERFURAÇÃO'!$P:$P,MATCH(MEDIÇÃO!D1164,'PROJETO PERFURAÇÃO'!$B:$B,0))="Production","P",IF(INDEX('PROJETO PERFURAÇÃO'!$P:$P,MATCH(MEDIÇÃO!D1164,'PROJETO PERFURAÇÃO'!$B:$B,0))="Buffer","B",IF(INDEX('PROJETO PERFURAÇÃO'!$P:$P,MATCH(MEDIÇÃO!D1164,'PROJETO PERFURAÇÃO'!$B:$B,0))="Pre-Splitting","S"))),"")</f>
        <v/>
      </c>
      <c r="D1164" s="14">
        <f t="shared" si="111"/>
        <v>2566</v>
      </c>
      <c r="E1164" s="4" t="str">
        <f>IFERROR(INDEX('LEV R&amp;D'!$D:$D,MATCH(MEDIÇÃO!D1164,'LEV R&amp;D'!$A:$A,0))-INDEX('PROJETO PERFURAÇÃO'!$AH:$AH,MATCH(MEDIÇÃO!D1164,'PROJETO PERFURAÇÃO'!$B:$B,0)),"")</f>
        <v/>
      </c>
      <c r="F1164" s="8" t="str">
        <f>IFERROR(INDEX('PROJETO PERFURAÇÃO'!$AN:$AN,MATCH(MEDIÇÃO!D1164,'PROJETO PERFURAÇÃO'!$B:$B,0)),"")</f>
        <v/>
      </c>
      <c r="G1164" s="3"/>
      <c r="H1164" s="3"/>
      <c r="I1164" s="3" t="str">
        <f>IFERROR(ROUND(INDEX('PROJETO PERFURAÇÃO'!$AB:$AB,MATCH(MEDIÇÃO!K1164,'PROJETO PERFURAÇÃO'!$B:$B,0)),1)&amp;"''","")</f>
        <v/>
      </c>
      <c r="J1164" s="3" t="str">
        <f>IFERROR(IF(INDEX('PROJETO PERFURAÇÃO'!$P:$P,MATCH(MEDIÇÃO!K1164,'PROJETO PERFURAÇÃO'!$B:$B,0))="Production","P",IF(INDEX('PROJETO PERFURAÇÃO'!$P:$P,MATCH(MEDIÇÃO!K1164,'PROJETO PERFURAÇÃO'!$B:$B,0))="Buffer","B",IF(INDEX('PROJETO PERFURAÇÃO'!$P:$P,MATCH(MEDIÇÃO!K1164,'PROJETO PERFURAÇÃO'!$B:$B,0))="Pre-Splitting","S"))),"")</f>
        <v/>
      </c>
      <c r="K1164" s="14">
        <f t="shared" si="112"/>
        <v>2589</v>
      </c>
      <c r="L1164" s="4" t="str">
        <f>IFERROR(INDEX('LEV R&amp;D'!$D:$D,MATCH(MEDIÇÃO!K1164,'LEV R&amp;D'!$A:$A,0))-INDEX('PROJETO PERFURAÇÃO'!$AH:$AH,MATCH(MEDIÇÃO!K1164,'PROJETO PERFURAÇÃO'!$B:$B,0)),"")</f>
        <v/>
      </c>
      <c r="M1164" s="8" t="str">
        <f>IFERROR(INDEX('PROJETO PERFURAÇÃO'!$AN:$AN,MATCH(MEDIÇÃO!K1164,'PROJETO PERFURAÇÃO'!$B:$B,0)),"")</f>
        <v/>
      </c>
      <c r="N1164" s="3"/>
      <c r="O1164" s="3"/>
      <c r="P1164" s="3" t="str">
        <f>IFERROR(ROUND(INDEX('PROJETO PERFURAÇÃO'!$AB:$AB,MATCH(MEDIÇÃO!R1164,'PROJETO PERFURAÇÃO'!$B:$B,0)),1)&amp;"''","")</f>
        <v/>
      </c>
      <c r="Q1164" s="3" t="str">
        <f>IFERROR(IF(INDEX('PROJETO PERFURAÇÃO'!$P:$P,MATCH(MEDIÇÃO!R1164,'PROJETO PERFURAÇÃO'!$B:$B,0))="Production","P",IF(INDEX('PROJETO PERFURAÇÃO'!$P:$P,MATCH(MEDIÇÃO!R1164,'PROJETO PERFURAÇÃO'!$B:$B,0))="Buffer","B",IF(INDEX('PROJETO PERFURAÇÃO'!$P:$P,MATCH(MEDIÇÃO!R1164,'PROJETO PERFURAÇÃO'!$B:$B,0))="Pre-Splitting","S"))),"")</f>
        <v/>
      </c>
      <c r="R1164" s="14">
        <f t="shared" si="113"/>
        <v>2612</v>
      </c>
      <c r="S1164" s="4" t="str">
        <f>IFERROR(INDEX('LEV R&amp;D'!$D:$D,MATCH(MEDIÇÃO!R1164,'LEV R&amp;D'!$A:$A,0))-INDEX('PROJETO PERFURAÇÃO'!$AH:$AH,MATCH(MEDIÇÃO!R1164,'PROJETO PERFURAÇÃO'!$B:$B,0)),"")</f>
        <v/>
      </c>
      <c r="T1164" s="8" t="str">
        <f>IFERROR(INDEX('PROJETO PERFURAÇÃO'!$AN:$AN,MATCH(MEDIÇÃO!R1164,'PROJETO PERFURAÇÃO'!$B:$B,0)),"")</f>
        <v/>
      </c>
      <c r="U1164" s="3"/>
      <c r="V1164" s="3"/>
    </row>
    <row r="1165" spans="2:22" ht="45" customHeight="1">
      <c r="B1165" s="3" t="str">
        <f>IFERROR(ROUND(INDEX('PROJETO PERFURAÇÃO'!$AB:$AB,MATCH(MEDIÇÃO!D1165,'PROJETO PERFURAÇÃO'!$B:$B,0)),1)&amp;"''","")</f>
        <v/>
      </c>
      <c r="C1165" s="3" t="str">
        <f>IFERROR(IF(INDEX('PROJETO PERFURAÇÃO'!$P:$P,MATCH(MEDIÇÃO!D1165,'PROJETO PERFURAÇÃO'!$B:$B,0))="Production","P",IF(INDEX('PROJETO PERFURAÇÃO'!$P:$P,MATCH(MEDIÇÃO!D1165,'PROJETO PERFURAÇÃO'!$B:$B,0))="Buffer","B",IF(INDEX('PROJETO PERFURAÇÃO'!$P:$P,MATCH(MEDIÇÃO!D1165,'PROJETO PERFURAÇÃO'!$B:$B,0))="Pre-Splitting","S"))),"")</f>
        <v/>
      </c>
      <c r="D1165" s="14">
        <f t="shared" si="111"/>
        <v>2567</v>
      </c>
      <c r="E1165" s="4" t="str">
        <f>IFERROR(INDEX('LEV R&amp;D'!$D:$D,MATCH(MEDIÇÃO!D1165,'LEV R&amp;D'!$A:$A,0))-INDEX('PROJETO PERFURAÇÃO'!$AH:$AH,MATCH(MEDIÇÃO!D1165,'PROJETO PERFURAÇÃO'!$B:$B,0)),"")</f>
        <v/>
      </c>
      <c r="F1165" s="8" t="str">
        <f>IFERROR(INDEX('PROJETO PERFURAÇÃO'!$AN:$AN,MATCH(MEDIÇÃO!D1165,'PROJETO PERFURAÇÃO'!$B:$B,0)),"")</f>
        <v/>
      </c>
      <c r="G1165" s="3"/>
      <c r="H1165" s="3"/>
      <c r="I1165" s="3" t="str">
        <f>IFERROR(ROUND(INDEX('PROJETO PERFURAÇÃO'!$AB:$AB,MATCH(MEDIÇÃO!K1165,'PROJETO PERFURAÇÃO'!$B:$B,0)),1)&amp;"''","")</f>
        <v/>
      </c>
      <c r="J1165" s="3" t="str">
        <f>IFERROR(IF(INDEX('PROJETO PERFURAÇÃO'!$P:$P,MATCH(MEDIÇÃO!K1165,'PROJETO PERFURAÇÃO'!$B:$B,0))="Production","P",IF(INDEX('PROJETO PERFURAÇÃO'!$P:$P,MATCH(MEDIÇÃO!K1165,'PROJETO PERFURAÇÃO'!$B:$B,0))="Buffer","B",IF(INDEX('PROJETO PERFURAÇÃO'!$P:$P,MATCH(MEDIÇÃO!K1165,'PROJETO PERFURAÇÃO'!$B:$B,0))="Pre-Splitting","S"))),"")</f>
        <v/>
      </c>
      <c r="K1165" s="14">
        <f t="shared" si="112"/>
        <v>2590</v>
      </c>
      <c r="L1165" s="4" t="str">
        <f>IFERROR(INDEX('LEV R&amp;D'!$D:$D,MATCH(MEDIÇÃO!K1165,'LEV R&amp;D'!$A:$A,0))-INDEX('PROJETO PERFURAÇÃO'!$AH:$AH,MATCH(MEDIÇÃO!K1165,'PROJETO PERFURAÇÃO'!$B:$B,0)),"")</f>
        <v/>
      </c>
      <c r="M1165" s="8" t="str">
        <f>IFERROR(INDEX('PROJETO PERFURAÇÃO'!$AN:$AN,MATCH(MEDIÇÃO!K1165,'PROJETO PERFURAÇÃO'!$B:$B,0)),"")</f>
        <v/>
      </c>
      <c r="N1165" s="3"/>
      <c r="O1165" s="3"/>
      <c r="P1165" s="3" t="str">
        <f>IFERROR(ROUND(INDEX('PROJETO PERFURAÇÃO'!$AB:$AB,MATCH(MEDIÇÃO!R1165,'PROJETO PERFURAÇÃO'!$B:$B,0)),1)&amp;"''","")</f>
        <v/>
      </c>
      <c r="Q1165" s="3" t="str">
        <f>IFERROR(IF(INDEX('PROJETO PERFURAÇÃO'!$P:$P,MATCH(MEDIÇÃO!R1165,'PROJETO PERFURAÇÃO'!$B:$B,0))="Production","P",IF(INDEX('PROJETO PERFURAÇÃO'!$P:$P,MATCH(MEDIÇÃO!R1165,'PROJETO PERFURAÇÃO'!$B:$B,0))="Buffer","B",IF(INDEX('PROJETO PERFURAÇÃO'!$P:$P,MATCH(MEDIÇÃO!R1165,'PROJETO PERFURAÇÃO'!$B:$B,0))="Pre-Splitting","S"))),"")</f>
        <v/>
      </c>
      <c r="R1165" s="14">
        <f t="shared" si="113"/>
        <v>2613</v>
      </c>
      <c r="S1165" s="4" t="str">
        <f>IFERROR(INDEX('LEV R&amp;D'!$D:$D,MATCH(MEDIÇÃO!R1165,'LEV R&amp;D'!$A:$A,0))-INDEX('PROJETO PERFURAÇÃO'!$AH:$AH,MATCH(MEDIÇÃO!R1165,'PROJETO PERFURAÇÃO'!$B:$B,0)),"")</f>
        <v/>
      </c>
      <c r="T1165" s="8" t="str">
        <f>IFERROR(INDEX('PROJETO PERFURAÇÃO'!$AN:$AN,MATCH(MEDIÇÃO!R1165,'PROJETO PERFURAÇÃO'!$B:$B,0)),"")</f>
        <v/>
      </c>
      <c r="U1165" s="3"/>
      <c r="V1165" s="3"/>
    </row>
    <row r="1166" spans="2:22" ht="45" customHeight="1">
      <c r="B1166" s="3" t="str">
        <f>IFERROR(ROUND(INDEX('PROJETO PERFURAÇÃO'!$AB:$AB,MATCH(MEDIÇÃO!D1166,'PROJETO PERFURAÇÃO'!$B:$B,0)),1)&amp;"''","")</f>
        <v/>
      </c>
      <c r="C1166" s="3" t="str">
        <f>IFERROR(IF(INDEX('PROJETO PERFURAÇÃO'!$P:$P,MATCH(MEDIÇÃO!D1166,'PROJETO PERFURAÇÃO'!$B:$B,0))="Production","P",IF(INDEX('PROJETO PERFURAÇÃO'!$P:$P,MATCH(MEDIÇÃO!D1166,'PROJETO PERFURAÇÃO'!$B:$B,0))="Buffer","B",IF(INDEX('PROJETO PERFURAÇÃO'!$P:$P,MATCH(MEDIÇÃO!D1166,'PROJETO PERFURAÇÃO'!$B:$B,0))="Pre-Splitting","S"))),"")</f>
        <v/>
      </c>
      <c r="D1166" s="14">
        <f t="shared" si="111"/>
        <v>2568</v>
      </c>
      <c r="E1166" s="4" t="str">
        <f>IFERROR(INDEX('LEV R&amp;D'!$D:$D,MATCH(MEDIÇÃO!D1166,'LEV R&amp;D'!$A:$A,0))-INDEX('PROJETO PERFURAÇÃO'!$AH:$AH,MATCH(MEDIÇÃO!D1166,'PROJETO PERFURAÇÃO'!$B:$B,0)),"")</f>
        <v/>
      </c>
      <c r="F1166" s="8" t="str">
        <f>IFERROR(INDEX('PROJETO PERFURAÇÃO'!$AN:$AN,MATCH(MEDIÇÃO!D1166,'PROJETO PERFURAÇÃO'!$B:$B,0)),"")</f>
        <v/>
      </c>
      <c r="G1166" s="3"/>
      <c r="H1166" s="3"/>
      <c r="I1166" s="3" t="str">
        <f>IFERROR(ROUND(INDEX('PROJETO PERFURAÇÃO'!$AB:$AB,MATCH(MEDIÇÃO!K1166,'PROJETO PERFURAÇÃO'!$B:$B,0)),1)&amp;"''","")</f>
        <v/>
      </c>
      <c r="J1166" s="3" t="str">
        <f>IFERROR(IF(INDEX('PROJETO PERFURAÇÃO'!$P:$P,MATCH(MEDIÇÃO!K1166,'PROJETO PERFURAÇÃO'!$B:$B,0))="Production","P",IF(INDEX('PROJETO PERFURAÇÃO'!$P:$P,MATCH(MEDIÇÃO!K1166,'PROJETO PERFURAÇÃO'!$B:$B,0))="Buffer","B",IF(INDEX('PROJETO PERFURAÇÃO'!$P:$P,MATCH(MEDIÇÃO!K1166,'PROJETO PERFURAÇÃO'!$B:$B,0))="Pre-Splitting","S"))),"")</f>
        <v/>
      </c>
      <c r="K1166" s="14">
        <f t="shared" si="112"/>
        <v>2591</v>
      </c>
      <c r="L1166" s="4" t="str">
        <f>IFERROR(INDEX('LEV R&amp;D'!$D:$D,MATCH(MEDIÇÃO!K1166,'LEV R&amp;D'!$A:$A,0))-INDEX('PROJETO PERFURAÇÃO'!$AH:$AH,MATCH(MEDIÇÃO!K1166,'PROJETO PERFURAÇÃO'!$B:$B,0)),"")</f>
        <v/>
      </c>
      <c r="M1166" s="8" t="str">
        <f>IFERROR(INDEX('PROJETO PERFURAÇÃO'!$AN:$AN,MATCH(MEDIÇÃO!K1166,'PROJETO PERFURAÇÃO'!$B:$B,0)),"")</f>
        <v/>
      </c>
      <c r="N1166" s="3"/>
      <c r="O1166" s="3"/>
      <c r="P1166" s="3" t="str">
        <f>IFERROR(ROUND(INDEX('PROJETO PERFURAÇÃO'!$AB:$AB,MATCH(MEDIÇÃO!R1166,'PROJETO PERFURAÇÃO'!$B:$B,0)),1)&amp;"''","")</f>
        <v/>
      </c>
      <c r="Q1166" s="3" t="str">
        <f>IFERROR(IF(INDEX('PROJETO PERFURAÇÃO'!$P:$P,MATCH(MEDIÇÃO!R1166,'PROJETO PERFURAÇÃO'!$B:$B,0))="Production","P",IF(INDEX('PROJETO PERFURAÇÃO'!$P:$P,MATCH(MEDIÇÃO!R1166,'PROJETO PERFURAÇÃO'!$B:$B,0))="Buffer","B",IF(INDEX('PROJETO PERFURAÇÃO'!$P:$P,MATCH(MEDIÇÃO!R1166,'PROJETO PERFURAÇÃO'!$B:$B,0))="Pre-Splitting","S"))),"")</f>
        <v/>
      </c>
      <c r="R1166" s="14">
        <f t="shared" si="113"/>
        <v>2614</v>
      </c>
      <c r="S1166" s="4" t="str">
        <f>IFERROR(INDEX('LEV R&amp;D'!$D:$D,MATCH(MEDIÇÃO!R1166,'LEV R&amp;D'!$A:$A,0))-INDEX('PROJETO PERFURAÇÃO'!$AH:$AH,MATCH(MEDIÇÃO!R1166,'PROJETO PERFURAÇÃO'!$B:$B,0)),"")</f>
        <v/>
      </c>
      <c r="T1166" s="8" t="str">
        <f>IFERROR(INDEX('PROJETO PERFURAÇÃO'!$AN:$AN,MATCH(MEDIÇÃO!R1166,'PROJETO PERFURAÇÃO'!$B:$B,0)),"")</f>
        <v/>
      </c>
      <c r="U1166" s="3"/>
      <c r="V1166" s="3"/>
    </row>
    <row r="1167" spans="2:22" ht="45" customHeight="1">
      <c r="B1167" s="3" t="str">
        <f>IFERROR(ROUND(INDEX('PROJETO PERFURAÇÃO'!$AB:$AB,MATCH(MEDIÇÃO!D1167,'PROJETO PERFURAÇÃO'!$B:$B,0)),1)&amp;"''","")</f>
        <v/>
      </c>
      <c r="C1167" s="3" t="str">
        <f>IFERROR(IF(INDEX('PROJETO PERFURAÇÃO'!$P:$P,MATCH(MEDIÇÃO!D1167,'PROJETO PERFURAÇÃO'!$B:$B,0))="Production","P",IF(INDEX('PROJETO PERFURAÇÃO'!$P:$P,MATCH(MEDIÇÃO!D1167,'PROJETO PERFURAÇÃO'!$B:$B,0))="Buffer","B",IF(INDEX('PROJETO PERFURAÇÃO'!$P:$P,MATCH(MEDIÇÃO!D1167,'PROJETO PERFURAÇÃO'!$B:$B,0))="Pre-Splitting","S"))),"")</f>
        <v/>
      </c>
      <c r="D1167" s="14">
        <f t="shared" si="111"/>
        <v>2569</v>
      </c>
      <c r="E1167" s="4" t="str">
        <f>IFERROR(INDEX('LEV R&amp;D'!$D:$D,MATCH(MEDIÇÃO!D1167,'LEV R&amp;D'!$A:$A,0))-INDEX('PROJETO PERFURAÇÃO'!$AH:$AH,MATCH(MEDIÇÃO!D1167,'PROJETO PERFURAÇÃO'!$B:$B,0)),"")</f>
        <v/>
      </c>
      <c r="F1167" s="8" t="str">
        <f>IFERROR(INDEX('PROJETO PERFURAÇÃO'!$AN:$AN,MATCH(MEDIÇÃO!D1167,'PROJETO PERFURAÇÃO'!$B:$B,0)),"")</f>
        <v/>
      </c>
      <c r="G1167" s="3"/>
      <c r="H1167" s="3"/>
      <c r="I1167" s="3" t="str">
        <f>IFERROR(ROUND(INDEX('PROJETO PERFURAÇÃO'!$AB:$AB,MATCH(MEDIÇÃO!K1167,'PROJETO PERFURAÇÃO'!$B:$B,0)),1)&amp;"''","")</f>
        <v/>
      </c>
      <c r="J1167" s="3" t="str">
        <f>IFERROR(IF(INDEX('PROJETO PERFURAÇÃO'!$P:$P,MATCH(MEDIÇÃO!K1167,'PROJETO PERFURAÇÃO'!$B:$B,0))="Production","P",IF(INDEX('PROJETO PERFURAÇÃO'!$P:$P,MATCH(MEDIÇÃO!K1167,'PROJETO PERFURAÇÃO'!$B:$B,0))="Buffer","B",IF(INDEX('PROJETO PERFURAÇÃO'!$P:$P,MATCH(MEDIÇÃO!K1167,'PROJETO PERFURAÇÃO'!$B:$B,0))="Pre-Splitting","S"))),"")</f>
        <v/>
      </c>
      <c r="K1167" s="14">
        <f t="shared" si="112"/>
        <v>2592</v>
      </c>
      <c r="L1167" s="4" t="str">
        <f>IFERROR(INDEX('LEV R&amp;D'!$D:$D,MATCH(MEDIÇÃO!K1167,'LEV R&amp;D'!$A:$A,0))-INDEX('PROJETO PERFURAÇÃO'!$AH:$AH,MATCH(MEDIÇÃO!K1167,'PROJETO PERFURAÇÃO'!$B:$B,0)),"")</f>
        <v/>
      </c>
      <c r="M1167" s="8" t="str">
        <f>IFERROR(INDEX('PROJETO PERFURAÇÃO'!$AN:$AN,MATCH(MEDIÇÃO!K1167,'PROJETO PERFURAÇÃO'!$B:$B,0)),"")</f>
        <v/>
      </c>
      <c r="N1167" s="3"/>
      <c r="O1167" s="3"/>
      <c r="P1167" s="3" t="str">
        <f>IFERROR(ROUND(INDEX('PROJETO PERFURAÇÃO'!$AB:$AB,MATCH(MEDIÇÃO!R1167,'PROJETO PERFURAÇÃO'!$B:$B,0)),1)&amp;"''","")</f>
        <v/>
      </c>
      <c r="Q1167" s="3" t="str">
        <f>IFERROR(IF(INDEX('PROJETO PERFURAÇÃO'!$P:$P,MATCH(MEDIÇÃO!R1167,'PROJETO PERFURAÇÃO'!$B:$B,0))="Production","P",IF(INDEX('PROJETO PERFURAÇÃO'!$P:$P,MATCH(MEDIÇÃO!R1167,'PROJETO PERFURAÇÃO'!$B:$B,0))="Buffer","B",IF(INDEX('PROJETO PERFURAÇÃO'!$P:$P,MATCH(MEDIÇÃO!R1167,'PROJETO PERFURAÇÃO'!$B:$B,0))="Pre-Splitting","S"))),"")</f>
        <v/>
      </c>
      <c r="R1167" s="14">
        <f t="shared" si="113"/>
        <v>2615</v>
      </c>
      <c r="S1167" s="4" t="str">
        <f>IFERROR(INDEX('LEV R&amp;D'!$D:$D,MATCH(MEDIÇÃO!R1167,'LEV R&amp;D'!$A:$A,0))-INDEX('PROJETO PERFURAÇÃO'!$AH:$AH,MATCH(MEDIÇÃO!R1167,'PROJETO PERFURAÇÃO'!$B:$B,0)),"")</f>
        <v/>
      </c>
      <c r="T1167" s="8" t="str">
        <f>IFERROR(INDEX('PROJETO PERFURAÇÃO'!$AN:$AN,MATCH(MEDIÇÃO!R1167,'PROJETO PERFURAÇÃO'!$B:$B,0)),"")</f>
        <v/>
      </c>
      <c r="U1167" s="3"/>
      <c r="V1167" s="3"/>
    </row>
    <row r="1168" spans="2:22" ht="45" customHeight="1">
      <c r="B1168" s="3" t="str">
        <f>IFERROR(ROUND(INDEX('PROJETO PERFURAÇÃO'!$AB:$AB,MATCH(MEDIÇÃO!D1168,'PROJETO PERFURAÇÃO'!$B:$B,0)),1)&amp;"''","")</f>
        <v/>
      </c>
      <c r="C1168" s="3" t="str">
        <f>IFERROR(IF(INDEX('PROJETO PERFURAÇÃO'!$P:$P,MATCH(MEDIÇÃO!D1168,'PROJETO PERFURAÇÃO'!$B:$B,0))="Production","P",IF(INDEX('PROJETO PERFURAÇÃO'!$P:$P,MATCH(MEDIÇÃO!D1168,'PROJETO PERFURAÇÃO'!$B:$B,0))="Buffer","B",IF(INDEX('PROJETO PERFURAÇÃO'!$P:$P,MATCH(MEDIÇÃO!D1168,'PROJETO PERFURAÇÃO'!$B:$B,0))="Pre-Splitting","S"))),"")</f>
        <v/>
      </c>
      <c r="D1168" s="14">
        <f t="shared" si="111"/>
        <v>2570</v>
      </c>
      <c r="E1168" s="4" t="str">
        <f>IFERROR(INDEX('LEV R&amp;D'!$D:$D,MATCH(MEDIÇÃO!D1168,'LEV R&amp;D'!$A:$A,0))-INDEX('PROJETO PERFURAÇÃO'!$AH:$AH,MATCH(MEDIÇÃO!D1168,'PROJETO PERFURAÇÃO'!$B:$B,0)),"")</f>
        <v/>
      </c>
      <c r="F1168" s="8" t="str">
        <f>IFERROR(INDEX('PROJETO PERFURAÇÃO'!$AN:$AN,MATCH(MEDIÇÃO!D1168,'PROJETO PERFURAÇÃO'!$B:$B,0)),"")</f>
        <v/>
      </c>
      <c r="G1168" s="3"/>
      <c r="H1168" s="3"/>
      <c r="I1168" s="3" t="str">
        <f>IFERROR(ROUND(INDEX('PROJETO PERFURAÇÃO'!$AB:$AB,MATCH(MEDIÇÃO!K1168,'PROJETO PERFURAÇÃO'!$B:$B,0)),1)&amp;"''","")</f>
        <v/>
      </c>
      <c r="J1168" s="3" t="str">
        <f>IFERROR(IF(INDEX('PROJETO PERFURAÇÃO'!$P:$P,MATCH(MEDIÇÃO!K1168,'PROJETO PERFURAÇÃO'!$B:$B,0))="Production","P",IF(INDEX('PROJETO PERFURAÇÃO'!$P:$P,MATCH(MEDIÇÃO!K1168,'PROJETO PERFURAÇÃO'!$B:$B,0))="Buffer","B",IF(INDEX('PROJETO PERFURAÇÃO'!$P:$P,MATCH(MEDIÇÃO!K1168,'PROJETO PERFURAÇÃO'!$B:$B,0))="Pre-Splitting","S"))),"")</f>
        <v/>
      </c>
      <c r="K1168" s="14">
        <f t="shared" si="112"/>
        <v>2593</v>
      </c>
      <c r="L1168" s="4" t="str">
        <f>IFERROR(INDEX('LEV R&amp;D'!$D:$D,MATCH(MEDIÇÃO!K1168,'LEV R&amp;D'!$A:$A,0))-INDEX('PROJETO PERFURAÇÃO'!$AH:$AH,MATCH(MEDIÇÃO!K1168,'PROJETO PERFURAÇÃO'!$B:$B,0)),"")</f>
        <v/>
      </c>
      <c r="M1168" s="8" t="str">
        <f>IFERROR(INDEX('PROJETO PERFURAÇÃO'!$AN:$AN,MATCH(MEDIÇÃO!K1168,'PROJETO PERFURAÇÃO'!$B:$B,0)),"")</f>
        <v/>
      </c>
      <c r="N1168" s="3"/>
      <c r="O1168" s="3"/>
      <c r="P1168" s="3" t="str">
        <f>IFERROR(ROUND(INDEX('PROJETO PERFURAÇÃO'!$AB:$AB,MATCH(MEDIÇÃO!R1168,'PROJETO PERFURAÇÃO'!$B:$B,0)),1)&amp;"''","")</f>
        <v/>
      </c>
      <c r="Q1168" s="3" t="str">
        <f>IFERROR(IF(INDEX('PROJETO PERFURAÇÃO'!$P:$P,MATCH(MEDIÇÃO!R1168,'PROJETO PERFURAÇÃO'!$B:$B,0))="Production","P",IF(INDEX('PROJETO PERFURAÇÃO'!$P:$P,MATCH(MEDIÇÃO!R1168,'PROJETO PERFURAÇÃO'!$B:$B,0))="Buffer","B",IF(INDEX('PROJETO PERFURAÇÃO'!$P:$P,MATCH(MEDIÇÃO!R1168,'PROJETO PERFURAÇÃO'!$B:$B,0))="Pre-Splitting","S"))),"")</f>
        <v/>
      </c>
      <c r="R1168" s="14">
        <f t="shared" si="113"/>
        <v>2616</v>
      </c>
      <c r="S1168" s="4" t="str">
        <f>IFERROR(INDEX('LEV R&amp;D'!$D:$D,MATCH(MEDIÇÃO!R1168,'LEV R&amp;D'!$A:$A,0))-INDEX('PROJETO PERFURAÇÃO'!$AH:$AH,MATCH(MEDIÇÃO!R1168,'PROJETO PERFURAÇÃO'!$B:$B,0)),"")</f>
        <v/>
      </c>
      <c r="T1168" s="8" t="str">
        <f>IFERROR(INDEX('PROJETO PERFURAÇÃO'!$AN:$AN,MATCH(MEDIÇÃO!R1168,'PROJETO PERFURAÇÃO'!$B:$B,0)),"")</f>
        <v/>
      </c>
      <c r="U1168" s="3"/>
      <c r="V1168" s="3"/>
    </row>
    <row r="1169" spans="1:23" ht="45" customHeight="1">
      <c r="B1169" s="3" t="str">
        <f>IFERROR(ROUND(INDEX('PROJETO PERFURAÇÃO'!$AB:$AB,MATCH(MEDIÇÃO!D1169,'PROJETO PERFURAÇÃO'!$B:$B,0)),1)&amp;"''","")</f>
        <v/>
      </c>
      <c r="C1169" s="3" t="str">
        <f>IFERROR(IF(INDEX('PROJETO PERFURAÇÃO'!$P:$P,MATCH(MEDIÇÃO!D1169,'PROJETO PERFURAÇÃO'!$B:$B,0))="Production","P",IF(INDEX('PROJETO PERFURAÇÃO'!$P:$P,MATCH(MEDIÇÃO!D1169,'PROJETO PERFURAÇÃO'!$B:$B,0))="Buffer","B",IF(INDEX('PROJETO PERFURAÇÃO'!$P:$P,MATCH(MEDIÇÃO!D1169,'PROJETO PERFURAÇÃO'!$B:$B,0))="Pre-Splitting","S"))),"")</f>
        <v/>
      </c>
      <c r="D1169" s="14">
        <f t="shared" si="111"/>
        <v>2571</v>
      </c>
      <c r="E1169" s="4" t="str">
        <f>IFERROR(INDEX('LEV R&amp;D'!$D:$D,MATCH(MEDIÇÃO!D1169,'LEV R&amp;D'!$A:$A,0))-INDEX('PROJETO PERFURAÇÃO'!$AH:$AH,MATCH(MEDIÇÃO!D1169,'PROJETO PERFURAÇÃO'!$B:$B,0)),"")</f>
        <v/>
      </c>
      <c r="F1169" s="8" t="str">
        <f>IFERROR(INDEX('PROJETO PERFURAÇÃO'!$AN:$AN,MATCH(MEDIÇÃO!D1169,'PROJETO PERFURAÇÃO'!$B:$B,0)),"")</f>
        <v/>
      </c>
      <c r="G1169" s="3"/>
      <c r="H1169" s="3"/>
      <c r="I1169" s="3" t="str">
        <f>IFERROR(ROUND(INDEX('PROJETO PERFURAÇÃO'!$AB:$AB,MATCH(MEDIÇÃO!K1169,'PROJETO PERFURAÇÃO'!$B:$B,0)),1)&amp;"''","")</f>
        <v/>
      </c>
      <c r="J1169" s="3" t="str">
        <f>IFERROR(IF(INDEX('PROJETO PERFURAÇÃO'!$P:$P,MATCH(MEDIÇÃO!K1169,'PROJETO PERFURAÇÃO'!$B:$B,0))="Production","P",IF(INDEX('PROJETO PERFURAÇÃO'!$P:$P,MATCH(MEDIÇÃO!K1169,'PROJETO PERFURAÇÃO'!$B:$B,0))="Buffer","B",IF(INDEX('PROJETO PERFURAÇÃO'!$P:$P,MATCH(MEDIÇÃO!K1169,'PROJETO PERFURAÇÃO'!$B:$B,0))="Pre-Splitting","S"))),"")</f>
        <v/>
      </c>
      <c r="K1169" s="14">
        <f t="shared" si="112"/>
        <v>2594</v>
      </c>
      <c r="L1169" s="4" t="str">
        <f>IFERROR(INDEX('LEV R&amp;D'!$D:$D,MATCH(MEDIÇÃO!K1169,'LEV R&amp;D'!$A:$A,0))-INDEX('PROJETO PERFURAÇÃO'!$AH:$AH,MATCH(MEDIÇÃO!K1169,'PROJETO PERFURAÇÃO'!$B:$B,0)),"")</f>
        <v/>
      </c>
      <c r="M1169" s="8" t="str">
        <f>IFERROR(INDEX('PROJETO PERFURAÇÃO'!$AN:$AN,MATCH(MEDIÇÃO!K1169,'PROJETO PERFURAÇÃO'!$B:$B,0)),"")</f>
        <v/>
      </c>
      <c r="N1169" s="3"/>
      <c r="O1169" s="3"/>
      <c r="P1169" s="3" t="str">
        <f>IFERROR(ROUND(INDEX('PROJETO PERFURAÇÃO'!$AB:$AB,MATCH(MEDIÇÃO!R1169,'PROJETO PERFURAÇÃO'!$B:$B,0)),1)&amp;"''","")</f>
        <v/>
      </c>
      <c r="Q1169" s="3" t="str">
        <f>IFERROR(IF(INDEX('PROJETO PERFURAÇÃO'!$P:$P,MATCH(MEDIÇÃO!R1169,'PROJETO PERFURAÇÃO'!$B:$B,0))="Production","P",IF(INDEX('PROJETO PERFURAÇÃO'!$P:$P,MATCH(MEDIÇÃO!R1169,'PROJETO PERFURAÇÃO'!$B:$B,0))="Buffer","B",IF(INDEX('PROJETO PERFURAÇÃO'!$P:$P,MATCH(MEDIÇÃO!R1169,'PROJETO PERFURAÇÃO'!$B:$B,0))="Pre-Splitting","S"))),"")</f>
        <v/>
      </c>
      <c r="R1169" s="14">
        <f t="shared" si="113"/>
        <v>2617</v>
      </c>
      <c r="S1169" s="4" t="str">
        <f>IFERROR(INDEX('LEV R&amp;D'!$D:$D,MATCH(MEDIÇÃO!R1169,'LEV R&amp;D'!$A:$A,0))-INDEX('PROJETO PERFURAÇÃO'!$AH:$AH,MATCH(MEDIÇÃO!R1169,'PROJETO PERFURAÇÃO'!$B:$B,0)),"")</f>
        <v/>
      </c>
      <c r="T1169" s="8" t="str">
        <f>IFERROR(INDEX('PROJETO PERFURAÇÃO'!$AN:$AN,MATCH(MEDIÇÃO!R1169,'PROJETO PERFURAÇÃO'!$B:$B,0)),"")</f>
        <v/>
      </c>
      <c r="U1169" s="3"/>
      <c r="V1169" s="3"/>
    </row>
    <row r="1170" spans="1:23" ht="45" customHeight="1">
      <c r="B1170" s="3" t="str">
        <f>IFERROR(ROUND(INDEX('PROJETO PERFURAÇÃO'!$AB:$AB,MATCH(MEDIÇÃO!D1170,'PROJETO PERFURAÇÃO'!$B:$B,0)),1)&amp;"''","")</f>
        <v/>
      </c>
      <c r="C1170" s="3" t="str">
        <f>IFERROR(IF(INDEX('PROJETO PERFURAÇÃO'!$P:$P,MATCH(MEDIÇÃO!D1170,'PROJETO PERFURAÇÃO'!$B:$B,0))="Production","P",IF(INDEX('PROJETO PERFURAÇÃO'!$P:$P,MATCH(MEDIÇÃO!D1170,'PROJETO PERFURAÇÃO'!$B:$B,0))="Buffer","B",IF(INDEX('PROJETO PERFURAÇÃO'!$P:$P,MATCH(MEDIÇÃO!D1170,'PROJETO PERFURAÇÃO'!$B:$B,0))="Pre-Splitting","S"))),"")</f>
        <v/>
      </c>
      <c r="D1170" s="14">
        <f t="shared" si="111"/>
        <v>2572</v>
      </c>
      <c r="E1170" s="4" t="str">
        <f>IFERROR(INDEX('LEV R&amp;D'!$D:$D,MATCH(MEDIÇÃO!D1170,'LEV R&amp;D'!$A:$A,0))-INDEX('PROJETO PERFURAÇÃO'!$AH:$AH,MATCH(MEDIÇÃO!D1170,'PROJETO PERFURAÇÃO'!$B:$B,0)),"")</f>
        <v/>
      </c>
      <c r="F1170" s="8" t="str">
        <f>IFERROR(INDEX('PROJETO PERFURAÇÃO'!$AN:$AN,MATCH(MEDIÇÃO!D1170,'PROJETO PERFURAÇÃO'!$B:$B,0)),"")</f>
        <v/>
      </c>
      <c r="G1170" s="3"/>
      <c r="H1170" s="3"/>
      <c r="I1170" s="3" t="str">
        <f>IFERROR(ROUND(INDEX('PROJETO PERFURAÇÃO'!$AB:$AB,MATCH(MEDIÇÃO!K1170,'PROJETO PERFURAÇÃO'!$B:$B,0)),1)&amp;"''","")</f>
        <v/>
      </c>
      <c r="J1170" s="3" t="str">
        <f>IFERROR(IF(INDEX('PROJETO PERFURAÇÃO'!$P:$P,MATCH(MEDIÇÃO!K1170,'PROJETO PERFURAÇÃO'!$B:$B,0))="Production","P",IF(INDEX('PROJETO PERFURAÇÃO'!$P:$P,MATCH(MEDIÇÃO!K1170,'PROJETO PERFURAÇÃO'!$B:$B,0))="Buffer","B",IF(INDEX('PROJETO PERFURAÇÃO'!$P:$P,MATCH(MEDIÇÃO!K1170,'PROJETO PERFURAÇÃO'!$B:$B,0))="Pre-Splitting","S"))),"")</f>
        <v/>
      </c>
      <c r="K1170" s="14">
        <f t="shared" si="112"/>
        <v>2595</v>
      </c>
      <c r="L1170" s="4" t="str">
        <f>IFERROR(INDEX('LEV R&amp;D'!$D:$D,MATCH(MEDIÇÃO!K1170,'LEV R&amp;D'!$A:$A,0))-INDEX('PROJETO PERFURAÇÃO'!$AH:$AH,MATCH(MEDIÇÃO!K1170,'PROJETO PERFURAÇÃO'!$B:$B,0)),"")</f>
        <v/>
      </c>
      <c r="M1170" s="8" t="str">
        <f>IFERROR(INDEX('PROJETO PERFURAÇÃO'!$AN:$AN,MATCH(MEDIÇÃO!K1170,'PROJETO PERFURAÇÃO'!$B:$B,0)),"")</f>
        <v/>
      </c>
      <c r="N1170" s="3"/>
      <c r="O1170" s="3"/>
      <c r="P1170" s="3" t="str">
        <f>IFERROR(ROUND(INDEX('PROJETO PERFURAÇÃO'!$AB:$AB,MATCH(MEDIÇÃO!R1170,'PROJETO PERFURAÇÃO'!$B:$B,0)),1)&amp;"''","")</f>
        <v/>
      </c>
      <c r="Q1170" s="3" t="str">
        <f>IFERROR(IF(INDEX('PROJETO PERFURAÇÃO'!$P:$P,MATCH(MEDIÇÃO!R1170,'PROJETO PERFURAÇÃO'!$B:$B,0))="Production","P",IF(INDEX('PROJETO PERFURAÇÃO'!$P:$P,MATCH(MEDIÇÃO!R1170,'PROJETO PERFURAÇÃO'!$B:$B,0))="Buffer","B",IF(INDEX('PROJETO PERFURAÇÃO'!$P:$P,MATCH(MEDIÇÃO!R1170,'PROJETO PERFURAÇÃO'!$B:$B,0))="Pre-Splitting","S"))),"")</f>
        <v/>
      </c>
      <c r="R1170" s="14">
        <f t="shared" si="113"/>
        <v>2618</v>
      </c>
      <c r="S1170" s="4" t="str">
        <f>IFERROR(INDEX('LEV R&amp;D'!$D:$D,MATCH(MEDIÇÃO!R1170,'LEV R&amp;D'!$A:$A,0))-INDEX('PROJETO PERFURAÇÃO'!$AH:$AH,MATCH(MEDIÇÃO!R1170,'PROJETO PERFURAÇÃO'!$B:$B,0)),"")</f>
        <v/>
      </c>
      <c r="T1170" s="8" t="str">
        <f>IFERROR(INDEX('PROJETO PERFURAÇÃO'!$AN:$AN,MATCH(MEDIÇÃO!R1170,'PROJETO PERFURAÇÃO'!$B:$B,0)),"")</f>
        <v/>
      </c>
      <c r="U1170" s="3"/>
      <c r="V1170" s="3"/>
    </row>
    <row r="1171" spans="1:23" ht="45" customHeight="1">
      <c r="B1171" s="3" t="str">
        <f>IFERROR(ROUND(INDEX('PROJETO PERFURAÇÃO'!$AB:$AB,MATCH(MEDIÇÃO!D1171,'PROJETO PERFURAÇÃO'!$B:$B,0)),1)&amp;"''","")</f>
        <v/>
      </c>
      <c r="C1171" s="3" t="str">
        <f>IFERROR(IF(INDEX('PROJETO PERFURAÇÃO'!$P:$P,MATCH(MEDIÇÃO!D1171,'PROJETO PERFURAÇÃO'!$B:$B,0))="Production","P",IF(INDEX('PROJETO PERFURAÇÃO'!$P:$P,MATCH(MEDIÇÃO!D1171,'PROJETO PERFURAÇÃO'!$B:$B,0))="Buffer","B",IF(INDEX('PROJETO PERFURAÇÃO'!$P:$P,MATCH(MEDIÇÃO!D1171,'PROJETO PERFURAÇÃO'!$B:$B,0))="Pre-Splitting","S"))),"")</f>
        <v/>
      </c>
      <c r="D1171" s="14">
        <f t="shared" si="111"/>
        <v>2573</v>
      </c>
      <c r="E1171" s="4" t="str">
        <f>IFERROR(INDEX('LEV R&amp;D'!$D:$D,MATCH(MEDIÇÃO!D1171,'LEV R&amp;D'!$A:$A,0))-INDEX('PROJETO PERFURAÇÃO'!$AH:$AH,MATCH(MEDIÇÃO!D1171,'PROJETO PERFURAÇÃO'!$B:$B,0)),"")</f>
        <v/>
      </c>
      <c r="F1171" s="8" t="str">
        <f>IFERROR(INDEX('PROJETO PERFURAÇÃO'!$AN:$AN,MATCH(MEDIÇÃO!D1171,'PROJETO PERFURAÇÃO'!$B:$B,0)),"")</f>
        <v/>
      </c>
      <c r="G1171" s="3"/>
      <c r="H1171" s="3"/>
      <c r="I1171" s="3" t="str">
        <f>IFERROR(ROUND(INDEX('PROJETO PERFURAÇÃO'!$AB:$AB,MATCH(MEDIÇÃO!K1171,'PROJETO PERFURAÇÃO'!$B:$B,0)),1)&amp;"''","")</f>
        <v/>
      </c>
      <c r="J1171" s="3" t="str">
        <f>IFERROR(IF(INDEX('PROJETO PERFURAÇÃO'!$P:$P,MATCH(MEDIÇÃO!K1171,'PROJETO PERFURAÇÃO'!$B:$B,0))="Production","P",IF(INDEX('PROJETO PERFURAÇÃO'!$P:$P,MATCH(MEDIÇÃO!K1171,'PROJETO PERFURAÇÃO'!$B:$B,0))="Buffer","B",IF(INDEX('PROJETO PERFURAÇÃO'!$P:$P,MATCH(MEDIÇÃO!K1171,'PROJETO PERFURAÇÃO'!$B:$B,0))="Pre-Splitting","S"))),"")</f>
        <v/>
      </c>
      <c r="K1171" s="14">
        <f t="shared" si="112"/>
        <v>2596</v>
      </c>
      <c r="L1171" s="4" t="str">
        <f>IFERROR(INDEX('LEV R&amp;D'!$D:$D,MATCH(MEDIÇÃO!K1171,'LEV R&amp;D'!$A:$A,0))-INDEX('PROJETO PERFURAÇÃO'!$AH:$AH,MATCH(MEDIÇÃO!K1171,'PROJETO PERFURAÇÃO'!$B:$B,0)),"")</f>
        <v/>
      </c>
      <c r="M1171" s="8" t="str">
        <f>IFERROR(INDEX('PROJETO PERFURAÇÃO'!$AN:$AN,MATCH(MEDIÇÃO!K1171,'PROJETO PERFURAÇÃO'!$B:$B,0)),"")</f>
        <v/>
      </c>
      <c r="N1171" s="3"/>
      <c r="O1171" s="3"/>
      <c r="P1171" s="3" t="str">
        <f>IFERROR(ROUND(INDEX('PROJETO PERFURAÇÃO'!$AB:$AB,MATCH(MEDIÇÃO!R1171,'PROJETO PERFURAÇÃO'!$B:$B,0)),1)&amp;"''","")</f>
        <v/>
      </c>
      <c r="Q1171" s="3" t="str">
        <f>IFERROR(IF(INDEX('PROJETO PERFURAÇÃO'!$P:$P,MATCH(MEDIÇÃO!R1171,'PROJETO PERFURAÇÃO'!$B:$B,0))="Production","P",IF(INDEX('PROJETO PERFURAÇÃO'!$P:$P,MATCH(MEDIÇÃO!R1171,'PROJETO PERFURAÇÃO'!$B:$B,0))="Buffer","B",IF(INDEX('PROJETO PERFURAÇÃO'!$P:$P,MATCH(MEDIÇÃO!R1171,'PROJETO PERFURAÇÃO'!$B:$B,0))="Pre-Splitting","S"))),"")</f>
        <v/>
      </c>
      <c r="R1171" s="14">
        <f t="shared" si="113"/>
        <v>2619</v>
      </c>
      <c r="S1171" s="4" t="str">
        <f>IFERROR(INDEX('LEV R&amp;D'!$D:$D,MATCH(MEDIÇÃO!R1171,'LEV R&amp;D'!$A:$A,0))-INDEX('PROJETO PERFURAÇÃO'!$AH:$AH,MATCH(MEDIÇÃO!R1171,'PROJETO PERFURAÇÃO'!$B:$B,0)),"")</f>
        <v/>
      </c>
      <c r="T1171" s="8" t="str">
        <f>IFERROR(INDEX('PROJETO PERFURAÇÃO'!$AN:$AN,MATCH(MEDIÇÃO!R1171,'PROJETO PERFURAÇÃO'!$B:$B,0)),"")</f>
        <v/>
      </c>
      <c r="U1171" s="3"/>
      <c r="V1171" s="3"/>
    </row>
    <row r="1172" spans="1:23" ht="45" customHeight="1">
      <c r="B1172" s="3" t="str">
        <f>IFERROR(ROUND(INDEX('PROJETO PERFURAÇÃO'!$AB:$AB,MATCH(MEDIÇÃO!D1172,'PROJETO PERFURAÇÃO'!$B:$B,0)),1)&amp;"''","")</f>
        <v/>
      </c>
      <c r="C1172" s="3" t="str">
        <f>IFERROR(IF(INDEX('PROJETO PERFURAÇÃO'!$P:$P,MATCH(MEDIÇÃO!D1172,'PROJETO PERFURAÇÃO'!$B:$B,0))="Production","P",IF(INDEX('PROJETO PERFURAÇÃO'!$P:$P,MATCH(MEDIÇÃO!D1172,'PROJETO PERFURAÇÃO'!$B:$B,0))="Buffer","B",IF(INDEX('PROJETO PERFURAÇÃO'!$P:$P,MATCH(MEDIÇÃO!D1172,'PROJETO PERFURAÇÃO'!$B:$B,0))="Pre-Splitting","S"))),"")</f>
        <v/>
      </c>
      <c r="D1172" s="14">
        <f t="shared" si="111"/>
        <v>2574</v>
      </c>
      <c r="E1172" s="4" t="str">
        <f>IFERROR(INDEX('LEV R&amp;D'!$D:$D,MATCH(MEDIÇÃO!D1172,'LEV R&amp;D'!$A:$A,0))-INDEX('PROJETO PERFURAÇÃO'!$AH:$AH,MATCH(MEDIÇÃO!D1172,'PROJETO PERFURAÇÃO'!$B:$B,0)),"")</f>
        <v/>
      </c>
      <c r="F1172" s="8" t="str">
        <f>IFERROR(INDEX('PROJETO PERFURAÇÃO'!$AN:$AN,MATCH(MEDIÇÃO!D1172,'PROJETO PERFURAÇÃO'!$B:$B,0)),"")</f>
        <v/>
      </c>
      <c r="G1172" s="3"/>
      <c r="H1172" s="3"/>
      <c r="I1172" s="3" t="str">
        <f>IFERROR(ROUND(INDEX('PROJETO PERFURAÇÃO'!$AB:$AB,MATCH(MEDIÇÃO!K1172,'PROJETO PERFURAÇÃO'!$B:$B,0)),1)&amp;"''","")</f>
        <v/>
      </c>
      <c r="J1172" s="3" t="str">
        <f>IFERROR(IF(INDEX('PROJETO PERFURAÇÃO'!$P:$P,MATCH(MEDIÇÃO!K1172,'PROJETO PERFURAÇÃO'!$B:$B,0))="Production","P",IF(INDEX('PROJETO PERFURAÇÃO'!$P:$P,MATCH(MEDIÇÃO!K1172,'PROJETO PERFURAÇÃO'!$B:$B,0))="Buffer","B",IF(INDEX('PROJETO PERFURAÇÃO'!$P:$P,MATCH(MEDIÇÃO!K1172,'PROJETO PERFURAÇÃO'!$B:$B,0))="Pre-Splitting","S"))),"")</f>
        <v/>
      </c>
      <c r="K1172" s="14">
        <f t="shared" si="112"/>
        <v>2597</v>
      </c>
      <c r="L1172" s="4" t="str">
        <f>IFERROR(INDEX('LEV R&amp;D'!$D:$D,MATCH(MEDIÇÃO!K1172,'LEV R&amp;D'!$A:$A,0))-INDEX('PROJETO PERFURAÇÃO'!$AH:$AH,MATCH(MEDIÇÃO!K1172,'PROJETO PERFURAÇÃO'!$B:$B,0)),"")</f>
        <v/>
      </c>
      <c r="M1172" s="8" t="str">
        <f>IFERROR(INDEX('PROJETO PERFURAÇÃO'!$AN:$AN,MATCH(MEDIÇÃO!K1172,'PROJETO PERFURAÇÃO'!$B:$B,0)),"")</f>
        <v/>
      </c>
      <c r="N1172" s="3"/>
      <c r="O1172" s="3"/>
      <c r="P1172" s="3" t="str">
        <f>IFERROR(ROUND(INDEX('PROJETO PERFURAÇÃO'!$AB:$AB,MATCH(MEDIÇÃO!R1172,'PROJETO PERFURAÇÃO'!$B:$B,0)),1)&amp;"''","")</f>
        <v/>
      </c>
      <c r="Q1172" s="3" t="str">
        <f>IFERROR(IF(INDEX('PROJETO PERFURAÇÃO'!$P:$P,MATCH(MEDIÇÃO!R1172,'PROJETO PERFURAÇÃO'!$B:$B,0))="Production","P",IF(INDEX('PROJETO PERFURAÇÃO'!$P:$P,MATCH(MEDIÇÃO!R1172,'PROJETO PERFURAÇÃO'!$B:$B,0))="Buffer","B",IF(INDEX('PROJETO PERFURAÇÃO'!$P:$P,MATCH(MEDIÇÃO!R1172,'PROJETO PERFURAÇÃO'!$B:$B,0))="Pre-Splitting","S"))),"")</f>
        <v/>
      </c>
      <c r="R1172" s="14">
        <f t="shared" si="113"/>
        <v>2620</v>
      </c>
      <c r="S1172" s="4" t="str">
        <f>IFERROR(INDEX('LEV R&amp;D'!$D:$D,MATCH(MEDIÇÃO!R1172,'LEV R&amp;D'!$A:$A,0))-INDEX('PROJETO PERFURAÇÃO'!$AH:$AH,MATCH(MEDIÇÃO!R1172,'PROJETO PERFURAÇÃO'!$B:$B,0)),"")</f>
        <v/>
      </c>
      <c r="T1172" s="8" t="str">
        <f>IFERROR(INDEX('PROJETO PERFURAÇÃO'!$AN:$AN,MATCH(MEDIÇÃO!R1172,'PROJETO PERFURAÇÃO'!$B:$B,0)),"")</f>
        <v/>
      </c>
      <c r="U1172" s="3"/>
      <c r="V1172" s="3"/>
    </row>
    <row r="1173" spans="1:23" ht="45" customHeight="1">
      <c r="B1173" s="3" t="str">
        <f>IFERROR(ROUND(INDEX('PROJETO PERFURAÇÃO'!$AB:$AB,MATCH(MEDIÇÃO!D1173,'PROJETO PERFURAÇÃO'!$B:$B,0)),1)&amp;"''","")</f>
        <v/>
      </c>
      <c r="C1173" s="3" t="str">
        <f>IFERROR(IF(INDEX('PROJETO PERFURAÇÃO'!$P:$P,MATCH(MEDIÇÃO!D1173,'PROJETO PERFURAÇÃO'!$B:$B,0))="Production","P",IF(INDEX('PROJETO PERFURAÇÃO'!$P:$P,MATCH(MEDIÇÃO!D1173,'PROJETO PERFURAÇÃO'!$B:$B,0))="Buffer","B",IF(INDEX('PROJETO PERFURAÇÃO'!$P:$P,MATCH(MEDIÇÃO!D1173,'PROJETO PERFURAÇÃO'!$B:$B,0))="Pre-Splitting","S"))),"")</f>
        <v/>
      </c>
      <c r="D1173" s="14">
        <f t="shared" si="111"/>
        <v>2575</v>
      </c>
      <c r="E1173" s="4" t="str">
        <f>IFERROR(INDEX('LEV R&amp;D'!$D:$D,MATCH(MEDIÇÃO!D1173,'LEV R&amp;D'!$A:$A,0))-INDEX('PROJETO PERFURAÇÃO'!$AH:$AH,MATCH(MEDIÇÃO!D1173,'PROJETO PERFURAÇÃO'!$B:$B,0)),"")</f>
        <v/>
      </c>
      <c r="F1173" s="8" t="str">
        <f>IFERROR(INDEX('PROJETO PERFURAÇÃO'!$AN:$AN,MATCH(MEDIÇÃO!D1173,'PROJETO PERFURAÇÃO'!$B:$B,0)),"")</f>
        <v/>
      </c>
      <c r="G1173" s="3"/>
      <c r="H1173" s="3"/>
      <c r="I1173" s="3" t="str">
        <f>IFERROR(ROUND(INDEX('PROJETO PERFURAÇÃO'!$AB:$AB,MATCH(MEDIÇÃO!K1173,'PROJETO PERFURAÇÃO'!$B:$B,0)),1)&amp;"''","")</f>
        <v/>
      </c>
      <c r="J1173" s="3" t="str">
        <f>IFERROR(IF(INDEX('PROJETO PERFURAÇÃO'!$P:$P,MATCH(MEDIÇÃO!K1173,'PROJETO PERFURAÇÃO'!$B:$B,0))="Production","P",IF(INDEX('PROJETO PERFURAÇÃO'!$P:$P,MATCH(MEDIÇÃO!K1173,'PROJETO PERFURAÇÃO'!$B:$B,0))="Buffer","B",IF(INDEX('PROJETO PERFURAÇÃO'!$P:$P,MATCH(MEDIÇÃO!K1173,'PROJETO PERFURAÇÃO'!$B:$B,0))="Pre-Splitting","S"))),"")</f>
        <v/>
      </c>
      <c r="K1173" s="14">
        <f t="shared" si="112"/>
        <v>2598</v>
      </c>
      <c r="L1173" s="4" t="str">
        <f>IFERROR(INDEX('LEV R&amp;D'!$D:$D,MATCH(MEDIÇÃO!K1173,'LEV R&amp;D'!$A:$A,0))-INDEX('PROJETO PERFURAÇÃO'!$AH:$AH,MATCH(MEDIÇÃO!K1173,'PROJETO PERFURAÇÃO'!$B:$B,0)),"")</f>
        <v/>
      </c>
      <c r="M1173" s="8" t="str">
        <f>IFERROR(INDEX('PROJETO PERFURAÇÃO'!$AN:$AN,MATCH(MEDIÇÃO!K1173,'PROJETO PERFURAÇÃO'!$B:$B,0)),"")</f>
        <v/>
      </c>
      <c r="N1173" s="3"/>
      <c r="O1173" s="3"/>
      <c r="P1173" s="3" t="str">
        <f>IFERROR(ROUND(INDEX('PROJETO PERFURAÇÃO'!$AB:$AB,MATCH(MEDIÇÃO!R1173,'PROJETO PERFURAÇÃO'!$B:$B,0)),1)&amp;"''","")</f>
        <v/>
      </c>
      <c r="Q1173" s="3" t="str">
        <f>IFERROR(IF(INDEX('PROJETO PERFURAÇÃO'!$P:$P,MATCH(MEDIÇÃO!R1173,'PROJETO PERFURAÇÃO'!$B:$B,0))="Production","P",IF(INDEX('PROJETO PERFURAÇÃO'!$P:$P,MATCH(MEDIÇÃO!R1173,'PROJETO PERFURAÇÃO'!$B:$B,0))="Buffer","B",IF(INDEX('PROJETO PERFURAÇÃO'!$P:$P,MATCH(MEDIÇÃO!R1173,'PROJETO PERFURAÇÃO'!$B:$B,0))="Pre-Splitting","S"))),"")</f>
        <v/>
      </c>
      <c r="R1173" s="14">
        <f t="shared" si="113"/>
        <v>2621</v>
      </c>
      <c r="S1173" s="4" t="str">
        <f>IFERROR(INDEX('LEV R&amp;D'!$D:$D,MATCH(MEDIÇÃO!R1173,'LEV R&amp;D'!$A:$A,0))-INDEX('PROJETO PERFURAÇÃO'!$AH:$AH,MATCH(MEDIÇÃO!R1173,'PROJETO PERFURAÇÃO'!$B:$B,0)),"")</f>
        <v/>
      </c>
      <c r="T1173" s="8" t="str">
        <f>IFERROR(INDEX('PROJETO PERFURAÇÃO'!$AN:$AN,MATCH(MEDIÇÃO!R1173,'PROJETO PERFURAÇÃO'!$B:$B,0)),"")</f>
        <v/>
      </c>
      <c r="U1173" s="3"/>
      <c r="V1173" s="3"/>
    </row>
    <row r="1174" spans="1:23" ht="45" customHeight="1">
      <c r="B1174" s="3" t="str">
        <f>IFERROR(ROUND(INDEX('PROJETO PERFURAÇÃO'!$AB:$AB,MATCH(MEDIÇÃO!D1174,'PROJETO PERFURAÇÃO'!$B:$B,0)),1)&amp;"''","")</f>
        <v/>
      </c>
      <c r="C1174" s="3" t="str">
        <f>IFERROR(IF(INDEX('PROJETO PERFURAÇÃO'!$P:$P,MATCH(MEDIÇÃO!D1174,'PROJETO PERFURAÇÃO'!$B:$B,0))="Production","P",IF(INDEX('PROJETO PERFURAÇÃO'!$P:$P,MATCH(MEDIÇÃO!D1174,'PROJETO PERFURAÇÃO'!$B:$B,0))="Buffer","B",IF(INDEX('PROJETO PERFURAÇÃO'!$P:$P,MATCH(MEDIÇÃO!D1174,'PROJETO PERFURAÇÃO'!$B:$B,0))="Pre-Splitting","S"))),"")</f>
        <v/>
      </c>
      <c r="D1174" s="14">
        <f t="shared" si="111"/>
        <v>2576</v>
      </c>
      <c r="E1174" s="4" t="str">
        <f>IFERROR(INDEX('LEV R&amp;D'!$D:$D,MATCH(MEDIÇÃO!D1174,'LEV R&amp;D'!$A:$A,0))-INDEX('PROJETO PERFURAÇÃO'!$AH:$AH,MATCH(MEDIÇÃO!D1174,'PROJETO PERFURAÇÃO'!$B:$B,0)),"")</f>
        <v/>
      </c>
      <c r="F1174" s="8" t="str">
        <f>IFERROR(INDEX('PROJETO PERFURAÇÃO'!$AN:$AN,MATCH(MEDIÇÃO!D1174,'PROJETO PERFURAÇÃO'!$B:$B,0)),"")</f>
        <v/>
      </c>
      <c r="G1174" s="3"/>
      <c r="H1174" s="3"/>
      <c r="I1174" s="3" t="str">
        <f>IFERROR(ROUND(INDEX('PROJETO PERFURAÇÃO'!$AB:$AB,MATCH(MEDIÇÃO!K1174,'PROJETO PERFURAÇÃO'!$B:$B,0)),1)&amp;"''","")</f>
        <v/>
      </c>
      <c r="J1174" s="3" t="str">
        <f>IFERROR(IF(INDEX('PROJETO PERFURAÇÃO'!$P:$P,MATCH(MEDIÇÃO!K1174,'PROJETO PERFURAÇÃO'!$B:$B,0))="Production","P",IF(INDEX('PROJETO PERFURAÇÃO'!$P:$P,MATCH(MEDIÇÃO!K1174,'PROJETO PERFURAÇÃO'!$B:$B,0))="Buffer","B",IF(INDEX('PROJETO PERFURAÇÃO'!$P:$P,MATCH(MEDIÇÃO!K1174,'PROJETO PERFURAÇÃO'!$B:$B,0))="Pre-Splitting","S"))),"")</f>
        <v/>
      </c>
      <c r="K1174" s="14">
        <f>K1173+1</f>
        <v>2599</v>
      </c>
      <c r="L1174" s="4" t="str">
        <f>IFERROR(INDEX('LEV R&amp;D'!$D:$D,MATCH(MEDIÇÃO!K1174,'LEV R&amp;D'!$A:$A,0))-INDEX('PROJETO PERFURAÇÃO'!$AH:$AH,MATCH(MEDIÇÃO!K1174,'PROJETO PERFURAÇÃO'!$B:$B,0)),"")</f>
        <v/>
      </c>
      <c r="M1174" s="8" t="str">
        <f>IFERROR(INDEX('PROJETO PERFURAÇÃO'!$AN:$AN,MATCH(MEDIÇÃO!K1174,'PROJETO PERFURAÇÃO'!$B:$B,0)),"")</f>
        <v/>
      </c>
      <c r="N1174" s="3"/>
      <c r="O1174" s="3"/>
      <c r="P1174" s="3" t="str">
        <f>IFERROR(ROUND(INDEX('PROJETO PERFURAÇÃO'!$AB:$AB,MATCH(MEDIÇÃO!R1174,'PROJETO PERFURAÇÃO'!$B:$B,0)),1)&amp;"''","")</f>
        <v/>
      </c>
      <c r="Q1174" s="3" t="str">
        <f>IFERROR(IF(INDEX('PROJETO PERFURAÇÃO'!$P:$P,MATCH(MEDIÇÃO!R1174,'PROJETO PERFURAÇÃO'!$B:$B,0))="Production","P",IF(INDEX('PROJETO PERFURAÇÃO'!$P:$P,MATCH(MEDIÇÃO!R1174,'PROJETO PERFURAÇÃO'!$B:$B,0))="Buffer","B",IF(INDEX('PROJETO PERFURAÇÃO'!$P:$P,MATCH(MEDIÇÃO!R1174,'PROJETO PERFURAÇÃO'!$B:$B,0))="Pre-Splitting","S"))),"")</f>
        <v/>
      </c>
      <c r="R1174" s="14">
        <f>R1173+1</f>
        <v>2622</v>
      </c>
      <c r="S1174" s="4" t="str">
        <f>IFERROR(INDEX('LEV R&amp;D'!$D:$D,MATCH(MEDIÇÃO!R1174,'LEV R&amp;D'!$A:$A,0))-INDEX('PROJETO PERFURAÇÃO'!$AH:$AH,MATCH(MEDIÇÃO!R1174,'PROJETO PERFURAÇÃO'!$B:$B,0)),"")</f>
        <v/>
      </c>
      <c r="T1174" s="8" t="str">
        <f>IFERROR(INDEX('PROJETO PERFURAÇÃO'!$AN:$AN,MATCH(MEDIÇÃO!R1174,'PROJETO PERFURAÇÃO'!$B:$B,0)),"")</f>
        <v/>
      </c>
      <c r="U1174" s="3"/>
      <c r="V1174" s="3"/>
    </row>
    <row r="1175" spans="1:23" ht="30" customHeight="1">
      <c r="B1175" s="1"/>
      <c r="C1175" s="1"/>
      <c r="D1175" s="15"/>
      <c r="E1175" s="2"/>
      <c r="F1175" s="16"/>
      <c r="G1175" s="1"/>
      <c r="H1175" s="1"/>
      <c r="I1175" s="1"/>
      <c r="J1175" s="1"/>
      <c r="K1175" s="15"/>
      <c r="L1175" s="2"/>
      <c r="M1175" s="16"/>
      <c r="N1175" s="1"/>
      <c r="O1175" s="1"/>
      <c r="P1175" s="1"/>
      <c r="Q1175" s="1"/>
      <c r="R1175" s="15"/>
      <c r="S1175" s="2"/>
      <c r="T1175" s="16"/>
      <c r="U1175" s="1"/>
      <c r="V1175" s="1"/>
    </row>
    <row r="1176" spans="1:23" ht="30" customHeight="1">
      <c r="C1176" s="20"/>
      <c r="D1176" s="20"/>
      <c r="E1176" s="20"/>
      <c r="F1176" s="20"/>
      <c r="G1176" s="20"/>
      <c r="H1176" s="20"/>
      <c r="I1176" s="20"/>
      <c r="J1176" s="20"/>
      <c r="K1176" s="20"/>
      <c r="M1176" s="20"/>
      <c r="N1176" s="20"/>
      <c r="O1176" s="20"/>
      <c r="P1176" s="20"/>
      <c r="Q1176" s="20"/>
      <c r="R1176" s="20"/>
      <c r="S1176" s="20"/>
      <c r="T1176" s="20"/>
      <c r="U1176" s="20"/>
    </row>
    <row r="1177" spans="1:23" ht="30" customHeight="1">
      <c r="C1177" s="21" t="s">
        <v>40</v>
      </c>
      <c r="D1177" s="21"/>
      <c r="E1177" s="21"/>
      <c r="F1177" s="21"/>
      <c r="G1177" s="21"/>
      <c r="H1177" s="21"/>
      <c r="I1177" s="21"/>
      <c r="J1177" s="21"/>
      <c r="K1177" s="21"/>
      <c r="L1177" s="9"/>
      <c r="M1177" s="21" t="s">
        <v>40</v>
      </c>
      <c r="N1177" s="21"/>
      <c r="O1177" s="21"/>
      <c r="P1177" s="21"/>
      <c r="Q1177" s="21"/>
      <c r="R1177" s="21"/>
      <c r="S1177" s="21"/>
      <c r="T1177" s="21"/>
      <c r="U1177" s="21"/>
      <c r="V1177" s="9"/>
    </row>
    <row r="1178" spans="1:23" ht="30" customHeight="1">
      <c r="D1178" s="9"/>
      <c r="E1178" s="9"/>
      <c r="F1178" s="9"/>
      <c r="G1178" s="9"/>
      <c r="H1178" s="9"/>
      <c r="I1178" s="9"/>
      <c r="J1178" s="9"/>
      <c r="K1178" s="9"/>
      <c r="L1178" s="9"/>
      <c r="M1178" s="9"/>
      <c r="N1178" s="9"/>
      <c r="Q1178" s="9"/>
      <c r="R1178" s="9"/>
      <c r="S1178" s="9"/>
      <c r="T1178" s="9"/>
      <c r="U1178" s="9"/>
      <c r="V1178" s="9"/>
    </row>
    <row r="1179" spans="1:23" ht="30" customHeight="1">
      <c r="B1179" s="19" t="str">
        <f>'PROJETO PERFURAÇÃO'!$C$2&amp;" - "&amp;'PROJETO PERFURAÇÃO'!$H$2</f>
        <v>LIB037 - PP0370626</v>
      </c>
      <c r="C1179" s="19"/>
      <c r="D1179" s="19"/>
      <c r="E1179" s="19"/>
      <c r="F1179" s="19"/>
      <c r="G1179" s="19"/>
      <c r="H1179" s="19"/>
      <c r="I1179" s="11" t="s">
        <v>34</v>
      </c>
      <c r="J1179" s="10" t="s">
        <v>37</v>
      </c>
    </row>
    <row r="1180" spans="1:23" ht="30" customHeight="1">
      <c r="B1180" s="19"/>
      <c r="C1180" s="19"/>
      <c r="D1180" s="19"/>
      <c r="E1180" s="19"/>
      <c r="F1180" s="19"/>
      <c r="G1180" s="19"/>
      <c r="H1180" s="19"/>
      <c r="I1180" s="12" t="s">
        <v>35</v>
      </c>
      <c r="J1180" s="10" t="s">
        <v>38</v>
      </c>
      <c r="K1180" s="9"/>
      <c r="L1180" s="9"/>
      <c r="M1180" s="9"/>
      <c r="N1180" s="9"/>
      <c r="O1180" s="9"/>
      <c r="P1180" s="9"/>
      <c r="Q1180" s="9"/>
      <c r="R1180" s="9"/>
      <c r="S1180" s="9"/>
      <c r="T1180" s="9"/>
      <c r="U1180" s="9"/>
      <c r="V1180" s="9"/>
    </row>
    <row r="1181" spans="1:23" ht="30" customHeight="1">
      <c r="B1181" s="19"/>
      <c r="C1181" s="19"/>
      <c r="D1181" s="19"/>
      <c r="E1181" s="19"/>
      <c r="F1181" s="19"/>
      <c r="G1181" s="19"/>
      <c r="H1181" s="19"/>
      <c r="I1181" s="13" t="s">
        <v>36</v>
      </c>
      <c r="J1181" s="10" t="s">
        <v>39</v>
      </c>
    </row>
    <row r="1182" spans="1:23" ht="30" customHeight="1">
      <c r="A1182" s="1"/>
      <c r="B1182" s="6" t="s">
        <v>33</v>
      </c>
      <c r="C1182" s="6" t="s">
        <v>13</v>
      </c>
      <c r="D1182" s="7" t="s">
        <v>1</v>
      </c>
      <c r="E1182" s="7" t="s">
        <v>29</v>
      </c>
      <c r="F1182" s="7" t="s">
        <v>30</v>
      </c>
      <c r="G1182" s="7" t="s">
        <v>31</v>
      </c>
      <c r="H1182" s="7" t="s">
        <v>32</v>
      </c>
      <c r="I1182" s="6" t="s">
        <v>33</v>
      </c>
      <c r="J1182" s="6" t="s">
        <v>13</v>
      </c>
      <c r="K1182" s="7" t="s">
        <v>1</v>
      </c>
      <c r="L1182" s="7" t="s">
        <v>29</v>
      </c>
      <c r="M1182" s="7" t="s">
        <v>30</v>
      </c>
      <c r="N1182" s="7" t="s">
        <v>31</v>
      </c>
      <c r="O1182" s="7" t="s">
        <v>32</v>
      </c>
      <c r="P1182" s="6" t="s">
        <v>33</v>
      </c>
      <c r="Q1182" s="6" t="s">
        <v>13</v>
      </c>
      <c r="R1182" s="7" t="s">
        <v>1</v>
      </c>
      <c r="S1182" s="7" t="s">
        <v>29</v>
      </c>
      <c r="T1182" s="7" t="s">
        <v>30</v>
      </c>
      <c r="U1182" s="7" t="s">
        <v>31</v>
      </c>
      <c r="V1182" s="7" t="s">
        <v>32</v>
      </c>
      <c r="W1182" s="1"/>
    </row>
    <row r="1183" spans="1:23" ht="45" customHeight="1">
      <c r="B1183" s="3" t="str">
        <f>IFERROR(ROUND(INDEX('PROJETO PERFURAÇÃO'!$AB:$AB,MATCH(MEDIÇÃO!D1183,'PROJETO PERFURAÇÃO'!$B:$B,0)),1)&amp;"''","")</f>
        <v/>
      </c>
      <c r="C1183" s="3" t="str">
        <f>IFERROR(IF(INDEX('PROJETO PERFURAÇÃO'!$P:$P,MATCH(MEDIÇÃO!D1183,'PROJETO PERFURAÇÃO'!$B:$B,0))="Production","P",IF(INDEX('PROJETO PERFURAÇÃO'!$P:$P,MATCH(MEDIÇÃO!D1183,'PROJETO PERFURAÇÃO'!$B:$B,0))="Buffer","B",IF(INDEX('PROJETO PERFURAÇÃO'!$P:$P,MATCH(MEDIÇÃO!D1183,'PROJETO PERFURAÇÃO'!$B:$B,0))="Pre-Splitting","S"))),"")</f>
        <v/>
      </c>
      <c r="D1183" s="14">
        <f>R1174+1</f>
        <v>2623</v>
      </c>
      <c r="E1183" s="4" t="str">
        <f>IFERROR(INDEX('LEV R&amp;D'!$D:$D,MATCH(MEDIÇÃO!D1183,'LEV R&amp;D'!$A:$A,0))-INDEX('PROJETO PERFURAÇÃO'!$AH:$AH,MATCH(MEDIÇÃO!D1183,'PROJETO PERFURAÇÃO'!$B:$B,0)),"")</f>
        <v/>
      </c>
      <c r="F1183" s="8" t="str">
        <f>IFERROR(INDEX('PROJETO PERFURAÇÃO'!$AN:$AN,MATCH(MEDIÇÃO!D1183,'PROJETO PERFURAÇÃO'!$B:$B,0)),"")</f>
        <v/>
      </c>
      <c r="G1183" s="3"/>
      <c r="H1183" s="3"/>
      <c r="I1183" s="3" t="str">
        <f>IFERROR(ROUND(INDEX('PROJETO PERFURAÇÃO'!$AB:$AB,MATCH(MEDIÇÃO!K1183,'PROJETO PERFURAÇÃO'!$B:$B,0)),1)&amp;"''","")</f>
        <v/>
      </c>
      <c r="J1183" s="3" t="str">
        <f>IFERROR(IF(INDEX('PROJETO PERFURAÇÃO'!$P:$P,MATCH(MEDIÇÃO!K1183,'PROJETO PERFURAÇÃO'!$B:$B,0))="Production","P",IF(INDEX('PROJETO PERFURAÇÃO'!$P:$P,MATCH(MEDIÇÃO!K1183,'PROJETO PERFURAÇÃO'!$B:$B,0))="Buffer","B",IF(INDEX('PROJETO PERFURAÇÃO'!$P:$P,MATCH(MEDIÇÃO!K1183,'PROJETO PERFURAÇÃO'!$B:$B,0))="Pre-Splitting","S"))),"")</f>
        <v/>
      </c>
      <c r="K1183" s="14">
        <f>D1205+1</f>
        <v>2646</v>
      </c>
      <c r="L1183" s="4" t="str">
        <f>IFERROR(INDEX('LEV R&amp;D'!$D:$D,MATCH(MEDIÇÃO!K1183,'LEV R&amp;D'!$A:$A,0))-INDEX('PROJETO PERFURAÇÃO'!$AH:$AH,MATCH(MEDIÇÃO!K1183,'PROJETO PERFURAÇÃO'!$B:$B,0)),"")</f>
        <v/>
      </c>
      <c r="M1183" s="8" t="str">
        <f>IFERROR(INDEX('PROJETO PERFURAÇÃO'!$AN:$AN,MATCH(MEDIÇÃO!K1183,'PROJETO PERFURAÇÃO'!$B:$B,0)),"")</f>
        <v/>
      </c>
      <c r="N1183" s="3"/>
      <c r="O1183" s="3"/>
      <c r="P1183" s="3" t="str">
        <f>IFERROR(ROUND(INDEX('PROJETO PERFURAÇÃO'!$AB:$AB,MATCH(MEDIÇÃO!R1183,'PROJETO PERFURAÇÃO'!$B:$B,0)),1)&amp;"''","")</f>
        <v/>
      </c>
      <c r="Q1183" s="3" t="str">
        <f>IFERROR(IF(INDEX('PROJETO PERFURAÇÃO'!$P:$P,MATCH(MEDIÇÃO!R1183,'PROJETO PERFURAÇÃO'!$B:$B,0))="Production","P",IF(INDEX('PROJETO PERFURAÇÃO'!$P:$P,MATCH(MEDIÇÃO!R1183,'PROJETO PERFURAÇÃO'!$B:$B,0))="Buffer","B",IF(INDEX('PROJETO PERFURAÇÃO'!$P:$P,MATCH(MEDIÇÃO!R1183,'PROJETO PERFURAÇÃO'!$B:$B,0))="Pre-Splitting","S"))),"")</f>
        <v/>
      </c>
      <c r="R1183" s="14">
        <f>K1205+1</f>
        <v>2669</v>
      </c>
      <c r="S1183" s="4" t="str">
        <f>IFERROR(INDEX('LEV R&amp;D'!$D:$D,MATCH(MEDIÇÃO!R1183,'LEV R&amp;D'!$A:$A,0))-INDEX('PROJETO PERFURAÇÃO'!$AH:$AH,MATCH(MEDIÇÃO!R1183,'PROJETO PERFURAÇÃO'!$B:$B,0)),"")</f>
        <v/>
      </c>
      <c r="T1183" s="8" t="str">
        <f>IFERROR(INDEX('PROJETO PERFURAÇÃO'!$AN:$AN,MATCH(MEDIÇÃO!R1183,'PROJETO PERFURAÇÃO'!$B:$B,0)),"")</f>
        <v/>
      </c>
      <c r="U1183" s="3"/>
      <c r="V1183" s="3"/>
    </row>
    <row r="1184" spans="1:23" ht="45" customHeight="1">
      <c r="B1184" s="3" t="str">
        <f>IFERROR(ROUND(INDEX('PROJETO PERFURAÇÃO'!$AB:$AB,MATCH(MEDIÇÃO!D1184,'PROJETO PERFURAÇÃO'!$B:$B,0)),1)&amp;"''","")</f>
        <v/>
      </c>
      <c r="C1184" s="3" t="str">
        <f>IFERROR(IF(INDEX('PROJETO PERFURAÇÃO'!$P:$P,MATCH(MEDIÇÃO!D1184,'PROJETO PERFURAÇÃO'!$B:$B,0))="Production","P",IF(INDEX('PROJETO PERFURAÇÃO'!$P:$P,MATCH(MEDIÇÃO!D1184,'PROJETO PERFURAÇÃO'!$B:$B,0))="Buffer","B",IF(INDEX('PROJETO PERFURAÇÃO'!$P:$P,MATCH(MEDIÇÃO!D1184,'PROJETO PERFURAÇÃO'!$B:$B,0))="Pre-Splitting","S"))),"")</f>
        <v/>
      </c>
      <c r="D1184" s="14">
        <f>D1183+1</f>
        <v>2624</v>
      </c>
      <c r="E1184" s="4" t="str">
        <f>IFERROR(INDEX('LEV R&amp;D'!$D:$D,MATCH(MEDIÇÃO!D1184,'LEV R&amp;D'!$A:$A,0))-INDEX('PROJETO PERFURAÇÃO'!$AH:$AH,MATCH(MEDIÇÃO!D1184,'PROJETO PERFURAÇÃO'!$B:$B,0)),"")</f>
        <v/>
      </c>
      <c r="F1184" s="8" t="str">
        <f>IFERROR(INDEX('PROJETO PERFURAÇÃO'!$AN:$AN,MATCH(MEDIÇÃO!D1184,'PROJETO PERFURAÇÃO'!$B:$B,0)),"")</f>
        <v/>
      </c>
      <c r="G1184" s="3"/>
      <c r="H1184" s="3"/>
      <c r="I1184" s="3" t="str">
        <f>IFERROR(ROUND(INDEX('PROJETO PERFURAÇÃO'!$AB:$AB,MATCH(MEDIÇÃO!K1184,'PROJETO PERFURAÇÃO'!$B:$B,0)),1)&amp;"''","")</f>
        <v/>
      </c>
      <c r="J1184" s="3" t="str">
        <f>IFERROR(IF(INDEX('PROJETO PERFURAÇÃO'!$P:$P,MATCH(MEDIÇÃO!K1184,'PROJETO PERFURAÇÃO'!$B:$B,0))="Production","P",IF(INDEX('PROJETO PERFURAÇÃO'!$P:$P,MATCH(MEDIÇÃO!K1184,'PROJETO PERFURAÇÃO'!$B:$B,0))="Buffer","B",IF(INDEX('PROJETO PERFURAÇÃO'!$P:$P,MATCH(MEDIÇÃO!K1184,'PROJETO PERFURAÇÃO'!$B:$B,0))="Pre-Splitting","S"))),"")</f>
        <v/>
      </c>
      <c r="K1184" s="14">
        <f>K1183+1</f>
        <v>2647</v>
      </c>
      <c r="L1184" s="4" t="str">
        <f>IFERROR(INDEX('LEV R&amp;D'!$D:$D,MATCH(MEDIÇÃO!K1184,'LEV R&amp;D'!$A:$A,0))-INDEX('PROJETO PERFURAÇÃO'!$AH:$AH,MATCH(MEDIÇÃO!K1184,'PROJETO PERFURAÇÃO'!$B:$B,0)),"")</f>
        <v/>
      </c>
      <c r="M1184" s="8" t="str">
        <f>IFERROR(INDEX('PROJETO PERFURAÇÃO'!$AN:$AN,MATCH(MEDIÇÃO!K1184,'PROJETO PERFURAÇÃO'!$B:$B,0)),"")</f>
        <v/>
      </c>
      <c r="N1184" s="3"/>
      <c r="O1184" s="3"/>
      <c r="P1184" s="3" t="str">
        <f>IFERROR(ROUND(INDEX('PROJETO PERFURAÇÃO'!$AB:$AB,MATCH(MEDIÇÃO!R1184,'PROJETO PERFURAÇÃO'!$B:$B,0)),1)&amp;"''","")</f>
        <v/>
      </c>
      <c r="Q1184" s="3" t="str">
        <f>IFERROR(IF(INDEX('PROJETO PERFURAÇÃO'!$P:$P,MATCH(MEDIÇÃO!R1184,'PROJETO PERFURAÇÃO'!$B:$B,0))="Production","P",IF(INDEX('PROJETO PERFURAÇÃO'!$P:$P,MATCH(MEDIÇÃO!R1184,'PROJETO PERFURAÇÃO'!$B:$B,0))="Buffer","B",IF(INDEX('PROJETO PERFURAÇÃO'!$P:$P,MATCH(MEDIÇÃO!R1184,'PROJETO PERFURAÇÃO'!$B:$B,0))="Pre-Splitting","S"))),"")</f>
        <v/>
      </c>
      <c r="R1184" s="14">
        <f>R1183+1</f>
        <v>2670</v>
      </c>
      <c r="S1184" s="4" t="str">
        <f>IFERROR(INDEX('LEV R&amp;D'!$D:$D,MATCH(MEDIÇÃO!R1184,'LEV R&amp;D'!$A:$A,0))-INDEX('PROJETO PERFURAÇÃO'!$AH:$AH,MATCH(MEDIÇÃO!R1184,'PROJETO PERFURAÇÃO'!$B:$B,0)),"")</f>
        <v/>
      </c>
      <c r="T1184" s="8" t="str">
        <f>IFERROR(INDEX('PROJETO PERFURAÇÃO'!$AN:$AN,MATCH(MEDIÇÃO!R1184,'PROJETO PERFURAÇÃO'!$B:$B,0)),"")</f>
        <v/>
      </c>
      <c r="U1184" s="3"/>
      <c r="V1184" s="3"/>
    </row>
    <row r="1185" spans="2:22" ht="45" customHeight="1">
      <c r="B1185" s="3" t="str">
        <f>IFERROR(ROUND(INDEX('PROJETO PERFURAÇÃO'!$AB:$AB,MATCH(MEDIÇÃO!D1185,'PROJETO PERFURAÇÃO'!$B:$B,0)),1)&amp;"''","")</f>
        <v/>
      </c>
      <c r="C1185" s="3" t="str">
        <f>IFERROR(IF(INDEX('PROJETO PERFURAÇÃO'!$P:$P,MATCH(MEDIÇÃO!D1185,'PROJETO PERFURAÇÃO'!$B:$B,0))="Production","P",IF(INDEX('PROJETO PERFURAÇÃO'!$P:$P,MATCH(MEDIÇÃO!D1185,'PROJETO PERFURAÇÃO'!$B:$B,0))="Buffer","B",IF(INDEX('PROJETO PERFURAÇÃO'!$P:$P,MATCH(MEDIÇÃO!D1185,'PROJETO PERFURAÇÃO'!$B:$B,0))="Pre-Splitting","S"))),"")</f>
        <v/>
      </c>
      <c r="D1185" s="14">
        <f t="shared" ref="D1185:D1205" si="114">D1184+1</f>
        <v>2625</v>
      </c>
      <c r="E1185" s="4" t="str">
        <f>IFERROR(INDEX('LEV R&amp;D'!$D:$D,MATCH(MEDIÇÃO!D1185,'LEV R&amp;D'!$A:$A,0))-INDEX('PROJETO PERFURAÇÃO'!$AH:$AH,MATCH(MEDIÇÃO!D1185,'PROJETO PERFURAÇÃO'!$B:$B,0)),"")</f>
        <v/>
      </c>
      <c r="F1185" s="8" t="str">
        <f>IFERROR(INDEX('PROJETO PERFURAÇÃO'!$AN:$AN,MATCH(MEDIÇÃO!D1185,'PROJETO PERFURAÇÃO'!$B:$B,0)),"")</f>
        <v/>
      </c>
      <c r="G1185" s="3"/>
      <c r="H1185" s="3"/>
      <c r="I1185" s="3" t="str">
        <f>IFERROR(ROUND(INDEX('PROJETO PERFURAÇÃO'!$AB:$AB,MATCH(MEDIÇÃO!K1185,'PROJETO PERFURAÇÃO'!$B:$B,0)),1)&amp;"''","")</f>
        <v/>
      </c>
      <c r="J1185" s="3" t="str">
        <f>IFERROR(IF(INDEX('PROJETO PERFURAÇÃO'!$P:$P,MATCH(MEDIÇÃO!K1185,'PROJETO PERFURAÇÃO'!$B:$B,0))="Production","P",IF(INDEX('PROJETO PERFURAÇÃO'!$P:$P,MATCH(MEDIÇÃO!K1185,'PROJETO PERFURAÇÃO'!$B:$B,0))="Buffer","B",IF(INDEX('PROJETO PERFURAÇÃO'!$P:$P,MATCH(MEDIÇÃO!K1185,'PROJETO PERFURAÇÃO'!$B:$B,0))="Pre-Splitting","S"))),"")</f>
        <v/>
      </c>
      <c r="K1185" s="14">
        <f t="shared" ref="K1185:K1204" si="115">K1184+1</f>
        <v>2648</v>
      </c>
      <c r="L1185" s="4" t="str">
        <f>IFERROR(INDEX('LEV R&amp;D'!$D:$D,MATCH(MEDIÇÃO!K1185,'LEV R&amp;D'!$A:$A,0))-INDEX('PROJETO PERFURAÇÃO'!$AH:$AH,MATCH(MEDIÇÃO!K1185,'PROJETO PERFURAÇÃO'!$B:$B,0)),"")</f>
        <v/>
      </c>
      <c r="M1185" s="8" t="str">
        <f>IFERROR(INDEX('PROJETO PERFURAÇÃO'!$AN:$AN,MATCH(MEDIÇÃO!K1185,'PROJETO PERFURAÇÃO'!$B:$B,0)),"")</f>
        <v/>
      </c>
      <c r="N1185" s="3"/>
      <c r="O1185" s="3"/>
      <c r="P1185" s="3" t="str">
        <f>IFERROR(ROUND(INDEX('PROJETO PERFURAÇÃO'!$AB:$AB,MATCH(MEDIÇÃO!R1185,'PROJETO PERFURAÇÃO'!$B:$B,0)),1)&amp;"''","")</f>
        <v/>
      </c>
      <c r="Q1185" s="3" t="str">
        <f>IFERROR(IF(INDEX('PROJETO PERFURAÇÃO'!$P:$P,MATCH(MEDIÇÃO!R1185,'PROJETO PERFURAÇÃO'!$B:$B,0))="Production","P",IF(INDEX('PROJETO PERFURAÇÃO'!$P:$P,MATCH(MEDIÇÃO!R1185,'PROJETO PERFURAÇÃO'!$B:$B,0))="Buffer","B",IF(INDEX('PROJETO PERFURAÇÃO'!$P:$P,MATCH(MEDIÇÃO!R1185,'PROJETO PERFURAÇÃO'!$B:$B,0))="Pre-Splitting","S"))),"")</f>
        <v/>
      </c>
      <c r="R1185" s="14">
        <f t="shared" ref="R1185:R1204" si="116">R1184+1</f>
        <v>2671</v>
      </c>
      <c r="S1185" s="4" t="str">
        <f>IFERROR(INDEX('LEV R&amp;D'!$D:$D,MATCH(MEDIÇÃO!R1185,'LEV R&amp;D'!$A:$A,0))-INDEX('PROJETO PERFURAÇÃO'!$AH:$AH,MATCH(MEDIÇÃO!R1185,'PROJETO PERFURAÇÃO'!$B:$B,0)),"")</f>
        <v/>
      </c>
      <c r="T1185" s="8" t="str">
        <f>IFERROR(INDEX('PROJETO PERFURAÇÃO'!$AN:$AN,MATCH(MEDIÇÃO!R1185,'PROJETO PERFURAÇÃO'!$B:$B,0)),"")</f>
        <v/>
      </c>
      <c r="U1185" s="3"/>
      <c r="V1185" s="3"/>
    </row>
    <row r="1186" spans="2:22" ht="45" customHeight="1">
      <c r="B1186" s="3" t="str">
        <f>IFERROR(ROUND(INDEX('PROJETO PERFURAÇÃO'!$AB:$AB,MATCH(MEDIÇÃO!D1186,'PROJETO PERFURAÇÃO'!$B:$B,0)),1)&amp;"''","")</f>
        <v/>
      </c>
      <c r="C1186" s="3" t="str">
        <f>IFERROR(IF(INDEX('PROJETO PERFURAÇÃO'!$P:$P,MATCH(MEDIÇÃO!D1186,'PROJETO PERFURAÇÃO'!$B:$B,0))="Production","P",IF(INDEX('PROJETO PERFURAÇÃO'!$P:$P,MATCH(MEDIÇÃO!D1186,'PROJETO PERFURAÇÃO'!$B:$B,0))="Buffer","B",IF(INDEX('PROJETO PERFURAÇÃO'!$P:$P,MATCH(MEDIÇÃO!D1186,'PROJETO PERFURAÇÃO'!$B:$B,0))="Pre-Splitting","S"))),"")</f>
        <v/>
      </c>
      <c r="D1186" s="14">
        <f t="shared" si="114"/>
        <v>2626</v>
      </c>
      <c r="E1186" s="4" t="str">
        <f>IFERROR(INDEX('LEV R&amp;D'!$D:$D,MATCH(MEDIÇÃO!D1186,'LEV R&amp;D'!$A:$A,0))-INDEX('PROJETO PERFURAÇÃO'!$AH:$AH,MATCH(MEDIÇÃO!D1186,'PROJETO PERFURAÇÃO'!$B:$B,0)),"")</f>
        <v/>
      </c>
      <c r="F1186" s="8" t="str">
        <f>IFERROR(INDEX('PROJETO PERFURAÇÃO'!$AN:$AN,MATCH(MEDIÇÃO!D1186,'PROJETO PERFURAÇÃO'!$B:$B,0)),"")</f>
        <v/>
      </c>
      <c r="G1186" s="3"/>
      <c r="H1186" s="3"/>
      <c r="I1186" s="3" t="str">
        <f>IFERROR(ROUND(INDEX('PROJETO PERFURAÇÃO'!$AB:$AB,MATCH(MEDIÇÃO!K1186,'PROJETO PERFURAÇÃO'!$B:$B,0)),1)&amp;"''","")</f>
        <v/>
      </c>
      <c r="J1186" s="3" t="str">
        <f>IFERROR(IF(INDEX('PROJETO PERFURAÇÃO'!$P:$P,MATCH(MEDIÇÃO!K1186,'PROJETO PERFURAÇÃO'!$B:$B,0))="Production","P",IF(INDEX('PROJETO PERFURAÇÃO'!$P:$P,MATCH(MEDIÇÃO!K1186,'PROJETO PERFURAÇÃO'!$B:$B,0))="Buffer","B",IF(INDEX('PROJETO PERFURAÇÃO'!$P:$P,MATCH(MEDIÇÃO!K1186,'PROJETO PERFURAÇÃO'!$B:$B,0))="Pre-Splitting","S"))),"")</f>
        <v/>
      </c>
      <c r="K1186" s="14">
        <f t="shared" si="115"/>
        <v>2649</v>
      </c>
      <c r="L1186" s="4" t="str">
        <f>IFERROR(INDEX('LEV R&amp;D'!$D:$D,MATCH(MEDIÇÃO!K1186,'LEV R&amp;D'!$A:$A,0))-INDEX('PROJETO PERFURAÇÃO'!$AH:$AH,MATCH(MEDIÇÃO!K1186,'PROJETO PERFURAÇÃO'!$B:$B,0)),"")</f>
        <v/>
      </c>
      <c r="M1186" s="8" t="str">
        <f>IFERROR(INDEX('PROJETO PERFURAÇÃO'!$AN:$AN,MATCH(MEDIÇÃO!K1186,'PROJETO PERFURAÇÃO'!$B:$B,0)),"")</f>
        <v/>
      </c>
      <c r="N1186" s="3"/>
      <c r="O1186" s="3"/>
      <c r="P1186" s="3" t="str">
        <f>IFERROR(ROUND(INDEX('PROJETO PERFURAÇÃO'!$AB:$AB,MATCH(MEDIÇÃO!R1186,'PROJETO PERFURAÇÃO'!$B:$B,0)),1)&amp;"''","")</f>
        <v/>
      </c>
      <c r="Q1186" s="3" t="str">
        <f>IFERROR(IF(INDEX('PROJETO PERFURAÇÃO'!$P:$P,MATCH(MEDIÇÃO!R1186,'PROJETO PERFURAÇÃO'!$B:$B,0))="Production","P",IF(INDEX('PROJETO PERFURAÇÃO'!$P:$P,MATCH(MEDIÇÃO!R1186,'PROJETO PERFURAÇÃO'!$B:$B,0))="Buffer","B",IF(INDEX('PROJETO PERFURAÇÃO'!$P:$P,MATCH(MEDIÇÃO!R1186,'PROJETO PERFURAÇÃO'!$B:$B,0))="Pre-Splitting","S"))),"")</f>
        <v/>
      </c>
      <c r="R1186" s="14">
        <f t="shared" si="116"/>
        <v>2672</v>
      </c>
      <c r="S1186" s="4" t="str">
        <f>IFERROR(INDEX('LEV R&amp;D'!$D:$D,MATCH(MEDIÇÃO!R1186,'LEV R&amp;D'!$A:$A,0))-INDEX('PROJETO PERFURAÇÃO'!$AH:$AH,MATCH(MEDIÇÃO!R1186,'PROJETO PERFURAÇÃO'!$B:$B,0)),"")</f>
        <v/>
      </c>
      <c r="T1186" s="8" t="str">
        <f>IFERROR(INDEX('PROJETO PERFURAÇÃO'!$AN:$AN,MATCH(MEDIÇÃO!R1186,'PROJETO PERFURAÇÃO'!$B:$B,0)),"")</f>
        <v/>
      </c>
      <c r="U1186" s="3"/>
      <c r="V1186" s="3"/>
    </row>
    <row r="1187" spans="2:22" ht="45" customHeight="1">
      <c r="B1187" s="3" t="str">
        <f>IFERROR(ROUND(INDEX('PROJETO PERFURAÇÃO'!$AB:$AB,MATCH(MEDIÇÃO!D1187,'PROJETO PERFURAÇÃO'!$B:$B,0)),1)&amp;"''","")</f>
        <v/>
      </c>
      <c r="C1187" s="3" t="str">
        <f>IFERROR(IF(INDEX('PROJETO PERFURAÇÃO'!$P:$P,MATCH(MEDIÇÃO!D1187,'PROJETO PERFURAÇÃO'!$B:$B,0))="Production","P",IF(INDEX('PROJETO PERFURAÇÃO'!$P:$P,MATCH(MEDIÇÃO!D1187,'PROJETO PERFURAÇÃO'!$B:$B,0))="Buffer","B",IF(INDEX('PROJETO PERFURAÇÃO'!$P:$P,MATCH(MEDIÇÃO!D1187,'PROJETO PERFURAÇÃO'!$B:$B,0))="Pre-Splitting","S"))),"")</f>
        <v/>
      </c>
      <c r="D1187" s="14">
        <f t="shared" si="114"/>
        <v>2627</v>
      </c>
      <c r="E1187" s="4" t="str">
        <f>IFERROR(INDEX('LEV R&amp;D'!$D:$D,MATCH(MEDIÇÃO!D1187,'LEV R&amp;D'!$A:$A,0))-INDEX('PROJETO PERFURAÇÃO'!$AH:$AH,MATCH(MEDIÇÃO!D1187,'PROJETO PERFURAÇÃO'!$B:$B,0)),"")</f>
        <v/>
      </c>
      <c r="F1187" s="8" t="str">
        <f>IFERROR(INDEX('PROJETO PERFURAÇÃO'!$AN:$AN,MATCH(MEDIÇÃO!D1187,'PROJETO PERFURAÇÃO'!$B:$B,0)),"")</f>
        <v/>
      </c>
      <c r="G1187" s="3"/>
      <c r="H1187" s="3"/>
      <c r="I1187" s="3" t="str">
        <f>IFERROR(ROUND(INDEX('PROJETO PERFURAÇÃO'!$AB:$AB,MATCH(MEDIÇÃO!K1187,'PROJETO PERFURAÇÃO'!$B:$B,0)),1)&amp;"''","")</f>
        <v/>
      </c>
      <c r="J1187" s="3" t="str">
        <f>IFERROR(IF(INDEX('PROJETO PERFURAÇÃO'!$P:$P,MATCH(MEDIÇÃO!K1187,'PROJETO PERFURAÇÃO'!$B:$B,0))="Production","P",IF(INDEX('PROJETO PERFURAÇÃO'!$P:$P,MATCH(MEDIÇÃO!K1187,'PROJETO PERFURAÇÃO'!$B:$B,0))="Buffer","B",IF(INDEX('PROJETO PERFURAÇÃO'!$P:$P,MATCH(MEDIÇÃO!K1187,'PROJETO PERFURAÇÃO'!$B:$B,0))="Pre-Splitting","S"))),"")</f>
        <v/>
      </c>
      <c r="K1187" s="14">
        <f t="shared" si="115"/>
        <v>2650</v>
      </c>
      <c r="L1187" s="4" t="str">
        <f>IFERROR(INDEX('LEV R&amp;D'!$D:$D,MATCH(MEDIÇÃO!K1187,'LEV R&amp;D'!$A:$A,0))-INDEX('PROJETO PERFURAÇÃO'!$AH:$AH,MATCH(MEDIÇÃO!K1187,'PROJETO PERFURAÇÃO'!$B:$B,0)),"")</f>
        <v/>
      </c>
      <c r="M1187" s="8" t="str">
        <f>IFERROR(INDEX('PROJETO PERFURAÇÃO'!$AN:$AN,MATCH(MEDIÇÃO!K1187,'PROJETO PERFURAÇÃO'!$B:$B,0)),"")</f>
        <v/>
      </c>
      <c r="N1187" s="3"/>
      <c r="O1187" s="3"/>
      <c r="P1187" s="3" t="str">
        <f>IFERROR(ROUND(INDEX('PROJETO PERFURAÇÃO'!$AB:$AB,MATCH(MEDIÇÃO!R1187,'PROJETO PERFURAÇÃO'!$B:$B,0)),1)&amp;"''","")</f>
        <v/>
      </c>
      <c r="Q1187" s="3" t="str">
        <f>IFERROR(IF(INDEX('PROJETO PERFURAÇÃO'!$P:$P,MATCH(MEDIÇÃO!R1187,'PROJETO PERFURAÇÃO'!$B:$B,0))="Production","P",IF(INDEX('PROJETO PERFURAÇÃO'!$P:$P,MATCH(MEDIÇÃO!R1187,'PROJETO PERFURAÇÃO'!$B:$B,0))="Buffer","B",IF(INDEX('PROJETO PERFURAÇÃO'!$P:$P,MATCH(MEDIÇÃO!R1187,'PROJETO PERFURAÇÃO'!$B:$B,0))="Pre-Splitting","S"))),"")</f>
        <v/>
      </c>
      <c r="R1187" s="14">
        <f t="shared" si="116"/>
        <v>2673</v>
      </c>
      <c r="S1187" s="4" t="str">
        <f>IFERROR(INDEX('LEV R&amp;D'!$D:$D,MATCH(MEDIÇÃO!R1187,'LEV R&amp;D'!$A:$A,0))-INDEX('PROJETO PERFURAÇÃO'!$AH:$AH,MATCH(MEDIÇÃO!R1187,'PROJETO PERFURAÇÃO'!$B:$B,0)),"")</f>
        <v/>
      </c>
      <c r="T1187" s="8" t="str">
        <f>IFERROR(INDEX('PROJETO PERFURAÇÃO'!$AN:$AN,MATCH(MEDIÇÃO!R1187,'PROJETO PERFURAÇÃO'!$B:$B,0)),"")</f>
        <v/>
      </c>
      <c r="U1187" s="3"/>
      <c r="V1187" s="3"/>
    </row>
    <row r="1188" spans="2:22" ht="45" customHeight="1">
      <c r="B1188" s="3" t="str">
        <f>IFERROR(ROUND(INDEX('PROJETO PERFURAÇÃO'!$AB:$AB,MATCH(MEDIÇÃO!D1188,'PROJETO PERFURAÇÃO'!$B:$B,0)),1)&amp;"''","")</f>
        <v/>
      </c>
      <c r="C1188" s="3" t="str">
        <f>IFERROR(IF(INDEX('PROJETO PERFURAÇÃO'!$P:$P,MATCH(MEDIÇÃO!D1188,'PROJETO PERFURAÇÃO'!$B:$B,0))="Production","P",IF(INDEX('PROJETO PERFURAÇÃO'!$P:$P,MATCH(MEDIÇÃO!D1188,'PROJETO PERFURAÇÃO'!$B:$B,0))="Buffer","B",IF(INDEX('PROJETO PERFURAÇÃO'!$P:$P,MATCH(MEDIÇÃO!D1188,'PROJETO PERFURAÇÃO'!$B:$B,0))="Pre-Splitting","S"))),"")</f>
        <v/>
      </c>
      <c r="D1188" s="14">
        <f t="shared" si="114"/>
        <v>2628</v>
      </c>
      <c r="E1188" s="4" t="str">
        <f>IFERROR(INDEX('LEV R&amp;D'!$D:$D,MATCH(MEDIÇÃO!D1188,'LEV R&amp;D'!$A:$A,0))-INDEX('PROJETO PERFURAÇÃO'!$AH:$AH,MATCH(MEDIÇÃO!D1188,'PROJETO PERFURAÇÃO'!$B:$B,0)),"")</f>
        <v/>
      </c>
      <c r="F1188" s="8" t="str">
        <f>IFERROR(INDEX('PROJETO PERFURAÇÃO'!$AN:$AN,MATCH(MEDIÇÃO!D1188,'PROJETO PERFURAÇÃO'!$B:$B,0)),"")</f>
        <v/>
      </c>
      <c r="G1188" s="3"/>
      <c r="H1188" s="3"/>
      <c r="I1188" s="3" t="str">
        <f>IFERROR(ROUND(INDEX('PROJETO PERFURAÇÃO'!$AB:$AB,MATCH(MEDIÇÃO!K1188,'PROJETO PERFURAÇÃO'!$B:$B,0)),1)&amp;"''","")</f>
        <v/>
      </c>
      <c r="J1188" s="3" t="str">
        <f>IFERROR(IF(INDEX('PROJETO PERFURAÇÃO'!$P:$P,MATCH(MEDIÇÃO!K1188,'PROJETO PERFURAÇÃO'!$B:$B,0))="Production","P",IF(INDEX('PROJETO PERFURAÇÃO'!$P:$P,MATCH(MEDIÇÃO!K1188,'PROJETO PERFURAÇÃO'!$B:$B,0))="Buffer","B",IF(INDEX('PROJETO PERFURAÇÃO'!$P:$P,MATCH(MEDIÇÃO!K1188,'PROJETO PERFURAÇÃO'!$B:$B,0))="Pre-Splitting","S"))),"")</f>
        <v/>
      </c>
      <c r="K1188" s="14">
        <f t="shared" si="115"/>
        <v>2651</v>
      </c>
      <c r="L1188" s="4" t="str">
        <f>IFERROR(INDEX('LEV R&amp;D'!$D:$D,MATCH(MEDIÇÃO!K1188,'LEV R&amp;D'!$A:$A,0))-INDEX('PROJETO PERFURAÇÃO'!$AH:$AH,MATCH(MEDIÇÃO!K1188,'PROJETO PERFURAÇÃO'!$B:$B,0)),"")</f>
        <v/>
      </c>
      <c r="M1188" s="8" t="str">
        <f>IFERROR(INDEX('PROJETO PERFURAÇÃO'!$AN:$AN,MATCH(MEDIÇÃO!K1188,'PROJETO PERFURAÇÃO'!$B:$B,0)),"")</f>
        <v/>
      </c>
      <c r="N1188" s="3"/>
      <c r="O1188" s="3"/>
      <c r="P1188" s="3" t="str">
        <f>IFERROR(ROUND(INDEX('PROJETO PERFURAÇÃO'!$AB:$AB,MATCH(MEDIÇÃO!R1188,'PROJETO PERFURAÇÃO'!$B:$B,0)),1)&amp;"''","")</f>
        <v/>
      </c>
      <c r="Q1188" s="3" t="str">
        <f>IFERROR(IF(INDEX('PROJETO PERFURAÇÃO'!$P:$P,MATCH(MEDIÇÃO!R1188,'PROJETO PERFURAÇÃO'!$B:$B,0))="Production","P",IF(INDEX('PROJETO PERFURAÇÃO'!$P:$P,MATCH(MEDIÇÃO!R1188,'PROJETO PERFURAÇÃO'!$B:$B,0))="Buffer","B",IF(INDEX('PROJETO PERFURAÇÃO'!$P:$P,MATCH(MEDIÇÃO!R1188,'PROJETO PERFURAÇÃO'!$B:$B,0))="Pre-Splitting","S"))),"")</f>
        <v/>
      </c>
      <c r="R1188" s="14">
        <f t="shared" si="116"/>
        <v>2674</v>
      </c>
      <c r="S1188" s="4" t="str">
        <f>IFERROR(INDEX('LEV R&amp;D'!$D:$D,MATCH(MEDIÇÃO!R1188,'LEV R&amp;D'!$A:$A,0))-INDEX('PROJETO PERFURAÇÃO'!$AH:$AH,MATCH(MEDIÇÃO!R1188,'PROJETO PERFURAÇÃO'!$B:$B,0)),"")</f>
        <v/>
      </c>
      <c r="T1188" s="8" t="str">
        <f>IFERROR(INDEX('PROJETO PERFURAÇÃO'!$AN:$AN,MATCH(MEDIÇÃO!R1188,'PROJETO PERFURAÇÃO'!$B:$B,0)),"")</f>
        <v/>
      </c>
      <c r="U1188" s="3"/>
      <c r="V1188" s="3"/>
    </row>
    <row r="1189" spans="2:22" ht="45" customHeight="1">
      <c r="B1189" s="3" t="str">
        <f>IFERROR(ROUND(INDEX('PROJETO PERFURAÇÃO'!$AB:$AB,MATCH(MEDIÇÃO!D1189,'PROJETO PERFURAÇÃO'!$B:$B,0)),1)&amp;"''","")</f>
        <v/>
      </c>
      <c r="C1189" s="3" t="str">
        <f>IFERROR(IF(INDEX('PROJETO PERFURAÇÃO'!$P:$P,MATCH(MEDIÇÃO!D1189,'PROJETO PERFURAÇÃO'!$B:$B,0))="Production","P",IF(INDEX('PROJETO PERFURAÇÃO'!$P:$P,MATCH(MEDIÇÃO!D1189,'PROJETO PERFURAÇÃO'!$B:$B,0))="Buffer","B",IF(INDEX('PROJETO PERFURAÇÃO'!$P:$P,MATCH(MEDIÇÃO!D1189,'PROJETO PERFURAÇÃO'!$B:$B,0))="Pre-Splitting","S"))),"")</f>
        <v/>
      </c>
      <c r="D1189" s="14">
        <f t="shared" si="114"/>
        <v>2629</v>
      </c>
      <c r="E1189" s="4" t="str">
        <f>IFERROR(INDEX('LEV R&amp;D'!$D:$D,MATCH(MEDIÇÃO!D1189,'LEV R&amp;D'!$A:$A,0))-INDEX('PROJETO PERFURAÇÃO'!$AH:$AH,MATCH(MEDIÇÃO!D1189,'PROJETO PERFURAÇÃO'!$B:$B,0)),"")</f>
        <v/>
      </c>
      <c r="F1189" s="8" t="str">
        <f>IFERROR(INDEX('PROJETO PERFURAÇÃO'!$AN:$AN,MATCH(MEDIÇÃO!D1189,'PROJETO PERFURAÇÃO'!$B:$B,0)),"")</f>
        <v/>
      </c>
      <c r="G1189" s="3"/>
      <c r="H1189" s="3"/>
      <c r="I1189" s="3" t="str">
        <f>IFERROR(ROUND(INDEX('PROJETO PERFURAÇÃO'!$AB:$AB,MATCH(MEDIÇÃO!K1189,'PROJETO PERFURAÇÃO'!$B:$B,0)),1)&amp;"''","")</f>
        <v/>
      </c>
      <c r="J1189" s="3" t="str">
        <f>IFERROR(IF(INDEX('PROJETO PERFURAÇÃO'!$P:$P,MATCH(MEDIÇÃO!K1189,'PROJETO PERFURAÇÃO'!$B:$B,0))="Production","P",IF(INDEX('PROJETO PERFURAÇÃO'!$P:$P,MATCH(MEDIÇÃO!K1189,'PROJETO PERFURAÇÃO'!$B:$B,0))="Buffer","B",IF(INDEX('PROJETO PERFURAÇÃO'!$P:$P,MATCH(MEDIÇÃO!K1189,'PROJETO PERFURAÇÃO'!$B:$B,0))="Pre-Splitting","S"))),"")</f>
        <v/>
      </c>
      <c r="K1189" s="14">
        <f t="shared" si="115"/>
        <v>2652</v>
      </c>
      <c r="L1189" s="4" t="str">
        <f>IFERROR(INDEX('LEV R&amp;D'!$D:$D,MATCH(MEDIÇÃO!K1189,'LEV R&amp;D'!$A:$A,0))-INDEX('PROJETO PERFURAÇÃO'!$AH:$AH,MATCH(MEDIÇÃO!K1189,'PROJETO PERFURAÇÃO'!$B:$B,0)),"")</f>
        <v/>
      </c>
      <c r="M1189" s="8" t="str">
        <f>IFERROR(INDEX('PROJETO PERFURAÇÃO'!$AN:$AN,MATCH(MEDIÇÃO!K1189,'PROJETO PERFURAÇÃO'!$B:$B,0)),"")</f>
        <v/>
      </c>
      <c r="N1189" s="3"/>
      <c r="O1189" s="3"/>
      <c r="P1189" s="3" t="str">
        <f>IFERROR(ROUND(INDEX('PROJETO PERFURAÇÃO'!$AB:$AB,MATCH(MEDIÇÃO!R1189,'PROJETO PERFURAÇÃO'!$B:$B,0)),1)&amp;"''","")</f>
        <v/>
      </c>
      <c r="Q1189" s="3" t="str">
        <f>IFERROR(IF(INDEX('PROJETO PERFURAÇÃO'!$P:$P,MATCH(MEDIÇÃO!R1189,'PROJETO PERFURAÇÃO'!$B:$B,0))="Production","P",IF(INDEX('PROJETO PERFURAÇÃO'!$P:$P,MATCH(MEDIÇÃO!R1189,'PROJETO PERFURAÇÃO'!$B:$B,0))="Buffer","B",IF(INDEX('PROJETO PERFURAÇÃO'!$P:$P,MATCH(MEDIÇÃO!R1189,'PROJETO PERFURAÇÃO'!$B:$B,0))="Pre-Splitting","S"))),"")</f>
        <v/>
      </c>
      <c r="R1189" s="14">
        <f t="shared" si="116"/>
        <v>2675</v>
      </c>
      <c r="S1189" s="4" t="str">
        <f>IFERROR(INDEX('LEV R&amp;D'!$D:$D,MATCH(MEDIÇÃO!R1189,'LEV R&amp;D'!$A:$A,0))-INDEX('PROJETO PERFURAÇÃO'!$AH:$AH,MATCH(MEDIÇÃO!R1189,'PROJETO PERFURAÇÃO'!$B:$B,0)),"")</f>
        <v/>
      </c>
      <c r="T1189" s="8" t="str">
        <f>IFERROR(INDEX('PROJETO PERFURAÇÃO'!$AN:$AN,MATCH(MEDIÇÃO!R1189,'PROJETO PERFURAÇÃO'!$B:$B,0)),"")</f>
        <v/>
      </c>
      <c r="U1189" s="3"/>
      <c r="V1189" s="3"/>
    </row>
    <row r="1190" spans="2:22" ht="45" customHeight="1">
      <c r="B1190" s="3" t="str">
        <f>IFERROR(ROUND(INDEX('PROJETO PERFURAÇÃO'!$AB:$AB,MATCH(MEDIÇÃO!D1190,'PROJETO PERFURAÇÃO'!$B:$B,0)),1)&amp;"''","")</f>
        <v/>
      </c>
      <c r="C1190" s="3" t="str">
        <f>IFERROR(IF(INDEX('PROJETO PERFURAÇÃO'!$P:$P,MATCH(MEDIÇÃO!D1190,'PROJETO PERFURAÇÃO'!$B:$B,0))="Production","P",IF(INDEX('PROJETO PERFURAÇÃO'!$P:$P,MATCH(MEDIÇÃO!D1190,'PROJETO PERFURAÇÃO'!$B:$B,0))="Buffer","B",IF(INDEX('PROJETO PERFURAÇÃO'!$P:$P,MATCH(MEDIÇÃO!D1190,'PROJETO PERFURAÇÃO'!$B:$B,0))="Pre-Splitting","S"))),"")</f>
        <v/>
      </c>
      <c r="D1190" s="14">
        <f t="shared" si="114"/>
        <v>2630</v>
      </c>
      <c r="E1190" s="4" t="str">
        <f>IFERROR(INDEX('LEV R&amp;D'!$D:$D,MATCH(MEDIÇÃO!D1190,'LEV R&amp;D'!$A:$A,0))-INDEX('PROJETO PERFURAÇÃO'!$AH:$AH,MATCH(MEDIÇÃO!D1190,'PROJETO PERFURAÇÃO'!$B:$B,0)),"")</f>
        <v/>
      </c>
      <c r="F1190" s="8" t="str">
        <f>IFERROR(INDEX('PROJETO PERFURAÇÃO'!$AN:$AN,MATCH(MEDIÇÃO!D1190,'PROJETO PERFURAÇÃO'!$B:$B,0)),"")</f>
        <v/>
      </c>
      <c r="G1190" s="3"/>
      <c r="H1190" s="3"/>
      <c r="I1190" s="3" t="str">
        <f>IFERROR(ROUND(INDEX('PROJETO PERFURAÇÃO'!$AB:$AB,MATCH(MEDIÇÃO!K1190,'PROJETO PERFURAÇÃO'!$B:$B,0)),1)&amp;"''","")</f>
        <v/>
      </c>
      <c r="J1190" s="3" t="str">
        <f>IFERROR(IF(INDEX('PROJETO PERFURAÇÃO'!$P:$P,MATCH(MEDIÇÃO!K1190,'PROJETO PERFURAÇÃO'!$B:$B,0))="Production","P",IF(INDEX('PROJETO PERFURAÇÃO'!$P:$P,MATCH(MEDIÇÃO!K1190,'PROJETO PERFURAÇÃO'!$B:$B,0))="Buffer","B",IF(INDEX('PROJETO PERFURAÇÃO'!$P:$P,MATCH(MEDIÇÃO!K1190,'PROJETO PERFURAÇÃO'!$B:$B,0))="Pre-Splitting","S"))),"")</f>
        <v/>
      </c>
      <c r="K1190" s="14">
        <f t="shared" si="115"/>
        <v>2653</v>
      </c>
      <c r="L1190" s="4" t="str">
        <f>IFERROR(INDEX('LEV R&amp;D'!$D:$D,MATCH(MEDIÇÃO!K1190,'LEV R&amp;D'!$A:$A,0))-INDEX('PROJETO PERFURAÇÃO'!$AH:$AH,MATCH(MEDIÇÃO!K1190,'PROJETO PERFURAÇÃO'!$B:$B,0)),"")</f>
        <v/>
      </c>
      <c r="M1190" s="8" t="str">
        <f>IFERROR(INDEX('PROJETO PERFURAÇÃO'!$AN:$AN,MATCH(MEDIÇÃO!K1190,'PROJETO PERFURAÇÃO'!$B:$B,0)),"")</f>
        <v/>
      </c>
      <c r="N1190" s="3"/>
      <c r="O1190" s="3"/>
      <c r="P1190" s="3" t="str">
        <f>IFERROR(ROUND(INDEX('PROJETO PERFURAÇÃO'!$AB:$AB,MATCH(MEDIÇÃO!R1190,'PROJETO PERFURAÇÃO'!$B:$B,0)),1)&amp;"''","")</f>
        <v/>
      </c>
      <c r="Q1190" s="3" t="str">
        <f>IFERROR(IF(INDEX('PROJETO PERFURAÇÃO'!$P:$P,MATCH(MEDIÇÃO!R1190,'PROJETO PERFURAÇÃO'!$B:$B,0))="Production","P",IF(INDEX('PROJETO PERFURAÇÃO'!$P:$P,MATCH(MEDIÇÃO!R1190,'PROJETO PERFURAÇÃO'!$B:$B,0))="Buffer","B",IF(INDEX('PROJETO PERFURAÇÃO'!$P:$P,MATCH(MEDIÇÃO!R1190,'PROJETO PERFURAÇÃO'!$B:$B,0))="Pre-Splitting","S"))),"")</f>
        <v/>
      </c>
      <c r="R1190" s="14">
        <f t="shared" si="116"/>
        <v>2676</v>
      </c>
      <c r="S1190" s="4" t="str">
        <f>IFERROR(INDEX('LEV R&amp;D'!$D:$D,MATCH(MEDIÇÃO!R1190,'LEV R&amp;D'!$A:$A,0))-INDEX('PROJETO PERFURAÇÃO'!$AH:$AH,MATCH(MEDIÇÃO!R1190,'PROJETO PERFURAÇÃO'!$B:$B,0)),"")</f>
        <v/>
      </c>
      <c r="T1190" s="8" t="str">
        <f>IFERROR(INDEX('PROJETO PERFURAÇÃO'!$AN:$AN,MATCH(MEDIÇÃO!R1190,'PROJETO PERFURAÇÃO'!$B:$B,0)),"")</f>
        <v/>
      </c>
      <c r="U1190" s="3"/>
      <c r="V1190" s="3"/>
    </row>
    <row r="1191" spans="2:22" ht="45" customHeight="1">
      <c r="B1191" s="3" t="str">
        <f>IFERROR(ROUND(INDEX('PROJETO PERFURAÇÃO'!$AB:$AB,MATCH(MEDIÇÃO!D1191,'PROJETO PERFURAÇÃO'!$B:$B,0)),1)&amp;"''","")</f>
        <v/>
      </c>
      <c r="C1191" s="3" t="str">
        <f>IFERROR(IF(INDEX('PROJETO PERFURAÇÃO'!$P:$P,MATCH(MEDIÇÃO!D1191,'PROJETO PERFURAÇÃO'!$B:$B,0))="Production","P",IF(INDEX('PROJETO PERFURAÇÃO'!$P:$P,MATCH(MEDIÇÃO!D1191,'PROJETO PERFURAÇÃO'!$B:$B,0))="Buffer","B",IF(INDEX('PROJETO PERFURAÇÃO'!$P:$P,MATCH(MEDIÇÃO!D1191,'PROJETO PERFURAÇÃO'!$B:$B,0))="Pre-Splitting","S"))),"")</f>
        <v/>
      </c>
      <c r="D1191" s="14">
        <f t="shared" si="114"/>
        <v>2631</v>
      </c>
      <c r="E1191" s="4" t="str">
        <f>IFERROR(INDEX('LEV R&amp;D'!$D:$D,MATCH(MEDIÇÃO!D1191,'LEV R&amp;D'!$A:$A,0))-INDEX('PROJETO PERFURAÇÃO'!$AH:$AH,MATCH(MEDIÇÃO!D1191,'PROJETO PERFURAÇÃO'!$B:$B,0)),"")</f>
        <v/>
      </c>
      <c r="F1191" s="8" t="str">
        <f>IFERROR(INDEX('PROJETO PERFURAÇÃO'!$AN:$AN,MATCH(MEDIÇÃO!D1191,'PROJETO PERFURAÇÃO'!$B:$B,0)),"")</f>
        <v/>
      </c>
      <c r="G1191" s="3"/>
      <c r="H1191" s="3"/>
      <c r="I1191" s="3" t="str">
        <f>IFERROR(ROUND(INDEX('PROJETO PERFURAÇÃO'!$AB:$AB,MATCH(MEDIÇÃO!K1191,'PROJETO PERFURAÇÃO'!$B:$B,0)),1)&amp;"''","")</f>
        <v/>
      </c>
      <c r="J1191" s="3" t="str">
        <f>IFERROR(IF(INDEX('PROJETO PERFURAÇÃO'!$P:$P,MATCH(MEDIÇÃO!K1191,'PROJETO PERFURAÇÃO'!$B:$B,0))="Production","P",IF(INDEX('PROJETO PERFURAÇÃO'!$P:$P,MATCH(MEDIÇÃO!K1191,'PROJETO PERFURAÇÃO'!$B:$B,0))="Buffer","B",IF(INDEX('PROJETO PERFURAÇÃO'!$P:$P,MATCH(MEDIÇÃO!K1191,'PROJETO PERFURAÇÃO'!$B:$B,0))="Pre-Splitting","S"))),"")</f>
        <v/>
      </c>
      <c r="K1191" s="14">
        <f t="shared" si="115"/>
        <v>2654</v>
      </c>
      <c r="L1191" s="4" t="str">
        <f>IFERROR(INDEX('LEV R&amp;D'!$D:$D,MATCH(MEDIÇÃO!K1191,'LEV R&amp;D'!$A:$A,0))-INDEX('PROJETO PERFURAÇÃO'!$AH:$AH,MATCH(MEDIÇÃO!K1191,'PROJETO PERFURAÇÃO'!$B:$B,0)),"")</f>
        <v/>
      </c>
      <c r="M1191" s="8" t="str">
        <f>IFERROR(INDEX('PROJETO PERFURAÇÃO'!$AN:$AN,MATCH(MEDIÇÃO!K1191,'PROJETO PERFURAÇÃO'!$B:$B,0)),"")</f>
        <v/>
      </c>
      <c r="N1191" s="3"/>
      <c r="O1191" s="3"/>
      <c r="P1191" s="3" t="str">
        <f>IFERROR(ROUND(INDEX('PROJETO PERFURAÇÃO'!$AB:$AB,MATCH(MEDIÇÃO!R1191,'PROJETO PERFURAÇÃO'!$B:$B,0)),1)&amp;"''","")</f>
        <v/>
      </c>
      <c r="Q1191" s="3" t="str">
        <f>IFERROR(IF(INDEX('PROJETO PERFURAÇÃO'!$P:$P,MATCH(MEDIÇÃO!R1191,'PROJETO PERFURAÇÃO'!$B:$B,0))="Production","P",IF(INDEX('PROJETO PERFURAÇÃO'!$P:$P,MATCH(MEDIÇÃO!R1191,'PROJETO PERFURAÇÃO'!$B:$B,0))="Buffer","B",IF(INDEX('PROJETO PERFURAÇÃO'!$P:$P,MATCH(MEDIÇÃO!R1191,'PROJETO PERFURAÇÃO'!$B:$B,0))="Pre-Splitting","S"))),"")</f>
        <v/>
      </c>
      <c r="R1191" s="14">
        <f t="shared" si="116"/>
        <v>2677</v>
      </c>
      <c r="S1191" s="4" t="str">
        <f>IFERROR(INDEX('LEV R&amp;D'!$D:$D,MATCH(MEDIÇÃO!R1191,'LEV R&amp;D'!$A:$A,0))-INDEX('PROJETO PERFURAÇÃO'!$AH:$AH,MATCH(MEDIÇÃO!R1191,'PROJETO PERFURAÇÃO'!$B:$B,0)),"")</f>
        <v/>
      </c>
      <c r="T1191" s="8" t="str">
        <f>IFERROR(INDEX('PROJETO PERFURAÇÃO'!$AN:$AN,MATCH(MEDIÇÃO!R1191,'PROJETO PERFURAÇÃO'!$B:$B,0)),"")</f>
        <v/>
      </c>
      <c r="U1191" s="3"/>
      <c r="V1191" s="3"/>
    </row>
    <row r="1192" spans="2:22" ht="45" customHeight="1">
      <c r="B1192" s="3" t="str">
        <f>IFERROR(ROUND(INDEX('PROJETO PERFURAÇÃO'!$AB:$AB,MATCH(MEDIÇÃO!D1192,'PROJETO PERFURAÇÃO'!$B:$B,0)),1)&amp;"''","")</f>
        <v/>
      </c>
      <c r="C1192" s="3" t="str">
        <f>IFERROR(IF(INDEX('PROJETO PERFURAÇÃO'!$P:$P,MATCH(MEDIÇÃO!D1192,'PROJETO PERFURAÇÃO'!$B:$B,0))="Production","P",IF(INDEX('PROJETO PERFURAÇÃO'!$P:$P,MATCH(MEDIÇÃO!D1192,'PROJETO PERFURAÇÃO'!$B:$B,0))="Buffer","B",IF(INDEX('PROJETO PERFURAÇÃO'!$P:$P,MATCH(MEDIÇÃO!D1192,'PROJETO PERFURAÇÃO'!$B:$B,0))="Pre-Splitting","S"))),"")</f>
        <v/>
      </c>
      <c r="D1192" s="14">
        <f t="shared" si="114"/>
        <v>2632</v>
      </c>
      <c r="E1192" s="4" t="str">
        <f>IFERROR(INDEX('LEV R&amp;D'!$D:$D,MATCH(MEDIÇÃO!D1192,'LEV R&amp;D'!$A:$A,0))-INDEX('PROJETO PERFURAÇÃO'!$AH:$AH,MATCH(MEDIÇÃO!D1192,'PROJETO PERFURAÇÃO'!$B:$B,0)),"")</f>
        <v/>
      </c>
      <c r="F1192" s="8" t="str">
        <f>IFERROR(INDEX('PROJETO PERFURAÇÃO'!$AN:$AN,MATCH(MEDIÇÃO!D1192,'PROJETO PERFURAÇÃO'!$B:$B,0)),"")</f>
        <v/>
      </c>
      <c r="G1192" s="3"/>
      <c r="H1192" s="3"/>
      <c r="I1192" s="3" t="str">
        <f>IFERROR(ROUND(INDEX('PROJETO PERFURAÇÃO'!$AB:$AB,MATCH(MEDIÇÃO!K1192,'PROJETO PERFURAÇÃO'!$B:$B,0)),1)&amp;"''","")</f>
        <v/>
      </c>
      <c r="J1192" s="3" t="str">
        <f>IFERROR(IF(INDEX('PROJETO PERFURAÇÃO'!$P:$P,MATCH(MEDIÇÃO!K1192,'PROJETO PERFURAÇÃO'!$B:$B,0))="Production","P",IF(INDEX('PROJETO PERFURAÇÃO'!$P:$P,MATCH(MEDIÇÃO!K1192,'PROJETO PERFURAÇÃO'!$B:$B,0))="Buffer","B",IF(INDEX('PROJETO PERFURAÇÃO'!$P:$P,MATCH(MEDIÇÃO!K1192,'PROJETO PERFURAÇÃO'!$B:$B,0))="Pre-Splitting","S"))),"")</f>
        <v/>
      </c>
      <c r="K1192" s="14">
        <f t="shared" si="115"/>
        <v>2655</v>
      </c>
      <c r="L1192" s="4" t="str">
        <f>IFERROR(INDEX('LEV R&amp;D'!$D:$D,MATCH(MEDIÇÃO!K1192,'LEV R&amp;D'!$A:$A,0))-INDEX('PROJETO PERFURAÇÃO'!$AH:$AH,MATCH(MEDIÇÃO!K1192,'PROJETO PERFURAÇÃO'!$B:$B,0)),"")</f>
        <v/>
      </c>
      <c r="M1192" s="8" t="str">
        <f>IFERROR(INDEX('PROJETO PERFURAÇÃO'!$AN:$AN,MATCH(MEDIÇÃO!K1192,'PROJETO PERFURAÇÃO'!$B:$B,0)),"")</f>
        <v/>
      </c>
      <c r="N1192" s="3"/>
      <c r="O1192" s="3"/>
      <c r="P1192" s="3" t="str">
        <f>IFERROR(ROUND(INDEX('PROJETO PERFURAÇÃO'!$AB:$AB,MATCH(MEDIÇÃO!R1192,'PROJETO PERFURAÇÃO'!$B:$B,0)),1)&amp;"''","")</f>
        <v/>
      </c>
      <c r="Q1192" s="3" t="str">
        <f>IFERROR(IF(INDEX('PROJETO PERFURAÇÃO'!$P:$P,MATCH(MEDIÇÃO!R1192,'PROJETO PERFURAÇÃO'!$B:$B,0))="Production","P",IF(INDEX('PROJETO PERFURAÇÃO'!$P:$P,MATCH(MEDIÇÃO!R1192,'PROJETO PERFURAÇÃO'!$B:$B,0))="Buffer","B",IF(INDEX('PROJETO PERFURAÇÃO'!$P:$P,MATCH(MEDIÇÃO!R1192,'PROJETO PERFURAÇÃO'!$B:$B,0))="Pre-Splitting","S"))),"")</f>
        <v/>
      </c>
      <c r="R1192" s="14">
        <f t="shared" si="116"/>
        <v>2678</v>
      </c>
      <c r="S1192" s="4" t="str">
        <f>IFERROR(INDEX('LEV R&amp;D'!$D:$D,MATCH(MEDIÇÃO!R1192,'LEV R&amp;D'!$A:$A,0))-INDEX('PROJETO PERFURAÇÃO'!$AH:$AH,MATCH(MEDIÇÃO!R1192,'PROJETO PERFURAÇÃO'!$B:$B,0)),"")</f>
        <v/>
      </c>
      <c r="T1192" s="8" t="str">
        <f>IFERROR(INDEX('PROJETO PERFURAÇÃO'!$AN:$AN,MATCH(MEDIÇÃO!R1192,'PROJETO PERFURAÇÃO'!$B:$B,0)),"")</f>
        <v/>
      </c>
      <c r="U1192" s="3"/>
      <c r="V1192" s="3"/>
    </row>
    <row r="1193" spans="2:22" ht="45" customHeight="1">
      <c r="B1193" s="3" t="str">
        <f>IFERROR(ROUND(INDEX('PROJETO PERFURAÇÃO'!$AB:$AB,MATCH(MEDIÇÃO!D1193,'PROJETO PERFURAÇÃO'!$B:$B,0)),1)&amp;"''","")</f>
        <v/>
      </c>
      <c r="C1193" s="3" t="str">
        <f>IFERROR(IF(INDEX('PROJETO PERFURAÇÃO'!$P:$P,MATCH(MEDIÇÃO!D1193,'PROJETO PERFURAÇÃO'!$B:$B,0))="Production","P",IF(INDEX('PROJETO PERFURAÇÃO'!$P:$P,MATCH(MEDIÇÃO!D1193,'PROJETO PERFURAÇÃO'!$B:$B,0))="Buffer","B",IF(INDEX('PROJETO PERFURAÇÃO'!$P:$P,MATCH(MEDIÇÃO!D1193,'PROJETO PERFURAÇÃO'!$B:$B,0))="Pre-Splitting","S"))),"")</f>
        <v/>
      </c>
      <c r="D1193" s="14">
        <f t="shared" si="114"/>
        <v>2633</v>
      </c>
      <c r="E1193" s="4" t="str">
        <f>IFERROR(INDEX('LEV R&amp;D'!$D:$D,MATCH(MEDIÇÃO!D1193,'LEV R&amp;D'!$A:$A,0))-INDEX('PROJETO PERFURAÇÃO'!$AH:$AH,MATCH(MEDIÇÃO!D1193,'PROJETO PERFURAÇÃO'!$B:$B,0)),"")</f>
        <v/>
      </c>
      <c r="F1193" s="8" t="str">
        <f>IFERROR(INDEX('PROJETO PERFURAÇÃO'!$AN:$AN,MATCH(MEDIÇÃO!D1193,'PROJETO PERFURAÇÃO'!$B:$B,0)),"")</f>
        <v/>
      </c>
      <c r="G1193" s="3"/>
      <c r="H1193" s="3"/>
      <c r="I1193" s="3" t="str">
        <f>IFERROR(ROUND(INDEX('PROJETO PERFURAÇÃO'!$AB:$AB,MATCH(MEDIÇÃO!K1193,'PROJETO PERFURAÇÃO'!$B:$B,0)),1)&amp;"''","")</f>
        <v/>
      </c>
      <c r="J1193" s="3" t="str">
        <f>IFERROR(IF(INDEX('PROJETO PERFURAÇÃO'!$P:$P,MATCH(MEDIÇÃO!K1193,'PROJETO PERFURAÇÃO'!$B:$B,0))="Production","P",IF(INDEX('PROJETO PERFURAÇÃO'!$P:$P,MATCH(MEDIÇÃO!K1193,'PROJETO PERFURAÇÃO'!$B:$B,0))="Buffer","B",IF(INDEX('PROJETO PERFURAÇÃO'!$P:$P,MATCH(MEDIÇÃO!K1193,'PROJETO PERFURAÇÃO'!$B:$B,0))="Pre-Splitting","S"))),"")</f>
        <v/>
      </c>
      <c r="K1193" s="14">
        <f t="shared" si="115"/>
        <v>2656</v>
      </c>
      <c r="L1193" s="4" t="str">
        <f>IFERROR(INDEX('LEV R&amp;D'!$D:$D,MATCH(MEDIÇÃO!K1193,'LEV R&amp;D'!$A:$A,0))-INDEX('PROJETO PERFURAÇÃO'!$AH:$AH,MATCH(MEDIÇÃO!K1193,'PROJETO PERFURAÇÃO'!$B:$B,0)),"")</f>
        <v/>
      </c>
      <c r="M1193" s="8" t="str">
        <f>IFERROR(INDEX('PROJETO PERFURAÇÃO'!$AN:$AN,MATCH(MEDIÇÃO!K1193,'PROJETO PERFURAÇÃO'!$B:$B,0)),"")</f>
        <v/>
      </c>
      <c r="N1193" s="3"/>
      <c r="O1193" s="3"/>
      <c r="P1193" s="3" t="str">
        <f>IFERROR(ROUND(INDEX('PROJETO PERFURAÇÃO'!$AB:$AB,MATCH(MEDIÇÃO!R1193,'PROJETO PERFURAÇÃO'!$B:$B,0)),1)&amp;"''","")</f>
        <v/>
      </c>
      <c r="Q1193" s="3" t="str">
        <f>IFERROR(IF(INDEX('PROJETO PERFURAÇÃO'!$P:$P,MATCH(MEDIÇÃO!R1193,'PROJETO PERFURAÇÃO'!$B:$B,0))="Production","P",IF(INDEX('PROJETO PERFURAÇÃO'!$P:$P,MATCH(MEDIÇÃO!R1193,'PROJETO PERFURAÇÃO'!$B:$B,0))="Buffer","B",IF(INDEX('PROJETO PERFURAÇÃO'!$P:$P,MATCH(MEDIÇÃO!R1193,'PROJETO PERFURAÇÃO'!$B:$B,0))="Pre-Splitting","S"))),"")</f>
        <v/>
      </c>
      <c r="R1193" s="14">
        <f t="shared" si="116"/>
        <v>2679</v>
      </c>
      <c r="S1193" s="4" t="str">
        <f>IFERROR(INDEX('LEV R&amp;D'!$D:$D,MATCH(MEDIÇÃO!R1193,'LEV R&amp;D'!$A:$A,0))-INDEX('PROJETO PERFURAÇÃO'!$AH:$AH,MATCH(MEDIÇÃO!R1193,'PROJETO PERFURAÇÃO'!$B:$B,0)),"")</f>
        <v/>
      </c>
      <c r="T1193" s="8" t="str">
        <f>IFERROR(INDEX('PROJETO PERFURAÇÃO'!$AN:$AN,MATCH(MEDIÇÃO!R1193,'PROJETO PERFURAÇÃO'!$B:$B,0)),"")</f>
        <v/>
      </c>
      <c r="U1193" s="3"/>
      <c r="V1193" s="3"/>
    </row>
    <row r="1194" spans="2:22" ht="45" customHeight="1">
      <c r="B1194" s="3" t="str">
        <f>IFERROR(ROUND(INDEX('PROJETO PERFURAÇÃO'!$AB:$AB,MATCH(MEDIÇÃO!D1194,'PROJETO PERFURAÇÃO'!$B:$B,0)),1)&amp;"''","")</f>
        <v/>
      </c>
      <c r="C1194" s="3" t="str">
        <f>IFERROR(IF(INDEX('PROJETO PERFURAÇÃO'!$P:$P,MATCH(MEDIÇÃO!D1194,'PROJETO PERFURAÇÃO'!$B:$B,0))="Production","P",IF(INDEX('PROJETO PERFURAÇÃO'!$P:$P,MATCH(MEDIÇÃO!D1194,'PROJETO PERFURAÇÃO'!$B:$B,0))="Buffer","B",IF(INDEX('PROJETO PERFURAÇÃO'!$P:$P,MATCH(MEDIÇÃO!D1194,'PROJETO PERFURAÇÃO'!$B:$B,0))="Pre-Splitting","S"))),"")</f>
        <v/>
      </c>
      <c r="D1194" s="14">
        <f t="shared" si="114"/>
        <v>2634</v>
      </c>
      <c r="E1194" s="4" t="str">
        <f>IFERROR(INDEX('LEV R&amp;D'!$D:$D,MATCH(MEDIÇÃO!D1194,'LEV R&amp;D'!$A:$A,0))-INDEX('PROJETO PERFURAÇÃO'!$AH:$AH,MATCH(MEDIÇÃO!D1194,'PROJETO PERFURAÇÃO'!$B:$B,0)),"")</f>
        <v/>
      </c>
      <c r="F1194" s="8" t="str">
        <f>IFERROR(INDEX('PROJETO PERFURAÇÃO'!$AN:$AN,MATCH(MEDIÇÃO!D1194,'PROJETO PERFURAÇÃO'!$B:$B,0)),"")</f>
        <v/>
      </c>
      <c r="G1194" s="3"/>
      <c r="H1194" s="3"/>
      <c r="I1194" s="3" t="str">
        <f>IFERROR(ROUND(INDEX('PROJETO PERFURAÇÃO'!$AB:$AB,MATCH(MEDIÇÃO!K1194,'PROJETO PERFURAÇÃO'!$B:$B,0)),1)&amp;"''","")</f>
        <v/>
      </c>
      <c r="J1194" s="3" t="str">
        <f>IFERROR(IF(INDEX('PROJETO PERFURAÇÃO'!$P:$P,MATCH(MEDIÇÃO!K1194,'PROJETO PERFURAÇÃO'!$B:$B,0))="Production","P",IF(INDEX('PROJETO PERFURAÇÃO'!$P:$P,MATCH(MEDIÇÃO!K1194,'PROJETO PERFURAÇÃO'!$B:$B,0))="Buffer","B",IF(INDEX('PROJETO PERFURAÇÃO'!$P:$P,MATCH(MEDIÇÃO!K1194,'PROJETO PERFURAÇÃO'!$B:$B,0))="Pre-Splitting","S"))),"")</f>
        <v/>
      </c>
      <c r="K1194" s="14">
        <f t="shared" si="115"/>
        <v>2657</v>
      </c>
      <c r="L1194" s="4" t="str">
        <f>IFERROR(INDEX('LEV R&amp;D'!$D:$D,MATCH(MEDIÇÃO!K1194,'LEV R&amp;D'!$A:$A,0))-INDEX('PROJETO PERFURAÇÃO'!$AH:$AH,MATCH(MEDIÇÃO!K1194,'PROJETO PERFURAÇÃO'!$B:$B,0)),"")</f>
        <v/>
      </c>
      <c r="M1194" s="8" t="str">
        <f>IFERROR(INDEX('PROJETO PERFURAÇÃO'!$AN:$AN,MATCH(MEDIÇÃO!K1194,'PROJETO PERFURAÇÃO'!$B:$B,0)),"")</f>
        <v/>
      </c>
      <c r="N1194" s="3"/>
      <c r="O1194" s="3"/>
      <c r="P1194" s="3" t="str">
        <f>IFERROR(ROUND(INDEX('PROJETO PERFURAÇÃO'!$AB:$AB,MATCH(MEDIÇÃO!R1194,'PROJETO PERFURAÇÃO'!$B:$B,0)),1)&amp;"''","")</f>
        <v/>
      </c>
      <c r="Q1194" s="3" t="str">
        <f>IFERROR(IF(INDEX('PROJETO PERFURAÇÃO'!$P:$P,MATCH(MEDIÇÃO!R1194,'PROJETO PERFURAÇÃO'!$B:$B,0))="Production","P",IF(INDEX('PROJETO PERFURAÇÃO'!$P:$P,MATCH(MEDIÇÃO!R1194,'PROJETO PERFURAÇÃO'!$B:$B,0))="Buffer","B",IF(INDEX('PROJETO PERFURAÇÃO'!$P:$P,MATCH(MEDIÇÃO!R1194,'PROJETO PERFURAÇÃO'!$B:$B,0))="Pre-Splitting","S"))),"")</f>
        <v/>
      </c>
      <c r="R1194" s="14">
        <f t="shared" si="116"/>
        <v>2680</v>
      </c>
      <c r="S1194" s="4" t="str">
        <f>IFERROR(INDEX('LEV R&amp;D'!$D:$D,MATCH(MEDIÇÃO!R1194,'LEV R&amp;D'!$A:$A,0))-INDEX('PROJETO PERFURAÇÃO'!$AH:$AH,MATCH(MEDIÇÃO!R1194,'PROJETO PERFURAÇÃO'!$B:$B,0)),"")</f>
        <v/>
      </c>
      <c r="T1194" s="8" t="str">
        <f>IFERROR(INDEX('PROJETO PERFURAÇÃO'!$AN:$AN,MATCH(MEDIÇÃO!R1194,'PROJETO PERFURAÇÃO'!$B:$B,0)),"")</f>
        <v/>
      </c>
      <c r="U1194" s="3"/>
      <c r="V1194" s="3"/>
    </row>
    <row r="1195" spans="2:22" ht="45" customHeight="1">
      <c r="B1195" s="3" t="str">
        <f>IFERROR(ROUND(INDEX('PROJETO PERFURAÇÃO'!$AB:$AB,MATCH(MEDIÇÃO!D1195,'PROJETO PERFURAÇÃO'!$B:$B,0)),1)&amp;"''","")</f>
        <v/>
      </c>
      <c r="C1195" s="3" t="str">
        <f>IFERROR(IF(INDEX('PROJETO PERFURAÇÃO'!$P:$P,MATCH(MEDIÇÃO!D1195,'PROJETO PERFURAÇÃO'!$B:$B,0))="Production","P",IF(INDEX('PROJETO PERFURAÇÃO'!$P:$P,MATCH(MEDIÇÃO!D1195,'PROJETO PERFURAÇÃO'!$B:$B,0))="Buffer","B",IF(INDEX('PROJETO PERFURAÇÃO'!$P:$P,MATCH(MEDIÇÃO!D1195,'PROJETO PERFURAÇÃO'!$B:$B,0))="Pre-Splitting","S"))),"")</f>
        <v/>
      </c>
      <c r="D1195" s="14">
        <f t="shared" si="114"/>
        <v>2635</v>
      </c>
      <c r="E1195" s="4" t="str">
        <f>IFERROR(INDEX('LEV R&amp;D'!$D:$D,MATCH(MEDIÇÃO!D1195,'LEV R&amp;D'!$A:$A,0))-INDEX('PROJETO PERFURAÇÃO'!$AH:$AH,MATCH(MEDIÇÃO!D1195,'PROJETO PERFURAÇÃO'!$B:$B,0)),"")</f>
        <v/>
      </c>
      <c r="F1195" s="8" t="str">
        <f>IFERROR(INDEX('PROJETO PERFURAÇÃO'!$AN:$AN,MATCH(MEDIÇÃO!D1195,'PROJETO PERFURAÇÃO'!$B:$B,0)),"")</f>
        <v/>
      </c>
      <c r="G1195" s="3"/>
      <c r="H1195" s="3"/>
      <c r="I1195" s="3" t="str">
        <f>IFERROR(ROUND(INDEX('PROJETO PERFURAÇÃO'!$AB:$AB,MATCH(MEDIÇÃO!K1195,'PROJETO PERFURAÇÃO'!$B:$B,0)),1)&amp;"''","")</f>
        <v/>
      </c>
      <c r="J1195" s="3" t="str">
        <f>IFERROR(IF(INDEX('PROJETO PERFURAÇÃO'!$P:$P,MATCH(MEDIÇÃO!K1195,'PROJETO PERFURAÇÃO'!$B:$B,0))="Production","P",IF(INDEX('PROJETO PERFURAÇÃO'!$P:$P,MATCH(MEDIÇÃO!K1195,'PROJETO PERFURAÇÃO'!$B:$B,0))="Buffer","B",IF(INDEX('PROJETO PERFURAÇÃO'!$P:$P,MATCH(MEDIÇÃO!K1195,'PROJETO PERFURAÇÃO'!$B:$B,0))="Pre-Splitting","S"))),"")</f>
        <v/>
      </c>
      <c r="K1195" s="14">
        <f t="shared" si="115"/>
        <v>2658</v>
      </c>
      <c r="L1195" s="4" t="str">
        <f>IFERROR(INDEX('LEV R&amp;D'!$D:$D,MATCH(MEDIÇÃO!K1195,'LEV R&amp;D'!$A:$A,0))-INDEX('PROJETO PERFURAÇÃO'!$AH:$AH,MATCH(MEDIÇÃO!K1195,'PROJETO PERFURAÇÃO'!$B:$B,0)),"")</f>
        <v/>
      </c>
      <c r="M1195" s="8" t="str">
        <f>IFERROR(INDEX('PROJETO PERFURAÇÃO'!$AN:$AN,MATCH(MEDIÇÃO!K1195,'PROJETO PERFURAÇÃO'!$B:$B,0)),"")</f>
        <v/>
      </c>
      <c r="N1195" s="3"/>
      <c r="O1195" s="3"/>
      <c r="P1195" s="3" t="str">
        <f>IFERROR(ROUND(INDEX('PROJETO PERFURAÇÃO'!$AB:$AB,MATCH(MEDIÇÃO!R1195,'PROJETO PERFURAÇÃO'!$B:$B,0)),1)&amp;"''","")</f>
        <v/>
      </c>
      <c r="Q1195" s="3" t="str">
        <f>IFERROR(IF(INDEX('PROJETO PERFURAÇÃO'!$P:$P,MATCH(MEDIÇÃO!R1195,'PROJETO PERFURAÇÃO'!$B:$B,0))="Production","P",IF(INDEX('PROJETO PERFURAÇÃO'!$P:$P,MATCH(MEDIÇÃO!R1195,'PROJETO PERFURAÇÃO'!$B:$B,0))="Buffer","B",IF(INDEX('PROJETO PERFURAÇÃO'!$P:$P,MATCH(MEDIÇÃO!R1195,'PROJETO PERFURAÇÃO'!$B:$B,0))="Pre-Splitting","S"))),"")</f>
        <v/>
      </c>
      <c r="R1195" s="14">
        <f t="shared" si="116"/>
        <v>2681</v>
      </c>
      <c r="S1195" s="4" t="str">
        <f>IFERROR(INDEX('LEV R&amp;D'!$D:$D,MATCH(MEDIÇÃO!R1195,'LEV R&amp;D'!$A:$A,0))-INDEX('PROJETO PERFURAÇÃO'!$AH:$AH,MATCH(MEDIÇÃO!R1195,'PROJETO PERFURAÇÃO'!$B:$B,0)),"")</f>
        <v/>
      </c>
      <c r="T1195" s="8" t="str">
        <f>IFERROR(INDEX('PROJETO PERFURAÇÃO'!$AN:$AN,MATCH(MEDIÇÃO!R1195,'PROJETO PERFURAÇÃO'!$B:$B,0)),"")</f>
        <v/>
      </c>
      <c r="U1195" s="3"/>
      <c r="V1195" s="3"/>
    </row>
    <row r="1196" spans="2:22" ht="45" customHeight="1">
      <c r="B1196" s="3" t="str">
        <f>IFERROR(ROUND(INDEX('PROJETO PERFURAÇÃO'!$AB:$AB,MATCH(MEDIÇÃO!D1196,'PROJETO PERFURAÇÃO'!$B:$B,0)),1)&amp;"''","")</f>
        <v/>
      </c>
      <c r="C1196" s="3" t="str">
        <f>IFERROR(IF(INDEX('PROJETO PERFURAÇÃO'!$P:$P,MATCH(MEDIÇÃO!D1196,'PROJETO PERFURAÇÃO'!$B:$B,0))="Production","P",IF(INDEX('PROJETO PERFURAÇÃO'!$P:$P,MATCH(MEDIÇÃO!D1196,'PROJETO PERFURAÇÃO'!$B:$B,0))="Buffer","B",IF(INDEX('PROJETO PERFURAÇÃO'!$P:$P,MATCH(MEDIÇÃO!D1196,'PROJETO PERFURAÇÃO'!$B:$B,0))="Pre-Splitting","S"))),"")</f>
        <v/>
      </c>
      <c r="D1196" s="14">
        <f t="shared" si="114"/>
        <v>2636</v>
      </c>
      <c r="E1196" s="4" t="str">
        <f>IFERROR(INDEX('LEV R&amp;D'!$D:$D,MATCH(MEDIÇÃO!D1196,'LEV R&amp;D'!$A:$A,0))-INDEX('PROJETO PERFURAÇÃO'!$AH:$AH,MATCH(MEDIÇÃO!D1196,'PROJETO PERFURAÇÃO'!$B:$B,0)),"")</f>
        <v/>
      </c>
      <c r="F1196" s="8" t="str">
        <f>IFERROR(INDEX('PROJETO PERFURAÇÃO'!$AN:$AN,MATCH(MEDIÇÃO!D1196,'PROJETO PERFURAÇÃO'!$B:$B,0)),"")</f>
        <v/>
      </c>
      <c r="G1196" s="3"/>
      <c r="H1196" s="3"/>
      <c r="I1196" s="3" t="str">
        <f>IFERROR(ROUND(INDEX('PROJETO PERFURAÇÃO'!$AB:$AB,MATCH(MEDIÇÃO!K1196,'PROJETO PERFURAÇÃO'!$B:$B,0)),1)&amp;"''","")</f>
        <v/>
      </c>
      <c r="J1196" s="3" t="str">
        <f>IFERROR(IF(INDEX('PROJETO PERFURAÇÃO'!$P:$P,MATCH(MEDIÇÃO!K1196,'PROJETO PERFURAÇÃO'!$B:$B,0))="Production","P",IF(INDEX('PROJETO PERFURAÇÃO'!$P:$P,MATCH(MEDIÇÃO!K1196,'PROJETO PERFURAÇÃO'!$B:$B,0))="Buffer","B",IF(INDEX('PROJETO PERFURAÇÃO'!$P:$P,MATCH(MEDIÇÃO!K1196,'PROJETO PERFURAÇÃO'!$B:$B,0))="Pre-Splitting","S"))),"")</f>
        <v/>
      </c>
      <c r="K1196" s="14">
        <f t="shared" si="115"/>
        <v>2659</v>
      </c>
      <c r="L1196" s="4" t="str">
        <f>IFERROR(INDEX('LEV R&amp;D'!$D:$D,MATCH(MEDIÇÃO!K1196,'LEV R&amp;D'!$A:$A,0))-INDEX('PROJETO PERFURAÇÃO'!$AH:$AH,MATCH(MEDIÇÃO!K1196,'PROJETO PERFURAÇÃO'!$B:$B,0)),"")</f>
        <v/>
      </c>
      <c r="M1196" s="8" t="str">
        <f>IFERROR(INDEX('PROJETO PERFURAÇÃO'!$AN:$AN,MATCH(MEDIÇÃO!K1196,'PROJETO PERFURAÇÃO'!$B:$B,0)),"")</f>
        <v/>
      </c>
      <c r="N1196" s="3"/>
      <c r="O1196" s="3"/>
      <c r="P1196" s="3" t="str">
        <f>IFERROR(ROUND(INDEX('PROJETO PERFURAÇÃO'!$AB:$AB,MATCH(MEDIÇÃO!R1196,'PROJETO PERFURAÇÃO'!$B:$B,0)),1)&amp;"''","")</f>
        <v/>
      </c>
      <c r="Q1196" s="3" t="str">
        <f>IFERROR(IF(INDEX('PROJETO PERFURAÇÃO'!$P:$P,MATCH(MEDIÇÃO!R1196,'PROJETO PERFURAÇÃO'!$B:$B,0))="Production","P",IF(INDEX('PROJETO PERFURAÇÃO'!$P:$P,MATCH(MEDIÇÃO!R1196,'PROJETO PERFURAÇÃO'!$B:$B,0))="Buffer","B",IF(INDEX('PROJETO PERFURAÇÃO'!$P:$P,MATCH(MEDIÇÃO!R1196,'PROJETO PERFURAÇÃO'!$B:$B,0))="Pre-Splitting","S"))),"")</f>
        <v/>
      </c>
      <c r="R1196" s="14">
        <f t="shared" si="116"/>
        <v>2682</v>
      </c>
      <c r="S1196" s="4" t="str">
        <f>IFERROR(INDEX('LEV R&amp;D'!$D:$D,MATCH(MEDIÇÃO!R1196,'LEV R&amp;D'!$A:$A,0))-INDEX('PROJETO PERFURAÇÃO'!$AH:$AH,MATCH(MEDIÇÃO!R1196,'PROJETO PERFURAÇÃO'!$B:$B,0)),"")</f>
        <v/>
      </c>
      <c r="T1196" s="8" t="str">
        <f>IFERROR(INDEX('PROJETO PERFURAÇÃO'!$AN:$AN,MATCH(MEDIÇÃO!R1196,'PROJETO PERFURAÇÃO'!$B:$B,0)),"")</f>
        <v/>
      </c>
      <c r="U1196" s="3"/>
      <c r="V1196" s="3"/>
    </row>
    <row r="1197" spans="2:22" ht="45" customHeight="1">
      <c r="B1197" s="3" t="str">
        <f>IFERROR(ROUND(INDEX('PROJETO PERFURAÇÃO'!$AB:$AB,MATCH(MEDIÇÃO!D1197,'PROJETO PERFURAÇÃO'!$B:$B,0)),1)&amp;"''","")</f>
        <v/>
      </c>
      <c r="C1197" s="3" t="str">
        <f>IFERROR(IF(INDEX('PROJETO PERFURAÇÃO'!$P:$P,MATCH(MEDIÇÃO!D1197,'PROJETO PERFURAÇÃO'!$B:$B,0))="Production","P",IF(INDEX('PROJETO PERFURAÇÃO'!$P:$P,MATCH(MEDIÇÃO!D1197,'PROJETO PERFURAÇÃO'!$B:$B,0))="Buffer","B",IF(INDEX('PROJETO PERFURAÇÃO'!$P:$P,MATCH(MEDIÇÃO!D1197,'PROJETO PERFURAÇÃO'!$B:$B,0))="Pre-Splitting","S"))),"")</f>
        <v/>
      </c>
      <c r="D1197" s="14">
        <f t="shared" si="114"/>
        <v>2637</v>
      </c>
      <c r="E1197" s="4" t="str">
        <f>IFERROR(INDEX('LEV R&amp;D'!$D:$D,MATCH(MEDIÇÃO!D1197,'LEV R&amp;D'!$A:$A,0))-INDEX('PROJETO PERFURAÇÃO'!$AH:$AH,MATCH(MEDIÇÃO!D1197,'PROJETO PERFURAÇÃO'!$B:$B,0)),"")</f>
        <v/>
      </c>
      <c r="F1197" s="8" t="str">
        <f>IFERROR(INDEX('PROJETO PERFURAÇÃO'!$AN:$AN,MATCH(MEDIÇÃO!D1197,'PROJETO PERFURAÇÃO'!$B:$B,0)),"")</f>
        <v/>
      </c>
      <c r="G1197" s="3"/>
      <c r="H1197" s="3"/>
      <c r="I1197" s="3" t="str">
        <f>IFERROR(ROUND(INDEX('PROJETO PERFURAÇÃO'!$AB:$AB,MATCH(MEDIÇÃO!K1197,'PROJETO PERFURAÇÃO'!$B:$B,0)),1)&amp;"''","")</f>
        <v/>
      </c>
      <c r="J1197" s="3" t="str">
        <f>IFERROR(IF(INDEX('PROJETO PERFURAÇÃO'!$P:$P,MATCH(MEDIÇÃO!K1197,'PROJETO PERFURAÇÃO'!$B:$B,0))="Production","P",IF(INDEX('PROJETO PERFURAÇÃO'!$P:$P,MATCH(MEDIÇÃO!K1197,'PROJETO PERFURAÇÃO'!$B:$B,0))="Buffer","B",IF(INDEX('PROJETO PERFURAÇÃO'!$P:$P,MATCH(MEDIÇÃO!K1197,'PROJETO PERFURAÇÃO'!$B:$B,0))="Pre-Splitting","S"))),"")</f>
        <v/>
      </c>
      <c r="K1197" s="14">
        <f t="shared" si="115"/>
        <v>2660</v>
      </c>
      <c r="L1197" s="4" t="str">
        <f>IFERROR(INDEX('LEV R&amp;D'!$D:$D,MATCH(MEDIÇÃO!K1197,'LEV R&amp;D'!$A:$A,0))-INDEX('PROJETO PERFURAÇÃO'!$AH:$AH,MATCH(MEDIÇÃO!K1197,'PROJETO PERFURAÇÃO'!$B:$B,0)),"")</f>
        <v/>
      </c>
      <c r="M1197" s="8" t="str">
        <f>IFERROR(INDEX('PROJETO PERFURAÇÃO'!$AN:$AN,MATCH(MEDIÇÃO!K1197,'PROJETO PERFURAÇÃO'!$B:$B,0)),"")</f>
        <v/>
      </c>
      <c r="N1197" s="3"/>
      <c r="O1197" s="3"/>
      <c r="P1197" s="3" t="str">
        <f>IFERROR(ROUND(INDEX('PROJETO PERFURAÇÃO'!$AB:$AB,MATCH(MEDIÇÃO!R1197,'PROJETO PERFURAÇÃO'!$B:$B,0)),1)&amp;"''","")</f>
        <v/>
      </c>
      <c r="Q1197" s="3" t="str">
        <f>IFERROR(IF(INDEX('PROJETO PERFURAÇÃO'!$P:$P,MATCH(MEDIÇÃO!R1197,'PROJETO PERFURAÇÃO'!$B:$B,0))="Production","P",IF(INDEX('PROJETO PERFURAÇÃO'!$P:$P,MATCH(MEDIÇÃO!R1197,'PROJETO PERFURAÇÃO'!$B:$B,0))="Buffer","B",IF(INDEX('PROJETO PERFURAÇÃO'!$P:$P,MATCH(MEDIÇÃO!R1197,'PROJETO PERFURAÇÃO'!$B:$B,0))="Pre-Splitting","S"))),"")</f>
        <v/>
      </c>
      <c r="R1197" s="14">
        <f t="shared" si="116"/>
        <v>2683</v>
      </c>
      <c r="S1197" s="4" t="str">
        <f>IFERROR(INDEX('LEV R&amp;D'!$D:$D,MATCH(MEDIÇÃO!R1197,'LEV R&amp;D'!$A:$A,0))-INDEX('PROJETO PERFURAÇÃO'!$AH:$AH,MATCH(MEDIÇÃO!R1197,'PROJETO PERFURAÇÃO'!$B:$B,0)),"")</f>
        <v/>
      </c>
      <c r="T1197" s="8" t="str">
        <f>IFERROR(INDEX('PROJETO PERFURAÇÃO'!$AN:$AN,MATCH(MEDIÇÃO!R1197,'PROJETO PERFURAÇÃO'!$B:$B,0)),"")</f>
        <v/>
      </c>
      <c r="U1197" s="3"/>
      <c r="V1197" s="3"/>
    </row>
    <row r="1198" spans="2:22" ht="45" customHeight="1">
      <c r="B1198" s="3" t="str">
        <f>IFERROR(ROUND(INDEX('PROJETO PERFURAÇÃO'!$AB:$AB,MATCH(MEDIÇÃO!D1198,'PROJETO PERFURAÇÃO'!$B:$B,0)),1)&amp;"''","")</f>
        <v/>
      </c>
      <c r="C1198" s="3" t="str">
        <f>IFERROR(IF(INDEX('PROJETO PERFURAÇÃO'!$P:$P,MATCH(MEDIÇÃO!D1198,'PROJETO PERFURAÇÃO'!$B:$B,0))="Production","P",IF(INDEX('PROJETO PERFURAÇÃO'!$P:$P,MATCH(MEDIÇÃO!D1198,'PROJETO PERFURAÇÃO'!$B:$B,0))="Buffer","B",IF(INDEX('PROJETO PERFURAÇÃO'!$P:$P,MATCH(MEDIÇÃO!D1198,'PROJETO PERFURAÇÃO'!$B:$B,0))="Pre-Splitting","S"))),"")</f>
        <v/>
      </c>
      <c r="D1198" s="14">
        <f t="shared" si="114"/>
        <v>2638</v>
      </c>
      <c r="E1198" s="4" t="str">
        <f>IFERROR(INDEX('LEV R&amp;D'!$D:$D,MATCH(MEDIÇÃO!D1198,'LEV R&amp;D'!$A:$A,0))-INDEX('PROJETO PERFURAÇÃO'!$AH:$AH,MATCH(MEDIÇÃO!D1198,'PROJETO PERFURAÇÃO'!$B:$B,0)),"")</f>
        <v/>
      </c>
      <c r="F1198" s="8" t="str">
        <f>IFERROR(INDEX('PROJETO PERFURAÇÃO'!$AN:$AN,MATCH(MEDIÇÃO!D1198,'PROJETO PERFURAÇÃO'!$B:$B,0)),"")</f>
        <v/>
      </c>
      <c r="G1198" s="3"/>
      <c r="H1198" s="3"/>
      <c r="I1198" s="3" t="str">
        <f>IFERROR(ROUND(INDEX('PROJETO PERFURAÇÃO'!$AB:$AB,MATCH(MEDIÇÃO!K1198,'PROJETO PERFURAÇÃO'!$B:$B,0)),1)&amp;"''","")</f>
        <v/>
      </c>
      <c r="J1198" s="3" t="str">
        <f>IFERROR(IF(INDEX('PROJETO PERFURAÇÃO'!$P:$P,MATCH(MEDIÇÃO!K1198,'PROJETO PERFURAÇÃO'!$B:$B,0))="Production","P",IF(INDEX('PROJETO PERFURAÇÃO'!$P:$P,MATCH(MEDIÇÃO!K1198,'PROJETO PERFURAÇÃO'!$B:$B,0))="Buffer","B",IF(INDEX('PROJETO PERFURAÇÃO'!$P:$P,MATCH(MEDIÇÃO!K1198,'PROJETO PERFURAÇÃO'!$B:$B,0))="Pre-Splitting","S"))),"")</f>
        <v/>
      </c>
      <c r="K1198" s="14">
        <f t="shared" si="115"/>
        <v>2661</v>
      </c>
      <c r="L1198" s="4" t="str">
        <f>IFERROR(INDEX('LEV R&amp;D'!$D:$D,MATCH(MEDIÇÃO!K1198,'LEV R&amp;D'!$A:$A,0))-INDEX('PROJETO PERFURAÇÃO'!$AH:$AH,MATCH(MEDIÇÃO!K1198,'PROJETO PERFURAÇÃO'!$B:$B,0)),"")</f>
        <v/>
      </c>
      <c r="M1198" s="8" t="str">
        <f>IFERROR(INDEX('PROJETO PERFURAÇÃO'!$AN:$AN,MATCH(MEDIÇÃO!K1198,'PROJETO PERFURAÇÃO'!$B:$B,0)),"")</f>
        <v/>
      </c>
      <c r="N1198" s="3"/>
      <c r="O1198" s="3"/>
      <c r="P1198" s="3" t="str">
        <f>IFERROR(ROUND(INDEX('PROJETO PERFURAÇÃO'!$AB:$AB,MATCH(MEDIÇÃO!R1198,'PROJETO PERFURAÇÃO'!$B:$B,0)),1)&amp;"''","")</f>
        <v/>
      </c>
      <c r="Q1198" s="3" t="str">
        <f>IFERROR(IF(INDEX('PROJETO PERFURAÇÃO'!$P:$P,MATCH(MEDIÇÃO!R1198,'PROJETO PERFURAÇÃO'!$B:$B,0))="Production","P",IF(INDEX('PROJETO PERFURAÇÃO'!$P:$P,MATCH(MEDIÇÃO!R1198,'PROJETO PERFURAÇÃO'!$B:$B,0))="Buffer","B",IF(INDEX('PROJETO PERFURAÇÃO'!$P:$P,MATCH(MEDIÇÃO!R1198,'PROJETO PERFURAÇÃO'!$B:$B,0))="Pre-Splitting","S"))),"")</f>
        <v/>
      </c>
      <c r="R1198" s="14">
        <f t="shared" si="116"/>
        <v>2684</v>
      </c>
      <c r="S1198" s="4" t="str">
        <f>IFERROR(INDEX('LEV R&amp;D'!$D:$D,MATCH(MEDIÇÃO!R1198,'LEV R&amp;D'!$A:$A,0))-INDEX('PROJETO PERFURAÇÃO'!$AH:$AH,MATCH(MEDIÇÃO!R1198,'PROJETO PERFURAÇÃO'!$B:$B,0)),"")</f>
        <v/>
      </c>
      <c r="T1198" s="8" t="str">
        <f>IFERROR(INDEX('PROJETO PERFURAÇÃO'!$AN:$AN,MATCH(MEDIÇÃO!R1198,'PROJETO PERFURAÇÃO'!$B:$B,0)),"")</f>
        <v/>
      </c>
      <c r="U1198" s="3"/>
      <c r="V1198" s="3"/>
    </row>
    <row r="1199" spans="2:22" ht="45" customHeight="1">
      <c r="B1199" s="3" t="str">
        <f>IFERROR(ROUND(INDEX('PROJETO PERFURAÇÃO'!$AB:$AB,MATCH(MEDIÇÃO!D1199,'PROJETO PERFURAÇÃO'!$B:$B,0)),1)&amp;"''","")</f>
        <v/>
      </c>
      <c r="C1199" s="3" t="str">
        <f>IFERROR(IF(INDEX('PROJETO PERFURAÇÃO'!$P:$P,MATCH(MEDIÇÃO!D1199,'PROJETO PERFURAÇÃO'!$B:$B,0))="Production","P",IF(INDEX('PROJETO PERFURAÇÃO'!$P:$P,MATCH(MEDIÇÃO!D1199,'PROJETO PERFURAÇÃO'!$B:$B,0))="Buffer","B",IF(INDEX('PROJETO PERFURAÇÃO'!$P:$P,MATCH(MEDIÇÃO!D1199,'PROJETO PERFURAÇÃO'!$B:$B,0))="Pre-Splitting","S"))),"")</f>
        <v/>
      </c>
      <c r="D1199" s="14">
        <f t="shared" si="114"/>
        <v>2639</v>
      </c>
      <c r="E1199" s="4" t="str">
        <f>IFERROR(INDEX('LEV R&amp;D'!$D:$D,MATCH(MEDIÇÃO!D1199,'LEV R&amp;D'!$A:$A,0))-INDEX('PROJETO PERFURAÇÃO'!$AH:$AH,MATCH(MEDIÇÃO!D1199,'PROJETO PERFURAÇÃO'!$B:$B,0)),"")</f>
        <v/>
      </c>
      <c r="F1199" s="8" t="str">
        <f>IFERROR(INDEX('PROJETO PERFURAÇÃO'!$AN:$AN,MATCH(MEDIÇÃO!D1199,'PROJETO PERFURAÇÃO'!$B:$B,0)),"")</f>
        <v/>
      </c>
      <c r="G1199" s="3"/>
      <c r="H1199" s="3"/>
      <c r="I1199" s="3" t="str">
        <f>IFERROR(ROUND(INDEX('PROJETO PERFURAÇÃO'!$AB:$AB,MATCH(MEDIÇÃO!K1199,'PROJETO PERFURAÇÃO'!$B:$B,0)),1)&amp;"''","")</f>
        <v/>
      </c>
      <c r="J1199" s="3" t="str">
        <f>IFERROR(IF(INDEX('PROJETO PERFURAÇÃO'!$P:$P,MATCH(MEDIÇÃO!K1199,'PROJETO PERFURAÇÃO'!$B:$B,0))="Production","P",IF(INDEX('PROJETO PERFURAÇÃO'!$P:$P,MATCH(MEDIÇÃO!K1199,'PROJETO PERFURAÇÃO'!$B:$B,0))="Buffer","B",IF(INDEX('PROJETO PERFURAÇÃO'!$P:$P,MATCH(MEDIÇÃO!K1199,'PROJETO PERFURAÇÃO'!$B:$B,0))="Pre-Splitting","S"))),"")</f>
        <v/>
      </c>
      <c r="K1199" s="14">
        <f t="shared" si="115"/>
        <v>2662</v>
      </c>
      <c r="L1199" s="4" t="str">
        <f>IFERROR(INDEX('LEV R&amp;D'!$D:$D,MATCH(MEDIÇÃO!K1199,'LEV R&amp;D'!$A:$A,0))-INDEX('PROJETO PERFURAÇÃO'!$AH:$AH,MATCH(MEDIÇÃO!K1199,'PROJETO PERFURAÇÃO'!$B:$B,0)),"")</f>
        <v/>
      </c>
      <c r="M1199" s="8" t="str">
        <f>IFERROR(INDEX('PROJETO PERFURAÇÃO'!$AN:$AN,MATCH(MEDIÇÃO!K1199,'PROJETO PERFURAÇÃO'!$B:$B,0)),"")</f>
        <v/>
      </c>
      <c r="N1199" s="3"/>
      <c r="O1199" s="3"/>
      <c r="P1199" s="3" t="str">
        <f>IFERROR(ROUND(INDEX('PROJETO PERFURAÇÃO'!$AB:$AB,MATCH(MEDIÇÃO!R1199,'PROJETO PERFURAÇÃO'!$B:$B,0)),1)&amp;"''","")</f>
        <v/>
      </c>
      <c r="Q1199" s="3" t="str">
        <f>IFERROR(IF(INDEX('PROJETO PERFURAÇÃO'!$P:$P,MATCH(MEDIÇÃO!R1199,'PROJETO PERFURAÇÃO'!$B:$B,0))="Production","P",IF(INDEX('PROJETO PERFURAÇÃO'!$P:$P,MATCH(MEDIÇÃO!R1199,'PROJETO PERFURAÇÃO'!$B:$B,0))="Buffer","B",IF(INDEX('PROJETO PERFURAÇÃO'!$P:$P,MATCH(MEDIÇÃO!R1199,'PROJETO PERFURAÇÃO'!$B:$B,0))="Pre-Splitting","S"))),"")</f>
        <v/>
      </c>
      <c r="R1199" s="14">
        <f t="shared" si="116"/>
        <v>2685</v>
      </c>
      <c r="S1199" s="4" t="str">
        <f>IFERROR(INDEX('LEV R&amp;D'!$D:$D,MATCH(MEDIÇÃO!R1199,'LEV R&amp;D'!$A:$A,0))-INDEX('PROJETO PERFURAÇÃO'!$AH:$AH,MATCH(MEDIÇÃO!R1199,'PROJETO PERFURAÇÃO'!$B:$B,0)),"")</f>
        <v/>
      </c>
      <c r="T1199" s="8" t="str">
        <f>IFERROR(INDEX('PROJETO PERFURAÇÃO'!$AN:$AN,MATCH(MEDIÇÃO!R1199,'PROJETO PERFURAÇÃO'!$B:$B,0)),"")</f>
        <v/>
      </c>
      <c r="U1199" s="3"/>
      <c r="V1199" s="3"/>
    </row>
    <row r="1200" spans="2:22" ht="45" customHeight="1">
      <c r="B1200" s="3" t="str">
        <f>IFERROR(ROUND(INDEX('PROJETO PERFURAÇÃO'!$AB:$AB,MATCH(MEDIÇÃO!D1200,'PROJETO PERFURAÇÃO'!$B:$B,0)),1)&amp;"''","")</f>
        <v/>
      </c>
      <c r="C1200" s="3" t="str">
        <f>IFERROR(IF(INDEX('PROJETO PERFURAÇÃO'!$P:$P,MATCH(MEDIÇÃO!D1200,'PROJETO PERFURAÇÃO'!$B:$B,0))="Production","P",IF(INDEX('PROJETO PERFURAÇÃO'!$P:$P,MATCH(MEDIÇÃO!D1200,'PROJETO PERFURAÇÃO'!$B:$B,0))="Buffer","B",IF(INDEX('PROJETO PERFURAÇÃO'!$P:$P,MATCH(MEDIÇÃO!D1200,'PROJETO PERFURAÇÃO'!$B:$B,0))="Pre-Splitting","S"))),"")</f>
        <v/>
      </c>
      <c r="D1200" s="14">
        <f t="shared" si="114"/>
        <v>2640</v>
      </c>
      <c r="E1200" s="4" t="str">
        <f>IFERROR(INDEX('LEV R&amp;D'!$D:$D,MATCH(MEDIÇÃO!D1200,'LEV R&amp;D'!$A:$A,0))-INDEX('PROJETO PERFURAÇÃO'!$AH:$AH,MATCH(MEDIÇÃO!D1200,'PROJETO PERFURAÇÃO'!$B:$B,0)),"")</f>
        <v/>
      </c>
      <c r="F1200" s="8" t="str">
        <f>IFERROR(INDEX('PROJETO PERFURAÇÃO'!$AN:$AN,MATCH(MEDIÇÃO!D1200,'PROJETO PERFURAÇÃO'!$B:$B,0)),"")</f>
        <v/>
      </c>
      <c r="G1200" s="3"/>
      <c r="H1200" s="3"/>
      <c r="I1200" s="3" t="str">
        <f>IFERROR(ROUND(INDEX('PROJETO PERFURAÇÃO'!$AB:$AB,MATCH(MEDIÇÃO!K1200,'PROJETO PERFURAÇÃO'!$B:$B,0)),1)&amp;"''","")</f>
        <v/>
      </c>
      <c r="J1200" s="3" t="str">
        <f>IFERROR(IF(INDEX('PROJETO PERFURAÇÃO'!$P:$P,MATCH(MEDIÇÃO!K1200,'PROJETO PERFURAÇÃO'!$B:$B,0))="Production","P",IF(INDEX('PROJETO PERFURAÇÃO'!$P:$P,MATCH(MEDIÇÃO!K1200,'PROJETO PERFURAÇÃO'!$B:$B,0))="Buffer","B",IF(INDEX('PROJETO PERFURAÇÃO'!$P:$P,MATCH(MEDIÇÃO!K1200,'PROJETO PERFURAÇÃO'!$B:$B,0))="Pre-Splitting","S"))),"")</f>
        <v/>
      </c>
      <c r="K1200" s="14">
        <f t="shared" si="115"/>
        <v>2663</v>
      </c>
      <c r="L1200" s="4" t="str">
        <f>IFERROR(INDEX('LEV R&amp;D'!$D:$D,MATCH(MEDIÇÃO!K1200,'LEV R&amp;D'!$A:$A,0))-INDEX('PROJETO PERFURAÇÃO'!$AH:$AH,MATCH(MEDIÇÃO!K1200,'PROJETO PERFURAÇÃO'!$B:$B,0)),"")</f>
        <v/>
      </c>
      <c r="M1200" s="8" t="str">
        <f>IFERROR(INDEX('PROJETO PERFURAÇÃO'!$AN:$AN,MATCH(MEDIÇÃO!K1200,'PROJETO PERFURAÇÃO'!$B:$B,0)),"")</f>
        <v/>
      </c>
      <c r="N1200" s="3"/>
      <c r="O1200" s="3"/>
      <c r="P1200" s="3" t="str">
        <f>IFERROR(ROUND(INDEX('PROJETO PERFURAÇÃO'!$AB:$AB,MATCH(MEDIÇÃO!R1200,'PROJETO PERFURAÇÃO'!$B:$B,0)),1)&amp;"''","")</f>
        <v/>
      </c>
      <c r="Q1200" s="3" t="str">
        <f>IFERROR(IF(INDEX('PROJETO PERFURAÇÃO'!$P:$P,MATCH(MEDIÇÃO!R1200,'PROJETO PERFURAÇÃO'!$B:$B,0))="Production","P",IF(INDEX('PROJETO PERFURAÇÃO'!$P:$P,MATCH(MEDIÇÃO!R1200,'PROJETO PERFURAÇÃO'!$B:$B,0))="Buffer","B",IF(INDEX('PROJETO PERFURAÇÃO'!$P:$P,MATCH(MEDIÇÃO!R1200,'PROJETO PERFURAÇÃO'!$B:$B,0))="Pre-Splitting","S"))),"")</f>
        <v/>
      </c>
      <c r="R1200" s="14">
        <f t="shared" si="116"/>
        <v>2686</v>
      </c>
      <c r="S1200" s="4" t="str">
        <f>IFERROR(INDEX('LEV R&amp;D'!$D:$D,MATCH(MEDIÇÃO!R1200,'LEV R&amp;D'!$A:$A,0))-INDEX('PROJETO PERFURAÇÃO'!$AH:$AH,MATCH(MEDIÇÃO!R1200,'PROJETO PERFURAÇÃO'!$B:$B,0)),"")</f>
        <v/>
      </c>
      <c r="T1200" s="8" t="str">
        <f>IFERROR(INDEX('PROJETO PERFURAÇÃO'!$AN:$AN,MATCH(MEDIÇÃO!R1200,'PROJETO PERFURAÇÃO'!$B:$B,0)),"")</f>
        <v/>
      </c>
      <c r="U1200" s="3"/>
      <c r="V1200" s="3"/>
    </row>
    <row r="1201" spans="1:23" ht="45" customHeight="1">
      <c r="B1201" s="3" t="str">
        <f>IFERROR(ROUND(INDEX('PROJETO PERFURAÇÃO'!$AB:$AB,MATCH(MEDIÇÃO!D1201,'PROJETO PERFURAÇÃO'!$B:$B,0)),1)&amp;"''","")</f>
        <v/>
      </c>
      <c r="C1201" s="3" t="str">
        <f>IFERROR(IF(INDEX('PROJETO PERFURAÇÃO'!$P:$P,MATCH(MEDIÇÃO!D1201,'PROJETO PERFURAÇÃO'!$B:$B,0))="Production","P",IF(INDEX('PROJETO PERFURAÇÃO'!$P:$P,MATCH(MEDIÇÃO!D1201,'PROJETO PERFURAÇÃO'!$B:$B,0))="Buffer","B",IF(INDEX('PROJETO PERFURAÇÃO'!$P:$P,MATCH(MEDIÇÃO!D1201,'PROJETO PERFURAÇÃO'!$B:$B,0))="Pre-Splitting","S"))),"")</f>
        <v/>
      </c>
      <c r="D1201" s="14">
        <f t="shared" si="114"/>
        <v>2641</v>
      </c>
      <c r="E1201" s="4" t="str">
        <f>IFERROR(INDEX('LEV R&amp;D'!$D:$D,MATCH(MEDIÇÃO!D1201,'LEV R&amp;D'!$A:$A,0))-INDEX('PROJETO PERFURAÇÃO'!$AH:$AH,MATCH(MEDIÇÃO!D1201,'PROJETO PERFURAÇÃO'!$B:$B,0)),"")</f>
        <v/>
      </c>
      <c r="F1201" s="8" t="str">
        <f>IFERROR(INDEX('PROJETO PERFURAÇÃO'!$AN:$AN,MATCH(MEDIÇÃO!D1201,'PROJETO PERFURAÇÃO'!$B:$B,0)),"")</f>
        <v/>
      </c>
      <c r="G1201" s="3"/>
      <c r="H1201" s="3"/>
      <c r="I1201" s="3" t="str">
        <f>IFERROR(ROUND(INDEX('PROJETO PERFURAÇÃO'!$AB:$AB,MATCH(MEDIÇÃO!K1201,'PROJETO PERFURAÇÃO'!$B:$B,0)),1)&amp;"''","")</f>
        <v/>
      </c>
      <c r="J1201" s="3" t="str">
        <f>IFERROR(IF(INDEX('PROJETO PERFURAÇÃO'!$P:$P,MATCH(MEDIÇÃO!K1201,'PROJETO PERFURAÇÃO'!$B:$B,0))="Production","P",IF(INDEX('PROJETO PERFURAÇÃO'!$P:$P,MATCH(MEDIÇÃO!K1201,'PROJETO PERFURAÇÃO'!$B:$B,0))="Buffer","B",IF(INDEX('PROJETO PERFURAÇÃO'!$P:$P,MATCH(MEDIÇÃO!K1201,'PROJETO PERFURAÇÃO'!$B:$B,0))="Pre-Splitting","S"))),"")</f>
        <v/>
      </c>
      <c r="K1201" s="14">
        <f t="shared" si="115"/>
        <v>2664</v>
      </c>
      <c r="L1201" s="4" t="str">
        <f>IFERROR(INDEX('LEV R&amp;D'!$D:$D,MATCH(MEDIÇÃO!K1201,'LEV R&amp;D'!$A:$A,0))-INDEX('PROJETO PERFURAÇÃO'!$AH:$AH,MATCH(MEDIÇÃO!K1201,'PROJETO PERFURAÇÃO'!$B:$B,0)),"")</f>
        <v/>
      </c>
      <c r="M1201" s="8" t="str">
        <f>IFERROR(INDEX('PROJETO PERFURAÇÃO'!$AN:$AN,MATCH(MEDIÇÃO!K1201,'PROJETO PERFURAÇÃO'!$B:$B,0)),"")</f>
        <v/>
      </c>
      <c r="N1201" s="3"/>
      <c r="O1201" s="3"/>
      <c r="P1201" s="3" t="str">
        <f>IFERROR(ROUND(INDEX('PROJETO PERFURAÇÃO'!$AB:$AB,MATCH(MEDIÇÃO!R1201,'PROJETO PERFURAÇÃO'!$B:$B,0)),1)&amp;"''","")</f>
        <v/>
      </c>
      <c r="Q1201" s="3" t="str">
        <f>IFERROR(IF(INDEX('PROJETO PERFURAÇÃO'!$P:$P,MATCH(MEDIÇÃO!R1201,'PROJETO PERFURAÇÃO'!$B:$B,0))="Production","P",IF(INDEX('PROJETO PERFURAÇÃO'!$P:$P,MATCH(MEDIÇÃO!R1201,'PROJETO PERFURAÇÃO'!$B:$B,0))="Buffer","B",IF(INDEX('PROJETO PERFURAÇÃO'!$P:$P,MATCH(MEDIÇÃO!R1201,'PROJETO PERFURAÇÃO'!$B:$B,0))="Pre-Splitting","S"))),"")</f>
        <v/>
      </c>
      <c r="R1201" s="14">
        <f t="shared" si="116"/>
        <v>2687</v>
      </c>
      <c r="S1201" s="4" t="str">
        <f>IFERROR(INDEX('LEV R&amp;D'!$D:$D,MATCH(MEDIÇÃO!R1201,'LEV R&amp;D'!$A:$A,0))-INDEX('PROJETO PERFURAÇÃO'!$AH:$AH,MATCH(MEDIÇÃO!R1201,'PROJETO PERFURAÇÃO'!$B:$B,0)),"")</f>
        <v/>
      </c>
      <c r="T1201" s="8" t="str">
        <f>IFERROR(INDEX('PROJETO PERFURAÇÃO'!$AN:$AN,MATCH(MEDIÇÃO!R1201,'PROJETO PERFURAÇÃO'!$B:$B,0)),"")</f>
        <v/>
      </c>
      <c r="U1201" s="3"/>
      <c r="V1201" s="3"/>
    </row>
    <row r="1202" spans="1:23" ht="45" customHeight="1">
      <c r="B1202" s="3" t="str">
        <f>IFERROR(ROUND(INDEX('PROJETO PERFURAÇÃO'!$AB:$AB,MATCH(MEDIÇÃO!D1202,'PROJETO PERFURAÇÃO'!$B:$B,0)),1)&amp;"''","")</f>
        <v/>
      </c>
      <c r="C1202" s="3" t="str">
        <f>IFERROR(IF(INDEX('PROJETO PERFURAÇÃO'!$P:$P,MATCH(MEDIÇÃO!D1202,'PROJETO PERFURAÇÃO'!$B:$B,0))="Production","P",IF(INDEX('PROJETO PERFURAÇÃO'!$P:$P,MATCH(MEDIÇÃO!D1202,'PROJETO PERFURAÇÃO'!$B:$B,0))="Buffer","B",IF(INDEX('PROJETO PERFURAÇÃO'!$P:$P,MATCH(MEDIÇÃO!D1202,'PROJETO PERFURAÇÃO'!$B:$B,0))="Pre-Splitting","S"))),"")</f>
        <v/>
      </c>
      <c r="D1202" s="14">
        <f t="shared" si="114"/>
        <v>2642</v>
      </c>
      <c r="E1202" s="4" t="str">
        <f>IFERROR(INDEX('LEV R&amp;D'!$D:$D,MATCH(MEDIÇÃO!D1202,'LEV R&amp;D'!$A:$A,0))-INDEX('PROJETO PERFURAÇÃO'!$AH:$AH,MATCH(MEDIÇÃO!D1202,'PROJETO PERFURAÇÃO'!$B:$B,0)),"")</f>
        <v/>
      </c>
      <c r="F1202" s="8" t="str">
        <f>IFERROR(INDEX('PROJETO PERFURAÇÃO'!$AN:$AN,MATCH(MEDIÇÃO!D1202,'PROJETO PERFURAÇÃO'!$B:$B,0)),"")</f>
        <v/>
      </c>
      <c r="G1202" s="3"/>
      <c r="H1202" s="3"/>
      <c r="I1202" s="3" t="str">
        <f>IFERROR(ROUND(INDEX('PROJETO PERFURAÇÃO'!$AB:$AB,MATCH(MEDIÇÃO!K1202,'PROJETO PERFURAÇÃO'!$B:$B,0)),1)&amp;"''","")</f>
        <v/>
      </c>
      <c r="J1202" s="3" t="str">
        <f>IFERROR(IF(INDEX('PROJETO PERFURAÇÃO'!$P:$P,MATCH(MEDIÇÃO!K1202,'PROJETO PERFURAÇÃO'!$B:$B,0))="Production","P",IF(INDEX('PROJETO PERFURAÇÃO'!$P:$P,MATCH(MEDIÇÃO!K1202,'PROJETO PERFURAÇÃO'!$B:$B,0))="Buffer","B",IF(INDEX('PROJETO PERFURAÇÃO'!$P:$P,MATCH(MEDIÇÃO!K1202,'PROJETO PERFURAÇÃO'!$B:$B,0))="Pre-Splitting","S"))),"")</f>
        <v/>
      </c>
      <c r="K1202" s="14">
        <f t="shared" si="115"/>
        <v>2665</v>
      </c>
      <c r="L1202" s="4" t="str">
        <f>IFERROR(INDEX('LEV R&amp;D'!$D:$D,MATCH(MEDIÇÃO!K1202,'LEV R&amp;D'!$A:$A,0))-INDEX('PROJETO PERFURAÇÃO'!$AH:$AH,MATCH(MEDIÇÃO!K1202,'PROJETO PERFURAÇÃO'!$B:$B,0)),"")</f>
        <v/>
      </c>
      <c r="M1202" s="8" t="str">
        <f>IFERROR(INDEX('PROJETO PERFURAÇÃO'!$AN:$AN,MATCH(MEDIÇÃO!K1202,'PROJETO PERFURAÇÃO'!$B:$B,0)),"")</f>
        <v/>
      </c>
      <c r="N1202" s="3"/>
      <c r="O1202" s="3"/>
      <c r="P1202" s="3" t="str">
        <f>IFERROR(ROUND(INDEX('PROJETO PERFURAÇÃO'!$AB:$AB,MATCH(MEDIÇÃO!R1202,'PROJETO PERFURAÇÃO'!$B:$B,0)),1)&amp;"''","")</f>
        <v/>
      </c>
      <c r="Q1202" s="3" t="str">
        <f>IFERROR(IF(INDEX('PROJETO PERFURAÇÃO'!$P:$P,MATCH(MEDIÇÃO!R1202,'PROJETO PERFURAÇÃO'!$B:$B,0))="Production","P",IF(INDEX('PROJETO PERFURAÇÃO'!$P:$P,MATCH(MEDIÇÃO!R1202,'PROJETO PERFURAÇÃO'!$B:$B,0))="Buffer","B",IF(INDEX('PROJETO PERFURAÇÃO'!$P:$P,MATCH(MEDIÇÃO!R1202,'PROJETO PERFURAÇÃO'!$B:$B,0))="Pre-Splitting","S"))),"")</f>
        <v/>
      </c>
      <c r="R1202" s="14">
        <f t="shared" si="116"/>
        <v>2688</v>
      </c>
      <c r="S1202" s="4" t="str">
        <f>IFERROR(INDEX('LEV R&amp;D'!$D:$D,MATCH(MEDIÇÃO!R1202,'LEV R&amp;D'!$A:$A,0))-INDEX('PROJETO PERFURAÇÃO'!$AH:$AH,MATCH(MEDIÇÃO!R1202,'PROJETO PERFURAÇÃO'!$B:$B,0)),"")</f>
        <v/>
      </c>
      <c r="T1202" s="8" t="str">
        <f>IFERROR(INDEX('PROJETO PERFURAÇÃO'!$AN:$AN,MATCH(MEDIÇÃO!R1202,'PROJETO PERFURAÇÃO'!$B:$B,0)),"")</f>
        <v/>
      </c>
      <c r="U1202" s="3"/>
      <c r="V1202" s="3"/>
    </row>
    <row r="1203" spans="1:23" ht="45" customHeight="1">
      <c r="B1203" s="3" t="str">
        <f>IFERROR(ROUND(INDEX('PROJETO PERFURAÇÃO'!$AB:$AB,MATCH(MEDIÇÃO!D1203,'PROJETO PERFURAÇÃO'!$B:$B,0)),1)&amp;"''","")</f>
        <v/>
      </c>
      <c r="C1203" s="3" t="str">
        <f>IFERROR(IF(INDEX('PROJETO PERFURAÇÃO'!$P:$P,MATCH(MEDIÇÃO!D1203,'PROJETO PERFURAÇÃO'!$B:$B,0))="Production","P",IF(INDEX('PROJETO PERFURAÇÃO'!$P:$P,MATCH(MEDIÇÃO!D1203,'PROJETO PERFURAÇÃO'!$B:$B,0))="Buffer","B",IF(INDEX('PROJETO PERFURAÇÃO'!$P:$P,MATCH(MEDIÇÃO!D1203,'PROJETO PERFURAÇÃO'!$B:$B,0))="Pre-Splitting","S"))),"")</f>
        <v/>
      </c>
      <c r="D1203" s="14">
        <f t="shared" si="114"/>
        <v>2643</v>
      </c>
      <c r="E1203" s="4" t="str">
        <f>IFERROR(INDEX('LEV R&amp;D'!$D:$D,MATCH(MEDIÇÃO!D1203,'LEV R&amp;D'!$A:$A,0))-INDEX('PROJETO PERFURAÇÃO'!$AH:$AH,MATCH(MEDIÇÃO!D1203,'PROJETO PERFURAÇÃO'!$B:$B,0)),"")</f>
        <v/>
      </c>
      <c r="F1203" s="8" t="str">
        <f>IFERROR(INDEX('PROJETO PERFURAÇÃO'!$AN:$AN,MATCH(MEDIÇÃO!D1203,'PROJETO PERFURAÇÃO'!$B:$B,0)),"")</f>
        <v/>
      </c>
      <c r="G1203" s="3"/>
      <c r="H1203" s="3"/>
      <c r="I1203" s="3" t="str">
        <f>IFERROR(ROUND(INDEX('PROJETO PERFURAÇÃO'!$AB:$AB,MATCH(MEDIÇÃO!K1203,'PROJETO PERFURAÇÃO'!$B:$B,0)),1)&amp;"''","")</f>
        <v/>
      </c>
      <c r="J1203" s="3" t="str">
        <f>IFERROR(IF(INDEX('PROJETO PERFURAÇÃO'!$P:$P,MATCH(MEDIÇÃO!K1203,'PROJETO PERFURAÇÃO'!$B:$B,0))="Production","P",IF(INDEX('PROJETO PERFURAÇÃO'!$P:$P,MATCH(MEDIÇÃO!K1203,'PROJETO PERFURAÇÃO'!$B:$B,0))="Buffer","B",IF(INDEX('PROJETO PERFURAÇÃO'!$P:$P,MATCH(MEDIÇÃO!K1203,'PROJETO PERFURAÇÃO'!$B:$B,0))="Pre-Splitting","S"))),"")</f>
        <v/>
      </c>
      <c r="K1203" s="14">
        <f t="shared" si="115"/>
        <v>2666</v>
      </c>
      <c r="L1203" s="4" t="str">
        <f>IFERROR(INDEX('LEV R&amp;D'!$D:$D,MATCH(MEDIÇÃO!K1203,'LEV R&amp;D'!$A:$A,0))-INDEX('PROJETO PERFURAÇÃO'!$AH:$AH,MATCH(MEDIÇÃO!K1203,'PROJETO PERFURAÇÃO'!$B:$B,0)),"")</f>
        <v/>
      </c>
      <c r="M1203" s="8" t="str">
        <f>IFERROR(INDEX('PROJETO PERFURAÇÃO'!$AN:$AN,MATCH(MEDIÇÃO!K1203,'PROJETO PERFURAÇÃO'!$B:$B,0)),"")</f>
        <v/>
      </c>
      <c r="N1203" s="3"/>
      <c r="O1203" s="3"/>
      <c r="P1203" s="3" t="str">
        <f>IFERROR(ROUND(INDEX('PROJETO PERFURAÇÃO'!$AB:$AB,MATCH(MEDIÇÃO!R1203,'PROJETO PERFURAÇÃO'!$B:$B,0)),1)&amp;"''","")</f>
        <v/>
      </c>
      <c r="Q1203" s="3" t="str">
        <f>IFERROR(IF(INDEX('PROJETO PERFURAÇÃO'!$P:$P,MATCH(MEDIÇÃO!R1203,'PROJETO PERFURAÇÃO'!$B:$B,0))="Production","P",IF(INDEX('PROJETO PERFURAÇÃO'!$P:$P,MATCH(MEDIÇÃO!R1203,'PROJETO PERFURAÇÃO'!$B:$B,0))="Buffer","B",IF(INDEX('PROJETO PERFURAÇÃO'!$P:$P,MATCH(MEDIÇÃO!R1203,'PROJETO PERFURAÇÃO'!$B:$B,0))="Pre-Splitting","S"))),"")</f>
        <v/>
      </c>
      <c r="R1203" s="14">
        <f t="shared" si="116"/>
        <v>2689</v>
      </c>
      <c r="S1203" s="4" t="str">
        <f>IFERROR(INDEX('LEV R&amp;D'!$D:$D,MATCH(MEDIÇÃO!R1203,'LEV R&amp;D'!$A:$A,0))-INDEX('PROJETO PERFURAÇÃO'!$AH:$AH,MATCH(MEDIÇÃO!R1203,'PROJETO PERFURAÇÃO'!$B:$B,0)),"")</f>
        <v/>
      </c>
      <c r="T1203" s="8" t="str">
        <f>IFERROR(INDEX('PROJETO PERFURAÇÃO'!$AN:$AN,MATCH(MEDIÇÃO!R1203,'PROJETO PERFURAÇÃO'!$B:$B,0)),"")</f>
        <v/>
      </c>
      <c r="U1203" s="3"/>
      <c r="V1203" s="3"/>
    </row>
    <row r="1204" spans="1:23" ht="45" customHeight="1">
      <c r="B1204" s="3" t="str">
        <f>IFERROR(ROUND(INDEX('PROJETO PERFURAÇÃO'!$AB:$AB,MATCH(MEDIÇÃO!D1204,'PROJETO PERFURAÇÃO'!$B:$B,0)),1)&amp;"''","")</f>
        <v/>
      </c>
      <c r="C1204" s="3" t="str">
        <f>IFERROR(IF(INDEX('PROJETO PERFURAÇÃO'!$P:$P,MATCH(MEDIÇÃO!D1204,'PROJETO PERFURAÇÃO'!$B:$B,0))="Production","P",IF(INDEX('PROJETO PERFURAÇÃO'!$P:$P,MATCH(MEDIÇÃO!D1204,'PROJETO PERFURAÇÃO'!$B:$B,0))="Buffer","B",IF(INDEX('PROJETO PERFURAÇÃO'!$P:$P,MATCH(MEDIÇÃO!D1204,'PROJETO PERFURAÇÃO'!$B:$B,0))="Pre-Splitting","S"))),"")</f>
        <v/>
      </c>
      <c r="D1204" s="14">
        <f t="shared" si="114"/>
        <v>2644</v>
      </c>
      <c r="E1204" s="4" t="str">
        <f>IFERROR(INDEX('LEV R&amp;D'!$D:$D,MATCH(MEDIÇÃO!D1204,'LEV R&amp;D'!$A:$A,0))-INDEX('PROJETO PERFURAÇÃO'!$AH:$AH,MATCH(MEDIÇÃO!D1204,'PROJETO PERFURAÇÃO'!$B:$B,0)),"")</f>
        <v/>
      </c>
      <c r="F1204" s="8" t="str">
        <f>IFERROR(INDEX('PROJETO PERFURAÇÃO'!$AN:$AN,MATCH(MEDIÇÃO!D1204,'PROJETO PERFURAÇÃO'!$B:$B,0)),"")</f>
        <v/>
      </c>
      <c r="G1204" s="3"/>
      <c r="H1204" s="3"/>
      <c r="I1204" s="3" t="str">
        <f>IFERROR(ROUND(INDEX('PROJETO PERFURAÇÃO'!$AB:$AB,MATCH(MEDIÇÃO!K1204,'PROJETO PERFURAÇÃO'!$B:$B,0)),1)&amp;"''","")</f>
        <v/>
      </c>
      <c r="J1204" s="3" t="str">
        <f>IFERROR(IF(INDEX('PROJETO PERFURAÇÃO'!$P:$P,MATCH(MEDIÇÃO!K1204,'PROJETO PERFURAÇÃO'!$B:$B,0))="Production","P",IF(INDEX('PROJETO PERFURAÇÃO'!$P:$P,MATCH(MEDIÇÃO!K1204,'PROJETO PERFURAÇÃO'!$B:$B,0))="Buffer","B",IF(INDEX('PROJETO PERFURAÇÃO'!$P:$P,MATCH(MEDIÇÃO!K1204,'PROJETO PERFURAÇÃO'!$B:$B,0))="Pre-Splitting","S"))),"")</f>
        <v/>
      </c>
      <c r="K1204" s="14">
        <f t="shared" si="115"/>
        <v>2667</v>
      </c>
      <c r="L1204" s="4" t="str">
        <f>IFERROR(INDEX('LEV R&amp;D'!$D:$D,MATCH(MEDIÇÃO!K1204,'LEV R&amp;D'!$A:$A,0))-INDEX('PROJETO PERFURAÇÃO'!$AH:$AH,MATCH(MEDIÇÃO!K1204,'PROJETO PERFURAÇÃO'!$B:$B,0)),"")</f>
        <v/>
      </c>
      <c r="M1204" s="8" t="str">
        <f>IFERROR(INDEX('PROJETO PERFURAÇÃO'!$AN:$AN,MATCH(MEDIÇÃO!K1204,'PROJETO PERFURAÇÃO'!$B:$B,0)),"")</f>
        <v/>
      </c>
      <c r="N1204" s="3"/>
      <c r="O1204" s="3"/>
      <c r="P1204" s="3" t="str">
        <f>IFERROR(ROUND(INDEX('PROJETO PERFURAÇÃO'!$AB:$AB,MATCH(MEDIÇÃO!R1204,'PROJETO PERFURAÇÃO'!$B:$B,0)),1)&amp;"''","")</f>
        <v/>
      </c>
      <c r="Q1204" s="3" t="str">
        <f>IFERROR(IF(INDEX('PROJETO PERFURAÇÃO'!$P:$P,MATCH(MEDIÇÃO!R1204,'PROJETO PERFURAÇÃO'!$B:$B,0))="Production","P",IF(INDEX('PROJETO PERFURAÇÃO'!$P:$P,MATCH(MEDIÇÃO!R1204,'PROJETO PERFURAÇÃO'!$B:$B,0))="Buffer","B",IF(INDEX('PROJETO PERFURAÇÃO'!$P:$P,MATCH(MEDIÇÃO!R1204,'PROJETO PERFURAÇÃO'!$B:$B,0))="Pre-Splitting","S"))),"")</f>
        <v/>
      </c>
      <c r="R1204" s="14">
        <f t="shared" si="116"/>
        <v>2690</v>
      </c>
      <c r="S1204" s="4" t="str">
        <f>IFERROR(INDEX('LEV R&amp;D'!$D:$D,MATCH(MEDIÇÃO!R1204,'LEV R&amp;D'!$A:$A,0))-INDEX('PROJETO PERFURAÇÃO'!$AH:$AH,MATCH(MEDIÇÃO!R1204,'PROJETO PERFURAÇÃO'!$B:$B,0)),"")</f>
        <v/>
      </c>
      <c r="T1204" s="8" t="str">
        <f>IFERROR(INDEX('PROJETO PERFURAÇÃO'!$AN:$AN,MATCH(MEDIÇÃO!R1204,'PROJETO PERFURAÇÃO'!$B:$B,0)),"")</f>
        <v/>
      </c>
      <c r="U1204" s="3"/>
      <c r="V1204" s="3"/>
    </row>
    <row r="1205" spans="1:23" ht="45" customHeight="1">
      <c r="B1205" s="3" t="str">
        <f>IFERROR(ROUND(INDEX('PROJETO PERFURAÇÃO'!$AB:$AB,MATCH(MEDIÇÃO!D1205,'PROJETO PERFURAÇÃO'!$B:$B,0)),1)&amp;"''","")</f>
        <v/>
      </c>
      <c r="C1205" s="3" t="str">
        <f>IFERROR(IF(INDEX('PROJETO PERFURAÇÃO'!$P:$P,MATCH(MEDIÇÃO!D1205,'PROJETO PERFURAÇÃO'!$B:$B,0))="Production","P",IF(INDEX('PROJETO PERFURAÇÃO'!$P:$P,MATCH(MEDIÇÃO!D1205,'PROJETO PERFURAÇÃO'!$B:$B,0))="Buffer","B",IF(INDEX('PROJETO PERFURAÇÃO'!$P:$P,MATCH(MEDIÇÃO!D1205,'PROJETO PERFURAÇÃO'!$B:$B,0))="Pre-Splitting","S"))),"")</f>
        <v/>
      </c>
      <c r="D1205" s="14">
        <f t="shared" si="114"/>
        <v>2645</v>
      </c>
      <c r="E1205" s="4" t="str">
        <f>IFERROR(INDEX('LEV R&amp;D'!$D:$D,MATCH(MEDIÇÃO!D1205,'LEV R&amp;D'!$A:$A,0))-INDEX('PROJETO PERFURAÇÃO'!$AH:$AH,MATCH(MEDIÇÃO!D1205,'PROJETO PERFURAÇÃO'!$B:$B,0)),"")</f>
        <v/>
      </c>
      <c r="F1205" s="8" t="str">
        <f>IFERROR(INDEX('PROJETO PERFURAÇÃO'!$AN:$AN,MATCH(MEDIÇÃO!D1205,'PROJETO PERFURAÇÃO'!$B:$B,0)),"")</f>
        <v/>
      </c>
      <c r="G1205" s="3"/>
      <c r="H1205" s="3"/>
      <c r="I1205" s="3" t="str">
        <f>IFERROR(ROUND(INDEX('PROJETO PERFURAÇÃO'!$AB:$AB,MATCH(MEDIÇÃO!K1205,'PROJETO PERFURAÇÃO'!$B:$B,0)),1)&amp;"''","")</f>
        <v/>
      </c>
      <c r="J1205" s="3" t="str">
        <f>IFERROR(IF(INDEX('PROJETO PERFURAÇÃO'!$P:$P,MATCH(MEDIÇÃO!K1205,'PROJETO PERFURAÇÃO'!$B:$B,0))="Production","P",IF(INDEX('PROJETO PERFURAÇÃO'!$P:$P,MATCH(MEDIÇÃO!K1205,'PROJETO PERFURAÇÃO'!$B:$B,0))="Buffer","B",IF(INDEX('PROJETO PERFURAÇÃO'!$P:$P,MATCH(MEDIÇÃO!K1205,'PROJETO PERFURAÇÃO'!$B:$B,0))="Pre-Splitting","S"))),"")</f>
        <v/>
      </c>
      <c r="K1205" s="14">
        <f>K1204+1</f>
        <v>2668</v>
      </c>
      <c r="L1205" s="4" t="str">
        <f>IFERROR(INDEX('LEV R&amp;D'!$D:$D,MATCH(MEDIÇÃO!K1205,'LEV R&amp;D'!$A:$A,0))-INDEX('PROJETO PERFURAÇÃO'!$AH:$AH,MATCH(MEDIÇÃO!K1205,'PROJETO PERFURAÇÃO'!$B:$B,0)),"")</f>
        <v/>
      </c>
      <c r="M1205" s="8" t="str">
        <f>IFERROR(INDEX('PROJETO PERFURAÇÃO'!$AN:$AN,MATCH(MEDIÇÃO!K1205,'PROJETO PERFURAÇÃO'!$B:$B,0)),"")</f>
        <v/>
      </c>
      <c r="N1205" s="3"/>
      <c r="O1205" s="3"/>
      <c r="P1205" s="3" t="str">
        <f>IFERROR(ROUND(INDEX('PROJETO PERFURAÇÃO'!$AB:$AB,MATCH(MEDIÇÃO!R1205,'PROJETO PERFURAÇÃO'!$B:$B,0)),1)&amp;"''","")</f>
        <v/>
      </c>
      <c r="Q1205" s="3" t="str">
        <f>IFERROR(IF(INDEX('PROJETO PERFURAÇÃO'!$P:$P,MATCH(MEDIÇÃO!R1205,'PROJETO PERFURAÇÃO'!$B:$B,0))="Production","P",IF(INDEX('PROJETO PERFURAÇÃO'!$P:$P,MATCH(MEDIÇÃO!R1205,'PROJETO PERFURAÇÃO'!$B:$B,0))="Buffer","B",IF(INDEX('PROJETO PERFURAÇÃO'!$P:$P,MATCH(MEDIÇÃO!R1205,'PROJETO PERFURAÇÃO'!$B:$B,0))="Pre-Splitting","S"))),"")</f>
        <v/>
      </c>
      <c r="R1205" s="14">
        <f>R1204+1</f>
        <v>2691</v>
      </c>
      <c r="S1205" s="4" t="str">
        <f>IFERROR(INDEX('LEV R&amp;D'!$D:$D,MATCH(MEDIÇÃO!R1205,'LEV R&amp;D'!$A:$A,0))-INDEX('PROJETO PERFURAÇÃO'!$AH:$AH,MATCH(MEDIÇÃO!R1205,'PROJETO PERFURAÇÃO'!$B:$B,0)),"")</f>
        <v/>
      </c>
      <c r="T1205" s="8" t="str">
        <f>IFERROR(INDEX('PROJETO PERFURAÇÃO'!$AN:$AN,MATCH(MEDIÇÃO!R1205,'PROJETO PERFURAÇÃO'!$B:$B,0)),"")</f>
        <v/>
      </c>
      <c r="U1205" s="3"/>
      <c r="V1205" s="3"/>
    </row>
    <row r="1206" spans="1:23" ht="30" customHeight="1">
      <c r="B1206" s="1"/>
      <c r="C1206" s="1"/>
      <c r="D1206" s="15"/>
      <c r="E1206" s="2"/>
      <c r="F1206" s="16"/>
      <c r="G1206" s="1"/>
      <c r="H1206" s="1"/>
      <c r="I1206" s="1"/>
      <c r="J1206" s="1"/>
      <c r="K1206" s="15"/>
      <c r="L1206" s="2"/>
      <c r="M1206" s="16"/>
      <c r="N1206" s="1"/>
      <c r="O1206" s="1"/>
      <c r="P1206" s="1"/>
      <c r="Q1206" s="1"/>
      <c r="R1206" s="15"/>
      <c r="S1206" s="2"/>
      <c r="T1206" s="16"/>
      <c r="U1206" s="1"/>
      <c r="V1206" s="1"/>
    </row>
    <row r="1207" spans="1:23" ht="30" customHeight="1">
      <c r="C1207" s="20"/>
      <c r="D1207" s="20"/>
      <c r="E1207" s="20"/>
      <c r="F1207" s="20"/>
      <c r="G1207" s="20"/>
      <c r="H1207" s="20"/>
      <c r="I1207" s="20"/>
      <c r="J1207" s="20"/>
      <c r="K1207" s="20"/>
      <c r="M1207" s="20"/>
      <c r="N1207" s="20"/>
      <c r="O1207" s="20"/>
      <c r="P1207" s="20"/>
      <c r="Q1207" s="20"/>
      <c r="R1207" s="20"/>
      <c r="S1207" s="20"/>
      <c r="T1207" s="20"/>
      <c r="U1207" s="20"/>
    </row>
    <row r="1208" spans="1:23" ht="30" customHeight="1">
      <c r="C1208" s="21" t="s">
        <v>40</v>
      </c>
      <c r="D1208" s="21"/>
      <c r="E1208" s="21"/>
      <c r="F1208" s="21"/>
      <c r="G1208" s="21"/>
      <c r="H1208" s="21"/>
      <c r="I1208" s="21"/>
      <c r="J1208" s="21"/>
      <c r="K1208" s="21"/>
      <c r="L1208" s="9"/>
      <c r="M1208" s="21" t="s">
        <v>40</v>
      </c>
      <c r="N1208" s="21"/>
      <c r="O1208" s="21"/>
      <c r="P1208" s="21"/>
      <c r="Q1208" s="21"/>
      <c r="R1208" s="21"/>
      <c r="S1208" s="21"/>
      <c r="T1208" s="21"/>
      <c r="U1208" s="21"/>
      <c r="V1208" s="9"/>
    </row>
    <row r="1209" spans="1:23" ht="30" customHeight="1">
      <c r="D1209" s="9"/>
      <c r="E1209" s="9"/>
      <c r="F1209" s="9"/>
      <c r="G1209" s="9"/>
      <c r="H1209" s="9"/>
      <c r="I1209" s="9"/>
      <c r="J1209" s="9"/>
      <c r="K1209" s="9"/>
      <c r="L1209" s="9"/>
      <c r="M1209" s="9"/>
      <c r="N1209" s="9"/>
      <c r="Q1209" s="9"/>
      <c r="R1209" s="9"/>
      <c r="S1209" s="9"/>
      <c r="T1209" s="9"/>
      <c r="U1209" s="9"/>
      <c r="V1209" s="9"/>
    </row>
    <row r="1210" spans="1:23" ht="30" customHeight="1">
      <c r="B1210" s="19" t="str">
        <f>'PROJETO PERFURAÇÃO'!$C$2&amp;" - "&amp;'PROJETO PERFURAÇÃO'!$H$2</f>
        <v>LIB037 - PP0370626</v>
      </c>
      <c r="C1210" s="19"/>
      <c r="D1210" s="19"/>
      <c r="E1210" s="19"/>
      <c r="F1210" s="19"/>
      <c r="G1210" s="19"/>
      <c r="H1210" s="19"/>
      <c r="I1210" s="11" t="s">
        <v>34</v>
      </c>
      <c r="J1210" s="10" t="s">
        <v>37</v>
      </c>
    </row>
    <row r="1211" spans="1:23" ht="30" customHeight="1">
      <c r="B1211" s="19"/>
      <c r="C1211" s="19"/>
      <c r="D1211" s="19"/>
      <c r="E1211" s="19"/>
      <c r="F1211" s="19"/>
      <c r="G1211" s="19"/>
      <c r="H1211" s="19"/>
      <c r="I1211" s="12" t="s">
        <v>35</v>
      </c>
      <c r="J1211" s="10" t="s">
        <v>38</v>
      </c>
      <c r="K1211" s="9"/>
      <c r="L1211" s="9"/>
      <c r="M1211" s="9"/>
      <c r="N1211" s="9"/>
      <c r="O1211" s="9"/>
      <c r="P1211" s="9"/>
      <c r="Q1211" s="9"/>
      <c r="R1211" s="9"/>
      <c r="S1211" s="9"/>
      <c r="T1211" s="9"/>
      <c r="U1211" s="9"/>
      <c r="V1211" s="9"/>
    </row>
    <row r="1212" spans="1:23" ht="30" customHeight="1">
      <c r="B1212" s="19"/>
      <c r="C1212" s="19"/>
      <c r="D1212" s="19"/>
      <c r="E1212" s="19"/>
      <c r="F1212" s="19"/>
      <c r="G1212" s="19"/>
      <c r="H1212" s="19"/>
      <c r="I1212" s="13" t="s">
        <v>36</v>
      </c>
      <c r="J1212" s="10" t="s">
        <v>39</v>
      </c>
    </row>
    <row r="1213" spans="1:23" ht="30" customHeight="1">
      <c r="A1213" s="1"/>
      <c r="B1213" s="6" t="s">
        <v>33</v>
      </c>
      <c r="C1213" s="6" t="s">
        <v>13</v>
      </c>
      <c r="D1213" s="7" t="s">
        <v>1</v>
      </c>
      <c r="E1213" s="7" t="s">
        <v>29</v>
      </c>
      <c r="F1213" s="7" t="s">
        <v>30</v>
      </c>
      <c r="G1213" s="7" t="s">
        <v>31</v>
      </c>
      <c r="H1213" s="7" t="s">
        <v>32</v>
      </c>
      <c r="I1213" s="6" t="s">
        <v>33</v>
      </c>
      <c r="J1213" s="6" t="s">
        <v>13</v>
      </c>
      <c r="K1213" s="7" t="s">
        <v>1</v>
      </c>
      <c r="L1213" s="7" t="s">
        <v>29</v>
      </c>
      <c r="M1213" s="7" t="s">
        <v>30</v>
      </c>
      <c r="N1213" s="7" t="s">
        <v>31</v>
      </c>
      <c r="O1213" s="7" t="s">
        <v>32</v>
      </c>
      <c r="P1213" s="6" t="s">
        <v>33</v>
      </c>
      <c r="Q1213" s="6" t="s">
        <v>13</v>
      </c>
      <c r="R1213" s="7" t="s">
        <v>1</v>
      </c>
      <c r="S1213" s="7" t="s">
        <v>29</v>
      </c>
      <c r="T1213" s="7" t="s">
        <v>30</v>
      </c>
      <c r="U1213" s="7" t="s">
        <v>31</v>
      </c>
      <c r="V1213" s="7" t="s">
        <v>32</v>
      </c>
      <c r="W1213" s="1"/>
    </row>
    <row r="1214" spans="1:23" ht="45" customHeight="1">
      <c r="B1214" s="3" t="str">
        <f>IFERROR(ROUND(INDEX('PROJETO PERFURAÇÃO'!$AB:$AB,MATCH(MEDIÇÃO!D1214,'PROJETO PERFURAÇÃO'!$B:$B,0)),1)&amp;"''","")</f>
        <v/>
      </c>
      <c r="C1214" s="3" t="str">
        <f>IFERROR(IF(INDEX('PROJETO PERFURAÇÃO'!$P:$P,MATCH(MEDIÇÃO!D1214,'PROJETO PERFURAÇÃO'!$B:$B,0))="Production","P",IF(INDEX('PROJETO PERFURAÇÃO'!$P:$P,MATCH(MEDIÇÃO!D1214,'PROJETO PERFURAÇÃO'!$B:$B,0))="Buffer","B",IF(INDEX('PROJETO PERFURAÇÃO'!$P:$P,MATCH(MEDIÇÃO!D1214,'PROJETO PERFURAÇÃO'!$B:$B,0))="Pre-Splitting","S"))),"")</f>
        <v/>
      </c>
      <c r="D1214" s="14">
        <f>R1205+1</f>
        <v>2692</v>
      </c>
      <c r="E1214" s="4" t="str">
        <f>IFERROR(INDEX('LEV R&amp;D'!$D:$D,MATCH(MEDIÇÃO!D1214,'LEV R&amp;D'!$A:$A,0))-INDEX('PROJETO PERFURAÇÃO'!$AH:$AH,MATCH(MEDIÇÃO!D1214,'PROJETO PERFURAÇÃO'!$B:$B,0)),"")</f>
        <v/>
      </c>
      <c r="F1214" s="8" t="str">
        <f>IFERROR(INDEX('PROJETO PERFURAÇÃO'!$AN:$AN,MATCH(MEDIÇÃO!D1214,'PROJETO PERFURAÇÃO'!$B:$B,0)),"")</f>
        <v/>
      </c>
      <c r="G1214" s="3"/>
      <c r="H1214" s="3"/>
      <c r="I1214" s="3" t="str">
        <f>IFERROR(ROUND(INDEX('PROJETO PERFURAÇÃO'!$AB:$AB,MATCH(MEDIÇÃO!K1214,'PROJETO PERFURAÇÃO'!$B:$B,0)),1)&amp;"''","")</f>
        <v/>
      </c>
      <c r="J1214" s="3" t="str">
        <f>IFERROR(IF(INDEX('PROJETO PERFURAÇÃO'!$P:$P,MATCH(MEDIÇÃO!K1214,'PROJETO PERFURAÇÃO'!$B:$B,0))="Production","P",IF(INDEX('PROJETO PERFURAÇÃO'!$P:$P,MATCH(MEDIÇÃO!K1214,'PROJETO PERFURAÇÃO'!$B:$B,0))="Buffer","B",IF(INDEX('PROJETO PERFURAÇÃO'!$P:$P,MATCH(MEDIÇÃO!K1214,'PROJETO PERFURAÇÃO'!$B:$B,0))="Pre-Splitting","S"))),"")</f>
        <v/>
      </c>
      <c r="K1214" s="14">
        <f>D1236+1</f>
        <v>2715</v>
      </c>
      <c r="L1214" s="4" t="str">
        <f>IFERROR(INDEX('LEV R&amp;D'!$D:$D,MATCH(MEDIÇÃO!K1214,'LEV R&amp;D'!$A:$A,0))-INDEX('PROJETO PERFURAÇÃO'!$AH:$AH,MATCH(MEDIÇÃO!K1214,'PROJETO PERFURAÇÃO'!$B:$B,0)),"")</f>
        <v/>
      </c>
      <c r="M1214" s="8" t="str">
        <f>IFERROR(INDEX('PROJETO PERFURAÇÃO'!$AN:$AN,MATCH(MEDIÇÃO!K1214,'PROJETO PERFURAÇÃO'!$B:$B,0)),"")</f>
        <v/>
      </c>
      <c r="N1214" s="3"/>
      <c r="O1214" s="3"/>
      <c r="P1214" s="3" t="str">
        <f>IFERROR(ROUND(INDEX('PROJETO PERFURAÇÃO'!$AB:$AB,MATCH(MEDIÇÃO!R1214,'PROJETO PERFURAÇÃO'!$B:$B,0)),1)&amp;"''","")</f>
        <v/>
      </c>
      <c r="Q1214" s="3" t="str">
        <f>IFERROR(IF(INDEX('PROJETO PERFURAÇÃO'!$P:$P,MATCH(MEDIÇÃO!R1214,'PROJETO PERFURAÇÃO'!$B:$B,0))="Production","P",IF(INDEX('PROJETO PERFURAÇÃO'!$P:$P,MATCH(MEDIÇÃO!R1214,'PROJETO PERFURAÇÃO'!$B:$B,0))="Buffer","B",IF(INDEX('PROJETO PERFURAÇÃO'!$P:$P,MATCH(MEDIÇÃO!R1214,'PROJETO PERFURAÇÃO'!$B:$B,0))="Pre-Splitting","S"))),"")</f>
        <v/>
      </c>
      <c r="R1214" s="14">
        <f>K1236+1</f>
        <v>2738</v>
      </c>
      <c r="S1214" s="4" t="str">
        <f>IFERROR(INDEX('LEV R&amp;D'!$D:$D,MATCH(MEDIÇÃO!R1214,'LEV R&amp;D'!$A:$A,0))-INDEX('PROJETO PERFURAÇÃO'!$AH:$AH,MATCH(MEDIÇÃO!R1214,'PROJETO PERFURAÇÃO'!$B:$B,0)),"")</f>
        <v/>
      </c>
      <c r="T1214" s="8" t="str">
        <f>IFERROR(INDEX('PROJETO PERFURAÇÃO'!$AN:$AN,MATCH(MEDIÇÃO!R1214,'PROJETO PERFURAÇÃO'!$B:$B,0)),"")</f>
        <v/>
      </c>
      <c r="U1214" s="3"/>
      <c r="V1214" s="3"/>
    </row>
    <row r="1215" spans="1:23" ht="45" customHeight="1">
      <c r="B1215" s="3" t="str">
        <f>IFERROR(ROUND(INDEX('PROJETO PERFURAÇÃO'!$AB:$AB,MATCH(MEDIÇÃO!D1215,'PROJETO PERFURAÇÃO'!$B:$B,0)),1)&amp;"''","")</f>
        <v/>
      </c>
      <c r="C1215" s="3" t="str">
        <f>IFERROR(IF(INDEX('PROJETO PERFURAÇÃO'!$P:$P,MATCH(MEDIÇÃO!D1215,'PROJETO PERFURAÇÃO'!$B:$B,0))="Production","P",IF(INDEX('PROJETO PERFURAÇÃO'!$P:$P,MATCH(MEDIÇÃO!D1215,'PROJETO PERFURAÇÃO'!$B:$B,0))="Buffer","B",IF(INDEX('PROJETO PERFURAÇÃO'!$P:$P,MATCH(MEDIÇÃO!D1215,'PROJETO PERFURAÇÃO'!$B:$B,0))="Pre-Splitting","S"))),"")</f>
        <v/>
      </c>
      <c r="D1215" s="14">
        <f>D1214+1</f>
        <v>2693</v>
      </c>
      <c r="E1215" s="4" t="str">
        <f>IFERROR(INDEX('LEV R&amp;D'!$D:$D,MATCH(MEDIÇÃO!D1215,'LEV R&amp;D'!$A:$A,0))-INDEX('PROJETO PERFURAÇÃO'!$AH:$AH,MATCH(MEDIÇÃO!D1215,'PROJETO PERFURAÇÃO'!$B:$B,0)),"")</f>
        <v/>
      </c>
      <c r="F1215" s="8" t="str">
        <f>IFERROR(INDEX('PROJETO PERFURAÇÃO'!$AN:$AN,MATCH(MEDIÇÃO!D1215,'PROJETO PERFURAÇÃO'!$B:$B,0)),"")</f>
        <v/>
      </c>
      <c r="G1215" s="3"/>
      <c r="H1215" s="3"/>
      <c r="I1215" s="3" t="str">
        <f>IFERROR(ROUND(INDEX('PROJETO PERFURAÇÃO'!$AB:$AB,MATCH(MEDIÇÃO!K1215,'PROJETO PERFURAÇÃO'!$B:$B,0)),1)&amp;"''","")</f>
        <v/>
      </c>
      <c r="J1215" s="3" t="str">
        <f>IFERROR(IF(INDEX('PROJETO PERFURAÇÃO'!$P:$P,MATCH(MEDIÇÃO!K1215,'PROJETO PERFURAÇÃO'!$B:$B,0))="Production","P",IF(INDEX('PROJETO PERFURAÇÃO'!$P:$P,MATCH(MEDIÇÃO!K1215,'PROJETO PERFURAÇÃO'!$B:$B,0))="Buffer","B",IF(INDEX('PROJETO PERFURAÇÃO'!$P:$P,MATCH(MEDIÇÃO!K1215,'PROJETO PERFURAÇÃO'!$B:$B,0))="Pre-Splitting","S"))),"")</f>
        <v/>
      </c>
      <c r="K1215" s="14">
        <f>K1214+1</f>
        <v>2716</v>
      </c>
      <c r="L1215" s="4" t="str">
        <f>IFERROR(INDEX('LEV R&amp;D'!$D:$D,MATCH(MEDIÇÃO!K1215,'LEV R&amp;D'!$A:$A,0))-INDEX('PROJETO PERFURAÇÃO'!$AH:$AH,MATCH(MEDIÇÃO!K1215,'PROJETO PERFURAÇÃO'!$B:$B,0)),"")</f>
        <v/>
      </c>
      <c r="M1215" s="8" t="str">
        <f>IFERROR(INDEX('PROJETO PERFURAÇÃO'!$AN:$AN,MATCH(MEDIÇÃO!K1215,'PROJETO PERFURAÇÃO'!$B:$B,0)),"")</f>
        <v/>
      </c>
      <c r="N1215" s="3"/>
      <c r="O1215" s="3"/>
      <c r="P1215" s="3" t="str">
        <f>IFERROR(ROUND(INDEX('PROJETO PERFURAÇÃO'!$AB:$AB,MATCH(MEDIÇÃO!R1215,'PROJETO PERFURAÇÃO'!$B:$B,0)),1)&amp;"''","")</f>
        <v/>
      </c>
      <c r="Q1215" s="3" t="str">
        <f>IFERROR(IF(INDEX('PROJETO PERFURAÇÃO'!$P:$P,MATCH(MEDIÇÃO!R1215,'PROJETO PERFURAÇÃO'!$B:$B,0))="Production","P",IF(INDEX('PROJETO PERFURAÇÃO'!$P:$P,MATCH(MEDIÇÃO!R1215,'PROJETO PERFURAÇÃO'!$B:$B,0))="Buffer","B",IF(INDEX('PROJETO PERFURAÇÃO'!$P:$P,MATCH(MEDIÇÃO!R1215,'PROJETO PERFURAÇÃO'!$B:$B,0))="Pre-Splitting","S"))),"")</f>
        <v/>
      </c>
      <c r="R1215" s="14">
        <f>R1214+1</f>
        <v>2739</v>
      </c>
      <c r="S1215" s="4" t="str">
        <f>IFERROR(INDEX('LEV R&amp;D'!$D:$D,MATCH(MEDIÇÃO!R1215,'LEV R&amp;D'!$A:$A,0))-INDEX('PROJETO PERFURAÇÃO'!$AH:$AH,MATCH(MEDIÇÃO!R1215,'PROJETO PERFURAÇÃO'!$B:$B,0)),"")</f>
        <v/>
      </c>
      <c r="T1215" s="8" t="str">
        <f>IFERROR(INDEX('PROJETO PERFURAÇÃO'!$AN:$AN,MATCH(MEDIÇÃO!R1215,'PROJETO PERFURAÇÃO'!$B:$B,0)),"")</f>
        <v/>
      </c>
      <c r="U1215" s="3"/>
      <c r="V1215" s="3"/>
    </row>
    <row r="1216" spans="1:23" ht="45" customHeight="1">
      <c r="B1216" s="3" t="str">
        <f>IFERROR(ROUND(INDEX('PROJETO PERFURAÇÃO'!$AB:$AB,MATCH(MEDIÇÃO!D1216,'PROJETO PERFURAÇÃO'!$B:$B,0)),1)&amp;"''","")</f>
        <v/>
      </c>
      <c r="C1216" s="3" t="str">
        <f>IFERROR(IF(INDEX('PROJETO PERFURAÇÃO'!$P:$P,MATCH(MEDIÇÃO!D1216,'PROJETO PERFURAÇÃO'!$B:$B,0))="Production","P",IF(INDEX('PROJETO PERFURAÇÃO'!$P:$P,MATCH(MEDIÇÃO!D1216,'PROJETO PERFURAÇÃO'!$B:$B,0))="Buffer","B",IF(INDEX('PROJETO PERFURAÇÃO'!$P:$P,MATCH(MEDIÇÃO!D1216,'PROJETO PERFURAÇÃO'!$B:$B,0))="Pre-Splitting","S"))),"")</f>
        <v/>
      </c>
      <c r="D1216" s="14">
        <f t="shared" ref="D1216:D1236" si="117">D1215+1</f>
        <v>2694</v>
      </c>
      <c r="E1216" s="4" t="str">
        <f>IFERROR(INDEX('LEV R&amp;D'!$D:$D,MATCH(MEDIÇÃO!D1216,'LEV R&amp;D'!$A:$A,0))-INDEX('PROJETO PERFURAÇÃO'!$AH:$AH,MATCH(MEDIÇÃO!D1216,'PROJETO PERFURAÇÃO'!$B:$B,0)),"")</f>
        <v/>
      </c>
      <c r="F1216" s="8" t="str">
        <f>IFERROR(INDEX('PROJETO PERFURAÇÃO'!$AN:$AN,MATCH(MEDIÇÃO!D1216,'PROJETO PERFURAÇÃO'!$B:$B,0)),"")</f>
        <v/>
      </c>
      <c r="G1216" s="3"/>
      <c r="H1216" s="3"/>
      <c r="I1216" s="3" t="str">
        <f>IFERROR(ROUND(INDEX('PROJETO PERFURAÇÃO'!$AB:$AB,MATCH(MEDIÇÃO!K1216,'PROJETO PERFURAÇÃO'!$B:$B,0)),1)&amp;"''","")</f>
        <v/>
      </c>
      <c r="J1216" s="3" t="str">
        <f>IFERROR(IF(INDEX('PROJETO PERFURAÇÃO'!$P:$P,MATCH(MEDIÇÃO!K1216,'PROJETO PERFURAÇÃO'!$B:$B,0))="Production","P",IF(INDEX('PROJETO PERFURAÇÃO'!$P:$P,MATCH(MEDIÇÃO!K1216,'PROJETO PERFURAÇÃO'!$B:$B,0))="Buffer","B",IF(INDEX('PROJETO PERFURAÇÃO'!$P:$P,MATCH(MEDIÇÃO!K1216,'PROJETO PERFURAÇÃO'!$B:$B,0))="Pre-Splitting","S"))),"")</f>
        <v/>
      </c>
      <c r="K1216" s="14">
        <f t="shared" ref="K1216:K1235" si="118">K1215+1</f>
        <v>2717</v>
      </c>
      <c r="L1216" s="4" t="str">
        <f>IFERROR(INDEX('LEV R&amp;D'!$D:$D,MATCH(MEDIÇÃO!K1216,'LEV R&amp;D'!$A:$A,0))-INDEX('PROJETO PERFURAÇÃO'!$AH:$AH,MATCH(MEDIÇÃO!K1216,'PROJETO PERFURAÇÃO'!$B:$B,0)),"")</f>
        <v/>
      </c>
      <c r="M1216" s="8" t="str">
        <f>IFERROR(INDEX('PROJETO PERFURAÇÃO'!$AN:$AN,MATCH(MEDIÇÃO!K1216,'PROJETO PERFURAÇÃO'!$B:$B,0)),"")</f>
        <v/>
      </c>
      <c r="N1216" s="3"/>
      <c r="O1216" s="3"/>
      <c r="P1216" s="3" t="str">
        <f>IFERROR(ROUND(INDEX('PROJETO PERFURAÇÃO'!$AB:$AB,MATCH(MEDIÇÃO!R1216,'PROJETO PERFURAÇÃO'!$B:$B,0)),1)&amp;"''","")</f>
        <v/>
      </c>
      <c r="Q1216" s="3" t="str">
        <f>IFERROR(IF(INDEX('PROJETO PERFURAÇÃO'!$P:$P,MATCH(MEDIÇÃO!R1216,'PROJETO PERFURAÇÃO'!$B:$B,0))="Production","P",IF(INDEX('PROJETO PERFURAÇÃO'!$P:$P,MATCH(MEDIÇÃO!R1216,'PROJETO PERFURAÇÃO'!$B:$B,0))="Buffer","B",IF(INDEX('PROJETO PERFURAÇÃO'!$P:$P,MATCH(MEDIÇÃO!R1216,'PROJETO PERFURAÇÃO'!$B:$B,0))="Pre-Splitting","S"))),"")</f>
        <v/>
      </c>
      <c r="R1216" s="14">
        <f t="shared" ref="R1216:R1235" si="119">R1215+1</f>
        <v>2740</v>
      </c>
      <c r="S1216" s="4" t="str">
        <f>IFERROR(INDEX('LEV R&amp;D'!$D:$D,MATCH(MEDIÇÃO!R1216,'LEV R&amp;D'!$A:$A,0))-INDEX('PROJETO PERFURAÇÃO'!$AH:$AH,MATCH(MEDIÇÃO!R1216,'PROJETO PERFURAÇÃO'!$B:$B,0)),"")</f>
        <v/>
      </c>
      <c r="T1216" s="8" t="str">
        <f>IFERROR(INDEX('PROJETO PERFURAÇÃO'!$AN:$AN,MATCH(MEDIÇÃO!R1216,'PROJETO PERFURAÇÃO'!$B:$B,0)),"")</f>
        <v/>
      </c>
      <c r="U1216" s="3"/>
      <c r="V1216" s="3"/>
    </row>
    <row r="1217" spans="2:22" ht="45" customHeight="1">
      <c r="B1217" s="3" t="str">
        <f>IFERROR(ROUND(INDEX('PROJETO PERFURAÇÃO'!$AB:$AB,MATCH(MEDIÇÃO!D1217,'PROJETO PERFURAÇÃO'!$B:$B,0)),1)&amp;"''","")</f>
        <v/>
      </c>
      <c r="C1217" s="3" t="str">
        <f>IFERROR(IF(INDEX('PROJETO PERFURAÇÃO'!$P:$P,MATCH(MEDIÇÃO!D1217,'PROJETO PERFURAÇÃO'!$B:$B,0))="Production","P",IF(INDEX('PROJETO PERFURAÇÃO'!$P:$P,MATCH(MEDIÇÃO!D1217,'PROJETO PERFURAÇÃO'!$B:$B,0))="Buffer","B",IF(INDEX('PROJETO PERFURAÇÃO'!$P:$P,MATCH(MEDIÇÃO!D1217,'PROJETO PERFURAÇÃO'!$B:$B,0))="Pre-Splitting","S"))),"")</f>
        <v/>
      </c>
      <c r="D1217" s="14">
        <f t="shared" si="117"/>
        <v>2695</v>
      </c>
      <c r="E1217" s="4" t="str">
        <f>IFERROR(INDEX('LEV R&amp;D'!$D:$D,MATCH(MEDIÇÃO!D1217,'LEV R&amp;D'!$A:$A,0))-INDEX('PROJETO PERFURAÇÃO'!$AH:$AH,MATCH(MEDIÇÃO!D1217,'PROJETO PERFURAÇÃO'!$B:$B,0)),"")</f>
        <v/>
      </c>
      <c r="F1217" s="8" t="str">
        <f>IFERROR(INDEX('PROJETO PERFURAÇÃO'!$AN:$AN,MATCH(MEDIÇÃO!D1217,'PROJETO PERFURAÇÃO'!$B:$B,0)),"")</f>
        <v/>
      </c>
      <c r="G1217" s="3"/>
      <c r="H1217" s="3"/>
      <c r="I1217" s="3" t="str">
        <f>IFERROR(ROUND(INDEX('PROJETO PERFURAÇÃO'!$AB:$AB,MATCH(MEDIÇÃO!K1217,'PROJETO PERFURAÇÃO'!$B:$B,0)),1)&amp;"''","")</f>
        <v/>
      </c>
      <c r="J1217" s="3" t="str">
        <f>IFERROR(IF(INDEX('PROJETO PERFURAÇÃO'!$P:$P,MATCH(MEDIÇÃO!K1217,'PROJETO PERFURAÇÃO'!$B:$B,0))="Production","P",IF(INDEX('PROJETO PERFURAÇÃO'!$P:$P,MATCH(MEDIÇÃO!K1217,'PROJETO PERFURAÇÃO'!$B:$B,0))="Buffer","B",IF(INDEX('PROJETO PERFURAÇÃO'!$P:$P,MATCH(MEDIÇÃO!K1217,'PROJETO PERFURAÇÃO'!$B:$B,0))="Pre-Splitting","S"))),"")</f>
        <v/>
      </c>
      <c r="K1217" s="14">
        <f t="shared" si="118"/>
        <v>2718</v>
      </c>
      <c r="L1217" s="4" t="str">
        <f>IFERROR(INDEX('LEV R&amp;D'!$D:$D,MATCH(MEDIÇÃO!K1217,'LEV R&amp;D'!$A:$A,0))-INDEX('PROJETO PERFURAÇÃO'!$AH:$AH,MATCH(MEDIÇÃO!K1217,'PROJETO PERFURAÇÃO'!$B:$B,0)),"")</f>
        <v/>
      </c>
      <c r="M1217" s="8" t="str">
        <f>IFERROR(INDEX('PROJETO PERFURAÇÃO'!$AN:$AN,MATCH(MEDIÇÃO!K1217,'PROJETO PERFURAÇÃO'!$B:$B,0)),"")</f>
        <v/>
      </c>
      <c r="N1217" s="3"/>
      <c r="O1217" s="3"/>
      <c r="P1217" s="3" t="str">
        <f>IFERROR(ROUND(INDEX('PROJETO PERFURAÇÃO'!$AB:$AB,MATCH(MEDIÇÃO!R1217,'PROJETO PERFURAÇÃO'!$B:$B,0)),1)&amp;"''","")</f>
        <v/>
      </c>
      <c r="Q1217" s="3" t="str">
        <f>IFERROR(IF(INDEX('PROJETO PERFURAÇÃO'!$P:$P,MATCH(MEDIÇÃO!R1217,'PROJETO PERFURAÇÃO'!$B:$B,0))="Production","P",IF(INDEX('PROJETO PERFURAÇÃO'!$P:$P,MATCH(MEDIÇÃO!R1217,'PROJETO PERFURAÇÃO'!$B:$B,0))="Buffer","B",IF(INDEX('PROJETO PERFURAÇÃO'!$P:$P,MATCH(MEDIÇÃO!R1217,'PROJETO PERFURAÇÃO'!$B:$B,0))="Pre-Splitting","S"))),"")</f>
        <v/>
      </c>
      <c r="R1217" s="14">
        <f t="shared" si="119"/>
        <v>2741</v>
      </c>
      <c r="S1217" s="4" t="str">
        <f>IFERROR(INDEX('LEV R&amp;D'!$D:$D,MATCH(MEDIÇÃO!R1217,'LEV R&amp;D'!$A:$A,0))-INDEX('PROJETO PERFURAÇÃO'!$AH:$AH,MATCH(MEDIÇÃO!R1217,'PROJETO PERFURAÇÃO'!$B:$B,0)),"")</f>
        <v/>
      </c>
      <c r="T1217" s="8" t="str">
        <f>IFERROR(INDEX('PROJETO PERFURAÇÃO'!$AN:$AN,MATCH(MEDIÇÃO!R1217,'PROJETO PERFURAÇÃO'!$B:$B,0)),"")</f>
        <v/>
      </c>
      <c r="U1217" s="3"/>
      <c r="V1217" s="3"/>
    </row>
    <row r="1218" spans="2:22" ht="45" customHeight="1">
      <c r="B1218" s="3" t="str">
        <f>IFERROR(ROUND(INDEX('PROJETO PERFURAÇÃO'!$AB:$AB,MATCH(MEDIÇÃO!D1218,'PROJETO PERFURAÇÃO'!$B:$B,0)),1)&amp;"''","")</f>
        <v/>
      </c>
      <c r="C1218" s="3" t="str">
        <f>IFERROR(IF(INDEX('PROJETO PERFURAÇÃO'!$P:$P,MATCH(MEDIÇÃO!D1218,'PROJETO PERFURAÇÃO'!$B:$B,0))="Production","P",IF(INDEX('PROJETO PERFURAÇÃO'!$P:$P,MATCH(MEDIÇÃO!D1218,'PROJETO PERFURAÇÃO'!$B:$B,0))="Buffer","B",IF(INDEX('PROJETO PERFURAÇÃO'!$P:$P,MATCH(MEDIÇÃO!D1218,'PROJETO PERFURAÇÃO'!$B:$B,0))="Pre-Splitting","S"))),"")</f>
        <v/>
      </c>
      <c r="D1218" s="14">
        <f t="shared" si="117"/>
        <v>2696</v>
      </c>
      <c r="E1218" s="4" t="str">
        <f>IFERROR(INDEX('LEV R&amp;D'!$D:$D,MATCH(MEDIÇÃO!D1218,'LEV R&amp;D'!$A:$A,0))-INDEX('PROJETO PERFURAÇÃO'!$AH:$AH,MATCH(MEDIÇÃO!D1218,'PROJETO PERFURAÇÃO'!$B:$B,0)),"")</f>
        <v/>
      </c>
      <c r="F1218" s="8" t="str">
        <f>IFERROR(INDEX('PROJETO PERFURAÇÃO'!$AN:$AN,MATCH(MEDIÇÃO!D1218,'PROJETO PERFURAÇÃO'!$B:$B,0)),"")</f>
        <v/>
      </c>
      <c r="G1218" s="3"/>
      <c r="H1218" s="3"/>
      <c r="I1218" s="3" t="str">
        <f>IFERROR(ROUND(INDEX('PROJETO PERFURAÇÃO'!$AB:$AB,MATCH(MEDIÇÃO!K1218,'PROJETO PERFURAÇÃO'!$B:$B,0)),1)&amp;"''","")</f>
        <v/>
      </c>
      <c r="J1218" s="3" t="str">
        <f>IFERROR(IF(INDEX('PROJETO PERFURAÇÃO'!$P:$P,MATCH(MEDIÇÃO!K1218,'PROJETO PERFURAÇÃO'!$B:$B,0))="Production","P",IF(INDEX('PROJETO PERFURAÇÃO'!$P:$P,MATCH(MEDIÇÃO!K1218,'PROJETO PERFURAÇÃO'!$B:$B,0))="Buffer","B",IF(INDEX('PROJETO PERFURAÇÃO'!$P:$P,MATCH(MEDIÇÃO!K1218,'PROJETO PERFURAÇÃO'!$B:$B,0))="Pre-Splitting","S"))),"")</f>
        <v/>
      </c>
      <c r="K1218" s="14">
        <f t="shared" si="118"/>
        <v>2719</v>
      </c>
      <c r="L1218" s="4" t="str">
        <f>IFERROR(INDEX('LEV R&amp;D'!$D:$D,MATCH(MEDIÇÃO!K1218,'LEV R&amp;D'!$A:$A,0))-INDEX('PROJETO PERFURAÇÃO'!$AH:$AH,MATCH(MEDIÇÃO!K1218,'PROJETO PERFURAÇÃO'!$B:$B,0)),"")</f>
        <v/>
      </c>
      <c r="M1218" s="8" t="str">
        <f>IFERROR(INDEX('PROJETO PERFURAÇÃO'!$AN:$AN,MATCH(MEDIÇÃO!K1218,'PROJETO PERFURAÇÃO'!$B:$B,0)),"")</f>
        <v/>
      </c>
      <c r="N1218" s="3"/>
      <c r="O1218" s="3"/>
      <c r="P1218" s="3" t="str">
        <f>IFERROR(ROUND(INDEX('PROJETO PERFURAÇÃO'!$AB:$AB,MATCH(MEDIÇÃO!R1218,'PROJETO PERFURAÇÃO'!$B:$B,0)),1)&amp;"''","")</f>
        <v/>
      </c>
      <c r="Q1218" s="3" t="str">
        <f>IFERROR(IF(INDEX('PROJETO PERFURAÇÃO'!$P:$P,MATCH(MEDIÇÃO!R1218,'PROJETO PERFURAÇÃO'!$B:$B,0))="Production","P",IF(INDEX('PROJETO PERFURAÇÃO'!$P:$P,MATCH(MEDIÇÃO!R1218,'PROJETO PERFURAÇÃO'!$B:$B,0))="Buffer","B",IF(INDEX('PROJETO PERFURAÇÃO'!$P:$P,MATCH(MEDIÇÃO!R1218,'PROJETO PERFURAÇÃO'!$B:$B,0))="Pre-Splitting","S"))),"")</f>
        <v/>
      </c>
      <c r="R1218" s="14">
        <f t="shared" si="119"/>
        <v>2742</v>
      </c>
      <c r="S1218" s="4" t="str">
        <f>IFERROR(INDEX('LEV R&amp;D'!$D:$D,MATCH(MEDIÇÃO!R1218,'LEV R&amp;D'!$A:$A,0))-INDEX('PROJETO PERFURAÇÃO'!$AH:$AH,MATCH(MEDIÇÃO!R1218,'PROJETO PERFURAÇÃO'!$B:$B,0)),"")</f>
        <v/>
      </c>
      <c r="T1218" s="8" t="str">
        <f>IFERROR(INDEX('PROJETO PERFURAÇÃO'!$AN:$AN,MATCH(MEDIÇÃO!R1218,'PROJETO PERFURAÇÃO'!$B:$B,0)),"")</f>
        <v/>
      </c>
      <c r="U1218" s="3"/>
      <c r="V1218" s="3"/>
    </row>
    <row r="1219" spans="2:22" ht="45" customHeight="1">
      <c r="B1219" s="3" t="str">
        <f>IFERROR(ROUND(INDEX('PROJETO PERFURAÇÃO'!$AB:$AB,MATCH(MEDIÇÃO!D1219,'PROJETO PERFURAÇÃO'!$B:$B,0)),1)&amp;"''","")</f>
        <v/>
      </c>
      <c r="C1219" s="3" t="str">
        <f>IFERROR(IF(INDEX('PROJETO PERFURAÇÃO'!$P:$P,MATCH(MEDIÇÃO!D1219,'PROJETO PERFURAÇÃO'!$B:$B,0))="Production","P",IF(INDEX('PROJETO PERFURAÇÃO'!$P:$P,MATCH(MEDIÇÃO!D1219,'PROJETO PERFURAÇÃO'!$B:$B,0))="Buffer","B",IF(INDEX('PROJETO PERFURAÇÃO'!$P:$P,MATCH(MEDIÇÃO!D1219,'PROJETO PERFURAÇÃO'!$B:$B,0))="Pre-Splitting","S"))),"")</f>
        <v/>
      </c>
      <c r="D1219" s="14">
        <f t="shared" si="117"/>
        <v>2697</v>
      </c>
      <c r="E1219" s="4" t="str">
        <f>IFERROR(INDEX('LEV R&amp;D'!$D:$D,MATCH(MEDIÇÃO!D1219,'LEV R&amp;D'!$A:$A,0))-INDEX('PROJETO PERFURAÇÃO'!$AH:$AH,MATCH(MEDIÇÃO!D1219,'PROJETO PERFURAÇÃO'!$B:$B,0)),"")</f>
        <v/>
      </c>
      <c r="F1219" s="8" t="str">
        <f>IFERROR(INDEX('PROJETO PERFURAÇÃO'!$AN:$AN,MATCH(MEDIÇÃO!D1219,'PROJETO PERFURAÇÃO'!$B:$B,0)),"")</f>
        <v/>
      </c>
      <c r="G1219" s="3"/>
      <c r="H1219" s="3"/>
      <c r="I1219" s="3" t="str">
        <f>IFERROR(ROUND(INDEX('PROJETO PERFURAÇÃO'!$AB:$AB,MATCH(MEDIÇÃO!K1219,'PROJETO PERFURAÇÃO'!$B:$B,0)),1)&amp;"''","")</f>
        <v/>
      </c>
      <c r="J1219" s="3" t="str">
        <f>IFERROR(IF(INDEX('PROJETO PERFURAÇÃO'!$P:$P,MATCH(MEDIÇÃO!K1219,'PROJETO PERFURAÇÃO'!$B:$B,0))="Production","P",IF(INDEX('PROJETO PERFURAÇÃO'!$P:$P,MATCH(MEDIÇÃO!K1219,'PROJETO PERFURAÇÃO'!$B:$B,0))="Buffer","B",IF(INDEX('PROJETO PERFURAÇÃO'!$P:$P,MATCH(MEDIÇÃO!K1219,'PROJETO PERFURAÇÃO'!$B:$B,0))="Pre-Splitting","S"))),"")</f>
        <v/>
      </c>
      <c r="K1219" s="14">
        <f t="shared" si="118"/>
        <v>2720</v>
      </c>
      <c r="L1219" s="4" t="str">
        <f>IFERROR(INDEX('LEV R&amp;D'!$D:$D,MATCH(MEDIÇÃO!K1219,'LEV R&amp;D'!$A:$A,0))-INDEX('PROJETO PERFURAÇÃO'!$AH:$AH,MATCH(MEDIÇÃO!K1219,'PROJETO PERFURAÇÃO'!$B:$B,0)),"")</f>
        <v/>
      </c>
      <c r="M1219" s="8" t="str">
        <f>IFERROR(INDEX('PROJETO PERFURAÇÃO'!$AN:$AN,MATCH(MEDIÇÃO!K1219,'PROJETO PERFURAÇÃO'!$B:$B,0)),"")</f>
        <v/>
      </c>
      <c r="N1219" s="3"/>
      <c r="O1219" s="3"/>
      <c r="P1219" s="3" t="str">
        <f>IFERROR(ROUND(INDEX('PROJETO PERFURAÇÃO'!$AB:$AB,MATCH(MEDIÇÃO!R1219,'PROJETO PERFURAÇÃO'!$B:$B,0)),1)&amp;"''","")</f>
        <v/>
      </c>
      <c r="Q1219" s="3" t="str">
        <f>IFERROR(IF(INDEX('PROJETO PERFURAÇÃO'!$P:$P,MATCH(MEDIÇÃO!R1219,'PROJETO PERFURAÇÃO'!$B:$B,0))="Production","P",IF(INDEX('PROJETO PERFURAÇÃO'!$P:$P,MATCH(MEDIÇÃO!R1219,'PROJETO PERFURAÇÃO'!$B:$B,0))="Buffer","B",IF(INDEX('PROJETO PERFURAÇÃO'!$P:$P,MATCH(MEDIÇÃO!R1219,'PROJETO PERFURAÇÃO'!$B:$B,0))="Pre-Splitting","S"))),"")</f>
        <v/>
      </c>
      <c r="R1219" s="14">
        <f t="shared" si="119"/>
        <v>2743</v>
      </c>
      <c r="S1219" s="4" t="str">
        <f>IFERROR(INDEX('LEV R&amp;D'!$D:$D,MATCH(MEDIÇÃO!R1219,'LEV R&amp;D'!$A:$A,0))-INDEX('PROJETO PERFURAÇÃO'!$AH:$AH,MATCH(MEDIÇÃO!R1219,'PROJETO PERFURAÇÃO'!$B:$B,0)),"")</f>
        <v/>
      </c>
      <c r="T1219" s="8" t="str">
        <f>IFERROR(INDEX('PROJETO PERFURAÇÃO'!$AN:$AN,MATCH(MEDIÇÃO!R1219,'PROJETO PERFURAÇÃO'!$B:$B,0)),"")</f>
        <v/>
      </c>
      <c r="U1219" s="3"/>
      <c r="V1219" s="3"/>
    </row>
    <row r="1220" spans="2:22" ht="45" customHeight="1">
      <c r="B1220" s="3" t="str">
        <f>IFERROR(ROUND(INDEX('PROJETO PERFURAÇÃO'!$AB:$AB,MATCH(MEDIÇÃO!D1220,'PROJETO PERFURAÇÃO'!$B:$B,0)),1)&amp;"''","")</f>
        <v/>
      </c>
      <c r="C1220" s="3" t="str">
        <f>IFERROR(IF(INDEX('PROJETO PERFURAÇÃO'!$P:$P,MATCH(MEDIÇÃO!D1220,'PROJETO PERFURAÇÃO'!$B:$B,0))="Production","P",IF(INDEX('PROJETO PERFURAÇÃO'!$P:$P,MATCH(MEDIÇÃO!D1220,'PROJETO PERFURAÇÃO'!$B:$B,0))="Buffer","B",IF(INDEX('PROJETO PERFURAÇÃO'!$P:$P,MATCH(MEDIÇÃO!D1220,'PROJETO PERFURAÇÃO'!$B:$B,0))="Pre-Splitting","S"))),"")</f>
        <v/>
      </c>
      <c r="D1220" s="14">
        <f t="shared" si="117"/>
        <v>2698</v>
      </c>
      <c r="E1220" s="4" t="str">
        <f>IFERROR(INDEX('LEV R&amp;D'!$D:$D,MATCH(MEDIÇÃO!D1220,'LEV R&amp;D'!$A:$A,0))-INDEX('PROJETO PERFURAÇÃO'!$AH:$AH,MATCH(MEDIÇÃO!D1220,'PROJETO PERFURAÇÃO'!$B:$B,0)),"")</f>
        <v/>
      </c>
      <c r="F1220" s="8" t="str">
        <f>IFERROR(INDEX('PROJETO PERFURAÇÃO'!$AN:$AN,MATCH(MEDIÇÃO!D1220,'PROJETO PERFURAÇÃO'!$B:$B,0)),"")</f>
        <v/>
      </c>
      <c r="G1220" s="3"/>
      <c r="H1220" s="3"/>
      <c r="I1220" s="3" t="str">
        <f>IFERROR(ROUND(INDEX('PROJETO PERFURAÇÃO'!$AB:$AB,MATCH(MEDIÇÃO!K1220,'PROJETO PERFURAÇÃO'!$B:$B,0)),1)&amp;"''","")</f>
        <v/>
      </c>
      <c r="J1220" s="3" t="str">
        <f>IFERROR(IF(INDEX('PROJETO PERFURAÇÃO'!$P:$P,MATCH(MEDIÇÃO!K1220,'PROJETO PERFURAÇÃO'!$B:$B,0))="Production","P",IF(INDEX('PROJETO PERFURAÇÃO'!$P:$P,MATCH(MEDIÇÃO!K1220,'PROJETO PERFURAÇÃO'!$B:$B,0))="Buffer","B",IF(INDEX('PROJETO PERFURAÇÃO'!$P:$P,MATCH(MEDIÇÃO!K1220,'PROJETO PERFURAÇÃO'!$B:$B,0))="Pre-Splitting","S"))),"")</f>
        <v/>
      </c>
      <c r="K1220" s="14">
        <f t="shared" si="118"/>
        <v>2721</v>
      </c>
      <c r="L1220" s="4" t="str">
        <f>IFERROR(INDEX('LEV R&amp;D'!$D:$D,MATCH(MEDIÇÃO!K1220,'LEV R&amp;D'!$A:$A,0))-INDEX('PROJETO PERFURAÇÃO'!$AH:$AH,MATCH(MEDIÇÃO!K1220,'PROJETO PERFURAÇÃO'!$B:$B,0)),"")</f>
        <v/>
      </c>
      <c r="M1220" s="8" t="str">
        <f>IFERROR(INDEX('PROJETO PERFURAÇÃO'!$AN:$AN,MATCH(MEDIÇÃO!K1220,'PROJETO PERFURAÇÃO'!$B:$B,0)),"")</f>
        <v/>
      </c>
      <c r="N1220" s="3"/>
      <c r="O1220" s="3"/>
      <c r="P1220" s="3" t="str">
        <f>IFERROR(ROUND(INDEX('PROJETO PERFURAÇÃO'!$AB:$AB,MATCH(MEDIÇÃO!R1220,'PROJETO PERFURAÇÃO'!$B:$B,0)),1)&amp;"''","")</f>
        <v/>
      </c>
      <c r="Q1220" s="3" t="str">
        <f>IFERROR(IF(INDEX('PROJETO PERFURAÇÃO'!$P:$P,MATCH(MEDIÇÃO!R1220,'PROJETO PERFURAÇÃO'!$B:$B,0))="Production","P",IF(INDEX('PROJETO PERFURAÇÃO'!$P:$P,MATCH(MEDIÇÃO!R1220,'PROJETO PERFURAÇÃO'!$B:$B,0))="Buffer","B",IF(INDEX('PROJETO PERFURAÇÃO'!$P:$P,MATCH(MEDIÇÃO!R1220,'PROJETO PERFURAÇÃO'!$B:$B,0))="Pre-Splitting","S"))),"")</f>
        <v/>
      </c>
      <c r="R1220" s="14">
        <f t="shared" si="119"/>
        <v>2744</v>
      </c>
      <c r="S1220" s="4" t="str">
        <f>IFERROR(INDEX('LEV R&amp;D'!$D:$D,MATCH(MEDIÇÃO!R1220,'LEV R&amp;D'!$A:$A,0))-INDEX('PROJETO PERFURAÇÃO'!$AH:$AH,MATCH(MEDIÇÃO!R1220,'PROJETO PERFURAÇÃO'!$B:$B,0)),"")</f>
        <v/>
      </c>
      <c r="T1220" s="8" t="str">
        <f>IFERROR(INDEX('PROJETO PERFURAÇÃO'!$AN:$AN,MATCH(MEDIÇÃO!R1220,'PROJETO PERFURAÇÃO'!$B:$B,0)),"")</f>
        <v/>
      </c>
      <c r="U1220" s="3"/>
      <c r="V1220" s="3"/>
    </row>
    <row r="1221" spans="2:22" ht="45" customHeight="1">
      <c r="B1221" s="3" t="str">
        <f>IFERROR(ROUND(INDEX('PROJETO PERFURAÇÃO'!$AB:$AB,MATCH(MEDIÇÃO!D1221,'PROJETO PERFURAÇÃO'!$B:$B,0)),1)&amp;"''","")</f>
        <v/>
      </c>
      <c r="C1221" s="3" t="str">
        <f>IFERROR(IF(INDEX('PROJETO PERFURAÇÃO'!$P:$P,MATCH(MEDIÇÃO!D1221,'PROJETO PERFURAÇÃO'!$B:$B,0))="Production","P",IF(INDEX('PROJETO PERFURAÇÃO'!$P:$P,MATCH(MEDIÇÃO!D1221,'PROJETO PERFURAÇÃO'!$B:$B,0))="Buffer","B",IF(INDEX('PROJETO PERFURAÇÃO'!$P:$P,MATCH(MEDIÇÃO!D1221,'PROJETO PERFURAÇÃO'!$B:$B,0))="Pre-Splitting","S"))),"")</f>
        <v/>
      </c>
      <c r="D1221" s="14">
        <f t="shared" si="117"/>
        <v>2699</v>
      </c>
      <c r="E1221" s="4" t="str">
        <f>IFERROR(INDEX('LEV R&amp;D'!$D:$D,MATCH(MEDIÇÃO!D1221,'LEV R&amp;D'!$A:$A,0))-INDEX('PROJETO PERFURAÇÃO'!$AH:$AH,MATCH(MEDIÇÃO!D1221,'PROJETO PERFURAÇÃO'!$B:$B,0)),"")</f>
        <v/>
      </c>
      <c r="F1221" s="8" t="str">
        <f>IFERROR(INDEX('PROJETO PERFURAÇÃO'!$AN:$AN,MATCH(MEDIÇÃO!D1221,'PROJETO PERFURAÇÃO'!$B:$B,0)),"")</f>
        <v/>
      </c>
      <c r="G1221" s="3"/>
      <c r="H1221" s="3"/>
      <c r="I1221" s="3" t="str">
        <f>IFERROR(ROUND(INDEX('PROJETO PERFURAÇÃO'!$AB:$AB,MATCH(MEDIÇÃO!K1221,'PROJETO PERFURAÇÃO'!$B:$B,0)),1)&amp;"''","")</f>
        <v/>
      </c>
      <c r="J1221" s="3" t="str">
        <f>IFERROR(IF(INDEX('PROJETO PERFURAÇÃO'!$P:$P,MATCH(MEDIÇÃO!K1221,'PROJETO PERFURAÇÃO'!$B:$B,0))="Production","P",IF(INDEX('PROJETO PERFURAÇÃO'!$P:$P,MATCH(MEDIÇÃO!K1221,'PROJETO PERFURAÇÃO'!$B:$B,0))="Buffer","B",IF(INDEX('PROJETO PERFURAÇÃO'!$P:$P,MATCH(MEDIÇÃO!K1221,'PROJETO PERFURAÇÃO'!$B:$B,0))="Pre-Splitting","S"))),"")</f>
        <v/>
      </c>
      <c r="K1221" s="14">
        <f t="shared" si="118"/>
        <v>2722</v>
      </c>
      <c r="L1221" s="4" t="str">
        <f>IFERROR(INDEX('LEV R&amp;D'!$D:$D,MATCH(MEDIÇÃO!K1221,'LEV R&amp;D'!$A:$A,0))-INDEX('PROJETO PERFURAÇÃO'!$AH:$AH,MATCH(MEDIÇÃO!K1221,'PROJETO PERFURAÇÃO'!$B:$B,0)),"")</f>
        <v/>
      </c>
      <c r="M1221" s="8" t="str">
        <f>IFERROR(INDEX('PROJETO PERFURAÇÃO'!$AN:$AN,MATCH(MEDIÇÃO!K1221,'PROJETO PERFURAÇÃO'!$B:$B,0)),"")</f>
        <v/>
      </c>
      <c r="N1221" s="3"/>
      <c r="O1221" s="3"/>
      <c r="P1221" s="3" t="str">
        <f>IFERROR(ROUND(INDEX('PROJETO PERFURAÇÃO'!$AB:$AB,MATCH(MEDIÇÃO!R1221,'PROJETO PERFURAÇÃO'!$B:$B,0)),1)&amp;"''","")</f>
        <v/>
      </c>
      <c r="Q1221" s="3" t="str">
        <f>IFERROR(IF(INDEX('PROJETO PERFURAÇÃO'!$P:$P,MATCH(MEDIÇÃO!R1221,'PROJETO PERFURAÇÃO'!$B:$B,0))="Production","P",IF(INDEX('PROJETO PERFURAÇÃO'!$P:$P,MATCH(MEDIÇÃO!R1221,'PROJETO PERFURAÇÃO'!$B:$B,0))="Buffer","B",IF(INDEX('PROJETO PERFURAÇÃO'!$P:$P,MATCH(MEDIÇÃO!R1221,'PROJETO PERFURAÇÃO'!$B:$B,0))="Pre-Splitting","S"))),"")</f>
        <v/>
      </c>
      <c r="R1221" s="14">
        <f t="shared" si="119"/>
        <v>2745</v>
      </c>
      <c r="S1221" s="4" t="str">
        <f>IFERROR(INDEX('LEV R&amp;D'!$D:$D,MATCH(MEDIÇÃO!R1221,'LEV R&amp;D'!$A:$A,0))-INDEX('PROJETO PERFURAÇÃO'!$AH:$AH,MATCH(MEDIÇÃO!R1221,'PROJETO PERFURAÇÃO'!$B:$B,0)),"")</f>
        <v/>
      </c>
      <c r="T1221" s="8" t="str">
        <f>IFERROR(INDEX('PROJETO PERFURAÇÃO'!$AN:$AN,MATCH(MEDIÇÃO!R1221,'PROJETO PERFURAÇÃO'!$B:$B,0)),"")</f>
        <v/>
      </c>
      <c r="U1221" s="3"/>
      <c r="V1221" s="3"/>
    </row>
    <row r="1222" spans="2:22" ht="45" customHeight="1">
      <c r="B1222" s="3" t="str">
        <f>IFERROR(ROUND(INDEX('PROJETO PERFURAÇÃO'!$AB:$AB,MATCH(MEDIÇÃO!D1222,'PROJETO PERFURAÇÃO'!$B:$B,0)),1)&amp;"''","")</f>
        <v/>
      </c>
      <c r="C1222" s="3" t="str">
        <f>IFERROR(IF(INDEX('PROJETO PERFURAÇÃO'!$P:$P,MATCH(MEDIÇÃO!D1222,'PROJETO PERFURAÇÃO'!$B:$B,0))="Production","P",IF(INDEX('PROJETO PERFURAÇÃO'!$P:$P,MATCH(MEDIÇÃO!D1222,'PROJETO PERFURAÇÃO'!$B:$B,0))="Buffer","B",IF(INDEX('PROJETO PERFURAÇÃO'!$P:$P,MATCH(MEDIÇÃO!D1222,'PROJETO PERFURAÇÃO'!$B:$B,0))="Pre-Splitting","S"))),"")</f>
        <v/>
      </c>
      <c r="D1222" s="14">
        <f t="shared" si="117"/>
        <v>2700</v>
      </c>
      <c r="E1222" s="4" t="str">
        <f>IFERROR(INDEX('LEV R&amp;D'!$D:$D,MATCH(MEDIÇÃO!D1222,'LEV R&amp;D'!$A:$A,0))-INDEX('PROJETO PERFURAÇÃO'!$AH:$AH,MATCH(MEDIÇÃO!D1222,'PROJETO PERFURAÇÃO'!$B:$B,0)),"")</f>
        <v/>
      </c>
      <c r="F1222" s="8" t="str">
        <f>IFERROR(INDEX('PROJETO PERFURAÇÃO'!$AN:$AN,MATCH(MEDIÇÃO!D1222,'PROJETO PERFURAÇÃO'!$B:$B,0)),"")</f>
        <v/>
      </c>
      <c r="G1222" s="3"/>
      <c r="H1222" s="3"/>
      <c r="I1222" s="3" t="str">
        <f>IFERROR(ROUND(INDEX('PROJETO PERFURAÇÃO'!$AB:$AB,MATCH(MEDIÇÃO!K1222,'PROJETO PERFURAÇÃO'!$B:$B,0)),1)&amp;"''","")</f>
        <v/>
      </c>
      <c r="J1222" s="3" t="str">
        <f>IFERROR(IF(INDEX('PROJETO PERFURAÇÃO'!$P:$P,MATCH(MEDIÇÃO!K1222,'PROJETO PERFURAÇÃO'!$B:$B,0))="Production","P",IF(INDEX('PROJETO PERFURAÇÃO'!$P:$P,MATCH(MEDIÇÃO!K1222,'PROJETO PERFURAÇÃO'!$B:$B,0))="Buffer","B",IF(INDEX('PROJETO PERFURAÇÃO'!$P:$P,MATCH(MEDIÇÃO!K1222,'PROJETO PERFURAÇÃO'!$B:$B,0))="Pre-Splitting","S"))),"")</f>
        <v/>
      </c>
      <c r="K1222" s="14">
        <f t="shared" si="118"/>
        <v>2723</v>
      </c>
      <c r="L1222" s="4" t="str">
        <f>IFERROR(INDEX('LEV R&amp;D'!$D:$D,MATCH(MEDIÇÃO!K1222,'LEV R&amp;D'!$A:$A,0))-INDEX('PROJETO PERFURAÇÃO'!$AH:$AH,MATCH(MEDIÇÃO!K1222,'PROJETO PERFURAÇÃO'!$B:$B,0)),"")</f>
        <v/>
      </c>
      <c r="M1222" s="8" t="str">
        <f>IFERROR(INDEX('PROJETO PERFURAÇÃO'!$AN:$AN,MATCH(MEDIÇÃO!K1222,'PROJETO PERFURAÇÃO'!$B:$B,0)),"")</f>
        <v/>
      </c>
      <c r="N1222" s="3"/>
      <c r="O1222" s="3"/>
      <c r="P1222" s="3" t="str">
        <f>IFERROR(ROUND(INDEX('PROJETO PERFURAÇÃO'!$AB:$AB,MATCH(MEDIÇÃO!R1222,'PROJETO PERFURAÇÃO'!$B:$B,0)),1)&amp;"''","")</f>
        <v/>
      </c>
      <c r="Q1222" s="3" t="str">
        <f>IFERROR(IF(INDEX('PROJETO PERFURAÇÃO'!$P:$P,MATCH(MEDIÇÃO!R1222,'PROJETO PERFURAÇÃO'!$B:$B,0))="Production","P",IF(INDEX('PROJETO PERFURAÇÃO'!$P:$P,MATCH(MEDIÇÃO!R1222,'PROJETO PERFURAÇÃO'!$B:$B,0))="Buffer","B",IF(INDEX('PROJETO PERFURAÇÃO'!$P:$P,MATCH(MEDIÇÃO!R1222,'PROJETO PERFURAÇÃO'!$B:$B,0))="Pre-Splitting","S"))),"")</f>
        <v/>
      </c>
      <c r="R1222" s="14">
        <f t="shared" si="119"/>
        <v>2746</v>
      </c>
      <c r="S1222" s="4" t="str">
        <f>IFERROR(INDEX('LEV R&amp;D'!$D:$D,MATCH(MEDIÇÃO!R1222,'LEV R&amp;D'!$A:$A,0))-INDEX('PROJETO PERFURAÇÃO'!$AH:$AH,MATCH(MEDIÇÃO!R1222,'PROJETO PERFURAÇÃO'!$B:$B,0)),"")</f>
        <v/>
      </c>
      <c r="T1222" s="8" t="str">
        <f>IFERROR(INDEX('PROJETO PERFURAÇÃO'!$AN:$AN,MATCH(MEDIÇÃO!R1222,'PROJETO PERFURAÇÃO'!$B:$B,0)),"")</f>
        <v/>
      </c>
      <c r="U1222" s="3"/>
      <c r="V1222" s="3"/>
    </row>
    <row r="1223" spans="2:22" ht="45" customHeight="1">
      <c r="B1223" s="3" t="str">
        <f>IFERROR(ROUND(INDEX('PROJETO PERFURAÇÃO'!$AB:$AB,MATCH(MEDIÇÃO!D1223,'PROJETO PERFURAÇÃO'!$B:$B,0)),1)&amp;"''","")</f>
        <v/>
      </c>
      <c r="C1223" s="3" t="str">
        <f>IFERROR(IF(INDEX('PROJETO PERFURAÇÃO'!$P:$P,MATCH(MEDIÇÃO!D1223,'PROJETO PERFURAÇÃO'!$B:$B,0))="Production","P",IF(INDEX('PROJETO PERFURAÇÃO'!$P:$P,MATCH(MEDIÇÃO!D1223,'PROJETO PERFURAÇÃO'!$B:$B,0))="Buffer","B",IF(INDEX('PROJETO PERFURAÇÃO'!$P:$P,MATCH(MEDIÇÃO!D1223,'PROJETO PERFURAÇÃO'!$B:$B,0))="Pre-Splitting","S"))),"")</f>
        <v/>
      </c>
      <c r="D1223" s="14">
        <f t="shared" si="117"/>
        <v>2701</v>
      </c>
      <c r="E1223" s="4" t="str">
        <f>IFERROR(INDEX('LEV R&amp;D'!$D:$D,MATCH(MEDIÇÃO!D1223,'LEV R&amp;D'!$A:$A,0))-INDEX('PROJETO PERFURAÇÃO'!$AH:$AH,MATCH(MEDIÇÃO!D1223,'PROJETO PERFURAÇÃO'!$B:$B,0)),"")</f>
        <v/>
      </c>
      <c r="F1223" s="8" t="str">
        <f>IFERROR(INDEX('PROJETO PERFURAÇÃO'!$AN:$AN,MATCH(MEDIÇÃO!D1223,'PROJETO PERFURAÇÃO'!$B:$B,0)),"")</f>
        <v/>
      </c>
      <c r="G1223" s="3"/>
      <c r="H1223" s="3"/>
      <c r="I1223" s="3" t="str">
        <f>IFERROR(ROUND(INDEX('PROJETO PERFURAÇÃO'!$AB:$AB,MATCH(MEDIÇÃO!K1223,'PROJETO PERFURAÇÃO'!$B:$B,0)),1)&amp;"''","")</f>
        <v/>
      </c>
      <c r="J1223" s="3" t="str">
        <f>IFERROR(IF(INDEX('PROJETO PERFURAÇÃO'!$P:$P,MATCH(MEDIÇÃO!K1223,'PROJETO PERFURAÇÃO'!$B:$B,0))="Production","P",IF(INDEX('PROJETO PERFURAÇÃO'!$P:$P,MATCH(MEDIÇÃO!K1223,'PROJETO PERFURAÇÃO'!$B:$B,0))="Buffer","B",IF(INDEX('PROJETO PERFURAÇÃO'!$P:$P,MATCH(MEDIÇÃO!K1223,'PROJETO PERFURAÇÃO'!$B:$B,0))="Pre-Splitting","S"))),"")</f>
        <v/>
      </c>
      <c r="K1223" s="14">
        <f t="shared" si="118"/>
        <v>2724</v>
      </c>
      <c r="L1223" s="4" t="str">
        <f>IFERROR(INDEX('LEV R&amp;D'!$D:$D,MATCH(MEDIÇÃO!K1223,'LEV R&amp;D'!$A:$A,0))-INDEX('PROJETO PERFURAÇÃO'!$AH:$AH,MATCH(MEDIÇÃO!K1223,'PROJETO PERFURAÇÃO'!$B:$B,0)),"")</f>
        <v/>
      </c>
      <c r="M1223" s="8" t="str">
        <f>IFERROR(INDEX('PROJETO PERFURAÇÃO'!$AN:$AN,MATCH(MEDIÇÃO!K1223,'PROJETO PERFURAÇÃO'!$B:$B,0)),"")</f>
        <v/>
      </c>
      <c r="N1223" s="3"/>
      <c r="O1223" s="3"/>
      <c r="P1223" s="3" t="str">
        <f>IFERROR(ROUND(INDEX('PROJETO PERFURAÇÃO'!$AB:$AB,MATCH(MEDIÇÃO!R1223,'PROJETO PERFURAÇÃO'!$B:$B,0)),1)&amp;"''","")</f>
        <v/>
      </c>
      <c r="Q1223" s="3" t="str">
        <f>IFERROR(IF(INDEX('PROJETO PERFURAÇÃO'!$P:$P,MATCH(MEDIÇÃO!R1223,'PROJETO PERFURAÇÃO'!$B:$B,0))="Production","P",IF(INDEX('PROJETO PERFURAÇÃO'!$P:$P,MATCH(MEDIÇÃO!R1223,'PROJETO PERFURAÇÃO'!$B:$B,0))="Buffer","B",IF(INDEX('PROJETO PERFURAÇÃO'!$P:$P,MATCH(MEDIÇÃO!R1223,'PROJETO PERFURAÇÃO'!$B:$B,0))="Pre-Splitting","S"))),"")</f>
        <v/>
      </c>
      <c r="R1223" s="14">
        <f t="shared" si="119"/>
        <v>2747</v>
      </c>
      <c r="S1223" s="4" t="str">
        <f>IFERROR(INDEX('LEV R&amp;D'!$D:$D,MATCH(MEDIÇÃO!R1223,'LEV R&amp;D'!$A:$A,0))-INDEX('PROJETO PERFURAÇÃO'!$AH:$AH,MATCH(MEDIÇÃO!R1223,'PROJETO PERFURAÇÃO'!$B:$B,0)),"")</f>
        <v/>
      </c>
      <c r="T1223" s="8" t="str">
        <f>IFERROR(INDEX('PROJETO PERFURAÇÃO'!$AN:$AN,MATCH(MEDIÇÃO!R1223,'PROJETO PERFURAÇÃO'!$B:$B,0)),"")</f>
        <v/>
      </c>
      <c r="U1223" s="3"/>
      <c r="V1223" s="3"/>
    </row>
    <row r="1224" spans="2:22" ht="45" customHeight="1">
      <c r="B1224" s="3" t="str">
        <f>IFERROR(ROUND(INDEX('PROJETO PERFURAÇÃO'!$AB:$AB,MATCH(MEDIÇÃO!D1224,'PROJETO PERFURAÇÃO'!$B:$B,0)),1)&amp;"''","")</f>
        <v/>
      </c>
      <c r="C1224" s="3" t="str">
        <f>IFERROR(IF(INDEX('PROJETO PERFURAÇÃO'!$P:$P,MATCH(MEDIÇÃO!D1224,'PROJETO PERFURAÇÃO'!$B:$B,0))="Production","P",IF(INDEX('PROJETO PERFURAÇÃO'!$P:$P,MATCH(MEDIÇÃO!D1224,'PROJETO PERFURAÇÃO'!$B:$B,0))="Buffer","B",IF(INDEX('PROJETO PERFURAÇÃO'!$P:$P,MATCH(MEDIÇÃO!D1224,'PROJETO PERFURAÇÃO'!$B:$B,0))="Pre-Splitting","S"))),"")</f>
        <v/>
      </c>
      <c r="D1224" s="14">
        <f t="shared" si="117"/>
        <v>2702</v>
      </c>
      <c r="E1224" s="4" t="str">
        <f>IFERROR(INDEX('LEV R&amp;D'!$D:$D,MATCH(MEDIÇÃO!D1224,'LEV R&amp;D'!$A:$A,0))-INDEX('PROJETO PERFURAÇÃO'!$AH:$AH,MATCH(MEDIÇÃO!D1224,'PROJETO PERFURAÇÃO'!$B:$B,0)),"")</f>
        <v/>
      </c>
      <c r="F1224" s="8" t="str">
        <f>IFERROR(INDEX('PROJETO PERFURAÇÃO'!$AN:$AN,MATCH(MEDIÇÃO!D1224,'PROJETO PERFURAÇÃO'!$B:$B,0)),"")</f>
        <v/>
      </c>
      <c r="G1224" s="3"/>
      <c r="H1224" s="3"/>
      <c r="I1224" s="3" t="str">
        <f>IFERROR(ROUND(INDEX('PROJETO PERFURAÇÃO'!$AB:$AB,MATCH(MEDIÇÃO!K1224,'PROJETO PERFURAÇÃO'!$B:$B,0)),1)&amp;"''","")</f>
        <v/>
      </c>
      <c r="J1224" s="3" t="str">
        <f>IFERROR(IF(INDEX('PROJETO PERFURAÇÃO'!$P:$P,MATCH(MEDIÇÃO!K1224,'PROJETO PERFURAÇÃO'!$B:$B,0))="Production","P",IF(INDEX('PROJETO PERFURAÇÃO'!$P:$P,MATCH(MEDIÇÃO!K1224,'PROJETO PERFURAÇÃO'!$B:$B,0))="Buffer","B",IF(INDEX('PROJETO PERFURAÇÃO'!$P:$P,MATCH(MEDIÇÃO!K1224,'PROJETO PERFURAÇÃO'!$B:$B,0))="Pre-Splitting","S"))),"")</f>
        <v/>
      </c>
      <c r="K1224" s="14">
        <f t="shared" si="118"/>
        <v>2725</v>
      </c>
      <c r="L1224" s="4" t="str">
        <f>IFERROR(INDEX('LEV R&amp;D'!$D:$D,MATCH(MEDIÇÃO!K1224,'LEV R&amp;D'!$A:$A,0))-INDEX('PROJETO PERFURAÇÃO'!$AH:$AH,MATCH(MEDIÇÃO!K1224,'PROJETO PERFURAÇÃO'!$B:$B,0)),"")</f>
        <v/>
      </c>
      <c r="M1224" s="8" t="str">
        <f>IFERROR(INDEX('PROJETO PERFURAÇÃO'!$AN:$AN,MATCH(MEDIÇÃO!K1224,'PROJETO PERFURAÇÃO'!$B:$B,0)),"")</f>
        <v/>
      </c>
      <c r="N1224" s="3"/>
      <c r="O1224" s="3"/>
      <c r="P1224" s="3" t="str">
        <f>IFERROR(ROUND(INDEX('PROJETO PERFURAÇÃO'!$AB:$AB,MATCH(MEDIÇÃO!R1224,'PROJETO PERFURAÇÃO'!$B:$B,0)),1)&amp;"''","")</f>
        <v/>
      </c>
      <c r="Q1224" s="3" t="str">
        <f>IFERROR(IF(INDEX('PROJETO PERFURAÇÃO'!$P:$P,MATCH(MEDIÇÃO!R1224,'PROJETO PERFURAÇÃO'!$B:$B,0))="Production","P",IF(INDEX('PROJETO PERFURAÇÃO'!$P:$P,MATCH(MEDIÇÃO!R1224,'PROJETO PERFURAÇÃO'!$B:$B,0))="Buffer","B",IF(INDEX('PROJETO PERFURAÇÃO'!$P:$P,MATCH(MEDIÇÃO!R1224,'PROJETO PERFURAÇÃO'!$B:$B,0))="Pre-Splitting","S"))),"")</f>
        <v/>
      </c>
      <c r="R1224" s="14">
        <f t="shared" si="119"/>
        <v>2748</v>
      </c>
      <c r="S1224" s="4" t="str">
        <f>IFERROR(INDEX('LEV R&amp;D'!$D:$D,MATCH(MEDIÇÃO!R1224,'LEV R&amp;D'!$A:$A,0))-INDEX('PROJETO PERFURAÇÃO'!$AH:$AH,MATCH(MEDIÇÃO!R1224,'PROJETO PERFURAÇÃO'!$B:$B,0)),"")</f>
        <v/>
      </c>
      <c r="T1224" s="8" t="str">
        <f>IFERROR(INDEX('PROJETO PERFURAÇÃO'!$AN:$AN,MATCH(MEDIÇÃO!R1224,'PROJETO PERFURAÇÃO'!$B:$B,0)),"")</f>
        <v/>
      </c>
      <c r="U1224" s="3"/>
      <c r="V1224" s="3"/>
    </row>
    <row r="1225" spans="2:22" ht="45" customHeight="1">
      <c r="B1225" s="3" t="str">
        <f>IFERROR(ROUND(INDEX('PROJETO PERFURAÇÃO'!$AB:$AB,MATCH(MEDIÇÃO!D1225,'PROJETO PERFURAÇÃO'!$B:$B,0)),1)&amp;"''","")</f>
        <v/>
      </c>
      <c r="C1225" s="3" t="str">
        <f>IFERROR(IF(INDEX('PROJETO PERFURAÇÃO'!$P:$P,MATCH(MEDIÇÃO!D1225,'PROJETO PERFURAÇÃO'!$B:$B,0))="Production","P",IF(INDEX('PROJETO PERFURAÇÃO'!$P:$P,MATCH(MEDIÇÃO!D1225,'PROJETO PERFURAÇÃO'!$B:$B,0))="Buffer","B",IF(INDEX('PROJETO PERFURAÇÃO'!$P:$P,MATCH(MEDIÇÃO!D1225,'PROJETO PERFURAÇÃO'!$B:$B,0))="Pre-Splitting","S"))),"")</f>
        <v/>
      </c>
      <c r="D1225" s="14">
        <f t="shared" si="117"/>
        <v>2703</v>
      </c>
      <c r="E1225" s="4" t="str">
        <f>IFERROR(INDEX('LEV R&amp;D'!$D:$D,MATCH(MEDIÇÃO!D1225,'LEV R&amp;D'!$A:$A,0))-INDEX('PROJETO PERFURAÇÃO'!$AH:$AH,MATCH(MEDIÇÃO!D1225,'PROJETO PERFURAÇÃO'!$B:$B,0)),"")</f>
        <v/>
      </c>
      <c r="F1225" s="8" t="str">
        <f>IFERROR(INDEX('PROJETO PERFURAÇÃO'!$AN:$AN,MATCH(MEDIÇÃO!D1225,'PROJETO PERFURAÇÃO'!$B:$B,0)),"")</f>
        <v/>
      </c>
      <c r="G1225" s="3"/>
      <c r="H1225" s="3"/>
      <c r="I1225" s="3" t="str">
        <f>IFERROR(ROUND(INDEX('PROJETO PERFURAÇÃO'!$AB:$AB,MATCH(MEDIÇÃO!K1225,'PROJETO PERFURAÇÃO'!$B:$B,0)),1)&amp;"''","")</f>
        <v/>
      </c>
      <c r="J1225" s="3" t="str">
        <f>IFERROR(IF(INDEX('PROJETO PERFURAÇÃO'!$P:$P,MATCH(MEDIÇÃO!K1225,'PROJETO PERFURAÇÃO'!$B:$B,0))="Production","P",IF(INDEX('PROJETO PERFURAÇÃO'!$P:$P,MATCH(MEDIÇÃO!K1225,'PROJETO PERFURAÇÃO'!$B:$B,0))="Buffer","B",IF(INDEX('PROJETO PERFURAÇÃO'!$P:$P,MATCH(MEDIÇÃO!K1225,'PROJETO PERFURAÇÃO'!$B:$B,0))="Pre-Splitting","S"))),"")</f>
        <v/>
      </c>
      <c r="K1225" s="14">
        <f t="shared" si="118"/>
        <v>2726</v>
      </c>
      <c r="L1225" s="4" t="str">
        <f>IFERROR(INDEX('LEV R&amp;D'!$D:$D,MATCH(MEDIÇÃO!K1225,'LEV R&amp;D'!$A:$A,0))-INDEX('PROJETO PERFURAÇÃO'!$AH:$AH,MATCH(MEDIÇÃO!K1225,'PROJETO PERFURAÇÃO'!$B:$B,0)),"")</f>
        <v/>
      </c>
      <c r="M1225" s="8" t="str">
        <f>IFERROR(INDEX('PROJETO PERFURAÇÃO'!$AN:$AN,MATCH(MEDIÇÃO!K1225,'PROJETO PERFURAÇÃO'!$B:$B,0)),"")</f>
        <v/>
      </c>
      <c r="N1225" s="3"/>
      <c r="O1225" s="3"/>
      <c r="P1225" s="3" t="str">
        <f>IFERROR(ROUND(INDEX('PROJETO PERFURAÇÃO'!$AB:$AB,MATCH(MEDIÇÃO!R1225,'PROJETO PERFURAÇÃO'!$B:$B,0)),1)&amp;"''","")</f>
        <v/>
      </c>
      <c r="Q1225" s="3" t="str">
        <f>IFERROR(IF(INDEX('PROJETO PERFURAÇÃO'!$P:$P,MATCH(MEDIÇÃO!R1225,'PROJETO PERFURAÇÃO'!$B:$B,0))="Production","P",IF(INDEX('PROJETO PERFURAÇÃO'!$P:$P,MATCH(MEDIÇÃO!R1225,'PROJETO PERFURAÇÃO'!$B:$B,0))="Buffer","B",IF(INDEX('PROJETO PERFURAÇÃO'!$P:$P,MATCH(MEDIÇÃO!R1225,'PROJETO PERFURAÇÃO'!$B:$B,0))="Pre-Splitting","S"))),"")</f>
        <v/>
      </c>
      <c r="R1225" s="14">
        <f t="shared" si="119"/>
        <v>2749</v>
      </c>
      <c r="S1225" s="4" t="str">
        <f>IFERROR(INDEX('LEV R&amp;D'!$D:$D,MATCH(MEDIÇÃO!R1225,'LEV R&amp;D'!$A:$A,0))-INDEX('PROJETO PERFURAÇÃO'!$AH:$AH,MATCH(MEDIÇÃO!R1225,'PROJETO PERFURAÇÃO'!$B:$B,0)),"")</f>
        <v/>
      </c>
      <c r="T1225" s="8" t="str">
        <f>IFERROR(INDEX('PROJETO PERFURAÇÃO'!$AN:$AN,MATCH(MEDIÇÃO!R1225,'PROJETO PERFURAÇÃO'!$B:$B,0)),"")</f>
        <v/>
      </c>
      <c r="U1225" s="3"/>
      <c r="V1225" s="3"/>
    </row>
    <row r="1226" spans="2:22" ht="45" customHeight="1">
      <c r="B1226" s="3" t="str">
        <f>IFERROR(ROUND(INDEX('PROJETO PERFURAÇÃO'!$AB:$AB,MATCH(MEDIÇÃO!D1226,'PROJETO PERFURAÇÃO'!$B:$B,0)),1)&amp;"''","")</f>
        <v/>
      </c>
      <c r="C1226" s="3" t="str">
        <f>IFERROR(IF(INDEX('PROJETO PERFURAÇÃO'!$P:$P,MATCH(MEDIÇÃO!D1226,'PROJETO PERFURAÇÃO'!$B:$B,0))="Production","P",IF(INDEX('PROJETO PERFURAÇÃO'!$P:$P,MATCH(MEDIÇÃO!D1226,'PROJETO PERFURAÇÃO'!$B:$B,0))="Buffer","B",IF(INDEX('PROJETO PERFURAÇÃO'!$P:$P,MATCH(MEDIÇÃO!D1226,'PROJETO PERFURAÇÃO'!$B:$B,0))="Pre-Splitting","S"))),"")</f>
        <v/>
      </c>
      <c r="D1226" s="14">
        <f t="shared" si="117"/>
        <v>2704</v>
      </c>
      <c r="E1226" s="4" t="str">
        <f>IFERROR(INDEX('LEV R&amp;D'!$D:$D,MATCH(MEDIÇÃO!D1226,'LEV R&amp;D'!$A:$A,0))-INDEX('PROJETO PERFURAÇÃO'!$AH:$AH,MATCH(MEDIÇÃO!D1226,'PROJETO PERFURAÇÃO'!$B:$B,0)),"")</f>
        <v/>
      </c>
      <c r="F1226" s="8" t="str">
        <f>IFERROR(INDEX('PROJETO PERFURAÇÃO'!$AN:$AN,MATCH(MEDIÇÃO!D1226,'PROJETO PERFURAÇÃO'!$B:$B,0)),"")</f>
        <v/>
      </c>
      <c r="G1226" s="3"/>
      <c r="H1226" s="3"/>
      <c r="I1226" s="3" t="str">
        <f>IFERROR(ROUND(INDEX('PROJETO PERFURAÇÃO'!$AB:$AB,MATCH(MEDIÇÃO!K1226,'PROJETO PERFURAÇÃO'!$B:$B,0)),1)&amp;"''","")</f>
        <v/>
      </c>
      <c r="J1226" s="3" t="str">
        <f>IFERROR(IF(INDEX('PROJETO PERFURAÇÃO'!$P:$P,MATCH(MEDIÇÃO!K1226,'PROJETO PERFURAÇÃO'!$B:$B,0))="Production","P",IF(INDEX('PROJETO PERFURAÇÃO'!$P:$P,MATCH(MEDIÇÃO!K1226,'PROJETO PERFURAÇÃO'!$B:$B,0))="Buffer","B",IF(INDEX('PROJETO PERFURAÇÃO'!$P:$P,MATCH(MEDIÇÃO!K1226,'PROJETO PERFURAÇÃO'!$B:$B,0))="Pre-Splitting","S"))),"")</f>
        <v/>
      </c>
      <c r="K1226" s="14">
        <f t="shared" si="118"/>
        <v>2727</v>
      </c>
      <c r="L1226" s="4" t="str">
        <f>IFERROR(INDEX('LEV R&amp;D'!$D:$D,MATCH(MEDIÇÃO!K1226,'LEV R&amp;D'!$A:$A,0))-INDEX('PROJETO PERFURAÇÃO'!$AH:$AH,MATCH(MEDIÇÃO!K1226,'PROJETO PERFURAÇÃO'!$B:$B,0)),"")</f>
        <v/>
      </c>
      <c r="M1226" s="8" t="str">
        <f>IFERROR(INDEX('PROJETO PERFURAÇÃO'!$AN:$AN,MATCH(MEDIÇÃO!K1226,'PROJETO PERFURAÇÃO'!$B:$B,0)),"")</f>
        <v/>
      </c>
      <c r="N1226" s="3"/>
      <c r="O1226" s="3"/>
      <c r="P1226" s="3" t="str">
        <f>IFERROR(ROUND(INDEX('PROJETO PERFURAÇÃO'!$AB:$AB,MATCH(MEDIÇÃO!R1226,'PROJETO PERFURAÇÃO'!$B:$B,0)),1)&amp;"''","")</f>
        <v/>
      </c>
      <c r="Q1226" s="3" t="str">
        <f>IFERROR(IF(INDEX('PROJETO PERFURAÇÃO'!$P:$P,MATCH(MEDIÇÃO!R1226,'PROJETO PERFURAÇÃO'!$B:$B,0))="Production","P",IF(INDEX('PROJETO PERFURAÇÃO'!$P:$P,MATCH(MEDIÇÃO!R1226,'PROJETO PERFURAÇÃO'!$B:$B,0))="Buffer","B",IF(INDEX('PROJETO PERFURAÇÃO'!$P:$P,MATCH(MEDIÇÃO!R1226,'PROJETO PERFURAÇÃO'!$B:$B,0))="Pre-Splitting","S"))),"")</f>
        <v/>
      </c>
      <c r="R1226" s="14">
        <f t="shared" si="119"/>
        <v>2750</v>
      </c>
      <c r="S1226" s="4" t="str">
        <f>IFERROR(INDEX('LEV R&amp;D'!$D:$D,MATCH(MEDIÇÃO!R1226,'LEV R&amp;D'!$A:$A,0))-INDEX('PROJETO PERFURAÇÃO'!$AH:$AH,MATCH(MEDIÇÃO!R1226,'PROJETO PERFURAÇÃO'!$B:$B,0)),"")</f>
        <v/>
      </c>
      <c r="T1226" s="8" t="str">
        <f>IFERROR(INDEX('PROJETO PERFURAÇÃO'!$AN:$AN,MATCH(MEDIÇÃO!R1226,'PROJETO PERFURAÇÃO'!$B:$B,0)),"")</f>
        <v/>
      </c>
      <c r="U1226" s="3"/>
      <c r="V1226" s="3"/>
    </row>
    <row r="1227" spans="2:22" ht="45" customHeight="1">
      <c r="B1227" s="3" t="str">
        <f>IFERROR(ROUND(INDEX('PROJETO PERFURAÇÃO'!$AB:$AB,MATCH(MEDIÇÃO!D1227,'PROJETO PERFURAÇÃO'!$B:$B,0)),1)&amp;"''","")</f>
        <v/>
      </c>
      <c r="C1227" s="3" t="str">
        <f>IFERROR(IF(INDEX('PROJETO PERFURAÇÃO'!$P:$P,MATCH(MEDIÇÃO!D1227,'PROJETO PERFURAÇÃO'!$B:$B,0))="Production","P",IF(INDEX('PROJETO PERFURAÇÃO'!$P:$P,MATCH(MEDIÇÃO!D1227,'PROJETO PERFURAÇÃO'!$B:$B,0))="Buffer","B",IF(INDEX('PROJETO PERFURAÇÃO'!$P:$P,MATCH(MEDIÇÃO!D1227,'PROJETO PERFURAÇÃO'!$B:$B,0))="Pre-Splitting","S"))),"")</f>
        <v/>
      </c>
      <c r="D1227" s="14">
        <f t="shared" si="117"/>
        <v>2705</v>
      </c>
      <c r="E1227" s="4" t="str">
        <f>IFERROR(INDEX('LEV R&amp;D'!$D:$D,MATCH(MEDIÇÃO!D1227,'LEV R&amp;D'!$A:$A,0))-INDEX('PROJETO PERFURAÇÃO'!$AH:$AH,MATCH(MEDIÇÃO!D1227,'PROJETO PERFURAÇÃO'!$B:$B,0)),"")</f>
        <v/>
      </c>
      <c r="F1227" s="8" t="str">
        <f>IFERROR(INDEX('PROJETO PERFURAÇÃO'!$AN:$AN,MATCH(MEDIÇÃO!D1227,'PROJETO PERFURAÇÃO'!$B:$B,0)),"")</f>
        <v/>
      </c>
      <c r="G1227" s="3"/>
      <c r="H1227" s="3"/>
      <c r="I1227" s="3" t="str">
        <f>IFERROR(ROUND(INDEX('PROJETO PERFURAÇÃO'!$AB:$AB,MATCH(MEDIÇÃO!K1227,'PROJETO PERFURAÇÃO'!$B:$B,0)),1)&amp;"''","")</f>
        <v/>
      </c>
      <c r="J1227" s="3" t="str">
        <f>IFERROR(IF(INDEX('PROJETO PERFURAÇÃO'!$P:$P,MATCH(MEDIÇÃO!K1227,'PROJETO PERFURAÇÃO'!$B:$B,0))="Production","P",IF(INDEX('PROJETO PERFURAÇÃO'!$P:$P,MATCH(MEDIÇÃO!K1227,'PROJETO PERFURAÇÃO'!$B:$B,0))="Buffer","B",IF(INDEX('PROJETO PERFURAÇÃO'!$P:$P,MATCH(MEDIÇÃO!K1227,'PROJETO PERFURAÇÃO'!$B:$B,0))="Pre-Splitting","S"))),"")</f>
        <v/>
      </c>
      <c r="K1227" s="14">
        <f t="shared" si="118"/>
        <v>2728</v>
      </c>
      <c r="L1227" s="4" t="str">
        <f>IFERROR(INDEX('LEV R&amp;D'!$D:$D,MATCH(MEDIÇÃO!K1227,'LEV R&amp;D'!$A:$A,0))-INDEX('PROJETO PERFURAÇÃO'!$AH:$AH,MATCH(MEDIÇÃO!K1227,'PROJETO PERFURAÇÃO'!$B:$B,0)),"")</f>
        <v/>
      </c>
      <c r="M1227" s="8" t="str">
        <f>IFERROR(INDEX('PROJETO PERFURAÇÃO'!$AN:$AN,MATCH(MEDIÇÃO!K1227,'PROJETO PERFURAÇÃO'!$B:$B,0)),"")</f>
        <v/>
      </c>
      <c r="N1227" s="3"/>
      <c r="O1227" s="3"/>
      <c r="P1227" s="3" t="str">
        <f>IFERROR(ROUND(INDEX('PROJETO PERFURAÇÃO'!$AB:$AB,MATCH(MEDIÇÃO!R1227,'PROJETO PERFURAÇÃO'!$B:$B,0)),1)&amp;"''","")</f>
        <v/>
      </c>
      <c r="Q1227" s="3" t="str">
        <f>IFERROR(IF(INDEX('PROJETO PERFURAÇÃO'!$P:$P,MATCH(MEDIÇÃO!R1227,'PROJETO PERFURAÇÃO'!$B:$B,0))="Production","P",IF(INDEX('PROJETO PERFURAÇÃO'!$P:$P,MATCH(MEDIÇÃO!R1227,'PROJETO PERFURAÇÃO'!$B:$B,0))="Buffer","B",IF(INDEX('PROJETO PERFURAÇÃO'!$P:$P,MATCH(MEDIÇÃO!R1227,'PROJETO PERFURAÇÃO'!$B:$B,0))="Pre-Splitting","S"))),"")</f>
        <v/>
      </c>
      <c r="R1227" s="14">
        <f t="shared" si="119"/>
        <v>2751</v>
      </c>
      <c r="S1227" s="4" t="str">
        <f>IFERROR(INDEX('LEV R&amp;D'!$D:$D,MATCH(MEDIÇÃO!R1227,'LEV R&amp;D'!$A:$A,0))-INDEX('PROJETO PERFURAÇÃO'!$AH:$AH,MATCH(MEDIÇÃO!R1227,'PROJETO PERFURAÇÃO'!$B:$B,0)),"")</f>
        <v/>
      </c>
      <c r="T1227" s="8" t="str">
        <f>IFERROR(INDEX('PROJETO PERFURAÇÃO'!$AN:$AN,MATCH(MEDIÇÃO!R1227,'PROJETO PERFURAÇÃO'!$B:$B,0)),"")</f>
        <v/>
      </c>
      <c r="U1227" s="3"/>
      <c r="V1227" s="3"/>
    </row>
    <row r="1228" spans="2:22" ht="45" customHeight="1">
      <c r="B1228" s="3" t="str">
        <f>IFERROR(ROUND(INDEX('PROJETO PERFURAÇÃO'!$AB:$AB,MATCH(MEDIÇÃO!D1228,'PROJETO PERFURAÇÃO'!$B:$B,0)),1)&amp;"''","")</f>
        <v/>
      </c>
      <c r="C1228" s="3" t="str">
        <f>IFERROR(IF(INDEX('PROJETO PERFURAÇÃO'!$P:$P,MATCH(MEDIÇÃO!D1228,'PROJETO PERFURAÇÃO'!$B:$B,0))="Production","P",IF(INDEX('PROJETO PERFURAÇÃO'!$P:$P,MATCH(MEDIÇÃO!D1228,'PROJETO PERFURAÇÃO'!$B:$B,0))="Buffer","B",IF(INDEX('PROJETO PERFURAÇÃO'!$P:$P,MATCH(MEDIÇÃO!D1228,'PROJETO PERFURAÇÃO'!$B:$B,0))="Pre-Splitting","S"))),"")</f>
        <v/>
      </c>
      <c r="D1228" s="14">
        <f t="shared" si="117"/>
        <v>2706</v>
      </c>
      <c r="E1228" s="4" t="str">
        <f>IFERROR(INDEX('LEV R&amp;D'!$D:$D,MATCH(MEDIÇÃO!D1228,'LEV R&amp;D'!$A:$A,0))-INDEX('PROJETO PERFURAÇÃO'!$AH:$AH,MATCH(MEDIÇÃO!D1228,'PROJETO PERFURAÇÃO'!$B:$B,0)),"")</f>
        <v/>
      </c>
      <c r="F1228" s="8" t="str">
        <f>IFERROR(INDEX('PROJETO PERFURAÇÃO'!$AN:$AN,MATCH(MEDIÇÃO!D1228,'PROJETO PERFURAÇÃO'!$B:$B,0)),"")</f>
        <v/>
      </c>
      <c r="G1228" s="3"/>
      <c r="H1228" s="3"/>
      <c r="I1228" s="3" t="str">
        <f>IFERROR(ROUND(INDEX('PROJETO PERFURAÇÃO'!$AB:$AB,MATCH(MEDIÇÃO!K1228,'PROJETO PERFURAÇÃO'!$B:$B,0)),1)&amp;"''","")</f>
        <v/>
      </c>
      <c r="J1228" s="3" t="str">
        <f>IFERROR(IF(INDEX('PROJETO PERFURAÇÃO'!$P:$P,MATCH(MEDIÇÃO!K1228,'PROJETO PERFURAÇÃO'!$B:$B,0))="Production","P",IF(INDEX('PROJETO PERFURAÇÃO'!$P:$P,MATCH(MEDIÇÃO!K1228,'PROJETO PERFURAÇÃO'!$B:$B,0))="Buffer","B",IF(INDEX('PROJETO PERFURAÇÃO'!$P:$P,MATCH(MEDIÇÃO!K1228,'PROJETO PERFURAÇÃO'!$B:$B,0))="Pre-Splitting","S"))),"")</f>
        <v/>
      </c>
      <c r="K1228" s="14">
        <f t="shared" si="118"/>
        <v>2729</v>
      </c>
      <c r="L1228" s="4" t="str">
        <f>IFERROR(INDEX('LEV R&amp;D'!$D:$D,MATCH(MEDIÇÃO!K1228,'LEV R&amp;D'!$A:$A,0))-INDEX('PROJETO PERFURAÇÃO'!$AH:$AH,MATCH(MEDIÇÃO!K1228,'PROJETO PERFURAÇÃO'!$B:$B,0)),"")</f>
        <v/>
      </c>
      <c r="M1228" s="8" t="str">
        <f>IFERROR(INDEX('PROJETO PERFURAÇÃO'!$AN:$AN,MATCH(MEDIÇÃO!K1228,'PROJETO PERFURAÇÃO'!$B:$B,0)),"")</f>
        <v/>
      </c>
      <c r="N1228" s="3"/>
      <c r="O1228" s="3"/>
      <c r="P1228" s="3" t="str">
        <f>IFERROR(ROUND(INDEX('PROJETO PERFURAÇÃO'!$AB:$AB,MATCH(MEDIÇÃO!R1228,'PROJETO PERFURAÇÃO'!$B:$B,0)),1)&amp;"''","")</f>
        <v/>
      </c>
      <c r="Q1228" s="3" t="str">
        <f>IFERROR(IF(INDEX('PROJETO PERFURAÇÃO'!$P:$P,MATCH(MEDIÇÃO!R1228,'PROJETO PERFURAÇÃO'!$B:$B,0))="Production","P",IF(INDEX('PROJETO PERFURAÇÃO'!$P:$P,MATCH(MEDIÇÃO!R1228,'PROJETO PERFURAÇÃO'!$B:$B,0))="Buffer","B",IF(INDEX('PROJETO PERFURAÇÃO'!$P:$P,MATCH(MEDIÇÃO!R1228,'PROJETO PERFURAÇÃO'!$B:$B,0))="Pre-Splitting","S"))),"")</f>
        <v/>
      </c>
      <c r="R1228" s="14">
        <f t="shared" si="119"/>
        <v>2752</v>
      </c>
      <c r="S1228" s="4" t="str">
        <f>IFERROR(INDEX('LEV R&amp;D'!$D:$D,MATCH(MEDIÇÃO!R1228,'LEV R&amp;D'!$A:$A,0))-INDEX('PROJETO PERFURAÇÃO'!$AH:$AH,MATCH(MEDIÇÃO!R1228,'PROJETO PERFURAÇÃO'!$B:$B,0)),"")</f>
        <v/>
      </c>
      <c r="T1228" s="8" t="str">
        <f>IFERROR(INDEX('PROJETO PERFURAÇÃO'!$AN:$AN,MATCH(MEDIÇÃO!R1228,'PROJETO PERFURAÇÃO'!$B:$B,0)),"")</f>
        <v/>
      </c>
      <c r="U1228" s="3"/>
      <c r="V1228" s="3"/>
    </row>
    <row r="1229" spans="2:22" ht="45" customHeight="1">
      <c r="B1229" s="3" t="str">
        <f>IFERROR(ROUND(INDEX('PROJETO PERFURAÇÃO'!$AB:$AB,MATCH(MEDIÇÃO!D1229,'PROJETO PERFURAÇÃO'!$B:$B,0)),1)&amp;"''","")</f>
        <v/>
      </c>
      <c r="C1229" s="3" t="str">
        <f>IFERROR(IF(INDEX('PROJETO PERFURAÇÃO'!$P:$P,MATCH(MEDIÇÃO!D1229,'PROJETO PERFURAÇÃO'!$B:$B,0))="Production","P",IF(INDEX('PROJETO PERFURAÇÃO'!$P:$P,MATCH(MEDIÇÃO!D1229,'PROJETO PERFURAÇÃO'!$B:$B,0))="Buffer","B",IF(INDEX('PROJETO PERFURAÇÃO'!$P:$P,MATCH(MEDIÇÃO!D1229,'PROJETO PERFURAÇÃO'!$B:$B,0))="Pre-Splitting","S"))),"")</f>
        <v/>
      </c>
      <c r="D1229" s="14">
        <f t="shared" si="117"/>
        <v>2707</v>
      </c>
      <c r="E1229" s="4" t="str">
        <f>IFERROR(INDEX('LEV R&amp;D'!$D:$D,MATCH(MEDIÇÃO!D1229,'LEV R&amp;D'!$A:$A,0))-INDEX('PROJETO PERFURAÇÃO'!$AH:$AH,MATCH(MEDIÇÃO!D1229,'PROJETO PERFURAÇÃO'!$B:$B,0)),"")</f>
        <v/>
      </c>
      <c r="F1229" s="8" t="str">
        <f>IFERROR(INDEX('PROJETO PERFURAÇÃO'!$AN:$AN,MATCH(MEDIÇÃO!D1229,'PROJETO PERFURAÇÃO'!$B:$B,0)),"")</f>
        <v/>
      </c>
      <c r="G1229" s="3"/>
      <c r="H1229" s="3"/>
      <c r="I1229" s="3" t="str">
        <f>IFERROR(ROUND(INDEX('PROJETO PERFURAÇÃO'!$AB:$AB,MATCH(MEDIÇÃO!K1229,'PROJETO PERFURAÇÃO'!$B:$B,0)),1)&amp;"''","")</f>
        <v/>
      </c>
      <c r="J1229" s="3" t="str">
        <f>IFERROR(IF(INDEX('PROJETO PERFURAÇÃO'!$P:$P,MATCH(MEDIÇÃO!K1229,'PROJETO PERFURAÇÃO'!$B:$B,0))="Production","P",IF(INDEX('PROJETO PERFURAÇÃO'!$P:$P,MATCH(MEDIÇÃO!K1229,'PROJETO PERFURAÇÃO'!$B:$B,0))="Buffer","B",IF(INDEX('PROJETO PERFURAÇÃO'!$P:$P,MATCH(MEDIÇÃO!K1229,'PROJETO PERFURAÇÃO'!$B:$B,0))="Pre-Splitting","S"))),"")</f>
        <v/>
      </c>
      <c r="K1229" s="14">
        <f t="shared" si="118"/>
        <v>2730</v>
      </c>
      <c r="L1229" s="4" t="str">
        <f>IFERROR(INDEX('LEV R&amp;D'!$D:$D,MATCH(MEDIÇÃO!K1229,'LEV R&amp;D'!$A:$A,0))-INDEX('PROJETO PERFURAÇÃO'!$AH:$AH,MATCH(MEDIÇÃO!K1229,'PROJETO PERFURAÇÃO'!$B:$B,0)),"")</f>
        <v/>
      </c>
      <c r="M1229" s="8" t="str">
        <f>IFERROR(INDEX('PROJETO PERFURAÇÃO'!$AN:$AN,MATCH(MEDIÇÃO!K1229,'PROJETO PERFURAÇÃO'!$B:$B,0)),"")</f>
        <v/>
      </c>
      <c r="N1229" s="3"/>
      <c r="O1229" s="3"/>
      <c r="P1229" s="3" t="str">
        <f>IFERROR(ROUND(INDEX('PROJETO PERFURAÇÃO'!$AB:$AB,MATCH(MEDIÇÃO!R1229,'PROJETO PERFURAÇÃO'!$B:$B,0)),1)&amp;"''","")</f>
        <v/>
      </c>
      <c r="Q1229" s="3" t="str">
        <f>IFERROR(IF(INDEX('PROJETO PERFURAÇÃO'!$P:$P,MATCH(MEDIÇÃO!R1229,'PROJETO PERFURAÇÃO'!$B:$B,0))="Production","P",IF(INDEX('PROJETO PERFURAÇÃO'!$P:$P,MATCH(MEDIÇÃO!R1229,'PROJETO PERFURAÇÃO'!$B:$B,0))="Buffer","B",IF(INDEX('PROJETO PERFURAÇÃO'!$P:$P,MATCH(MEDIÇÃO!R1229,'PROJETO PERFURAÇÃO'!$B:$B,0))="Pre-Splitting","S"))),"")</f>
        <v/>
      </c>
      <c r="R1229" s="14">
        <f t="shared" si="119"/>
        <v>2753</v>
      </c>
      <c r="S1229" s="4" t="str">
        <f>IFERROR(INDEX('LEV R&amp;D'!$D:$D,MATCH(MEDIÇÃO!R1229,'LEV R&amp;D'!$A:$A,0))-INDEX('PROJETO PERFURAÇÃO'!$AH:$AH,MATCH(MEDIÇÃO!R1229,'PROJETO PERFURAÇÃO'!$B:$B,0)),"")</f>
        <v/>
      </c>
      <c r="T1229" s="8" t="str">
        <f>IFERROR(INDEX('PROJETO PERFURAÇÃO'!$AN:$AN,MATCH(MEDIÇÃO!R1229,'PROJETO PERFURAÇÃO'!$B:$B,0)),"")</f>
        <v/>
      </c>
      <c r="U1229" s="3"/>
      <c r="V1229" s="3"/>
    </row>
    <row r="1230" spans="2:22" ht="45" customHeight="1">
      <c r="B1230" s="3" t="str">
        <f>IFERROR(ROUND(INDEX('PROJETO PERFURAÇÃO'!$AB:$AB,MATCH(MEDIÇÃO!D1230,'PROJETO PERFURAÇÃO'!$B:$B,0)),1)&amp;"''","")</f>
        <v/>
      </c>
      <c r="C1230" s="3" t="str">
        <f>IFERROR(IF(INDEX('PROJETO PERFURAÇÃO'!$P:$P,MATCH(MEDIÇÃO!D1230,'PROJETO PERFURAÇÃO'!$B:$B,0))="Production","P",IF(INDEX('PROJETO PERFURAÇÃO'!$P:$P,MATCH(MEDIÇÃO!D1230,'PROJETO PERFURAÇÃO'!$B:$B,0))="Buffer","B",IF(INDEX('PROJETO PERFURAÇÃO'!$P:$P,MATCH(MEDIÇÃO!D1230,'PROJETO PERFURAÇÃO'!$B:$B,0))="Pre-Splitting","S"))),"")</f>
        <v/>
      </c>
      <c r="D1230" s="14">
        <f t="shared" si="117"/>
        <v>2708</v>
      </c>
      <c r="E1230" s="4" t="str">
        <f>IFERROR(INDEX('LEV R&amp;D'!$D:$D,MATCH(MEDIÇÃO!D1230,'LEV R&amp;D'!$A:$A,0))-INDEX('PROJETO PERFURAÇÃO'!$AH:$AH,MATCH(MEDIÇÃO!D1230,'PROJETO PERFURAÇÃO'!$B:$B,0)),"")</f>
        <v/>
      </c>
      <c r="F1230" s="8" t="str">
        <f>IFERROR(INDEX('PROJETO PERFURAÇÃO'!$AN:$AN,MATCH(MEDIÇÃO!D1230,'PROJETO PERFURAÇÃO'!$B:$B,0)),"")</f>
        <v/>
      </c>
      <c r="G1230" s="3"/>
      <c r="H1230" s="3"/>
      <c r="I1230" s="3" t="str">
        <f>IFERROR(ROUND(INDEX('PROJETO PERFURAÇÃO'!$AB:$AB,MATCH(MEDIÇÃO!K1230,'PROJETO PERFURAÇÃO'!$B:$B,0)),1)&amp;"''","")</f>
        <v/>
      </c>
      <c r="J1230" s="3" t="str">
        <f>IFERROR(IF(INDEX('PROJETO PERFURAÇÃO'!$P:$P,MATCH(MEDIÇÃO!K1230,'PROJETO PERFURAÇÃO'!$B:$B,0))="Production","P",IF(INDEX('PROJETO PERFURAÇÃO'!$P:$P,MATCH(MEDIÇÃO!K1230,'PROJETO PERFURAÇÃO'!$B:$B,0))="Buffer","B",IF(INDEX('PROJETO PERFURAÇÃO'!$P:$P,MATCH(MEDIÇÃO!K1230,'PROJETO PERFURAÇÃO'!$B:$B,0))="Pre-Splitting","S"))),"")</f>
        <v/>
      </c>
      <c r="K1230" s="14">
        <f t="shared" si="118"/>
        <v>2731</v>
      </c>
      <c r="L1230" s="4" t="str">
        <f>IFERROR(INDEX('LEV R&amp;D'!$D:$D,MATCH(MEDIÇÃO!K1230,'LEV R&amp;D'!$A:$A,0))-INDEX('PROJETO PERFURAÇÃO'!$AH:$AH,MATCH(MEDIÇÃO!K1230,'PROJETO PERFURAÇÃO'!$B:$B,0)),"")</f>
        <v/>
      </c>
      <c r="M1230" s="8" t="str">
        <f>IFERROR(INDEX('PROJETO PERFURAÇÃO'!$AN:$AN,MATCH(MEDIÇÃO!K1230,'PROJETO PERFURAÇÃO'!$B:$B,0)),"")</f>
        <v/>
      </c>
      <c r="N1230" s="3"/>
      <c r="O1230" s="3"/>
      <c r="P1230" s="3" t="str">
        <f>IFERROR(ROUND(INDEX('PROJETO PERFURAÇÃO'!$AB:$AB,MATCH(MEDIÇÃO!R1230,'PROJETO PERFURAÇÃO'!$B:$B,0)),1)&amp;"''","")</f>
        <v/>
      </c>
      <c r="Q1230" s="3" t="str">
        <f>IFERROR(IF(INDEX('PROJETO PERFURAÇÃO'!$P:$P,MATCH(MEDIÇÃO!R1230,'PROJETO PERFURAÇÃO'!$B:$B,0))="Production","P",IF(INDEX('PROJETO PERFURAÇÃO'!$P:$P,MATCH(MEDIÇÃO!R1230,'PROJETO PERFURAÇÃO'!$B:$B,0))="Buffer","B",IF(INDEX('PROJETO PERFURAÇÃO'!$P:$P,MATCH(MEDIÇÃO!R1230,'PROJETO PERFURAÇÃO'!$B:$B,0))="Pre-Splitting","S"))),"")</f>
        <v/>
      </c>
      <c r="R1230" s="14">
        <f t="shared" si="119"/>
        <v>2754</v>
      </c>
      <c r="S1230" s="4" t="str">
        <f>IFERROR(INDEX('LEV R&amp;D'!$D:$D,MATCH(MEDIÇÃO!R1230,'LEV R&amp;D'!$A:$A,0))-INDEX('PROJETO PERFURAÇÃO'!$AH:$AH,MATCH(MEDIÇÃO!R1230,'PROJETO PERFURAÇÃO'!$B:$B,0)),"")</f>
        <v/>
      </c>
      <c r="T1230" s="8" t="str">
        <f>IFERROR(INDEX('PROJETO PERFURAÇÃO'!$AN:$AN,MATCH(MEDIÇÃO!R1230,'PROJETO PERFURAÇÃO'!$B:$B,0)),"")</f>
        <v/>
      </c>
      <c r="U1230" s="3"/>
      <c r="V1230" s="3"/>
    </row>
    <row r="1231" spans="2:22" ht="45" customHeight="1">
      <c r="B1231" s="3" t="str">
        <f>IFERROR(ROUND(INDEX('PROJETO PERFURAÇÃO'!$AB:$AB,MATCH(MEDIÇÃO!D1231,'PROJETO PERFURAÇÃO'!$B:$B,0)),1)&amp;"''","")</f>
        <v/>
      </c>
      <c r="C1231" s="3" t="str">
        <f>IFERROR(IF(INDEX('PROJETO PERFURAÇÃO'!$P:$P,MATCH(MEDIÇÃO!D1231,'PROJETO PERFURAÇÃO'!$B:$B,0))="Production","P",IF(INDEX('PROJETO PERFURAÇÃO'!$P:$P,MATCH(MEDIÇÃO!D1231,'PROJETO PERFURAÇÃO'!$B:$B,0))="Buffer","B",IF(INDEX('PROJETO PERFURAÇÃO'!$P:$P,MATCH(MEDIÇÃO!D1231,'PROJETO PERFURAÇÃO'!$B:$B,0))="Pre-Splitting","S"))),"")</f>
        <v/>
      </c>
      <c r="D1231" s="14">
        <f t="shared" si="117"/>
        <v>2709</v>
      </c>
      <c r="E1231" s="4" t="str">
        <f>IFERROR(INDEX('LEV R&amp;D'!$D:$D,MATCH(MEDIÇÃO!D1231,'LEV R&amp;D'!$A:$A,0))-INDEX('PROJETO PERFURAÇÃO'!$AH:$AH,MATCH(MEDIÇÃO!D1231,'PROJETO PERFURAÇÃO'!$B:$B,0)),"")</f>
        <v/>
      </c>
      <c r="F1231" s="8" t="str">
        <f>IFERROR(INDEX('PROJETO PERFURAÇÃO'!$AN:$AN,MATCH(MEDIÇÃO!D1231,'PROJETO PERFURAÇÃO'!$B:$B,0)),"")</f>
        <v/>
      </c>
      <c r="G1231" s="3"/>
      <c r="H1231" s="3"/>
      <c r="I1231" s="3" t="str">
        <f>IFERROR(ROUND(INDEX('PROJETO PERFURAÇÃO'!$AB:$AB,MATCH(MEDIÇÃO!K1231,'PROJETO PERFURAÇÃO'!$B:$B,0)),1)&amp;"''","")</f>
        <v/>
      </c>
      <c r="J1231" s="3" t="str">
        <f>IFERROR(IF(INDEX('PROJETO PERFURAÇÃO'!$P:$P,MATCH(MEDIÇÃO!K1231,'PROJETO PERFURAÇÃO'!$B:$B,0))="Production","P",IF(INDEX('PROJETO PERFURAÇÃO'!$P:$P,MATCH(MEDIÇÃO!K1231,'PROJETO PERFURAÇÃO'!$B:$B,0))="Buffer","B",IF(INDEX('PROJETO PERFURAÇÃO'!$P:$P,MATCH(MEDIÇÃO!K1231,'PROJETO PERFURAÇÃO'!$B:$B,0))="Pre-Splitting","S"))),"")</f>
        <v/>
      </c>
      <c r="K1231" s="14">
        <f t="shared" si="118"/>
        <v>2732</v>
      </c>
      <c r="L1231" s="4" t="str">
        <f>IFERROR(INDEX('LEV R&amp;D'!$D:$D,MATCH(MEDIÇÃO!K1231,'LEV R&amp;D'!$A:$A,0))-INDEX('PROJETO PERFURAÇÃO'!$AH:$AH,MATCH(MEDIÇÃO!K1231,'PROJETO PERFURAÇÃO'!$B:$B,0)),"")</f>
        <v/>
      </c>
      <c r="M1231" s="8" t="str">
        <f>IFERROR(INDEX('PROJETO PERFURAÇÃO'!$AN:$AN,MATCH(MEDIÇÃO!K1231,'PROJETO PERFURAÇÃO'!$B:$B,0)),"")</f>
        <v/>
      </c>
      <c r="N1231" s="3"/>
      <c r="O1231" s="3"/>
      <c r="P1231" s="3" t="str">
        <f>IFERROR(ROUND(INDEX('PROJETO PERFURAÇÃO'!$AB:$AB,MATCH(MEDIÇÃO!R1231,'PROJETO PERFURAÇÃO'!$B:$B,0)),1)&amp;"''","")</f>
        <v/>
      </c>
      <c r="Q1231" s="3" t="str">
        <f>IFERROR(IF(INDEX('PROJETO PERFURAÇÃO'!$P:$P,MATCH(MEDIÇÃO!R1231,'PROJETO PERFURAÇÃO'!$B:$B,0))="Production","P",IF(INDEX('PROJETO PERFURAÇÃO'!$P:$P,MATCH(MEDIÇÃO!R1231,'PROJETO PERFURAÇÃO'!$B:$B,0))="Buffer","B",IF(INDEX('PROJETO PERFURAÇÃO'!$P:$P,MATCH(MEDIÇÃO!R1231,'PROJETO PERFURAÇÃO'!$B:$B,0))="Pre-Splitting","S"))),"")</f>
        <v/>
      </c>
      <c r="R1231" s="14">
        <f t="shared" si="119"/>
        <v>2755</v>
      </c>
      <c r="S1231" s="4" t="str">
        <f>IFERROR(INDEX('LEV R&amp;D'!$D:$D,MATCH(MEDIÇÃO!R1231,'LEV R&amp;D'!$A:$A,0))-INDEX('PROJETO PERFURAÇÃO'!$AH:$AH,MATCH(MEDIÇÃO!R1231,'PROJETO PERFURAÇÃO'!$B:$B,0)),"")</f>
        <v/>
      </c>
      <c r="T1231" s="8" t="str">
        <f>IFERROR(INDEX('PROJETO PERFURAÇÃO'!$AN:$AN,MATCH(MEDIÇÃO!R1231,'PROJETO PERFURAÇÃO'!$B:$B,0)),"")</f>
        <v/>
      </c>
      <c r="U1231" s="3"/>
      <c r="V1231" s="3"/>
    </row>
    <row r="1232" spans="2:22" ht="45" customHeight="1">
      <c r="B1232" s="3" t="str">
        <f>IFERROR(ROUND(INDEX('PROJETO PERFURAÇÃO'!$AB:$AB,MATCH(MEDIÇÃO!D1232,'PROJETO PERFURAÇÃO'!$B:$B,0)),1)&amp;"''","")</f>
        <v/>
      </c>
      <c r="C1232" s="3" t="str">
        <f>IFERROR(IF(INDEX('PROJETO PERFURAÇÃO'!$P:$P,MATCH(MEDIÇÃO!D1232,'PROJETO PERFURAÇÃO'!$B:$B,0))="Production","P",IF(INDEX('PROJETO PERFURAÇÃO'!$P:$P,MATCH(MEDIÇÃO!D1232,'PROJETO PERFURAÇÃO'!$B:$B,0))="Buffer","B",IF(INDEX('PROJETO PERFURAÇÃO'!$P:$P,MATCH(MEDIÇÃO!D1232,'PROJETO PERFURAÇÃO'!$B:$B,0))="Pre-Splitting","S"))),"")</f>
        <v/>
      </c>
      <c r="D1232" s="14">
        <f t="shared" si="117"/>
        <v>2710</v>
      </c>
      <c r="E1232" s="4" t="str">
        <f>IFERROR(INDEX('LEV R&amp;D'!$D:$D,MATCH(MEDIÇÃO!D1232,'LEV R&amp;D'!$A:$A,0))-INDEX('PROJETO PERFURAÇÃO'!$AH:$AH,MATCH(MEDIÇÃO!D1232,'PROJETO PERFURAÇÃO'!$B:$B,0)),"")</f>
        <v/>
      </c>
      <c r="F1232" s="8" t="str">
        <f>IFERROR(INDEX('PROJETO PERFURAÇÃO'!$AN:$AN,MATCH(MEDIÇÃO!D1232,'PROJETO PERFURAÇÃO'!$B:$B,0)),"")</f>
        <v/>
      </c>
      <c r="G1232" s="3"/>
      <c r="H1232" s="3"/>
      <c r="I1232" s="3" t="str">
        <f>IFERROR(ROUND(INDEX('PROJETO PERFURAÇÃO'!$AB:$AB,MATCH(MEDIÇÃO!K1232,'PROJETO PERFURAÇÃO'!$B:$B,0)),1)&amp;"''","")</f>
        <v/>
      </c>
      <c r="J1232" s="3" t="str">
        <f>IFERROR(IF(INDEX('PROJETO PERFURAÇÃO'!$P:$P,MATCH(MEDIÇÃO!K1232,'PROJETO PERFURAÇÃO'!$B:$B,0))="Production","P",IF(INDEX('PROJETO PERFURAÇÃO'!$P:$P,MATCH(MEDIÇÃO!K1232,'PROJETO PERFURAÇÃO'!$B:$B,0))="Buffer","B",IF(INDEX('PROJETO PERFURAÇÃO'!$P:$P,MATCH(MEDIÇÃO!K1232,'PROJETO PERFURAÇÃO'!$B:$B,0))="Pre-Splitting","S"))),"")</f>
        <v/>
      </c>
      <c r="K1232" s="14">
        <f t="shared" si="118"/>
        <v>2733</v>
      </c>
      <c r="L1232" s="4" t="str">
        <f>IFERROR(INDEX('LEV R&amp;D'!$D:$D,MATCH(MEDIÇÃO!K1232,'LEV R&amp;D'!$A:$A,0))-INDEX('PROJETO PERFURAÇÃO'!$AH:$AH,MATCH(MEDIÇÃO!K1232,'PROJETO PERFURAÇÃO'!$B:$B,0)),"")</f>
        <v/>
      </c>
      <c r="M1232" s="8" t="str">
        <f>IFERROR(INDEX('PROJETO PERFURAÇÃO'!$AN:$AN,MATCH(MEDIÇÃO!K1232,'PROJETO PERFURAÇÃO'!$B:$B,0)),"")</f>
        <v/>
      </c>
      <c r="N1232" s="3"/>
      <c r="O1232" s="3"/>
      <c r="P1232" s="3" t="str">
        <f>IFERROR(ROUND(INDEX('PROJETO PERFURAÇÃO'!$AB:$AB,MATCH(MEDIÇÃO!R1232,'PROJETO PERFURAÇÃO'!$B:$B,0)),1)&amp;"''","")</f>
        <v/>
      </c>
      <c r="Q1232" s="3" t="str">
        <f>IFERROR(IF(INDEX('PROJETO PERFURAÇÃO'!$P:$P,MATCH(MEDIÇÃO!R1232,'PROJETO PERFURAÇÃO'!$B:$B,0))="Production","P",IF(INDEX('PROJETO PERFURAÇÃO'!$P:$P,MATCH(MEDIÇÃO!R1232,'PROJETO PERFURAÇÃO'!$B:$B,0))="Buffer","B",IF(INDEX('PROJETO PERFURAÇÃO'!$P:$P,MATCH(MEDIÇÃO!R1232,'PROJETO PERFURAÇÃO'!$B:$B,0))="Pre-Splitting","S"))),"")</f>
        <v/>
      </c>
      <c r="R1232" s="14">
        <f t="shared" si="119"/>
        <v>2756</v>
      </c>
      <c r="S1232" s="4" t="str">
        <f>IFERROR(INDEX('LEV R&amp;D'!$D:$D,MATCH(MEDIÇÃO!R1232,'LEV R&amp;D'!$A:$A,0))-INDEX('PROJETO PERFURAÇÃO'!$AH:$AH,MATCH(MEDIÇÃO!R1232,'PROJETO PERFURAÇÃO'!$B:$B,0)),"")</f>
        <v/>
      </c>
      <c r="T1232" s="8" t="str">
        <f>IFERROR(INDEX('PROJETO PERFURAÇÃO'!$AN:$AN,MATCH(MEDIÇÃO!R1232,'PROJETO PERFURAÇÃO'!$B:$B,0)),"")</f>
        <v/>
      </c>
      <c r="U1232" s="3"/>
      <c r="V1232" s="3"/>
    </row>
    <row r="1233" spans="1:23" ht="45" customHeight="1">
      <c r="B1233" s="3" t="str">
        <f>IFERROR(ROUND(INDEX('PROJETO PERFURAÇÃO'!$AB:$AB,MATCH(MEDIÇÃO!D1233,'PROJETO PERFURAÇÃO'!$B:$B,0)),1)&amp;"''","")</f>
        <v/>
      </c>
      <c r="C1233" s="3" t="str">
        <f>IFERROR(IF(INDEX('PROJETO PERFURAÇÃO'!$P:$P,MATCH(MEDIÇÃO!D1233,'PROJETO PERFURAÇÃO'!$B:$B,0))="Production","P",IF(INDEX('PROJETO PERFURAÇÃO'!$P:$P,MATCH(MEDIÇÃO!D1233,'PROJETO PERFURAÇÃO'!$B:$B,0))="Buffer","B",IF(INDEX('PROJETO PERFURAÇÃO'!$P:$P,MATCH(MEDIÇÃO!D1233,'PROJETO PERFURAÇÃO'!$B:$B,0))="Pre-Splitting","S"))),"")</f>
        <v/>
      </c>
      <c r="D1233" s="14">
        <f t="shared" si="117"/>
        <v>2711</v>
      </c>
      <c r="E1233" s="4" t="str">
        <f>IFERROR(INDEX('LEV R&amp;D'!$D:$D,MATCH(MEDIÇÃO!D1233,'LEV R&amp;D'!$A:$A,0))-INDEX('PROJETO PERFURAÇÃO'!$AH:$AH,MATCH(MEDIÇÃO!D1233,'PROJETO PERFURAÇÃO'!$B:$B,0)),"")</f>
        <v/>
      </c>
      <c r="F1233" s="8" t="str">
        <f>IFERROR(INDEX('PROJETO PERFURAÇÃO'!$AN:$AN,MATCH(MEDIÇÃO!D1233,'PROJETO PERFURAÇÃO'!$B:$B,0)),"")</f>
        <v/>
      </c>
      <c r="G1233" s="3"/>
      <c r="H1233" s="3"/>
      <c r="I1233" s="3" t="str">
        <f>IFERROR(ROUND(INDEX('PROJETO PERFURAÇÃO'!$AB:$AB,MATCH(MEDIÇÃO!K1233,'PROJETO PERFURAÇÃO'!$B:$B,0)),1)&amp;"''","")</f>
        <v/>
      </c>
      <c r="J1233" s="3" t="str">
        <f>IFERROR(IF(INDEX('PROJETO PERFURAÇÃO'!$P:$P,MATCH(MEDIÇÃO!K1233,'PROJETO PERFURAÇÃO'!$B:$B,0))="Production","P",IF(INDEX('PROJETO PERFURAÇÃO'!$P:$P,MATCH(MEDIÇÃO!K1233,'PROJETO PERFURAÇÃO'!$B:$B,0))="Buffer","B",IF(INDEX('PROJETO PERFURAÇÃO'!$P:$P,MATCH(MEDIÇÃO!K1233,'PROJETO PERFURAÇÃO'!$B:$B,0))="Pre-Splitting","S"))),"")</f>
        <v/>
      </c>
      <c r="K1233" s="14">
        <f t="shared" si="118"/>
        <v>2734</v>
      </c>
      <c r="L1233" s="4" t="str">
        <f>IFERROR(INDEX('LEV R&amp;D'!$D:$D,MATCH(MEDIÇÃO!K1233,'LEV R&amp;D'!$A:$A,0))-INDEX('PROJETO PERFURAÇÃO'!$AH:$AH,MATCH(MEDIÇÃO!K1233,'PROJETO PERFURAÇÃO'!$B:$B,0)),"")</f>
        <v/>
      </c>
      <c r="M1233" s="8" t="str">
        <f>IFERROR(INDEX('PROJETO PERFURAÇÃO'!$AN:$AN,MATCH(MEDIÇÃO!K1233,'PROJETO PERFURAÇÃO'!$B:$B,0)),"")</f>
        <v/>
      </c>
      <c r="N1233" s="3"/>
      <c r="O1233" s="3"/>
      <c r="P1233" s="3" t="str">
        <f>IFERROR(ROUND(INDEX('PROJETO PERFURAÇÃO'!$AB:$AB,MATCH(MEDIÇÃO!R1233,'PROJETO PERFURAÇÃO'!$B:$B,0)),1)&amp;"''","")</f>
        <v/>
      </c>
      <c r="Q1233" s="3" t="str">
        <f>IFERROR(IF(INDEX('PROJETO PERFURAÇÃO'!$P:$P,MATCH(MEDIÇÃO!R1233,'PROJETO PERFURAÇÃO'!$B:$B,0))="Production","P",IF(INDEX('PROJETO PERFURAÇÃO'!$P:$P,MATCH(MEDIÇÃO!R1233,'PROJETO PERFURAÇÃO'!$B:$B,0))="Buffer","B",IF(INDEX('PROJETO PERFURAÇÃO'!$P:$P,MATCH(MEDIÇÃO!R1233,'PROJETO PERFURAÇÃO'!$B:$B,0))="Pre-Splitting","S"))),"")</f>
        <v/>
      </c>
      <c r="R1233" s="14">
        <f t="shared" si="119"/>
        <v>2757</v>
      </c>
      <c r="S1233" s="4" t="str">
        <f>IFERROR(INDEX('LEV R&amp;D'!$D:$D,MATCH(MEDIÇÃO!R1233,'LEV R&amp;D'!$A:$A,0))-INDEX('PROJETO PERFURAÇÃO'!$AH:$AH,MATCH(MEDIÇÃO!R1233,'PROJETO PERFURAÇÃO'!$B:$B,0)),"")</f>
        <v/>
      </c>
      <c r="T1233" s="8" t="str">
        <f>IFERROR(INDEX('PROJETO PERFURAÇÃO'!$AN:$AN,MATCH(MEDIÇÃO!R1233,'PROJETO PERFURAÇÃO'!$B:$B,0)),"")</f>
        <v/>
      </c>
      <c r="U1233" s="3"/>
      <c r="V1233" s="3"/>
    </row>
    <row r="1234" spans="1:23" ht="45" customHeight="1">
      <c r="B1234" s="3" t="str">
        <f>IFERROR(ROUND(INDEX('PROJETO PERFURAÇÃO'!$AB:$AB,MATCH(MEDIÇÃO!D1234,'PROJETO PERFURAÇÃO'!$B:$B,0)),1)&amp;"''","")</f>
        <v/>
      </c>
      <c r="C1234" s="3" t="str">
        <f>IFERROR(IF(INDEX('PROJETO PERFURAÇÃO'!$P:$P,MATCH(MEDIÇÃO!D1234,'PROJETO PERFURAÇÃO'!$B:$B,0))="Production","P",IF(INDEX('PROJETO PERFURAÇÃO'!$P:$P,MATCH(MEDIÇÃO!D1234,'PROJETO PERFURAÇÃO'!$B:$B,0))="Buffer","B",IF(INDEX('PROJETO PERFURAÇÃO'!$P:$P,MATCH(MEDIÇÃO!D1234,'PROJETO PERFURAÇÃO'!$B:$B,0))="Pre-Splitting","S"))),"")</f>
        <v/>
      </c>
      <c r="D1234" s="14">
        <f t="shared" si="117"/>
        <v>2712</v>
      </c>
      <c r="E1234" s="4" t="str">
        <f>IFERROR(INDEX('LEV R&amp;D'!$D:$D,MATCH(MEDIÇÃO!D1234,'LEV R&amp;D'!$A:$A,0))-INDEX('PROJETO PERFURAÇÃO'!$AH:$AH,MATCH(MEDIÇÃO!D1234,'PROJETO PERFURAÇÃO'!$B:$B,0)),"")</f>
        <v/>
      </c>
      <c r="F1234" s="8" t="str">
        <f>IFERROR(INDEX('PROJETO PERFURAÇÃO'!$AN:$AN,MATCH(MEDIÇÃO!D1234,'PROJETO PERFURAÇÃO'!$B:$B,0)),"")</f>
        <v/>
      </c>
      <c r="G1234" s="3"/>
      <c r="H1234" s="3"/>
      <c r="I1234" s="3" t="str">
        <f>IFERROR(ROUND(INDEX('PROJETO PERFURAÇÃO'!$AB:$AB,MATCH(MEDIÇÃO!K1234,'PROJETO PERFURAÇÃO'!$B:$B,0)),1)&amp;"''","")</f>
        <v/>
      </c>
      <c r="J1234" s="3" t="str">
        <f>IFERROR(IF(INDEX('PROJETO PERFURAÇÃO'!$P:$P,MATCH(MEDIÇÃO!K1234,'PROJETO PERFURAÇÃO'!$B:$B,0))="Production","P",IF(INDEX('PROJETO PERFURAÇÃO'!$P:$P,MATCH(MEDIÇÃO!K1234,'PROJETO PERFURAÇÃO'!$B:$B,0))="Buffer","B",IF(INDEX('PROJETO PERFURAÇÃO'!$P:$P,MATCH(MEDIÇÃO!K1234,'PROJETO PERFURAÇÃO'!$B:$B,0))="Pre-Splitting","S"))),"")</f>
        <v/>
      </c>
      <c r="K1234" s="14">
        <f t="shared" si="118"/>
        <v>2735</v>
      </c>
      <c r="L1234" s="4" t="str">
        <f>IFERROR(INDEX('LEV R&amp;D'!$D:$D,MATCH(MEDIÇÃO!K1234,'LEV R&amp;D'!$A:$A,0))-INDEX('PROJETO PERFURAÇÃO'!$AH:$AH,MATCH(MEDIÇÃO!K1234,'PROJETO PERFURAÇÃO'!$B:$B,0)),"")</f>
        <v/>
      </c>
      <c r="M1234" s="8" t="str">
        <f>IFERROR(INDEX('PROJETO PERFURAÇÃO'!$AN:$AN,MATCH(MEDIÇÃO!K1234,'PROJETO PERFURAÇÃO'!$B:$B,0)),"")</f>
        <v/>
      </c>
      <c r="N1234" s="3"/>
      <c r="O1234" s="3"/>
      <c r="P1234" s="3" t="str">
        <f>IFERROR(ROUND(INDEX('PROJETO PERFURAÇÃO'!$AB:$AB,MATCH(MEDIÇÃO!R1234,'PROJETO PERFURAÇÃO'!$B:$B,0)),1)&amp;"''","")</f>
        <v/>
      </c>
      <c r="Q1234" s="3" t="str">
        <f>IFERROR(IF(INDEX('PROJETO PERFURAÇÃO'!$P:$P,MATCH(MEDIÇÃO!R1234,'PROJETO PERFURAÇÃO'!$B:$B,0))="Production","P",IF(INDEX('PROJETO PERFURAÇÃO'!$P:$P,MATCH(MEDIÇÃO!R1234,'PROJETO PERFURAÇÃO'!$B:$B,0))="Buffer","B",IF(INDEX('PROJETO PERFURAÇÃO'!$P:$P,MATCH(MEDIÇÃO!R1234,'PROJETO PERFURAÇÃO'!$B:$B,0))="Pre-Splitting","S"))),"")</f>
        <v/>
      </c>
      <c r="R1234" s="14">
        <f t="shared" si="119"/>
        <v>2758</v>
      </c>
      <c r="S1234" s="4" t="str">
        <f>IFERROR(INDEX('LEV R&amp;D'!$D:$D,MATCH(MEDIÇÃO!R1234,'LEV R&amp;D'!$A:$A,0))-INDEX('PROJETO PERFURAÇÃO'!$AH:$AH,MATCH(MEDIÇÃO!R1234,'PROJETO PERFURAÇÃO'!$B:$B,0)),"")</f>
        <v/>
      </c>
      <c r="T1234" s="8" t="str">
        <f>IFERROR(INDEX('PROJETO PERFURAÇÃO'!$AN:$AN,MATCH(MEDIÇÃO!R1234,'PROJETO PERFURAÇÃO'!$B:$B,0)),"")</f>
        <v/>
      </c>
      <c r="U1234" s="3"/>
      <c r="V1234" s="3"/>
    </row>
    <row r="1235" spans="1:23" ht="45" customHeight="1">
      <c r="B1235" s="3" t="str">
        <f>IFERROR(ROUND(INDEX('PROJETO PERFURAÇÃO'!$AB:$AB,MATCH(MEDIÇÃO!D1235,'PROJETO PERFURAÇÃO'!$B:$B,0)),1)&amp;"''","")</f>
        <v/>
      </c>
      <c r="C1235" s="3" t="str">
        <f>IFERROR(IF(INDEX('PROJETO PERFURAÇÃO'!$P:$P,MATCH(MEDIÇÃO!D1235,'PROJETO PERFURAÇÃO'!$B:$B,0))="Production","P",IF(INDEX('PROJETO PERFURAÇÃO'!$P:$P,MATCH(MEDIÇÃO!D1235,'PROJETO PERFURAÇÃO'!$B:$B,0))="Buffer","B",IF(INDEX('PROJETO PERFURAÇÃO'!$P:$P,MATCH(MEDIÇÃO!D1235,'PROJETO PERFURAÇÃO'!$B:$B,0))="Pre-Splitting","S"))),"")</f>
        <v/>
      </c>
      <c r="D1235" s="14">
        <f t="shared" si="117"/>
        <v>2713</v>
      </c>
      <c r="E1235" s="4" t="str">
        <f>IFERROR(INDEX('LEV R&amp;D'!$D:$D,MATCH(MEDIÇÃO!D1235,'LEV R&amp;D'!$A:$A,0))-INDEX('PROJETO PERFURAÇÃO'!$AH:$AH,MATCH(MEDIÇÃO!D1235,'PROJETO PERFURAÇÃO'!$B:$B,0)),"")</f>
        <v/>
      </c>
      <c r="F1235" s="8" t="str">
        <f>IFERROR(INDEX('PROJETO PERFURAÇÃO'!$AN:$AN,MATCH(MEDIÇÃO!D1235,'PROJETO PERFURAÇÃO'!$B:$B,0)),"")</f>
        <v/>
      </c>
      <c r="G1235" s="3"/>
      <c r="H1235" s="3"/>
      <c r="I1235" s="3" t="str">
        <f>IFERROR(ROUND(INDEX('PROJETO PERFURAÇÃO'!$AB:$AB,MATCH(MEDIÇÃO!K1235,'PROJETO PERFURAÇÃO'!$B:$B,0)),1)&amp;"''","")</f>
        <v/>
      </c>
      <c r="J1235" s="3" t="str">
        <f>IFERROR(IF(INDEX('PROJETO PERFURAÇÃO'!$P:$P,MATCH(MEDIÇÃO!K1235,'PROJETO PERFURAÇÃO'!$B:$B,0))="Production","P",IF(INDEX('PROJETO PERFURAÇÃO'!$P:$P,MATCH(MEDIÇÃO!K1235,'PROJETO PERFURAÇÃO'!$B:$B,0))="Buffer","B",IF(INDEX('PROJETO PERFURAÇÃO'!$P:$P,MATCH(MEDIÇÃO!K1235,'PROJETO PERFURAÇÃO'!$B:$B,0))="Pre-Splitting","S"))),"")</f>
        <v/>
      </c>
      <c r="K1235" s="14">
        <f t="shared" si="118"/>
        <v>2736</v>
      </c>
      <c r="L1235" s="4" t="str">
        <f>IFERROR(INDEX('LEV R&amp;D'!$D:$D,MATCH(MEDIÇÃO!K1235,'LEV R&amp;D'!$A:$A,0))-INDEX('PROJETO PERFURAÇÃO'!$AH:$AH,MATCH(MEDIÇÃO!K1235,'PROJETO PERFURAÇÃO'!$B:$B,0)),"")</f>
        <v/>
      </c>
      <c r="M1235" s="8" t="str">
        <f>IFERROR(INDEX('PROJETO PERFURAÇÃO'!$AN:$AN,MATCH(MEDIÇÃO!K1235,'PROJETO PERFURAÇÃO'!$B:$B,0)),"")</f>
        <v/>
      </c>
      <c r="N1235" s="3"/>
      <c r="O1235" s="3"/>
      <c r="P1235" s="3" t="str">
        <f>IFERROR(ROUND(INDEX('PROJETO PERFURAÇÃO'!$AB:$AB,MATCH(MEDIÇÃO!R1235,'PROJETO PERFURAÇÃO'!$B:$B,0)),1)&amp;"''","")</f>
        <v/>
      </c>
      <c r="Q1235" s="3" t="str">
        <f>IFERROR(IF(INDEX('PROJETO PERFURAÇÃO'!$P:$P,MATCH(MEDIÇÃO!R1235,'PROJETO PERFURAÇÃO'!$B:$B,0))="Production","P",IF(INDEX('PROJETO PERFURAÇÃO'!$P:$P,MATCH(MEDIÇÃO!R1235,'PROJETO PERFURAÇÃO'!$B:$B,0))="Buffer","B",IF(INDEX('PROJETO PERFURAÇÃO'!$P:$P,MATCH(MEDIÇÃO!R1235,'PROJETO PERFURAÇÃO'!$B:$B,0))="Pre-Splitting","S"))),"")</f>
        <v/>
      </c>
      <c r="R1235" s="14">
        <f t="shared" si="119"/>
        <v>2759</v>
      </c>
      <c r="S1235" s="4" t="str">
        <f>IFERROR(INDEX('LEV R&amp;D'!$D:$D,MATCH(MEDIÇÃO!R1235,'LEV R&amp;D'!$A:$A,0))-INDEX('PROJETO PERFURAÇÃO'!$AH:$AH,MATCH(MEDIÇÃO!R1235,'PROJETO PERFURAÇÃO'!$B:$B,0)),"")</f>
        <v/>
      </c>
      <c r="T1235" s="8" t="str">
        <f>IFERROR(INDEX('PROJETO PERFURAÇÃO'!$AN:$AN,MATCH(MEDIÇÃO!R1235,'PROJETO PERFURAÇÃO'!$B:$B,0)),"")</f>
        <v/>
      </c>
      <c r="U1235" s="3"/>
      <c r="V1235" s="3"/>
    </row>
    <row r="1236" spans="1:23" ht="45" customHeight="1">
      <c r="B1236" s="3" t="str">
        <f>IFERROR(ROUND(INDEX('PROJETO PERFURAÇÃO'!$AB:$AB,MATCH(MEDIÇÃO!D1236,'PROJETO PERFURAÇÃO'!$B:$B,0)),1)&amp;"''","")</f>
        <v/>
      </c>
      <c r="C1236" s="3" t="str">
        <f>IFERROR(IF(INDEX('PROJETO PERFURAÇÃO'!$P:$P,MATCH(MEDIÇÃO!D1236,'PROJETO PERFURAÇÃO'!$B:$B,0))="Production","P",IF(INDEX('PROJETO PERFURAÇÃO'!$P:$P,MATCH(MEDIÇÃO!D1236,'PROJETO PERFURAÇÃO'!$B:$B,0))="Buffer","B",IF(INDEX('PROJETO PERFURAÇÃO'!$P:$P,MATCH(MEDIÇÃO!D1236,'PROJETO PERFURAÇÃO'!$B:$B,0))="Pre-Splitting","S"))),"")</f>
        <v/>
      </c>
      <c r="D1236" s="14">
        <f t="shared" si="117"/>
        <v>2714</v>
      </c>
      <c r="E1236" s="4" t="str">
        <f>IFERROR(INDEX('LEV R&amp;D'!$D:$D,MATCH(MEDIÇÃO!D1236,'LEV R&amp;D'!$A:$A,0))-INDEX('PROJETO PERFURAÇÃO'!$AH:$AH,MATCH(MEDIÇÃO!D1236,'PROJETO PERFURAÇÃO'!$B:$B,0)),"")</f>
        <v/>
      </c>
      <c r="F1236" s="8" t="str">
        <f>IFERROR(INDEX('PROJETO PERFURAÇÃO'!$AN:$AN,MATCH(MEDIÇÃO!D1236,'PROJETO PERFURAÇÃO'!$B:$B,0)),"")</f>
        <v/>
      </c>
      <c r="G1236" s="3"/>
      <c r="H1236" s="3"/>
      <c r="I1236" s="3" t="str">
        <f>IFERROR(ROUND(INDEX('PROJETO PERFURAÇÃO'!$AB:$AB,MATCH(MEDIÇÃO!K1236,'PROJETO PERFURAÇÃO'!$B:$B,0)),1)&amp;"''","")</f>
        <v/>
      </c>
      <c r="J1236" s="3" t="str">
        <f>IFERROR(IF(INDEX('PROJETO PERFURAÇÃO'!$P:$P,MATCH(MEDIÇÃO!K1236,'PROJETO PERFURAÇÃO'!$B:$B,0))="Production","P",IF(INDEX('PROJETO PERFURAÇÃO'!$P:$P,MATCH(MEDIÇÃO!K1236,'PROJETO PERFURAÇÃO'!$B:$B,0))="Buffer","B",IF(INDEX('PROJETO PERFURAÇÃO'!$P:$P,MATCH(MEDIÇÃO!K1236,'PROJETO PERFURAÇÃO'!$B:$B,0))="Pre-Splitting","S"))),"")</f>
        <v/>
      </c>
      <c r="K1236" s="14">
        <f>K1235+1</f>
        <v>2737</v>
      </c>
      <c r="L1236" s="4" t="str">
        <f>IFERROR(INDEX('LEV R&amp;D'!$D:$D,MATCH(MEDIÇÃO!K1236,'LEV R&amp;D'!$A:$A,0))-INDEX('PROJETO PERFURAÇÃO'!$AH:$AH,MATCH(MEDIÇÃO!K1236,'PROJETO PERFURAÇÃO'!$B:$B,0)),"")</f>
        <v/>
      </c>
      <c r="M1236" s="8" t="str">
        <f>IFERROR(INDEX('PROJETO PERFURAÇÃO'!$AN:$AN,MATCH(MEDIÇÃO!K1236,'PROJETO PERFURAÇÃO'!$B:$B,0)),"")</f>
        <v/>
      </c>
      <c r="N1236" s="3"/>
      <c r="O1236" s="3"/>
      <c r="P1236" s="3" t="str">
        <f>IFERROR(ROUND(INDEX('PROJETO PERFURAÇÃO'!$AB:$AB,MATCH(MEDIÇÃO!R1236,'PROJETO PERFURAÇÃO'!$B:$B,0)),1)&amp;"''","")</f>
        <v/>
      </c>
      <c r="Q1236" s="3" t="str">
        <f>IFERROR(IF(INDEX('PROJETO PERFURAÇÃO'!$P:$P,MATCH(MEDIÇÃO!R1236,'PROJETO PERFURAÇÃO'!$B:$B,0))="Production","P",IF(INDEX('PROJETO PERFURAÇÃO'!$P:$P,MATCH(MEDIÇÃO!R1236,'PROJETO PERFURAÇÃO'!$B:$B,0))="Buffer","B",IF(INDEX('PROJETO PERFURAÇÃO'!$P:$P,MATCH(MEDIÇÃO!R1236,'PROJETO PERFURAÇÃO'!$B:$B,0))="Pre-Splitting","S"))),"")</f>
        <v/>
      </c>
      <c r="R1236" s="14">
        <f>R1235+1</f>
        <v>2760</v>
      </c>
      <c r="S1236" s="4" t="str">
        <f>IFERROR(INDEX('LEV R&amp;D'!$D:$D,MATCH(MEDIÇÃO!R1236,'LEV R&amp;D'!$A:$A,0))-INDEX('PROJETO PERFURAÇÃO'!$AH:$AH,MATCH(MEDIÇÃO!R1236,'PROJETO PERFURAÇÃO'!$B:$B,0)),"")</f>
        <v/>
      </c>
      <c r="T1236" s="8" t="str">
        <f>IFERROR(INDEX('PROJETO PERFURAÇÃO'!$AN:$AN,MATCH(MEDIÇÃO!R1236,'PROJETO PERFURAÇÃO'!$B:$B,0)),"")</f>
        <v/>
      </c>
      <c r="U1236" s="3"/>
      <c r="V1236" s="3"/>
    </row>
    <row r="1237" spans="1:23" ht="30" customHeight="1">
      <c r="B1237" s="1"/>
      <c r="C1237" s="1"/>
      <c r="D1237" s="15"/>
      <c r="E1237" s="2"/>
      <c r="F1237" s="16"/>
      <c r="G1237" s="1"/>
      <c r="H1237" s="1"/>
      <c r="I1237" s="1"/>
      <c r="J1237" s="1"/>
      <c r="K1237" s="15"/>
      <c r="L1237" s="2"/>
      <c r="M1237" s="16"/>
      <c r="N1237" s="1"/>
      <c r="O1237" s="1"/>
      <c r="P1237" s="1"/>
      <c r="Q1237" s="1"/>
      <c r="R1237" s="15"/>
      <c r="S1237" s="2"/>
      <c r="T1237" s="16"/>
      <c r="U1237" s="1"/>
      <c r="V1237" s="1"/>
    </row>
    <row r="1238" spans="1:23" ht="30" customHeight="1">
      <c r="C1238" s="20"/>
      <c r="D1238" s="20"/>
      <c r="E1238" s="20"/>
      <c r="F1238" s="20"/>
      <c r="G1238" s="20"/>
      <c r="H1238" s="20"/>
      <c r="I1238" s="20"/>
      <c r="J1238" s="20"/>
      <c r="K1238" s="20"/>
      <c r="M1238" s="20"/>
      <c r="N1238" s="20"/>
      <c r="O1238" s="20"/>
      <c r="P1238" s="20"/>
      <c r="Q1238" s="20"/>
      <c r="R1238" s="20"/>
      <c r="S1238" s="20"/>
      <c r="T1238" s="20"/>
      <c r="U1238" s="20"/>
    </row>
    <row r="1239" spans="1:23" ht="30" customHeight="1">
      <c r="C1239" s="21" t="s">
        <v>40</v>
      </c>
      <c r="D1239" s="21"/>
      <c r="E1239" s="21"/>
      <c r="F1239" s="21"/>
      <c r="G1239" s="21"/>
      <c r="H1239" s="21"/>
      <c r="I1239" s="21"/>
      <c r="J1239" s="21"/>
      <c r="K1239" s="21"/>
      <c r="L1239" s="9"/>
      <c r="M1239" s="21" t="s">
        <v>40</v>
      </c>
      <c r="N1239" s="21"/>
      <c r="O1239" s="21"/>
      <c r="P1239" s="21"/>
      <c r="Q1239" s="21"/>
      <c r="R1239" s="21"/>
      <c r="S1239" s="21"/>
      <c r="T1239" s="21"/>
      <c r="U1239" s="21"/>
      <c r="V1239" s="9"/>
    </row>
    <row r="1240" spans="1:23" ht="30" customHeight="1">
      <c r="D1240" s="9"/>
      <c r="E1240" s="9"/>
      <c r="F1240" s="9"/>
      <c r="G1240" s="9"/>
      <c r="H1240" s="9"/>
      <c r="I1240" s="9"/>
      <c r="J1240" s="9"/>
      <c r="K1240" s="9"/>
      <c r="L1240" s="9"/>
      <c r="M1240" s="9"/>
      <c r="N1240" s="9"/>
      <c r="Q1240" s="9"/>
      <c r="R1240" s="9"/>
      <c r="S1240" s="9"/>
      <c r="T1240" s="9"/>
      <c r="U1240" s="9"/>
      <c r="V1240" s="9"/>
    </row>
    <row r="1241" spans="1:23" ht="30" customHeight="1">
      <c r="B1241" s="19" t="str">
        <f>'PROJETO PERFURAÇÃO'!$C$2&amp;" - "&amp;'PROJETO PERFURAÇÃO'!$H$2</f>
        <v>LIB037 - PP0370626</v>
      </c>
      <c r="C1241" s="19"/>
      <c r="D1241" s="19"/>
      <c r="E1241" s="19"/>
      <c r="F1241" s="19"/>
      <c r="G1241" s="19"/>
      <c r="H1241" s="19"/>
      <c r="I1241" s="11" t="s">
        <v>34</v>
      </c>
      <c r="J1241" s="10" t="s">
        <v>37</v>
      </c>
    </row>
    <row r="1242" spans="1:23" ht="30" customHeight="1">
      <c r="B1242" s="19"/>
      <c r="C1242" s="19"/>
      <c r="D1242" s="19"/>
      <c r="E1242" s="19"/>
      <c r="F1242" s="19"/>
      <c r="G1242" s="19"/>
      <c r="H1242" s="19"/>
      <c r="I1242" s="12" t="s">
        <v>35</v>
      </c>
      <c r="J1242" s="10" t="s">
        <v>38</v>
      </c>
      <c r="K1242" s="9"/>
      <c r="L1242" s="9"/>
      <c r="M1242" s="9"/>
      <c r="N1242" s="9"/>
      <c r="O1242" s="9"/>
      <c r="P1242" s="9"/>
      <c r="Q1242" s="9"/>
      <c r="R1242" s="9"/>
      <c r="S1242" s="9"/>
      <c r="T1242" s="9"/>
      <c r="U1242" s="9"/>
      <c r="V1242" s="9"/>
    </row>
    <row r="1243" spans="1:23" ht="30" customHeight="1">
      <c r="B1243" s="19"/>
      <c r="C1243" s="19"/>
      <c r="D1243" s="19"/>
      <c r="E1243" s="19"/>
      <c r="F1243" s="19"/>
      <c r="G1243" s="19"/>
      <c r="H1243" s="19"/>
      <c r="I1243" s="13" t="s">
        <v>36</v>
      </c>
      <c r="J1243" s="10" t="s">
        <v>39</v>
      </c>
    </row>
    <row r="1244" spans="1:23" ht="30" customHeight="1">
      <c r="A1244" s="1"/>
      <c r="B1244" s="6" t="s">
        <v>33</v>
      </c>
      <c r="C1244" s="6" t="s">
        <v>13</v>
      </c>
      <c r="D1244" s="7" t="s">
        <v>1</v>
      </c>
      <c r="E1244" s="7" t="s">
        <v>29</v>
      </c>
      <c r="F1244" s="7" t="s">
        <v>30</v>
      </c>
      <c r="G1244" s="7" t="s">
        <v>31</v>
      </c>
      <c r="H1244" s="7" t="s">
        <v>32</v>
      </c>
      <c r="I1244" s="6" t="s">
        <v>33</v>
      </c>
      <c r="J1244" s="6" t="s">
        <v>13</v>
      </c>
      <c r="K1244" s="7" t="s">
        <v>1</v>
      </c>
      <c r="L1244" s="7" t="s">
        <v>29</v>
      </c>
      <c r="M1244" s="7" t="s">
        <v>30</v>
      </c>
      <c r="N1244" s="7" t="s">
        <v>31</v>
      </c>
      <c r="O1244" s="7" t="s">
        <v>32</v>
      </c>
      <c r="P1244" s="6" t="s">
        <v>33</v>
      </c>
      <c r="Q1244" s="6" t="s">
        <v>13</v>
      </c>
      <c r="R1244" s="7" t="s">
        <v>1</v>
      </c>
      <c r="S1244" s="7" t="s">
        <v>29</v>
      </c>
      <c r="T1244" s="7" t="s">
        <v>30</v>
      </c>
      <c r="U1244" s="7" t="s">
        <v>31</v>
      </c>
      <c r="V1244" s="7" t="s">
        <v>32</v>
      </c>
      <c r="W1244" s="1"/>
    </row>
    <row r="1245" spans="1:23" ht="45" customHeight="1">
      <c r="B1245" s="3" t="str">
        <f>IFERROR(ROUND(INDEX('PROJETO PERFURAÇÃO'!$AB:$AB,MATCH(MEDIÇÃO!D1245,'PROJETO PERFURAÇÃO'!$B:$B,0)),1)&amp;"''","")</f>
        <v/>
      </c>
      <c r="C1245" s="3" t="str">
        <f>IFERROR(IF(INDEX('PROJETO PERFURAÇÃO'!$P:$P,MATCH(MEDIÇÃO!D1245,'PROJETO PERFURAÇÃO'!$B:$B,0))="Production","P",IF(INDEX('PROJETO PERFURAÇÃO'!$P:$P,MATCH(MEDIÇÃO!D1245,'PROJETO PERFURAÇÃO'!$B:$B,0))="Buffer","B",IF(INDEX('PROJETO PERFURAÇÃO'!$P:$P,MATCH(MEDIÇÃO!D1245,'PROJETO PERFURAÇÃO'!$B:$B,0))="Pre-Splitting","S"))),"")</f>
        <v/>
      </c>
      <c r="D1245" s="14">
        <f>R1236+1</f>
        <v>2761</v>
      </c>
      <c r="E1245" s="4" t="str">
        <f>IFERROR(INDEX('LEV R&amp;D'!$D:$D,MATCH(MEDIÇÃO!D1245,'LEV R&amp;D'!$A:$A,0))-INDEX('PROJETO PERFURAÇÃO'!$AH:$AH,MATCH(MEDIÇÃO!D1245,'PROJETO PERFURAÇÃO'!$B:$B,0)),"")</f>
        <v/>
      </c>
      <c r="F1245" s="8" t="str">
        <f>IFERROR(INDEX('PROJETO PERFURAÇÃO'!$AN:$AN,MATCH(MEDIÇÃO!D1245,'PROJETO PERFURAÇÃO'!$B:$B,0)),"")</f>
        <v/>
      </c>
      <c r="G1245" s="3"/>
      <c r="H1245" s="3"/>
      <c r="I1245" s="3" t="str">
        <f>IFERROR(ROUND(INDEX('PROJETO PERFURAÇÃO'!$AB:$AB,MATCH(MEDIÇÃO!K1245,'PROJETO PERFURAÇÃO'!$B:$B,0)),1)&amp;"''","")</f>
        <v/>
      </c>
      <c r="J1245" s="3" t="str">
        <f>IFERROR(IF(INDEX('PROJETO PERFURAÇÃO'!$P:$P,MATCH(MEDIÇÃO!K1245,'PROJETO PERFURAÇÃO'!$B:$B,0))="Production","P",IF(INDEX('PROJETO PERFURAÇÃO'!$P:$P,MATCH(MEDIÇÃO!K1245,'PROJETO PERFURAÇÃO'!$B:$B,0))="Buffer","B",IF(INDEX('PROJETO PERFURAÇÃO'!$P:$P,MATCH(MEDIÇÃO!K1245,'PROJETO PERFURAÇÃO'!$B:$B,0))="Pre-Splitting","S"))),"")</f>
        <v/>
      </c>
      <c r="K1245" s="14">
        <f>D1267+1</f>
        <v>2784</v>
      </c>
      <c r="L1245" s="4" t="str">
        <f>IFERROR(INDEX('LEV R&amp;D'!$D:$D,MATCH(MEDIÇÃO!K1245,'LEV R&amp;D'!$A:$A,0))-INDEX('PROJETO PERFURAÇÃO'!$AH:$AH,MATCH(MEDIÇÃO!K1245,'PROJETO PERFURAÇÃO'!$B:$B,0)),"")</f>
        <v/>
      </c>
      <c r="M1245" s="8" t="str">
        <f>IFERROR(INDEX('PROJETO PERFURAÇÃO'!$AN:$AN,MATCH(MEDIÇÃO!K1245,'PROJETO PERFURAÇÃO'!$B:$B,0)),"")</f>
        <v/>
      </c>
      <c r="N1245" s="3"/>
      <c r="O1245" s="3"/>
      <c r="P1245" s="3" t="str">
        <f>IFERROR(ROUND(INDEX('PROJETO PERFURAÇÃO'!$AB:$AB,MATCH(MEDIÇÃO!R1245,'PROJETO PERFURAÇÃO'!$B:$B,0)),1)&amp;"''","")</f>
        <v/>
      </c>
      <c r="Q1245" s="3" t="str">
        <f>IFERROR(IF(INDEX('PROJETO PERFURAÇÃO'!$P:$P,MATCH(MEDIÇÃO!R1245,'PROJETO PERFURAÇÃO'!$B:$B,0))="Production","P",IF(INDEX('PROJETO PERFURAÇÃO'!$P:$P,MATCH(MEDIÇÃO!R1245,'PROJETO PERFURAÇÃO'!$B:$B,0))="Buffer","B",IF(INDEX('PROJETO PERFURAÇÃO'!$P:$P,MATCH(MEDIÇÃO!R1245,'PROJETO PERFURAÇÃO'!$B:$B,0))="Pre-Splitting","S"))),"")</f>
        <v/>
      </c>
      <c r="R1245" s="14">
        <f>K1267+1</f>
        <v>2807</v>
      </c>
      <c r="S1245" s="4" t="str">
        <f>IFERROR(INDEX('LEV R&amp;D'!$D:$D,MATCH(MEDIÇÃO!R1245,'LEV R&amp;D'!$A:$A,0))-INDEX('PROJETO PERFURAÇÃO'!$AH:$AH,MATCH(MEDIÇÃO!R1245,'PROJETO PERFURAÇÃO'!$B:$B,0)),"")</f>
        <v/>
      </c>
      <c r="T1245" s="8" t="str">
        <f>IFERROR(INDEX('PROJETO PERFURAÇÃO'!$AN:$AN,MATCH(MEDIÇÃO!R1245,'PROJETO PERFURAÇÃO'!$B:$B,0)),"")</f>
        <v/>
      </c>
      <c r="U1245" s="3"/>
      <c r="V1245" s="3"/>
    </row>
    <row r="1246" spans="1:23" ht="45" customHeight="1">
      <c r="B1246" s="3" t="str">
        <f>IFERROR(ROUND(INDEX('PROJETO PERFURAÇÃO'!$AB:$AB,MATCH(MEDIÇÃO!D1246,'PROJETO PERFURAÇÃO'!$B:$B,0)),1)&amp;"''","")</f>
        <v/>
      </c>
      <c r="C1246" s="3" t="str">
        <f>IFERROR(IF(INDEX('PROJETO PERFURAÇÃO'!$P:$P,MATCH(MEDIÇÃO!D1246,'PROJETO PERFURAÇÃO'!$B:$B,0))="Production","P",IF(INDEX('PROJETO PERFURAÇÃO'!$P:$P,MATCH(MEDIÇÃO!D1246,'PROJETO PERFURAÇÃO'!$B:$B,0))="Buffer","B",IF(INDEX('PROJETO PERFURAÇÃO'!$P:$P,MATCH(MEDIÇÃO!D1246,'PROJETO PERFURAÇÃO'!$B:$B,0))="Pre-Splitting","S"))),"")</f>
        <v/>
      </c>
      <c r="D1246" s="14">
        <f>D1245+1</f>
        <v>2762</v>
      </c>
      <c r="E1246" s="4" t="str">
        <f>IFERROR(INDEX('LEV R&amp;D'!$D:$D,MATCH(MEDIÇÃO!D1246,'LEV R&amp;D'!$A:$A,0))-INDEX('PROJETO PERFURAÇÃO'!$AH:$AH,MATCH(MEDIÇÃO!D1246,'PROJETO PERFURAÇÃO'!$B:$B,0)),"")</f>
        <v/>
      </c>
      <c r="F1246" s="8" t="str">
        <f>IFERROR(INDEX('PROJETO PERFURAÇÃO'!$AN:$AN,MATCH(MEDIÇÃO!D1246,'PROJETO PERFURAÇÃO'!$B:$B,0)),"")</f>
        <v/>
      </c>
      <c r="G1246" s="3"/>
      <c r="H1246" s="3"/>
      <c r="I1246" s="3" t="str">
        <f>IFERROR(ROUND(INDEX('PROJETO PERFURAÇÃO'!$AB:$AB,MATCH(MEDIÇÃO!K1246,'PROJETO PERFURAÇÃO'!$B:$B,0)),1)&amp;"''","")</f>
        <v/>
      </c>
      <c r="J1246" s="3" t="str">
        <f>IFERROR(IF(INDEX('PROJETO PERFURAÇÃO'!$P:$P,MATCH(MEDIÇÃO!K1246,'PROJETO PERFURAÇÃO'!$B:$B,0))="Production","P",IF(INDEX('PROJETO PERFURAÇÃO'!$P:$P,MATCH(MEDIÇÃO!K1246,'PROJETO PERFURAÇÃO'!$B:$B,0))="Buffer","B",IF(INDEX('PROJETO PERFURAÇÃO'!$P:$P,MATCH(MEDIÇÃO!K1246,'PROJETO PERFURAÇÃO'!$B:$B,0))="Pre-Splitting","S"))),"")</f>
        <v/>
      </c>
      <c r="K1246" s="14">
        <f>K1245+1</f>
        <v>2785</v>
      </c>
      <c r="L1246" s="4" t="str">
        <f>IFERROR(INDEX('LEV R&amp;D'!$D:$D,MATCH(MEDIÇÃO!K1246,'LEV R&amp;D'!$A:$A,0))-INDEX('PROJETO PERFURAÇÃO'!$AH:$AH,MATCH(MEDIÇÃO!K1246,'PROJETO PERFURAÇÃO'!$B:$B,0)),"")</f>
        <v/>
      </c>
      <c r="M1246" s="8" t="str">
        <f>IFERROR(INDEX('PROJETO PERFURAÇÃO'!$AN:$AN,MATCH(MEDIÇÃO!K1246,'PROJETO PERFURAÇÃO'!$B:$B,0)),"")</f>
        <v/>
      </c>
      <c r="N1246" s="3"/>
      <c r="O1246" s="3"/>
      <c r="P1246" s="3" t="str">
        <f>IFERROR(ROUND(INDEX('PROJETO PERFURAÇÃO'!$AB:$AB,MATCH(MEDIÇÃO!R1246,'PROJETO PERFURAÇÃO'!$B:$B,0)),1)&amp;"''","")</f>
        <v/>
      </c>
      <c r="Q1246" s="3" t="str">
        <f>IFERROR(IF(INDEX('PROJETO PERFURAÇÃO'!$P:$P,MATCH(MEDIÇÃO!R1246,'PROJETO PERFURAÇÃO'!$B:$B,0))="Production","P",IF(INDEX('PROJETO PERFURAÇÃO'!$P:$P,MATCH(MEDIÇÃO!R1246,'PROJETO PERFURAÇÃO'!$B:$B,0))="Buffer","B",IF(INDEX('PROJETO PERFURAÇÃO'!$P:$P,MATCH(MEDIÇÃO!R1246,'PROJETO PERFURAÇÃO'!$B:$B,0))="Pre-Splitting","S"))),"")</f>
        <v/>
      </c>
      <c r="R1246" s="14">
        <f>R1245+1</f>
        <v>2808</v>
      </c>
      <c r="S1246" s="4" t="str">
        <f>IFERROR(INDEX('LEV R&amp;D'!$D:$D,MATCH(MEDIÇÃO!R1246,'LEV R&amp;D'!$A:$A,0))-INDEX('PROJETO PERFURAÇÃO'!$AH:$AH,MATCH(MEDIÇÃO!R1246,'PROJETO PERFURAÇÃO'!$B:$B,0)),"")</f>
        <v/>
      </c>
      <c r="T1246" s="8" t="str">
        <f>IFERROR(INDEX('PROJETO PERFURAÇÃO'!$AN:$AN,MATCH(MEDIÇÃO!R1246,'PROJETO PERFURAÇÃO'!$B:$B,0)),"")</f>
        <v/>
      </c>
      <c r="U1246" s="3"/>
      <c r="V1246" s="3"/>
    </row>
    <row r="1247" spans="1:23" ht="45" customHeight="1">
      <c r="B1247" s="3" t="str">
        <f>IFERROR(ROUND(INDEX('PROJETO PERFURAÇÃO'!$AB:$AB,MATCH(MEDIÇÃO!D1247,'PROJETO PERFURAÇÃO'!$B:$B,0)),1)&amp;"''","")</f>
        <v/>
      </c>
      <c r="C1247" s="3" t="str">
        <f>IFERROR(IF(INDEX('PROJETO PERFURAÇÃO'!$P:$P,MATCH(MEDIÇÃO!D1247,'PROJETO PERFURAÇÃO'!$B:$B,0))="Production","P",IF(INDEX('PROJETO PERFURAÇÃO'!$P:$P,MATCH(MEDIÇÃO!D1247,'PROJETO PERFURAÇÃO'!$B:$B,0))="Buffer","B",IF(INDEX('PROJETO PERFURAÇÃO'!$P:$P,MATCH(MEDIÇÃO!D1247,'PROJETO PERFURAÇÃO'!$B:$B,0))="Pre-Splitting","S"))),"")</f>
        <v/>
      </c>
      <c r="D1247" s="14">
        <f t="shared" ref="D1247:D1267" si="120">D1246+1</f>
        <v>2763</v>
      </c>
      <c r="E1247" s="4" t="str">
        <f>IFERROR(INDEX('LEV R&amp;D'!$D:$D,MATCH(MEDIÇÃO!D1247,'LEV R&amp;D'!$A:$A,0))-INDEX('PROJETO PERFURAÇÃO'!$AH:$AH,MATCH(MEDIÇÃO!D1247,'PROJETO PERFURAÇÃO'!$B:$B,0)),"")</f>
        <v/>
      </c>
      <c r="F1247" s="8" t="str">
        <f>IFERROR(INDEX('PROJETO PERFURAÇÃO'!$AN:$AN,MATCH(MEDIÇÃO!D1247,'PROJETO PERFURAÇÃO'!$B:$B,0)),"")</f>
        <v/>
      </c>
      <c r="G1247" s="3"/>
      <c r="H1247" s="3"/>
      <c r="I1247" s="3" t="str">
        <f>IFERROR(ROUND(INDEX('PROJETO PERFURAÇÃO'!$AB:$AB,MATCH(MEDIÇÃO!K1247,'PROJETO PERFURAÇÃO'!$B:$B,0)),1)&amp;"''","")</f>
        <v/>
      </c>
      <c r="J1247" s="3" t="str">
        <f>IFERROR(IF(INDEX('PROJETO PERFURAÇÃO'!$P:$P,MATCH(MEDIÇÃO!K1247,'PROJETO PERFURAÇÃO'!$B:$B,0))="Production","P",IF(INDEX('PROJETO PERFURAÇÃO'!$P:$P,MATCH(MEDIÇÃO!K1247,'PROJETO PERFURAÇÃO'!$B:$B,0))="Buffer","B",IF(INDEX('PROJETO PERFURAÇÃO'!$P:$P,MATCH(MEDIÇÃO!K1247,'PROJETO PERFURAÇÃO'!$B:$B,0))="Pre-Splitting","S"))),"")</f>
        <v/>
      </c>
      <c r="K1247" s="14">
        <f t="shared" ref="K1247:K1266" si="121">K1246+1</f>
        <v>2786</v>
      </c>
      <c r="L1247" s="4" t="str">
        <f>IFERROR(INDEX('LEV R&amp;D'!$D:$D,MATCH(MEDIÇÃO!K1247,'LEV R&amp;D'!$A:$A,0))-INDEX('PROJETO PERFURAÇÃO'!$AH:$AH,MATCH(MEDIÇÃO!K1247,'PROJETO PERFURAÇÃO'!$B:$B,0)),"")</f>
        <v/>
      </c>
      <c r="M1247" s="8" t="str">
        <f>IFERROR(INDEX('PROJETO PERFURAÇÃO'!$AN:$AN,MATCH(MEDIÇÃO!K1247,'PROJETO PERFURAÇÃO'!$B:$B,0)),"")</f>
        <v/>
      </c>
      <c r="N1247" s="3"/>
      <c r="O1247" s="3"/>
      <c r="P1247" s="3" t="str">
        <f>IFERROR(ROUND(INDEX('PROJETO PERFURAÇÃO'!$AB:$AB,MATCH(MEDIÇÃO!R1247,'PROJETO PERFURAÇÃO'!$B:$B,0)),1)&amp;"''","")</f>
        <v/>
      </c>
      <c r="Q1247" s="3" t="str">
        <f>IFERROR(IF(INDEX('PROJETO PERFURAÇÃO'!$P:$P,MATCH(MEDIÇÃO!R1247,'PROJETO PERFURAÇÃO'!$B:$B,0))="Production","P",IF(INDEX('PROJETO PERFURAÇÃO'!$P:$P,MATCH(MEDIÇÃO!R1247,'PROJETO PERFURAÇÃO'!$B:$B,0))="Buffer","B",IF(INDEX('PROJETO PERFURAÇÃO'!$P:$P,MATCH(MEDIÇÃO!R1247,'PROJETO PERFURAÇÃO'!$B:$B,0))="Pre-Splitting","S"))),"")</f>
        <v/>
      </c>
      <c r="R1247" s="14">
        <f t="shared" ref="R1247:R1266" si="122">R1246+1</f>
        <v>2809</v>
      </c>
      <c r="S1247" s="4" t="str">
        <f>IFERROR(INDEX('LEV R&amp;D'!$D:$D,MATCH(MEDIÇÃO!R1247,'LEV R&amp;D'!$A:$A,0))-INDEX('PROJETO PERFURAÇÃO'!$AH:$AH,MATCH(MEDIÇÃO!R1247,'PROJETO PERFURAÇÃO'!$B:$B,0)),"")</f>
        <v/>
      </c>
      <c r="T1247" s="8" t="str">
        <f>IFERROR(INDEX('PROJETO PERFURAÇÃO'!$AN:$AN,MATCH(MEDIÇÃO!R1247,'PROJETO PERFURAÇÃO'!$B:$B,0)),"")</f>
        <v/>
      </c>
      <c r="U1247" s="3"/>
      <c r="V1247" s="3"/>
    </row>
    <row r="1248" spans="1:23" ht="45" customHeight="1">
      <c r="B1248" s="3" t="str">
        <f>IFERROR(ROUND(INDEX('PROJETO PERFURAÇÃO'!$AB:$AB,MATCH(MEDIÇÃO!D1248,'PROJETO PERFURAÇÃO'!$B:$B,0)),1)&amp;"''","")</f>
        <v/>
      </c>
      <c r="C1248" s="3" t="str">
        <f>IFERROR(IF(INDEX('PROJETO PERFURAÇÃO'!$P:$P,MATCH(MEDIÇÃO!D1248,'PROJETO PERFURAÇÃO'!$B:$B,0))="Production","P",IF(INDEX('PROJETO PERFURAÇÃO'!$P:$P,MATCH(MEDIÇÃO!D1248,'PROJETO PERFURAÇÃO'!$B:$B,0))="Buffer","B",IF(INDEX('PROJETO PERFURAÇÃO'!$P:$P,MATCH(MEDIÇÃO!D1248,'PROJETO PERFURAÇÃO'!$B:$B,0))="Pre-Splitting","S"))),"")</f>
        <v/>
      </c>
      <c r="D1248" s="14">
        <f t="shared" si="120"/>
        <v>2764</v>
      </c>
      <c r="E1248" s="4" t="str">
        <f>IFERROR(INDEX('LEV R&amp;D'!$D:$D,MATCH(MEDIÇÃO!D1248,'LEV R&amp;D'!$A:$A,0))-INDEX('PROJETO PERFURAÇÃO'!$AH:$AH,MATCH(MEDIÇÃO!D1248,'PROJETO PERFURAÇÃO'!$B:$B,0)),"")</f>
        <v/>
      </c>
      <c r="F1248" s="8" t="str">
        <f>IFERROR(INDEX('PROJETO PERFURAÇÃO'!$AN:$AN,MATCH(MEDIÇÃO!D1248,'PROJETO PERFURAÇÃO'!$B:$B,0)),"")</f>
        <v/>
      </c>
      <c r="G1248" s="3"/>
      <c r="H1248" s="3"/>
      <c r="I1248" s="3" t="str">
        <f>IFERROR(ROUND(INDEX('PROJETO PERFURAÇÃO'!$AB:$AB,MATCH(MEDIÇÃO!K1248,'PROJETO PERFURAÇÃO'!$B:$B,0)),1)&amp;"''","")</f>
        <v/>
      </c>
      <c r="J1248" s="3" t="str">
        <f>IFERROR(IF(INDEX('PROJETO PERFURAÇÃO'!$P:$P,MATCH(MEDIÇÃO!K1248,'PROJETO PERFURAÇÃO'!$B:$B,0))="Production","P",IF(INDEX('PROJETO PERFURAÇÃO'!$P:$P,MATCH(MEDIÇÃO!K1248,'PROJETO PERFURAÇÃO'!$B:$B,0))="Buffer","B",IF(INDEX('PROJETO PERFURAÇÃO'!$P:$P,MATCH(MEDIÇÃO!K1248,'PROJETO PERFURAÇÃO'!$B:$B,0))="Pre-Splitting","S"))),"")</f>
        <v/>
      </c>
      <c r="K1248" s="14">
        <f t="shared" si="121"/>
        <v>2787</v>
      </c>
      <c r="L1248" s="4" t="str">
        <f>IFERROR(INDEX('LEV R&amp;D'!$D:$D,MATCH(MEDIÇÃO!K1248,'LEV R&amp;D'!$A:$A,0))-INDEX('PROJETO PERFURAÇÃO'!$AH:$AH,MATCH(MEDIÇÃO!K1248,'PROJETO PERFURAÇÃO'!$B:$B,0)),"")</f>
        <v/>
      </c>
      <c r="M1248" s="8" t="str">
        <f>IFERROR(INDEX('PROJETO PERFURAÇÃO'!$AN:$AN,MATCH(MEDIÇÃO!K1248,'PROJETO PERFURAÇÃO'!$B:$B,0)),"")</f>
        <v/>
      </c>
      <c r="N1248" s="3"/>
      <c r="O1248" s="3"/>
      <c r="P1248" s="3" t="str">
        <f>IFERROR(ROUND(INDEX('PROJETO PERFURAÇÃO'!$AB:$AB,MATCH(MEDIÇÃO!R1248,'PROJETO PERFURAÇÃO'!$B:$B,0)),1)&amp;"''","")</f>
        <v/>
      </c>
      <c r="Q1248" s="3" t="str">
        <f>IFERROR(IF(INDEX('PROJETO PERFURAÇÃO'!$P:$P,MATCH(MEDIÇÃO!R1248,'PROJETO PERFURAÇÃO'!$B:$B,0))="Production","P",IF(INDEX('PROJETO PERFURAÇÃO'!$P:$P,MATCH(MEDIÇÃO!R1248,'PROJETO PERFURAÇÃO'!$B:$B,0))="Buffer","B",IF(INDEX('PROJETO PERFURAÇÃO'!$P:$P,MATCH(MEDIÇÃO!R1248,'PROJETO PERFURAÇÃO'!$B:$B,0))="Pre-Splitting","S"))),"")</f>
        <v/>
      </c>
      <c r="R1248" s="14">
        <f t="shared" si="122"/>
        <v>2810</v>
      </c>
      <c r="S1248" s="4" t="str">
        <f>IFERROR(INDEX('LEV R&amp;D'!$D:$D,MATCH(MEDIÇÃO!R1248,'LEV R&amp;D'!$A:$A,0))-INDEX('PROJETO PERFURAÇÃO'!$AH:$AH,MATCH(MEDIÇÃO!R1248,'PROJETO PERFURAÇÃO'!$B:$B,0)),"")</f>
        <v/>
      </c>
      <c r="T1248" s="8" t="str">
        <f>IFERROR(INDEX('PROJETO PERFURAÇÃO'!$AN:$AN,MATCH(MEDIÇÃO!R1248,'PROJETO PERFURAÇÃO'!$B:$B,0)),"")</f>
        <v/>
      </c>
      <c r="U1248" s="3"/>
      <c r="V1248" s="3"/>
    </row>
    <row r="1249" spans="2:22" ht="45" customHeight="1">
      <c r="B1249" s="3" t="str">
        <f>IFERROR(ROUND(INDEX('PROJETO PERFURAÇÃO'!$AB:$AB,MATCH(MEDIÇÃO!D1249,'PROJETO PERFURAÇÃO'!$B:$B,0)),1)&amp;"''","")</f>
        <v/>
      </c>
      <c r="C1249" s="3" t="str">
        <f>IFERROR(IF(INDEX('PROJETO PERFURAÇÃO'!$P:$P,MATCH(MEDIÇÃO!D1249,'PROJETO PERFURAÇÃO'!$B:$B,0))="Production","P",IF(INDEX('PROJETO PERFURAÇÃO'!$P:$P,MATCH(MEDIÇÃO!D1249,'PROJETO PERFURAÇÃO'!$B:$B,0))="Buffer","B",IF(INDEX('PROJETO PERFURAÇÃO'!$P:$P,MATCH(MEDIÇÃO!D1249,'PROJETO PERFURAÇÃO'!$B:$B,0))="Pre-Splitting","S"))),"")</f>
        <v/>
      </c>
      <c r="D1249" s="14">
        <f t="shared" si="120"/>
        <v>2765</v>
      </c>
      <c r="E1249" s="4" t="str">
        <f>IFERROR(INDEX('LEV R&amp;D'!$D:$D,MATCH(MEDIÇÃO!D1249,'LEV R&amp;D'!$A:$A,0))-INDEX('PROJETO PERFURAÇÃO'!$AH:$AH,MATCH(MEDIÇÃO!D1249,'PROJETO PERFURAÇÃO'!$B:$B,0)),"")</f>
        <v/>
      </c>
      <c r="F1249" s="8" t="str">
        <f>IFERROR(INDEX('PROJETO PERFURAÇÃO'!$AN:$AN,MATCH(MEDIÇÃO!D1249,'PROJETO PERFURAÇÃO'!$B:$B,0)),"")</f>
        <v/>
      </c>
      <c r="G1249" s="3"/>
      <c r="H1249" s="3"/>
      <c r="I1249" s="3" t="str">
        <f>IFERROR(ROUND(INDEX('PROJETO PERFURAÇÃO'!$AB:$AB,MATCH(MEDIÇÃO!K1249,'PROJETO PERFURAÇÃO'!$B:$B,0)),1)&amp;"''","")</f>
        <v/>
      </c>
      <c r="J1249" s="3" t="str">
        <f>IFERROR(IF(INDEX('PROJETO PERFURAÇÃO'!$P:$P,MATCH(MEDIÇÃO!K1249,'PROJETO PERFURAÇÃO'!$B:$B,0))="Production","P",IF(INDEX('PROJETO PERFURAÇÃO'!$P:$P,MATCH(MEDIÇÃO!K1249,'PROJETO PERFURAÇÃO'!$B:$B,0))="Buffer","B",IF(INDEX('PROJETO PERFURAÇÃO'!$P:$P,MATCH(MEDIÇÃO!K1249,'PROJETO PERFURAÇÃO'!$B:$B,0))="Pre-Splitting","S"))),"")</f>
        <v/>
      </c>
      <c r="K1249" s="14">
        <f t="shared" si="121"/>
        <v>2788</v>
      </c>
      <c r="L1249" s="4" t="str">
        <f>IFERROR(INDEX('LEV R&amp;D'!$D:$D,MATCH(MEDIÇÃO!K1249,'LEV R&amp;D'!$A:$A,0))-INDEX('PROJETO PERFURAÇÃO'!$AH:$AH,MATCH(MEDIÇÃO!K1249,'PROJETO PERFURAÇÃO'!$B:$B,0)),"")</f>
        <v/>
      </c>
      <c r="M1249" s="8" t="str">
        <f>IFERROR(INDEX('PROJETO PERFURAÇÃO'!$AN:$AN,MATCH(MEDIÇÃO!K1249,'PROJETO PERFURAÇÃO'!$B:$B,0)),"")</f>
        <v/>
      </c>
      <c r="N1249" s="3"/>
      <c r="O1249" s="3"/>
      <c r="P1249" s="3" t="str">
        <f>IFERROR(ROUND(INDEX('PROJETO PERFURAÇÃO'!$AB:$AB,MATCH(MEDIÇÃO!R1249,'PROJETO PERFURAÇÃO'!$B:$B,0)),1)&amp;"''","")</f>
        <v/>
      </c>
      <c r="Q1249" s="3" t="str">
        <f>IFERROR(IF(INDEX('PROJETO PERFURAÇÃO'!$P:$P,MATCH(MEDIÇÃO!R1249,'PROJETO PERFURAÇÃO'!$B:$B,0))="Production","P",IF(INDEX('PROJETO PERFURAÇÃO'!$P:$P,MATCH(MEDIÇÃO!R1249,'PROJETO PERFURAÇÃO'!$B:$B,0))="Buffer","B",IF(INDEX('PROJETO PERFURAÇÃO'!$P:$P,MATCH(MEDIÇÃO!R1249,'PROJETO PERFURAÇÃO'!$B:$B,0))="Pre-Splitting","S"))),"")</f>
        <v/>
      </c>
      <c r="R1249" s="14">
        <f t="shared" si="122"/>
        <v>2811</v>
      </c>
      <c r="S1249" s="4" t="str">
        <f>IFERROR(INDEX('LEV R&amp;D'!$D:$D,MATCH(MEDIÇÃO!R1249,'LEV R&amp;D'!$A:$A,0))-INDEX('PROJETO PERFURAÇÃO'!$AH:$AH,MATCH(MEDIÇÃO!R1249,'PROJETO PERFURAÇÃO'!$B:$B,0)),"")</f>
        <v/>
      </c>
      <c r="T1249" s="8" t="str">
        <f>IFERROR(INDEX('PROJETO PERFURAÇÃO'!$AN:$AN,MATCH(MEDIÇÃO!R1249,'PROJETO PERFURAÇÃO'!$B:$B,0)),"")</f>
        <v/>
      </c>
      <c r="U1249" s="3"/>
      <c r="V1249" s="3"/>
    </row>
    <row r="1250" spans="2:22" ht="45" customHeight="1">
      <c r="B1250" s="3" t="str">
        <f>IFERROR(ROUND(INDEX('PROJETO PERFURAÇÃO'!$AB:$AB,MATCH(MEDIÇÃO!D1250,'PROJETO PERFURAÇÃO'!$B:$B,0)),1)&amp;"''","")</f>
        <v/>
      </c>
      <c r="C1250" s="3" t="str">
        <f>IFERROR(IF(INDEX('PROJETO PERFURAÇÃO'!$P:$P,MATCH(MEDIÇÃO!D1250,'PROJETO PERFURAÇÃO'!$B:$B,0))="Production","P",IF(INDEX('PROJETO PERFURAÇÃO'!$P:$P,MATCH(MEDIÇÃO!D1250,'PROJETO PERFURAÇÃO'!$B:$B,0))="Buffer","B",IF(INDEX('PROJETO PERFURAÇÃO'!$P:$P,MATCH(MEDIÇÃO!D1250,'PROJETO PERFURAÇÃO'!$B:$B,0))="Pre-Splitting","S"))),"")</f>
        <v/>
      </c>
      <c r="D1250" s="14">
        <f t="shared" si="120"/>
        <v>2766</v>
      </c>
      <c r="E1250" s="4" t="str">
        <f>IFERROR(INDEX('LEV R&amp;D'!$D:$D,MATCH(MEDIÇÃO!D1250,'LEV R&amp;D'!$A:$A,0))-INDEX('PROJETO PERFURAÇÃO'!$AH:$AH,MATCH(MEDIÇÃO!D1250,'PROJETO PERFURAÇÃO'!$B:$B,0)),"")</f>
        <v/>
      </c>
      <c r="F1250" s="8" t="str">
        <f>IFERROR(INDEX('PROJETO PERFURAÇÃO'!$AN:$AN,MATCH(MEDIÇÃO!D1250,'PROJETO PERFURAÇÃO'!$B:$B,0)),"")</f>
        <v/>
      </c>
      <c r="G1250" s="3"/>
      <c r="H1250" s="3"/>
      <c r="I1250" s="3" t="str">
        <f>IFERROR(ROUND(INDEX('PROJETO PERFURAÇÃO'!$AB:$AB,MATCH(MEDIÇÃO!K1250,'PROJETO PERFURAÇÃO'!$B:$B,0)),1)&amp;"''","")</f>
        <v/>
      </c>
      <c r="J1250" s="3" t="str">
        <f>IFERROR(IF(INDEX('PROJETO PERFURAÇÃO'!$P:$P,MATCH(MEDIÇÃO!K1250,'PROJETO PERFURAÇÃO'!$B:$B,0))="Production","P",IF(INDEX('PROJETO PERFURAÇÃO'!$P:$P,MATCH(MEDIÇÃO!K1250,'PROJETO PERFURAÇÃO'!$B:$B,0))="Buffer","B",IF(INDEX('PROJETO PERFURAÇÃO'!$P:$P,MATCH(MEDIÇÃO!K1250,'PROJETO PERFURAÇÃO'!$B:$B,0))="Pre-Splitting","S"))),"")</f>
        <v/>
      </c>
      <c r="K1250" s="14">
        <f t="shared" si="121"/>
        <v>2789</v>
      </c>
      <c r="L1250" s="4" t="str">
        <f>IFERROR(INDEX('LEV R&amp;D'!$D:$D,MATCH(MEDIÇÃO!K1250,'LEV R&amp;D'!$A:$A,0))-INDEX('PROJETO PERFURAÇÃO'!$AH:$AH,MATCH(MEDIÇÃO!K1250,'PROJETO PERFURAÇÃO'!$B:$B,0)),"")</f>
        <v/>
      </c>
      <c r="M1250" s="8" t="str">
        <f>IFERROR(INDEX('PROJETO PERFURAÇÃO'!$AN:$AN,MATCH(MEDIÇÃO!K1250,'PROJETO PERFURAÇÃO'!$B:$B,0)),"")</f>
        <v/>
      </c>
      <c r="N1250" s="3"/>
      <c r="O1250" s="3"/>
      <c r="P1250" s="3" t="str">
        <f>IFERROR(ROUND(INDEX('PROJETO PERFURAÇÃO'!$AB:$AB,MATCH(MEDIÇÃO!R1250,'PROJETO PERFURAÇÃO'!$B:$B,0)),1)&amp;"''","")</f>
        <v/>
      </c>
      <c r="Q1250" s="3" t="str">
        <f>IFERROR(IF(INDEX('PROJETO PERFURAÇÃO'!$P:$P,MATCH(MEDIÇÃO!R1250,'PROJETO PERFURAÇÃO'!$B:$B,0))="Production","P",IF(INDEX('PROJETO PERFURAÇÃO'!$P:$P,MATCH(MEDIÇÃO!R1250,'PROJETO PERFURAÇÃO'!$B:$B,0))="Buffer","B",IF(INDEX('PROJETO PERFURAÇÃO'!$P:$P,MATCH(MEDIÇÃO!R1250,'PROJETO PERFURAÇÃO'!$B:$B,0))="Pre-Splitting","S"))),"")</f>
        <v/>
      </c>
      <c r="R1250" s="14">
        <f t="shared" si="122"/>
        <v>2812</v>
      </c>
      <c r="S1250" s="4" t="str">
        <f>IFERROR(INDEX('LEV R&amp;D'!$D:$D,MATCH(MEDIÇÃO!R1250,'LEV R&amp;D'!$A:$A,0))-INDEX('PROJETO PERFURAÇÃO'!$AH:$AH,MATCH(MEDIÇÃO!R1250,'PROJETO PERFURAÇÃO'!$B:$B,0)),"")</f>
        <v/>
      </c>
      <c r="T1250" s="8" t="str">
        <f>IFERROR(INDEX('PROJETO PERFURAÇÃO'!$AN:$AN,MATCH(MEDIÇÃO!R1250,'PROJETO PERFURAÇÃO'!$B:$B,0)),"")</f>
        <v/>
      </c>
      <c r="U1250" s="3"/>
      <c r="V1250" s="3"/>
    </row>
    <row r="1251" spans="2:22" ht="45" customHeight="1">
      <c r="B1251" s="3" t="str">
        <f>IFERROR(ROUND(INDEX('PROJETO PERFURAÇÃO'!$AB:$AB,MATCH(MEDIÇÃO!D1251,'PROJETO PERFURAÇÃO'!$B:$B,0)),1)&amp;"''","")</f>
        <v/>
      </c>
      <c r="C1251" s="3" t="str">
        <f>IFERROR(IF(INDEX('PROJETO PERFURAÇÃO'!$P:$P,MATCH(MEDIÇÃO!D1251,'PROJETO PERFURAÇÃO'!$B:$B,0))="Production","P",IF(INDEX('PROJETO PERFURAÇÃO'!$P:$P,MATCH(MEDIÇÃO!D1251,'PROJETO PERFURAÇÃO'!$B:$B,0))="Buffer","B",IF(INDEX('PROJETO PERFURAÇÃO'!$P:$P,MATCH(MEDIÇÃO!D1251,'PROJETO PERFURAÇÃO'!$B:$B,0))="Pre-Splitting","S"))),"")</f>
        <v/>
      </c>
      <c r="D1251" s="14">
        <f t="shared" si="120"/>
        <v>2767</v>
      </c>
      <c r="E1251" s="4" t="str">
        <f>IFERROR(INDEX('LEV R&amp;D'!$D:$D,MATCH(MEDIÇÃO!D1251,'LEV R&amp;D'!$A:$A,0))-INDEX('PROJETO PERFURAÇÃO'!$AH:$AH,MATCH(MEDIÇÃO!D1251,'PROJETO PERFURAÇÃO'!$B:$B,0)),"")</f>
        <v/>
      </c>
      <c r="F1251" s="8" t="str">
        <f>IFERROR(INDEX('PROJETO PERFURAÇÃO'!$AN:$AN,MATCH(MEDIÇÃO!D1251,'PROJETO PERFURAÇÃO'!$B:$B,0)),"")</f>
        <v/>
      </c>
      <c r="G1251" s="3"/>
      <c r="H1251" s="3"/>
      <c r="I1251" s="3" t="str">
        <f>IFERROR(ROUND(INDEX('PROJETO PERFURAÇÃO'!$AB:$AB,MATCH(MEDIÇÃO!K1251,'PROJETO PERFURAÇÃO'!$B:$B,0)),1)&amp;"''","")</f>
        <v/>
      </c>
      <c r="J1251" s="3" t="str">
        <f>IFERROR(IF(INDEX('PROJETO PERFURAÇÃO'!$P:$P,MATCH(MEDIÇÃO!K1251,'PROJETO PERFURAÇÃO'!$B:$B,0))="Production","P",IF(INDEX('PROJETO PERFURAÇÃO'!$P:$P,MATCH(MEDIÇÃO!K1251,'PROJETO PERFURAÇÃO'!$B:$B,0))="Buffer","B",IF(INDEX('PROJETO PERFURAÇÃO'!$P:$P,MATCH(MEDIÇÃO!K1251,'PROJETO PERFURAÇÃO'!$B:$B,0))="Pre-Splitting","S"))),"")</f>
        <v/>
      </c>
      <c r="K1251" s="14">
        <f t="shared" si="121"/>
        <v>2790</v>
      </c>
      <c r="L1251" s="4" t="str">
        <f>IFERROR(INDEX('LEV R&amp;D'!$D:$D,MATCH(MEDIÇÃO!K1251,'LEV R&amp;D'!$A:$A,0))-INDEX('PROJETO PERFURAÇÃO'!$AH:$AH,MATCH(MEDIÇÃO!K1251,'PROJETO PERFURAÇÃO'!$B:$B,0)),"")</f>
        <v/>
      </c>
      <c r="M1251" s="8" t="str">
        <f>IFERROR(INDEX('PROJETO PERFURAÇÃO'!$AN:$AN,MATCH(MEDIÇÃO!K1251,'PROJETO PERFURAÇÃO'!$B:$B,0)),"")</f>
        <v/>
      </c>
      <c r="N1251" s="3"/>
      <c r="O1251" s="3"/>
      <c r="P1251" s="3" t="str">
        <f>IFERROR(ROUND(INDEX('PROJETO PERFURAÇÃO'!$AB:$AB,MATCH(MEDIÇÃO!R1251,'PROJETO PERFURAÇÃO'!$B:$B,0)),1)&amp;"''","")</f>
        <v/>
      </c>
      <c r="Q1251" s="3" t="str">
        <f>IFERROR(IF(INDEX('PROJETO PERFURAÇÃO'!$P:$P,MATCH(MEDIÇÃO!R1251,'PROJETO PERFURAÇÃO'!$B:$B,0))="Production","P",IF(INDEX('PROJETO PERFURAÇÃO'!$P:$P,MATCH(MEDIÇÃO!R1251,'PROJETO PERFURAÇÃO'!$B:$B,0))="Buffer","B",IF(INDEX('PROJETO PERFURAÇÃO'!$P:$P,MATCH(MEDIÇÃO!R1251,'PROJETO PERFURAÇÃO'!$B:$B,0))="Pre-Splitting","S"))),"")</f>
        <v/>
      </c>
      <c r="R1251" s="14">
        <f t="shared" si="122"/>
        <v>2813</v>
      </c>
      <c r="S1251" s="4" t="str">
        <f>IFERROR(INDEX('LEV R&amp;D'!$D:$D,MATCH(MEDIÇÃO!R1251,'LEV R&amp;D'!$A:$A,0))-INDEX('PROJETO PERFURAÇÃO'!$AH:$AH,MATCH(MEDIÇÃO!R1251,'PROJETO PERFURAÇÃO'!$B:$B,0)),"")</f>
        <v/>
      </c>
      <c r="T1251" s="8" t="str">
        <f>IFERROR(INDEX('PROJETO PERFURAÇÃO'!$AN:$AN,MATCH(MEDIÇÃO!R1251,'PROJETO PERFURAÇÃO'!$B:$B,0)),"")</f>
        <v/>
      </c>
      <c r="U1251" s="3"/>
      <c r="V1251" s="3"/>
    </row>
    <row r="1252" spans="2:22" ht="45" customHeight="1">
      <c r="B1252" s="3" t="str">
        <f>IFERROR(ROUND(INDEX('PROJETO PERFURAÇÃO'!$AB:$AB,MATCH(MEDIÇÃO!D1252,'PROJETO PERFURAÇÃO'!$B:$B,0)),1)&amp;"''","")</f>
        <v/>
      </c>
      <c r="C1252" s="3" t="str">
        <f>IFERROR(IF(INDEX('PROJETO PERFURAÇÃO'!$P:$P,MATCH(MEDIÇÃO!D1252,'PROJETO PERFURAÇÃO'!$B:$B,0))="Production","P",IF(INDEX('PROJETO PERFURAÇÃO'!$P:$P,MATCH(MEDIÇÃO!D1252,'PROJETO PERFURAÇÃO'!$B:$B,0))="Buffer","B",IF(INDEX('PROJETO PERFURAÇÃO'!$P:$P,MATCH(MEDIÇÃO!D1252,'PROJETO PERFURAÇÃO'!$B:$B,0))="Pre-Splitting","S"))),"")</f>
        <v/>
      </c>
      <c r="D1252" s="14">
        <f t="shared" si="120"/>
        <v>2768</v>
      </c>
      <c r="E1252" s="4" t="str">
        <f>IFERROR(INDEX('LEV R&amp;D'!$D:$D,MATCH(MEDIÇÃO!D1252,'LEV R&amp;D'!$A:$A,0))-INDEX('PROJETO PERFURAÇÃO'!$AH:$AH,MATCH(MEDIÇÃO!D1252,'PROJETO PERFURAÇÃO'!$B:$B,0)),"")</f>
        <v/>
      </c>
      <c r="F1252" s="8" t="str">
        <f>IFERROR(INDEX('PROJETO PERFURAÇÃO'!$AN:$AN,MATCH(MEDIÇÃO!D1252,'PROJETO PERFURAÇÃO'!$B:$B,0)),"")</f>
        <v/>
      </c>
      <c r="G1252" s="3"/>
      <c r="H1252" s="3"/>
      <c r="I1252" s="3" t="str">
        <f>IFERROR(ROUND(INDEX('PROJETO PERFURAÇÃO'!$AB:$AB,MATCH(MEDIÇÃO!K1252,'PROJETO PERFURAÇÃO'!$B:$B,0)),1)&amp;"''","")</f>
        <v/>
      </c>
      <c r="J1252" s="3" t="str">
        <f>IFERROR(IF(INDEX('PROJETO PERFURAÇÃO'!$P:$P,MATCH(MEDIÇÃO!K1252,'PROJETO PERFURAÇÃO'!$B:$B,0))="Production","P",IF(INDEX('PROJETO PERFURAÇÃO'!$P:$P,MATCH(MEDIÇÃO!K1252,'PROJETO PERFURAÇÃO'!$B:$B,0))="Buffer","B",IF(INDEX('PROJETO PERFURAÇÃO'!$P:$P,MATCH(MEDIÇÃO!K1252,'PROJETO PERFURAÇÃO'!$B:$B,0))="Pre-Splitting","S"))),"")</f>
        <v/>
      </c>
      <c r="K1252" s="14">
        <f t="shared" si="121"/>
        <v>2791</v>
      </c>
      <c r="L1252" s="4" t="str">
        <f>IFERROR(INDEX('LEV R&amp;D'!$D:$D,MATCH(MEDIÇÃO!K1252,'LEV R&amp;D'!$A:$A,0))-INDEX('PROJETO PERFURAÇÃO'!$AH:$AH,MATCH(MEDIÇÃO!K1252,'PROJETO PERFURAÇÃO'!$B:$B,0)),"")</f>
        <v/>
      </c>
      <c r="M1252" s="8" t="str">
        <f>IFERROR(INDEX('PROJETO PERFURAÇÃO'!$AN:$AN,MATCH(MEDIÇÃO!K1252,'PROJETO PERFURAÇÃO'!$B:$B,0)),"")</f>
        <v/>
      </c>
      <c r="N1252" s="3"/>
      <c r="O1252" s="3"/>
      <c r="P1252" s="3" t="str">
        <f>IFERROR(ROUND(INDEX('PROJETO PERFURAÇÃO'!$AB:$AB,MATCH(MEDIÇÃO!R1252,'PROJETO PERFURAÇÃO'!$B:$B,0)),1)&amp;"''","")</f>
        <v/>
      </c>
      <c r="Q1252" s="3" t="str">
        <f>IFERROR(IF(INDEX('PROJETO PERFURAÇÃO'!$P:$P,MATCH(MEDIÇÃO!R1252,'PROJETO PERFURAÇÃO'!$B:$B,0))="Production","P",IF(INDEX('PROJETO PERFURAÇÃO'!$P:$P,MATCH(MEDIÇÃO!R1252,'PROJETO PERFURAÇÃO'!$B:$B,0))="Buffer","B",IF(INDEX('PROJETO PERFURAÇÃO'!$P:$P,MATCH(MEDIÇÃO!R1252,'PROJETO PERFURAÇÃO'!$B:$B,0))="Pre-Splitting","S"))),"")</f>
        <v/>
      </c>
      <c r="R1252" s="14">
        <f t="shared" si="122"/>
        <v>2814</v>
      </c>
      <c r="S1252" s="4" t="str">
        <f>IFERROR(INDEX('LEV R&amp;D'!$D:$D,MATCH(MEDIÇÃO!R1252,'LEV R&amp;D'!$A:$A,0))-INDEX('PROJETO PERFURAÇÃO'!$AH:$AH,MATCH(MEDIÇÃO!R1252,'PROJETO PERFURAÇÃO'!$B:$B,0)),"")</f>
        <v/>
      </c>
      <c r="T1252" s="8" t="str">
        <f>IFERROR(INDEX('PROJETO PERFURAÇÃO'!$AN:$AN,MATCH(MEDIÇÃO!R1252,'PROJETO PERFURAÇÃO'!$B:$B,0)),"")</f>
        <v/>
      </c>
      <c r="U1252" s="3"/>
      <c r="V1252" s="3"/>
    </row>
    <row r="1253" spans="2:22" ht="45" customHeight="1">
      <c r="B1253" s="3" t="str">
        <f>IFERROR(ROUND(INDEX('PROJETO PERFURAÇÃO'!$AB:$AB,MATCH(MEDIÇÃO!D1253,'PROJETO PERFURAÇÃO'!$B:$B,0)),1)&amp;"''","")</f>
        <v/>
      </c>
      <c r="C1253" s="3" t="str">
        <f>IFERROR(IF(INDEX('PROJETO PERFURAÇÃO'!$P:$P,MATCH(MEDIÇÃO!D1253,'PROJETO PERFURAÇÃO'!$B:$B,0))="Production","P",IF(INDEX('PROJETO PERFURAÇÃO'!$P:$P,MATCH(MEDIÇÃO!D1253,'PROJETO PERFURAÇÃO'!$B:$B,0))="Buffer","B",IF(INDEX('PROJETO PERFURAÇÃO'!$P:$P,MATCH(MEDIÇÃO!D1253,'PROJETO PERFURAÇÃO'!$B:$B,0))="Pre-Splitting","S"))),"")</f>
        <v/>
      </c>
      <c r="D1253" s="14">
        <f t="shared" si="120"/>
        <v>2769</v>
      </c>
      <c r="E1253" s="4" t="str">
        <f>IFERROR(INDEX('LEV R&amp;D'!$D:$D,MATCH(MEDIÇÃO!D1253,'LEV R&amp;D'!$A:$A,0))-INDEX('PROJETO PERFURAÇÃO'!$AH:$AH,MATCH(MEDIÇÃO!D1253,'PROJETO PERFURAÇÃO'!$B:$B,0)),"")</f>
        <v/>
      </c>
      <c r="F1253" s="8" t="str">
        <f>IFERROR(INDEX('PROJETO PERFURAÇÃO'!$AN:$AN,MATCH(MEDIÇÃO!D1253,'PROJETO PERFURAÇÃO'!$B:$B,0)),"")</f>
        <v/>
      </c>
      <c r="G1253" s="3"/>
      <c r="H1253" s="3"/>
      <c r="I1253" s="3" t="str">
        <f>IFERROR(ROUND(INDEX('PROJETO PERFURAÇÃO'!$AB:$AB,MATCH(MEDIÇÃO!K1253,'PROJETO PERFURAÇÃO'!$B:$B,0)),1)&amp;"''","")</f>
        <v/>
      </c>
      <c r="J1253" s="3" t="str">
        <f>IFERROR(IF(INDEX('PROJETO PERFURAÇÃO'!$P:$P,MATCH(MEDIÇÃO!K1253,'PROJETO PERFURAÇÃO'!$B:$B,0))="Production","P",IF(INDEX('PROJETO PERFURAÇÃO'!$P:$P,MATCH(MEDIÇÃO!K1253,'PROJETO PERFURAÇÃO'!$B:$B,0))="Buffer","B",IF(INDEX('PROJETO PERFURAÇÃO'!$P:$P,MATCH(MEDIÇÃO!K1253,'PROJETO PERFURAÇÃO'!$B:$B,0))="Pre-Splitting","S"))),"")</f>
        <v/>
      </c>
      <c r="K1253" s="14">
        <f t="shared" si="121"/>
        <v>2792</v>
      </c>
      <c r="L1253" s="4" t="str">
        <f>IFERROR(INDEX('LEV R&amp;D'!$D:$D,MATCH(MEDIÇÃO!K1253,'LEV R&amp;D'!$A:$A,0))-INDEX('PROJETO PERFURAÇÃO'!$AH:$AH,MATCH(MEDIÇÃO!K1253,'PROJETO PERFURAÇÃO'!$B:$B,0)),"")</f>
        <v/>
      </c>
      <c r="M1253" s="8" t="str">
        <f>IFERROR(INDEX('PROJETO PERFURAÇÃO'!$AN:$AN,MATCH(MEDIÇÃO!K1253,'PROJETO PERFURAÇÃO'!$B:$B,0)),"")</f>
        <v/>
      </c>
      <c r="N1253" s="3"/>
      <c r="O1253" s="3"/>
      <c r="P1253" s="3" t="str">
        <f>IFERROR(ROUND(INDEX('PROJETO PERFURAÇÃO'!$AB:$AB,MATCH(MEDIÇÃO!R1253,'PROJETO PERFURAÇÃO'!$B:$B,0)),1)&amp;"''","")</f>
        <v/>
      </c>
      <c r="Q1253" s="3" t="str">
        <f>IFERROR(IF(INDEX('PROJETO PERFURAÇÃO'!$P:$P,MATCH(MEDIÇÃO!R1253,'PROJETO PERFURAÇÃO'!$B:$B,0))="Production","P",IF(INDEX('PROJETO PERFURAÇÃO'!$P:$P,MATCH(MEDIÇÃO!R1253,'PROJETO PERFURAÇÃO'!$B:$B,0))="Buffer","B",IF(INDEX('PROJETO PERFURAÇÃO'!$P:$P,MATCH(MEDIÇÃO!R1253,'PROJETO PERFURAÇÃO'!$B:$B,0))="Pre-Splitting","S"))),"")</f>
        <v/>
      </c>
      <c r="R1253" s="14">
        <f t="shared" si="122"/>
        <v>2815</v>
      </c>
      <c r="S1253" s="4" t="str">
        <f>IFERROR(INDEX('LEV R&amp;D'!$D:$D,MATCH(MEDIÇÃO!R1253,'LEV R&amp;D'!$A:$A,0))-INDEX('PROJETO PERFURAÇÃO'!$AH:$AH,MATCH(MEDIÇÃO!R1253,'PROJETO PERFURAÇÃO'!$B:$B,0)),"")</f>
        <v/>
      </c>
      <c r="T1253" s="8" t="str">
        <f>IFERROR(INDEX('PROJETO PERFURAÇÃO'!$AN:$AN,MATCH(MEDIÇÃO!R1253,'PROJETO PERFURAÇÃO'!$B:$B,0)),"")</f>
        <v/>
      </c>
      <c r="U1253" s="3"/>
      <c r="V1253" s="3"/>
    </row>
    <row r="1254" spans="2:22" ht="45" customHeight="1">
      <c r="B1254" s="3" t="str">
        <f>IFERROR(ROUND(INDEX('PROJETO PERFURAÇÃO'!$AB:$AB,MATCH(MEDIÇÃO!D1254,'PROJETO PERFURAÇÃO'!$B:$B,0)),1)&amp;"''","")</f>
        <v/>
      </c>
      <c r="C1254" s="3" t="str">
        <f>IFERROR(IF(INDEX('PROJETO PERFURAÇÃO'!$P:$P,MATCH(MEDIÇÃO!D1254,'PROJETO PERFURAÇÃO'!$B:$B,0))="Production","P",IF(INDEX('PROJETO PERFURAÇÃO'!$P:$P,MATCH(MEDIÇÃO!D1254,'PROJETO PERFURAÇÃO'!$B:$B,0))="Buffer","B",IF(INDEX('PROJETO PERFURAÇÃO'!$P:$P,MATCH(MEDIÇÃO!D1254,'PROJETO PERFURAÇÃO'!$B:$B,0))="Pre-Splitting","S"))),"")</f>
        <v/>
      </c>
      <c r="D1254" s="14">
        <f t="shared" si="120"/>
        <v>2770</v>
      </c>
      <c r="E1254" s="4" t="str">
        <f>IFERROR(INDEX('LEV R&amp;D'!$D:$D,MATCH(MEDIÇÃO!D1254,'LEV R&amp;D'!$A:$A,0))-INDEX('PROJETO PERFURAÇÃO'!$AH:$AH,MATCH(MEDIÇÃO!D1254,'PROJETO PERFURAÇÃO'!$B:$B,0)),"")</f>
        <v/>
      </c>
      <c r="F1254" s="8" t="str">
        <f>IFERROR(INDEX('PROJETO PERFURAÇÃO'!$AN:$AN,MATCH(MEDIÇÃO!D1254,'PROJETO PERFURAÇÃO'!$B:$B,0)),"")</f>
        <v/>
      </c>
      <c r="G1254" s="3"/>
      <c r="H1254" s="3"/>
      <c r="I1254" s="3" t="str">
        <f>IFERROR(ROUND(INDEX('PROJETO PERFURAÇÃO'!$AB:$AB,MATCH(MEDIÇÃO!K1254,'PROJETO PERFURAÇÃO'!$B:$B,0)),1)&amp;"''","")</f>
        <v/>
      </c>
      <c r="J1254" s="3" t="str">
        <f>IFERROR(IF(INDEX('PROJETO PERFURAÇÃO'!$P:$P,MATCH(MEDIÇÃO!K1254,'PROJETO PERFURAÇÃO'!$B:$B,0))="Production","P",IF(INDEX('PROJETO PERFURAÇÃO'!$P:$P,MATCH(MEDIÇÃO!K1254,'PROJETO PERFURAÇÃO'!$B:$B,0))="Buffer","B",IF(INDEX('PROJETO PERFURAÇÃO'!$P:$P,MATCH(MEDIÇÃO!K1254,'PROJETO PERFURAÇÃO'!$B:$B,0))="Pre-Splitting","S"))),"")</f>
        <v/>
      </c>
      <c r="K1254" s="14">
        <f t="shared" si="121"/>
        <v>2793</v>
      </c>
      <c r="L1254" s="4" t="str">
        <f>IFERROR(INDEX('LEV R&amp;D'!$D:$D,MATCH(MEDIÇÃO!K1254,'LEV R&amp;D'!$A:$A,0))-INDEX('PROJETO PERFURAÇÃO'!$AH:$AH,MATCH(MEDIÇÃO!K1254,'PROJETO PERFURAÇÃO'!$B:$B,0)),"")</f>
        <v/>
      </c>
      <c r="M1254" s="8" t="str">
        <f>IFERROR(INDEX('PROJETO PERFURAÇÃO'!$AN:$AN,MATCH(MEDIÇÃO!K1254,'PROJETO PERFURAÇÃO'!$B:$B,0)),"")</f>
        <v/>
      </c>
      <c r="N1254" s="3"/>
      <c r="O1254" s="3"/>
      <c r="P1254" s="3" t="str">
        <f>IFERROR(ROUND(INDEX('PROJETO PERFURAÇÃO'!$AB:$AB,MATCH(MEDIÇÃO!R1254,'PROJETO PERFURAÇÃO'!$B:$B,0)),1)&amp;"''","")</f>
        <v/>
      </c>
      <c r="Q1254" s="3" t="str">
        <f>IFERROR(IF(INDEX('PROJETO PERFURAÇÃO'!$P:$P,MATCH(MEDIÇÃO!R1254,'PROJETO PERFURAÇÃO'!$B:$B,0))="Production","P",IF(INDEX('PROJETO PERFURAÇÃO'!$P:$P,MATCH(MEDIÇÃO!R1254,'PROJETO PERFURAÇÃO'!$B:$B,0))="Buffer","B",IF(INDEX('PROJETO PERFURAÇÃO'!$P:$P,MATCH(MEDIÇÃO!R1254,'PROJETO PERFURAÇÃO'!$B:$B,0))="Pre-Splitting","S"))),"")</f>
        <v/>
      </c>
      <c r="R1254" s="14">
        <f t="shared" si="122"/>
        <v>2816</v>
      </c>
      <c r="S1254" s="4" t="str">
        <f>IFERROR(INDEX('LEV R&amp;D'!$D:$D,MATCH(MEDIÇÃO!R1254,'LEV R&amp;D'!$A:$A,0))-INDEX('PROJETO PERFURAÇÃO'!$AH:$AH,MATCH(MEDIÇÃO!R1254,'PROJETO PERFURAÇÃO'!$B:$B,0)),"")</f>
        <v/>
      </c>
      <c r="T1254" s="8" t="str">
        <f>IFERROR(INDEX('PROJETO PERFURAÇÃO'!$AN:$AN,MATCH(MEDIÇÃO!R1254,'PROJETO PERFURAÇÃO'!$B:$B,0)),"")</f>
        <v/>
      </c>
      <c r="U1254" s="3"/>
      <c r="V1254" s="3"/>
    </row>
    <row r="1255" spans="2:22" ht="45" customHeight="1">
      <c r="B1255" s="3" t="str">
        <f>IFERROR(ROUND(INDEX('PROJETO PERFURAÇÃO'!$AB:$AB,MATCH(MEDIÇÃO!D1255,'PROJETO PERFURAÇÃO'!$B:$B,0)),1)&amp;"''","")</f>
        <v/>
      </c>
      <c r="C1255" s="3" t="str">
        <f>IFERROR(IF(INDEX('PROJETO PERFURAÇÃO'!$P:$P,MATCH(MEDIÇÃO!D1255,'PROJETO PERFURAÇÃO'!$B:$B,0))="Production","P",IF(INDEX('PROJETO PERFURAÇÃO'!$P:$P,MATCH(MEDIÇÃO!D1255,'PROJETO PERFURAÇÃO'!$B:$B,0))="Buffer","B",IF(INDEX('PROJETO PERFURAÇÃO'!$P:$P,MATCH(MEDIÇÃO!D1255,'PROJETO PERFURAÇÃO'!$B:$B,0))="Pre-Splitting","S"))),"")</f>
        <v/>
      </c>
      <c r="D1255" s="14">
        <f t="shared" si="120"/>
        <v>2771</v>
      </c>
      <c r="E1255" s="4" t="str">
        <f>IFERROR(INDEX('LEV R&amp;D'!$D:$D,MATCH(MEDIÇÃO!D1255,'LEV R&amp;D'!$A:$A,0))-INDEX('PROJETO PERFURAÇÃO'!$AH:$AH,MATCH(MEDIÇÃO!D1255,'PROJETO PERFURAÇÃO'!$B:$B,0)),"")</f>
        <v/>
      </c>
      <c r="F1255" s="8" t="str">
        <f>IFERROR(INDEX('PROJETO PERFURAÇÃO'!$AN:$AN,MATCH(MEDIÇÃO!D1255,'PROJETO PERFURAÇÃO'!$B:$B,0)),"")</f>
        <v/>
      </c>
      <c r="G1255" s="3"/>
      <c r="H1255" s="3"/>
      <c r="I1255" s="3" t="str">
        <f>IFERROR(ROUND(INDEX('PROJETO PERFURAÇÃO'!$AB:$AB,MATCH(MEDIÇÃO!K1255,'PROJETO PERFURAÇÃO'!$B:$B,0)),1)&amp;"''","")</f>
        <v/>
      </c>
      <c r="J1255" s="3" t="str">
        <f>IFERROR(IF(INDEX('PROJETO PERFURAÇÃO'!$P:$P,MATCH(MEDIÇÃO!K1255,'PROJETO PERFURAÇÃO'!$B:$B,0))="Production","P",IF(INDEX('PROJETO PERFURAÇÃO'!$P:$P,MATCH(MEDIÇÃO!K1255,'PROJETO PERFURAÇÃO'!$B:$B,0))="Buffer","B",IF(INDEX('PROJETO PERFURAÇÃO'!$P:$P,MATCH(MEDIÇÃO!K1255,'PROJETO PERFURAÇÃO'!$B:$B,0))="Pre-Splitting","S"))),"")</f>
        <v/>
      </c>
      <c r="K1255" s="14">
        <f t="shared" si="121"/>
        <v>2794</v>
      </c>
      <c r="L1255" s="4" t="str">
        <f>IFERROR(INDEX('LEV R&amp;D'!$D:$D,MATCH(MEDIÇÃO!K1255,'LEV R&amp;D'!$A:$A,0))-INDEX('PROJETO PERFURAÇÃO'!$AH:$AH,MATCH(MEDIÇÃO!K1255,'PROJETO PERFURAÇÃO'!$B:$B,0)),"")</f>
        <v/>
      </c>
      <c r="M1255" s="8" t="str">
        <f>IFERROR(INDEX('PROJETO PERFURAÇÃO'!$AN:$AN,MATCH(MEDIÇÃO!K1255,'PROJETO PERFURAÇÃO'!$B:$B,0)),"")</f>
        <v/>
      </c>
      <c r="N1255" s="3"/>
      <c r="O1255" s="3"/>
      <c r="P1255" s="3" t="str">
        <f>IFERROR(ROUND(INDEX('PROJETO PERFURAÇÃO'!$AB:$AB,MATCH(MEDIÇÃO!R1255,'PROJETO PERFURAÇÃO'!$B:$B,0)),1)&amp;"''","")</f>
        <v/>
      </c>
      <c r="Q1255" s="3" t="str">
        <f>IFERROR(IF(INDEX('PROJETO PERFURAÇÃO'!$P:$P,MATCH(MEDIÇÃO!R1255,'PROJETO PERFURAÇÃO'!$B:$B,0))="Production","P",IF(INDEX('PROJETO PERFURAÇÃO'!$P:$P,MATCH(MEDIÇÃO!R1255,'PROJETO PERFURAÇÃO'!$B:$B,0))="Buffer","B",IF(INDEX('PROJETO PERFURAÇÃO'!$P:$P,MATCH(MEDIÇÃO!R1255,'PROJETO PERFURAÇÃO'!$B:$B,0))="Pre-Splitting","S"))),"")</f>
        <v/>
      </c>
      <c r="R1255" s="14">
        <f t="shared" si="122"/>
        <v>2817</v>
      </c>
      <c r="S1255" s="4" t="str">
        <f>IFERROR(INDEX('LEV R&amp;D'!$D:$D,MATCH(MEDIÇÃO!R1255,'LEV R&amp;D'!$A:$A,0))-INDEX('PROJETO PERFURAÇÃO'!$AH:$AH,MATCH(MEDIÇÃO!R1255,'PROJETO PERFURAÇÃO'!$B:$B,0)),"")</f>
        <v/>
      </c>
      <c r="T1255" s="8" t="str">
        <f>IFERROR(INDEX('PROJETO PERFURAÇÃO'!$AN:$AN,MATCH(MEDIÇÃO!R1255,'PROJETO PERFURAÇÃO'!$B:$B,0)),"")</f>
        <v/>
      </c>
      <c r="U1255" s="3"/>
      <c r="V1255" s="3"/>
    </row>
    <row r="1256" spans="2:22" ht="45" customHeight="1">
      <c r="B1256" s="3" t="str">
        <f>IFERROR(ROUND(INDEX('PROJETO PERFURAÇÃO'!$AB:$AB,MATCH(MEDIÇÃO!D1256,'PROJETO PERFURAÇÃO'!$B:$B,0)),1)&amp;"''","")</f>
        <v/>
      </c>
      <c r="C1256" s="3" t="str">
        <f>IFERROR(IF(INDEX('PROJETO PERFURAÇÃO'!$P:$P,MATCH(MEDIÇÃO!D1256,'PROJETO PERFURAÇÃO'!$B:$B,0))="Production","P",IF(INDEX('PROJETO PERFURAÇÃO'!$P:$P,MATCH(MEDIÇÃO!D1256,'PROJETO PERFURAÇÃO'!$B:$B,0))="Buffer","B",IF(INDEX('PROJETO PERFURAÇÃO'!$P:$P,MATCH(MEDIÇÃO!D1256,'PROJETO PERFURAÇÃO'!$B:$B,0))="Pre-Splitting","S"))),"")</f>
        <v/>
      </c>
      <c r="D1256" s="14">
        <f t="shared" si="120"/>
        <v>2772</v>
      </c>
      <c r="E1256" s="4" t="str">
        <f>IFERROR(INDEX('LEV R&amp;D'!$D:$D,MATCH(MEDIÇÃO!D1256,'LEV R&amp;D'!$A:$A,0))-INDEX('PROJETO PERFURAÇÃO'!$AH:$AH,MATCH(MEDIÇÃO!D1256,'PROJETO PERFURAÇÃO'!$B:$B,0)),"")</f>
        <v/>
      </c>
      <c r="F1256" s="8" t="str">
        <f>IFERROR(INDEX('PROJETO PERFURAÇÃO'!$AN:$AN,MATCH(MEDIÇÃO!D1256,'PROJETO PERFURAÇÃO'!$B:$B,0)),"")</f>
        <v/>
      </c>
      <c r="G1256" s="3"/>
      <c r="H1256" s="3"/>
      <c r="I1256" s="3" t="str">
        <f>IFERROR(ROUND(INDEX('PROJETO PERFURAÇÃO'!$AB:$AB,MATCH(MEDIÇÃO!K1256,'PROJETO PERFURAÇÃO'!$B:$B,0)),1)&amp;"''","")</f>
        <v/>
      </c>
      <c r="J1256" s="3" t="str">
        <f>IFERROR(IF(INDEX('PROJETO PERFURAÇÃO'!$P:$P,MATCH(MEDIÇÃO!K1256,'PROJETO PERFURAÇÃO'!$B:$B,0))="Production","P",IF(INDEX('PROJETO PERFURAÇÃO'!$P:$P,MATCH(MEDIÇÃO!K1256,'PROJETO PERFURAÇÃO'!$B:$B,0))="Buffer","B",IF(INDEX('PROJETO PERFURAÇÃO'!$P:$P,MATCH(MEDIÇÃO!K1256,'PROJETO PERFURAÇÃO'!$B:$B,0))="Pre-Splitting","S"))),"")</f>
        <v/>
      </c>
      <c r="K1256" s="14">
        <f t="shared" si="121"/>
        <v>2795</v>
      </c>
      <c r="L1256" s="4" t="str">
        <f>IFERROR(INDEX('LEV R&amp;D'!$D:$D,MATCH(MEDIÇÃO!K1256,'LEV R&amp;D'!$A:$A,0))-INDEX('PROJETO PERFURAÇÃO'!$AH:$AH,MATCH(MEDIÇÃO!K1256,'PROJETO PERFURAÇÃO'!$B:$B,0)),"")</f>
        <v/>
      </c>
      <c r="M1256" s="8" t="str">
        <f>IFERROR(INDEX('PROJETO PERFURAÇÃO'!$AN:$AN,MATCH(MEDIÇÃO!K1256,'PROJETO PERFURAÇÃO'!$B:$B,0)),"")</f>
        <v/>
      </c>
      <c r="N1256" s="3"/>
      <c r="O1256" s="3"/>
      <c r="P1256" s="3" t="str">
        <f>IFERROR(ROUND(INDEX('PROJETO PERFURAÇÃO'!$AB:$AB,MATCH(MEDIÇÃO!R1256,'PROJETO PERFURAÇÃO'!$B:$B,0)),1)&amp;"''","")</f>
        <v/>
      </c>
      <c r="Q1256" s="3" t="str">
        <f>IFERROR(IF(INDEX('PROJETO PERFURAÇÃO'!$P:$P,MATCH(MEDIÇÃO!R1256,'PROJETO PERFURAÇÃO'!$B:$B,0))="Production","P",IF(INDEX('PROJETO PERFURAÇÃO'!$P:$P,MATCH(MEDIÇÃO!R1256,'PROJETO PERFURAÇÃO'!$B:$B,0))="Buffer","B",IF(INDEX('PROJETO PERFURAÇÃO'!$P:$P,MATCH(MEDIÇÃO!R1256,'PROJETO PERFURAÇÃO'!$B:$B,0))="Pre-Splitting","S"))),"")</f>
        <v/>
      </c>
      <c r="R1256" s="14">
        <f t="shared" si="122"/>
        <v>2818</v>
      </c>
      <c r="S1256" s="4" t="str">
        <f>IFERROR(INDEX('LEV R&amp;D'!$D:$D,MATCH(MEDIÇÃO!R1256,'LEV R&amp;D'!$A:$A,0))-INDEX('PROJETO PERFURAÇÃO'!$AH:$AH,MATCH(MEDIÇÃO!R1256,'PROJETO PERFURAÇÃO'!$B:$B,0)),"")</f>
        <v/>
      </c>
      <c r="T1256" s="8" t="str">
        <f>IFERROR(INDEX('PROJETO PERFURAÇÃO'!$AN:$AN,MATCH(MEDIÇÃO!R1256,'PROJETO PERFURAÇÃO'!$B:$B,0)),"")</f>
        <v/>
      </c>
      <c r="U1256" s="3"/>
      <c r="V1256" s="3"/>
    </row>
    <row r="1257" spans="2:22" ht="45" customHeight="1">
      <c r="B1257" s="3" t="str">
        <f>IFERROR(ROUND(INDEX('PROJETO PERFURAÇÃO'!$AB:$AB,MATCH(MEDIÇÃO!D1257,'PROJETO PERFURAÇÃO'!$B:$B,0)),1)&amp;"''","")</f>
        <v/>
      </c>
      <c r="C1257" s="3" t="str">
        <f>IFERROR(IF(INDEX('PROJETO PERFURAÇÃO'!$P:$P,MATCH(MEDIÇÃO!D1257,'PROJETO PERFURAÇÃO'!$B:$B,0))="Production","P",IF(INDEX('PROJETO PERFURAÇÃO'!$P:$P,MATCH(MEDIÇÃO!D1257,'PROJETO PERFURAÇÃO'!$B:$B,0))="Buffer","B",IF(INDEX('PROJETO PERFURAÇÃO'!$P:$P,MATCH(MEDIÇÃO!D1257,'PROJETO PERFURAÇÃO'!$B:$B,0))="Pre-Splitting","S"))),"")</f>
        <v/>
      </c>
      <c r="D1257" s="14">
        <f t="shared" si="120"/>
        <v>2773</v>
      </c>
      <c r="E1257" s="4" t="str">
        <f>IFERROR(INDEX('LEV R&amp;D'!$D:$D,MATCH(MEDIÇÃO!D1257,'LEV R&amp;D'!$A:$A,0))-INDEX('PROJETO PERFURAÇÃO'!$AH:$AH,MATCH(MEDIÇÃO!D1257,'PROJETO PERFURAÇÃO'!$B:$B,0)),"")</f>
        <v/>
      </c>
      <c r="F1257" s="8" t="str">
        <f>IFERROR(INDEX('PROJETO PERFURAÇÃO'!$AN:$AN,MATCH(MEDIÇÃO!D1257,'PROJETO PERFURAÇÃO'!$B:$B,0)),"")</f>
        <v/>
      </c>
      <c r="G1257" s="3"/>
      <c r="H1257" s="3"/>
      <c r="I1257" s="3" t="str">
        <f>IFERROR(ROUND(INDEX('PROJETO PERFURAÇÃO'!$AB:$AB,MATCH(MEDIÇÃO!K1257,'PROJETO PERFURAÇÃO'!$B:$B,0)),1)&amp;"''","")</f>
        <v/>
      </c>
      <c r="J1257" s="3" t="str">
        <f>IFERROR(IF(INDEX('PROJETO PERFURAÇÃO'!$P:$P,MATCH(MEDIÇÃO!K1257,'PROJETO PERFURAÇÃO'!$B:$B,0))="Production","P",IF(INDEX('PROJETO PERFURAÇÃO'!$P:$P,MATCH(MEDIÇÃO!K1257,'PROJETO PERFURAÇÃO'!$B:$B,0))="Buffer","B",IF(INDEX('PROJETO PERFURAÇÃO'!$P:$P,MATCH(MEDIÇÃO!K1257,'PROJETO PERFURAÇÃO'!$B:$B,0))="Pre-Splitting","S"))),"")</f>
        <v/>
      </c>
      <c r="K1257" s="14">
        <f t="shared" si="121"/>
        <v>2796</v>
      </c>
      <c r="L1257" s="4" t="str">
        <f>IFERROR(INDEX('LEV R&amp;D'!$D:$D,MATCH(MEDIÇÃO!K1257,'LEV R&amp;D'!$A:$A,0))-INDEX('PROJETO PERFURAÇÃO'!$AH:$AH,MATCH(MEDIÇÃO!K1257,'PROJETO PERFURAÇÃO'!$B:$B,0)),"")</f>
        <v/>
      </c>
      <c r="M1257" s="8" t="str">
        <f>IFERROR(INDEX('PROJETO PERFURAÇÃO'!$AN:$AN,MATCH(MEDIÇÃO!K1257,'PROJETO PERFURAÇÃO'!$B:$B,0)),"")</f>
        <v/>
      </c>
      <c r="N1257" s="3"/>
      <c r="O1257" s="3"/>
      <c r="P1257" s="3" t="str">
        <f>IFERROR(ROUND(INDEX('PROJETO PERFURAÇÃO'!$AB:$AB,MATCH(MEDIÇÃO!R1257,'PROJETO PERFURAÇÃO'!$B:$B,0)),1)&amp;"''","")</f>
        <v/>
      </c>
      <c r="Q1257" s="3" t="str">
        <f>IFERROR(IF(INDEX('PROJETO PERFURAÇÃO'!$P:$P,MATCH(MEDIÇÃO!R1257,'PROJETO PERFURAÇÃO'!$B:$B,0))="Production","P",IF(INDEX('PROJETO PERFURAÇÃO'!$P:$P,MATCH(MEDIÇÃO!R1257,'PROJETO PERFURAÇÃO'!$B:$B,0))="Buffer","B",IF(INDEX('PROJETO PERFURAÇÃO'!$P:$P,MATCH(MEDIÇÃO!R1257,'PROJETO PERFURAÇÃO'!$B:$B,0))="Pre-Splitting","S"))),"")</f>
        <v/>
      </c>
      <c r="R1257" s="14">
        <f t="shared" si="122"/>
        <v>2819</v>
      </c>
      <c r="S1257" s="4" t="str">
        <f>IFERROR(INDEX('LEV R&amp;D'!$D:$D,MATCH(MEDIÇÃO!R1257,'LEV R&amp;D'!$A:$A,0))-INDEX('PROJETO PERFURAÇÃO'!$AH:$AH,MATCH(MEDIÇÃO!R1257,'PROJETO PERFURAÇÃO'!$B:$B,0)),"")</f>
        <v/>
      </c>
      <c r="T1257" s="8" t="str">
        <f>IFERROR(INDEX('PROJETO PERFURAÇÃO'!$AN:$AN,MATCH(MEDIÇÃO!R1257,'PROJETO PERFURAÇÃO'!$B:$B,0)),"")</f>
        <v/>
      </c>
      <c r="U1257" s="3"/>
      <c r="V1257" s="3"/>
    </row>
    <row r="1258" spans="2:22" ht="45" customHeight="1">
      <c r="B1258" s="3" t="str">
        <f>IFERROR(ROUND(INDEX('PROJETO PERFURAÇÃO'!$AB:$AB,MATCH(MEDIÇÃO!D1258,'PROJETO PERFURAÇÃO'!$B:$B,0)),1)&amp;"''","")</f>
        <v/>
      </c>
      <c r="C1258" s="3" t="str">
        <f>IFERROR(IF(INDEX('PROJETO PERFURAÇÃO'!$P:$P,MATCH(MEDIÇÃO!D1258,'PROJETO PERFURAÇÃO'!$B:$B,0))="Production","P",IF(INDEX('PROJETO PERFURAÇÃO'!$P:$P,MATCH(MEDIÇÃO!D1258,'PROJETO PERFURAÇÃO'!$B:$B,0))="Buffer","B",IF(INDEX('PROJETO PERFURAÇÃO'!$P:$P,MATCH(MEDIÇÃO!D1258,'PROJETO PERFURAÇÃO'!$B:$B,0))="Pre-Splitting","S"))),"")</f>
        <v/>
      </c>
      <c r="D1258" s="14">
        <f t="shared" si="120"/>
        <v>2774</v>
      </c>
      <c r="E1258" s="4" t="str">
        <f>IFERROR(INDEX('LEV R&amp;D'!$D:$D,MATCH(MEDIÇÃO!D1258,'LEV R&amp;D'!$A:$A,0))-INDEX('PROJETO PERFURAÇÃO'!$AH:$AH,MATCH(MEDIÇÃO!D1258,'PROJETO PERFURAÇÃO'!$B:$B,0)),"")</f>
        <v/>
      </c>
      <c r="F1258" s="8" t="str">
        <f>IFERROR(INDEX('PROJETO PERFURAÇÃO'!$AN:$AN,MATCH(MEDIÇÃO!D1258,'PROJETO PERFURAÇÃO'!$B:$B,0)),"")</f>
        <v/>
      </c>
      <c r="G1258" s="3"/>
      <c r="H1258" s="3"/>
      <c r="I1258" s="3" t="str">
        <f>IFERROR(ROUND(INDEX('PROJETO PERFURAÇÃO'!$AB:$AB,MATCH(MEDIÇÃO!K1258,'PROJETO PERFURAÇÃO'!$B:$B,0)),1)&amp;"''","")</f>
        <v/>
      </c>
      <c r="J1258" s="3" t="str">
        <f>IFERROR(IF(INDEX('PROJETO PERFURAÇÃO'!$P:$P,MATCH(MEDIÇÃO!K1258,'PROJETO PERFURAÇÃO'!$B:$B,0))="Production","P",IF(INDEX('PROJETO PERFURAÇÃO'!$P:$P,MATCH(MEDIÇÃO!K1258,'PROJETO PERFURAÇÃO'!$B:$B,0))="Buffer","B",IF(INDEX('PROJETO PERFURAÇÃO'!$P:$P,MATCH(MEDIÇÃO!K1258,'PROJETO PERFURAÇÃO'!$B:$B,0))="Pre-Splitting","S"))),"")</f>
        <v/>
      </c>
      <c r="K1258" s="14">
        <f t="shared" si="121"/>
        <v>2797</v>
      </c>
      <c r="L1258" s="4" t="str">
        <f>IFERROR(INDEX('LEV R&amp;D'!$D:$D,MATCH(MEDIÇÃO!K1258,'LEV R&amp;D'!$A:$A,0))-INDEX('PROJETO PERFURAÇÃO'!$AH:$AH,MATCH(MEDIÇÃO!K1258,'PROJETO PERFURAÇÃO'!$B:$B,0)),"")</f>
        <v/>
      </c>
      <c r="M1258" s="8" t="str">
        <f>IFERROR(INDEX('PROJETO PERFURAÇÃO'!$AN:$AN,MATCH(MEDIÇÃO!K1258,'PROJETO PERFURAÇÃO'!$B:$B,0)),"")</f>
        <v/>
      </c>
      <c r="N1258" s="3"/>
      <c r="O1258" s="3"/>
      <c r="P1258" s="3" t="str">
        <f>IFERROR(ROUND(INDEX('PROJETO PERFURAÇÃO'!$AB:$AB,MATCH(MEDIÇÃO!R1258,'PROJETO PERFURAÇÃO'!$B:$B,0)),1)&amp;"''","")</f>
        <v/>
      </c>
      <c r="Q1258" s="3" t="str">
        <f>IFERROR(IF(INDEX('PROJETO PERFURAÇÃO'!$P:$P,MATCH(MEDIÇÃO!R1258,'PROJETO PERFURAÇÃO'!$B:$B,0))="Production","P",IF(INDEX('PROJETO PERFURAÇÃO'!$P:$P,MATCH(MEDIÇÃO!R1258,'PROJETO PERFURAÇÃO'!$B:$B,0))="Buffer","B",IF(INDEX('PROJETO PERFURAÇÃO'!$P:$P,MATCH(MEDIÇÃO!R1258,'PROJETO PERFURAÇÃO'!$B:$B,0))="Pre-Splitting","S"))),"")</f>
        <v/>
      </c>
      <c r="R1258" s="14">
        <f t="shared" si="122"/>
        <v>2820</v>
      </c>
      <c r="S1258" s="4" t="str">
        <f>IFERROR(INDEX('LEV R&amp;D'!$D:$D,MATCH(MEDIÇÃO!R1258,'LEV R&amp;D'!$A:$A,0))-INDEX('PROJETO PERFURAÇÃO'!$AH:$AH,MATCH(MEDIÇÃO!R1258,'PROJETO PERFURAÇÃO'!$B:$B,0)),"")</f>
        <v/>
      </c>
      <c r="T1258" s="8" t="str">
        <f>IFERROR(INDEX('PROJETO PERFURAÇÃO'!$AN:$AN,MATCH(MEDIÇÃO!R1258,'PROJETO PERFURAÇÃO'!$B:$B,0)),"")</f>
        <v/>
      </c>
      <c r="U1258" s="3"/>
      <c r="V1258" s="3"/>
    </row>
    <row r="1259" spans="2:22" ht="45" customHeight="1">
      <c r="B1259" s="3" t="str">
        <f>IFERROR(ROUND(INDEX('PROJETO PERFURAÇÃO'!$AB:$AB,MATCH(MEDIÇÃO!D1259,'PROJETO PERFURAÇÃO'!$B:$B,0)),1)&amp;"''","")</f>
        <v/>
      </c>
      <c r="C1259" s="3" t="str">
        <f>IFERROR(IF(INDEX('PROJETO PERFURAÇÃO'!$P:$P,MATCH(MEDIÇÃO!D1259,'PROJETO PERFURAÇÃO'!$B:$B,0))="Production","P",IF(INDEX('PROJETO PERFURAÇÃO'!$P:$P,MATCH(MEDIÇÃO!D1259,'PROJETO PERFURAÇÃO'!$B:$B,0))="Buffer","B",IF(INDEX('PROJETO PERFURAÇÃO'!$P:$P,MATCH(MEDIÇÃO!D1259,'PROJETO PERFURAÇÃO'!$B:$B,0))="Pre-Splitting","S"))),"")</f>
        <v/>
      </c>
      <c r="D1259" s="14">
        <f t="shared" si="120"/>
        <v>2775</v>
      </c>
      <c r="E1259" s="4" t="str">
        <f>IFERROR(INDEX('LEV R&amp;D'!$D:$D,MATCH(MEDIÇÃO!D1259,'LEV R&amp;D'!$A:$A,0))-INDEX('PROJETO PERFURAÇÃO'!$AH:$AH,MATCH(MEDIÇÃO!D1259,'PROJETO PERFURAÇÃO'!$B:$B,0)),"")</f>
        <v/>
      </c>
      <c r="F1259" s="8" t="str">
        <f>IFERROR(INDEX('PROJETO PERFURAÇÃO'!$AN:$AN,MATCH(MEDIÇÃO!D1259,'PROJETO PERFURAÇÃO'!$B:$B,0)),"")</f>
        <v/>
      </c>
      <c r="G1259" s="3"/>
      <c r="H1259" s="3"/>
      <c r="I1259" s="3" t="str">
        <f>IFERROR(ROUND(INDEX('PROJETO PERFURAÇÃO'!$AB:$AB,MATCH(MEDIÇÃO!K1259,'PROJETO PERFURAÇÃO'!$B:$B,0)),1)&amp;"''","")</f>
        <v/>
      </c>
      <c r="J1259" s="3" t="str">
        <f>IFERROR(IF(INDEX('PROJETO PERFURAÇÃO'!$P:$P,MATCH(MEDIÇÃO!K1259,'PROJETO PERFURAÇÃO'!$B:$B,0))="Production","P",IF(INDEX('PROJETO PERFURAÇÃO'!$P:$P,MATCH(MEDIÇÃO!K1259,'PROJETO PERFURAÇÃO'!$B:$B,0))="Buffer","B",IF(INDEX('PROJETO PERFURAÇÃO'!$P:$P,MATCH(MEDIÇÃO!K1259,'PROJETO PERFURAÇÃO'!$B:$B,0))="Pre-Splitting","S"))),"")</f>
        <v/>
      </c>
      <c r="K1259" s="14">
        <f t="shared" si="121"/>
        <v>2798</v>
      </c>
      <c r="L1259" s="4" t="str">
        <f>IFERROR(INDEX('LEV R&amp;D'!$D:$D,MATCH(MEDIÇÃO!K1259,'LEV R&amp;D'!$A:$A,0))-INDEX('PROJETO PERFURAÇÃO'!$AH:$AH,MATCH(MEDIÇÃO!K1259,'PROJETO PERFURAÇÃO'!$B:$B,0)),"")</f>
        <v/>
      </c>
      <c r="M1259" s="8" t="str">
        <f>IFERROR(INDEX('PROJETO PERFURAÇÃO'!$AN:$AN,MATCH(MEDIÇÃO!K1259,'PROJETO PERFURAÇÃO'!$B:$B,0)),"")</f>
        <v/>
      </c>
      <c r="N1259" s="3"/>
      <c r="O1259" s="3"/>
      <c r="P1259" s="3" t="str">
        <f>IFERROR(ROUND(INDEX('PROJETO PERFURAÇÃO'!$AB:$AB,MATCH(MEDIÇÃO!R1259,'PROJETO PERFURAÇÃO'!$B:$B,0)),1)&amp;"''","")</f>
        <v/>
      </c>
      <c r="Q1259" s="3" t="str">
        <f>IFERROR(IF(INDEX('PROJETO PERFURAÇÃO'!$P:$P,MATCH(MEDIÇÃO!R1259,'PROJETO PERFURAÇÃO'!$B:$B,0))="Production","P",IF(INDEX('PROJETO PERFURAÇÃO'!$P:$P,MATCH(MEDIÇÃO!R1259,'PROJETO PERFURAÇÃO'!$B:$B,0))="Buffer","B",IF(INDEX('PROJETO PERFURAÇÃO'!$P:$P,MATCH(MEDIÇÃO!R1259,'PROJETO PERFURAÇÃO'!$B:$B,0))="Pre-Splitting","S"))),"")</f>
        <v/>
      </c>
      <c r="R1259" s="14">
        <f t="shared" si="122"/>
        <v>2821</v>
      </c>
      <c r="S1259" s="4" t="str">
        <f>IFERROR(INDEX('LEV R&amp;D'!$D:$D,MATCH(MEDIÇÃO!R1259,'LEV R&amp;D'!$A:$A,0))-INDEX('PROJETO PERFURAÇÃO'!$AH:$AH,MATCH(MEDIÇÃO!R1259,'PROJETO PERFURAÇÃO'!$B:$B,0)),"")</f>
        <v/>
      </c>
      <c r="T1259" s="8" t="str">
        <f>IFERROR(INDEX('PROJETO PERFURAÇÃO'!$AN:$AN,MATCH(MEDIÇÃO!R1259,'PROJETO PERFURAÇÃO'!$B:$B,0)),"")</f>
        <v/>
      </c>
      <c r="U1259" s="3"/>
      <c r="V1259" s="3"/>
    </row>
    <row r="1260" spans="2:22" ht="45" customHeight="1">
      <c r="B1260" s="3" t="str">
        <f>IFERROR(ROUND(INDEX('PROJETO PERFURAÇÃO'!$AB:$AB,MATCH(MEDIÇÃO!D1260,'PROJETO PERFURAÇÃO'!$B:$B,0)),1)&amp;"''","")</f>
        <v/>
      </c>
      <c r="C1260" s="3" t="str">
        <f>IFERROR(IF(INDEX('PROJETO PERFURAÇÃO'!$P:$P,MATCH(MEDIÇÃO!D1260,'PROJETO PERFURAÇÃO'!$B:$B,0))="Production","P",IF(INDEX('PROJETO PERFURAÇÃO'!$P:$P,MATCH(MEDIÇÃO!D1260,'PROJETO PERFURAÇÃO'!$B:$B,0))="Buffer","B",IF(INDEX('PROJETO PERFURAÇÃO'!$P:$P,MATCH(MEDIÇÃO!D1260,'PROJETO PERFURAÇÃO'!$B:$B,0))="Pre-Splitting","S"))),"")</f>
        <v/>
      </c>
      <c r="D1260" s="14">
        <f t="shared" si="120"/>
        <v>2776</v>
      </c>
      <c r="E1260" s="4" t="str">
        <f>IFERROR(INDEX('LEV R&amp;D'!$D:$D,MATCH(MEDIÇÃO!D1260,'LEV R&amp;D'!$A:$A,0))-INDEX('PROJETO PERFURAÇÃO'!$AH:$AH,MATCH(MEDIÇÃO!D1260,'PROJETO PERFURAÇÃO'!$B:$B,0)),"")</f>
        <v/>
      </c>
      <c r="F1260" s="8" t="str">
        <f>IFERROR(INDEX('PROJETO PERFURAÇÃO'!$AN:$AN,MATCH(MEDIÇÃO!D1260,'PROJETO PERFURAÇÃO'!$B:$B,0)),"")</f>
        <v/>
      </c>
      <c r="G1260" s="3"/>
      <c r="H1260" s="3"/>
      <c r="I1260" s="3" t="str">
        <f>IFERROR(ROUND(INDEX('PROJETO PERFURAÇÃO'!$AB:$AB,MATCH(MEDIÇÃO!K1260,'PROJETO PERFURAÇÃO'!$B:$B,0)),1)&amp;"''","")</f>
        <v/>
      </c>
      <c r="J1260" s="3" t="str">
        <f>IFERROR(IF(INDEX('PROJETO PERFURAÇÃO'!$P:$P,MATCH(MEDIÇÃO!K1260,'PROJETO PERFURAÇÃO'!$B:$B,0))="Production","P",IF(INDEX('PROJETO PERFURAÇÃO'!$P:$P,MATCH(MEDIÇÃO!K1260,'PROJETO PERFURAÇÃO'!$B:$B,0))="Buffer","B",IF(INDEX('PROJETO PERFURAÇÃO'!$P:$P,MATCH(MEDIÇÃO!K1260,'PROJETO PERFURAÇÃO'!$B:$B,0))="Pre-Splitting","S"))),"")</f>
        <v/>
      </c>
      <c r="K1260" s="14">
        <f t="shared" si="121"/>
        <v>2799</v>
      </c>
      <c r="L1260" s="4" t="str">
        <f>IFERROR(INDEX('LEV R&amp;D'!$D:$D,MATCH(MEDIÇÃO!K1260,'LEV R&amp;D'!$A:$A,0))-INDEX('PROJETO PERFURAÇÃO'!$AH:$AH,MATCH(MEDIÇÃO!K1260,'PROJETO PERFURAÇÃO'!$B:$B,0)),"")</f>
        <v/>
      </c>
      <c r="M1260" s="8" t="str">
        <f>IFERROR(INDEX('PROJETO PERFURAÇÃO'!$AN:$AN,MATCH(MEDIÇÃO!K1260,'PROJETO PERFURAÇÃO'!$B:$B,0)),"")</f>
        <v/>
      </c>
      <c r="N1260" s="3"/>
      <c r="O1260" s="3"/>
      <c r="P1260" s="3" t="str">
        <f>IFERROR(ROUND(INDEX('PROJETO PERFURAÇÃO'!$AB:$AB,MATCH(MEDIÇÃO!R1260,'PROJETO PERFURAÇÃO'!$B:$B,0)),1)&amp;"''","")</f>
        <v/>
      </c>
      <c r="Q1260" s="3" t="str">
        <f>IFERROR(IF(INDEX('PROJETO PERFURAÇÃO'!$P:$P,MATCH(MEDIÇÃO!R1260,'PROJETO PERFURAÇÃO'!$B:$B,0))="Production","P",IF(INDEX('PROJETO PERFURAÇÃO'!$P:$P,MATCH(MEDIÇÃO!R1260,'PROJETO PERFURAÇÃO'!$B:$B,0))="Buffer","B",IF(INDEX('PROJETO PERFURAÇÃO'!$P:$P,MATCH(MEDIÇÃO!R1260,'PROJETO PERFURAÇÃO'!$B:$B,0))="Pre-Splitting","S"))),"")</f>
        <v/>
      </c>
      <c r="R1260" s="14">
        <f t="shared" si="122"/>
        <v>2822</v>
      </c>
      <c r="S1260" s="4" t="str">
        <f>IFERROR(INDEX('LEV R&amp;D'!$D:$D,MATCH(MEDIÇÃO!R1260,'LEV R&amp;D'!$A:$A,0))-INDEX('PROJETO PERFURAÇÃO'!$AH:$AH,MATCH(MEDIÇÃO!R1260,'PROJETO PERFURAÇÃO'!$B:$B,0)),"")</f>
        <v/>
      </c>
      <c r="T1260" s="8" t="str">
        <f>IFERROR(INDEX('PROJETO PERFURAÇÃO'!$AN:$AN,MATCH(MEDIÇÃO!R1260,'PROJETO PERFURAÇÃO'!$B:$B,0)),"")</f>
        <v/>
      </c>
      <c r="U1260" s="3"/>
      <c r="V1260" s="3"/>
    </row>
    <row r="1261" spans="2:22" ht="45" customHeight="1">
      <c r="B1261" s="3" t="str">
        <f>IFERROR(ROUND(INDEX('PROJETO PERFURAÇÃO'!$AB:$AB,MATCH(MEDIÇÃO!D1261,'PROJETO PERFURAÇÃO'!$B:$B,0)),1)&amp;"''","")</f>
        <v/>
      </c>
      <c r="C1261" s="3" t="str">
        <f>IFERROR(IF(INDEX('PROJETO PERFURAÇÃO'!$P:$P,MATCH(MEDIÇÃO!D1261,'PROJETO PERFURAÇÃO'!$B:$B,0))="Production","P",IF(INDEX('PROJETO PERFURAÇÃO'!$P:$P,MATCH(MEDIÇÃO!D1261,'PROJETO PERFURAÇÃO'!$B:$B,0))="Buffer","B",IF(INDEX('PROJETO PERFURAÇÃO'!$P:$P,MATCH(MEDIÇÃO!D1261,'PROJETO PERFURAÇÃO'!$B:$B,0))="Pre-Splitting","S"))),"")</f>
        <v/>
      </c>
      <c r="D1261" s="14">
        <f t="shared" si="120"/>
        <v>2777</v>
      </c>
      <c r="E1261" s="4" t="str">
        <f>IFERROR(INDEX('LEV R&amp;D'!$D:$D,MATCH(MEDIÇÃO!D1261,'LEV R&amp;D'!$A:$A,0))-INDEX('PROJETO PERFURAÇÃO'!$AH:$AH,MATCH(MEDIÇÃO!D1261,'PROJETO PERFURAÇÃO'!$B:$B,0)),"")</f>
        <v/>
      </c>
      <c r="F1261" s="8" t="str">
        <f>IFERROR(INDEX('PROJETO PERFURAÇÃO'!$AN:$AN,MATCH(MEDIÇÃO!D1261,'PROJETO PERFURAÇÃO'!$B:$B,0)),"")</f>
        <v/>
      </c>
      <c r="G1261" s="3"/>
      <c r="H1261" s="3"/>
      <c r="I1261" s="3" t="str">
        <f>IFERROR(ROUND(INDEX('PROJETO PERFURAÇÃO'!$AB:$AB,MATCH(MEDIÇÃO!K1261,'PROJETO PERFURAÇÃO'!$B:$B,0)),1)&amp;"''","")</f>
        <v/>
      </c>
      <c r="J1261" s="3" t="str">
        <f>IFERROR(IF(INDEX('PROJETO PERFURAÇÃO'!$P:$P,MATCH(MEDIÇÃO!K1261,'PROJETO PERFURAÇÃO'!$B:$B,0))="Production","P",IF(INDEX('PROJETO PERFURAÇÃO'!$P:$P,MATCH(MEDIÇÃO!K1261,'PROJETO PERFURAÇÃO'!$B:$B,0))="Buffer","B",IF(INDEX('PROJETO PERFURAÇÃO'!$P:$P,MATCH(MEDIÇÃO!K1261,'PROJETO PERFURAÇÃO'!$B:$B,0))="Pre-Splitting","S"))),"")</f>
        <v/>
      </c>
      <c r="K1261" s="14">
        <f t="shared" si="121"/>
        <v>2800</v>
      </c>
      <c r="L1261" s="4" t="str">
        <f>IFERROR(INDEX('LEV R&amp;D'!$D:$D,MATCH(MEDIÇÃO!K1261,'LEV R&amp;D'!$A:$A,0))-INDEX('PROJETO PERFURAÇÃO'!$AH:$AH,MATCH(MEDIÇÃO!K1261,'PROJETO PERFURAÇÃO'!$B:$B,0)),"")</f>
        <v/>
      </c>
      <c r="M1261" s="8" t="str">
        <f>IFERROR(INDEX('PROJETO PERFURAÇÃO'!$AN:$AN,MATCH(MEDIÇÃO!K1261,'PROJETO PERFURAÇÃO'!$B:$B,0)),"")</f>
        <v/>
      </c>
      <c r="N1261" s="3"/>
      <c r="O1261" s="3"/>
      <c r="P1261" s="3" t="str">
        <f>IFERROR(ROUND(INDEX('PROJETO PERFURAÇÃO'!$AB:$AB,MATCH(MEDIÇÃO!R1261,'PROJETO PERFURAÇÃO'!$B:$B,0)),1)&amp;"''","")</f>
        <v/>
      </c>
      <c r="Q1261" s="3" t="str">
        <f>IFERROR(IF(INDEX('PROJETO PERFURAÇÃO'!$P:$P,MATCH(MEDIÇÃO!R1261,'PROJETO PERFURAÇÃO'!$B:$B,0))="Production","P",IF(INDEX('PROJETO PERFURAÇÃO'!$P:$P,MATCH(MEDIÇÃO!R1261,'PROJETO PERFURAÇÃO'!$B:$B,0))="Buffer","B",IF(INDEX('PROJETO PERFURAÇÃO'!$P:$P,MATCH(MEDIÇÃO!R1261,'PROJETO PERFURAÇÃO'!$B:$B,0))="Pre-Splitting","S"))),"")</f>
        <v/>
      </c>
      <c r="R1261" s="14">
        <f t="shared" si="122"/>
        <v>2823</v>
      </c>
      <c r="S1261" s="4" t="str">
        <f>IFERROR(INDEX('LEV R&amp;D'!$D:$D,MATCH(MEDIÇÃO!R1261,'LEV R&amp;D'!$A:$A,0))-INDEX('PROJETO PERFURAÇÃO'!$AH:$AH,MATCH(MEDIÇÃO!R1261,'PROJETO PERFURAÇÃO'!$B:$B,0)),"")</f>
        <v/>
      </c>
      <c r="T1261" s="8" t="str">
        <f>IFERROR(INDEX('PROJETO PERFURAÇÃO'!$AN:$AN,MATCH(MEDIÇÃO!R1261,'PROJETO PERFURAÇÃO'!$B:$B,0)),"")</f>
        <v/>
      </c>
      <c r="U1261" s="3"/>
      <c r="V1261" s="3"/>
    </row>
    <row r="1262" spans="2:22" ht="45" customHeight="1">
      <c r="B1262" s="3" t="str">
        <f>IFERROR(ROUND(INDEX('PROJETO PERFURAÇÃO'!$AB:$AB,MATCH(MEDIÇÃO!D1262,'PROJETO PERFURAÇÃO'!$B:$B,0)),1)&amp;"''","")</f>
        <v/>
      </c>
      <c r="C1262" s="3" t="str">
        <f>IFERROR(IF(INDEX('PROJETO PERFURAÇÃO'!$P:$P,MATCH(MEDIÇÃO!D1262,'PROJETO PERFURAÇÃO'!$B:$B,0))="Production","P",IF(INDEX('PROJETO PERFURAÇÃO'!$P:$P,MATCH(MEDIÇÃO!D1262,'PROJETO PERFURAÇÃO'!$B:$B,0))="Buffer","B",IF(INDEX('PROJETO PERFURAÇÃO'!$P:$P,MATCH(MEDIÇÃO!D1262,'PROJETO PERFURAÇÃO'!$B:$B,0))="Pre-Splitting","S"))),"")</f>
        <v/>
      </c>
      <c r="D1262" s="14">
        <f t="shared" si="120"/>
        <v>2778</v>
      </c>
      <c r="E1262" s="4" t="str">
        <f>IFERROR(INDEX('LEV R&amp;D'!$D:$D,MATCH(MEDIÇÃO!D1262,'LEV R&amp;D'!$A:$A,0))-INDEX('PROJETO PERFURAÇÃO'!$AH:$AH,MATCH(MEDIÇÃO!D1262,'PROJETO PERFURAÇÃO'!$B:$B,0)),"")</f>
        <v/>
      </c>
      <c r="F1262" s="8" t="str">
        <f>IFERROR(INDEX('PROJETO PERFURAÇÃO'!$AN:$AN,MATCH(MEDIÇÃO!D1262,'PROJETO PERFURAÇÃO'!$B:$B,0)),"")</f>
        <v/>
      </c>
      <c r="G1262" s="3"/>
      <c r="H1262" s="3"/>
      <c r="I1262" s="3" t="str">
        <f>IFERROR(ROUND(INDEX('PROJETO PERFURAÇÃO'!$AB:$AB,MATCH(MEDIÇÃO!K1262,'PROJETO PERFURAÇÃO'!$B:$B,0)),1)&amp;"''","")</f>
        <v/>
      </c>
      <c r="J1262" s="3" t="str">
        <f>IFERROR(IF(INDEX('PROJETO PERFURAÇÃO'!$P:$P,MATCH(MEDIÇÃO!K1262,'PROJETO PERFURAÇÃO'!$B:$B,0))="Production","P",IF(INDEX('PROJETO PERFURAÇÃO'!$P:$P,MATCH(MEDIÇÃO!K1262,'PROJETO PERFURAÇÃO'!$B:$B,0))="Buffer","B",IF(INDEX('PROJETO PERFURAÇÃO'!$P:$P,MATCH(MEDIÇÃO!K1262,'PROJETO PERFURAÇÃO'!$B:$B,0))="Pre-Splitting","S"))),"")</f>
        <v/>
      </c>
      <c r="K1262" s="14">
        <f t="shared" si="121"/>
        <v>2801</v>
      </c>
      <c r="L1262" s="4" t="str">
        <f>IFERROR(INDEX('LEV R&amp;D'!$D:$D,MATCH(MEDIÇÃO!K1262,'LEV R&amp;D'!$A:$A,0))-INDEX('PROJETO PERFURAÇÃO'!$AH:$AH,MATCH(MEDIÇÃO!K1262,'PROJETO PERFURAÇÃO'!$B:$B,0)),"")</f>
        <v/>
      </c>
      <c r="M1262" s="8" t="str">
        <f>IFERROR(INDEX('PROJETO PERFURAÇÃO'!$AN:$AN,MATCH(MEDIÇÃO!K1262,'PROJETO PERFURAÇÃO'!$B:$B,0)),"")</f>
        <v/>
      </c>
      <c r="N1262" s="3"/>
      <c r="O1262" s="3"/>
      <c r="P1262" s="3" t="str">
        <f>IFERROR(ROUND(INDEX('PROJETO PERFURAÇÃO'!$AB:$AB,MATCH(MEDIÇÃO!R1262,'PROJETO PERFURAÇÃO'!$B:$B,0)),1)&amp;"''","")</f>
        <v/>
      </c>
      <c r="Q1262" s="3" t="str">
        <f>IFERROR(IF(INDEX('PROJETO PERFURAÇÃO'!$P:$P,MATCH(MEDIÇÃO!R1262,'PROJETO PERFURAÇÃO'!$B:$B,0))="Production","P",IF(INDEX('PROJETO PERFURAÇÃO'!$P:$P,MATCH(MEDIÇÃO!R1262,'PROJETO PERFURAÇÃO'!$B:$B,0))="Buffer","B",IF(INDEX('PROJETO PERFURAÇÃO'!$P:$P,MATCH(MEDIÇÃO!R1262,'PROJETO PERFURAÇÃO'!$B:$B,0))="Pre-Splitting","S"))),"")</f>
        <v/>
      </c>
      <c r="R1262" s="14">
        <f t="shared" si="122"/>
        <v>2824</v>
      </c>
      <c r="S1262" s="4" t="str">
        <f>IFERROR(INDEX('LEV R&amp;D'!$D:$D,MATCH(MEDIÇÃO!R1262,'LEV R&amp;D'!$A:$A,0))-INDEX('PROJETO PERFURAÇÃO'!$AH:$AH,MATCH(MEDIÇÃO!R1262,'PROJETO PERFURAÇÃO'!$B:$B,0)),"")</f>
        <v/>
      </c>
      <c r="T1262" s="8" t="str">
        <f>IFERROR(INDEX('PROJETO PERFURAÇÃO'!$AN:$AN,MATCH(MEDIÇÃO!R1262,'PROJETO PERFURAÇÃO'!$B:$B,0)),"")</f>
        <v/>
      </c>
      <c r="U1262" s="3"/>
      <c r="V1262" s="3"/>
    </row>
    <row r="1263" spans="2:22" ht="45" customHeight="1">
      <c r="B1263" s="3" t="str">
        <f>IFERROR(ROUND(INDEX('PROJETO PERFURAÇÃO'!$AB:$AB,MATCH(MEDIÇÃO!D1263,'PROJETO PERFURAÇÃO'!$B:$B,0)),1)&amp;"''","")</f>
        <v/>
      </c>
      <c r="C1263" s="3" t="str">
        <f>IFERROR(IF(INDEX('PROJETO PERFURAÇÃO'!$P:$P,MATCH(MEDIÇÃO!D1263,'PROJETO PERFURAÇÃO'!$B:$B,0))="Production","P",IF(INDEX('PROJETO PERFURAÇÃO'!$P:$P,MATCH(MEDIÇÃO!D1263,'PROJETO PERFURAÇÃO'!$B:$B,0))="Buffer","B",IF(INDEX('PROJETO PERFURAÇÃO'!$P:$P,MATCH(MEDIÇÃO!D1263,'PROJETO PERFURAÇÃO'!$B:$B,0))="Pre-Splitting","S"))),"")</f>
        <v/>
      </c>
      <c r="D1263" s="14">
        <f t="shared" si="120"/>
        <v>2779</v>
      </c>
      <c r="E1263" s="4" t="str">
        <f>IFERROR(INDEX('LEV R&amp;D'!$D:$D,MATCH(MEDIÇÃO!D1263,'LEV R&amp;D'!$A:$A,0))-INDEX('PROJETO PERFURAÇÃO'!$AH:$AH,MATCH(MEDIÇÃO!D1263,'PROJETO PERFURAÇÃO'!$B:$B,0)),"")</f>
        <v/>
      </c>
      <c r="F1263" s="8" t="str">
        <f>IFERROR(INDEX('PROJETO PERFURAÇÃO'!$AN:$AN,MATCH(MEDIÇÃO!D1263,'PROJETO PERFURAÇÃO'!$B:$B,0)),"")</f>
        <v/>
      </c>
      <c r="G1263" s="3"/>
      <c r="H1263" s="3"/>
      <c r="I1263" s="3" t="str">
        <f>IFERROR(ROUND(INDEX('PROJETO PERFURAÇÃO'!$AB:$AB,MATCH(MEDIÇÃO!K1263,'PROJETO PERFURAÇÃO'!$B:$B,0)),1)&amp;"''","")</f>
        <v/>
      </c>
      <c r="J1263" s="3" t="str">
        <f>IFERROR(IF(INDEX('PROJETO PERFURAÇÃO'!$P:$P,MATCH(MEDIÇÃO!K1263,'PROJETO PERFURAÇÃO'!$B:$B,0))="Production","P",IF(INDEX('PROJETO PERFURAÇÃO'!$P:$P,MATCH(MEDIÇÃO!K1263,'PROJETO PERFURAÇÃO'!$B:$B,0))="Buffer","B",IF(INDEX('PROJETO PERFURAÇÃO'!$P:$P,MATCH(MEDIÇÃO!K1263,'PROJETO PERFURAÇÃO'!$B:$B,0))="Pre-Splitting","S"))),"")</f>
        <v/>
      </c>
      <c r="K1263" s="14">
        <f t="shared" si="121"/>
        <v>2802</v>
      </c>
      <c r="L1263" s="4" t="str">
        <f>IFERROR(INDEX('LEV R&amp;D'!$D:$D,MATCH(MEDIÇÃO!K1263,'LEV R&amp;D'!$A:$A,0))-INDEX('PROJETO PERFURAÇÃO'!$AH:$AH,MATCH(MEDIÇÃO!K1263,'PROJETO PERFURAÇÃO'!$B:$B,0)),"")</f>
        <v/>
      </c>
      <c r="M1263" s="8" t="str">
        <f>IFERROR(INDEX('PROJETO PERFURAÇÃO'!$AN:$AN,MATCH(MEDIÇÃO!K1263,'PROJETO PERFURAÇÃO'!$B:$B,0)),"")</f>
        <v/>
      </c>
      <c r="N1263" s="3"/>
      <c r="O1263" s="3"/>
      <c r="P1263" s="3" t="str">
        <f>IFERROR(ROUND(INDEX('PROJETO PERFURAÇÃO'!$AB:$AB,MATCH(MEDIÇÃO!R1263,'PROJETO PERFURAÇÃO'!$B:$B,0)),1)&amp;"''","")</f>
        <v/>
      </c>
      <c r="Q1263" s="3" t="str">
        <f>IFERROR(IF(INDEX('PROJETO PERFURAÇÃO'!$P:$P,MATCH(MEDIÇÃO!R1263,'PROJETO PERFURAÇÃO'!$B:$B,0))="Production","P",IF(INDEX('PROJETO PERFURAÇÃO'!$P:$P,MATCH(MEDIÇÃO!R1263,'PROJETO PERFURAÇÃO'!$B:$B,0))="Buffer","B",IF(INDEX('PROJETO PERFURAÇÃO'!$P:$P,MATCH(MEDIÇÃO!R1263,'PROJETO PERFURAÇÃO'!$B:$B,0))="Pre-Splitting","S"))),"")</f>
        <v/>
      </c>
      <c r="R1263" s="14">
        <f t="shared" si="122"/>
        <v>2825</v>
      </c>
      <c r="S1263" s="4" t="str">
        <f>IFERROR(INDEX('LEV R&amp;D'!$D:$D,MATCH(MEDIÇÃO!R1263,'LEV R&amp;D'!$A:$A,0))-INDEX('PROJETO PERFURAÇÃO'!$AH:$AH,MATCH(MEDIÇÃO!R1263,'PROJETO PERFURAÇÃO'!$B:$B,0)),"")</f>
        <v/>
      </c>
      <c r="T1263" s="8" t="str">
        <f>IFERROR(INDEX('PROJETO PERFURAÇÃO'!$AN:$AN,MATCH(MEDIÇÃO!R1263,'PROJETO PERFURAÇÃO'!$B:$B,0)),"")</f>
        <v/>
      </c>
      <c r="U1263" s="3"/>
      <c r="V1263" s="3"/>
    </row>
    <row r="1264" spans="2:22" ht="45" customHeight="1">
      <c r="B1264" s="3" t="str">
        <f>IFERROR(ROUND(INDEX('PROJETO PERFURAÇÃO'!$AB:$AB,MATCH(MEDIÇÃO!D1264,'PROJETO PERFURAÇÃO'!$B:$B,0)),1)&amp;"''","")</f>
        <v/>
      </c>
      <c r="C1264" s="3" t="str">
        <f>IFERROR(IF(INDEX('PROJETO PERFURAÇÃO'!$P:$P,MATCH(MEDIÇÃO!D1264,'PROJETO PERFURAÇÃO'!$B:$B,0))="Production","P",IF(INDEX('PROJETO PERFURAÇÃO'!$P:$P,MATCH(MEDIÇÃO!D1264,'PROJETO PERFURAÇÃO'!$B:$B,0))="Buffer","B",IF(INDEX('PROJETO PERFURAÇÃO'!$P:$P,MATCH(MEDIÇÃO!D1264,'PROJETO PERFURAÇÃO'!$B:$B,0))="Pre-Splitting","S"))),"")</f>
        <v/>
      </c>
      <c r="D1264" s="14">
        <f t="shared" si="120"/>
        <v>2780</v>
      </c>
      <c r="E1264" s="4" t="str">
        <f>IFERROR(INDEX('LEV R&amp;D'!$D:$D,MATCH(MEDIÇÃO!D1264,'LEV R&amp;D'!$A:$A,0))-INDEX('PROJETO PERFURAÇÃO'!$AH:$AH,MATCH(MEDIÇÃO!D1264,'PROJETO PERFURAÇÃO'!$B:$B,0)),"")</f>
        <v/>
      </c>
      <c r="F1264" s="8" t="str">
        <f>IFERROR(INDEX('PROJETO PERFURAÇÃO'!$AN:$AN,MATCH(MEDIÇÃO!D1264,'PROJETO PERFURAÇÃO'!$B:$B,0)),"")</f>
        <v/>
      </c>
      <c r="G1264" s="3"/>
      <c r="H1264" s="3"/>
      <c r="I1264" s="3" t="str">
        <f>IFERROR(ROUND(INDEX('PROJETO PERFURAÇÃO'!$AB:$AB,MATCH(MEDIÇÃO!K1264,'PROJETO PERFURAÇÃO'!$B:$B,0)),1)&amp;"''","")</f>
        <v/>
      </c>
      <c r="J1264" s="3" t="str">
        <f>IFERROR(IF(INDEX('PROJETO PERFURAÇÃO'!$P:$P,MATCH(MEDIÇÃO!K1264,'PROJETO PERFURAÇÃO'!$B:$B,0))="Production","P",IF(INDEX('PROJETO PERFURAÇÃO'!$P:$P,MATCH(MEDIÇÃO!K1264,'PROJETO PERFURAÇÃO'!$B:$B,0))="Buffer","B",IF(INDEX('PROJETO PERFURAÇÃO'!$P:$P,MATCH(MEDIÇÃO!K1264,'PROJETO PERFURAÇÃO'!$B:$B,0))="Pre-Splitting","S"))),"")</f>
        <v/>
      </c>
      <c r="K1264" s="14">
        <f t="shared" si="121"/>
        <v>2803</v>
      </c>
      <c r="L1264" s="4" t="str">
        <f>IFERROR(INDEX('LEV R&amp;D'!$D:$D,MATCH(MEDIÇÃO!K1264,'LEV R&amp;D'!$A:$A,0))-INDEX('PROJETO PERFURAÇÃO'!$AH:$AH,MATCH(MEDIÇÃO!K1264,'PROJETO PERFURAÇÃO'!$B:$B,0)),"")</f>
        <v/>
      </c>
      <c r="M1264" s="8" t="str">
        <f>IFERROR(INDEX('PROJETO PERFURAÇÃO'!$AN:$AN,MATCH(MEDIÇÃO!K1264,'PROJETO PERFURAÇÃO'!$B:$B,0)),"")</f>
        <v/>
      </c>
      <c r="N1264" s="3"/>
      <c r="O1264" s="3"/>
      <c r="P1264" s="3" t="str">
        <f>IFERROR(ROUND(INDEX('PROJETO PERFURAÇÃO'!$AB:$AB,MATCH(MEDIÇÃO!R1264,'PROJETO PERFURAÇÃO'!$B:$B,0)),1)&amp;"''","")</f>
        <v/>
      </c>
      <c r="Q1264" s="3" t="str">
        <f>IFERROR(IF(INDEX('PROJETO PERFURAÇÃO'!$P:$P,MATCH(MEDIÇÃO!R1264,'PROJETO PERFURAÇÃO'!$B:$B,0))="Production","P",IF(INDEX('PROJETO PERFURAÇÃO'!$P:$P,MATCH(MEDIÇÃO!R1264,'PROJETO PERFURAÇÃO'!$B:$B,0))="Buffer","B",IF(INDEX('PROJETO PERFURAÇÃO'!$P:$P,MATCH(MEDIÇÃO!R1264,'PROJETO PERFURAÇÃO'!$B:$B,0))="Pre-Splitting","S"))),"")</f>
        <v/>
      </c>
      <c r="R1264" s="14">
        <f t="shared" si="122"/>
        <v>2826</v>
      </c>
      <c r="S1264" s="4" t="str">
        <f>IFERROR(INDEX('LEV R&amp;D'!$D:$D,MATCH(MEDIÇÃO!R1264,'LEV R&amp;D'!$A:$A,0))-INDEX('PROJETO PERFURAÇÃO'!$AH:$AH,MATCH(MEDIÇÃO!R1264,'PROJETO PERFURAÇÃO'!$B:$B,0)),"")</f>
        <v/>
      </c>
      <c r="T1264" s="8" t="str">
        <f>IFERROR(INDEX('PROJETO PERFURAÇÃO'!$AN:$AN,MATCH(MEDIÇÃO!R1264,'PROJETO PERFURAÇÃO'!$B:$B,0)),"")</f>
        <v/>
      </c>
      <c r="U1264" s="3"/>
      <c r="V1264" s="3"/>
    </row>
    <row r="1265" spans="1:23" ht="45" customHeight="1">
      <c r="B1265" s="3" t="str">
        <f>IFERROR(ROUND(INDEX('PROJETO PERFURAÇÃO'!$AB:$AB,MATCH(MEDIÇÃO!D1265,'PROJETO PERFURAÇÃO'!$B:$B,0)),1)&amp;"''","")</f>
        <v/>
      </c>
      <c r="C1265" s="3" t="str">
        <f>IFERROR(IF(INDEX('PROJETO PERFURAÇÃO'!$P:$P,MATCH(MEDIÇÃO!D1265,'PROJETO PERFURAÇÃO'!$B:$B,0))="Production","P",IF(INDEX('PROJETO PERFURAÇÃO'!$P:$P,MATCH(MEDIÇÃO!D1265,'PROJETO PERFURAÇÃO'!$B:$B,0))="Buffer","B",IF(INDEX('PROJETO PERFURAÇÃO'!$P:$P,MATCH(MEDIÇÃO!D1265,'PROJETO PERFURAÇÃO'!$B:$B,0))="Pre-Splitting","S"))),"")</f>
        <v/>
      </c>
      <c r="D1265" s="14">
        <f t="shared" si="120"/>
        <v>2781</v>
      </c>
      <c r="E1265" s="4" t="str">
        <f>IFERROR(INDEX('LEV R&amp;D'!$D:$D,MATCH(MEDIÇÃO!D1265,'LEV R&amp;D'!$A:$A,0))-INDEX('PROJETO PERFURAÇÃO'!$AH:$AH,MATCH(MEDIÇÃO!D1265,'PROJETO PERFURAÇÃO'!$B:$B,0)),"")</f>
        <v/>
      </c>
      <c r="F1265" s="8" t="str">
        <f>IFERROR(INDEX('PROJETO PERFURAÇÃO'!$AN:$AN,MATCH(MEDIÇÃO!D1265,'PROJETO PERFURAÇÃO'!$B:$B,0)),"")</f>
        <v/>
      </c>
      <c r="G1265" s="3"/>
      <c r="H1265" s="3"/>
      <c r="I1265" s="3" t="str">
        <f>IFERROR(ROUND(INDEX('PROJETO PERFURAÇÃO'!$AB:$AB,MATCH(MEDIÇÃO!K1265,'PROJETO PERFURAÇÃO'!$B:$B,0)),1)&amp;"''","")</f>
        <v/>
      </c>
      <c r="J1265" s="3" t="str">
        <f>IFERROR(IF(INDEX('PROJETO PERFURAÇÃO'!$P:$P,MATCH(MEDIÇÃO!K1265,'PROJETO PERFURAÇÃO'!$B:$B,0))="Production","P",IF(INDEX('PROJETO PERFURAÇÃO'!$P:$P,MATCH(MEDIÇÃO!K1265,'PROJETO PERFURAÇÃO'!$B:$B,0))="Buffer","B",IF(INDEX('PROJETO PERFURAÇÃO'!$P:$P,MATCH(MEDIÇÃO!K1265,'PROJETO PERFURAÇÃO'!$B:$B,0))="Pre-Splitting","S"))),"")</f>
        <v/>
      </c>
      <c r="K1265" s="14">
        <f t="shared" si="121"/>
        <v>2804</v>
      </c>
      <c r="L1265" s="4" t="str">
        <f>IFERROR(INDEX('LEV R&amp;D'!$D:$D,MATCH(MEDIÇÃO!K1265,'LEV R&amp;D'!$A:$A,0))-INDEX('PROJETO PERFURAÇÃO'!$AH:$AH,MATCH(MEDIÇÃO!K1265,'PROJETO PERFURAÇÃO'!$B:$B,0)),"")</f>
        <v/>
      </c>
      <c r="M1265" s="8" t="str">
        <f>IFERROR(INDEX('PROJETO PERFURAÇÃO'!$AN:$AN,MATCH(MEDIÇÃO!K1265,'PROJETO PERFURAÇÃO'!$B:$B,0)),"")</f>
        <v/>
      </c>
      <c r="N1265" s="3"/>
      <c r="O1265" s="3"/>
      <c r="P1265" s="3" t="str">
        <f>IFERROR(ROUND(INDEX('PROJETO PERFURAÇÃO'!$AB:$AB,MATCH(MEDIÇÃO!R1265,'PROJETO PERFURAÇÃO'!$B:$B,0)),1)&amp;"''","")</f>
        <v/>
      </c>
      <c r="Q1265" s="3" t="str">
        <f>IFERROR(IF(INDEX('PROJETO PERFURAÇÃO'!$P:$P,MATCH(MEDIÇÃO!R1265,'PROJETO PERFURAÇÃO'!$B:$B,0))="Production","P",IF(INDEX('PROJETO PERFURAÇÃO'!$P:$P,MATCH(MEDIÇÃO!R1265,'PROJETO PERFURAÇÃO'!$B:$B,0))="Buffer","B",IF(INDEX('PROJETO PERFURAÇÃO'!$P:$P,MATCH(MEDIÇÃO!R1265,'PROJETO PERFURAÇÃO'!$B:$B,0))="Pre-Splitting","S"))),"")</f>
        <v/>
      </c>
      <c r="R1265" s="14">
        <f t="shared" si="122"/>
        <v>2827</v>
      </c>
      <c r="S1265" s="4" t="str">
        <f>IFERROR(INDEX('LEV R&amp;D'!$D:$D,MATCH(MEDIÇÃO!R1265,'LEV R&amp;D'!$A:$A,0))-INDEX('PROJETO PERFURAÇÃO'!$AH:$AH,MATCH(MEDIÇÃO!R1265,'PROJETO PERFURAÇÃO'!$B:$B,0)),"")</f>
        <v/>
      </c>
      <c r="T1265" s="8" t="str">
        <f>IFERROR(INDEX('PROJETO PERFURAÇÃO'!$AN:$AN,MATCH(MEDIÇÃO!R1265,'PROJETO PERFURAÇÃO'!$B:$B,0)),"")</f>
        <v/>
      </c>
      <c r="U1265" s="3"/>
      <c r="V1265" s="3"/>
    </row>
    <row r="1266" spans="1:23" ht="45" customHeight="1">
      <c r="B1266" s="3" t="str">
        <f>IFERROR(ROUND(INDEX('PROJETO PERFURAÇÃO'!$AB:$AB,MATCH(MEDIÇÃO!D1266,'PROJETO PERFURAÇÃO'!$B:$B,0)),1)&amp;"''","")</f>
        <v/>
      </c>
      <c r="C1266" s="3" t="str">
        <f>IFERROR(IF(INDEX('PROJETO PERFURAÇÃO'!$P:$P,MATCH(MEDIÇÃO!D1266,'PROJETO PERFURAÇÃO'!$B:$B,0))="Production","P",IF(INDEX('PROJETO PERFURAÇÃO'!$P:$P,MATCH(MEDIÇÃO!D1266,'PROJETO PERFURAÇÃO'!$B:$B,0))="Buffer","B",IF(INDEX('PROJETO PERFURAÇÃO'!$P:$P,MATCH(MEDIÇÃO!D1266,'PROJETO PERFURAÇÃO'!$B:$B,0))="Pre-Splitting","S"))),"")</f>
        <v/>
      </c>
      <c r="D1266" s="14">
        <f t="shared" si="120"/>
        <v>2782</v>
      </c>
      <c r="E1266" s="4" t="str">
        <f>IFERROR(INDEX('LEV R&amp;D'!$D:$D,MATCH(MEDIÇÃO!D1266,'LEV R&amp;D'!$A:$A,0))-INDEX('PROJETO PERFURAÇÃO'!$AH:$AH,MATCH(MEDIÇÃO!D1266,'PROJETO PERFURAÇÃO'!$B:$B,0)),"")</f>
        <v/>
      </c>
      <c r="F1266" s="8" t="str">
        <f>IFERROR(INDEX('PROJETO PERFURAÇÃO'!$AN:$AN,MATCH(MEDIÇÃO!D1266,'PROJETO PERFURAÇÃO'!$B:$B,0)),"")</f>
        <v/>
      </c>
      <c r="G1266" s="3"/>
      <c r="H1266" s="3"/>
      <c r="I1266" s="3" t="str">
        <f>IFERROR(ROUND(INDEX('PROJETO PERFURAÇÃO'!$AB:$AB,MATCH(MEDIÇÃO!K1266,'PROJETO PERFURAÇÃO'!$B:$B,0)),1)&amp;"''","")</f>
        <v/>
      </c>
      <c r="J1266" s="3" t="str">
        <f>IFERROR(IF(INDEX('PROJETO PERFURAÇÃO'!$P:$P,MATCH(MEDIÇÃO!K1266,'PROJETO PERFURAÇÃO'!$B:$B,0))="Production","P",IF(INDEX('PROJETO PERFURAÇÃO'!$P:$P,MATCH(MEDIÇÃO!K1266,'PROJETO PERFURAÇÃO'!$B:$B,0))="Buffer","B",IF(INDEX('PROJETO PERFURAÇÃO'!$P:$P,MATCH(MEDIÇÃO!K1266,'PROJETO PERFURAÇÃO'!$B:$B,0))="Pre-Splitting","S"))),"")</f>
        <v/>
      </c>
      <c r="K1266" s="14">
        <f t="shared" si="121"/>
        <v>2805</v>
      </c>
      <c r="L1266" s="4" t="str">
        <f>IFERROR(INDEX('LEV R&amp;D'!$D:$D,MATCH(MEDIÇÃO!K1266,'LEV R&amp;D'!$A:$A,0))-INDEX('PROJETO PERFURAÇÃO'!$AH:$AH,MATCH(MEDIÇÃO!K1266,'PROJETO PERFURAÇÃO'!$B:$B,0)),"")</f>
        <v/>
      </c>
      <c r="M1266" s="8" t="str">
        <f>IFERROR(INDEX('PROJETO PERFURAÇÃO'!$AN:$AN,MATCH(MEDIÇÃO!K1266,'PROJETO PERFURAÇÃO'!$B:$B,0)),"")</f>
        <v/>
      </c>
      <c r="N1266" s="3"/>
      <c r="O1266" s="3"/>
      <c r="P1266" s="3" t="str">
        <f>IFERROR(ROUND(INDEX('PROJETO PERFURAÇÃO'!$AB:$AB,MATCH(MEDIÇÃO!R1266,'PROJETO PERFURAÇÃO'!$B:$B,0)),1)&amp;"''","")</f>
        <v/>
      </c>
      <c r="Q1266" s="3" t="str">
        <f>IFERROR(IF(INDEX('PROJETO PERFURAÇÃO'!$P:$P,MATCH(MEDIÇÃO!R1266,'PROJETO PERFURAÇÃO'!$B:$B,0))="Production","P",IF(INDEX('PROJETO PERFURAÇÃO'!$P:$P,MATCH(MEDIÇÃO!R1266,'PROJETO PERFURAÇÃO'!$B:$B,0))="Buffer","B",IF(INDEX('PROJETO PERFURAÇÃO'!$P:$P,MATCH(MEDIÇÃO!R1266,'PROJETO PERFURAÇÃO'!$B:$B,0))="Pre-Splitting","S"))),"")</f>
        <v/>
      </c>
      <c r="R1266" s="14">
        <f t="shared" si="122"/>
        <v>2828</v>
      </c>
      <c r="S1266" s="4" t="str">
        <f>IFERROR(INDEX('LEV R&amp;D'!$D:$D,MATCH(MEDIÇÃO!R1266,'LEV R&amp;D'!$A:$A,0))-INDEX('PROJETO PERFURAÇÃO'!$AH:$AH,MATCH(MEDIÇÃO!R1266,'PROJETO PERFURAÇÃO'!$B:$B,0)),"")</f>
        <v/>
      </c>
      <c r="T1266" s="8" t="str">
        <f>IFERROR(INDEX('PROJETO PERFURAÇÃO'!$AN:$AN,MATCH(MEDIÇÃO!R1266,'PROJETO PERFURAÇÃO'!$B:$B,0)),"")</f>
        <v/>
      </c>
      <c r="U1266" s="3"/>
      <c r="V1266" s="3"/>
    </row>
    <row r="1267" spans="1:23" ht="45" customHeight="1">
      <c r="B1267" s="3" t="str">
        <f>IFERROR(ROUND(INDEX('PROJETO PERFURAÇÃO'!$AB:$AB,MATCH(MEDIÇÃO!D1267,'PROJETO PERFURAÇÃO'!$B:$B,0)),1)&amp;"''","")</f>
        <v/>
      </c>
      <c r="C1267" s="3" t="str">
        <f>IFERROR(IF(INDEX('PROJETO PERFURAÇÃO'!$P:$P,MATCH(MEDIÇÃO!D1267,'PROJETO PERFURAÇÃO'!$B:$B,0))="Production","P",IF(INDEX('PROJETO PERFURAÇÃO'!$P:$P,MATCH(MEDIÇÃO!D1267,'PROJETO PERFURAÇÃO'!$B:$B,0))="Buffer","B",IF(INDEX('PROJETO PERFURAÇÃO'!$P:$P,MATCH(MEDIÇÃO!D1267,'PROJETO PERFURAÇÃO'!$B:$B,0))="Pre-Splitting","S"))),"")</f>
        <v/>
      </c>
      <c r="D1267" s="14">
        <f t="shared" si="120"/>
        <v>2783</v>
      </c>
      <c r="E1267" s="4" t="str">
        <f>IFERROR(INDEX('LEV R&amp;D'!$D:$D,MATCH(MEDIÇÃO!D1267,'LEV R&amp;D'!$A:$A,0))-INDEX('PROJETO PERFURAÇÃO'!$AH:$AH,MATCH(MEDIÇÃO!D1267,'PROJETO PERFURAÇÃO'!$B:$B,0)),"")</f>
        <v/>
      </c>
      <c r="F1267" s="8" t="str">
        <f>IFERROR(INDEX('PROJETO PERFURAÇÃO'!$AN:$AN,MATCH(MEDIÇÃO!D1267,'PROJETO PERFURAÇÃO'!$B:$B,0)),"")</f>
        <v/>
      </c>
      <c r="G1267" s="3"/>
      <c r="H1267" s="3"/>
      <c r="I1267" s="3" t="str">
        <f>IFERROR(ROUND(INDEX('PROJETO PERFURAÇÃO'!$AB:$AB,MATCH(MEDIÇÃO!K1267,'PROJETO PERFURAÇÃO'!$B:$B,0)),1)&amp;"''","")</f>
        <v/>
      </c>
      <c r="J1267" s="3" t="str">
        <f>IFERROR(IF(INDEX('PROJETO PERFURAÇÃO'!$P:$P,MATCH(MEDIÇÃO!K1267,'PROJETO PERFURAÇÃO'!$B:$B,0))="Production","P",IF(INDEX('PROJETO PERFURAÇÃO'!$P:$P,MATCH(MEDIÇÃO!K1267,'PROJETO PERFURAÇÃO'!$B:$B,0))="Buffer","B",IF(INDEX('PROJETO PERFURAÇÃO'!$P:$P,MATCH(MEDIÇÃO!K1267,'PROJETO PERFURAÇÃO'!$B:$B,0))="Pre-Splitting","S"))),"")</f>
        <v/>
      </c>
      <c r="K1267" s="14">
        <f>K1266+1</f>
        <v>2806</v>
      </c>
      <c r="L1267" s="4" t="str">
        <f>IFERROR(INDEX('LEV R&amp;D'!$D:$D,MATCH(MEDIÇÃO!K1267,'LEV R&amp;D'!$A:$A,0))-INDEX('PROJETO PERFURAÇÃO'!$AH:$AH,MATCH(MEDIÇÃO!K1267,'PROJETO PERFURAÇÃO'!$B:$B,0)),"")</f>
        <v/>
      </c>
      <c r="M1267" s="8" t="str">
        <f>IFERROR(INDEX('PROJETO PERFURAÇÃO'!$AN:$AN,MATCH(MEDIÇÃO!K1267,'PROJETO PERFURAÇÃO'!$B:$B,0)),"")</f>
        <v/>
      </c>
      <c r="N1267" s="3"/>
      <c r="O1267" s="3"/>
      <c r="P1267" s="3" t="str">
        <f>IFERROR(ROUND(INDEX('PROJETO PERFURAÇÃO'!$AB:$AB,MATCH(MEDIÇÃO!R1267,'PROJETO PERFURAÇÃO'!$B:$B,0)),1)&amp;"''","")</f>
        <v/>
      </c>
      <c r="Q1267" s="3" t="str">
        <f>IFERROR(IF(INDEX('PROJETO PERFURAÇÃO'!$P:$P,MATCH(MEDIÇÃO!R1267,'PROJETO PERFURAÇÃO'!$B:$B,0))="Production","P",IF(INDEX('PROJETO PERFURAÇÃO'!$P:$P,MATCH(MEDIÇÃO!R1267,'PROJETO PERFURAÇÃO'!$B:$B,0))="Buffer","B",IF(INDEX('PROJETO PERFURAÇÃO'!$P:$P,MATCH(MEDIÇÃO!R1267,'PROJETO PERFURAÇÃO'!$B:$B,0))="Pre-Splitting","S"))),"")</f>
        <v/>
      </c>
      <c r="R1267" s="14">
        <f>R1266+1</f>
        <v>2829</v>
      </c>
      <c r="S1267" s="4" t="str">
        <f>IFERROR(INDEX('LEV R&amp;D'!$D:$D,MATCH(MEDIÇÃO!R1267,'LEV R&amp;D'!$A:$A,0))-INDEX('PROJETO PERFURAÇÃO'!$AH:$AH,MATCH(MEDIÇÃO!R1267,'PROJETO PERFURAÇÃO'!$B:$B,0)),"")</f>
        <v/>
      </c>
      <c r="T1267" s="8" t="str">
        <f>IFERROR(INDEX('PROJETO PERFURAÇÃO'!$AN:$AN,MATCH(MEDIÇÃO!R1267,'PROJETO PERFURAÇÃO'!$B:$B,0)),"")</f>
        <v/>
      </c>
      <c r="U1267" s="3"/>
      <c r="V1267" s="3"/>
    </row>
    <row r="1268" spans="1:23" ht="30" customHeight="1">
      <c r="B1268" s="1"/>
      <c r="C1268" s="1"/>
      <c r="D1268" s="15"/>
      <c r="E1268" s="2"/>
      <c r="F1268" s="16"/>
      <c r="G1268" s="1"/>
      <c r="H1268" s="1"/>
      <c r="I1268" s="1"/>
      <c r="J1268" s="1"/>
      <c r="K1268" s="15"/>
      <c r="L1268" s="2"/>
      <c r="M1268" s="16"/>
      <c r="N1268" s="1"/>
      <c r="O1268" s="1"/>
      <c r="P1268" s="1"/>
      <c r="Q1268" s="1"/>
      <c r="R1268" s="15"/>
      <c r="S1268" s="2"/>
      <c r="T1268" s="16"/>
      <c r="U1268" s="1"/>
      <c r="V1268" s="1"/>
    </row>
    <row r="1269" spans="1:23" ht="30" customHeight="1">
      <c r="C1269" s="20"/>
      <c r="D1269" s="20"/>
      <c r="E1269" s="20"/>
      <c r="F1269" s="20"/>
      <c r="G1269" s="20"/>
      <c r="H1269" s="20"/>
      <c r="I1269" s="20"/>
      <c r="J1269" s="20"/>
      <c r="K1269" s="20"/>
      <c r="M1269" s="20"/>
      <c r="N1269" s="20"/>
      <c r="O1269" s="20"/>
      <c r="P1269" s="20"/>
      <c r="Q1269" s="20"/>
      <c r="R1269" s="20"/>
      <c r="S1269" s="20"/>
      <c r="T1269" s="20"/>
      <c r="U1269" s="20"/>
    </row>
    <row r="1270" spans="1:23" ht="30" customHeight="1">
      <c r="C1270" s="21" t="s">
        <v>40</v>
      </c>
      <c r="D1270" s="21"/>
      <c r="E1270" s="21"/>
      <c r="F1270" s="21"/>
      <c r="G1270" s="21"/>
      <c r="H1270" s="21"/>
      <c r="I1270" s="21"/>
      <c r="J1270" s="21"/>
      <c r="K1270" s="21"/>
      <c r="L1270" s="9"/>
      <c r="M1270" s="21" t="s">
        <v>40</v>
      </c>
      <c r="N1270" s="21"/>
      <c r="O1270" s="21"/>
      <c r="P1270" s="21"/>
      <c r="Q1270" s="21"/>
      <c r="R1270" s="21"/>
      <c r="S1270" s="21"/>
      <c r="T1270" s="21"/>
      <c r="U1270" s="21"/>
      <c r="V1270" s="9"/>
    </row>
    <row r="1271" spans="1:23" ht="30" customHeight="1">
      <c r="D1271" s="9"/>
      <c r="E1271" s="9"/>
      <c r="F1271" s="9"/>
      <c r="G1271" s="9"/>
      <c r="H1271" s="9"/>
      <c r="I1271" s="9"/>
      <c r="J1271" s="9"/>
      <c r="K1271" s="9"/>
      <c r="L1271" s="9"/>
      <c r="M1271" s="9"/>
      <c r="N1271" s="9"/>
      <c r="Q1271" s="9"/>
      <c r="R1271" s="9"/>
      <c r="S1271" s="9"/>
      <c r="T1271" s="9"/>
      <c r="U1271" s="9"/>
      <c r="V1271" s="9"/>
    </row>
    <row r="1272" spans="1:23" ht="30" customHeight="1">
      <c r="B1272" s="19" t="str">
        <f>'PROJETO PERFURAÇÃO'!$C$2&amp;" - "&amp;'PROJETO PERFURAÇÃO'!$H$2</f>
        <v>LIB037 - PP0370626</v>
      </c>
      <c r="C1272" s="19"/>
      <c r="D1272" s="19"/>
      <c r="E1272" s="19"/>
      <c r="F1272" s="19"/>
      <c r="G1272" s="19"/>
      <c r="H1272" s="19"/>
      <c r="I1272" s="11" t="s">
        <v>34</v>
      </c>
      <c r="J1272" s="10" t="s">
        <v>37</v>
      </c>
    </row>
    <row r="1273" spans="1:23" ht="30" customHeight="1">
      <c r="B1273" s="19"/>
      <c r="C1273" s="19"/>
      <c r="D1273" s="19"/>
      <c r="E1273" s="19"/>
      <c r="F1273" s="19"/>
      <c r="G1273" s="19"/>
      <c r="H1273" s="19"/>
      <c r="I1273" s="12" t="s">
        <v>35</v>
      </c>
      <c r="J1273" s="10" t="s">
        <v>38</v>
      </c>
      <c r="K1273" s="9"/>
      <c r="L1273" s="9"/>
      <c r="M1273" s="9"/>
      <c r="N1273" s="9"/>
      <c r="O1273" s="9"/>
      <c r="P1273" s="9"/>
      <c r="Q1273" s="9"/>
      <c r="R1273" s="9"/>
      <c r="S1273" s="9"/>
      <c r="T1273" s="9"/>
      <c r="U1273" s="9"/>
      <c r="V1273" s="9"/>
    </row>
    <row r="1274" spans="1:23" ht="30" customHeight="1">
      <c r="B1274" s="19"/>
      <c r="C1274" s="19"/>
      <c r="D1274" s="19"/>
      <c r="E1274" s="19"/>
      <c r="F1274" s="19"/>
      <c r="G1274" s="19"/>
      <c r="H1274" s="19"/>
      <c r="I1274" s="13" t="s">
        <v>36</v>
      </c>
      <c r="J1274" s="10" t="s">
        <v>39</v>
      </c>
    </row>
    <row r="1275" spans="1:23" ht="30" customHeight="1">
      <c r="A1275" s="1"/>
      <c r="B1275" s="6" t="s">
        <v>33</v>
      </c>
      <c r="C1275" s="6" t="s">
        <v>13</v>
      </c>
      <c r="D1275" s="7" t="s">
        <v>1</v>
      </c>
      <c r="E1275" s="7" t="s">
        <v>29</v>
      </c>
      <c r="F1275" s="7" t="s">
        <v>30</v>
      </c>
      <c r="G1275" s="7" t="s">
        <v>31</v>
      </c>
      <c r="H1275" s="7" t="s">
        <v>32</v>
      </c>
      <c r="I1275" s="6" t="s">
        <v>33</v>
      </c>
      <c r="J1275" s="6" t="s">
        <v>13</v>
      </c>
      <c r="K1275" s="7" t="s">
        <v>1</v>
      </c>
      <c r="L1275" s="7" t="s">
        <v>29</v>
      </c>
      <c r="M1275" s="7" t="s">
        <v>30</v>
      </c>
      <c r="N1275" s="7" t="s">
        <v>31</v>
      </c>
      <c r="O1275" s="7" t="s">
        <v>32</v>
      </c>
      <c r="P1275" s="6" t="s">
        <v>33</v>
      </c>
      <c r="Q1275" s="6" t="s">
        <v>13</v>
      </c>
      <c r="R1275" s="7" t="s">
        <v>1</v>
      </c>
      <c r="S1275" s="7" t="s">
        <v>29</v>
      </c>
      <c r="T1275" s="7" t="s">
        <v>30</v>
      </c>
      <c r="U1275" s="7" t="s">
        <v>31</v>
      </c>
      <c r="V1275" s="7" t="s">
        <v>32</v>
      </c>
      <c r="W1275" s="1"/>
    </row>
    <row r="1276" spans="1:23" ht="45" customHeight="1">
      <c r="B1276" s="3" t="str">
        <f>IFERROR(ROUND(INDEX('PROJETO PERFURAÇÃO'!$AB:$AB,MATCH(MEDIÇÃO!D1276,'PROJETO PERFURAÇÃO'!$B:$B,0)),1)&amp;"''","")</f>
        <v/>
      </c>
      <c r="C1276" s="3" t="str">
        <f>IFERROR(IF(INDEX('PROJETO PERFURAÇÃO'!$P:$P,MATCH(MEDIÇÃO!D1276,'PROJETO PERFURAÇÃO'!$B:$B,0))="Production","P",IF(INDEX('PROJETO PERFURAÇÃO'!$P:$P,MATCH(MEDIÇÃO!D1276,'PROJETO PERFURAÇÃO'!$B:$B,0))="Buffer","B",IF(INDEX('PROJETO PERFURAÇÃO'!$P:$P,MATCH(MEDIÇÃO!D1276,'PROJETO PERFURAÇÃO'!$B:$B,0))="Pre-Splitting","S"))),"")</f>
        <v/>
      </c>
      <c r="D1276" s="14">
        <f>R1267+1</f>
        <v>2830</v>
      </c>
      <c r="E1276" s="4" t="str">
        <f>IFERROR(INDEX('LEV R&amp;D'!$D:$D,MATCH(MEDIÇÃO!D1276,'LEV R&amp;D'!$A:$A,0))-INDEX('PROJETO PERFURAÇÃO'!$AH:$AH,MATCH(MEDIÇÃO!D1276,'PROJETO PERFURAÇÃO'!$B:$B,0)),"")</f>
        <v/>
      </c>
      <c r="F1276" s="8" t="str">
        <f>IFERROR(INDEX('PROJETO PERFURAÇÃO'!$AN:$AN,MATCH(MEDIÇÃO!D1276,'PROJETO PERFURAÇÃO'!$B:$B,0)),"")</f>
        <v/>
      </c>
      <c r="G1276" s="3"/>
      <c r="H1276" s="3"/>
      <c r="I1276" s="3" t="str">
        <f>IFERROR(ROUND(INDEX('PROJETO PERFURAÇÃO'!$AB:$AB,MATCH(MEDIÇÃO!K1276,'PROJETO PERFURAÇÃO'!$B:$B,0)),1)&amp;"''","")</f>
        <v/>
      </c>
      <c r="J1276" s="3" t="str">
        <f>IFERROR(IF(INDEX('PROJETO PERFURAÇÃO'!$P:$P,MATCH(MEDIÇÃO!K1276,'PROJETO PERFURAÇÃO'!$B:$B,0))="Production","P",IF(INDEX('PROJETO PERFURAÇÃO'!$P:$P,MATCH(MEDIÇÃO!K1276,'PROJETO PERFURAÇÃO'!$B:$B,0))="Buffer","B",IF(INDEX('PROJETO PERFURAÇÃO'!$P:$P,MATCH(MEDIÇÃO!K1276,'PROJETO PERFURAÇÃO'!$B:$B,0))="Pre-Splitting","S"))),"")</f>
        <v/>
      </c>
      <c r="K1276" s="14">
        <f>D1298+1</f>
        <v>2853</v>
      </c>
      <c r="L1276" s="4" t="str">
        <f>IFERROR(INDEX('LEV R&amp;D'!$D:$D,MATCH(MEDIÇÃO!K1276,'LEV R&amp;D'!$A:$A,0))-INDEX('PROJETO PERFURAÇÃO'!$AH:$AH,MATCH(MEDIÇÃO!K1276,'PROJETO PERFURAÇÃO'!$B:$B,0)),"")</f>
        <v/>
      </c>
      <c r="M1276" s="8" t="str">
        <f>IFERROR(INDEX('PROJETO PERFURAÇÃO'!$AN:$AN,MATCH(MEDIÇÃO!K1276,'PROJETO PERFURAÇÃO'!$B:$B,0)),"")</f>
        <v/>
      </c>
      <c r="N1276" s="3"/>
      <c r="O1276" s="3"/>
      <c r="P1276" s="3" t="str">
        <f>IFERROR(ROUND(INDEX('PROJETO PERFURAÇÃO'!$AB:$AB,MATCH(MEDIÇÃO!R1276,'PROJETO PERFURAÇÃO'!$B:$B,0)),1)&amp;"''","")</f>
        <v/>
      </c>
      <c r="Q1276" s="3" t="str">
        <f>IFERROR(IF(INDEX('PROJETO PERFURAÇÃO'!$P:$P,MATCH(MEDIÇÃO!R1276,'PROJETO PERFURAÇÃO'!$B:$B,0))="Production","P",IF(INDEX('PROJETO PERFURAÇÃO'!$P:$P,MATCH(MEDIÇÃO!R1276,'PROJETO PERFURAÇÃO'!$B:$B,0))="Buffer","B",IF(INDEX('PROJETO PERFURAÇÃO'!$P:$P,MATCH(MEDIÇÃO!R1276,'PROJETO PERFURAÇÃO'!$B:$B,0))="Pre-Splitting","S"))),"")</f>
        <v/>
      </c>
      <c r="R1276" s="14">
        <f>K1298+1</f>
        <v>2876</v>
      </c>
      <c r="S1276" s="4" t="str">
        <f>IFERROR(INDEX('LEV R&amp;D'!$D:$D,MATCH(MEDIÇÃO!R1276,'LEV R&amp;D'!$A:$A,0))-INDEX('PROJETO PERFURAÇÃO'!$AH:$AH,MATCH(MEDIÇÃO!R1276,'PROJETO PERFURAÇÃO'!$B:$B,0)),"")</f>
        <v/>
      </c>
      <c r="T1276" s="8" t="str">
        <f>IFERROR(INDEX('PROJETO PERFURAÇÃO'!$AN:$AN,MATCH(MEDIÇÃO!R1276,'PROJETO PERFURAÇÃO'!$B:$B,0)),"")</f>
        <v/>
      </c>
      <c r="U1276" s="3"/>
      <c r="V1276" s="3"/>
    </row>
    <row r="1277" spans="1:23" ht="45" customHeight="1">
      <c r="B1277" s="3" t="str">
        <f>IFERROR(ROUND(INDEX('PROJETO PERFURAÇÃO'!$AB:$AB,MATCH(MEDIÇÃO!D1277,'PROJETO PERFURAÇÃO'!$B:$B,0)),1)&amp;"''","")</f>
        <v/>
      </c>
      <c r="C1277" s="3" t="str">
        <f>IFERROR(IF(INDEX('PROJETO PERFURAÇÃO'!$P:$P,MATCH(MEDIÇÃO!D1277,'PROJETO PERFURAÇÃO'!$B:$B,0))="Production","P",IF(INDEX('PROJETO PERFURAÇÃO'!$P:$P,MATCH(MEDIÇÃO!D1277,'PROJETO PERFURAÇÃO'!$B:$B,0))="Buffer","B",IF(INDEX('PROJETO PERFURAÇÃO'!$P:$P,MATCH(MEDIÇÃO!D1277,'PROJETO PERFURAÇÃO'!$B:$B,0))="Pre-Splitting","S"))),"")</f>
        <v/>
      </c>
      <c r="D1277" s="14">
        <f>D1276+1</f>
        <v>2831</v>
      </c>
      <c r="E1277" s="4" t="str">
        <f>IFERROR(INDEX('LEV R&amp;D'!$D:$D,MATCH(MEDIÇÃO!D1277,'LEV R&amp;D'!$A:$A,0))-INDEX('PROJETO PERFURAÇÃO'!$AH:$AH,MATCH(MEDIÇÃO!D1277,'PROJETO PERFURAÇÃO'!$B:$B,0)),"")</f>
        <v/>
      </c>
      <c r="F1277" s="8" t="str">
        <f>IFERROR(INDEX('PROJETO PERFURAÇÃO'!$AN:$AN,MATCH(MEDIÇÃO!D1277,'PROJETO PERFURAÇÃO'!$B:$B,0)),"")</f>
        <v/>
      </c>
      <c r="G1277" s="3"/>
      <c r="H1277" s="3"/>
      <c r="I1277" s="3" t="str">
        <f>IFERROR(ROUND(INDEX('PROJETO PERFURAÇÃO'!$AB:$AB,MATCH(MEDIÇÃO!K1277,'PROJETO PERFURAÇÃO'!$B:$B,0)),1)&amp;"''","")</f>
        <v/>
      </c>
      <c r="J1277" s="3" t="str">
        <f>IFERROR(IF(INDEX('PROJETO PERFURAÇÃO'!$P:$P,MATCH(MEDIÇÃO!K1277,'PROJETO PERFURAÇÃO'!$B:$B,0))="Production","P",IF(INDEX('PROJETO PERFURAÇÃO'!$P:$P,MATCH(MEDIÇÃO!K1277,'PROJETO PERFURAÇÃO'!$B:$B,0))="Buffer","B",IF(INDEX('PROJETO PERFURAÇÃO'!$P:$P,MATCH(MEDIÇÃO!K1277,'PROJETO PERFURAÇÃO'!$B:$B,0))="Pre-Splitting","S"))),"")</f>
        <v/>
      </c>
      <c r="K1277" s="14">
        <f>K1276+1</f>
        <v>2854</v>
      </c>
      <c r="L1277" s="4" t="str">
        <f>IFERROR(INDEX('LEV R&amp;D'!$D:$D,MATCH(MEDIÇÃO!K1277,'LEV R&amp;D'!$A:$A,0))-INDEX('PROJETO PERFURAÇÃO'!$AH:$AH,MATCH(MEDIÇÃO!K1277,'PROJETO PERFURAÇÃO'!$B:$B,0)),"")</f>
        <v/>
      </c>
      <c r="M1277" s="8" t="str">
        <f>IFERROR(INDEX('PROJETO PERFURAÇÃO'!$AN:$AN,MATCH(MEDIÇÃO!K1277,'PROJETO PERFURAÇÃO'!$B:$B,0)),"")</f>
        <v/>
      </c>
      <c r="N1277" s="3"/>
      <c r="O1277" s="3"/>
      <c r="P1277" s="3" t="str">
        <f>IFERROR(ROUND(INDEX('PROJETO PERFURAÇÃO'!$AB:$AB,MATCH(MEDIÇÃO!R1277,'PROJETO PERFURAÇÃO'!$B:$B,0)),1)&amp;"''","")</f>
        <v/>
      </c>
      <c r="Q1277" s="3" t="str">
        <f>IFERROR(IF(INDEX('PROJETO PERFURAÇÃO'!$P:$P,MATCH(MEDIÇÃO!R1277,'PROJETO PERFURAÇÃO'!$B:$B,0))="Production","P",IF(INDEX('PROJETO PERFURAÇÃO'!$P:$P,MATCH(MEDIÇÃO!R1277,'PROJETO PERFURAÇÃO'!$B:$B,0))="Buffer","B",IF(INDEX('PROJETO PERFURAÇÃO'!$P:$P,MATCH(MEDIÇÃO!R1277,'PROJETO PERFURAÇÃO'!$B:$B,0))="Pre-Splitting","S"))),"")</f>
        <v/>
      </c>
      <c r="R1277" s="14">
        <f>R1276+1</f>
        <v>2877</v>
      </c>
      <c r="S1277" s="4" t="str">
        <f>IFERROR(INDEX('LEV R&amp;D'!$D:$D,MATCH(MEDIÇÃO!R1277,'LEV R&amp;D'!$A:$A,0))-INDEX('PROJETO PERFURAÇÃO'!$AH:$AH,MATCH(MEDIÇÃO!R1277,'PROJETO PERFURAÇÃO'!$B:$B,0)),"")</f>
        <v/>
      </c>
      <c r="T1277" s="8" t="str">
        <f>IFERROR(INDEX('PROJETO PERFURAÇÃO'!$AN:$AN,MATCH(MEDIÇÃO!R1277,'PROJETO PERFURAÇÃO'!$B:$B,0)),"")</f>
        <v/>
      </c>
      <c r="U1277" s="3"/>
      <c r="V1277" s="3"/>
    </row>
    <row r="1278" spans="1:23" ht="45" customHeight="1">
      <c r="B1278" s="3" t="str">
        <f>IFERROR(ROUND(INDEX('PROJETO PERFURAÇÃO'!$AB:$AB,MATCH(MEDIÇÃO!D1278,'PROJETO PERFURAÇÃO'!$B:$B,0)),1)&amp;"''","")</f>
        <v/>
      </c>
      <c r="C1278" s="3" t="str">
        <f>IFERROR(IF(INDEX('PROJETO PERFURAÇÃO'!$P:$P,MATCH(MEDIÇÃO!D1278,'PROJETO PERFURAÇÃO'!$B:$B,0))="Production","P",IF(INDEX('PROJETO PERFURAÇÃO'!$P:$P,MATCH(MEDIÇÃO!D1278,'PROJETO PERFURAÇÃO'!$B:$B,0))="Buffer","B",IF(INDEX('PROJETO PERFURAÇÃO'!$P:$P,MATCH(MEDIÇÃO!D1278,'PROJETO PERFURAÇÃO'!$B:$B,0))="Pre-Splitting","S"))),"")</f>
        <v/>
      </c>
      <c r="D1278" s="14">
        <f t="shared" ref="D1278:D1298" si="123">D1277+1</f>
        <v>2832</v>
      </c>
      <c r="E1278" s="4" t="str">
        <f>IFERROR(INDEX('LEV R&amp;D'!$D:$D,MATCH(MEDIÇÃO!D1278,'LEV R&amp;D'!$A:$A,0))-INDEX('PROJETO PERFURAÇÃO'!$AH:$AH,MATCH(MEDIÇÃO!D1278,'PROJETO PERFURAÇÃO'!$B:$B,0)),"")</f>
        <v/>
      </c>
      <c r="F1278" s="8" t="str">
        <f>IFERROR(INDEX('PROJETO PERFURAÇÃO'!$AN:$AN,MATCH(MEDIÇÃO!D1278,'PROJETO PERFURAÇÃO'!$B:$B,0)),"")</f>
        <v/>
      </c>
      <c r="G1278" s="3"/>
      <c r="H1278" s="3"/>
      <c r="I1278" s="3" t="str">
        <f>IFERROR(ROUND(INDEX('PROJETO PERFURAÇÃO'!$AB:$AB,MATCH(MEDIÇÃO!K1278,'PROJETO PERFURAÇÃO'!$B:$B,0)),1)&amp;"''","")</f>
        <v/>
      </c>
      <c r="J1278" s="3" t="str">
        <f>IFERROR(IF(INDEX('PROJETO PERFURAÇÃO'!$P:$P,MATCH(MEDIÇÃO!K1278,'PROJETO PERFURAÇÃO'!$B:$B,0))="Production","P",IF(INDEX('PROJETO PERFURAÇÃO'!$P:$P,MATCH(MEDIÇÃO!K1278,'PROJETO PERFURAÇÃO'!$B:$B,0))="Buffer","B",IF(INDEX('PROJETO PERFURAÇÃO'!$P:$P,MATCH(MEDIÇÃO!K1278,'PROJETO PERFURAÇÃO'!$B:$B,0))="Pre-Splitting","S"))),"")</f>
        <v/>
      </c>
      <c r="K1278" s="14">
        <f t="shared" ref="K1278:K1297" si="124">K1277+1</f>
        <v>2855</v>
      </c>
      <c r="L1278" s="4" t="str">
        <f>IFERROR(INDEX('LEV R&amp;D'!$D:$D,MATCH(MEDIÇÃO!K1278,'LEV R&amp;D'!$A:$A,0))-INDEX('PROJETO PERFURAÇÃO'!$AH:$AH,MATCH(MEDIÇÃO!K1278,'PROJETO PERFURAÇÃO'!$B:$B,0)),"")</f>
        <v/>
      </c>
      <c r="M1278" s="8" t="str">
        <f>IFERROR(INDEX('PROJETO PERFURAÇÃO'!$AN:$AN,MATCH(MEDIÇÃO!K1278,'PROJETO PERFURAÇÃO'!$B:$B,0)),"")</f>
        <v/>
      </c>
      <c r="N1278" s="3"/>
      <c r="O1278" s="3"/>
      <c r="P1278" s="3" t="str">
        <f>IFERROR(ROUND(INDEX('PROJETO PERFURAÇÃO'!$AB:$AB,MATCH(MEDIÇÃO!R1278,'PROJETO PERFURAÇÃO'!$B:$B,0)),1)&amp;"''","")</f>
        <v/>
      </c>
      <c r="Q1278" s="3" t="str">
        <f>IFERROR(IF(INDEX('PROJETO PERFURAÇÃO'!$P:$P,MATCH(MEDIÇÃO!R1278,'PROJETO PERFURAÇÃO'!$B:$B,0))="Production","P",IF(INDEX('PROJETO PERFURAÇÃO'!$P:$P,MATCH(MEDIÇÃO!R1278,'PROJETO PERFURAÇÃO'!$B:$B,0))="Buffer","B",IF(INDEX('PROJETO PERFURAÇÃO'!$P:$P,MATCH(MEDIÇÃO!R1278,'PROJETO PERFURAÇÃO'!$B:$B,0))="Pre-Splitting","S"))),"")</f>
        <v/>
      </c>
      <c r="R1278" s="14">
        <f t="shared" ref="R1278:R1297" si="125">R1277+1</f>
        <v>2878</v>
      </c>
      <c r="S1278" s="4" t="str">
        <f>IFERROR(INDEX('LEV R&amp;D'!$D:$D,MATCH(MEDIÇÃO!R1278,'LEV R&amp;D'!$A:$A,0))-INDEX('PROJETO PERFURAÇÃO'!$AH:$AH,MATCH(MEDIÇÃO!R1278,'PROJETO PERFURAÇÃO'!$B:$B,0)),"")</f>
        <v/>
      </c>
      <c r="T1278" s="8" t="str">
        <f>IFERROR(INDEX('PROJETO PERFURAÇÃO'!$AN:$AN,MATCH(MEDIÇÃO!R1278,'PROJETO PERFURAÇÃO'!$B:$B,0)),"")</f>
        <v/>
      </c>
      <c r="U1278" s="3"/>
      <c r="V1278" s="3"/>
    </row>
    <row r="1279" spans="1:23" ht="45" customHeight="1">
      <c r="B1279" s="3" t="str">
        <f>IFERROR(ROUND(INDEX('PROJETO PERFURAÇÃO'!$AB:$AB,MATCH(MEDIÇÃO!D1279,'PROJETO PERFURAÇÃO'!$B:$B,0)),1)&amp;"''","")</f>
        <v/>
      </c>
      <c r="C1279" s="3" t="str">
        <f>IFERROR(IF(INDEX('PROJETO PERFURAÇÃO'!$P:$P,MATCH(MEDIÇÃO!D1279,'PROJETO PERFURAÇÃO'!$B:$B,0))="Production","P",IF(INDEX('PROJETO PERFURAÇÃO'!$P:$P,MATCH(MEDIÇÃO!D1279,'PROJETO PERFURAÇÃO'!$B:$B,0))="Buffer","B",IF(INDEX('PROJETO PERFURAÇÃO'!$P:$P,MATCH(MEDIÇÃO!D1279,'PROJETO PERFURAÇÃO'!$B:$B,0))="Pre-Splitting","S"))),"")</f>
        <v/>
      </c>
      <c r="D1279" s="14">
        <f t="shared" si="123"/>
        <v>2833</v>
      </c>
      <c r="E1279" s="4" t="str">
        <f>IFERROR(INDEX('LEV R&amp;D'!$D:$D,MATCH(MEDIÇÃO!D1279,'LEV R&amp;D'!$A:$A,0))-INDEX('PROJETO PERFURAÇÃO'!$AH:$AH,MATCH(MEDIÇÃO!D1279,'PROJETO PERFURAÇÃO'!$B:$B,0)),"")</f>
        <v/>
      </c>
      <c r="F1279" s="8" t="str">
        <f>IFERROR(INDEX('PROJETO PERFURAÇÃO'!$AN:$AN,MATCH(MEDIÇÃO!D1279,'PROJETO PERFURAÇÃO'!$B:$B,0)),"")</f>
        <v/>
      </c>
      <c r="G1279" s="3"/>
      <c r="H1279" s="3"/>
      <c r="I1279" s="3" t="str">
        <f>IFERROR(ROUND(INDEX('PROJETO PERFURAÇÃO'!$AB:$AB,MATCH(MEDIÇÃO!K1279,'PROJETO PERFURAÇÃO'!$B:$B,0)),1)&amp;"''","")</f>
        <v/>
      </c>
      <c r="J1279" s="3" t="str">
        <f>IFERROR(IF(INDEX('PROJETO PERFURAÇÃO'!$P:$P,MATCH(MEDIÇÃO!K1279,'PROJETO PERFURAÇÃO'!$B:$B,0))="Production","P",IF(INDEX('PROJETO PERFURAÇÃO'!$P:$P,MATCH(MEDIÇÃO!K1279,'PROJETO PERFURAÇÃO'!$B:$B,0))="Buffer","B",IF(INDEX('PROJETO PERFURAÇÃO'!$P:$P,MATCH(MEDIÇÃO!K1279,'PROJETO PERFURAÇÃO'!$B:$B,0))="Pre-Splitting","S"))),"")</f>
        <v/>
      </c>
      <c r="K1279" s="14">
        <f t="shared" si="124"/>
        <v>2856</v>
      </c>
      <c r="L1279" s="4" t="str">
        <f>IFERROR(INDEX('LEV R&amp;D'!$D:$D,MATCH(MEDIÇÃO!K1279,'LEV R&amp;D'!$A:$A,0))-INDEX('PROJETO PERFURAÇÃO'!$AH:$AH,MATCH(MEDIÇÃO!K1279,'PROJETO PERFURAÇÃO'!$B:$B,0)),"")</f>
        <v/>
      </c>
      <c r="M1279" s="8" t="str">
        <f>IFERROR(INDEX('PROJETO PERFURAÇÃO'!$AN:$AN,MATCH(MEDIÇÃO!K1279,'PROJETO PERFURAÇÃO'!$B:$B,0)),"")</f>
        <v/>
      </c>
      <c r="N1279" s="3"/>
      <c r="O1279" s="3"/>
      <c r="P1279" s="3" t="str">
        <f>IFERROR(ROUND(INDEX('PROJETO PERFURAÇÃO'!$AB:$AB,MATCH(MEDIÇÃO!R1279,'PROJETO PERFURAÇÃO'!$B:$B,0)),1)&amp;"''","")</f>
        <v/>
      </c>
      <c r="Q1279" s="3" t="str">
        <f>IFERROR(IF(INDEX('PROJETO PERFURAÇÃO'!$P:$P,MATCH(MEDIÇÃO!R1279,'PROJETO PERFURAÇÃO'!$B:$B,0))="Production","P",IF(INDEX('PROJETO PERFURAÇÃO'!$P:$P,MATCH(MEDIÇÃO!R1279,'PROJETO PERFURAÇÃO'!$B:$B,0))="Buffer","B",IF(INDEX('PROJETO PERFURAÇÃO'!$P:$P,MATCH(MEDIÇÃO!R1279,'PROJETO PERFURAÇÃO'!$B:$B,0))="Pre-Splitting","S"))),"")</f>
        <v/>
      </c>
      <c r="R1279" s="14">
        <f t="shared" si="125"/>
        <v>2879</v>
      </c>
      <c r="S1279" s="4" t="str">
        <f>IFERROR(INDEX('LEV R&amp;D'!$D:$D,MATCH(MEDIÇÃO!R1279,'LEV R&amp;D'!$A:$A,0))-INDEX('PROJETO PERFURAÇÃO'!$AH:$AH,MATCH(MEDIÇÃO!R1279,'PROJETO PERFURAÇÃO'!$B:$B,0)),"")</f>
        <v/>
      </c>
      <c r="T1279" s="8" t="str">
        <f>IFERROR(INDEX('PROJETO PERFURAÇÃO'!$AN:$AN,MATCH(MEDIÇÃO!R1279,'PROJETO PERFURAÇÃO'!$B:$B,0)),"")</f>
        <v/>
      </c>
      <c r="U1279" s="3"/>
      <c r="V1279" s="3"/>
    </row>
    <row r="1280" spans="1:23" ht="45" customHeight="1">
      <c r="B1280" s="3" t="str">
        <f>IFERROR(ROUND(INDEX('PROJETO PERFURAÇÃO'!$AB:$AB,MATCH(MEDIÇÃO!D1280,'PROJETO PERFURAÇÃO'!$B:$B,0)),1)&amp;"''","")</f>
        <v/>
      </c>
      <c r="C1280" s="3" t="str">
        <f>IFERROR(IF(INDEX('PROJETO PERFURAÇÃO'!$P:$P,MATCH(MEDIÇÃO!D1280,'PROJETO PERFURAÇÃO'!$B:$B,0))="Production","P",IF(INDEX('PROJETO PERFURAÇÃO'!$P:$P,MATCH(MEDIÇÃO!D1280,'PROJETO PERFURAÇÃO'!$B:$B,0))="Buffer","B",IF(INDEX('PROJETO PERFURAÇÃO'!$P:$P,MATCH(MEDIÇÃO!D1280,'PROJETO PERFURAÇÃO'!$B:$B,0))="Pre-Splitting","S"))),"")</f>
        <v/>
      </c>
      <c r="D1280" s="14">
        <f t="shared" si="123"/>
        <v>2834</v>
      </c>
      <c r="E1280" s="4" t="str">
        <f>IFERROR(INDEX('LEV R&amp;D'!$D:$D,MATCH(MEDIÇÃO!D1280,'LEV R&amp;D'!$A:$A,0))-INDEX('PROJETO PERFURAÇÃO'!$AH:$AH,MATCH(MEDIÇÃO!D1280,'PROJETO PERFURAÇÃO'!$B:$B,0)),"")</f>
        <v/>
      </c>
      <c r="F1280" s="8" t="str">
        <f>IFERROR(INDEX('PROJETO PERFURAÇÃO'!$AN:$AN,MATCH(MEDIÇÃO!D1280,'PROJETO PERFURAÇÃO'!$B:$B,0)),"")</f>
        <v/>
      </c>
      <c r="G1280" s="3"/>
      <c r="H1280" s="3"/>
      <c r="I1280" s="3" t="str">
        <f>IFERROR(ROUND(INDEX('PROJETO PERFURAÇÃO'!$AB:$AB,MATCH(MEDIÇÃO!K1280,'PROJETO PERFURAÇÃO'!$B:$B,0)),1)&amp;"''","")</f>
        <v/>
      </c>
      <c r="J1280" s="3" t="str">
        <f>IFERROR(IF(INDEX('PROJETO PERFURAÇÃO'!$P:$P,MATCH(MEDIÇÃO!K1280,'PROJETO PERFURAÇÃO'!$B:$B,0))="Production","P",IF(INDEX('PROJETO PERFURAÇÃO'!$P:$P,MATCH(MEDIÇÃO!K1280,'PROJETO PERFURAÇÃO'!$B:$B,0))="Buffer","B",IF(INDEX('PROJETO PERFURAÇÃO'!$P:$P,MATCH(MEDIÇÃO!K1280,'PROJETO PERFURAÇÃO'!$B:$B,0))="Pre-Splitting","S"))),"")</f>
        <v/>
      </c>
      <c r="K1280" s="14">
        <f t="shared" si="124"/>
        <v>2857</v>
      </c>
      <c r="L1280" s="4" t="str">
        <f>IFERROR(INDEX('LEV R&amp;D'!$D:$D,MATCH(MEDIÇÃO!K1280,'LEV R&amp;D'!$A:$A,0))-INDEX('PROJETO PERFURAÇÃO'!$AH:$AH,MATCH(MEDIÇÃO!K1280,'PROJETO PERFURAÇÃO'!$B:$B,0)),"")</f>
        <v/>
      </c>
      <c r="M1280" s="8" t="str">
        <f>IFERROR(INDEX('PROJETO PERFURAÇÃO'!$AN:$AN,MATCH(MEDIÇÃO!K1280,'PROJETO PERFURAÇÃO'!$B:$B,0)),"")</f>
        <v/>
      </c>
      <c r="N1280" s="3"/>
      <c r="O1280" s="3"/>
      <c r="P1280" s="3" t="str">
        <f>IFERROR(ROUND(INDEX('PROJETO PERFURAÇÃO'!$AB:$AB,MATCH(MEDIÇÃO!R1280,'PROJETO PERFURAÇÃO'!$B:$B,0)),1)&amp;"''","")</f>
        <v/>
      </c>
      <c r="Q1280" s="3" t="str">
        <f>IFERROR(IF(INDEX('PROJETO PERFURAÇÃO'!$P:$P,MATCH(MEDIÇÃO!R1280,'PROJETO PERFURAÇÃO'!$B:$B,0))="Production","P",IF(INDEX('PROJETO PERFURAÇÃO'!$P:$P,MATCH(MEDIÇÃO!R1280,'PROJETO PERFURAÇÃO'!$B:$B,0))="Buffer","B",IF(INDEX('PROJETO PERFURAÇÃO'!$P:$P,MATCH(MEDIÇÃO!R1280,'PROJETO PERFURAÇÃO'!$B:$B,0))="Pre-Splitting","S"))),"")</f>
        <v/>
      </c>
      <c r="R1280" s="14">
        <f t="shared" si="125"/>
        <v>2880</v>
      </c>
      <c r="S1280" s="4" t="str">
        <f>IFERROR(INDEX('LEV R&amp;D'!$D:$D,MATCH(MEDIÇÃO!R1280,'LEV R&amp;D'!$A:$A,0))-INDEX('PROJETO PERFURAÇÃO'!$AH:$AH,MATCH(MEDIÇÃO!R1280,'PROJETO PERFURAÇÃO'!$B:$B,0)),"")</f>
        <v/>
      </c>
      <c r="T1280" s="8" t="str">
        <f>IFERROR(INDEX('PROJETO PERFURAÇÃO'!$AN:$AN,MATCH(MEDIÇÃO!R1280,'PROJETO PERFURAÇÃO'!$B:$B,0)),"")</f>
        <v/>
      </c>
      <c r="U1280" s="3"/>
      <c r="V1280" s="3"/>
    </row>
    <row r="1281" spans="2:22" ht="45" customHeight="1">
      <c r="B1281" s="3" t="str">
        <f>IFERROR(ROUND(INDEX('PROJETO PERFURAÇÃO'!$AB:$AB,MATCH(MEDIÇÃO!D1281,'PROJETO PERFURAÇÃO'!$B:$B,0)),1)&amp;"''","")</f>
        <v/>
      </c>
      <c r="C1281" s="3" t="str">
        <f>IFERROR(IF(INDEX('PROJETO PERFURAÇÃO'!$P:$P,MATCH(MEDIÇÃO!D1281,'PROJETO PERFURAÇÃO'!$B:$B,0))="Production","P",IF(INDEX('PROJETO PERFURAÇÃO'!$P:$P,MATCH(MEDIÇÃO!D1281,'PROJETO PERFURAÇÃO'!$B:$B,0))="Buffer","B",IF(INDEX('PROJETO PERFURAÇÃO'!$P:$P,MATCH(MEDIÇÃO!D1281,'PROJETO PERFURAÇÃO'!$B:$B,0))="Pre-Splitting","S"))),"")</f>
        <v/>
      </c>
      <c r="D1281" s="14">
        <f t="shared" si="123"/>
        <v>2835</v>
      </c>
      <c r="E1281" s="4" t="str">
        <f>IFERROR(INDEX('LEV R&amp;D'!$D:$D,MATCH(MEDIÇÃO!D1281,'LEV R&amp;D'!$A:$A,0))-INDEX('PROJETO PERFURAÇÃO'!$AH:$AH,MATCH(MEDIÇÃO!D1281,'PROJETO PERFURAÇÃO'!$B:$B,0)),"")</f>
        <v/>
      </c>
      <c r="F1281" s="8" t="str">
        <f>IFERROR(INDEX('PROJETO PERFURAÇÃO'!$AN:$AN,MATCH(MEDIÇÃO!D1281,'PROJETO PERFURAÇÃO'!$B:$B,0)),"")</f>
        <v/>
      </c>
      <c r="G1281" s="3"/>
      <c r="H1281" s="3"/>
      <c r="I1281" s="3" t="str">
        <f>IFERROR(ROUND(INDEX('PROJETO PERFURAÇÃO'!$AB:$AB,MATCH(MEDIÇÃO!K1281,'PROJETO PERFURAÇÃO'!$B:$B,0)),1)&amp;"''","")</f>
        <v/>
      </c>
      <c r="J1281" s="3" t="str">
        <f>IFERROR(IF(INDEX('PROJETO PERFURAÇÃO'!$P:$P,MATCH(MEDIÇÃO!K1281,'PROJETO PERFURAÇÃO'!$B:$B,0))="Production","P",IF(INDEX('PROJETO PERFURAÇÃO'!$P:$P,MATCH(MEDIÇÃO!K1281,'PROJETO PERFURAÇÃO'!$B:$B,0))="Buffer","B",IF(INDEX('PROJETO PERFURAÇÃO'!$P:$P,MATCH(MEDIÇÃO!K1281,'PROJETO PERFURAÇÃO'!$B:$B,0))="Pre-Splitting","S"))),"")</f>
        <v/>
      </c>
      <c r="K1281" s="14">
        <f t="shared" si="124"/>
        <v>2858</v>
      </c>
      <c r="L1281" s="4" t="str">
        <f>IFERROR(INDEX('LEV R&amp;D'!$D:$D,MATCH(MEDIÇÃO!K1281,'LEV R&amp;D'!$A:$A,0))-INDEX('PROJETO PERFURAÇÃO'!$AH:$AH,MATCH(MEDIÇÃO!K1281,'PROJETO PERFURAÇÃO'!$B:$B,0)),"")</f>
        <v/>
      </c>
      <c r="M1281" s="8" t="str">
        <f>IFERROR(INDEX('PROJETO PERFURAÇÃO'!$AN:$AN,MATCH(MEDIÇÃO!K1281,'PROJETO PERFURAÇÃO'!$B:$B,0)),"")</f>
        <v/>
      </c>
      <c r="N1281" s="3"/>
      <c r="O1281" s="3"/>
      <c r="P1281" s="3" t="str">
        <f>IFERROR(ROUND(INDEX('PROJETO PERFURAÇÃO'!$AB:$AB,MATCH(MEDIÇÃO!R1281,'PROJETO PERFURAÇÃO'!$B:$B,0)),1)&amp;"''","")</f>
        <v/>
      </c>
      <c r="Q1281" s="3" t="str">
        <f>IFERROR(IF(INDEX('PROJETO PERFURAÇÃO'!$P:$P,MATCH(MEDIÇÃO!R1281,'PROJETO PERFURAÇÃO'!$B:$B,0))="Production","P",IF(INDEX('PROJETO PERFURAÇÃO'!$P:$P,MATCH(MEDIÇÃO!R1281,'PROJETO PERFURAÇÃO'!$B:$B,0))="Buffer","B",IF(INDEX('PROJETO PERFURAÇÃO'!$P:$P,MATCH(MEDIÇÃO!R1281,'PROJETO PERFURAÇÃO'!$B:$B,0))="Pre-Splitting","S"))),"")</f>
        <v/>
      </c>
      <c r="R1281" s="14">
        <f t="shared" si="125"/>
        <v>2881</v>
      </c>
      <c r="S1281" s="4" t="str">
        <f>IFERROR(INDEX('LEV R&amp;D'!$D:$D,MATCH(MEDIÇÃO!R1281,'LEV R&amp;D'!$A:$A,0))-INDEX('PROJETO PERFURAÇÃO'!$AH:$AH,MATCH(MEDIÇÃO!R1281,'PROJETO PERFURAÇÃO'!$B:$B,0)),"")</f>
        <v/>
      </c>
      <c r="T1281" s="8" t="str">
        <f>IFERROR(INDEX('PROJETO PERFURAÇÃO'!$AN:$AN,MATCH(MEDIÇÃO!R1281,'PROJETO PERFURAÇÃO'!$B:$B,0)),"")</f>
        <v/>
      </c>
      <c r="U1281" s="3"/>
      <c r="V1281" s="3"/>
    </row>
    <row r="1282" spans="2:22" ht="45" customHeight="1">
      <c r="B1282" s="3" t="str">
        <f>IFERROR(ROUND(INDEX('PROJETO PERFURAÇÃO'!$AB:$AB,MATCH(MEDIÇÃO!D1282,'PROJETO PERFURAÇÃO'!$B:$B,0)),1)&amp;"''","")</f>
        <v/>
      </c>
      <c r="C1282" s="3" t="str">
        <f>IFERROR(IF(INDEX('PROJETO PERFURAÇÃO'!$P:$P,MATCH(MEDIÇÃO!D1282,'PROJETO PERFURAÇÃO'!$B:$B,0))="Production","P",IF(INDEX('PROJETO PERFURAÇÃO'!$P:$P,MATCH(MEDIÇÃO!D1282,'PROJETO PERFURAÇÃO'!$B:$B,0))="Buffer","B",IF(INDEX('PROJETO PERFURAÇÃO'!$P:$P,MATCH(MEDIÇÃO!D1282,'PROJETO PERFURAÇÃO'!$B:$B,0))="Pre-Splitting","S"))),"")</f>
        <v/>
      </c>
      <c r="D1282" s="14">
        <f t="shared" si="123"/>
        <v>2836</v>
      </c>
      <c r="E1282" s="4" t="str">
        <f>IFERROR(INDEX('LEV R&amp;D'!$D:$D,MATCH(MEDIÇÃO!D1282,'LEV R&amp;D'!$A:$A,0))-INDEX('PROJETO PERFURAÇÃO'!$AH:$AH,MATCH(MEDIÇÃO!D1282,'PROJETO PERFURAÇÃO'!$B:$B,0)),"")</f>
        <v/>
      </c>
      <c r="F1282" s="8" t="str">
        <f>IFERROR(INDEX('PROJETO PERFURAÇÃO'!$AN:$AN,MATCH(MEDIÇÃO!D1282,'PROJETO PERFURAÇÃO'!$B:$B,0)),"")</f>
        <v/>
      </c>
      <c r="G1282" s="3"/>
      <c r="H1282" s="3"/>
      <c r="I1282" s="3" t="str">
        <f>IFERROR(ROUND(INDEX('PROJETO PERFURAÇÃO'!$AB:$AB,MATCH(MEDIÇÃO!K1282,'PROJETO PERFURAÇÃO'!$B:$B,0)),1)&amp;"''","")</f>
        <v/>
      </c>
      <c r="J1282" s="3" t="str">
        <f>IFERROR(IF(INDEX('PROJETO PERFURAÇÃO'!$P:$P,MATCH(MEDIÇÃO!K1282,'PROJETO PERFURAÇÃO'!$B:$B,0))="Production","P",IF(INDEX('PROJETO PERFURAÇÃO'!$P:$P,MATCH(MEDIÇÃO!K1282,'PROJETO PERFURAÇÃO'!$B:$B,0))="Buffer","B",IF(INDEX('PROJETO PERFURAÇÃO'!$P:$P,MATCH(MEDIÇÃO!K1282,'PROJETO PERFURAÇÃO'!$B:$B,0))="Pre-Splitting","S"))),"")</f>
        <v/>
      </c>
      <c r="K1282" s="14">
        <f t="shared" si="124"/>
        <v>2859</v>
      </c>
      <c r="L1282" s="4" t="str">
        <f>IFERROR(INDEX('LEV R&amp;D'!$D:$D,MATCH(MEDIÇÃO!K1282,'LEV R&amp;D'!$A:$A,0))-INDEX('PROJETO PERFURAÇÃO'!$AH:$AH,MATCH(MEDIÇÃO!K1282,'PROJETO PERFURAÇÃO'!$B:$B,0)),"")</f>
        <v/>
      </c>
      <c r="M1282" s="8" t="str">
        <f>IFERROR(INDEX('PROJETO PERFURAÇÃO'!$AN:$AN,MATCH(MEDIÇÃO!K1282,'PROJETO PERFURAÇÃO'!$B:$B,0)),"")</f>
        <v/>
      </c>
      <c r="N1282" s="3"/>
      <c r="O1282" s="3"/>
      <c r="P1282" s="3" t="str">
        <f>IFERROR(ROUND(INDEX('PROJETO PERFURAÇÃO'!$AB:$AB,MATCH(MEDIÇÃO!R1282,'PROJETO PERFURAÇÃO'!$B:$B,0)),1)&amp;"''","")</f>
        <v/>
      </c>
      <c r="Q1282" s="3" t="str">
        <f>IFERROR(IF(INDEX('PROJETO PERFURAÇÃO'!$P:$P,MATCH(MEDIÇÃO!R1282,'PROJETO PERFURAÇÃO'!$B:$B,0))="Production","P",IF(INDEX('PROJETO PERFURAÇÃO'!$P:$P,MATCH(MEDIÇÃO!R1282,'PROJETO PERFURAÇÃO'!$B:$B,0))="Buffer","B",IF(INDEX('PROJETO PERFURAÇÃO'!$P:$P,MATCH(MEDIÇÃO!R1282,'PROJETO PERFURAÇÃO'!$B:$B,0))="Pre-Splitting","S"))),"")</f>
        <v/>
      </c>
      <c r="R1282" s="14">
        <f t="shared" si="125"/>
        <v>2882</v>
      </c>
      <c r="S1282" s="4" t="str">
        <f>IFERROR(INDEX('LEV R&amp;D'!$D:$D,MATCH(MEDIÇÃO!R1282,'LEV R&amp;D'!$A:$A,0))-INDEX('PROJETO PERFURAÇÃO'!$AH:$AH,MATCH(MEDIÇÃO!R1282,'PROJETO PERFURAÇÃO'!$B:$B,0)),"")</f>
        <v/>
      </c>
      <c r="T1282" s="8" t="str">
        <f>IFERROR(INDEX('PROJETO PERFURAÇÃO'!$AN:$AN,MATCH(MEDIÇÃO!R1282,'PROJETO PERFURAÇÃO'!$B:$B,0)),"")</f>
        <v/>
      </c>
      <c r="U1282" s="3"/>
      <c r="V1282" s="3"/>
    </row>
    <row r="1283" spans="2:22" ht="45" customHeight="1">
      <c r="B1283" s="3" t="str">
        <f>IFERROR(ROUND(INDEX('PROJETO PERFURAÇÃO'!$AB:$AB,MATCH(MEDIÇÃO!D1283,'PROJETO PERFURAÇÃO'!$B:$B,0)),1)&amp;"''","")</f>
        <v/>
      </c>
      <c r="C1283" s="3" t="str">
        <f>IFERROR(IF(INDEX('PROJETO PERFURAÇÃO'!$P:$P,MATCH(MEDIÇÃO!D1283,'PROJETO PERFURAÇÃO'!$B:$B,0))="Production","P",IF(INDEX('PROJETO PERFURAÇÃO'!$P:$P,MATCH(MEDIÇÃO!D1283,'PROJETO PERFURAÇÃO'!$B:$B,0))="Buffer","B",IF(INDEX('PROJETO PERFURAÇÃO'!$P:$P,MATCH(MEDIÇÃO!D1283,'PROJETO PERFURAÇÃO'!$B:$B,0))="Pre-Splitting","S"))),"")</f>
        <v/>
      </c>
      <c r="D1283" s="14">
        <f t="shared" si="123"/>
        <v>2837</v>
      </c>
      <c r="E1283" s="4" t="str">
        <f>IFERROR(INDEX('LEV R&amp;D'!$D:$D,MATCH(MEDIÇÃO!D1283,'LEV R&amp;D'!$A:$A,0))-INDEX('PROJETO PERFURAÇÃO'!$AH:$AH,MATCH(MEDIÇÃO!D1283,'PROJETO PERFURAÇÃO'!$B:$B,0)),"")</f>
        <v/>
      </c>
      <c r="F1283" s="8" t="str">
        <f>IFERROR(INDEX('PROJETO PERFURAÇÃO'!$AN:$AN,MATCH(MEDIÇÃO!D1283,'PROJETO PERFURAÇÃO'!$B:$B,0)),"")</f>
        <v/>
      </c>
      <c r="G1283" s="3"/>
      <c r="H1283" s="3"/>
      <c r="I1283" s="3" t="str">
        <f>IFERROR(ROUND(INDEX('PROJETO PERFURAÇÃO'!$AB:$AB,MATCH(MEDIÇÃO!K1283,'PROJETO PERFURAÇÃO'!$B:$B,0)),1)&amp;"''","")</f>
        <v/>
      </c>
      <c r="J1283" s="3" t="str">
        <f>IFERROR(IF(INDEX('PROJETO PERFURAÇÃO'!$P:$P,MATCH(MEDIÇÃO!K1283,'PROJETO PERFURAÇÃO'!$B:$B,0))="Production","P",IF(INDEX('PROJETO PERFURAÇÃO'!$P:$P,MATCH(MEDIÇÃO!K1283,'PROJETO PERFURAÇÃO'!$B:$B,0))="Buffer","B",IF(INDEX('PROJETO PERFURAÇÃO'!$P:$P,MATCH(MEDIÇÃO!K1283,'PROJETO PERFURAÇÃO'!$B:$B,0))="Pre-Splitting","S"))),"")</f>
        <v/>
      </c>
      <c r="K1283" s="14">
        <f t="shared" si="124"/>
        <v>2860</v>
      </c>
      <c r="L1283" s="4" t="str">
        <f>IFERROR(INDEX('LEV R&amp;D'!$D:$D,MATCH(MEDIÇÃO!K1283,'LEV R&amp;D'!$A:$A,0))-INDEX('PROJETO PERFURAÇÃO'!$AH:$AH,MATCH(MEDIÇÃO!K1283,'PROJETO PERFURAÇÃO'!$B:$B,0)),"")</f>
        <v/>
      </c>
      <c r="M1283" s="8" t="str">
        <f>IFERROR(INDEX('PROJETO PERFURAÇÃO'!$AN:$AN,MATCH(MEDIÇÃO!K1283,'PROJETO PERFURAÇÃO'!$B:$B,0)),"")</f>
        <v/>
      </c>
      <c r="N1283" s="3"/>
      <c r="O1283" s="3"/>
      <c r="P1283" s="3" t="str">
        <f>IFERROR(ROUND(INDEX('PROJETO PERFURAÇÃO'!$AB:$AB,MATCH(MEDIÇÃO!R1283,'PROJETO PERFURAÇÃO'!$B:$B,0)),1)&amp;"''","")</f>
        <v/>
      </c>
      <c r="Q1283" s="3" t="str">
        <f>IFERROR(IF(INDEX('PROJETO PERFURAÇÃO'!$P:$P,MATCH(MEDIÇÃO!R1283,'PROJETO PERFURAÇÃO'!$B:$B,0))="Production","P",IF(INDEX('PROJETO PERFURAÇÃO'!$P:$P,MATCH(MEDIÇÃO!R1283,'PROJETO PERFURAÇÃO'!$B:$B,0))="Buffer","B",IF(INDEX('PROJETO PERFURAÇÃO'!$P:$P,MATCH(MEDIÇÃO!R1283,'PROJETO PERFURAÇÃO'!$B:$B,0))="Pre-Splitting","S"))),"")</f>
        <v/>
      </c>
      <c r="R1283" s="14">
        <f t="shared" si="125"/>
        <v>2883</v>
      </c>
      <c r="S1283" s="4" t="str">
        <f>IFERROR(INDEX('LEV R&amp;D'!$D:$D,MATCH(MEDIÇÃO!R1283,'LEV R&amp;D'!$A:$A,0))-INDEX('PROJETO PERFURAÇÃO'!$AH:$AH,MATCH(MEDIÇÃO!R1283,'PROJETO PERFURAÇÃO'!$B:$B,0)),"")</f>
        <v/>
      </c>
      <c r="T1283" s="8" t="str">
        <f>IFERROR(INDEX('PROJETO PERFURAÇÃO'!$AN:$AN,MATCH(MEDIÇÃO!R1283,'PROJETO PERFURAÇÃO'!$B:$B,0)),"")</f>
        <v/>
      </c>
      <c r="U1283" s="3"/>
      <c r="V1283" s="3"/>
    </row>
    <row r="1284" spans="2:22" ht="45" customHeight="1">
      <c r="B1284" s="3" t="str">
        <f>IFERROR(ROUND(INDEX('PROJETO PERFURAÇÃO'!$AB:$AB,MATCH(MEDIÇÃO!D1284,'PROJETO PERFURAÇÃO'!$B:$B,0)),1)&amp;"''","")</f>
        <v/>
      </c>
      <c r="C1284" s="3" t="str">
        <f>IFERROR(IF(INDEX('PROJETO PERFURAÇÃO'!$P:$P,MATCH(MEDIÇÃO!D1284,'PROJETO PERFURAÇÃO'!$B:$B,0))="Production","P",IF(INDEX('PROJETO PERFURAÇÃO'!$P:$P,MATCH(MEDIÇÃO!D1284,'PROJETO PERFURAÇÃO'!$B:$B,0))="Buffer","B",IF(INDEX('PROJETO PERFURAÇÃO'!$P:$P,MATCH(MEDIÇÃO!D1284,'PROJETO PERFURAÇÃO'!$B:$B,0))="Pre-Splitting","S"))),"")</f>
        <v/>
      </c>
      <c r="D1284" s="14">
        <f t="shared" si="123"/>
        <v>2838</v>
      </c>
      <c r="E1284" s="4" t="str">
        <f>IFERROR(INDEX('LEV R&amp;D'!$D:$D,MATCH(MEDIÇÃO!D1284,'LEV R&amp;D'!$A:$A,0))-INDEX('PROJETO PERFURAÇÃO'!$AH:$AH,MATCH(MEDIÇÃO!D1284,'PROJETO PERFURAÇÃO'!$B:$B,0)),"")</f>
        <v/>
      </c>
      <c r="F1284" s="8" t="str">
        <f>IFERROR(INDEX('PROJETO PERFURAÇÃO'!$AN:$AN,MATCH(MEDIÇÃO!D1284,'PROJETO PERFURAÇÃO'!$B:$B,0)),"")</f>
        <v/>
      </c>
      <c r="G1284" s="3"/>
      <c r="H1284" s="3"/>
      <c r="I1284" s="3" t="str">
        <f>IFERROR(ROUND(INDEX('PROJETO PERFURAÇÃO'!$AB:$AB,MATCH(MEDIÇÃO!K1284,'PROJETO PERFURAÇÃO'!$B:$B,0)),1)&amp;"''","")</f>
        <v/>
      </c>
      <c r="J1284" s="3" t="str">
        <f>IFERROR(IF(INDEX('PROJETO PERFURAÇÃO'!$P:$P,MATCH(MEDIÇÃO!K1284,'PROJETO PERFURAÇÃO'!$B:$B,0))="Production","P",IF(INDEX('PROJETO PERFURAÇÃO'!$P:$P,MATCH(MEDIÇÃO!K1284,'PROJETO PERFURAÇÃO'!$B:$B,0))="Buffer","B",IF(INDEX('PROJETO PERFURAÇÃO'!$P:$P,MATCH(MEDIÇÃO!K1284,'PROJETO PERFURAÇÃO'!$B:$B,0))="Pre-Splitting","S"))),"")</f>
        <v/>
      </c>
      <c r="K1284" s="14">
        <f t="shared" si="124"/>
        <v>2861</v>
      </c>
      <c r="L1284" s="4" t="str">
        <f>IFERROR(INDEX('LEV R&amp;D'!$D:$D,MATCH(MEDIÇÃO!K1284,'LEV R&amp;D'!$A:$A,0))-INDEX('PROJETO PERFURAÇÃO'!$AH:$AH,MATCH(MEDIÇÃO!K1284,'PROJETO PERFURAÇÃO'!$B:$B,0)),"")</f>
        <v/>
      </c>
      <c r="M1284" s="8" t="str">
        <f>IFERROR(INDEX('PROJETO PERFURAÇÃO'!$AN:$AN,MATCH(MEDIÇÃO!K1284,'PROJETO PERFURAÇÃO'!$B:$B,0)),"")</f>
        <v/>
      </c>
      <c r="N1284" s="3"/>
      <c r="O1284" s="3"/>
      <c r="P1284" s="3" t="str">
        <f>IFERROR(ROUND(INDEX('PROJETO PERFURAÇÃO'!$AB:$AB,MATCH(MEDIÇÃO!R1284,'PROJETO PERFURAÇÃO'!$B:$B,0)),1)&amp;"''","")</f>
        <v/>
      </c>
      <c r="Q1284" s="3" t="str">
        <f>IFERROR(IF(INDEX('PROJETO PERFURAÇÃO'!$P:$P,MATCH(MEDIÇÃO!R1284,'PROJETO PERFURAÇÃO'!$B:$B,0))="Production","P",IF(INDEX('PROJETO PERFURAÇÃO'!$P:$P,MATCH(MEDIÇÃO!R1284,'PROJETO PERFURAÇÃO'!$B:$B,0))="Buffer","B",IF(INDEX('PROJETO PERFURAÇÃO'!$P:$P,MATCH(MEDIÇÃO!R1284,'PROJETO PERFURAÇÃO'!$B:$B,0))="Pre-Splitting","S"))),"")</f>
        <v/>
      </c>
      <c r="R1284" s="14">
        <f t="shared" si="125"/>
        <v>2884</v>
      </c>
      <c r="S1284" s="4" t="str">
        <f>IFERROR(INDEX('LEV R&amp;D'!$D:$D,MATCH(MEDIÇÃO!R1284,'LEV R&amp;D'!$A:$A,0))-INDEX('PROJETO PERFURAÇÃO'!$AH:$AH,MATCH(MEDIÇÃO!R1284,'PROJETO PERFURAÇÃO'!$B:$B,0)),"")</f>
        <v/>
      </c>
      <c r="T1284" s="8" t="str">
        <f>IFERROR(INDEX('PROJETO PERFURAÇÃO'!$AN:$AN,MATCH(MEDIÇÃO!R1284,'PROJETO PERFURAÇÃO'!$B:$B,0)),"")</f>
        <v/>
      </c>
      <c r="U1284" s="3"/>
      <c r="V1284" s="3"/>
    </row>
    <row r="1285" spans="2:22" ht="45" customHeight="1">
      <c r="B1285" s="3" t="str">
        <f>IFERROR(ROUND(INDEX('PROJETO PERFURAÇÃO'!$AB:$AB,MATCH(MEDIÇÃO!D1285,'PROJETO PERFURAÇÃO'!$B:$B,0)),1)&amp;"''","")</f>
        <v/>
      </c>
      <c r="C1285" s="3" t="str">
        <f>IFERROR(IF(INDEX('PROJETO PERFURAÇÃO'!$P:$P,MATCH(MEDIÇÃO!D1285,'PROJETO PERFURAÇÃO'!$B:$B,0))="Production","P",IF(INDEX('PROJETO PERFURAÇÃO'!$P:$P,MATCH(MEDIÇÃO!D1285,'PROJETO PERFURAÇÃO'!$B:$B,0))="Buffer","B",IF(INDEX('PROJETO PERFURAÇÃO'!$P:$P,MATCH(MEDIÇÃO!D1285,'PROJETO PERFURAÇÃO'!$B:$B,0))="Pre-Splitting","S"))),"")</f>
        <v/>
      </c>
      <c r="D1285" s="14">
        <f t="shared" si="123"/>
        <v>2839</v>
      </c>
      <c r="E1285" s="4" t="str">
        <f>IFERROR(INDEX('LEV R&amp;D'!$D:$D,MATCH(MEDIÇÃO!D1285,'LEV R&amp;D'!$A:$A,0))-INDEX('PROJETO PERFURAÇÃO'!$AH:$AH,MATCH(MEDIÇÃO!D1285,'PROJETO PERFURAÇÃO'!$B:$B,0)),"")</f>
        <v/>
      </c>
      <c r="F1285" s="8" t="str">
        <f>IFERROR(INDEX('PROJETO PERFURAÇÃO'!$AN:$AN,MATCH(MEDIÇÃO!D1285,'PROJETO PERFURAÇÃO'!$B:$B,0)),"")</f>
        <v/>
      </c>
      <c r="G1285" s="3"/>
      <c r="H1285" s="3"/>
      <c r="I1285" s="3" t="str">
        <f>IFERROR(ROUND(INDEX('PROJETO PERFURAÇÃO'!$AB:$AB,MATCH(MEDIÇÃO!K1285,'PROJETO PERFURAÇÃO'!$B:$B,0)),1)&amp;"''","")</f>
        <v/>
      </c>
      <c r="J1285" s="3" t="str">
        <f>IFERROR(IF(INDEX('PROJETO PERFURAÇÃO'!$P:$P,MATCH(MEDIÇÃO!K1285,'PROJETO PERFURAÇÃO'!$B:$B,0))="Production","P",IF(INDEX('PROJETO PERFURAÇÃO'!$P:$P,MATCH(MEDIÇÃO!K1285,'PROJETO PERFURAÇÃO'!$B:$B,0))="Buffer","B",IF(INDEX('PROJETO PERFURAÇÃO'!$P:$P,MATCH(MEDIÇÃO!K1285,'PROJETO PERFURAÇÃO'!$B:$B,0))="Pre-Splitting","S"))),"")</f>
        <v/>
      </c>
      <c r="K1285" s="14">
        <f t="shared" si="124"/>
        <v>2862</v>
      </c>
      <c r="L1285" s="4" t="str">
        <f>IFERROR(INDEX('LEV R&amp;D'!$D:$D,MATCH(MEDIÇÃO!K1285,'LEV R&amp;D'!$A:$A,0))-INDEX('PROJETO PERFURAÇÃO'!$AH:$AH,MATCH(MEDIÇÃO!K1285,'PROJETO PERFURAÇÃO'!$B:$B,0)),"")</f>
        <v/>
      </c>
      <c r="M1285" s="8" t="str">
        <f>IFERROR(INDEX('PROJETO PERFURAÇÃO'!$AN:$AN,MATCH(MEDIÇÃO!K1285,'PROJETO PERFURAÇÃO'!$B:$B,0)),"")</f>
        <v/>
      </c>
      <c r="N1285" s="3"/>
      <c r="O1285" s="3"/>
      <c r="P1285" s="3" t="str">
        <f>IFERROR(ROUND(INDEX('PROJETO PERFURAÇÃO'!$AB:$AB,MATCH(MEDIÇÃO!R1285,'PROJETO PERFURAÇÃO'!$B:$B,0)),1)&amp;"''","")</f>
        <v/>
      </c>
      <c r="Q1285" s="3" t="str">
        <f>IFERROR(IF(INDEX('PROJETO PERFURAÇÃO'!$P:$P,MATCH(MEDIÇÃO!R1285,'PROJETO PERFURAÇÃO'!$B:$B,0))="Production","P",IF(INDEX('PROJETO PERFURAÇÃO'!$P:$P,MATCH(MEDIÇÃO!R1285,'PROJETO PERFURAÇÃO'!$B:$B,0))="Buffer","B",IF(INDEX('PROJETO PERFURAÇÃO'!$P:$P,MATCH(MEDIÇÃO!R1285,'PROJETO PERFURAÇÃO'!$B:$B,0))="Pre-Splitting","S"))),"")</f>
        <v/>
      </c>
      <c r="R1285" s="14">
        <f t="shared" si="125"/>
        <v>2885</v>
      </c>
      <c r="S1285" s="4" t="str">
        <f>IFERROR(INDEX('LEV R&amp;D'!$D:$D,MATCH(MEDIÇÃO!R1285,'LEV R&amp;D'!$A:$A,0))-INDEX('PROJETO PERFURAÇÃO'!$AH:$AH,MATCH(MEDIÇÃO!R1285,'PROJETO PERFURAÇÃO'!$B:$B,0)),"")</f>
        <v/>
      </c>
      <c r="T1285" s="8" t="str">
        <f>IFERROR(INDEX('PROJETO PERFURAÇÃO'!$AN:$AN,MATCH(MEDIÇÃO!R1285,'PROJETO PERFURAÇÃO'!$B:$B,0)),"")</f>
        <v/>
      </c>
      <c r="U1285" s="3"/>
      <c r="V1285" s="3"/>
    </row>
    <row r="1286" spans="2:22" ht="45" customHeight="1">
      <c r="B1286" s="3" t="str">
        <f>IFERROR(ROUND(INDEX('PROJETO PERFURAÇÃO'!$AB:$AB,MATCH(MEDIÇÃO!D1286,'PROJETO PERFURAÇÃO'!$B:$B,0)),1)&amp;"''","")</f>
        <v/>
      </c>
      <c r="C1286" s="3" t="str">
        <f>IFERROR(IF(INDEX('PROJETO PERFURAÇÃO'!$P:$P,MATCH(MEDIÇÃO!D1286,'PROJETO PERFURAÇÃO'!$B:$B,0))="Production","P",IF(INDEX('PROJETO PERFURAÇÃO'!$P:$P,MATCH(MEDIÇÃO!D1286,'PROJETO PERFURAÇÃO'!$B:$B,0))="Buffer","B",IF(INDEX('PROJETO PERFURAÇÃO'!$P:$P,MATCH(MEDIÇÃO!D1286,'PROJETO PERFURAÇÃO'!$B:$B,0))="Pre-Splitting","S"))),"")</f>
        <v/>
      </c>
      <c r="D1286" s="14">
        <f t="shared" si="123"/>
        <v>2840</v>
      </c>
      <c r="E1286" s="4" t="str">
        <f>IFERROR(INDEX('LEV R&amp;D'!$D:$D,MATCH(MEDIÇÃO!D1286,'LEV R&amp;D'!$A:$A,0))-INDEX('PROJETO PERFURAÇÃO'!$AH:$AH,MATCH(MEDIÇÃO!D1286,'PROJETO PERFURAÇÃO'!$B:$B,0)),"")</f>
        <v/>
      </c>
      <c r="F1286" s="8" t="str">
        <f>IFERROR(INDEX('PROJETO PERFURAÇÃO'!$AN:$AN,MATCH(MEDIÇÃO!D1286,'PROJETO PERFURAÇÃO'!$B:$B,0)),"")</f>
        <v/>
      </c>
      <c r="G1286" s="3"/>
      <c r="H1286" s="3"/>
      <c r="I1286" s="3" t="str">
        <f>IFERROR(ROUND(INDEX('PROJETO PERFURAÇÃO'!$AB:$AB,MATCH(MEDIÇÃO!K1286,'PROJETO PERFURAÇÃO'!$B:$B,0)),1)&amp;"''","")</f>
        <v/>
      </c>
      <c r="J1286" s="3" t="str">
        <f>IFERROR(IF(INDEX('PROJETO PERFURAÇÃO'!$P:$P,MATCH(MEDIÇÃO!K1286,'PROJETO PERFURAÇÃO'!$B:$B,0))="Production","P",IF(INDEX('PROJETO PERFURAÇÃO'!$P:$P,MATCH(MEDIÇÃO!K1286,'PROJETO PERFURAÇÃO'!$B:$B,0))="Buffer","B",IF(INDEX('PROJETO PERFURAÇÃO'!$P:$P,MATCH(MEDIÇÃO!K1286,'PROJETO PERFURAÇÃO'!$B:$B,0))="Pre-Splitting","S"))),"")</f>
        <v/>
      </c>
      <c r="K1286" s="14">
        <f t="shared" si="124"/>
        <v>2863</v>
      </c>
      <c r="L1286" s="4" t="str">
        <f>IFERROR(INDEX('LEV R&amp;D'!$D:$D,MATCH(MEDIÇÃO!K1286,'LEV R&amp;D'!$A:$A,0))-INDEX('PROJETO PERFURAÇÃO'!$AH:$AH,MATCH(MEDIÇÃO!K1286,'PROJETO PERFURAÇÃO'!$B:$B,0)),"")</f>
        <v/>
      </c>
      <c r="M1286" s="8" t="str">
        <f>IFERROR(INDEX('PROJETO PERFURAÇÃO'!$AN:$AN,MATCH(MEDIÇÃO!K1286,'PROJETO PERFURAÇÃO'!$B:$B,0)),"")</f>
        <v/>
      </c>
      <c r="N1286" s="3"/>
      <c r="O1286" s="3"/>
      <c r="P1286" s="3" t="str">
        <f>IFERROR(ROUND(INDEX('PROJETO PERFURAÇÃO'!$AB:$AB,MATCH(MEDIÇÃO!R1286,'PROJETO PERFURAÇÃO'!$B:$B,0)),1)&amp;"''","")</f>
        <v/>
      </c>
      <c r="Q1286" s="3" t="str">
        <f>IFERROR(IF(INDEX('PROJETO PERFURAÇÃO'!$P:$P,MATCH(MEDIÇÃO!R1286,'PROJETO PERFURAÇÃO'!$B:$B,0))="Production","P",IF(INDEX('PROJETO PERFURAÇÃO'!$P:$P,MATCH(MEDIÇÃO!R1286,'PROJETO PERFURAÇÃO'!$B:$B,0))="Buffer","B",IF(INDEX('PROJETO PERFURAÇÃO'!$P:$P,MATCH(MEDIÇÃO!R1286,'PROJETO PERFURAÇÃO'!$B:$B,0))="Pre-Splitting","S"))),"")</f>
        <v/>
      </c>
      <c r="R1286" s="14">
        <f t="shared" si="125"/>
        <v>2886</v>
      </c>
      <c r="S1286" s="4" t="str">
        <f>IFERROR(INDEX('LEV R&amp;D'!$D:$D,MATCH(MEDIÇÃO!R1286,'LEV R&amp;D'!$A:$A,0))-INDEX('PROJETO PERFURAÇÃO'!$AH:$AH,MATCH(MEDIÇÃO!R1286,'PROJETO PERFURAÇÃO'!$B:$B,0)),"")</f>
        <v/>
      </c>
      <c r="T1286" s="8" t="str">
        <f>IFERROR(INDEX('PROJETO PERFURAÇÃO'!$AN:$AN,MATCH(MEDIÇÃO!R1286,'PROJETO PERFURAÇÃO'!$B:$B,0)),"")</f>
        <v/>
      </c>
      <c r="U1286" s="3"/>
      <c r="V1286" s="3"/>
    </row>
    <row r="1287" spans="2:22" ht="45" customHeight="1">
      <c r="B1287" s="3" t="str">
        <f>IFERROR(ROUND(INDEX('PROJETO PERFURAÇÃO'!$AB:$AB,MATCH(MEDIÇÃO!D1287,'PROJETO PERFURAÇÃO'!$B:$B,0)),1)&amp;"''","")</f>
        <v/>
      </c>
      <c r="C1287" s="3" t="str">
        <f>IFERROR(IF(INDEX('PROJETO PERFURAÇÃO'!$P:$P,MATCH(MEDIÇÃO!D1287,'PROJETO PERFURAÇÃO'!$B:$B,0))="Production","P",IF(INDEX('PROJETO PERFURAÇÃO'!$P:$P,MATCH(MEDIÇÃO!D1287,'PROJETO PERFURAÇÃO'!$B:$B,0))="Buffer","B",IF(INDEX('PROJETO PERFURAÇÃO'!$P:$P,MATCH(MEDIÇÃO!D1287,'PROJETO PERFURAÇÃO'!$B:$B,0))="Pre-Splitting","S"))),"")</f>
        <v/>
      </c>
      <c r="D1287" s="14">
        <f t="shared" si="123"/>
        <v>2841</v>
      </c>
      <c r="E1287" s="4" t="str">
        <f>IFERROR(INDEX('LEV R&amp;D'!$D:$D,MATCH(MEDIÇÃO!D1287,'LEV R&amp;D'!$A:$A,0))-INDEX('PROJETO PERFURAÇÃO'!$AH:$AH,MATCH(MEDIÇÃO!D1287,'PROJETO PERFURAÇÃO'!$B:$B,0)),"")</f>
        <v/>
      </c>
      <c r="F1287" s="8" t="str">
        <f>IFERROR(INDEX('PROJETO PERFURAÇÃO'!$AN:$AN,MATCH(MEDIÇÃO!D1287,'PROJETO PERFURAÇÃO'!$B:$B,0)),"")</f>
        <v/>
      </c>
      <c r="G1287" s="3"/>
      <c r="H1287" s="3"/>
      <c r="I1287" s="3" t="str">
        <f>IFERROR(ROUND(INDEX('PROJETO PERFURAÇÃO'!$AB:$AB,MATCH(MEDIÇÃO!K1287,'PROJETO PERFURAÇÃO'!$B:$B,0)),1)&amp;"''","")</f>
        <v/>
      </c>
      <c r="J1287" s="3" t="str">
        <f>IFERROR(IF(INDEX('PROJETO PERFURAÇÃO'!$P:$P,MATCH(MEDIÇÃO!K1287,'PROJETO PERFURAÇÃO'!$B:$B,0))="Production","P",IF(INDEX('PROJETO PERFURAÇÃO'!$P:$P,MATCH(MEDIÇÃO!K1287,'PROJETO PERFURAÇÃO'!$B:$B,0))="Buffer","B",IF(INDEX('PROJETO PERFURAÇÃO'!$P:$P,MATCH(MEDIÇÃO!K1287,'PROJETO PERFURAÇÃO'!$B:$B,0))="Pre-Splitting","S"))),"")</f>
        <v/>
      </c>
      <c r="K1287" s="14">
        <f t="shared" si="124"/>
        <v>2864</v>
      </c>
      <c r="L1287" s="4" t="str">
        <f>IFERROR(INDEX('LEV R&amp;D'!$D:$D,MATCH(MEDIÇÃO!K1287,'LEV R&amp;D'!$A:$A,0))-INDEX('PROJETO PERFURAÇÃO'!$AH:$AH,MATCH(MEDIÇÃO!K1287,'PROJETO PERFURAÇÃO'!$B:$B,0)),"")</f>
        <v/>
      </c>
      <c r="M1287" s="8" t="str">
        <f>IFERROR(INDEX('PROJETO PERFURAÇÃO'!$AN:$AN,MATCH(MEDIÇÃO!K1287,'PROJETO PERFURAÇÃO'!$B:$B,0)),"")</f>
        <v/>
      </c>
      <c r="N1287" s="3"/>
      <c r="O1287" s="3"/>
      <c r="P1287" s="3" t="str">
        <f>IFERROR(ROUND(INDEX('PROJETO PERFURAÇÃO'!$AB:$AB,MATCH(MEDIÇÃO!R1287,'PROJETO PERFURAÇÃO'!$B:$B,0)),1)&amp;"''","")</f>
        <v/>
      </c>
      <c r="Q1287" s="3" t="str">
        <f>IFERROR(IF(INDEX('PROJETO PERFURAÇÃO'!$P:$P,MATCH(MEDIÇÃO!R1287,'PROJETO PERFURAÇÃO'!$B:$B,0))="Production","P",IF(INDEX('PROJETO PERFURAÇÃO'!$P:$P,MATCH(MEDIÇÃO!R1287,'PROJETO PERFURAÇÃO'!$B:$B,0))="Buffer","B",IF(INDEX('PROJETO PERFURAÇÃO'!$P:$P,MATCH(MEDIÇÃO!R1287,'PROJETO PERFURAÇÃO'!$B:$B,0))="Pre-Splitting","S"))),"")</f>
        <v/>
      </c>
      <c r="R1287" s="14">
        <f t="shared" si="125"/>
        <v>2887</v>
      </c>
      <c r="S1287" s="4" t="str">
        <f>IFERROR(INDEX('LEV R&amp;D'!$D:$D,MATCH(MEDIÇÃO!R1287,'LEV R&amp;D'!$A:$A,0))-INDEX('PROJETO PERFURAÇÃO'!$AH:$AH,MATCH(MEDIÇÃO!R1287,'PROJETO PERFURAÇÃO'!$B:$B,0)),"")</f>
        <v/>
      </c>
      <c r="T1287" s="8" t="str">
        <f>IFERROR(INDEX('PROJETO PERFURAÇÃO'!$AN:$AN,MATCH(MEDIÇÃO!R1287,'PROJETO PERFURAÇÃO'!$B:$B,0)),"")</f>
        <v/>
      </c>
      <c r="U1287" s="3"/>
      <c r="V1287" s="3"/>
    </row>
    <row r="1288" spans="2:22" ht="45" customHeight="1">
      <c r="B1288" s="3" t="str">
        <f>IFERROR(ROUND(INDEX('PROJETO PERFURAÇÃO'!$AB:$AB,MATCH(MEDIÇÃO!D1288,'PROJETO PERFURAÇÃO'!$B:$B,0)),1)&amp;"''","")</f>
        <v/>
      </c>
      <c r="C1288" s="3" t="str">
        <f>IFERROR(IF(INDEX('PROJETO PERFURAÇÃO'!$P:$P,MATCH(MEDIÇÃO!D1288,'PROJETO PERFURAÇÃO'!$B:$B,0))="Production","P",IF(INDEX('PROJETO PERFURAÇÃO'!$P:$P,MATCH(MEDIÇÃO!D1288,'PROJETO PERFURAÇÃO'!$B:$B,0))="Buffer","B",IF(INDEX('PROJETO PERFURAÇÃO'!$P:$P,MATCH(MEDIÇÃO!D1288,'PROJETO PERFURAÇÃO'!$B:$B,0))="Pre-Splitting","S"))),"")</f>
        <v/>
      </c>
      <c r="D1288" s="14">
        <f t="shared" si="123"/>
        <v>2842</v>
      </c>
      <c r="E1288" s="4" t="str">
        <f>IFERROR(INDEX('LEV R&amp;D'!$D:$D,MATCH(MEDIÇÃO!D1288,'LEV R&amp;D'!$A:$A,0))-INDEX('PROJETO PERFURAÇÃO'!$AH:$AH,MATCH(MEDIÇÃO!D1288,'PROJETO PERFURAÇÃO'!$B:$B,0)),"")</f>
        <v/>
      </c>
      <c r="F1288" s="8" t="str">
        <f>IFERROR(INDEX('PROJETO PERFURAÇÃO'!$AN:$AN,MATCH(MEDIÇÃO!D1288,'PROJETO PERFURAÇÃO'!$B:$B,0)),"")</f>
        <v/>
      </c>
      <c r="G1288" s="3"/>
      <c r="H1288" s="3"/>
      <c r="I1288" s="3" t="str">
        <f>IFERROR(ROUND(INDEX('PROJETO PERFURAÇÃO'!$AB:$AB,MATCH(MEDIÇÃO!K1288,'PROJETO PERFURAÇÃO'!$B:$B,0)),1)&amp;"''","")</f>
        <v/>
      </c>
      <c r="J1288" s="3" t="str">
        <f>IFERROR(IF(INDEX('PROJETO PERFURAÇÃO'!$P:$P,MATCH(MEDIÇÃO!K1288,'PROJETO PERFURAÇÃO'!$B:$B,0))="Production","P",IF(INDEX('PROJETO PERFURAÇÃO'!$P:$P,MATCH(MEDIÇÃO!K1288,'PROJETO PERFURAÇÃO'!$B:$B,0))="Buffer","B",IF(INDEX('PROJETO PERFURAÇÃO'!$P:$P,MATCH(MEDIÇÃO!K1288,'PROJETO PERFURAÇÃO'!$B:$B,0))="Pre-Splitting","S"))),"")</f>
        <v/>
      </c>
      <c r="K1288" s="14">
        <f t="shared" si="124"/>
        <v>2865</v>
      </c>
      <c r="L1288" s="4" t="str">
        <f>IFERROR(INDEX('LEV R&amp;D'!$D:$D,MATCH(MEDIÇÃO!K1288,'LEV R&amp;D'!$A:$A,0))-INDEX('PROJETO PERFURAÇÃO'!$AH:$AH,MATCH(MEDIÇÃO!K1288,'PROJETO PERFURAÇÃO'!$B:$B,0)),"")</f>
        <v/>
      </c>
      <c r="M1288" s="8" t="str">
        <f>IFERROR(INDEX('PROJETO PERFURAÇÃO'!$AN:$AN,MATCH(MEDIÇÃO!K1288,'PROJETO PERFURAÇÃO'!$B:$B,0)),"")</f>
        <v/>
      </c>
      <c r="N1288" s="3"/>
      <c r="O1288" s="3"/>
      <c r="P1288" s="3" t="str">
        <f>IFERROR(ROUND(INDEX('PROJETO PERFURAÇÃO'!$AB:$AB,MATCH(MEDIÇÃO!R1288,'PROJETO PERFURAÇÃO'!$B:$B,0)),1)&amp;"''","")</f>
        <v/>
      </c>
      <c r="Q1288" s="3" t="str">
        <f>IFERROR(IF(INDEX('PROJETO PERFURAÇÃO'!$P:$P,MATCH(MEDIÇÃO!R1288,'PROJETO PERFURAÇÃO'!$B:$B,0))="Production","P",IF(INDEX('PROJETO PERFURAÇÃO'!$P:$P,MATCH(MEDIÇÃO!R1288,'PROJETO PERFURAÇÃO'!$B:$B,0))="Buffer","B",IF(INDEX('PROJETO PERFURAÇÃO'!$P:$P,MATCH(MEDIÇÃO!R1288,'PROJETO PERFURAÇÃO'!$B:$B,0))="Pre-Splitting","S"))),"")</f>
        <v/>
      </c>
      <c r="R1288" s="14">
        <f t="shared" si="125"/>
        <v>2888</v>
      </c>
      <c r="S1288" s="4" t="str">
        <f>IFERROR(INDEX('LEV R&amp;D'!$D:$D,MATCH(MEDIÇÃO!R1288,'LEV R&amp;D'!$A:$A,0))-INDEX('PROJETO PERFURAÇÃO'!$AH:$AH,MATCH(MEDIÇÃO!R1288,'PROJETO PERFURAÇÃO'!$B:$B,0)),"")</f>
        <v/>
      </c>
      <c r="T1288" s="8" t="str">
        <f>IFERROR(INDEX('PROJETO PERFURAÇÃO'!$AN:$AN,MATCH(MEDIÇÃO!R1288,'PROJETO PERFURAÇÃO'!$B:$B,0)),"")</f>
        <v/>
      </c>
      <c r="U1288" s="3"/>
      <c r="V1288" s="3"/>
    </row>
    <row r="1289" spans="2:22" ht="45" customHeight="1">
      <c r="B1289" s="3" t="str">
        <f>IFERROR(ROUND(INDEX('PROJETO PERFURAÇÃO'!$AB:$AB,MATCH(MEDIÇÃO!D1289,'PROJETO PERFURAÇÃO'!$B:$B,0)),1)&amp;"''","")</f>
        <v/>
      </c>
      <c r="C1289" s="3" t="str">
        <f>IFERROR(IF(INDEX('PROJETO PERFURAÇÃO'!$P:$P,MATCH(MEDIÇÃO!D1289,'PROJETO PERFURAÇÃO'!$B:$B,0))="Production","P",IF(INDEX('PROJETO PERFURAÇÃO'!$P:$P,MATCH(MEDIÇÃO!D1289,'PROJETO PERFURAÇÃO'!$B:$B,0))="Buffer","B",IF(INDEX('PROJETO PERFURAÇÃO'!$P:$P,MATCH(MEDIÇÃO!D1289,'PROJETO PERFURAÇÃO'!$B:$B,0))="Pre-Splitting","S"))),"")</f>
        <v/>
      </c>
      <c r="D1289" s="14">
        <f t="shared" si="123"/>
        <v>2843</v>
      </c>
      <c r="E1289" s="4" t="str">
        <f>IFERROR(INDEX('LEV R&amp;D'!$D:$D,MATCH(MEDIÇÃO!D1289,'LEV R&amp;D'!$A:$A,0))-INDEX('PROJETO PERFURAÇÃO'!$AH:$AH,MATCH(MEDIÇÃO!D1289,'PROJETO PERFURAÇÃO'!$B:$B,0)),"")</f>
        <v/>
      </c>
      <c r="F1289" s="8" t="str">
        <f>IFERROR(INDEX('PROJETO PERFURAÇÃO'!$AN:$AN,MATCH(MEDIÇÃO!D1289,'PROJETO PERFURAÇÃO'!$B:$B,0)),"")</f>
        <v/>
      </c>
      <c r="G1289" s="3"/>
      <c r="H1289" s="3"/>
      <c r="I1289" s="3" t="str">
        <f>IFERROR(ROUND(INDEX('PROJETO PERFURAÇÃO'!$AB:$AB,MATCH(MEDIÇÃO!K1289,'PROJETO PERFURAÇÃO'!$B:$B,0)),1)&amp;"''","")</f>
        <v/>
      </c>
      <c r="J1289" s="3" t="str">
        <f>IFERROR(IF(INDEX('PROJETO PERFURAÇÃO'!$P:$P,MATCH(MEDIÇÃO!K1289,'PROJETO PERFURAÇÃO'!$B:$B,0))="Production","P",IF(INDEX('PROJETO PERFURAÇÃO'!$P:$P,MATCH(MEDIÇÃO!K1289,'PROJETO PERFURAÇÃO'!$B:$B,0))="Buffer","B",IF(INDEX('PROJETO PERFURAÇÃO'!$P:$P,MATCH(MEDIÇÃO!K1289,'PROJETO PERFURAÇÃO'!$B:$B,0))="Pre-Splitting","S"))),"")</f>
        <v/>
      </c>
      <c r="K1289" s="14">
        <f t="shared" si="124"/>
        <v>2866</v>
      </c>
      <c r="L1289" s="4" t="str">
        <f>IFERROR(INDEX('LEV R&amp;D'!$D:$D,MATCH(MEDIÇÃO!K1289,'LEV R&amp;D'!$A:$A,0))-INDEX('PROJETO PERFURAÇÃO'!$AH:$AH,MATCH(MEDIÇÃO!K1289,'PROJETO PERFURAÇÃO'!$B:$B,0)),"")</f>
        <v/>
      </c>
      <c r="M1289" s="8" t="str">
        <f>IFERROR(INDEX('PROJETO PERFURAÇÃO'!$AN:$AN,MATCH(MEDIÇÃO!K1289,'PROJETO PERFURAÇÃO'!$B:$B,0)),"")</f>
        <v/>
      </c>
      <c r="N1289" s="3"/>
      <c r="O1289" s="3"/>
      <c r="P1289" s="3" t="str">
        <f>IFERROR(ROUND(INDEX('PROJETO PERFURAÇÃO'!$AB:$AB,MATCH(MEDIÇÃO!R1289,'PROJETO PERFURAÇÃO'!$B:$B,0)),1)&amp;"''","")</f>
        <v/>
      </c>
      <c r="Q1289" s="3" t="str">
        <f>IFERROR(IF(INDEX('PROJETO PERFURAÇÃO'!$P:$P,MATCH(MEDIÇÃO!R1289,'PROJETO PERFURAÇÃO'!$B:$B,0))="Production","P",IF(INDEX('PROJETO PERFURAÇÃO'!$P:$P,MATCH(MEDIÇÃO!R1289,'PROJETO PERFURAÇÃO'!$B:$B,0))="Buffer","B",IF(INDEX('PROJETO PERFURAÇÃO'!$P:$P,MATCH(MEDIÇÃO!R1289,'PROJETO PERFURAÇÃO'!$B:$B,0))="Pre-Splitting","S"))),"")</f>
        <v/>
      </c>
      <c r="R1289" s="14">
        <f t="shared" si="125"/>
        <v>2889</v>
      </c>
      <c r="S1289" s="4" t="str">
        <f>IFERROR(INDEX('LEV R&amp;D'!$D:$D,MATCH(MEDIÇÃO!R1289,'LEV R&amp;D'!$A:$A,0))-INDEX('PROJETO PERFURAÇÃO'!$AH:$AH,MATCH(MEDIÇÃO!R1289,'PROJETO PERFURAÇÃO'!$B:$B,0)),"")</f>
        <v/>
      </c>
      <c r="T1289" s="8" t="str">
        <f>IFERROR(INDEX('PROJETO PERFURAÇÃO'!$AN:$AN,MATCH(MEDIÇÃO!R1289,'PROJETO PERFURAÇÃO'!$B:$B,0)),"")</f>
        <v/>
      </c>
      <c r="U1289" s="3"/>
      <c r="V1289" s="3"/>
    </row>
    <row r="1290" spans="2:22" ht="45" customHeight="1">
      <c r="B1290" s="3" t="str">
        <f>IFERROR(ROUND(INDEX('PROJETO PERFURAÇÃO'!$AB:$AB,MATCH(MEDIÇÃO!D1290,'PROJETO PERFURAÇÃO'!$B:$B,0)),1)&amp;"''","")</f>
        <v/>
      </c>
      <c r="C1290" s="3" t="str">
        <f>IFERROR(IF(INDEX('PROJETO PERFURAÇÃO'!$P:$P,MATCH(MEDIÇÃO!D1290,'PROJETO PERFURAÇÃO'!$B:$B,0))="Production","P",IF(INDEX('PROJETO PERFURAÇÃO'!$P:$P,MATCH(MEDIÇÃO!D1290,'PROJETO PERFURAÇÃO'!$B:$B,0))="Buffer","B",IF(INDEX('PROJETO PERFURAÇÃO'!$P:$P,MATCH(MEDIÇÃO!D1290,'PROJETO PERFURAÇÃO'!$B:$B,0))="Pre-Splitting","S"))),"")</f>
        <v/>
      </c>
      <c r="D1290" s="14">
        <f t="shared" si="123"/>
        <v>2844</v>
      </c>
      <c r="E1290" s="4" t="str">
        <f>IFERROR(INDEX('LEV R&amp;D'!$D:$D,MATCH(MEDIÇÃO!D1290,'LEV R&amp;D'!$A:$A,0))-INDEX('PROJETO PERFURAÇÃO'!$AH:$AH,MATCH(MEDIÇÃO!D1290,'PROJETO PERFURAÇÃO'!$B:$B,0)),"")</f>
        <v/>
      </c>
      <c r="F1290" s="8" t="str">
        <f>IFERROR(INDEX('PROJETO PERFURAÇÃO'!$AN:$AN,MATCH(MEDIÇÃO!D1290,'PROJETO PERFURAÇÃO'!$B:$B,0)),"")</f>
        <v/>
      </c>
      <c r="G1290" s="3"/>
      <c r="H1290" s="3"/>
      <c r="I1290" s="3" t="str">
        <f>IFERROR(ROUND(INDEX('PROJETO PERFURAÇÃO'!$AB:$AB,MATCH(MEDIÇÃO!K1290,'PROJETO PERFURAÇÃO'!$B:$B,0)),1)&amp;"''","")</f>
        <v/>
      </c>
      <c r="J1290" s="3" t="str">
        <f>IFERROR(IF(INDEX('PROJETO PERFURAÇÃO'!$P:$P,MATCH(MEDIÇÃO!K1290,'PROJETO PERFURAÇÃO'!$B:$B,0))="Production","P",IF(INDEX('PROJETO PERFURAÇÃO'!$P:$P,MATCH(MEDIÇÃO!K1290,'PROJETO PERFURAÇÃO'!$B:$B,0))="Buffer","B",IF(INDEX('PROJETO PERFURAÇÃO'!$P:$P,MATCH(MEDIÇÃO!K1290,'PROJETO PERFURAÇÃO'!$B:$B,0))="Pre-Splitting","S"))),"")</f>
        <v/>
      </c>
      <c r="K1290" s="14">
        <f t="shared" si="124"/>
        <v>2867</v>
      </c>
      <c r="L1290" s="4" t="str">
        <f>IFERROR(INDEX('LEV R&amp;D'!$D:$D,MATCH(MEDIÇÃO!K1290,'LEV R&amp;D'!$A:$A,0))-INDEX('PROJETO PERFURAÇÃO'!$AH:$AH,MATCH(MEDIÇÃO!K1290,'PROJETO PERFURAÇÃO'!$B:$B,0)),"")</f>
        <v/>
      </c>
      <c r="M1290" s="8" t="str">
        <f>IFERROR(INDEX('PROJETO PERFURAÇÃO'!$AN:$AN,MATCH(MEDIÇÃO!K1290,'PROJETO PERFURAÇÃO'!$B:$B,0)),"")</f>
        <v/>
      </c>
      <c r="N1290" s="3"/>
      <c r="O1290" s="3"/>
      <c r="P1290" s="3" t="str">
        <f>IFERROR(ROUND(INDEX('PROJETO PERFURAÇÃO'!$AB:$AB,MATCH(MEDIÇÃO!R1290,'PROJETO PERFURAÇÃO'!$B:$B,0)),1)&amp;"''","")</f>
        <v/>
      </c>
      <c r="Q1290" s="3" t="str">
        <f>IFERROR(IF(INDEX('PROJETO PERFURAÇÃO'!$P:$P,MATCH(MEDIÇÃO!R1290,'PROJETO PERFURAÇÃO'!$B:$B,0))="Production","P",IF(INDEX('PROJETO PERFURAÇÃO'!$P:$P,MATCH(MEDIÇÃO!R1290,'PROJETO PERFURAÇÃO'!$B:$B,0))="Buffer","B",IF(INDEX('PROJETO PERFURAÇÃO'!$P:$P,MATCH(MEDIÇÃO!R1290,'PROJETO PERFURAÇÃO'!$B:$B,0))="Pre-Splitting","S"))),"")</f>
        <v/>
      </c>
      <c r="R1290" s="14">
        <f t="shared" si="125"/>
        <v>2890</v>
      </c>
      <c r="S1290" s="4" t="str">
        <f>IFERROR(INDEX('LEV R&amp;D'!$D:$D,MATCH(MEDIÇÃO!R1290,'LEV R&amp;D'!$A:$A,0))-INDEX('PROJETO PERFURAÇÃO'!$AH:$AH,MATCH(MEDIÇÃO!R1290,'PROJETO PERFURAÇÃO'!$B:$B,0)),"")</f>
        <v/>
      </c>
      <c r="T1290" s="8" t="str">
        <f>IFERROR(INDEX('PROJETO PERFURAÇÃO'!$AN:$AN,MATCH(MEDIÇÃO!R1290,'PROJETO PERFURAÇÃO'!$B:$B,0)),"")</f>
        <v/>
      </c>
      <c r="U1290" s="3"/>
      <c r="V1290" s="3"/>
    </row>
    <row r="1291" spans="2:22" ht="45" customHeight="1">
      <c r="B1291" s="3" t="str">
        <f>IFERROR(ROUND(INDEX('PROJETO PERFURAÇÃO'!$AB:$AB,MATCH(MEDIÇÃO!D1291,'PROJETO PERFURAÇÃO'!$B:$B,0)),1)&amp;"''","")</f>
        <v/>
      </c>
      <c r="C1291" s="3" t="str">
        <f>IFERROR(IF(INDEX('PROJETO PERFURAÇÃO'!$P:$P,MATCH(MEDIÇÃO!D1291,'PROJETO PERFURAÇÃO'!$B:$B,0))="Production","P",IF(INDEX('PROJETO PERFURAÇÃO'!$P:$P,MATCH(MEDIÇÃO!D1291,'PROJETO PERFURAÇÃO'!$B:$B,0))="Buffer","B",IF(INDEX('PROJETO PERFURAÇÃO'!$P:$P,MATCH(MEDIÇÃO!D1291,'PROJETO PERFURAÇÃO'!$B:$B,0))="Pre-Splitting","S"))),"")</f>
        <v/>
      </c>
      <c r="D1291" s="14">
        <f t="shared" si="123"/>
        <v>2845</v>
      </c>
      <c r="E1291" s="4" t="str">
        <f>IFERROR(INDEX('LEV R&amp;D'!$D:$D,MATCH(MEDIÇÃO!D1291,'LEV R&amp;D'!$A:$A,0))-INDEX('PROJETO PERFURAÇÃO'!$AH:$AH,MATCH(MEDIÇÃO!D1291,'PROJETO PERFURAÇÃO'!$B:$B,0)),"")</f>
        <v/>
      </c>
      <c r="F1291" s="8" t="str">
        <f>IFERROR(INDEX('PROJETO PERFURAÇÃO'!$AN:$AN,MATCH(MEDIÇÃO!D1291,'PROJETO PERFURAÇÃO'!$B:$B,0)),"")</f>
        <v/>
      </c>
      <c r="G1291" s="3"/>
      <c r="H1291" s="3"/>
      <c r="I1291" s="3" t="str">
        <f>IFERROR(ROUND(INDEX('PROJETO PERFURAÇÃO'!$AB:$AB,MATCH(MEDIÇÃO!K1291,'PROJETO PERFURAÇÃO'!$B:$B,0)),1)&amp;"''","")</f>
        <v/>
      </c>
      <c r="J1291" s="3" t="str">
        <f>IFERROR(IF(INDEX('PROJETO PERFURAÇÃO'!$P:$P,MATCH(MEDIÇÃO!K1291,'PROJETO PERFURAÇÃO'!$B:$B,0))="Production","P",IF(INDEX('PROJETO PERFURAÇÃO'!$P:$P,MATCH(MEDIÇÃO!K1291,'PROJETO PERFURAÇÃO'!$B:$B,0))="Buffer","B",IF(INDEX('PROJETO PERFURAÇÃO'!$P:$P,MATCH(MEDIÇÃO!K1291,'PROJETO PERFURAÇÃO'!$B:$B,0))="Pre-Splitting","S"))),"")</f>
        <v/>
      </c>
      <c r="K1291" s="14">
        <f t="shared" si="124"/>
        <v>2868</v>
      </c>
      <c r="L1291" s="4" t="str">
        <f>IFERROR(INDEX('LEV R&amp;D'!$D:$D,MATCH(MEDIÇÃO!K1291,'LEV R&amp;D'!$A:$A,0))-INDEX('PROJETO PERFURAÇÃO'!$AH:$AH,MATCH(MEDIÇÃO!K1291,'PROJETO PERFURAÇÃO'!$B:$B,0)),"")</f>
        <v/>
      </c>
      <c r="M1291" s="8" t="str">
        <f>IFERROR(INDEX('PROJETO PERFURAÇÃO'!$AN:$AN,MATCH(MEDIÇÃO!K1291,'PROJETO PERFURAÇÃO'!$B:$B,0)),"")</f>
        <v/>
      </c>
      <c r="N1291" s="3"/>
      <c r="O1291" s="3"/>
      <c r="P1291" s="3" t="str">
        <f>IFERROR(ROUND(INDEX('PROJETO PERFURAÇÃO'!$AB:$AB,MATCH(MEDIÇÃO!R1291,'PROJETO PERFURAÇÃO'!$B:$B,0)),1)&amp;"''","")</f>
        <v/>
      </c>
      <c r="Q1291" s="3" t="str">
        <f>IFERROR(IF(INDEX('PROJETO PERFURAÇÃO'!$P:$P,MATCH(MEDIÇÃO!R1291,'PROJETO PERFURAÇÃO'!$B:$B,0))="Production","P",IF(INDEX('PROJETO PERFURAÇÃO'!$P:$P,MATCH(MEDIÇÃO!R1291,'PROJETO PERFURAÇÃO'!$B:$B,0))="Buffer","B",IF(INDEX('PROJETO PERFURAÇÃO'!$P:$P,MATCH(MEDIÇÃO!R1291,'PROJETO PERFURAÇÃO'!$B:$B,0))="Pre-Splitting","S"))),"")</f>
        <v/>
      </c>
      <c r="R1291" s="14">
        <f t="shared" si="125"/>
        <v>2891</v>
      </c>
      <c r="S1291" s="4" t="str">
        <f>IFERROR(INDEX('LEV R&amp;D'!$D:$D,MATCH(MEDIÇÃO!R1291,'LEV R&amp;D'!$A:$A,0))-INDEX('PROJETO PERFURAÇÃO'!$AH:$AH,MATCH(MEDIÇÃO!R1291,'PROJETO PERFURAÇÃO'!$B:$B,0)),"")</f>
        <v/>
      </c>
      <c r="T1291" s="8" t="str">
        <f>IFERROR(INDEX('PROJETO PERFURAÇÃO'!$AN:$AN,MATCH(MEDIÇÃO!R1291,'PROJETO PERFURAÇÃO'!$B:$B,0)),"")</f>
        <v/>
      </c>
      <c r="U1291" s="3"/>
      <c r="V1291" s="3"/>
    </row>
    <row r="1292" spans="2:22" ht="45" customHeight="1">
      <c r="B1292" s="3" t="str">
        <f>IFERROR(ROUND(INDEX('PROJETO PERFURAÇÃO'!$AB:$AB,MATCH(MEDIÇÃO!D1292,'PROJETO PERFURAÇÃO'!$B:$B,0)),1)&amp;"''","")</f>
        <v/>
      </c>
      <c r="C1292" s="3" t="str">
        <f>IFERROR(IF(INDEX('PROJETO PERFURAÇÃO'!$P:$P,MATCH(MEDIÇÃO!D1292,'PROJETO PERFURAÇÃO'!$B:$B,0))="Production","P",IF(INDEX('PROJETO PERFURAÇÃO'!$P:$P,MATCH(MEDIÇÃO!D1292,'PROJETO PERFURAÇÃO'!$B:$B,0))="Buffer","B",IF(INDEX('PROJETO PERFURAÇÃO'!$P:$P,MATCH(MEDIÇÃO!D1292,'PROJETO PERFURAÇÃO'!$B:$B,0))="Pre-Splitting","S"))),"")</f>
        <v/>
      </c>
      <c r="D1292" s="14">
        <f t="shared" si="123"/>
        <v>2846</v>
      </c>
      <c r="E1292" s="4" t="str">
        <f>IFERROR(INDEX('LEV R&amp;D'!$D:$D,MATCH(MEDIÇÃO!D1292,'LEV R&amp;D'!$A:$A,0))-INDEX('PROJETO PERFURAÇÃO'!$AH:$AH,MATCH(MEDIÇÃO!D1292,'PROJETO PERFURAÇÃO'!$B:$B,0)),"")</f>
        <v/>
      </c>
      <c r="F1292" s="8" t="str">
        <f>IFERROR(INDEX('PROJETO PERFURAÇÃO'!$AN:$AN,MATCH(MEDIÇÃO!D1292,'PROJETO PERFURAÇÃO'!$B:$B,0)),"")</f>
        <v/>
      </c>
      <c r="G1292" s="3"/>
      <c r="H1292" s="3"/>
      <c r="I1292" s="3" t="str">
        <f>IFERROR(ROUND(INDEX('PROJETO PERFURAÇÃO'!$AB:$AB,MATCH(MEDIÇÃO!K1292,'PROJETO PERFURAÇÃO'!$B:$B,0)),1)&amp;"''","")</f>
        <v/>
      </c>
      <c r="J1292" s="3" t="str">
        <f>IFERROR(IF(INDEX('PROJETO PERFURAÇÃO'!$P:$P,MATCH(MEDIÇÃO!K1292,'PROJETO PERFURAÇÃO'!$B:$B,0))="Production","P",IF(INDEX('PROJETO PERFURAÇÃO'!$P:$P,MATCH(MEDIÇÃO!K1292,'PROJETO PERFURAÇÃO'!$B:$B,0))="Buffer","B",IF(INDEX('PROJETO PERFURAÇÃO'!$P:$P,MATCH(MEDIÇÃO!K1292,'PROJETO PERFURAÇÃO'!$B:$B,0))="Pre-Splitting","S"))),"")</f>
        <v/>
      </c>
      <c r="K1292" s="14">
        <f t="shared" si="124"/>
        <v>2869</v>
      </c>
      <c r="L1292" s="4" t="str">
        <f>IFERROR(INDEX('LEV R&amp;D'!$D:$D,MATCH(MEDIÇÃO!K1292,'LEV R&amp;D'!$A:$A,0))-INDEX('PROJETO PERFURAÇÃO'!$AH:$AH,MATCH(MEDIÇÃO!K1292,'PROJETO PERFURAÇÃO'!$B:$B,0)),"")</f>
        <v/>
      </c>
      <c r="M1292" s="8" t="str">
        <f>IFERROR(INDEX('PROJETO PERFURAÇÃO'!$AN:$AN,MATCH(MEDIÇÃO!K1292,'PROJETO PERFURAÇÃO'!$B:$B,0)),"")</f>
        <v/>
      </c>
      <c r="N1292" s="3"/>
      <c r="O1292" s="3"/>
      <c r="P1292" s="3" t="str">
        <f>IFERROR(ROUND(INDEX('PROJETO PERFURAÇÃO'!$AB:$AB,MATCH(MEDIÇÃO!R1292,'PROJETO PERFURAÇÃO'!$B:$B,0)),1)&amp;"''","")</f>
        <v/>
      </c>
      <c r="Q1292" s="3" t="str">
        <f>IFERROR(IF(INDEX('PROJETO PERFURAÇÃO'!$P:$P,MATCH(MEDIÇÃO!R1292,'PROJETO PERFURAÇÃO'!$B:$B,0))="Production","P",IF(INDEX('PROJETO PERFURAÇÃO'!$P:$P,MATCH(MEDIÇÃO!R1292,'PROJETO PERFURAÇÃO'!$B:$B,0))="Buffer","B",IF(INDEX('PROJETO PERFURAÇÃO'!$P:$P,MATCH(MEDIÇÃO!R1292,'PROJETO PERFURAÇÃO'!$B:$B,0))="Pre-Splitting","S"))),"")</f>
        <v/>
      </c>
      <c r="R1292" s="14">
        <f t="shared" si="125"/>
        <v>2892</v>
      </c>
      <c r="S1292" s="4" t="str">
        <f>IFERROR(INDEX('LEV R&amp;D'!$D:$D,MATCH(MEDIÇÃO!R1292,'LEV R&amp;D'!$A:$A,0))-INDEX('PROJETO PERFURAÇÃO'!$AH:$AH,MATCH(MEDIÇÃO!R1292,'PROJETO PERFURAÇÃO'!$B:$B,0)),"")</f>
        <v/>
      </c>
      <c r="T1292" s="8" t="str">
        <f>IFERROR(INDEX('PROJETO PERFURAÇÃO'!$AN:$AN,MATCH(MEDIÇÃO!R1292,'PROJETO PERFURAÇÃO'!$B:$B,0)),"")</f>
        <v/>
      </c>
      <c r="U1292" s="3"/>
      <c r="V1292" s="3"/>
    </row>
    <row r="1293" spans="2:22" ht="45" customHeight="1">
      <c r="B1293" s="3" t="str">
        <f>IFERROR(ROUND(INDEX('PROJETO PERFURAÇÃO'!$AB:$AB,MATCH(MEDIÇÃO!D1293,'PROJETO PERFURAÇÃO'!$B:$B,0)),1)&amp;"''","")</f>
        <v/>
      </c>
      <c r="C1293" s="3" t="str">
        <f>IFERROR(IF(INDEX('PROJETO PERFURAÇÃO'!$P:$P,MATCH(MEDIÇÃO!D1293,'PROJETO PERFURAÇÃO'!$B:$B,0))="Production","P",IF(INDEX('PROJETO PERFURAÇÃO'!$P:$P,MATCH(MEDIÇÃO!D1293,'PROJETO PERFURAÇÃO'!$B:$B,0))="Buffer","B",IF(INDEX('PROJETO PERFURAÇÃO'!$P:$P,MATCH(MEDIÇÃO!D1293,'PROJETO PERFURAÇÃO'!$B:$B,0))="Pre-Splitting","S"))),"")</f>
        <v/>
      </c>
      <c r="D1293" s="14">
        <f t="shared" si="123"/>
        <v>2847</v>
      </c>
      <c r="E1293" s="4" t="str">
        <f>IFERROR(INDEX('LEV R&amp;D'!$D:$D,MATCH(MEDIÇÃO!D1293,'LEV R&amp;D'!$A:$A,0))-INDEX('PROJETO PERFURAÇÃO'!$AH:$AH,MATCH(MEDIÇÃO!D1293,'PROJETO PERFURAÇÃO'!$B:$B,0)),"")</f>
        <v/>
      </c>
      <c r="F1293" s="8" t="str">
        <f>IFERROR(INDEX('PROJETO PERFURAÇÃO'!$AN:$AN,MATCH(MEDIÇÃO!D1293,'PROJETO PERFURAÇÃO'!$B:$B,0)),"")</f>
        <v/>
      </c>
      <c r="G1293" s="3"/>
      <c r="H1293" s="3"/>
      <c r="I1293" s="3" t="str">
        <f>IFERROR(ROUND(INDEX('PROJETO PERFURAÇÃO'!$AB:$AB,MATCH(MEDIÇÃO!K1293,'PROJETO PERFURAÇÃO'!$B:$B,0)),1)&amp;"''","")</f>
        <v/>
      </c>
      <c r="J1293" s="3" t="str">
        <f>IFERROR(IF(INDEX('PROJETO PERFURAÇÃO'!$P:$P,MATCH(MEDIÇÃO!K1293,'PROJETO PERFURAÇÃO'!$B:$B,0))="Production","P",IF(INDEX('PROJETO PERFURAÇÃO'!$P:$P,MATCH(MEDIÇÃO!K1293,'PROJETO PERFURAÇÃO'!$B:$B,0))="Buffer","B",IF(INDEX('PROJETO PERFURAÇÃO'!$P:$P,MATCH(MEDIÇÃO!K1293,'PROJETO PERFURAÇÃO'!$B:$B,0))="Pre-Splitting","S"))),"")</f>
        <v/>
      </c>
      <c r="K1293" s="14">
        <f t="shared" si="124"/>
        <v>2870</v>
      </c>
      <c r="L1293" s="4" t="str">
        <f>IFERROR(INDEX('LEV R&amp;D'!$D:$D,MATCH(MEDIÇÃO!K1293,'LEV R&amp;D'!$A:$A,0))-INDEX('PROJETO PERFURAÇÃO'!$AH:$AH,MATCH(MEDIÇÃO!K1293,'PROJETO PERFURAÇÃO'!$B:$B,0)),"")</f>
        <v/>
      </c>
      <c r="M1293" s="8" t="str">
        <f>IFERROR(INDEX('PROJETO PERFURAÇÃO'!$AN:$AN,MATCH(MEDIÇÃO!K1293,'PROJETO PERFURAÇÃO'!$B:$B,0)),"")</f>
        <v/>
      </c>
      <c r="N1293" s="3"/>
      <c r="O1293" s="3"/>
      <c r="P1293" s="3" t="str">
        <f>IFERROR(ROUND(INDEX('PROJETO PERFURAÇÃO'!$AB:$AB,MATCH(MEDIÇÃO!R1293,'PROJETO PERFURAÇÃO'!$B:$B,0)),1)&amp;"''","")</f>
        <v/>
      </c>
      <c r="Q1293" s="3" t="str">
        <f>IFERROR(IF(INDEX('PROJETO PERFURAÇÃO'!$P:$P,MATCH(MEDIÇÃO!R1293,'PROJETO PERFURAÇÃO'!$B:$B,0))="Production","P",IF(INDEX('PROJETO PERFURAÇÃO'!$P:$P,MATCH(MEDIÇÃO!R1293,'PROJETO PERFURAÇÃO'!$B:$B,0))="Buffer","B",IF(INDEX('PROJETO PERFURAÇÃO'!$P:$P,MATCH(MEDIÇÃO!R1293,'PROJETO PERFURAÇÃO'!$B:$B,0))="Pre-Splitting","S"))),"")</f>
        <v/>
      </c>
      <c r="R1293" s="14">
        <f t="shared" si="125"/>
        <v>2893</v>
      </c>
      <c r="S1293" s="4" t="str">
        <f>IFERROR(INDEX('LEV R&amp;D'!$D:$D,MATCH(MEDIÇÃO!R1293,'LEV R&amp;D'!$A:$A,0))-INDEX('PROJETO PERFURAÇÃO'!$AH:$AH,MATCH(MEDIÇÃO!R1293,'PROJETO PERFURAÇÃO'!$B:$B,0)),"")</f>
        <v/>
      </c>
      <c r="T1293" s="8" t="str">
        <f>IFERROR(INDEX('PROJETO PERFURAÇÃO'!$AN:$AN,MATCH(MEDIÇÃO!R1293,'PROJETO PERFURAÇÃO'!$B:$B,0)),"")</f>
        <v/>
      </c>
      <c r="U1293" s="3"/>
      <c r="V1293" s="3"/>
    </row>
    <row r="1294" spans="2:22" ht="45" customHeight="1">
      <c r="B1294" s="3" t="str">
        <f>IFERROR(ROUND(INDEX('PROJETO PERFURAÇÃO'!$AB:$AB,MATCH(MEDIÇÃO!D1294,'PROJETO PERFURAÇÃO'!$B:$B,0)),1)&amp;"''","")</f>
        <v/>
      </c>
      <c r="C1294" s="3" t="str">
        <f>IFERROR(IF(INDEX('PROJETO PERFURAÇÃO'!$P:$P,MATCH(MEDIÇÃO!D1294,'PROJETO PERFURAÇÃO'!$B:$B,0))="Production","P",IF(INDEX('PROJETO PERFURAÇÃO'!$P:$P,MATCH(MEDIÇÃO!D1294,'PROJETO PERFURAÇÃO'!$B:$B,0))="Buffer","B",IF(INDEX('PROJETO PERFURAÇÃO'!$P:$P,MATCH(MEDIÇÃO!D1294,'PROJETO PERFURAÇÃO'!$B:$B,0))="Pre-Splitting","S"))),"")</f>
        <v/>
      </c>
      <c r="D1294" s="14">
        <f t="shared" si="123"/>
        <v>2848</v>
      </c>
      <c r="E1294" s="4" t="str">
        <f>IFERROR(INDEX('LEV R&amp;D'!$D:$D,MATCH(MEDIÇÃO!D1294,'LEV R&amp;D'!$A:$A,0))-INDEX('PROJETO PERFURAÇÃO'!$AH:$AH,MATCH(MEDIÇÃO!D1294,'PROJETO PERFURAÇÃO'!$B:$B,0)),"")</f>
        <v/>
      </c>
      <c r="F1294" s="8" t="str">
        <f>IFERROR(INDEX('PROJETO PERFURAÇÃO'!$AN:$AN,MATCH(MEDIÇÃO!D1294,'PROJETO PERFURAÇÃO'!$B:$B,0)),"")</f>
        <v/>
      </c>
      <c r="G1294" s="3"/>
      <c r="H1294" s="3"/>
      <c r="I1294" s="3" t="str">
        <f>IFERROR(ROUND(INDEX('PROJETO PERFURAÇÃO'!$AB:$AB,MATCH(MEDIÇÃO!K1294,'PROJETO PERFURAÇÃO'!$B:$B,0)),1)&amp;"''","")</f>
        <v/>
      </c>
      <c r="J1294" s="3" t="str">
        <f>IFERROR(IF(INDEX('PROJETO PERFURAÇÃO'!$P:$P,MATCH(MEDIÇÃO!K1294,'PROJETO PERFURAÇÃO'!$B:$B,0))="Production","P",IF(INDEX('PROJETO PERFURAÇÃO'!$P:$P,MATCH(MEDIÇÃO!K1294,'PROJETO PERFURAÇÃO'!$B:$B,0))="Buffer","B",IF(INDEX('PROJETO PERFURAÇÃO'!$P:$P,MATCH(MEDIÇÃO!K1294,'PROJETO PERFURAÇÃO'!$B:$B,0))="Pre-Splitting","S"))),"")</f>
        <v/>
      </c>
      <c r="K1294" s="14">
        <f t="shared" si="124"/>
        <v>2871</v>
      </c>
      <c r="L1294" s="4" t="str">
        <f>IFERROR(INDEX('LEV R&amp;D'!$D:$D,MATCH(MEDIÇÃO!K1294,'LEV R&amp;D'!$A:$A,0))-INDEX('PROJETO PERFURAÇÃO'!$AH:$AH,MATCH(MEDIÇÃO!K1294,'PROJETO PERFURAÇÃO'!$B:$B,0)),"")</f>
        <v/>
      </c>
      <c r="M1294" s="8" t="str">
        <f>IFERROR(INDEX('PROJETO PERFURAÇÃO'!$AN:$AN,MATCH(MEDIÇÃO!K1294,'PROJETO PERFURAÇÃO'!$B:$B,0)),"")</f>
        <v/>
      </c>
      <c r="N1294" s="3"/>
      <c r="O1294" s="3"/>
      <c r="P1294" s="3" t="str">
        <f>IFERROR(ROUND(INDEX('PROJETO PERFURAÇÃO'!$AB:$AB,MATCH(MEDIÇÃO!R1294,'PROJETO PERFURAÇÃO'!$B:$B,0)),1)&amp;"''","")</f>
        <v/>
      </c>
      <c r="Q1294" s="3" t="str">
        <f>IFERROR(IF(INDEX('PROJETO PERFURAÇÃO'!$P:$P,MATCH(MEDIÇÃO!R1294,'PROJETO PERFURAÇÃO'!$B:$B,0))="Production","P",IF(INDEX('PROJETO PERFURAÇÃO'!$P:$P,MATCH(MEDIÇÃO!R1294,'PROJETO PERFURAÇÃO'!$B:$B,0))="Buffer","B",IF(INDEX('PROJETO PERFURAÇÃO'!$P:$P,MATCH(MEDIÇÃO!R1294,'PROJETO PERFURAÇÃO'!$B:$B,0))="Pre-Splitting","S"))),"")</f>
        <v/>
      </c>
      <c r="R1294" s="14">
        <f t="shared" si="125"/>
        <v>2894</v>
      </c>
      <c r="S1294" s="4" t="str">
        <f>IFERROR(INDEX('LEV R&amp;D'!$D:$D,MATCH(MEDIÇÃO!R1294,'LEV R&amp;D'!$A:$A,0))-INDEX('PROJETO PERFURAÇÃO'!$AH:$AH,MATCH(MEDIÇÃO!R1294,'PROJETO PERFURAÇÃO'!$B:$B,0)),"")</f>
        <v/>
      </c>
      <c r="T1294" s="8" t="str">
        <f>IFERROR(INDEX('PROJETO PERFURAÇÃO'!$AN:$AN,MATCH(MEDIÇÃO!R1294,'PROJETO PERFURAÇÃO'!$B:$B,0)),"")</f>
        <v/>
      </c>
      <c r="U1294" s="3"/>
      <c r="V1294" s="3"/>
    </row>
    <row r="1295" spans="2:22" ht="45" customHeight="1">
      <c r="B1295" s="3" t="str">
        <f>IFERROR(ROUND(INDEX('PROJETO PERFURAÇÃO'!$AB:$AB,MATCH(MEDIÇÃO!D1295,'PROJETO PERFURAÇÃO'!$B:$B,0)),1)&amp;"''","")</f>
        <v/>
      </c>
      <c r="C1295" s="3" t="str">
        <f>IFERROR(IF(INDEX('PROJETO PERFURAÇÃO'!$P:$P,MATCH(MEDIÇÃO!D1295,'PROJETO PERFURAÇÃO'!$B:$B,0))="Production","P",IF(INDEX('PROJETO PERFURAÇÃO'!$P:$P,MATCH(MEDIÇÃO!D1295,'PROJETO PERFURAÇÃO'!$B:$B,0))="Buffer","B",IF(INDEX('PROJETO PERFURAÇÃO'!$P:$P,MATCH(MEDIÇÃO!D1295,'PROJETO PERFURAÇÃO'!$B:$B,0))="Pre-Splitting","S"))),"")</f>
        <v/>
      </c>
      <c r="D1295" s="14">
        <f t="shared" si="123"/>
        <v>2849</v>
      </c>
      <c r="E1295" s="4" t="str">
        <f>IFERROR(INDEX('LEV R&amp;D'!$D:$D,MATCH(MEDIÇÃO!D1295,'LEV R&amp;D'!$A:$A,0))-INDEX('PROJETO PERFURAÇÃO'!$AH:$AH,MATCH(MEDIÇÃO!D1295,'PROJETO PERFURAÇÃO'!$B:$B,0)),"")</f>
        <v/>
      </c>
      <c r="F1295" s="8" t="str">
        <f>IFERROR(INDEX('PROJETO PERFURAÇÃO'!$AN:$AN,MATCH(MEDIÇÃO!D1295,'PROJETO PERFURAÇÃO'!$B:$B,0)),"")</f>
        <v/>
      </c>
      <c r="G1295" s="3"/>
      <c r="H1295" s="3"/>
      <c r="I1295" s="3" t="str">
        <f>IFERROR(ROUND(INDEX('PROJETO PERFURAÇÃO'!$AB:$AB,MATCH(MEDIÇÃO!K1295,'PROJETO PERFURAÇÃO'!$B:$B,0)),1)&amp;"''","")</f>
        <v/>
      </c>
      <c r="J1295" s="3" t="str">
        <f>IFERROR(IF(INDEX('PROJETO PERFURAÇÃO'!$P:$P,MATCH(MEDIÇÃO!K1295,'PROJETO PERFURAÇÃO'!$B:$B,0))="Production","P",IF(INDEX('PROJETO PERFURAÇÃO'!$P:$P,MATCH(MEDIÇÃO!K1295,'PROJETO PERFURAÇÃO'!$B:$B,0))="Buffer","B",IF(INDEX('PROJETO PERFURAÇÃO'!$P:$P,MATCH(MEDIÇÃO!K1295,'PROJETO PERFURAÇÃO'!$B:$B,0))="Pre-Splitting","S"))),"")</f>
        <v/>
      </c>
      <c r="K1295" s="14">
        <f t="shared" si="124"/>
        <v>2872</v>
      </c>
      <c r="L1295" s="4" t="str">
        <f>IFERROR(INDEX('LEV R&amp;D'!$D:$D,MATCH(MEDIÇÃO!K1295,'LEV R&amp;D'!$A:$A,0))-INDEX('PROJETO PERFURAÇÃO'!$AH:$AH,MATCH(MEDIÇÃO!K1295,'PROJETO PERFURAÇÃO'!$B:$B,0)),"")</f>
        <v/>
      </c>
      <c r="M1295" s="8" t="str">
        <f>IFERROR(INDEX('PROJETO PERFURAÇÃO'!$AN:$AN,MATCH(MEDIÇÃO!K1295,'PROJETO PERFURAÇÃO'!$B:$B,0)),"")</f>
        <v/>
      </c>
      <c r="N1295" s="3"/>
      <c r="O1295" s="3"/>
      <c r="P1295" s="3" t="str">
        <f>IFERROR(ROUND(INDEX('PROJETO PERFURAÇÃO'!$AB:$AB,MATCH(MEDIÇÃO!R1295,'PROJETO PERFURAÇÃO'!$B:$B,0)),1)&amp;"''","")</f>
        <v/>
      </c>
      <c r="Q1295" s="3" t="str">
        <f>IFERROR(IF(INDEX('PROJETO PERFURAÇÃO'!$P:$P,MATCH(MEDIÇÃO!R1295,'PROJETO PERFURAÇÃO'!$B:$B,0))="Production","P",IF(INDEX('PROJETO PERFURAÇÃO'!$P:$P,MATCH(MEDIÇÃO!R1295,'PROJETO PERFURAÇÃO'!$B:$B,0))="Buffer","B",IF(INDEX('PROJETO PERFURAÇÃO'!$P:$P,MATCH(MEDIÇÃO!R1295,'PROJETO PERFURAÇÃO'!$B:$B,0))="Pre-Splitting","S"))),"")</f>
        <v/>
      </c>
      <c r="R1295" s="14">
        <f t="shared" si="125"/>
        <v>2895</v>
      </c>
      <c r="S1295" s="4" t="str">
        <f>IFERROR(INDEX('LEV R&amp;D'!$D:$D,MATCH(MEDIÇÃO!R1295,'LEV R&amp;D'!$A:$A,0))-INDEX('PROJETO PERFURAÇÃO'!$AH:$AH,MATCH(MEDIÇÃO!R1295,'PROJETO PERFURAÇÃO'!$B:$B,0)),"")</f>
        <v/>
      </c>
      <c r="T1295" s="8" t="str">
        <f>IFERROR(INDEX('PROJETO PERFURAÇÃO'!$AN:$AN,MATCH(MEDIÇÃO!R1295,'PROJETO PERFURAÇÃO'!$B:$B,0)),"")</f>
        <v/>
      </c>
      <c r="U1295" s="3"/>
      <c r="V1295" s="3"/>
    </row>
    <row r="1296" spans="2:22" ht="45" customHeight="1">
      <c r="B1296" s="3" t="str">
        <f>IFERROR(ROUND(INDEX('PROJETO PERFURAÇÃO'!$AB:$AB,MATCH(MEDIÇÃO!D1296,'PROJETO PERFURAÇÃO'!$B:$B,0)),1)&amp;"''","")</f>
        <v/>
      </c>
      <c r="C1296" s="3" t="str">
        <f>IFERROR(IF(INDEX('PROJETO PERFURAÇÃO'!$P:$P,MATCH(MEDIÇÃO!D1296,'PROJETO PERFURAÇÃO'!$B:$B,0))="Production","P",IF(INDEX('PROJETO PERFURAÇÃO'!$P:$P,MATCH(MEDIÇÃO!D1296,'PROJETO PERFURAÇÃO'!$B:$B,0))="Buffer","B",IF(INDEX('PROJETO PERFURAÇÃO'!$P:$P,MATCH(MEDIÇÃO!D1296,'PROJETO PERFURAÇÃO'!$B:$B,0))="Pre-Splitting","S"))),"")</f>
        <v/>
      </c>
      <c r="D1296" s="14">
        <f t="shared" si="123"/>
        <v>2850</v>
      </c>
      <c r="E1296" s="4" t="str">
        <f>IFERROR(INDEX('LEV R&amp;D'!$D:$D,MATCH(MEDIÇÃO!D1296,'LEV R&amp;D'!$A:$A,0))-INDEX('PROJETO PERFURAÇÃO'!$AH:$AH,MATCH(MEDIÇÃO!D1296,'PROJETO PERFURAÇÃO'!$B:$B,0)),"")</f>
        <v/>
      </c>
      <c r="F1296" s="8" t="str">
        <f>IFERROR(INDEX('PROJETO PERFURAÇÃO'!$AN:$AN,MATCH(MEDIÇÃO!D1296,'PROJETO PERFURAÇÃO'!$B:$B,0)),"")</f>
        <v/>
      </c>
      <c r="G1296" s="3"/>
      <c r="H1296" s="3"/>
      <c r="I1296" s="3" t="str">
        <f>IFERROR(ROUND(INDEX('PROJETO PERFURAÇÃO'!$AB:$AB,MATCH(MEDIÇÃO!K1296,'PROJETO PERFURAÇÃO'!$B:$B,0)),1)&amp;"''","")</f>
        <v/>
      </c>
      <c r="J1296" s="3" t="str">
        <f>IFERROR(IF(INDEX('PROJETO PERFURAÇÃO'!$P:$P,MATCH(MEDIÇÃO!K1296,'PROJETO PERFURAÇÃO'!$B:$B,0))="Production","P",IF(INDEX('PROJETO PERFURAÇÃO'!$P:$P,MATCH(MEDIÇÃO!K1296,'PROJETO PERFURAÇÃO'!$B:$B,0))="Buffer","B",IF(INDEX('PROJETO PERFURAÇÃO'!$P:$P,MATCH(MEDIÇÃO!K1296,'PROJETO PERFURAÇÃO'!$B:$B,0))="Pre-Splitting","S"))),"")</f>
        <v/>
      </c>
      <c r="K1296" s="14">
        <f t="shared" si="124"/>
        <v>2873</v>
      </c>
      <c r="L1296" s="4" t="str">
        <f>IFERROR(INDEX('LEV R&amp;D'!$D:$D,MATCH(MEDIÇÃO!K1296,'LEV R&amp;D'!$A:$A,0))-INDEX('PROJETO PERFURAÇÃO'!$AH:$AH,MATCH(MEDIÇÃO!K1296,'PROJETO PERFURAÇÃO'!$B:$B,0)),"")</f>
        <v/>
      </c>
      <c r="M1296" s="8" t="str">
        <f>IFERROR(INDEX('PROJETO PERFURAÇÃO'!$AN:$AN,MATCH(MEDIÇÃO!K1296,'PROJETO PERFURAÇÃO'!$B:$B,0)),"")</f>
        <v/>
      </c>
      <c r="N1296" s="3"/>
      <c r="O1296" s="3"/>
      <c r="P1296" s="3" t="str">
        <f>IFERROR(ROUND(INDEX('PROJETO PERFURAÇÃO'!$AB:$AB,MATCH(MEDIÇÃO!R1296,'PROJETO PERFURAÇÃO'!$B:$B,0)),1)&amp;"''","")</f>
        <v/>
      </c>
      <c r="Q1296" s="3" t="str">
        <f>IFERROR(IF(INDEX('PROJETO PERFURAÇÃO'!$P:$P,MATCH(MEDIÇÃO!R1296,'PROJETO PERFURAÇÃO'!$B:$B,0))="Production","P",IF(INDEX('PROJETO PERFURAÇÃO'!$P:$P,MATCH(MEDIÇÃO!R1296,'PROJETO PERFURAÇÃO'!$B:$B,0))="Buffer","B",IF(INDEX('PROJETO PERFURAÇÃO'!$P:$P,MATCH(MEDIÇÃO!R1296,'PROJETO PERFURAÇÃO'!$B:$B,0))="Pre-Splitting","S"))),"")</f>
        <v/>
      </c>
      <c r="R1296" s="14">
        <f t="shared" si="125"/>
        <v>2896</v>
      </c>
      <c r="S1296" s="4" t="str">
        <f>IFERROR(INDEX('LEV R&amp;D'!$D:$D,MATCH(MEDIÇÃO!R1296,'LEV R&amp;D'!$A:$A,0))-INDEX('PROJETO PERFURAÇÃO'!$AH:$AH,MATCH(MEDIÇÃO!R1296,'PROJETO PERFURAÇÃO'!$B:$B,0)),"")</f>
        <v/>
      </c>
      <c r="T1296" s="8" t="str">
        <f>IFERROR(INDEX('PROJETO PERFURAÇÃO'!$AN:$AN,MATCH(MEDIÇÃO!R1296,'PROJETO PERFURAÇÃO'!$B:$B,0)),"")</f>
        <v/>
      </c>
      <c r="U1296" s="3"/>
      <c r="V1296" s="3"/>
    </row>
    <row r="1297" spans="1:23" ht="45" customHeight="1">
      <c r="B1297" s="3" t="str">
        <f>IFERROR(ROUND(INDEX('PROJETO PERFURAÇÃO'!$AB:$AB,MATCH(MEDIÇÃO!D1297,'PROJETO PERFURAÇÃO'!$B:$B,0)),1)&amp;"''","")</f>
        <v/>
      </c>
      <c r="C1297" s="3" t="str">
        <f>IFERROR(IF(INDEX('PROJETO PERFURAÇÃO'!$P:$P,MATCH(MEDIÇÃO!D1297,'PROJETO PERFURAÇÃO'!$B:$B,0))="Production","P",IF(INDEX('PROJETO PERFURAÇÃO'!$P:$P,MATCH(MEDIÇÃO!D1297,'PROJETO PERFURAÇÃO'!$B:$B,0))="Buffer","B",IF(INDEX('PROJETO PERFURAÇÃO'!$P:$P,MATCH(MEDIÇÃO!D1297,'PROJETO PERFURAÇÃO'!$B:$B,0))="Pre-Splitting","S"))),"")</f>
        <v/>
      </c>
      <c r="D1297" s="14">
        <f t="shared" si="123"/>
        <v>2851</v>
      </c>
      <c r="E1297" s="4" t="str">
        <f>IFERROR(INDEX('LEV R&amp;D'!$D:$D,MATCH(MEDIÇÃO!D1297,'LEV R&amp;D'!$A:$A,0))-INDEX('PROJETO PERFURAÇÃO'!$AH:$AH,MATCH(MEDIÇÃO!D1297,'PROJETO PERFURAÇÃO'!$B:$B,0)),"")</f>
        <v/>
      </c>
      <c r="F1297" s="8" t="str">
        <f>IFERROR(INDEX('PROJETO PERFURAÇÃO'!$AN:$AN,MATCH(MEDIÇÃO!D1297,'PROJETO PERFURAÇÃO'!$B:$B,0)),"")</f>
        <v/>
      </c>
      <c r="G1297" s="3"/>
      <c r="H1297" s="3"/>
      <c r="I1297" s="3" t="str">
        <f>IFERROR(ROUND(INDEX('PROJETO PERFURAÇÃO'!$AB:$AB,MATCH(MEDIÇÃO!K1297,'PROJETO PERFURAÇÃO'!$B:$B,0)),1)&amp;"''","")</f>
        <v/>
      </c>
      <c r="J1297" s="3" t="str">
        <f>IFERROR(IF(INDEX('PROJETO PERFURAÇÃO'!$P:$P,MATCH(MEDIÇÃO!K1297,'PROJETO PERFURAÇÃO'!$B:$B,0))="Production","P",IF(INDEX('PROJETO PERFURAÇÃO'!$P:$P,MATCH(MEDIÇÃO!K1297,'PROJETO PERFURAÇÃO'!$B:$B,0))="Buffer","B",IF(INDEX('PROJETO PERFURAÇÃO'!$P:$P,MATCH(MEDIÇÃO!K1297,'PROJETO PERFURAÇÃO'!$B:$B,0))="Pre-Splitting","S"))),"")</f>
        <v/>
      </c>
      <c r="K1297" s="14">
        <f t="shared" si="124"/>
        <v>2874</v>
      </c>
      <c r="L1297" s="4" t="str">
        <f>IFERROR(INDEX('LEV R&amp;D'!$D:$D,MATCH(MEDIÇÃO!K1297,'LEV R&amp;D'!$A:$A,0))-INDEX('PROJETO PERFURAÇÃO'!$AH:$AH,MATCH(MEDIÇÃO!K1297,'PROJETO PERFURAÇÃO'!$B:$B,0)),"")</f>
        <v/>
      </c>
      <c r="M1297" s="8" t="str">
        <f>IFERROR(INDEX('PROJETO PERFURAÇÃO'!$AN:$AN,MATCH(MEDIÇÃO!K1297,'PROJETO PERFURAÇÃO'!$B:$B,0)),"")</f>
        <v/>
      </c>
      <c r="N1297" s="3"/>
      <c r="O1297" s="3"/>
      <c r="P1297" s="3" t="str">
        <f>IFERROR(ROUND(INDEX('PROJETO PERFURAÇÃO'!$AB:$AB,MATCH(MEDIÇÃO!R1297,'PROJETO PERFURAÇÃO'!$B:$B,0)),1)&amp;"''","")</f>
        <v/>
      </c>
      <c r="Q1297" s="3" t="str">
        <f>IFERROR(IF(INDEX('PROJETO PERFURAÇÃO'!$P:$P,MATCH(MEDIÇÃO!R1297,'PROJETO PERFURAÇÃO'!$B:$B,0))="Production","P",IF(INDEX('PROJETO PERFURAÇÃO'!$P:$P,MATCH(MEDIÇÃO!R1297,'PROJETO PERFURAÇÃO'!$B:$B,0))="Buffer","B",IF(INDEX('PROJETO PERFURAÇÃO'!$P:$P,MATCH(MEDIÇÃO!R1297,'PROJETO PERFURAÇÃO'!$B:$B,0))="Pre-Splitting","S"))),"")</f>
        <v/>
      </c>
      <c r="R1297" s="14">
        <f t="shared" si="125"/>
        <v>2897</v>
      </c>
      <c r="S1297" s="4" t="str">
        <f>IFERROR(INDEX('LEV R&amp;D'!$D:$D,MATCH(MEDIÇÃO!R1297,'LEV R&amp;D'!$A:$A,0))-INDEX('PROJETO PERFURAÇÃO'!$AH:$AH,MATCH(MEDIÇÃO!R1297,'PROJETO PERFURAÇÃO'!$B:$B,0)),"")</f>
        <v/>
      </c>
      <c r="T1297" s="8" t="str">
        <f>IFERROR(INDEX('PROJETO PERFURAÇÃO'!$AN:$AN,MATCH(MEDIÇÃO!R1297,'PROJETO PERFURAÇÃO'!$B:$B,0)),"")</f>
        <v/>
      </c>
      <c r="U1297" s="3"/>
      <c r="V1297" s="3"/>
    </row>
    <row r="1298" spans="1:23" ht="45" customHeight="1">
      <c r="B1298" s="3" t="str">
        <f>IFERROR(ROUND(INDEX('PROJETO PERFURAÇÃO'!$AB:$AB,MATCH(MEDIÇÃO!D1298,'PROJETO PERFURAÇÃO'!$B:$B,0)),1)&amp;"''","")</f>
        <v/>
      </c>
      <c r="C1298" s="3" t="str">
        <f>IFERROR(IF(INDEX('PROJETO PERFURAÇÃO'!$P:$P,MATCH(MEDIÇÃO!D1298,'PROJETO PERFURAÇÃO'!$B:$B,0))="Production","P",IF(INDEX('PROJETO PERFURAÇÃO'!$P:$P,MATCH(MEDIÇÃO!D1298,'PROJETO PERFURAÇÃO'!$B:$B,0))="Buffer","B",IF(INDEX('PROJETO PERFURAÇÃO'!$P:$P,MATCH(MEDIÇÃO!D1298,'PROJETO PERFURAÇÃO'!$B:$B,0))="Pre-Splitting","S"))),"")</f>
        <v/>
      </c>
      <c r="D1298" s="14">
        <f t="shared" si="123"/>
        <v>2852</v>
      </c>
      <c r="E1298" s="4" t="str">
        <f>IFERROR(INDEX('LEV R&amp;D'!$D:$D,MATCH(MEDIÇÃO!D1298,'LEV R&amp;D'!$A:$A,0))-INDEX('PROJETO PERFURAÇÃO'!$AH:$AH,MATCH(MEDIÇÃO!D1298,'PROJETO PERFURAÇÃO'!$B:$B,0)),"")</f>
        <v/>
      </c>
      <c r="F1298" s="8" t="str">
        <f>IFERROR(INDEX('PROJETO PERFURAÇÃO'!$AN:$AN,MATCH(MEDIÇÃO!D1298,'PROJETO PERFURAÇÃO'!$B:$B,0)),"")</f>
        <v/>
      </c>
      <c r="G1298" s="3"/>
      <c r="H1298" s="3"/>
      <c r="I1298" s="3" t="str">
        <f>IFERROR(ROUND(INDEX('PROJETO PERFURAÇÃO'!$AB:$AB,MATCH(MEDIÇÃO!K1298,'PROJETO PERFURAÇÃO'!$B:$B,0)),1)&amp;"''","")</f>
        <v/>
      </c>
      <c r="J1298" s="3" t="str">
        <f>IFERROR(IF(INDEX('PROJETO PERFURAÇÃO'!$P:$P,MATCH(MEDIÇÃO!K1298,'PROJETO PERFURAÇÃO'!$B:$B,0))="Production","P",IF(INDEX('PROJETO PERFURAÇÃO'!$P:$P,MATCH(MEDIÇÃO!K1298,'PROJETO PERFURAÇÃO'!$B:$B,0))="Buffer","B",IF(INDEX('PROJETO PERFURAÇÃO'!$P:$P,MATCH(MEDIÇÃO!K1298,'PROJETO PERFURAÇÃO'!$B:$B,0))="Pre-Splitting","S"))),"")</f>
        <v/>
      </c>
      <c r="K1298" s="14">
        <f>K1297+1</f>
        <v>2875</v>
      </c>
      <c r="L1298" s="4" t="str">
        <f>IFERROR(INDEX('LEV R&amp;D'!$D:$D,MATCH(MEDIÇÃO!K1298,'LEV R&amp;D'!$A:$A,0))-INDEX('PROJETO PERFURAÇÃO'!$AH:$AH,MATCH(MEDIÇÃO!K1298,'PROJETO PERFURAÇÃO'!$B:$B,0)),"")</f>
        <v/>
      </c>
      <c r="M1298" s="8" t="str">
        <f>IFERROR(INDEX('PROJETO PERFURAÇÃO'!$AN:$AN,MATCH(MEDIÇÃO!K1298,'PROJETO PERFURAÇÃO'!$B:$B,0)),"")</f>
        <v/>
      </c>
      <c r="N1298" s="3"/>
      <c r="O1298" s="3"/>
      <c r="P1298" s="3" t="str">
        <f>IFERROR(ROUND(INDEX('PROJETO PERFURAÇÃO'!$AB:$AB,MATCH(MEDIÇÃO!R1298,'PROJETO PERFURAÇÃO'!$B:$B,0)),1)&amp;"''","")</f>
        <v/>
      </c>
      <c r="Q1298" s="3" t="str">
        <f>IFERROR(IF(INDEX('PROJETO PERFURAÇÃO'!$P:$P,MATCH(MEDIÇÃO!R1298,'PROJETO PERFURAÇÃO'!$B:$B,0))="Production","P",IF(INDEX('PROJETO PERFURAÇÃO'!$P:$P,MATCH(MEDIÇÃO!R1298,'PROJETO PERFURAÇÃO'!$B:$B,0))="Buffer","B",IF(INDEX('PROJETO PERFURAÇÃO'!$P:$P,MATCH(MEDIÇÃO!R1298,'PROJETO PERFURAÇÃO'!$B:$B,0))="Pre-Splitting","S"))),"")</f>
        <v/>
      </c>
      <c r="R1298" s="14">
        <f>R1297+1</f>
        <v>2898</v>
      </c>
      <c r="S1298" s="4" t="str">
        <f>IFERROR(INDEX('LEV R&amp;D'!$D:$D,MATCH(MEDIÇÃO!R1298,'LEV R&amp;D'!$A:$A,0))-INDEX('PROJETO PERFURAÇÃO'!$AH:$AH,MATCH(MEDIÇÃO!R1298,'PROJETO PERFURAÇÃO'!$B:$B,0)),"")</f>
        <v/>
      </c>
      <c r="T1298" s="8" t="str">
        <f>IFERROR(INDEX('PROJETO PERFURAÇÃO'!$AN:$AN,MATCH(MEDIÇÃO!R1298,'PROJETO PERFURAÇÃO'!$B:$B,0)),"")</f>
        <v/>
      </c>
      <c r="U1298" s="3"/>
      <c r="V1298" s="3"/>
    </row>
    <row r="1299" spans="1:23" ht="30" customHeight="1">
      <c r="B1299" s="1"/>
      <c r="C1299" s="1"/>
      <c r="D1299" s="15"/>
      <c r="E1299" s="2"/>
      <c r="F1299" s="16"/>
      <c r="G1299" s="1"/>
      <c r="H1299" s="1"/>
      <c r="I1299" s="1"/>
      <c r="J1299" s="1"/>
      <c r="K1299" s="15"/>
      <c r="L1299" s="2"/>
      <c r="M1299" s="16"/>
      <c r="N1299" s="1"/>
      <c r="O1299" s="1"/>
      <c r="P1299" s="1"/>
      <c r="Q1299" s="1"/>
      <c r="R1299" s="15"/>
      <c r="S1299" s="2"/>
      <c r="T1299" s="16"/>
      <c r="U1299" s="1"/>
      <c r="V1299" s="1"/>
    </row>
    <row r="1300" spans="1:23" ht="30" customHeight="1">
      <c r="C1300" s="20"/>
      <c r="D1300" s="20"/>
      <c r="E1300" s="20"/>
      <c r="F1300" s="20"/>
      <c r="G1300" s="20"/>
      <c r="H1300" s="20"/>
      <c r="I1300" s="20"/>
      <c r="J1300" s="20"/>
      <c r="K1300" s="20"/>
      <c r="M1300" s="20"/>
      <c r="N1300" s="20"/>
      <c r="O1300" s="20"/>
      <c r="P1300" s="20"/>
      <c r="Q1300" s="20"/>
      <c r="R1300" s="20"/>
      <c r="S1300" s="20"/>
      <c r="T1300" s="20"/>
      <c r="U1300" s="20"/>
    </row>
    <row r="1301" spans="1:23" ht="30" customHeight="1">
      <c r="C1301" s="21" t="s">
        <v>40</v>
      </c>
      <c r="D1301" s="21"/>
      <c r="E1301" s="21"/>
      <c r="F1301" s="21"/>
      <c r="G1301" s="21"/>
      <c r="H1301" s="21"/>
      <c r="I1301" s="21"/>
      <c r="J1301" s="21"/>
      <c r="K1301" s="21"/>
      <c r="L1301" s="9"/>
      <c r="M1301" s="21" t="s">
        <v>40</v>
      </c>
      <c r="N1301" s="21"/>
      <c r="O1301" s="21"/>
      <c r="P1301" s="21"/>
      <c r="Q1301" s="21"/>
      <c r="R1301" s="21"/>
      <c r="S1301" s="21"/>
      <c r="T1301" s="21"/>
      <c r="U1301" s="21"/>
      <c r="V1301" s="9"/>
    </row>
    <row r="1302" spans="1:23" ht="30" customHeight="1">
      <c r="D1302" s="9"/>
      <c r="E1302" s="9"/>
      <c r="F1302" s="9"/>
      <c r="G1302" s="9"/>
      <c r="H1302" s="9"/>
      <c r="I1302" s="9"/>
      <c r="J1302" s="9"/>
      <c r="K1302" s="9"/>
      <c r="L1302" s="9"/>
      <c r="M1302" s="9"/>
      <c r="N1302" s="9"/>
      <c r="Q1302" s="9"/>
      <c r="R1302" s="9"/>
      <c r="S1302" s="9"/>
      <c r="T1302" s="9"/>
      <c r="U1302" s="9"/>
      <c r="V1302" s="9"/>
    </row>
    <row r="1303" spans="1:23" ht="30" customHeight="1">
      <c r="B1303" s="19" t="str">
        <f>'PROJETO PERFURAÇÃO'!$C$2&amp;" - "&amp;'PROJETO PERFURAÇÃO'!$H$2</f>
        <v>LIB037 - PP0370626</v>
      </c>
      <c r="C1303" s="19"/>
      <c r="D1303" s="19"/>
      <c r="E1303" s="19"/>
      <c r="F1303" s="19"/>
      <c r="G1303" s="19"/>
      <c r="H1303" s="19"/>
      <c r="I1303" s="11" t="s">
        <v>34</v>
      </c>
      <c r="J1303" s="10" t="s">
        <v>37</v>
      </c>
    </row>
    <row r="1304" spans="1:23" ht="30" customHeight="1">
      <c r="B1304" s="19"/>
      <c r="C1304" s="19"/>
      <c r="D1304" s="19"/>
      <c r="E1304" s="19"/>
      <c r="F1304" s="19"/>
      <c r="G1304" s="19"/>
      <c r="H1304" s="19"/>
      <c r="I1304" s="12" t="s">
        <v>35</v>
      </c>
      <c r="J1304" s="10" t="s">
        <v>38</v>
      </c>
      <c r="K1304" s="9"/>
      <c r="L1304" s="9"/>
      <c r="M1304" s="9"/>
      <c r="N1304" s="9"/>
      <c r="O1304" s="9"/>
      <c r="P1304" s="9"/>
      <c r="Q1304" s="9"/>
      <c r="R1304" s="9"/>
      <c r="S1304" s="9"/>
      <c r="T1304" s="9"/>
      <c r="U1304" s="9"/>
      <c r="V1304" s="9"/>
    </row>
    <row r="1305" spans="1:23" ht="30" customHeight="1">
      <c r="B1305" s="19"/>
      <c r="C1305" s="19"/>
      <c r="D1305" s="19"/>
      <c r="E1305" s="19"/>
      <c r="F1305" s="19"/>
      <c r="G1305" s="19"/>
      <c r="H1305" s="19"/>
      <c r="I1305" s="13" t="s">
        <v>36</v>
      </c>
      <c r="J1305" s="10" t="s">
        <v>39</v>
      </c>
    </row>
    <row r="1306" spans="1:23" ht="30" customHeight="1">
      <c r="A1306" s="1"/>
      <c r="B1306" s="6" t="s">
        <v>33</v>
      </c>
      <c r="C1306" s="6" t="s">
        <v>13</v>
      </c>
      <c r="D1306" s="7" t="s">
        <v>1</v>
      </c>
      <c r="E1306" s="7" t="s">
        <v>29</v>
      </c>
      <c r="F1306" s="7" t="s">
        <v>30</v>
      </c>
      <c r="G1306" s="7" t="s">
        <v>31</v>
      </c>
      <c r="H1306" s="7" t="s">
        <v>32</v>
      </c>
      <c r="I1306" s="6" t="s">
        <v>33</v>
      </c>
      <c r="J1306" s="6" t="s">
        <v>13</v>
      </c>
      <c r="K1306" s="7" t="s">
        <v>1</v>
      </c>
      <c r="L1306" s="7" t="s">
        <v>29</v>
      </c>
      <c r="M1306" s="7" t="s">
        <v>30</v>
      </c>
      <c r="N1306" s="7" t="s">
        <v>31</v>
      </c>
      <c r="O1306" s="7" t="s">
        <v>32</v>
      </c>
      <c r="P1306" s="6" t="s">
        <v>33</v>
      </c>
      <c r="Q1306" s="6" t="s">
        <v>13</v>
      </c>
      <c r="R1306" s="7" t="s">
        <v>1</v>
      </c>
      <c r="S1306" s="7" t="s">
        <v>29</v>
      </c>
      <c r="T1306" s="7" t="s">
        <v>30</v>
      </c>
      <c r="U1306" s="7" t="s">
        <v>31</v>
      </c>
      <c r="V1306" s="7" t="s">
        <v>32</v>
      </c>
      <c r="W1306" s="1"/>
    </row>
    <row r="1307" spans="1:23" ht="45" customHeight="1">
      <c r="B1307" s="3" t="str">
        <f>IFERROR(ROUND(INDEX('PROJETO PERFURAÇÃO'!$AB:$AB,MATCH(MEDIÇÃO!D1307,'PROJETO PERFURAÇÃO'!$B:$B,0)),1)&amp;"''","")</f>
        <v/>
      </c>
      <c r="C1307" s="3" t="str">
        <f>IFERROR(IF(INDEX('PROJETO PERFURAÇÃO'!$P:$P,MATCH(MEDIÇÃO!D1307,'PROJETO PERFURAÇÃO'!$B:$B,0))="Production","P",IF(INDEX('PROJETO PERFURAÇÃO'!$P:$P,MATCH(MEDIÇÃO!D1307,'PROJETO PERFURAÇÃO'!$B:$B,0))="Buffer","B",IF(INDEX('PROJETO PERFURAÇÃO'!$P:$P,MATCH(MEDIÇÃO!D1307,'PROJETO PERFURAÇÃO'!$B:$B,0))="Pre-Splitting","S"))),"")</f>
        <v/>
      </c>
      <c r="D1307" s="14">
        <f>R1298+1</f>
        <v>2899</v>
      </c>
      <c r="E1307" s="4" t="str">
        <f>IFERROR(INDEX('LEV R&amp;D'!$D:$D,MATCH(MEDIÇÃO!D1307,'LEV R&amp;D'!$A:$A,0))-INDEX('PROJETO PERFURAÇÃO'!$AH:$AH,MATCH(MEDIÇÃO!D1307,'PROJETO PERFURAÇÃO'!$B:$B,0)),"")</f>
        <v/>
      </c>
      <c r="F1307" s="8" t="str">
        <f>IFERROR(INDEX('PROJETO PERFURAÇÃO'!$AN:$AN,MATCH(MEDIÇÃO!D1307,'PROJETO PERFURAÇÃO'!$B:$B,0)),"")</f>
        <v/>
      </c>
      <c r="G1307" s="3"/>
      <c r="H1307" s="3"/>
      <c r="I1307" s="3" t="str">
        <f>IFERROR(ROUND(INDEX('PROJETO PERFURAÇÃO'!$AB:$AB,MATCH(MEDIÇÃO!K1307,'PROJETO PERFURAÇÃO'!$B:$B,0)),1)&amp;"''","")</f>
        <v/>
      </c>
      <c r="J1307" s="3" t="str">
        <f>IFERROR(IF(INDEX('PROJETO PERFURAÇÃO'!$P:$P,MATCH(MEDIÇÃO!K1307,'PROJETO PERFURAÇÃO'!$B:$B,0))="Production","P",IF(INDEX('PROJETO PERFURAÇÃO'!$P:$P,MATCH(MEDIÇÃO!K1307,'PROJETO PERFURAÇÃO'!$B:$B,0))="Buffer","B",IF(INDEX('PROJETO PERFURAÇÃO'!$P:$P,MATCH(MEDIÇÃO!K1307,'PROJETO PERFURAÇÃO'!$B:$B,0))="Pre-Splitting","S"))),"")</f>
        <v/>
      </c>
      <c r="K1307" s="14">
        <f>D1329+1</f>
        <v>2922</v>
      </c>
      <c r="L1307" s="4" t="str">
        <f>IFERROR(INDEX('LEV R&amp;D'!$D:$D,MATCH(MEDIÇÃO!K1307,'LEV R&amp;D'!$A:$A,0))-INDEX('PROJETO PERFURAÇÃO'!$AH:$AH,MATCH(MEDIÇÃO!K1307,'PROJETO PERFURAÇÃO'!$B:$B,0)),"")</f>
        <v/>
      </c>
      <c r="M1307" s="8" t="str">
        <f>IFERROR(INDEX('PROJETO PERFURAÇÃO'!$AN:$AN,MATCH(MEDIÇÃO!K1307,'PROJETO PERFURAÇÃO'!$B:$B,0)),"")</f>
        <v/>
      </c>
      <c r="N1307" s="3"/>
      <c r="O1307" s="3"/>
      <c r="P1307" s="3" t="str">
        <f>IFERROR(ROUND(INDEX('PROJETO PERFURAÇÃO'!$AB:$AB,MATCH(MEDIÇÃO!R1307,'PROJETO PERFURAÇÃO'!$B:$B,0)),1)&amp;"''","")</f>
        <v/>
      </c>
      <c r="Q1307" s="3" t="str">
        <f>IFERROR(IF(INDEX('PROJETO PERFURAÇÃO'!$P:$P,MATCH(MEDIÇÃO!R1307,'PROJETO PERFURAÇÃO'!$B:$B,0))="Production","P",IF(INDEX('PROJETO PERFURAÇÃO'!$P:$P,MATCH(MEDIÇÃO!R1307,'PROJETO PERFURAÇÃO'!$B:$B,0))="Buffer","B",IF(INDEX('PROJETO PERFURAÇÃO'!$P:$P,MATCH(MEDIÇÃO!R1307,'PROJETO PERFURAÇÃO'!$B:$B,0))="Pre-Splitting","S"))),"")</f>
        <v/>
      </c>
      <c r="R1307" s="14">
        <f>K1329+1</f>
        <v>2945</v>
      </c>
      <c r="S1307" s="4" t="str">
        <f>IFERROR(INDEX('LEV R&amp;D'!$D:$D,MATCH(MEDIÇÃO!R1307,'LEV R&amp;D'!$A:$A,0))-INDEX('PROJETO PERFURAÇÃO'!$AH:$AH,MATCH(MEDIÇÃO!R1307,'PROJETO PERFURAÇÃO'!$B:$B,0)),"")</f>
        <v/>
      </c>
      <c r="T1307" s="8" t="str">
        <f>IFERROR(INDEX('PROJETO PERFURAÇÃO'!$AN:$AN,MATCH(MEDIÇÃO!R1307,'PROJETO PERFURAÇÃO'!$B:$B,0)),"")</f>
        <v/>
      </c>
      <c r="U1307" s="3"/>
      <c r="V1307" s="3"/>
    </row>
    <row r="1308" spans="1:23" ht="45" customHeight="1">
      <c r="B1308" s="3" t="str">
        <f>IFERROR(ROUND(INDEX('PROJETO PERFURAÇÃO'!$AB:$AB,MATCH(MEDIÇÃO!D1308,'PROJETO PERFURAÇÃO'!$B:$B,0)),1)&amp;"''","")</f>
        <v/>
      </c>
      <c r="C1308" s="3" t="str">
        <f>IFERROR(IF(INDEX('PROJETO PERFURAÇÃO'!$P:$P,MATCH(MEDIÇÃO!D1308,'PROJETO PERFURAÇÃO'!$B:$B,0))="Production","P",IF(INDEX('PROJETO PERFURAÇÃO'!$P:$P,MATCH(MEDIÇÃO!D1308,'PROJETO PERFURAÇÃO'!$B:$B,0))="Buffer","B",IF(INDEX('PROJETO PERFURAÇÃO'!$P:$P,MATCH(MEDIÇÃO!D1308,'PROJETO PERFURAÇÃO'!$B:$B,0))="Pre-Splitting","S"))),"")</f>
        <v/>
      </c>
      <c r="D1308" s="14">
        <f>D1307+1</f>
        <v>2900</v>
      </c>
      <c r="E1308" s="4" t="str">
        <f>IFERROR(INDEX('LEV R&amp;D'!$D:$D,MATCH(MEDIÇÃO!D1308,'LEV R&amp;D'!$A:$A,0))-INDEX('PROJETO PERFURAÇÃO'!$AH:$AH,MATCH(MEDIÇÃO!D1308,'PROJETO PERFURAÇÃO'!$B:$B,0)),"")</f>
        <v/>
      </c>
      <c r="F1308" s="8" t="str">
        <f>IFERROR(INDEX('PROJETO PERFURAÇÃO'!$AN:$AN,MATCH(MEDIÇÃO!D1308,'PROJETO PERFURAÇÃO'!$B:$B,0)),"")</f>
        <v/>
      </c>
      <c r="G1308" s="3"/>
      <c r="H1308" s="3"/>
      <c r="I1308" s="3" t="str">
        <f>IFERROR(ROUND(INDEX('PROJETO PERFURAÇÃO'!$AB:$AB,MATCH(MEDIÇÃO!K1308,'PROJETO PERFURAÇÃO'!$B:$B,0)),1)&amp;"''","")</f>
        <v/>
      </c>
      <c r="J1308" s="3" t="str">
        <f>IFERROR(IF(INDEX('PROJETO PERFURAÇÃO'!$P:$P,MATCH(MEDIÇÃO!K1308,'PROJETO PERFURAÇÃO'!$B:$B,0))="Production","P",IF(INDEX('PROJETO PERFURAÇÃO'!$P:$P,MATCH(MEDIÇÃO!K1308,'PROJETO PERFURAÇÃO'!$B:$B,0))="Buffer","B",IF(INDEX('PROJETO PERFURAÇÃO'!$P:$P,MATCH(MEDIÇÃO!K1308,'PROJETO PERFURAÇÃO'!$B:$B,0))="Pre-Splitting","S"))),"")</f>
        <v/>
      </c>
      <c r="K1308" s="14">
        <f>K1307+1</f>
        <v>2923</v>
      </c>
      <c r="L1308" s="4" t="str">
        <f>IFERROR(INDEX('LEV R&amp;D'!$D:$D,MATCH(MEDIÇÃO!K1308,'LEV R&amp;D'!$A:$A,0))-INDEX('PROJETO PERFURAÇÃO'!$AH:$AH,MATCH(MEDIÇÃO!K1308,'PROJETO PERFURAÇÃO'!$B:$B,0)),"")</f>
        <v/>
      </c>
      <c r="M1308" s="8" t="str">
        <f>IFERROR(INDEX('PROJETO PERFURAÇÃO'!$AN:$AN,MATCH(MEDIÇÃO!K1308,'PROJETO PERFURAÇÃO'!$B:$B,0)),"")</f>
        <v/>
      </c>
      <c r="N1308" s="3"/>
      <c r="O1308" s="3"/>
      <c r="P1308" s="3" t="str">
        <f>IFERROR(ROUND(INDEX('PROJETO PERFURAÇÃO'!$AB:$AB,MATCH(MEDIÇÃO!R1308,'PROJETO PERFURAÇÃO'!$B:$B,0)),1)&amp;"''","")</f>
        <v/>
      </c>
      <c r="Q1308" s="3" t="str">
        <f>IFERROR(IF(INDEX('PROJETO PERFURAÇÃO'!$P:$P,MATCH(MEDIÇÃO!R1308,'PROJETO PERFURAÇÃO'!$B:$B,0))="Production","P",IF(INDEX('PROJETO PERFURAÇÃO'!$P:$P,MATCH(MEDIÇÃO!R1308,'PROJETO PERFURAÇÃO'!$B:$B,0))="Buffer","B",IF(INDEX('PROJETO PERFURAÇÃO'!$P:$P,MATCH(MEDIÇÃO!R1308,'PROJETO PERFURAÇÃO'!$B:$B,0))="Pre-Splitting","S"))),"")</f>
        <v/>
      </c>
      <c r="R1308" s="14">
        <f>R1307+1</f>
        <v>2946</v>
      </c>
      <c r="S1308" s="4" t="str">
        <f>IFERROR(INDEX('LEV R&amp;D'!$D:$D,MATCH(MEDIÇÃO!R1308,'LEV R&amp;D'!$A:$A,0))-INDEX('PROJETO PERFURAÇÃO'!$AH:$AH,MATCH(MEDIÇÃO!R1308,'PROJETO PERFURAÇÃO'!$B:$B,0)),"")</f>
        <v/>
      </c>
      <c r="T1308" s="8" t="str">
        <f>IFERROR(INDEX('PROJETO PERFURAÇÃO'!$AN:$AN,MATCH(MEDIÇÃO!R1308,'PROJETO PERFURAÇÃO'!$B:$B,0)),"")</f>
        <v/>
      </c>
      <c r="U1308" s="3"/>
      <c r="V1308" s="3"/>
    </row>
    <row r="1309" spans="1:23" ht="45" customHeight="1">
      <c r="B1309" s="3" t="str">
        <f>IFERROR(ROUND(INDEX('PROJETO PERFURAÇÃO'!$AB:$AB,MATCH(MEDIÇÃO!D1309,'PROJETO PERFURAÇÃO'!$B:$B,0)),1)&amp;"''","")</f>
        <v/>
      </c>
      <c r="C1309" s="3" t="str">
        <f>IFERROR(IF(INDEX('PROJETO PERFURAÇÃO'!$P:$P,MATCH(MEDIÇÃO!D1309,'PROJETO PERFURAÇÃO'!$B:$B,0))="Production","P",IF(INDEX('PROJETO PERFURAÇÃO'!$P:$P,MATCH(MEDIÇÃO!D1309,'PROJETO PERFURAÇÃO'!$B:$B,0))="Buffer","B",IF(INDEX('PROJETO PERFURAÇÃO'!$P:$P,MATCH(MEDIÇÃO!D1309,'PROJETO PERFURAÇÃO'!$B:$B,0))="Pre-Splitting","S"))),"")</f>
        <v/>
      </c>
      <c r="D1309" s="14">
        <f t="shared" ref="D1309:D1329" si="126">D1308+1</f>
        <v>2901</v>
      </c>
      <c r="E1309" s="4" t="str">
        <f>IFERROR(INDEX('LEV R&amp;D'!$D:$D,MATCH(MEDIÇÃO!D1309,'LEV R&amp;D'!$A:$A,0))-INDEX('PROJETO PERFURAÇÃO'!$AH:$AH,MATCH(MEDIÇÃO!D1309,'PROJETO PERFURAÇÃO'!$B:$B,0)),"")</f>
        <v/>
      </c>
      <c r="F1309" s="8" t="str">
        <f>IFERROR(INDEX('PROJETO PERFURAÇÃO'!$AN:$AN,MATCH(MEDIÇÃO!D1309,'PROJETO PERFURAÇÃO'!$B:$B,0)),"")</f>
        <v/>
      </c>
      <c r="G1309" s="3"/>
      <c r="H1309" s="3"/>
      <c r="I1309" s="3" t="str">
        <f>IFERROR(ROUND(INDEX('PROJETO PERFURAÇÃO'!$AB:$AB,MATCH(MEDIÇÃO!K1309,'PROJETO PERFURAÇÃO'!$B:$B,0)),1)&amp;"''","")</f>
        <v/>
      </c>
      <c r="J1309" s="3" t="str">
        <f>IFERROR(IF(INDEX('PROJETO PERFURAÇÃO'!$P:$P,MATCH(MEDIÇÃO!K1309,'PROJETO PERFURAÇÃO'!$B:$B,0))="Production","P",IF(INDEX('PROJETO PERFURAÇÃO'!$P:$P,MATCH(MEDIÇÃO!K1309,'PROJETO PERFURAÇÃO'!$B:$B,0))="Buffer","B",IF(INDEX('PROJETO PERFURAÇÃO'!$P:$P,MATCH(MEDIÇÃO!K1309,'PROJETO PERFURAÇÃO'!$B:$B,0))="Pre-Splitting","S"))),"")</f>
        <v/>
      </c>
      <c r="K1309" s="14">
        <f t="shared" ref="K1309:K1328" si="127">K1308+1</f>
        <v>2924</v>
      </c>
      <c r="L1309" s="4" t="str">
        <f>IFERROR(INDEX('LEV R&amp;D'!$D:$D,MATCH(MEDIÇÃO!K1309,'LEV R&amp;D'!$A:$A,0))-INDEX('PROJETO PERFURAÇÃO'!$AH:$AH,MATCH(MEDIÇÃO!K1309,'PROJETO PERFURAÇÃO'!$B:$B,0)),"")</f>
        <v/>
      </c>
      <c r="M1309" s="8" t="str">
        <f>IFERROR(INDEX('PROJETO PERFURAÇÃO'!$AN:$AN,MATCH(MEDIÇÃO!K1309,'PROJETO PERFURAÇÃO'!$B:$B,0)),"")</f>
        <v/>
      </c>
      <c r="N1309" s="3"/>
      <c r="O1309" s="3"/>
      <c r="P1309" s="3" t="str">
        <f>IFERROR(ROUND(INDEX('PROJETO PERFURAÇÃO'!$AB:$AB,MATCH(MEDIÇÃO!R1309,'PROJETO PERFURAÇÃO'!$B:$B,0)),1)&amp;"''","")</f>
        <v/>
      </c>
      <c r="Q1309" s="3" t="str">
        <f>IFERROR(IF(INDEX('PROJETO PERFURAÇÃO'!$P:$P,MATCH(MEDIÇÃO!R1309,'PROJETO PERFURAÇÃO'!$B:$B,0))="Production","P",IF(INDEX('PROJETO PERFURAÇÃO'!$P:$P,MATCH(MEDIÇÃO!R1309,'PROJETO PERFURAÇÃO'!$B:$B,0))="Buffer","B",IF(INDEX('PROJETO PERFURAÇÃO'!$P:$P,MATCH(MEDIÇÃO!R1309,'PROJETO PERFURAÇÃO'!$B:$B,0))="Pre-Splitting","S"))),"")</f>
        <v/>
      </c>
      <c r="R1309" s="14">
        <f t="shared" ref="R1309:R1328" si="128">R1308+1</f>
        <v>2947</v>
      </c>
      <c r="S1309" s="4" t="str">
        <f>IFERROR(INDEX('LEV R&amp;D'!$D:$D,MATCH(MEDIÇÃO!R1309,'LEV R&amp;D'!$A:$A,0))-INDEX('PROJETO PERFURAÇÃO'!$AH:$AH,MATCH(MEDIÇÃO!R1309,'PROJETO PERFURAÇÃO'!$B:$B,0)),"")</f>
        <v/>
      </c>
      <c r="T1309" s="8" t="str">
        <f>IFERROR(INDEX('PROJETO PERFURAÇÃO'!$AN:$AN,MATCH(MEDIÇÃO!R1309,'PROJETO PERFURAÇÃO'!$B:$B,0)),"")</f>
        <v/>
      </c>
      <c r="U1309" s="3"/>
      <c r="V1309" s="3"/>
    </row>
    <row r="1310" spans="1:23" ht="45" customHeight="1">
      <c r="B1310" s="3" t="str">
        <f>IFERROR(ROUND(INDEX('PROJETO PERFURAÇÃO'!$AB:$AB,MATCH(MEDIÇÃO!D1310,'PROJETO PERFURAÇÃO'!$B:$B,0)),1)&amp;"''","")</f>
        <v/>
      </c>
      <c r="C1310" s="3" t="str">
        <f>IFERROR(IF(INDEX('PROJETO PERFURAÇÃO'!$P:$P,MATCH(MEDIÇÃO!D1310,'PROJETO PERFURAÇÃO'!$B:$B,0))="Production","P",IF(INDEX('PROJETO PERFURAÇÃO'!$P:$P,MATCH(MEDIÇÃO!D1310,'PROJETO PERFURAÇÃO'!$B:$B,0))="Buffer","B",IF(INDEX('PROJETO PERFURAÇÃO'!$P:$P,MATCH(MEDIÇÃO!D1310,'PROJETO PERFURAÇÃO'!$B:$B,0))="Pre-Splitting","S"))),"")</f>
        <v/>
      </c>
      <c r="D1310" s="14">
        <f t="shared" si="126"/>
        <v>2902</v>
      </c>
      <c r="E1310" s="4" t="str">
        <f>IFERROR(INDEX('LEV R&amp;D'!$D:$D,MATCH(MEDIÇÃO!D1310,'LEV R&amp;D'!$A:$A,0))-INDEX('PROJETO PERFURAÇÃO'!$AH:$AH,MATCH(MEDIÇÃO!D1310,'PROJETO PERFURAÇÃO'!$B:$B,0)),"")</f>
        <v/>
      </c>
      <c r="F1310" s="8" t="str">
        <f>IFERROR(INDEX('PROJETO PERFURAÇÃO'!$AN:$AN,MATCH(MEDIÇÃO!D1310,'PROJETO PERFURAÇÃO'!$B:$B,0)),"")</f>
        <v/>
      </c>
      <c r="G1310" s="3"/>
      <c r="H1310" s="3"/>
      <c r="I1310" s="3" t="str">
        <f>IFERROR(ROUND(INDEX('PROJETO PERFURAÇÃO'!$AB:$AB,MATCH(MEDIÇÃO!K1310,'PROJETO PERFURAÇÃO'!$B:$B,0)),1)&amp;"''","")</f>
        <v/>
      </c>
      <c r="J1310" s="3" t="str">
        <f>IFERROR(IF(INDEX('PROJETO PERFURAÇÃO'!$P:$P,MATCH(MEDIÇÃO!K1310,'PROJETO PERFURAÇÃO'!$B:$B,0))="Production","P",IF(INDEX('PROJETO PERFURAÇÃO'!$P:$P,MATCH(MEDIÇÃO!K1310,'PROJETO PERFURAÇÃO'!$B:$B,0))="Buffer","B",IF(INDEX('PROJETO PERFURAÇÃO'!$P:$P,MATCH(MEDIÇÃO!K1310,'PROJETO PERFURAÇÃO'!$B:$B,0))="Pre-Splitting","S"))),"")</f>
        <v/>
      </c>
      <c r="K1310" s="14">
        <f t="shared" si="127"/>
        <v>2925</v>
      </c>
      <c r="L1310" s="4" t="str">
        <f>IFERROR(INDEX('LEV R&amp;D'!$D:$D,MATCH(MEDIÇÃO!K1310,'LEV R&amp;D'!$A:$A,0))-INDEX('PROJETO PERFURAÇÃO'!$AH:$AH,MATCH(MEDIÇÃO!K1310,'PROJETO PERFURAÇÃO'!$B:$B,0)),"")</f>
        <v/>
      </c>
      <c r="M1310" s="8" t="str">
        <f>IFERROR(INDEX('PROJETO PERFURAÇÃO'!$AN:$AN,MATCH(MEDIÇÃO!K1310,'PROJETO PERFURAÇÃO'!$B:$B,0)),"")</f>
        <v/>
      </c>
      <c r="N1310" s="3"/>
      <c r="O1310" s="3"/>
      <c r="P1310" s="3" t="str">
        <f>IFERROR(ROUND(INDEX('PROJETO PERFURAÇÃO'!$AB:$AB,MATCH(MEDIÇÃO!R1310,'PROJETO PERFURAÇÃO'!$B:$B,0)),1)&amp;"''","")</f>
        <v/>
      </c>
      <c r="Q1310" s="3" t="str">
        <f>IFERROR(IF(INDEX('PROJETO PERFURAÇÃO'!$P:$P,MATCH(MEDIÇÃO!R1310,'PROJETO PERFURAÇÃO'!$B:$B,0))="Production","P",IF(INDEX('PROJETO PERFURAÇÃO'!$P:$P,MATCH(MEDIÇÃO!R1310,'PROJETO PERFURAÇÃO'!$B:$B,0))="Buffer","B",IF(INDEX('PROJETO PERFURAÇÃO'!$P:$P,MATCH(MEDIÇÃO!R1310,'PROJETO PERFURAÇÃO'!$B:$B,0))="Pre-Splitting","S"))),"")</f>
        <v/>
      </c>
      <c r="R1310" s="14">
        <f t="shared" si="128"/>
        <v>2948</v>
      </c>
      <c r="S1310" s="4" t="str">
        <f>IFERROR(INDEX('LEV R&amp;D'!$D:$D,MATCH(MEDIÇÃO!R1310,'LEV R&amp;D'!$A:$A,0))-INDEX('PROJETO PERFURAÇÃO'!$AH:$AH,MATCH(MEDIÇÃO!R1310,'PROJETO PERFURAÇÃO'!$B:$B,0)),"")</f>
        <v/>
      </c>
      <c r="T1310" s="8" t="str">
        <f>IFERROR(INDEX('PROJETO PERFURAÇÃO'!$AN:$AN,MATCH(MEDIÇÃO!R1310,'PROJETO PERFURAÇÃO'!$B:$B,0)),"")</f>
        <v/>
      </c>
      <c r="U1310" s="3"/>
      <c r="V1310" s="3"/>
    </row>
    <row r="1311" spans="1:23" ht="45" customHeight="1">
      <c r="B1311" s="3" t="str">
        <f>IFERROR(ROUND(INDEX('PROJETO PERFURAÇÃO'!$AB:$AB,MATCH(MEDIÇÃO!D1311,'PROJETO PERFURAÇÃO'!$B:$B,0)),1)&amp;"''","")</f>
        <v/>
      </c>
      <c r="C1311" s="3" t="str">
        <f>IFERROR(IF(INDEX('PROJETO PERFURAÇÃO'!$P:$P,MATCH(MEDIÇÃO!D1311,'PROJETO PERFURAÇÃO'!$B:$B,0))="Production","P",IF(INDEX('PROJETO PERFURAÇÃO'!$P:$P,MATCH(MEDIÇÃO!D1311,'PROJETO PERFURAÇÃO'!$B:$B,0))="Buffer","B",IF(INDEX('PROJETO PERFURAÇÃO'!$P:$P,MATCH(MEDIÇÃO!D1311,'PROJETO PERFURAÇÃO'!$B:$B,0))="Pre-Splitting","S"))),"")</f>
        <v/>
      </c>
      <c r="D1311" s="14">
        <f t="shared" si="126"/>
        <v>2903</v>
      </c>
      <c r="E1311" s="4" t="str">
        <f>IFERROR(INDEX('LEV R&amp;D'!$D:$D,MATCH(MEDIÇÃO!D1311,'LEV R&amp;D'!$A:$A,0))-INDEX('PROJETO PERFURAÇÃO'!$AH:$AH,MATCH(MEDIÇÃO!D1311,'PROJETO PERFURAÇÃO'!$B:$B,0)),"")</f>
        <v/>
      </c>
      <c r="F1311" s="8" t="str">
        <f>IFERROR(INDEX('PROJETO PERFURAÇÃO'!$AN:$AN,MATCH(MEDIÇÃO!D1311,'PROJETO PERFURAÇÃO'!$B:$B,0)),"")</f>
        <v/>
      </c>
      <c r="G1311" s="3"/>
      <c r="H1311" s="3"/>
      <c r="I1311" s="3" t="str">
        <f>IFERROR(ROUND(INDEX('PROJETO PERFURAÇÃO'!$AB:$AB,MATCH(MEDIÇÃO!K1311,'PROJETO PERFURAÇÃO'!$B:$B,0)),1)&amp;"''","")</f>
        <v/>
      </c>
      <c r="J1311" s="3" t="str">
        <f>IFERROR(IF(INDEX('PROJETO PERFURAÇÃO'!$P:$P,MATCH(MEDIÇÃO!K1311,'PROJETO PERFURAÇÃO'!$B:$B,0))="Production","P",IF(INDEX('PROJETO PERFURAÇÃO'!$P:$P,MATCH(MEDIÇÃO!K1311,'PROJETO PERFURAÇÃO'!$B:$B,0))="Buffer","B",IF(INDEX('PROJETO PERFURAÇÃO'!$P:$P,MATCH(MEDIÇÃO!K1311,'PROJETO PERFURAÇÃO'!$B:$B,0))="Pre-Splitting","S"))),"")</f>
        <v/>
      </c>
      <c r="K1311" s="14">
        <f t="shared" si="127"/>
        <v>2926</v>
      </c>
      <c r="L1311" s="4" t="str">
        <f>IFERROR(INDEX('LEV R&amp;D'!$D:$D,MATCH(MEDIÇÃO!K1311,'LEV R&amp;D'!$A:$A,0))-INDEX('PROJETO PERFURAÇÃO'!$AH:$AH,MATCH(MEDIÇÃO!K1311,'PROJETO PERFURAÇÃO'!$B:$B,0)),"")</f>
        <v/>
      </c>
      <c r="M1311" s="8" t="str">
        <f>IFERROR(INDEX('PROJETO PERFURAÇÃO'!$AN:$AN,MATCH(MEDIÇÃO!K1311,'PROJETO PERFURAÇÃO'!$B:$B,0)),"")</f>
        <v/>
      </c>
      <c r="N1311" s="3"/>
      <c r="O1311" s="3"/>
      <c r="P1311" s="3" t="str">
        <f>IFERROR(ROUND(INDEX('PROJETO PERFURAÇÃO'!$AB:$AB,MATCH(MEDIÇÃO!R1311,'PROJETO PERFURAÇÃO'!$B:$B,0)),1)&amp;"''","")</f>
        <v/>
      </c>
      <c r="Q1311" s="3" t="str">
        <f>IFERROR(IF(INDEX('PROJETO PERFURAÇÃO'!$P:$P,MATCH(MEDIÇÃO!R1311,'PROJETO PERFURAÇÃO'!$B:$B,0))="Production","P",IF(INDEX('PROJETO PERFURAÇÃO'!$P:$P,MATCH(MEDIÇÃO!R1311,'PROJETO PERFURAÇÃO'!$B:$B,0))="Buffer","B",IF(INDEX('PROJETO PERFURAÇÃO'!$P:$P,MATCH(MEDIÇÃO!R1311,'PROJETO PERFURAÇÃO'!$B:$B,0))="Pre-Splitting","S"))),"")</f>
        <v/>
      </c>
      <c r="R1311" s="14">
        <f t="shared" si="128"/>
        <v>2949</v>
      </c>
      <c r="S1311" s="4" t="str">
        <f>IFERROR(INDEX('LEV R&amp;D'!$D:$D,MATCH(MEDIÇÃO!R1311,'LEV R&amp;D'!$A:$A,0))-INDEX('PROJETO PERFURAÇÃO'!$AH:$AH,MATCH(MEDIÇÃO!R1311,'PROJETO PERFURAÇÃO'!$B:$B,0)),"")</f>
        <v/>
      </c>
      <c r="T1311" s="8" t="str">
        <f>IFERROR(INDEX('PROJETO PERFURAÇÃO'!$AN:$AN,MATCH(MEDIÇÃO!R1311,'PROJETO PERFURAÇÃO'!$B:$B,0)),"")</f>
        <v/>
      </c>
      <c r="U1311" s="3"/>
      <c r="V1311" s="3"/>
    </row>
    <row r="1312" spans="1:23" ht="45" customHeight="1">
      <c r="B1312" s="3" t="str">
        <f>IFERROR(ROUND(INDEX('PROJETO PERFURAÇÃO'!$AB:$AB,MATCH(MEDIÇÃO!D1312,'PROJETO PERFURAÇÃO'!$B:$B,0)),1)&amp;"''","")</f>
        <v/>
      </c>
      <c r="C1312" s="3" t="str">
        <f>IFERROR(IF(INDEX('PROJETO PERFURAÇÃO'!$P:$P,MATCH(MEDIÇÃO!D1312,'PROJETO PERFURAÇÃO'!$B:$B,0))="Production","P",IF(INDEX('PROJETO PERFURAÇÃO'!$P:$P,MATCH(MEDIÇÃO!D1312,'PROJETO PERFURAÇÃO'!$B:$B,0))="Buffer","B",IF(INDEX('PROJETO PERFURAÇÃO'!$P:$P,MATCH(MEDIÇÃO!D1312,'PROJETO PERFURAÇÃO'!$B:$B,0))="Pre-Splitting","S"))),"")</f>
        <v/>
      </c>
      <c r="D1312" s="14">
        <f t="shared" si="126"/>
        <v>2904</v>
      </c>
      <c r="E1312" s="4" t="str">
        <f>IFERROR(INDEX('LEV R&amp;D'!$D:$D,MATCH(MEDIÇÃO!D1312,'LEV R&amp;D'!$A:$A,0))-INDEX('PROJETO PERFURAÇÃO'!$AH:$AH,MATCH(MEDIÇÃO!D1312,'PROJETO PERFURAÇÃO'!$B:$B,0)),"")</f>
        <v/>
      </c>
      <c r="F1312" s="8" t="str">
        <f>IFERROR(INDEX('PROJETO PERFURAÇÃO'!$AN:$AN,MATCH(MEDIÇÃO!D1312,'PROJETO PERFURAÇÃO'!$B:$B,0)),"")</f>
        <v/>
      </c>
      <c r="G1312" s="3"/>
      <c r="H1312" s="3"/>
      <c r="I1312" s="3" t="str">
        <f>IFERROR(ROUND(INDEX('PROJETO PERFURAÇÃO'!$AB:$AB,MATCH(MEDIÇÃO!K1312,'PROJETO PERFURAÇÃO'!$B:$B,0)),1)&amp;"''","")</f>
        <v/>
      </c>
      <c r="J1312" s="3" t="str">
        <f>IFERROR(IF(INDEX('PROJETO PERFURAÇÃO'!$P:$P,MATCH(MEDIÇÃO!K1312,'PROJETO PERFURAÇÃO'!$B:$B,0))="Production","P",IF(INDEX('PROJETO PERFURAÇÃO'!$P:$P,MATCH(MEDIÇÃO!K1312,'PROJETO PERFURAÇÃO'!$B:$B,0))="Buffer","B",IF(INDEX('PROJETO PERFURAÇÃO'!$P:$P,MATCH(MEDIÇÃO!K1312,'PROJETO PERFURAÇÃO'!$B:$B,0))="Pre-Splitting","S"))),"")</f>
        <v/>
      </c>
      <c r="K1312" s="14">
        <f t="shared" si="127"/>
        <v>2927</v>
      </c>
      <c r="L1312" s="4" t="str">
        <f>IFERROR(INDEX('LEV R&amp;D'!$D:$D,MATCH(MEDIÇÃO!K1312,'LEV R&amp;D'!$A:$A,0))-INDEX('PROJETO PERFURAÇÃO'!$AH:$AH,MATCH(MEDIÇÃO!K1312,'PROJETO PERFURAÇÃO'!$B:$B,0)),"")</f>
        <v/>
      </c>
      <c r="M1312" s="8" t="str">
        <f>IFERROR(INDEX('PROJETO PERFURAÇÃO'!$AN:$AN,MATCH(MEDIÇÃO!K1312,'PROJETO PERFURAÇÃO'!$B:$B,0)),"")</f>
        <v/>
      </c>
      <c r="N1312" s="3"/>
      <c r="O1312" s="3"/>
      <c r="P1312" s="3" t="str">
        <f>IFERROR(ROUND(INDEX('PROJETO PERFURAÇÃO'!$AB:$AB,MATCH(MEDIÇÃO!R1312,'PROJETO PERFURAÇÃO'!$B:$B,0)),1)&amp;"''","")</f>
        <v/>
      </c>
      <c r="Q1312" s="3" t="str">
        <f>IFERROR(IF(INDEX('PROJETO PERFURAÇÃO'!$P:$P,MATCH(MEDIÇÃO!R1312,'PROJETO PERFURAÇÃO'!$B:$B,0))="Production","P",IF(INDEX('PROJETO PERFURAÇÃO'!$P:$P,MATCH(MEDIÇÃO!R1312,'PROJETO PERFURAÇÃO'!$B:$B,0))="Buffer","B",IF(INDEX('PROJETO PERFURAÇÃO'!$P:$P,MATCH(MEDIÇÃO!R1312,'PROJETO PERFURAÇÃO'!$B:$B,0))="Pre-Splitting","S"))),"")</f>
        <v/>
      </c>
      <c r="R1312" s="14">
        <f t="shared" si="128"/>
        <v>2950</v>
      </c>
      <c r="S1312" s="4" t="str">
        <f>IFERROR(INDEX('LEV R&amp;D'!$D:$D,MATCH(MEDIÇÃO!R1312,'LEV R&amp;D'!$A:$A,0))-INDEX('PROJETO PERFURAÇÃO'!$AH:$AH,MATCH(MEDIÇÃO!R1312,'PROJETO PERFURAÇÃO'!$B:$B,0)),"")</f>
        <v/>
      </c>
      <c r="T1312" s="8" t="str">
        <f>IFERROR(INDEX('PROJETO PERFURAÇÃO'!$AN:$AN,MATCH(MEDIÇÃO!R1312,'PROJETO PERFURAÇÃO'!$B:$B,0)),"")</f>
        <v/>
      </c>
      <c r="U1312" s="3"/>
      <c r="V1312" s="3"/>
    </row>
    <row r="1313" spans="2:22" ht="45" customHeight="1">
      <c r="B1313" s="3" t="str">
        <f>IFERROR(ROUND(INDEX('PROJETO PERFURAÇÃO'!$AB:$AB,MATCH(MEDIÇÃO!D1313,'PROJETO PERFURAÇÃO'!$B:$B,0)),1)&amp;"''","")</f>
        <v/>
      </c>
      <c r="C1313" s="3" t="str">
        <f>IFERROR(IF(INDEX('PROJETO PERFURAÇÃO'!$P:$P,MATCH(MEDIÇÃO!D1313,'PROJETO PERFURAÇÃO'!$B:$B,0))="Production","P",IF(INDEX('PROJETO PERFURAÇÃO'!$P:$P,MATCH(MEDIÇÃO!D1313,'PROJETO PERFURAÇÃO'!$B:$B,0))="Buffer","B",IF(INDEX('PROJETO PERFURAÇÃO'!$P:$P,MATCH(MEDIÇÃO!D1313,'PROJETO PERFURAÇÃO'!$B:$B,0))="Pre-Splitting","S"))),"")</f>
        <v/>
      </c>
      <c r="D1313" s="14">
        <f t="shared" si="126"/>
        <v>2905</v>
      </c>
      <c r="E1313" s="4" t="str">
        <f>IFERROR(INDEX('LEV R&amp;D'!$D:$D,MATCH(MEDIÇÃO!D1313,'LEV R&amp;D'!$A:$A,0))-INDEX('PROJETO PERFURAÇÃO'!$AH:$AH,MATCH(MEDIÇÃO!D1313,'PROJETO PERFURAÇÃO'!$B:$B,0)),"")</f>
        <v/>
      </c>
      <c r="F1313" s="8" t="str">
        <f>IFERROR(INDEX('PROJETO PERFURAÇÃO'!$AN:$AN,MATCH(MEDIÇÃO!D1313,'PROJETO PERFURAÇÃO'!$B:$B,0)),"")</f>
        <v/>
      </c>
      <c r="G1313" s="3"/>
      <c r="H1313" s="3"/>
      <c r="I1313" s="3" t="str">
        <f>IFERROR(ROUND(INDEX('PROJETO PERFURAÇÃO'!$AB:$AB,MATCH(MEDIÇÃO!K1313,'PROJETO PERFURAÇÃO'!$B:$B,0)),1)&amp;"''","")</f>
        <v/>
      </c>
      <c r="J1313" s="3" t="str">
        <f>IFERROR(IF(INDEX('PROJETO PERFURAÇÃO'!$P:$P,MATCH(MEDIÇÃO!K1313,'PROJETO PERFURAÇÃO'!$B:$B,0))="Production","P",IF(INDEX('PROJETO PERFURAÇÃO'!$P:$P,MATCH(MEDIÇÃO!K1313,'PROJETO PERFURAÇÃO'!$B:$B,0))="Buffer","B",IF(INDEX('PROJETO PERFURAÇÃO'!$P:$P,MATCH(MEDIÇÃO!K1313,'PROJETO PERFURAÇÃO'!$B:$B,0))="Pre-Splitting","S"))),"")</f>
        <v/>
      </c>
      <c r="K1313" s="14">
        <f t="shared" si="127"/>
        <v>2928</v>
      </c>
      <c r="L1313" s="4" t="str">
        <f>IFERROR(INDEX('LEV R&amp;D'!$D:$D,MATCH(MEDIÇÃO!K1313,'LEV R&amp;D'!$A:$A,0))-INDEX('PROJETO PERFURAÇÃO'!$AH:$AH,MATCH(MEDIÇÃO!K1313,'PROJETO PERFURAÇÃO'!$B:$B,0)),"")</f>
        <v/>
      </c>
      <c r="M1313" s="8" t="str">
        <f>IFERROR(INDEX('PROJETO PERFURAÇÃO'!$AN:$AN,MATCH(MEDIÇÃO!K1313,'PROJETO PERFURAÇÃO'!$B:$B,0)),"")</f>
        <v/>
      </c>
      <c r="N1313" s="3"/>
      <c r="O1313" s="3"/>
      <c r="P1313" s="3" t="str">
        <f>IFERROR(ROUND(INDEX('PROJETO PERFURAÇÃO'!$AB:$AB,MATCH(MEDIÇÃO!R1313,'PROJETO PERFURAÇÃO'!$B:$B,0)),1)&amp;"''","")</f>
        <v/>
      </c>
      <c r="Q1313" s="3" t="str">
        <f>IFERROR(IF(INDEX('PROJETO PERFURAÇÃO'!$P:$P,MATCH(MEDIÇÃO!R1313,'PROJETO PERFURAÇÃO'!$B:$B,0))="Production","P",IF(INDEX('PROJETO PERFURAÇÃO'!$P:$P,MATCH(MEDIÇÃO!R1313,'PROJETO PERFURAÇÃO'!$B:$B,0))="Buffer","B",IF(INDEX('PROJETO PERFURAÇÃO'!$P:$P,MATCH(MEDIÇÃO!R1313,'PROJETO PERFURAÇÃO'!$B:$B,0))="Pre-Splitting","S"))),"")</f>
        <v/>
      </c>
      <c r="R1313" s="14">
        <f t="shared" si="128"/>
        <v>2951</v>
      </c>
      <c r="S1313" s="4" t="str">
        <f>IFERROR(INDEX('LEV R&amp;D'!$D:$D,MATCH(MEDIÇÃO!R1313,'LEV R&amp;D'!$A:$A,0))-INDEX('PROJETO PERFURAÇÃO'!$AH:$AH,MATCH(MEDIÇÃO!R1313,'PROJETO PERFURAÇÃO'!$B:$B,0)),"")</f>
        <v/>
      </c>
      <c r="T1313" s="8" t="str">
        <f>IFERROR(INDEX('PROJETO PERFURAÇÃO'!$AN:$AN,MATCH(MEDIÇÃO!R1313,'PROJETO PERFURAÇÃO'!$B:$B,0)),"")</f>
        <v/>
      </c>
      <c r="U1313" s="3"/>
      <c r="V1313" s="3"/>
    </row>
    <row r="1314" spans="2:22" ht="45" customHeight="1">
      <c r="B1314" s="3" t="str">
        <f>IFERROR(ROUND(INDEX('PROJETO PERFURAÇÃO'!$AB:$AB,MATCH(MEDIÇÃO!D1314,'PROJETO PERFURAÇÃO'!$B:$B,0)),1)&amp;"''","")</f>
        <v/>
      </c>
      <c r="C1314" s="3" t="str">
        <f>IFERROR(IF(INDEX('PROJETO PERFURAÇÃO'!$P:$P,MATCH(MEDIÇÃO!D1314,'PROJETO PERFURAÇÃO'!$B:$B,0))="Production","P",IF(INDEX('PROJETO PERFURAÇÃO'!$P:$P,MATCH(MEDIÇÃO!D1314,'PROJETO PERFURAÇÃO'!$B:$B,0))="Buffer","B",IF(INDEX('PROJETO PERFURAÇÃO'!$P:$P,MATCH(MEDIÇÃO!D1314,'PROJETO PERFURAÇÃO'!$B:$B,0))="Pre-Splitting","S"))),"")</f>
        <v/>
      </c>
      <c r="D1314" s="14">
        <f t="shared" si="126"/>
        <v>2906</v>
      </c>
      <c r="E1314" s="4" t="str">
        <f>IFERROR(INDEX('LEV R&amp;D'!$D:$D,MATCH(MEDIÇÃO!D1314,'LEV R&amp;D'!$A:$A,0))-INDEX('PROJETO PERFURAÇÃO'!$AH:$AH,MATCH(MEDIÇÃO!D1314,'PROJETO PERFURAÇÃO'!$B:$B,0)),"")</f>
        <v/>
      </c>
      <c r="F1314" s="8" t="str">
        <f>IFERROR(INDEX('PROJETO PERFURAÇÃO'!$AN:$AN,MATCH(MEDIÇÃO!D1314,'PROJETO PERFURAÇÃO'!$B:$B,0)),"")</f>
        <v/>
      </c>
      <c r="G1314" s="3"/>
      <c r="H1314" s="3"/>
      <c r="I1314" s="3" t="str">
        <f>IFERROR(ROUND(INDEX('PROJETO PERFURAÇÃO'!$AB:$AB,MATCH(MEDIÇÃO!K1314,'PROJETO PERFURAÇÃO'!$B:$B,0)),1)&amp;"''","")</f>
        <v/>
      </c>
      <c r="J1314" s="3" t="str">
        <f>IFERROR(IF(INDEX('PROJETO PERFURAÇÃO'!$P:$P,MATCH(MEDIÇÃO!K1314,'PROJETO PERFURAÇÃO'!$B:$B,0))="Production","P",IF(INDEX('PROJETO PERFURAÇÃO'!$P:$P,MATCH(MEDIÇÃO!K1314,'PROJETO PERFURAÇÃO'!$B:$B,0))="Buffer","B",IF(INDEX('PROJETO PERFURAÇÃO'!$P:$P,MATCH(MEDIÇÃO!K1314,'PROJETO PERFURAÇÃO'!$B:$B,0))="Pre-Splitting","S"))),"")</f>
        <v/>
      </c>
      <c r="K1314" s="14">
        <f t="shared" si="127"/>
        <v>2929</v>
      </c>
      <c r="L1314" s="4" t="str">
        <f>IFERROR(INDEX('LEV R&amp;D'!$D:$D,MATCH(MEDIÇÃO!K1314,'LEV R&amp;D'!$A:$A,0))-INDEX('PROJETO PERFURAÇÃO'!$AH:$AH,MATCH(MEDIÇÃO!K1314,'PROJETO PERFURAÇÃO'!$B:$B,0)),"")</f>
        <v/>
      </c>
      <c r="M1314" s="8" t="str">
        <f>IFERROR(INDEX('PROJETO PERFURAÇÃO'!$AN:$AN,MATCH(MEDIÇÃO!K1314,'PROJETO PERFURAÇÃO'!$B:$B,0)),"")</f>
        <v/>
      </c>
      <c r="N1314" s="3"/>
      <c r="O1314" s="3"/>
      <c r="P1314" s="3" t="str">
        <f>IFERROR(ROUND(INDEX('PROJETO PERFURAÇÃO'!$AB:$AB,MATCH(MEDIÇÃO!R1314,'PROJETO PERFURAÇÃO'!$B:$B,0)),1)&amp;"''","")</f>
        <v/>
      </c>
      <c r="Q1314" s="3" t="str">
        <f>IFERROR(IF(INDEX('PROJETO PERFURAÇÃO'!$P:$P,MATCH(MEDIÇÃO!R1314,'PROJETO PERFURAÇÃO'!$B:$B,0))="Production","P",IF(INDEX('PROJETO PERFURAÇÃO'!$P:$P,MATCH(MEDIÇÃO!R1314,'PROJETO PERFURAÇÃO'!$B:$B,0))="Buffer","B",IF(INDEX('PROJETO PERFURAÇÃO'!$P:$P,MATCH(MEDIÇÃO!R1314,'PROJETO PERFURAÇÃO'!$B:$B,0))="Pre-Splitting","S"))),"")</f>
        <v/>
      </c>
      <c r="R1314" s="14">
        <f t="shared" si="128"/>
        <v>2952</v>
      </c>
      <c r="S1314" s="4" t="str">
        <f>IFERROR(INDEX('LEV R&amp;D'!$D:$D,MATCH(MEDIÇÃO!R1314,'LEV R&amp;D'!$A:$A,0))-INDEX('PROJETO PERFURAÇÃO'!$AH:$AH,MATCH(MEDIÇÃO!R1314,'PROJETO PERFURAÇÃO'!$B:$B,0)),"")</f>
        <v/>
      </c>
      <c r="T1314" s="8" t="str">
        <f>IFERROR(INDEX('PROJETO PERFURAÇÃO'!$AN:$AN,MATCH(MEDIÇÃO!R1314,'PROJETO PERFURAÇÃO'!$B:$B,0)),"")</f>
        <v/>
      </c>
      <c r="U1314" s="3"/>
      <c r="V1314" s="3"/>
    </row>
    <row r="1315" spans="2:22" ht="45" customHeight="1">
      <c r="B1315" s="3" t="str">
        <f>IFERROR(ROUND(INDEX('PROJETO PERFURAÇÃO'!$AB:$AB,MATCH(MEDIÇÃO!D1315,'PROJETO PERFURAÇÃO'!$B:$B,0)),1)&amp;"''","")</f>
        <v/>
      </c>
      <c r="C1315" s="3" t="str">
        <f>IFERROR(IF(INDEX('PROJETO PERFURAÇÃO'!$P:$P,MATCH(MEDIÇÃO!D1315,'PROJETO PERFURAÇÃO'!$B:$B,0))="Production","P",IF(INDEX('PROJETO PERFURAÇÃO'!$P:$P,MATCH(MEDIÇÃO!D1315,'PROJETO PERFURAÇÃO'!$B:$B,0))="Buffer","B",IF(INDEX('PROJETO PERFURAÇÃO'!$P:$P,MATCH(MEDIÇÃO!D1315,'PROJETO PERFURAÇÃO'!$B:$B,0))="Pre-Splitting","S"))),"")</f>
        <v/>
      </c>
      <c r="D1315" s="14">
        <f t="shared" si="126"/>
        <v>2907</v>
      </c>
      <c r="E1315" s="4" t="str">
        <f>IFERROR(INDEX('LEV R&amp;D'!$D:$D,MATCH(MEDIÇÃO!D1315,'LEV R&amp;D'!$A:$A,0))-INDEX('PROJETO PERFURAÇÃO'!$AH:$AH,MATCH(MEDIÇÃO!D1315,'PROJETO PERFURAÇÃO'!$B:$B,0)),"")</f>
        <v/>
      </c>
      <c r="F1315" s="8" t="str">
        <f>IFERROR(INDEX('PROJETO PERFURAÇÃO'!$AN:$AN,MATCH(MEDIÇÃO!D1315,'PROJETO PERFURAÇÃO'!$B:$B,0)),"")</f>
        <v/>
      </c>
      <c r="G1315" s="3"/>
      <c r="H1315" s="3"/>
      <c r="I1315" s="3" t="str">
        <f>IFERROR(ROUND(INDEX('PROJETO PERFURAÇÃO'!$AB:$AB,MATCH(MEDIÇÃO!K1315,'PROJETO PERFURAÇÃO'!$B:$B,0)),1)&amp;"''","")</f>
        <v/>
      </c>
      <c r="J1315" s="3" t="str">
        <f>IFERROR(IF(INDEX('PROJETO PERFURAÇÃO'!$P:$P,MATCH(MEDIÇÃO!K1315,'PROJETO PERFURAÇÃO'!$B:$B,0))="Production","P",IF(INDEX('PROJETO PERFURAÇÃO'!$P:$P,MATCH(MEDIÇÃO!K1315,'PROJETO PERFURAÇÃO'!$B:$B,0))="Buffer","B",IF(INDEX('PROJETO PERFURAÇÃO'!$P:$P,MATCH(MEDIÇÃO!K1315,'PROJETO PERFURAÇÃO'!$B:$B,0))="Pre-Splitting","S"))),"")</f>
        <v/>
      </c>
      <c r="K1315" s="14">
        <f t="shared" si="127"/>
        <v>2930</v>
      </c>
      <c r="L1315" s="4" t="str">
        <f>IFERROR(INDEX('LEV R&amp;D'!$D:$D,MATCH(MEDIÇÃO!K1315,'LEV R&amp;D'!$A:$A,0))-INDEX('PROJETO PERFURAÇÃO'!$AH:$AH,MATCH(MEDIÇÃO!K1315,'PROJETO PERFURAÇÃO'!$B:$B,0)),"")</f>
        <v/>
      </c>
      <c r="M1315" s="8" t="str">
        <f>IFERROR(INDEX('PROJETO PERFURAÇÃO'!$AN:$AN,MATCH(MEDIÇÃO!K1315,'PROJETO PERFURAÇÃO'!$B:$B,0)),"")</f>
        <v/>
      </c>
      <c r="N1315" s="3"/>
      <c r="O1315" s="3"/>
      <c r="P1315" s="3" t="str">
        <f>IFERROR(ROUND(INDEX('PROJETO PERFURAÇÃO'!$AB:$AB,MATCH(MEDIÇÃO!R1315,'PROJETO PERFURAÇÃO'!$B:$B,0)),1)&amp;"''","")</f>
        <v/>
      </c>
      <c r="Q1315" s="3" t="str">
        <f>IFERROR(IF(INDEX('PROJETO PERFURAÇÃO'!$P:$P,MATCH(MEDIÇÃO!R1315,'PROJETO PERFURAÇÃO'!$B:$B,0))="Production","P",IF(INDEX('PROJETO PERFURAÇÃO'!$P:$P,MATCH(MEDIÇÃO!R1315,'PROJETO PERFURAÇÃO'!$B:$B,0))="Buffer","B",IF(INDEX('PROJETO PERFURAÇÃO'!$P:$P,MATCH(MEDIÇÃO!R1315,'PROJETO PERFURAÇÃO'!$B:$B,0))="Pre-Splitting","S"))),"")</f>
        <v/>
      </c>
      <c r="R1315" s="14">
        <f t="shared" si="128"/>
        <v>2953</v>
      </c>
      <c r="S1315" s="4" t="str">
        <f>IFERROR(INDEX('LEV R&amp;D'!$D:$D,MATCH(MEDIÇÃO!R1315,'LEV R&amp;D'!$A:$A,0))-INDEX('PROJETO PERFURAÇÃO'!$AH:$AH,MATCH(MEDIÇÃO!R1315,'PROJETO PERFURAÇÃO'!$B:$B,0)),"")</f>
        <v/>
      </c>
      <c r="T1315" s="8" t="str">
        <f>IFERROR(INDEX('PROJETO PERFURAÇÃO'!$AN:$AN,MATCH(MEDIÇÃO!R1315,'PROJETO PERFURAÇÃO'!$B:$B,0)),"")</f>
        <v/>
      </c>
      <c r="U1315" s="3"/>
      <c r="V1315" s="3"/>
    </row>
    <row r="1316" spans="2:22" ht="45" customHeight="1">
      <c r="B1316" s="3" t="str">
        <f>IFERROR(ROUND(INDEX('PROJETO PERFURAÇÃO'!$AB:$AB,MATCH(MEDIÇÃO!D1316,'PROJETO PERFURAÇÃO'!$B:$B,0)),1)&amp;"''","")</f>
        <v/>
      </c>
      <c r="C1316" s="3" t="str">
        <f>IFERROR(IF(INDEX('PROJETO PERFURAÇÃO'!$P:$P,MATCH(MEDIÇÃO!D1316,'PROJETO PERFURAÇÃO'!$B:$B,0))="Production","P",IF(INDEX('PROJETO PERFURAÇÃO'!$P:$P,MATCH(MEDIÇÃO!D1316,'PROJETO PERFURAÇÃO'!$B:$B,0))="Buffer","B",IF(INDEX('PROJETO PERFURAÇÃO'!$P:$P,MATCH(MEDIÇÃO!D1316,'PROJETO PERFURAÇÃO'!$B:$B,0))="Pre-Splitting","S"))),"")</f>
        <v/>
      </c>
      <c r="D1316" s="14">
        <f t="shared" si="126"/>
        <v>2908</v>
      </c>
      <c r="E1316" s="4" t="str">
        <f>IFERROR(INDEX('LEV R&amp;D'!$D:$D,MATCH(MEDIÇÃO!D1316,'LEV R&amp;D'!$A:$A,0))-INDEX('PROJETO PERFURAÇÃO'!$AH:$AH,MATCH(MEDIÇÃO!D1316,'PROJETO PERFURAÇÃO'!$B:$B,0)),"")</f>
        <v/>
      </c>
      <c r="F1316" s="8" t="str">
        <f>IFERROR(INDEX('PROJETO PERFURAÇÃO'!$AN:$AN,MATCH(MEDIÇÃO!D1316,'PROJETO PERFURAÇÃO'!$B:$B,0)),"")</f>
        <v/>
      </c>
      <c r="G1316" s="3"/>
      <c r="H1316" s="3"/>
      <c r="I1316" s="3" t="str">
        <f>IFERROR(ROUND(INDEX('PROJETO PERFURAÇÃO'!$AB:$AB,MATCH(MEDIÇÃO!K1316,'PROJETO PERFURAÇÃO'!$B:$B,0)),1)&amp;"''","")</f>
        <v/>
      </c>
      <c r="J1316" s="3" t="str">
        <f>IFERROR(IF(INDEX('PROJETO PERFURAÇÃO'!$P:$P,MATCH(MEDIÇÃO!K1316,'PROJETO PERFURAÇÃO'!$B:$B,0))="Production","P",IF(INDEX('PROJETO PERFURAÇÃO'!$P:$P,MATCH(MEDIÇÃO!K1316,'PROJETO PERFURAÇÃO'!$B:$B,0))="Buffer","B",IF(INDEX('PROJETO PERFURAÇÃO'!$P:$P,MATCH(MEDIÇÃO!K1316,'PROJETO PERFURAÇÃO'!$B:$B,0))="Pre-Splitting","S"))),"")</f>
        <v/>
      </c>
      <c r="K1316" s="14">
        <f t="shared" si="127"/>
        <v>2931</v>
      </c>
      <c r="L1316" s="4" t="str">
        <f>IFERROR(INDEX('LEV R&amp;D'!$D:$D,MATCH(MEDIÇÃO!K1316,'LEV R&amp;D'!$A:$A,0))-INDEX('PROJETO PERFURAÇÃO'!$AH:$AH,MATCH(MEDIÇÃO!K1316,'PROJETO PERFURAÇÃO'!$B:$B,0)),"")</f>
        <v/>
      </c>
      <c r="M1316" s="8" t="str">
        <f>IFERROR(INDEX('PROJETO PERFURAÇÃO'!$AN:$AN,MATCH(MEDIÇÃO!K1316,'PROJETO PERFURAÇÃO'!$B:$B,0)),"")</f>
        <v/>
      </c>
      <c r="N1316" s="3"/>
      <c r="O1316" s="3"/>
      <c r="P1316" s="3" t="str">
        <f>IFERROR(ROUND(INDEX('PROJETO PERFURAÇÃO'!$AB:$AB,MATCH(MEDIÇÃO!R1316,'PROJETO PERFURAÇÃO'!$B:$B,0)),1)&amp;"''","")</f>
        <v/>
      </c>
      <c r="Q1316" s="3" t="str">
        <f>IFERROR(IF(INDEX('PROJETO PERFURAÇÃO'!$P:$P,MATCH(MEDIÇÃO!R1316,'PROJETO PERFURAÇÃO'!$B:$B,0))="Production","P",IF(INDEX('PROJETO PERFURAÇÃO'!$P:$P,MATCH(MEDIÇÃO!R1316,'PROJETO PERFURAÇÃO'!$B:$B,0))="Buffer","B",IF(INDEX('PROJETO PERFURAÇÃO'!$P:$P,MATCH(MEDIÇÃO!R1316,'PROJETO PERFURAÇÃO'!$B:$B,0))="Pre-Splitting","S"))),"")</f>
        <v/>
      </c>
      <c r="R1316" s="14">
        <f t="shared" si="128"/>
        <v>2954</v>
      </c>
      <c r="S1316" s="4" t="str">
        <f>IFERROR(INDEX('LEV R&amp;D'!$D:$D,MATCH(MEDIÇÃO!R1316,'LEV R&amp;D'!$A:$A,0))-INDEX('PROJETO PERFURAÇÃO'!$AH:$AH,MATCH(MEDIÇÃO!R1316,'PROJETO PERFURAÇÃO'!$B:$B,0)),"")</f>
        <v/>
      </c>
      <c r="T1316" s="8" t="str">
        <f>IFERROR(INDEX('PROJETO PERFURAÇÃO'!$AN:$AN,MATCH(MEDIÇÃO!R1316,'PROJETO PERFURAÇÃO'!$B:$B,0)),"")</f>
        <v/>
      </c>
      <c r="U1316" s="3"/>
      <c r="V1316" s="3"/>
    </row>
    <row r="1317" spans="2:22" ht="45" customHeight="1">
      <c r="B1317" s="3" t="str">
        <f>IFERROR(ROUND(INDEX('PROJETO PERFURAÇÃO'!$AB:$AB,MATCH(MEDIÇÃO!D1317,'PROJETO PERFURAÇÃO'!$B:$B,0)),1)&amp;"''","")</f>
        <v/>
      </c>
      <c r="C1317" s="3" t="str">
        <f>IFERROR(IF(INDEX('PROJETO PERFURAÇÃO'!$P:$P,MATCH(MEDIÇÃO!D1317,'PROJETO PERFURAÇÃO'!$B:$B,0))="Production","P",IF(INDEX('PROJETO PERFURAÇÃO'!$P:$P,MATCH(MEDIÇÃO!D1317,'PROJETO PERFURAÇÃO'!$B:$B,0))="Buffer","B",IF(INDEX('PROJETO PERFURAÇÃO'!$P:$P,MATCH(MEDIÇÃO!D1317,'PROJETO PERFURAÇÃO'!$B:$B,0))="Pre-Splitting","S"))),"")</f>
        <v/>
      </c>
      <c r="D1317" s="14">
        <f t="shared" si="126"/>
        <v>2909</v>
      </c>
      <c r="E1317" s="4" t="str">
        <f>IFERROR(INDEX('LEV R&amp;D'!$D:$D,MATCH(MEDIÇÃO!D1317,'LEV R&amp;D'!$A:$A,0))-INDEX('PROJETO PERFURAÇÃO'!$AH:$AH,MATCH(MEDIÇÃO!D1317,'PROJETO PERFURAÇÃO'!$B:$B,0)),"")</f>
        <v/>
      </c>
      <c r="F1317" s="8" t="str">
        <f>IFERROR(INDEX('PROJETO PERFURAÇÃO'!$AN:$AN,MATCH(MEDIÇÃO!D1317,'PROJETO PERFURAÇÃO'!$B:$B,0)),"")</f>
        <v/>
      </c>
      <c r="G1317" s="3"/>
      <c r="H1317" s="3"/>
      <c r="I1317" s="3" t="str">
        <f>IFERROR(ROUND(INDEX('PROJETO PERFURAÇÃO'!$AB:$AB,MATCH(MEDIÇÃO!K1317,'PROJETO PERFURAÇÃO'!$B:$B,0)),1)&amp;"''","")</f>
        <v/>
      </c>
      <c r="J1317" s="3" t="str">
        <f>IFERROR(IF(INDEX('PROJETO PERFURAÇÃO'!$P:$P,MATCH(MEDIÇÃO!K1317,'PROJETO PERFURAÇÃO'!$B:$B,0))="Production","P",IF(INDEX('PROJETO PERFURAÇÃO'!$P:$P,MATCH(MEDIÇÃO!K1317,'PROJETO PERFURAÇÃO'!$B:$B,0))="Buffer","B",IF(INDEX('PROJETO PERFURAÇÃO'!$P:$P,MATCH(MEDIÇÃO!K1317,'PROJETO PERFURAÇÃO'!$B:$B,0))="Pre-Splitting","S"))),"")</f>
        <v/>
      </c>
      <c r="K1317" s="14">
        <f t="shared" si="127"/>
        <v>2932</v>
      </c>
      <c r="L1317" s="4" t="str">
        <f>IFERROR(INDEX('LEV R&amp;D'!$D:$D,MATCH(MEDIÇÃO!K1317,'LEV R&amp;D'!$A:$A,0))-INDEX('PROJETO PERFURAÇÃO'!$AH:$AH,MATCH(MEDIÇÃO!K1317,'PROJETO PERFURAÇÃO'!$B:$B,0)),"")</f>
        <v/>
      </c>
      <c r="M1317" s="8" t="str">
        <f>IFERROR(INDEX('PROJETO PERFURAÇÃO'!$AN:$AN,MATCH(MEDIÇÃO!K1317,'PROJETO PERFURAÇÃO'!$B:$B,0)),"")</f>
        <v/>
      </c>
      <c r="N1317" s="3"/>
      <c r="O1317" s="3"/>
      <c r="P1317" s="3" t="str">
        <f>IFERROR(ROUND(INDEX('PROJETO PERFURAÇÃO'!$AB:$AB,MATCH(MEDIÇÃO!R1317,'PROJETO PERFURAÇÃO'!$B:$B,0)),1)&amp;"''","")</f>
        <v/>
      </c>
      <c r="Q1317" s="3" t="str">
        <f>IFERROR(IF(INDEX('PROJETO PERFURAÇÃO'!$P:$P,MATCH(MEDIÇÃO!R1317,'PROJETO PERFURAÇÃO'!$B:$B,0))="Production","P",IF(INDEX('PROJETO PERFURAÇÃO'!$P:$P,MATCH(MEDIÇÃO!R1317,'PROJETO PERFURAÇÃO'!$B:$B,0))="Buffer","B",IF(INDEX('PROJETO PERFURAÇÃO'!$P:$P,MATCH(MEDIÇÃO!R1317,'PROJETO PERFURAÇÃO'!$B:$B,0))="Pre-Splitting","S"))),"")</f>
        <v/>
      </c>
      <c r="R1317" s="14">
        <f t="shared" si="128"/>
        <v>2955</v>
      </c>
      <c r="S1317" s="4" t="str">
        <f>IFERROR(INDEX('LEV R&amp;D'!$D:$D,MATCH(MEDIÇÃO!R1317,'LEV R&amp;D'!$A:$A,0))-INDEX('PROJETO PERFURAÇÃO'!$AH:$AH,MATCH(MEDIÇÃO!R1317,'PROJETO PERFURAÇÃO'!$B:$B,0)),"")</f>
        <v/>
      </c>
      <c r="T1317" s="8" t="str">
        <f>IFERROR(INDEX('PROJETO PERFURAÇÃO'!$AN:$AN,MATCH(MEDIÇÃO!R1317,'PROJETO PERFURAÇÃO'!$B:$B,0)),"")</f>
        <v/>
      </c>
      <c r="U1317" s="3"/>
      <c r="V1317" s="3"/>
    </row>
    <row r="1318" spans="2:22" ht="45" customHeight="1">
      <c r="B1318" s="3" t="str">
        <f>IFERROR(ROUND(INDEX('PROJETO PERFURAÇÃO'!$AB:$AB,MATCH(MEDIÇÃO!D1318,'PROJETO PERFURAÇÃO'!$B:$B,0)),1)&amp;"''","")</f>
        <v/>
      </c>
      <c r="C1318" s="3" t="str">
        <f>IFERROR(IF(INDEX('PROJETO PERFURAÇÃO'!$P:$P,MATCH(MEDIÇÃO!D1318,'PROJETO PERFURAÇÃO'!$B:$B,0))="Production","P",IF(INDEX('PROJETO PERFURAÇÃO'!$P:$P,MATCH(MEDIÇÃO!D1318,'PROJETO PERFURAÇÃO'!$B:$B,0))="Buffer","B",IF(INDEX('PROJETO PERFURAÇÃO'!$P:$P,MATCH(MEDIÇÃO!D1318,'PROJETO PERFURAÇÃO'!$B:$B,0))="Pre-Splitting","S"))),"")</f>
        <v/>
      </c>
      <c r="D1318" s="14">
        <f t="shared" si="126"/>
        <v>2910</v>
      </c>
      <c r="E1318" s="4" t="str">
        <f>IFERROR(INDEX('LEV R&amp;D'!$D:$D,MATCH(MEDIÇÃO!D1318,'LEV R&amp;D'!$A:$A,0))-INDEX('PROJETO PERFURAÇÃO'!$AH:$AH,MATCH(MEDIÇÃO!D1318,'PROJETO PERFURAÇÃO'!$B:$B,0)),"")</f>
        <v/>
      </c>
      <c r="F1318" s="8" t="str">
        <f>IFERROR(INDEX('PROJETO PERFURAÇÃO'!$AN:$AN,MATCH(MEDIÇÃO!D1318,'PROJETO PERFURAÇÃO'!$B:$B,0)),"")</f>
        <v/>
      </c>
      <c r="G1318" s="3"/>
      <c r="H1318" s="3"/>
      <c r="I1318" s="3" t="str">
        <f>IFERROR(ROUND(INDEX('PROJETO PERFURAÇÃO'!$AB:$AB,MATCH(MEDIÇÃO!K1318,'PROJETO PERFURAÇÃO'!$B:$B,0)),1)&amp;"''","")</f>
        <v/>
      </c>
      <c r="J1318" s="3" t="str">
        <f>IFERROR(IF(INDEX('PROJETO PERFURAÇÃO'!$P:$P,MATCH(MEDIÇÃO!K1318,'PROJETO PERFURAÇÃO'!$B:$B,0))="Production","P",IF(INDEX('PROJETO PERFURAÇÃO'!$P:$P,MATCH(MEDIÇÃO!K1318,'PROJETO PERFURAÇÃO'!$B:$B,0))="Buffer","B",IF(INDEX('PROJETO PERFURAÇÃO'!$P:$P,MATCH(MEDIÇÃO!K1318,'PROJETO PERFURAÇÃO'!$B:$B,0))="Pre-Splitting","S"))),"")</f>
        <v/>
      </c>
      <c r="K1318" s="14">
        <f t="shared" si="127"/>
        <v>2933</v>
      </c>
      <c r="L1318" s="4" t="str">
        <f>IFERROR(INDEX('LEV R&amp;D'!$D:$D,MATCH(MEDIÇÃO!K1318,'LEV R&amp;D'!$A:$A,0))-INDEX('PROJETO PERFURAÇÃO'!$AH:$AH,MATCH(MEDIÇÃO!K1318,'PROJETO PERFURAÇÃO'!$B:$B,0)),"")</f>
        <v/>
      </c>
      <c r="M1318" s="8" t="str">
        <f>IFERROR(INDEX('PROJETO PERFURAÇÃO'!$AN:$AN,MATCH(MEDIÇÃO!K1318,'PROJETO PERFURAÇÃO'!$B:$B,0)),"")</f>
        <v/>
      </c>
      <c r="N1318" s="3"/>
      <c r="O1318" s="3"/>
      <c r="P1318" s="3" t="str">
        <f>IFERROR(ROUND(INDEX('PROJETO PERFURAÇÃO'!$AB:$AB,MATCH(MEDIÇÃO!R1318,'PROJETO PERFURAÇÃO'!$B:$B,0)),1)&amp;"''","")</f>
        <v/>
      </c>
      <c r="Q1318" s="3" t="str">
        <f>IFERROR(IF(INDEX('PROJETO PERFURAÇÃO'!$P:$P,MATCH(MEDIÇÃO!R1318,'PROJETO PERFURAÇÃO'!$B:$B,0))="Production","P",IF(INDEX('PROJETO PERFURAÇÃO'!$P:$P,MATCH(MEDIÇÃO!R1318,'PROJETO PERFURAÇÃO'!$B:$B,0))="Buffer","B",IF(INDEX('PROJETO PERFURAÇÃO'!$P:$P,MATCH(MEDIÇÃO!R1318,'PROJETO PERFURAÇÃO'!$B:$B,0))="Pre-Splitting","S"))),"")</f>
        <v/>
      </c>
      <c r="R1318" s="14">
        <f t="shared" si="128"/>
        <v>2956</v>
      </c>
      <c r="S1318" s="4" t="str">
        <f>IFERROR(INDEX('LEV R&amp;D'!$D:$D,MATCH(MEDIÇÃO!R1318,'LEV R&amp;D'!$A:$A,0))-INDEX('PROJETO PERFURAÇÃO'!$AH:$AH,MATCH(MEDIÇÃO!R1318,'PROJETO PERFURAÇÃO'!$B:$B,0)),"")</f>
        <v/>
      </c>
      <c r="T1318" s="8" t="str">
        <f>IFERROR(INDEX('PROJETO PERFURAÇÃO'!$AN:$AN,MATCH(MEDIÇÃO!R1318,'PROJETO PERFURAÇÃO'!$B:$B,0)),"")</f>
        <v/>
      </c>
      <c r="U1318" s="3"/>
      <c r="V1318" s="3"/>
    </row>
    <row r="1319" spans="2:22" ht="45" customHeight="1">
      <c r="B1319" s="3" t="str">
        <f>IFERROR(ROUND(INDEX('PROJETO PERFURAÇÃO'!$AB:$AB,MATCH(MEDIÇÃO!D1319,'PROJETO PERFURAÇÃO'!$B:$B,0)),1)&amp;"''","")</f>
        <v/>
      </c>
      <c r="C1319" s="3" t="str">
        <f>IFERROR(IF(INDEX('PROJETO PERFURAÇÃO'!$P:$P,MATCH(MEDIÇÃO!D1319,'PROJETO PERFURAÇÃO'!$B:$B,0))="Production","P",IF(INDEX('PROJETO PERFURAÇÃO'!$P:$P,MATCH(MEDIÇÃO!D1319,'PROJETO PERFURAÇÃO'!$B:$B,0))="Buffer","B",IF(INDEX('PROJETO PERFURAÇÃO'!$P:$P,MATCH(MEDIÇÃO!D1319,'PROJETO PERFURAÇÃO'!$B:$B,0))="Pre-Splitting","S"))),"")</f>
        <v/>
      </c>
      <c r="D1319" s="14">
        <f t="shared" si="126"/>
        <v>2911</v>
      </c>
      <c r="E1319" s="4" t="str">
        <f>IFERROR(INDEX('LEV R&amp;D'!$D:$D,MATCH(MEDIÇÃO!D1319,'LEV R&amp;D'!$A:$A,0))-INDEX('PROJETO PERFURAÇÃO'!$AH:$AH,MATCH(MEDIÇÃO!D1319,'PROJETO PERFURAÇÃO'!$B:$B,0)),"")</f>
        <v/>
      </c>
      <c r="F1319" s="8" t="str">
        <f>IFERROR(INDEX('PROJETO PERFURAÇÃO'!$AN:$AN,MATCH(MEDIÇÃO!D1319,'PROJETO PERFURAÇÃO'!$B:$B,0)),"")</f>
        <v/>
      </c>
      <c r="G1319" s="3"/>
      <c r="H1319" s="3"/>
      <c r="I1319" s="3" t="str">
        <f>IFERROR(ROUND(INDEX('PROJETO PERFURAÇÃO'!$AB:$AB,MATCH(MEDIÇÃO!K1319,'PROJETO PERFURAÇÃO'!$B:$B,0)),1)&amp;"''","")</f>
        <v/>
      </c>
      <c r="J1319" s="3" t="str">
        <f>IFERROR(IF(INDEX('PROJETO PERFURAÇÃO'!$P:$P,MATCH(MEDIÇÃO!K1319,'PROJETO PERFURAÇÃO'!$B:$B,0))="Production","P",IF(INDEX('PROJETO PERFURAÇÃO'!$P:$P,MATCH(MEDIÇÃO!K1319,'PROJETO PERFURAÇÃO'!$B:$B,0))="Buffer","B",IF(INDEX('PROJETO PERFURAÇÃO'!$P:$P,MATCH(MEDIÇÃO!K1319,'PROJETO PERFURAÇÃO'!$B:$B,0))="Pre-Splitting","S"))),"")</f>
        <v/>
      </c>
      <c r="K1319" s="14">
        <f t="shared" si="127"/>
        <v>2934</v>
      </c>
      <c r="L1319" s="4" t="str">
        <f>IFERROR(INDEX('LEV R&amp;D'!$D:$D,MATCH(MEDIÇÃO!K1319,'LEV R&amp;D'!$A:$A,0))-INDEX('PROJETO PERFURAÇÃO'!$AH:$AH,MATCH(MEDIÇÃO!K1319,'PROJETO PERFURAÇÃO'!$B:$B,0)),"")</f>
        <v/>
      </c>
      <c r="M1319" s="8" t="str">
        <f>IFERROR(INDEX('PROJETO PERFURAÇÃO'!$AN:$AN,MATCH(MEDIÇÃO!K1319,'PROJETO PERFURAÇÃO'!$B:$B,0)),"")</f>
        <v/>
      </c>
      <c r="N1319" s="3"/>
      <c r="O1319" s="3"/>
      <c r="P1319" s="3" t="str">
        <f>IFERROR(ROUND(INDEX('PROJETO PERFURAÇÃO'!$AB:$AB,MATCH(MEDIÇÃO!R1319,'PROJETO PERFURAÇÃO'!$B:$B,0)),1)&amp;"''","")</f>
        <v/>
      </c>
      <c r="Q1319" s="3" t="str">
        <f>IFERROR(IF(INDEX('PROJETO PERFURAÇÃO'!$P:$P,MATCH(MEDIÇÃO!R1319,'PROJETO PERFURAÇÃO'!$B:$B,0))="Production","P",IF(INDEX('PROJETO PERFURAÇÃO'!$P:$P,MATCH(MEDIÇÃO!R1319,'PROJETO PERFURAÇÃO'!$B:$B,0))="Buffer","B",IF(INDEX('PROJETO PERFURAÇÃO'!$P:$P,MATCH(MEDIÇÃO!R1319,'PROJETO PERFURAÇÃO'!$B:$B,0))="Pre-Splitting","S"))),"")</f>
        <v/>
      </c>
      <c r="R1319" s="14">
        <f t="shared" si="128"/>
        <v>2957</v>
      </c>
      <c r="S1319" s="4" t="str">
        <f>IFERROR(INDEX('LEV R&amp;D'!$D:$D,MATCH(MEDIÇÃO!R1319,'LEV R&amp;D'!$A:$A,0))-INDEX('PROJETO PERFURAÇÃO'!$AH:$AH,MATCH(MEDIÇÃO!R1319,'PROJETO PERFURAÇÃO'!$B:$B,0)),"")</f>
        <v/>
      </c>
      <c r="T1319" s="8" t="str">
        <f>IFERROR(INDEX('PROJETO PERFURAÇÃO'!$AN:$AN,MATCH(MEDIÇÃO!R1319,'PROJETO PERFURAÇÃO'!$B:$B,0)),"")</f>
        <v/>
      </c>
      <c r="U1319" s="3"/>
      <c r="V1319" s="3"/>
    </row>
    <row r="1320" spans="2:22" ht="45" customHeight="1">
      <c r="B1320" s="3" t="str">
        <f>IFERROR(ROUND(INDEX('PROJETO PERFURAÇÃO'!$AB:$AB,MATCH(MEDIÇÃO!D1320,'PROJETO PERFURAÇÃO'!$B:$B,0)),1)&amp;"''","")</f>
        <v/>
      </c>
      <c r="C1320" s="3" t="str">
        <f>IFERROR(IF(INDEX('PROJETO PERFURAÇÃO'!$P:$P,MATCH(MEDIÇÃO!D1320,'PROJETO PERFURAÇÃO'!$B:$B,0))="Production","P",IF(INDEX('PROJETO PERFURAÇÃO'!$P:$P,MATCH(MEDIÇÃO!D1320,'PROJETO PERFURAÇÃO'!$B:$B,0))="Buffer","B",IF(INDEX('PROJETO PERFURAÇÃO'!$P:$P,MATCH(MEDIÇÃO!D1320,'PROJETO PERFURAÇÃO'!$B:$B,0))="Pre-Splitting","S"))),"")</f>
        <v/>
      </c>
      <c r="D1320" s="14">
        <f t="shared" si="126"/>
        <v>2912</v>
      </c>
      <c r="E1320" s="4" t="str">
        <f>IFERROR(INDEX('LEV R&amp;D'!$D:$D,MATCH(MEDIÇÃO!D1320,'LEV R&amp;D'!$A:$A,0))-INDEX('PROJETO PERFURAÇÃO'!$AH:$AH,MATCH(MEDIÇÃO!D1320,'PROJETO PERFURAÇÃO'!$B:$B,0)),"")</f>
        <v/>
      </c>
      <c r="F1320" s="8" t="str">
        <f>IFERROR(INDEX('PROJETO PERFURAÇÃO'!$AN:$AN,MATCH(MEDIÇÃO!D1320,'PROJETO PERFURAÇÃO'!$B:$B,0)),"")</f>
        <v/>
      </c>
      <c r="G1320" s="3"/>
      <c r="H1320" s="3"/>
      <c r="I1320" s="3" t="str">
        <f>IFERROR(ROUND(INDEX('PROJETO PERFURAÇÃO'!$AB:$AB,MATCH(MEDIÇÃO!K1320,'PROJETO PERFURAÇÃO'!$B:$B,0)),1)&amp;"''","")</f>
        <v/>
      </c>
      <c r="J1320" s="3" t="str">
        <f>IFERROR(IF(INDEX('PROJETO PERFURAÇÃO'!$P:$P,MATCH(MEDIÇÃO!K1320,'PROJETO PERFURAÇÃO'!$B:$B,0))="Production","P",IF(INDEX('PROJETO PERFURAÇÃO'!$P:$P,MATCH(MEDIÇÃO!K1320,'PROJETO PERFURAÇÃO'!$B:$B,0))="Buffer","B",IF(INDEX('PROJETO PERFURAÇÃO'!$P:$P,MATCH(MEDIÇÃO!K1320,'PROJETO PERFURAÇÃO'!$B:$B,0))="Pre-Splitting","S"))),"")</f>
        <v/>
      </c>
      <c r="K1320" s="14">
        <f t="shared" si="127"/>
        <v>2935</v>
      </c>
      <c r="L1320" s="4" t="str">
        <f>IFERROR(INDEX('LEV R&amp;D'!$D:$D,MATCH(MEDIÇÃO!K1320,'LEV R&amp;D'!$A:$A,0))-INDEX('PROJETO PERFURAÇÃO'!$AH:$AH,MATCH(MEDIÇÃO!K1320,'PROJETO PERFURAÇÃO'!$B:$B,0)),"")</f>
        <v/>
      </c>
      <c r="M1320" s="8" t="str">
        <f>IFERROR(INDEX('PROJETO PERFURAÇÃO'!$AN:$AN,MATCH(MEDIÇÃO!K1320,'PROJETO PERFURAÇÃO'!$B:$B,0)),"")</f>
        <v/>
      </c>
      <c r="N1320" s="3"/>
      <c r="O1320" s="3"/>
      <c r="P1320" s="3" t="str">
        <f>IFERROR(ROUND(INDEX('PROJETO PERFURAÇÃO'!$AB:$AB,MATCH(MEDIÇÃO!R1320,'PROJETO PERFURAÇÃO'!$B:$B,0)),1)&amp;"''","")</f>
        <v/>
      </c>
      <c r="Q1320" s="3" t="str">
        <f>IFERROR(IF(INDEX('PROJETO PERFURAÇÃO'!$P:$P,MATCH(MEDIÇÃO!R1320,'PROJETO PERFURAÇÃO'!$B:$B,0))="Production","P",IF(INDEX('PROJETO PERFURAÇÃO'!$P:$P,MATCH(MEDIÇÃO!R1320,'PROJETO PERFURAÇÃO'!$B:$B,0))="Buffer","B",IF(INDEX('PROJETO PERFURAÇÃO'!$P:$P,MATCH(MEDIÇÃO!R1320,'PROJETO PERFURAÇÃO'!$B:$B,0))="Pre-Splitting","S"))),"")</f>
        <v/>
      </c>
      <c r="R1320" s="14">
        <f t="shared" si="128"/>
        <v>2958</v>
      </c>
      <c r="S1320" s="4" t="str">
        <f>IFERROR(INDEX('LEV R&amp;D'!$D:$D,MATCH(MEDIÇÃO!R1320,'LEV R&amp;D'!$A:$A,0))-INDEX('PROJETO PERFURAÇÃO'!$AH:$AH,MATCH(MEDIÇÃO!R1320,'PROJETO PERFURAÇÃO'!$B:$B,0)),"")</f>
        <v/>
      </c>
      <c r="T1320" s="8" t="str">
        <f>IFERROR(INDEX('PROJETO PERFURAÇÃO'!$AN:$AN,MATCH(MEDIÇÃO!R1320,'PROJETO PERFURAÇÃO'!$B:$B,0)),"")</f>
        <v/>
      </c>
      <c r="U1320" s="3"/>
      <c r="V1320" s="3"/>
    </row>
    <row r="1321" spans="2:22" ht="45" customHeight="1">
      <c r="B1321" s="3" t="str">
        <f>IFERROR(ROUND(INDEX('PROJETO PERFURAÇÃO'!$AB:$AB,MATCH(MEDIÇÃO!D1321,'PROJETO PERFURAÇÃO'!$B:$B,0)),1)&amp;"''","")</f>
        <v/>
      </c>
      <c r="C1321" s="3" t="str">
        <f>IFERROR(IF(INDEX('PROJETO PERFURAÇÃO'!$P:$P,MATCH(MEDIÇÃO!D1321,'PROJETO PERFURAÇÃO'!$B:$B,0))="Production","P",IF(INDEX('PROJETO PERFURAÇÃO'!$P:$P,MATCH(MEDIÇÃO!D1321,'PROJETO PERFURAÇÃO'!$B:$B,0))="Buffer","B",IF(INDEX('PROJETO PERFURAÇÃO'!$P:$P,MATCH(MEDIÇÃO!D1321,'PROJETO PERFURAÇÃO'!$B:$B,0))="Pre-Splitting","S"))),"")</f>
        <v/>
      </c>
      <c r="D1321" s="14">
        <f t="shared" si="126"/>
        <v>2913</v>
      </c>
      <c r="E1321" s="4" t="str">
        <f>IFERROR(INDEX('LEV R&amp;D'!$D:$D,MATCH(MEDIÇÃO!D1321,'LEV R&amp;D'!$A:$A,0))-INDEX('PROJETO PERFURAÇÃO'!$AH:$AH,MATCH(MEDIÇÃO!D1321,'PROJETO PERFURAÇÃO'!$B:$B,0)),"")</f>
        <v/>
      </c>
      <c r="F1321" s="8" t="str">
        <f>IFERROR(INDEX('PROJETO PERFURAÇÃO'!$AN:$AN,MATCH(MEDIÇÃO!D1321,'PROJETO PERFURAÇÃO'!$B:$B,0)),"")</f>
        <v/>
      </c>
      <c r="G1321" s="3"/>
      <c r="H1321" s="3"/>
      <c r="I1321" s="3" t="str">
        <f>IFERROR(ROUND(INDEX('PROJETO PERFURAÇÃO'!$AB:$AB,MATCH(MEDIÇÃO!K1321,'PROJETO PERFURAÇÃO'!$B:$B,0)),1)&amp;"''","")</f>
        <v/>
      </c>
      <c r="J1321" s="3" t="str">
        <f>IFERROR(IF(INDEX('PROJETO PERFURAÇÃO'!$P:$P,MATCH(MEDIÇÃO!K1321,'PROJETO PERFURAÇÃO'!$B:$B,0))="Production","P",IF(INDEX('PROJETO PERFURAÇÃO'!$P:$P,MATCH(MEDIÇÃO!K1321,'PROJETO PERFURAÇÃO'!$B:$B,0))="Buffer","B",IF(INDEX('PROJETO PERFURAÇÃO'!$P:$P,MATCH(MEDIÇÃO!K1321,'PROJETO PERFURAÇÃO'!$B:$B,0))="Pre-Splitting","S"))),"")</f>
        <v/>
      </c>
      <c r="K1321" s="14">
        <f t="shared" si="127"/>
        <v>2936</v>
      </c>
      <c r="L1321" s="4" t="str">
        <f>IFERROR(INDEX('LEV R&amp;D'!$D:$D,MATCH(MEDIÇÃO!K1321,'LEV R&amp;D'!$A:$A,0))-INDEX('PROJETO PERFURAÇÃO'!$AH:$AH,MATCH(MEDIÇÃO!K1321,'PROJETO PERFURAÇÃO'!$B:$B,0)),"")</f>
        <v/>
      </c>
      <c r="M1321" s="8" t="str">
        <f>IFERROR(INDEX('PROJETO PERFURAÇÃO'!$AN:$AN,MATCH(MEDIÇÃO!K1321,'PROJETO PERFURAÇÃO'!$B:$B,0)),"")</f>
        <v/>
      </c>
      <c r="N1321" s="3"/>
      <c r="O1321" s="3"/>
      <c r="P1321" s="3" t="str">
        <f>IFERROR(ROUND(INDEX('PROJETO PERFURAÇÃO'!$AB:$AB,MATCH(MEDIÇÃO!R1321,'PROJETO PERFURAÇÃO'!$B:$B,0)),1)&amp;"''","")</f>
        <v/>
      </c>
      <c r="Q1321" s="3" t="str">
        <f>IFERROR(IF(INDEX('PROJETO PERFURAÇÃO'!$P:$P,MATCH(MEDIÇÃO!R1321,'PROJETO PERFURAÇÃO'!$B:$B,0))="Production","P",IF(INDEX('PROJETO PERFURAÇÃO'!$P:$P,MATCH(MEDIÇÃO!R1321,'PROJETO PERFURAÇÃO'!$B:$B,0))="Buffer","B",IF(INDEX('PROJETO PERFURAÇÃO'!$P:$P,MATCH(MEDIÇÃO!R1321,'PROJETO PERFURAÇÃO'!$B:$B,0))="Pre-Splitting","S"))),"")</f>
        <v/>
      </c>
      <c r="R1321" s="14">
        <f t="shared" si="128"/>
        <v>2959</v>
      </c>
      <c r="S1321" s="4" t="str">
        <f>IFERROR(INDEX('LEV R&amp;D'!$D:$D,MATCH(MEDIÇÃO!R1321,'LEV R&amp;D'!$A:$A,0))-INDEX('PROJETO PERFURAÇÃO'!$AH:$AH,MATCH(MEDIÇÃO!R1321,'PROJETO PERFURAÇÃO'!$B:$B,0)),"")</f>
        <v/>
      </c>
      <c r="T1321" s="8" t="str">
        <f>IFERROR(INDEX('PROJETO PERFURAÇÃO'!$AN:$AN,MATCH(MEDIÇÃO!R1321,'PROJETO PERFURAÇÃO'!$B:$B,0)),"")</f>
        <v/>
      </c>
      <c r="U1321" s="3"/>
      <c r="V1321" s="3"/>
    </row>
    <row r="1322" spans="2:22" ht="45" customHeight="1">
      <c r="B1322" s="3" t="str">
        <f>IFERROR(ROUND(INDEX('PROJETO PERFURAÇÃO'!$AB:$AB,MATCH(MEDIÇÃO!D1322,'PROJETO PERFURAÇÃO'!$B:$B,0)),1)&amp;"''","")</f>
        <v/>
      </c>
      <c r="C1322" s="3" t="str">
        <f>IFERROR(IF(INDEX('PROJETO PERFURAÇÃO'!$P:$P,MATCH(MEDIÇÃO!D1322,'PROJETO PERFURAÇÃO'!$B:$B,0))="Production","P",IF(INDEX('PROJETO PERFURAÇÃO'!$P:$P,MATCH(MEDIÇÃO!D1322,'PROJETO PERFURAÇÃO'!$B:$B,0))="Buffer","B",IF(INDEX('PROJETO PERFURAÇÃO'!$P:$P,MATCH(MEDIÇÃO!D1322,'PROJETO PERFURAÇÃO'!$B:$B,0))="Pre-Splitting","S"))),"")</f>
        <v/>
      </c>
      <c r="D1322" s="14">
        <f t="shared" si="126"/>
        <v>2914</v>
      </c>
      <c r="E1322" s="4" t="str">
        <f>IFERROR(INDEX('LEV R&amp;D'!$D:$D,MATCH(MEDIÇÃO!D1322,'LEV R&amp;D'!$A:$A,0))-INDEX('PROJETO PERFURAÇÃO'!$AH:$AH,MATCH(MEDIÇÃO!D1322,'PROJETO PERFURAÇÃO'!$B:$B,0)),"")</f>
        <v/>
      </c>
      <c r="F1322" s="8" t="str">
        <f>IFERROR(INDEX('PROJETO PERFURAÇÃO'!$AN:$AN,MATCH(MEDIÇÃO!D1322,'PROJETO PERFURAÇÃO'!$B:$B,0)),"")</f>
        <v/>
      </c>
      <c r="G1322" s="3"/>
      <c r="H1322" s="3"/>
      <c r="I1322" s="3" t="str">
        <f>IFERROR(ROUND(INDEX('PROJETO PERFURAÇÃO'!$AB:$AB,MATCH(MEDIÇÃO!K1322,'PROJETO PERFURAÇÃO'!$B:$B,0)),1)&amp;"''","")</f>
        <v/>
      </c>
      <c r="J1322" s="3" t="str">
        <f>IFERROR(IF(INDEX('PROJETO PERFURAÇÃO'!$P:$P,MATCH(MEDIÇÃO!K1322,'PROJETO PERFURAÇÃO'!$B:$B,0))="Production","P",IF(INDEX('PROJETO PERFURAÇÃO'!$P:$P,MATCH(MEDIÇÃO!K1322,'PROJETO PERFURAÇÃO'!$B:$B,0))="Buffer","B",IF(INDEX('PROJETO PERFURAÇÃO'!$P:$P,MATCH(MEDIÇÃO!K1322,'PROJETO PERFURAÇÃO'!$B:$B,0))="Pre-Splitting","S"))),"")</f>
        <v/>
      </c>
      <c r="K1322" s="14">
        <f t="shared" si="127"/>
        <v>2937</v>
      </c>
      <c r="L1322" s="4" t="str">
        <f>IFERROR(INDEX('LEV R&amp;D'!$D:$D,MATCH(MEDIÇÃO!K1322,'LEV R&amp;D'!$A:$A,0))-INDEX('PROJETO PERFURAÇÃO'!$AH:$AH,MATCH(MEDIÇÃO!K1322,'PROJETO PERFURAÇÃO'!$B:$B,0)),"")</f>
        <v/>
      </c>
      <c r="M1322" s="8" t="str">
        <f>IFERROR(INDEX('PROJETO PERFURAÇÃO'!$AN:$AN,MATCH(MEDIÇÃO!K1322,'PROJETO PERFURAÇÃO'!$B:$B,0)),"")</f>
        <v/>
      </c>
      <c r="N1322" s="3"/>
      <c r="O1322" s="3"/>
      <c r="P1322" s="3" t="str">
        <f>IFERROR(ROUND(INDEX('PROJETO PERFURAÇÃO'!$AB:$AB,MATCH(MEDIÇÃO!R1322,'PROJETO PERFURAÇÃO'!$B:$B,0)),1)&amp;"''","")</f>
        <v/>
      </c>
      <c r="Q1322" s="3" t="str">
        <f>IFERROR(IF(INDEX('PROJETO PERFURAÇÃO'!$P:$P,MATCH(MEDIÇÃO!R1322,'PROJETO PERFURAÇÃO'!$B:$B,0))="Production","P",IF(INDEX('PROJETO PERFURAÇÃO'!$P:$P,MATCH(MEDIÇÃO!R1322,'PROJETO PERFURAÇÃO'!$B:$B,0))="Buffer","B",IF(INDEX('PROJETO PERFURAÇÃO'!$P:$P,MATCH(MEDIÇÃO!R1322,'PROJETO PERFURAÇÃO'!$B:$B,0))="Pre-Splitting","S"))),"")</f>
        <v/>
      </c>
      <c r="R1322" s="14">
        <f t="shared" si="128"/>
        <v>2960</v>
      </c>
      <c r="S1322" s="4" t="str">
        <f>IFERROR(INDEX('LEV R&amp;D'!$D:$D,MATCH(MEDIÇÃO!R1322,'LEV R&amp;D'!$A:$A,0))-INDEX('PROJETO PERFURAÇÃO'!$AH:$AH,MATCH(MEDIÇÃO!R1322,'PROJETO PERFURAÇÃO'!$B:$B,0)),"")</f>
        <v/>
      </c>
      <c r="T1322" s="8" t="str">
        <f>IFERROR(INDEX('PROJETO PERFURAÇÃO'!$AN:$AN,MATCH(MEDIÇÃO!R1322,'PROJETO PERFURAÇÃO'!$B:$B,0)),"")</f>
        <v/>
      </c>
      <c r="U1322" s="3"/>
      <c r="V1322" s="3"/>
    </row>
    <row r="1323" spans="2:22" ht="45" customHeight="1">
      <c r="B1323" s="3" t="str">
        <f>IFERROR(ROUND(INDEX('PROJETO PERFURAÇÃO'!$AB:$AB,MATCH(MEDIÇÃO!D1323,'PROJETO PERFURAÇÃO'!$B:$B,0)),1)&amp;"''","")</f>
        <v/>
      </c>
      <c r="C1323" s="3" t="str">
        <f>IFERROR(IF(INDEX('PROJETO PERFURAÇÃO'!$P:$P,MATCH(MEDIÇÃO!D1323,'PROJETO PERFURAÇÃO'!$B:$B,0))="Production","P",IF(INDEX('PROJETO PERFURAÇÃO'!$P:$P,MATCH(MEDIÇÃO!D1323,'PROJETO PERFURAÇÃO'!$B:$B,0))="Buffer","B",IF(INDEX('PROJETO PERFURAÇÃO'!$P:$P,MATCH(MEDIÇÃO!D1323,'PROJETO PERFURAÇÃO'!$B:$B,0))="Pre-Splitting","S"))),"")</f>
        <v/>
      </c>
      <c r="D1323" s="14">
        <f t="shared" si="126"/>
        <v>2915</v>
      </c>
      <c r="E1323" s="4" t="str">
        <f>IFERROR(INDEX('LEV R&amp;D'!$D:$D,MATCH(MEDIÇÃO!D1323,'LEV R&amp;D'!$A:$A,0))-INDEX('PROJETO PERFURAÇÃO'!$AH:$AH,MATCH(MEDIÇÃO!D1323,'PROJETO PERFURAÇÃO'!$B:$B,0)),"")</f>
        <v/>
      </c>
      <c r="F1323" s="8" t="str">
        <f>IFERROR(INDEX('PROJETO PERFURAÇÃO'!$AN:$AN,MATCH(MEDIÇÃO!D1323,'PROJETO PERFURAÇÃO'!$B:$B,0)),"")</f>
        <v/>
      </c>
      <c r="G1323" s="3"/>
      <c r="H1323" s="3"/>
      <c r="I1323" s="3" t="str">
        <f>IFERROR(ROUND(INDEX('PROJETO PERFURAÇÃO'!$AB:$AB,MATCH(MEDIÇÃO!K1323,'PROJETO PERFURAÇÃO'!$B:$B,0)),1)&amp;"''","")</f>
        <v/>
      </c>
      <c r="J1323" s="3" t="str">
        <f>IFERROR(IF(INDEX('PROJETO PERFURAÇÃO'!$P:$P,MATCH(MEDIÇÃO!K1323,'PROJETO PERFURAÇÃO'!$B:$B,0))="Production","P",IF(INDEX('PROJETO PERFURAÇÃO'!$P:$P,MATCH(MEDIÇÃO!K1323,'PROJETO PERFURAÇÃO'!$B:$B,0))="Buffer","B",IF(INDEX('PROJETO PERFURAÇÃO'!$P:$P,MATCH(MEDIÇÃO!K1323,'PROJETO PERFURAÇÃO'!$B:$B,0))="Pre-Splitting","S"))),"")</f>
        <v/>
      </c>
      <c r="K1323" s="14">
        <f t="shared" si="127"/>
        <v>2938</v>
      </c>
      <c r="L1323" s="4" t="str">
        <f>IFERROR(INDEX('LEV R&amp;D'!$D:$D,MATCH(MEDIÇÃO!K1323,'LEV R&amp;D'!$A:$A,0))-INDEX('PROJETO PERFURAÇÃO'!$AH:$AH,MATCH(MEDIÇÃO!K1323,'PROJETO PERFURAÇÃO'!$B:$B,0)),"")</f>
        <v/>
      </c>
      <c r="M1323" s="8" t="str">
        <f>IFERROR(INDEX('PROJETO PERFURAÇÃO'!$AN:$AN,MATCH(MEDIÇÃO!K1323,'PROJETO PERFURAÇÃO'!$B:$B,0)),"")</f>
        <v/>
      </c>
      <c r="N1323" s="3"/>
      <c r="O1323" s="3"/>
      <c r="P1323" s="3" t="str">
        <f>IFERROR(ROUND(INDEX('PROJETO PERFURAÇÃO'!$AB:$AB,MATCH(MEDIÇÃO!R1323,'PROJETO PERFURAÇÃO'!$B:$B,0)),1)&amp;"''","")</f>
        <v/>
      </c>
      <c r="Q1323" s="3" t="str">
        <f>IFERROR(IF(INDEX('PROJETO PERFURAÇÃO'!$P:$P,MATCH(MEDIÇÃO!R1323,'PROJETO PERFURAÇÃO'!$B:$B,0))="Production","P",IF(INDEX('PROJETO PERFURAÇÃO'!$P:$P,MATCH(MEDIÇÃO!R1323,'PROJETO PERFURAÇÃO'!$B:$B,0))="Buffer","B",IF(INDEX('PROJETO PERFURAÇÃO'!$P:$P,MATCH(MEDIÇÃO!R1323,'PROJETO PERFURAÇÃO'!$B:$B,0))="Pre-Splitting","S"))),"")</f>
        <v/>
      </c>
      <c r="R1323" s="14">
        <f t="shared" si="128"/>
        <v>2961</v>
      </c>
      <c r="S1323" s="4" t="str">
        <f>IFERROR(INDEX('LEV R&amp;D'!$D:$D,MATCH(MEDIÇÃO!R1323,'LEV R&amp;D'!$A:$A,0))-INDEX('PROJETO PERFURAÇÃO'!$AH:$AH,MATCH(MEDIÇÃO!R1323,'PROJETO PERFURAÇÃO'!$B:$B,0)),"")</f>
        <v/>
      </c>
      <c r="T1323" s="8" t="str">
        <f>IFERROR(INDEX('PROJETO PERFURAÇÃO'!$AN:$AN,MATCH(MEDIÇÃO!R1323,'PROJETO PERFURAÇÃO'!$B:$B,0)),"")</f>
        <v/>
      </c>
      <c r="U1323" s="3"/>
      <c r="V1323" s="3"/>
    </row>
    <row r="1324" spans="2:22" ht="45" customHeight="1">
      <c r="B1324" s="3" t="str">
        <f>IFERROR(ROUND(INDEX('PROJETO PERFURAÇÃO'!$AB:$AB,MATCH(MEDIÇÃO!D1324,'PROJETO PERFURAÇÃO'!$B:$B,0)),1)&amp;"''","")</f>
        <v/>
      </c>
      <c r="C1324" s="3" t="str">
        <f>IFERROR(IF(INDEX('PROJETO PERFURAÇÃO'!$P:$P,MATCH(MEDIÇÃO!D1324,'PROJETO PERFURAÇÃO'!$B:$B,0))="Production","P",IF(INDEX('PROJETO PERFURAÇÃO'!$P:$P,MATCH(MEDIÇÃO!D1324,'PROJETO PERFURAÇÃO'!$B:$B,0))="Buffer","B",IF(INDEX('PROJETO PERFURAÇÃO'!$P:$P,MATCH(MEDIÇÃO!D1324,'PROJETO PERFURAÇÃO'!$B:$B,0))="Pre-Splitting","S"))),"")</f>
        <v/>
      </c>
      <c r="D1324" s="14">
        <f t="shared" si="126"/>
        <v>2916</v>
      </c>
      <c r="E1324" s="4" t="str">
        <f>IFERROR(INDEX('LEV R&amp;D'!$D:$D,MATCH(MEDIÇÃO!D1324,'LEV R&amp;D'!$A:$A,0))-INDEX('PROJETO PERFURAÇÃO'!$AH:$AH,MATCH(MEDIÇÃO!D1324,'PROJETO PERFURAÇÃO'!$B:$B,0)),"")</f>
        <v/>
      </c>
      <c r="F1324" s="8" t="str">
        <f>IFERROR(INDEX('PROJETO PERFURAÇÃO'!$AN:$AN,MATCH(MEDIÇÃO!D1324,'PROJETO PERFURAÇÃO'!$B:$B,0)),"")</f>
        <v/>
      </c>
      <c r="G1324" s="3"/>
      <c r="H1324" s="3"/>
      <c r="I1324" s="3" t="str">
        <f>IFERROR(ROUND(INDEX('PROJETO PERFURAÇÃO'!$AB:$AB,MATCH(MEDIÇÃO!K1324,'PROJETO PERFURAÇÃO'!$B:$B,0)),1)&amp;"''","")</f>
        <v/>
      </c>
      <c r="J1324" s="3" t="str">
        <f>IFERROR(IF(INDEX('PROJETO PERFURAÇÃO'!$P:$P,MATCH(MEDIÇÃO!K1324,'PROJETO PERFURAÇÃO'!$B:$B,0))="Production","P",IF(INDEX('PROJETO PERFURAÇÃO'!$P:$P,MATCH(MEDIÇÃO!K1324,'PROJETO PERFURAÇÃO'!$B:$B,0))="Buffer","B",IF(INDEX('PROJETO PERFURAÇÃO'!$P:$P,MATCH(MEDIÇÃO!K1324,'PROJETO PERFURAÇÃO'!$B:$B,0))="Pre-Splitting","S"))),"")</f>
        <v/>
      </c>
      <c r="K1324" s="14">
        <f t="shared" si="127"/>
        <v>2939</v>
      </c>
      <c r="L1324" s="4" t="str">
        <f>IFERROR(INDEX('LEV R&amp;D'!$D:$D,MATCH(MEDIÇÃO!K1324,'LEV R&amp;D'!$A:$A,0))-INDEX('PROJETO PERFURAÇÃO'!$AH:$AH,MATCH(MEDIÇÃO!K1324,'PROJETO PERFURAÇÃO'!$B:$B,0)),"")</f>
        <v/>
      </c>
      <c r="M1324" s="8" t="str">
        <f>IFERROR(INDEX('PROJETO PERFURAÇÃO'!$AN:$AN,MATCH(MEDIÇÃO!K1324,'PROJETO PERFURAÇÃO'!$B:$B,0)),"")</f>
        <v/>
      </c>
      <c r="N1324" s="3"/>
      <c r="O1324" s="3"/>
      <c r="P1324" s="3" t="str">
        <f>IFERROR(ROUND(INDEX('PROJETO PERFURAÇÃO'!$AB:$AB,MATCH(MEDIÇÃO!R1324,'PROJETO PERFURAÇÃO'!$B:$B,0)),1)&amp;"''","")</f>
        <v/>
      </c>
      <c r="Q1324" s="3" t="str">
        <f>IFERROR(IF(INDEX('PROJETO PERFURAÇÃO'!$P:$P,MATCH(MEDIÇÃO!R1324,'PROJETO PERFURAÇÃO'!$B:$B,0))="Production","P",IF(INDEX('PROJETO PERFURAÇÃO'!$P:$P,MATCH(MEDIÇÃO!R1324,'PROJETO PERFURAÇÃO'!$B:$B,0))="Buffer","B",IF(INDEX('PROJETO PERFURAÇÃO'!$P:$P,MATCH(MEDIÇÃO!R1324,'PROJETO PERFURAÇÃO'!$B:$B,0))="Pre-Splitting","S"))),"")</f>
        <v/>
      </c>
      <c r="R1324" s="14">
        <f t="shared" si="128"/>
        <v>2962</v>
      </c>
      <c r="S1324" s="4" t="str">
        <f>IFERROR(INDEX('LEV R&amp;D'!$D:$D,MATCH(MEDIÇÃO!R1324,'LEV R&amp;D'!$A:$A,0))-INDEX('PROJETO PERFURAÇÃO'!$AH:$AH,MATCH(MEDIÇÃO!R1324,'PROJETO PERFURAÇÃO'!$B:$B,0)),"")</f>
        <v/>
      </c>
      <c r="T1324" s="8" t="str">
        <f>IFERROR(INDEX('PROJETO PERFURAÇÃO'!$AN:$AN,MATCH(MEDIÇÃO!R1324,'PROJETO PERFURAÇÃO'!$B:$B,0)),"")</f>
        <v/>
      </c>
      <c r="U1324" s="3"/>
      <c r="V1324" s="3"/>
    </row>
    <row r="1325" spans="2:22" ht="45" customHeight="1">
      <c r="B1325" s="3" t="str">
        <f>IFERROR(ROUND(INDEX('PROJETO PERFURAÇÃO'!$AB:$AB,MATCH(MEDIÇÃO!D1325,'PROJETO PERFURAÇÃO'!$B:$B,0)),1)&amp;"''","")</f>
        <v/>
      </c>
      <c r="C1325" s="3" t="str">
        <f>IFERROR(IF(INDEX('PROJETO PERFURAÇÃO'!$P:$P,MATCH(MEDIÇÃO!D1325,'PROJETO PERFURAÇÃO'!$B:$B,0))="Production","P",IF(INDEX('PROJETO PERFURAÇÃO'!$P:$P,MATCH(MEDIÇÃO!D1325,'PROJETO PERFURAÇÃO'!$B:$B,0))="Buffer","B",IF(INDEX('PROJETO PERFURAÇÃO'!$P:$P,MATCH(MEDIÇÃO!D1325,'PROJETO PERFURAÇÃO'!$B:$B,0))="Pre-Splitting","S"))),"")</f>
        <v/>
      </c>
      <c r="D1325" s="14">
        <f t="shared" si="126"/>
        <v>2917</v>
      </c>
      <c r="E1325" s="4" t="str">
        <f>IFERROR(INDEX('LEV R&amp;D'!$D:$D,MATCH(MEDIÇÃO!D1325,'LEV R&amp;D'!$A:$A,0))-INDEX('PROJETO PERFURAÇÃO'!$AH:$AH,MATCH(MEDIÇÃO!D1325,'PROJETO PERFURAÇÃO'!$B:$B,0)),"")</f>
        <v/>
      </c>
      <c r="F1325" s="8" t="str">
        <f>IFERROR(INDEX('PROJETO PERFURAÇÃO'!$AN:$AN,MATCH(MEDIÇÃO!D1325,'PROJETO PERFURAÇÃO'!$B:$B,0)),"")</f>
        <v/>
      </c>
      <c r="G1325" s="3"/>
      <c r="H1325" s="3"/>
      <c r="I1325" s="3" t="str">
        <f>IFERROR(ROUND(INDEX('PROJETO PERFURAÇÃO'!$AB:$AB,MATCH(MEDIÇÃO!K1325,'PROJETO PERFURAÇÃO'!$B:$B,0)),1)&amp;"''","")</f>
        <v/>
      </c>
      <c r="J1325" s="3" t="str">
        <f>IFERROR(IF(INDEX('PROJETO PERFURAÇÃO'!$P:$P,MATCH(MEDIÇÃO!K1325,'PROJETO PERFURAÇÃO'!$B:$B,0))="Production","P",IF(INDEX('PROJETO PERFURAÇÃO'!$P:$P,MATCH(MEDIÇÃO!K1325,'PROJETO PERFURAÇÃO'!$B:$B,0))="Buffer","B",IF(INDEX('PROJETO PERFURAÇÃO'!$P:$P,MATCH(MEDIÇÃO!K1325,'PROJETO PERFURAÇÃO'!$B:$B,0))="Pre-Splitting","S"))),"")</f>
        <v/>
      </c>
      <c r="K1325" s="14">
        <f t="shared" si="127"/>
        <v>2940</v>
      </c>
      <c r="L1325" s="4" t="str">
        <f>IFERROR(INDEX('LEV R&amp;D'!$D:$D,MATCH(MEDIÇÃO!K1325,'LEV R&amp;D'!$A:$A,0))-INDEX('PROJETO PERFURAÇÃO'!$AH:$AH,MATCH(MEDIÇÃO!K1325,'PROJETO PERFURAÇÃO'!$B:$B,0)),"")</f>
        <v/>
      </c>
      <c r="M1325" s="8" t="str">
        <f>IFERROR(INDEX('PROJETO PERFURAÇÃO'!$AN:$AN,MATCH(MEDIÇÃO!K1325,'PROJETO PERFURAÇÃO'!$B:$B,0)),"")</f>
        <v/>
      </c>
      <c r="N1325" s="3"/>
      <c r="O1325" s="3"/>
      <c r="P1325" s="3" t="str">
        <f>IFERROR(ROUND(INDEX('PROJETO PERFURAÇÃO'!$AB:$AB,MATCH(MEDIÇÃO!R1325,'PROJETO PERFURAÇÃO'!$B:$B,0)),1)&amp;"''","")</f>
        <v/>
      </c>
      <c r="Q1325" s="3" t="str">
        <f>IFERROR(IF(INDEX('PROJETO PERFURAÇÃO'!$P:$P,MATCH(MEDIÇÃO!R1325,'PROJETO PERFURAÇÃO'!$B:$B,0))="Production","P",IF(INDEX('PROJETO PERFURAÇÃO'!$P:$P,MATCH(MEDIÇÃO!R1325,'PROJETO PERFURAÇÃO'!$B:$B,0))="Buffer","B",IF(INDEX('PROJETO PERFURAÇÃO'!$P:$P,MATCH(MEDIÇÃO!R1325,'PROJETO PERFURAÇÃO'!$B:$B,0))="Pre-Splitting","S"))),"")</f>
        <v/>
      </c>
      <c r="R1325" s="14">
        <f t="shared" si="128"/>
        <v>2963</v>
      </c>
      <c r="S1325" s="4" t="str">
        <f>IFERROR(INDEX('LEV R&amp;D'!$D:$D,MATCH(MEDIÇÃO!R1325,'LEV R&amp;D'!$A:$A,0))-INDEX('PROJETO PERFURAÇÃO'!$AH:$AH,MATCH(MEDIÇÃO!R1325,'PROJETO PERFURAÇÃO'!$B:$B,0)),"")</f>
        <v/>
      </c>
      <c r="T1325" s="8" t="str">
        <f>IFERROR(INDEX('PROJETO PERFURAÇÃO'!$AN:$AN,MATCH(MEDIÇÃO!R1325,'PROJETO PERFURAÇÃO'!$B:$B,0)),"")</f>
        <v/>
      </c>
      <c r="U1325" s="3"/>
      <c r="V1325" s="3"/>
    </row>
    <row r="1326" spans="2:22" ht="45" customHeight="1">
      <c r="B1326" s="3" t="str">
        <f>IFERROR(ROUND(INDEX('PROJETO PERFURAÇÃO'!$AB:$AB,MATCH(MEDIÇÃO!D1326,'PROJETO PERFURAÇÃO'!$B:$B,0)),1)&amp;"''","")</f>
        <v/>
      </c>
      <c r="C1326" s="3" t="str">
        <f>IFERROR(IF(INDEX('PROJETO PERFURAÇÃO'!$P:$P,MATCH(MEDIÇÃO!D1326,'PROJETO PERFURAÇÃO'!$B:$B,0))="Production","P",IF(INDEX('PROJETO PERFURAÇÃO'!$P:$P,MATCH(MEDIÇÃO!D1326,'PROJETO PERFURAÇÃO'!$B:$B,0))="Buffer","B",IF(INDEX('PROJETO PERFURAÇÃO'!$P:$P,MATCH(MEDIÇÃO!D1326,'PROJETO PERFURAÇÃO'!$B:$B,0))="Pre-Splitting","S"))),"")</f>
        <v/>
      </c>
      <c r="D1326" s="14">
        <f t="shared" si="126"/>
        <v>2918</v>
      </c>
      <c r="E1326" s="4" t="str">
        <f>IFERROR(INDEX('LEV R&amp;D'!$D:$D,MATCH(MEDIÇÃO!D1326,'LEV R&amp;D'!$A:$A,0))-INDEX('PROJETO PERFURAÇÃO'!$AH:$AH,MATCH(MEDIÇÃO!D1326,'PROJETO PERFURAÇÃO'!$B:$B,0)),"")</f>
        <v/>
      </c>
      <c r="F1326" s="8" t="str">
        <f>IFERROR(INDEX('PROJETO PERFURAÇÃO'!$AN:$AN,MATCH(MEDIÇÃO!D1326,'PROJETO PERFURAÇÃO'!$B:$B,0)),"")</f>
        <v/>
      </c>
      <c r="G1326" s="3"/>
      <c r="H1326" s="3"/>
      <c r="I1326" s="3" t="str">
        <f>IFERROR(ROUND(INDEX('PROJETO PERFURAÇÃO'!$AB:$AB,MATCH(MEDIÇÃO!K1326,'PROJETO PERFURAÇÃO'!$B:$B,0)),1)&amp;"''","")</f>
        <v/>
      </c>
      <c r="J1326" s="3" t="str">
        <f>IFERROR(IF(INDEX('PROJETO PERFURAÇÃO'!$P:$P,MATCH(MEDIÇÃO!K1326,'PROJETO PERFURAÇÃO'!$B:$B,0))="Production","P",IF(INDEX('PROJETO PERFURAÇÃO'!$P:$P,MATCH(MEDIÇÃO!K1326,'PROJETO PERFURAÇÃO'!$B:$B,0))="Buffer","B",IF(INDEX('PROJETO PERFURAÇÃO'!$P:$P,MATCH(MEDIÇÃO!K1326,'PROJETO PERFURAÇÃO'!$B:$B,0))="Pre-Splitting","S"))),"")</f>
        <v/>
      </c>
      <c r="K1326" s="14">
        <f t="shared" si="127"/>
        <v>2941</v>
      </c>
      <c r="L1326" s="4" t="str">
        <f>IFERROR(INDEX('LEV R&amp;D'!$D:$D,MATCH(MEDIÇÃO!K1326,'LEV R&amp;D'!$A:$A,0))-INDEX('PROJETO PERFURAÇÃO'!$AH:$AH,MATCH(MEDIÇÃO!K1326,'PROJETO PERFURAÇÃO'!$B:$B,0)),"")</f>
        <v/>
      </c>
      <c r="M1326" s="8" t="str">
        <f>IFERROR(INDEX('PROJETO PERFURAÇÃO'!$AN:$AN,MATCH(MEDIÇÃO!K1326,'PROJETO PERFURAÇÃO'!$B:$B,0)),"")</f>
        <v/>
      </c>
      <c r="N1326" s="3"/>
      <c r="O1326" s="3"/>
      <c r="P1326" s="3" t="str">
        <f>IFERROR(ROUND(INDEX('PROJETO PERFURAÇÃO'!$AB:$AB,MATCH(MEDIÇÃO!R1326,'PROJETO PERFURAÇÃO'!$B:$B,0)),1)&amp;"''","")</f>
        <v/>
      </c>
      <c r="Q1326" s="3" t="str">
        <f>IFERROR(IF(INDEX('PROJETO PERFURAÇÃO'!$P:$P,MATCH(MEDIÇÃO!R1326,'PROJETO PERFURAÇÃO'!$B:$B,0))="Production","P",IF(INDEX('PROJETO PERFURAÇÃO'!$P:$P,MATCH(MEDIÇÃO!R1326,'PROJETO PERFURAÇÃO'!$B:$B,0))="Buffer","B",IF(INDEX('PROJETO PERFURAÇÃO'!$P:$P,MATCH(MEDIÇÃO!R1326,'PROJETO PERFURAÇÃO'!$B:$B,0))="Pre-Splitting","S"))),"")</f>
        <v/>
      </c>
      <c r="R1326" s="14">
        <f t="shared" si="128"/>
        <v>2964</v>
      </c>
      <c r="S1326" s="4" t="str">
        <f>IFERROR(INDEX('LEV R&amp;D'!$D:$D,MATCH(MEDIÇÃO!R1326,'LEV R&amp;D'!$A:$A,0))-INDEX('PROJETO PERFURAÇÃO'!$AH:$AH,MATCH(MEDIÇÃO!R1326,'PROJETO PERFURAÇÃO'!$B:$B,0)),"")</f>
        <v/>
      </c>
      <c r="T1326" s="8" t="str">
        <f>IFERROR(INDEX('PROJETO PERFURAÇÃO'!$AN:$AN,MATCH(MEDIÇÃO!R1326,'PROJETO PERFURAÇÃO'!$B:$B,0)),"")</f>
        <v/>
      </c>
      <c r="U1326" s="3"/>
      <c r="V1326" s="3"/>
    </row>
    <row r="1327" spans="2:22" ht="45" customHeight="1">
      <c r="B1327" s="3" t="str">
        <f>IFERROR(ROUND(INDEX('PROJETO PERFURAÇÃO'!$AB:$AB,MATCH(MEDIÇÃO!D1327,'PROJETO PERFURAÇÃO'!$B:$B,0)),1)&amp;"''","")</f>
        <v/>
      </c>
      <c r="C1327" s="3" t="str">
        <f>IFERROR(IF(INDEX('PROJETO PERFURAÇÃO'!$P:$P,MATCH(MEDIÇÃO!D1327,'PROJETO PERFURAÇÃO'!$B:$B,0))="Production","P",IF(INDEX('PROJETO PERFURAÇÃO'!$P:$P,MATCH(MEDIÇÃO!D1327,'PROJETO PERFURAÇÃO'!$B:$B,0))="Buffer","B",IF(INDEX('PROJETO PERFURAÇÃO'!$P:$P,MATCH(MEDIÇÃO!D1327,'PROJETO PERFURAÇÃO'!$B:$B,0))="Pre-Splitting","S"))),"")</f>
        <v/>
      </c>
      <c r="D1327" s="14">
        <f t="shared" si="126"/>
        <v>2919</v>
      </c>
      <c r="E1327" s="4" t="str">
        <f>IFERROR(INDEX('LEV R&amp;D'!$D:$D,MATCH(MEDIÇÃO!D1327,'LEV R&amp;D'!$A:$A,0))-INDEX('PROJETO PERFURAÇÃO'!$AH:$AH,MATCH(MEDIÇÃO!D1327,'PROJETO PERFURAÇÃO'!$B:$B,0)),"")</f>
        <v/>
      </c>
      <c r="F1327" s="8" t="str">
        <f>IFERROR(INDEX('PROJETO PERFURAÇÃO'!$AN:$AN,MATCH(MEDIÇÃO!D1327,'PROJETO PERFURAÇÃO'!$B:$B,0)),"")</f>
        <v/>
      </c>
      <c r="G1327" s="3"/>
      <c r="H1327" s="3"/>
      <c r="I1327" s="3" t="str">
        <f>IFERROR(ROUND(INDEX('PROJETO PERFURAÇÃO'!$AB:$AB,MATCH(MEDIÇÃO!K1327,'PROJETO PERFURAÇÃO'!$B:$B,0)),1)&amp;"''","")</f>
        <v/>
      </c>
      <c r="J1327" s="3" t="str">
        <f>IFERROR(IF(INDEX('PROJETO PERFURAÇÃO'!$P:$P,MATCH(MEDIÇÃO!K1327,'PROJETO PERFURAÇÃO'!$B:$B,0))="Production","P",IF(INDEX('PROJETO PERFURAÇÃO'!$P:$P,MATCH(MEDIÇÃO!K1327,'PROJETO PERFURAÇÃO'!$B:$B,0))="Buffer","B",IF(INDEX('PROJETO PERFURAÇÃO'!$P:$P,MATCH(MEDIÇÃO!K1327,'PROJETO PERFURAÇÃO'!$B:$B,0))="Pre-Splitting","S"))),"")</f>
        <v/>
      </c>
      <c r="K1327" s="14">
        <f t="shared" si="127"/>
        <v>2942</v>
      </c>
      <c r="L1327" s="4" t="str">
        <f>IFERROR(INDEX('LEV R&amp;D'!$D:$D,MATCH(MEDIÇÃO!K1327,'LEV R&amp;D'!$A:$A,0))-INDEX('PROJETO PERFURAÇÃO'!$AH:$AH,MATCH(MEDIÇÃO!K1327,'PROJETO PERFURAÇÃO'!$B:$B,0)),"")</f>
        <v/>
      </c>
      <c r="M1327" s="8" t="str">
        <f>IFERROR(INDEX('PROJETO PERFURAÇÃO'!$AN:$AN,MATCH(MEDIÇÃO!K1327,'PROJETO PERFURAÇÃO'!$B:$B,0)),"")</f>
        <v/>
      </c>
      <c r="N1327" s="3"/>
      <c r="O1327" s="3"/>
      <c r="P1327" s="3" t="str">
        <f>IFERROR(ROUND(INDEX('PROJETO PERFURAÇÃO'!$AB:$AB,MATCH(MEDIÇÃO!R1327,'PROJETO PERFURAÇÃO'!$B:$B,0)),1)&amp;"''","")</f>
        <v/>
      </c>
      <c r="Q1327" s="3" t="str">
        <f>IFERROR(IF(INDEX('PROJETO PERFURAÇÃO'!$P:$P,MATCH(MEDIÇÃO!R1327,'PROJETO PERFURAÇÃO'!$B:$B,0))="Production","P",IF(INDEX('PROJETO PERFURAÇÃO'!$P:$P,MATCH(MEDIÇÃO!R1327,'PROJETO PERFURAÇÃO'!$B:$B,0))="Buffer","B",IF(INDEX('PROJETO PERFURAÇÃO'!$P:$P,MATCH(MEDIÇÃO!R1327,'PROJETO PERFURAÇÃO'!$B:$B,0))="Pre-Splitting","S"))),"")</f>
        <v/>
      </c>
      <c r="R1327" s="14">
        <f t="shared" si="128"/>
        <v>2965</v>
      </c>
      <c r="S1327" s="4" t="str">
        <f>IFERROR(INDEX('LEV R&amp;D'!$D:$D,MATCH(MEDIÇÃO!R1327,'LEV R&amp;D'!$A:$A,0))-INDEX('PROJETO PERFURAÇÃO'!$AH:$AH,MATCH(MEDIÇÃO!R1327,'PROJETO PERFURAÇÃO'!$B:$B,0)),"")</f>
        <v/>
      </c>
      <c r="T1327" s="8" t="str">
        <f>IFERROR(INDEX('PROJETO PERFURAÇÃO'!$AN:$AN,MATCH(MEDIÇÃO!R1327,'PROJETO PERFURAÇÃO'!$B:$B,0)),"")</f>
        <v/>
      </c>
      <c r="U1327" s="3"/>
      <c r="V1327" s="3"/>
    </row>
    <row r="1328" spans="2:22" ht="45" customHeight="1">
      <c r="B1328" s="3" t="str">
        <f>IFERROR(ROUND(INDEX('PROJETO PERFURAÇÃO'!$AB:$AB,MATCH(MEDIÇÃO!D1328,'PROJETO PERFURAÇÃO'!$B:$B,0)),1)&amp;"''","")</f>
        <v/>
      </c>
      <c r="C1328" s="3" t="str">
        <f>IFERROR(IF(INDEX('PROJETO PERFURAÇÃO'!$P:$P,MATCH(MEDIÇÃO!D1328,'PROJETO PERFURAÇÃO'!$B:$B,0))="Production","P",IF(INDEX('PROJETO PERFURAÇÃO'!$P:$P,MATCH(MEDIÇÃO!D1328,'PROJETO PERFURAÇÃO'!$B:$B,0))="Buffer","B",IF(INDEX('PROJETO PERFURAÇÃO'!$P:$P,MATCH(MEDIÇÃO!D1328,'PROJETO PERFURAÇÃO'!$B:$B,0))="Pre-Splitting","S"))),"")</f>
        <v/>
      </c>
      <c r="D1328" s="14">
        <f t="shared" si="126"/>
        <v>2920</v>
      </c>
      <c r="E1328" s="4" t="str">
        <f>IFERROR(INDEX('LEV R&amp;D'!$D:$D,MATCH(MEDIÇÃO!D1328,'LEV R&amp;D'!$A:$A,0))-INDEX('PROJETO PERFURAÇÃO'!$AH:$AH,MATCH(MEDIÇÃO!D1328,'PROJETO PERFURAÇÃO'!$B:$B,0)),"")</f>
        <v/>
      </c>
      <c r="F1328" s="8" t="str">
        <f>IFERROR(INDEX('PROJETO PERFURAÇÃO'!$AN:$AN,MATCH(MEDIÇÃO!D1328,'PROJETO PERFURAÇÃO'!$B:$B,0)),"")</f>
        <v/>
      </c>
      <c r="G1328" s="3"/>
      <c r="H1328" s="3"/>
      <c r="I1328" s="3" t="str">
        <f>IFERROR(ROUND(INDEX('PROJETO PERFURAÇÃO'!$AB:$AB,MATCH(MEDIÇÃO!K1328,'PROJETO PERFURAÇÃO'!$B:$B,0)),1)&amp;"''","")</f>
        <v/>
      </c>
      <c r="J1328" s="3" t="str">
        <f>IFERROR(IF(INDEX('PROJETO PERFURAÇÃO'!$P:$P,MATCH(MEDIÇÃO!K1328,'PROJETO PERFURAÇÃO'!$B:$B,0))="Production","P",IF(INDEX('PROJETO PERFURAÇÃO'!$P:$P,MATCH(MEDIÇÃO!K1328,'PROJETO PERFURAÇÃO'!$B:$B,0))="Buffer","B",IF(INDEX('PROJETO PERFURAÇÃO'!$P:$P,MATCH(MEDIÇÃO!K1328,'PROJETO PERFURAÇÃO'!$B:$B,0))="Pre-Splitting","S"))),"")</f>
        <v/>
      </c>
      <c r="K1328" s="14">
        <f t="shared" si="127"/>
        <v>2943</v>
      </c>
      <c r="L1328" s="4" t="str">
        <f>IFERROR(INDEX('LEV R&amp;D'!$D:$D,MATCH(MEDIÇÃO!K1328,'LEV R&amp;D'!$A:$A,0))-INDEX('PROJETO PERFURAÇÃO'!$AH:$AH,MATCH(MEDIÇÃO!K1328,'PROJETO PERFURAÇÃO'!$B:$B,0)),"")</f>
        <v/>
      </c>
      <c r="M1328" s="8" t="str">
        <f>IFERROR(INDEX('PROJETO PERFURAÇÃO'!$AN:$AN,MATCH(MEDIÇÃO!K1328,'PROJETO PERFURAÇÃO'!$B:$B,0)),"")</f>
        <v/>
      </c>
      <c r="N1328" s="3"/>
      <c r="O1328" s="3"/>
      <c r="P1328" s="3" t="str">
        <f>IFERROR(ROUND(INDEX('PROJETO PERFURAÇÃO'!$AB:$AB,MATCH(MEDIÇÃO!R1328,'PROJETO PERFURAÇÃO'!$B:$B,0)),1)&amp;"''","")</f>
        <v/>
      </c>
      <c r="Q1328" s="3" t="str">
        <f>IFERROR(IF(INDEX('PROJETO PERFURAÇÃO'!$P:$P,MATCH(MEDIÇÃO!R1328,'PROJETO PERFURAÇÃO'!$B:$B,0))="Production","P",IF(INDEX('PROJETO PERFURAÇÃO'!$P:$P,MATCH(MEDIÇÃO!R1328,'PROJETO PERFURAÇÃO'!$B:$B,0))="Buffer","B",IF(INDEX('PROJETO PERFURAÇÃO'!$P:$P,MATCH(MEDIÇÃO!R1328,'PROJETO PERFURAÇÃO'!$B:$B,0))="Pre-Splitting","S"))),"")</f>
        <v/>
      </c>
      <c r="R1328" s="14">
        <f t="shared" si="128"/>
        <v>2966</v>
      </c>
      <c r="S1328" s="4" t="str">
        <f>IFERROR(INDEX('LEV R&amp;D'!$D:$D,MATCH(MEDIÇÃO!R1328,'LEV R&amp;D'!$A:$A,0))-INDEX('PROJETO PERFURAÇÃO'!$AH:$AH,MATCH(MEDIÇÃO!R1328,'PROJETO PERFURAÇÃO'!$B:$B,0)),"")</f>
        <v/>
      </c>
      <c r="T1328" s="8" t="str">
        <f>IFERROR(INDEX('PROJETO PERFURAÇÃO'!$AN:$AN,MATCH(MEDIÇÃO!R1328,'PROJETO PERFURAÇÃO'!$B:$B,0)),"")</f>
        <v/>
      </c>
      <c r="U1328" s="3"/>
      <c r="V1328" s="3"/>
    </row>
    <row r="1329" spans="1:23" ht="45" customHeight="1">
      <c r="B1329" s="3" t="str">
        <f>IFERROR(ROUND(INDEX('PROJETO PERFURAÇÃO'!$AB:$AB,MATCH(MEDIÇÃO!D1329,'PROJETO PERFURAÇÃO'!$B:$B,0)),1)&amp;"''","")</f>
        <v/>
      </c>
      <c r="C1329" s="3" t="str">
        <f>IFERROR(IF(INDEX('PROJETO PERFURAÇÃO'!$P:$P,MATCH(MEDIÇÃO!D1329,'PROJETO PERFURAÇÃO'!$B:$B,0))="Production","P",IF(INDEX('PROJETO PERFURAÇÃO'!$P:$P,MATCH(MEDIÇÃO!D1329,'PROJETO PERFURAÇÃO'!$B:$B,0))="Buffer","B",IF(INDEX('PROJETO PERFURAÇÃO'!$P:$P,MATCH(MEDIÇÃO!D1329,'PROJETO PERFURAÇÃO'!$B:$B,0))="Pre-Splitting","S"))),"")</f>
        <v/>
      </c>
      <c r="D1329" s="14">
        <f t="shared" si="126"/>
        <v>2921</v>
      </c>
      <c r="E1329" s="4" t="str">
        <f>IFERROR(INDEX('LEV R&amp;D'!$D:$D,MATCH(MEDIÇÃO!D1329,'LEV R&amp;D'!$A:$A,0))-INDEX('PROJETO PERFURAÇÃO'!$AH:$AH,MATCH(MEDIÇÃO!D1329,'PROJETO PERFURAÇÃO'!$B:$B,0)),"")</f>
        <v/>
      </c>
      <c r="F1329" s="8" t="str">
        <f>IFERROR(INDEX('PROJETO PERFURAÇÃO'!$AN:$AN,MATCH(MEDIÇÃO!D1329,'PROJETO PERFURAÇÃO'!$B:$B,0)),"")</f>
        <v/>
      </c>
      <c r="G1329" s="3"/>
      <c r="H1329" s="3"/>
      <c r="I1329" s="3" t="str">
        <f>IFERROR(ROUND(INDEX('PROJETO PERFURAÇÃO'!$AB:$AB,MATCH(MEDIÇÃO!K1329,'PROJETO PERFURAÇÃO'!$B:$B,0)),1)&amp;"''","")</f>
        <v/>
      </c>
      <c r="J1329" s="3" t="str">
        <f>IFERROR(IF(INDEX('PROJETO PERFURAÇÃO'!$P:$P,MATCH(MEDIÇÃO!K1329,'PROJETO PERFURAÇÃO'!$B:$B,0))="Production","P",IF(INDEX('PROJETO PERFURAÇÃO'!$P:$P,MATCH(MEDIÇÃO!K1329,'PROJETO PERFURAÇÃO'!$B:$B,0))="Buffer","B",IF(INDEX('PROJETO PERFURAÇÃO'!$P:$P,MATCH(MEDIÇÃO!K1329,'PROJETO PERFURAÇÃO'!$B:$B,0))="Pre-Splitting","S"))),"")</f>
        <v/>
      </c>
      <c r="K1329" s="14">
        <f>K1328+1</f>
        <v>2944</v>
      </c>
      <c r="L1329" s="4" t="str">
        <f>IFERROR(INDEX('LEV R&amp;D'!$D:$D,MATCH(MEDIÇÃO!K1329,'LEV R&amp;D'!$A:$A,0))-INDEX('PROJETO PERFURAÇÃO'!$AH:$AH,MATCH(MEDIÇÃO!K1329,'PROJETO PERFURAÇÃO'!$B:$B,0)),"")</f>
        <v/>
      </c>
      <c r="M1329" s="8" t="str">
        <f>IFERROR(INDEX('PROJETO PERFURAÇÃO'!$AN:$AN,MATCH(MEDIÇÃO!K1329,'PROJETO PERFURAÇÃO'!$B:$B,0)),"")</f>
        <v/>
      </c>
      <c r="N1329" s="3"/>
      <c r="O1329" s="3"/>
      <c r="P1329" s="3" t="str">
        <f>IFERROR(ROUND(INDEX('PROJETO PERFURAÇÃO'!$AB:$AB,MATCH(MEDIÇÃO!R1329,'PROJETO PERFURAÇÃO'!$B:$B,0)),1)&amp;"''","")</f>
        <v/>
      </c>
      <c r="Q1329" s="3" t="str">
        <f>IFERROR(IF(INDEX('PROJETO PERFURAÇÃO'!$P:$P,MATCH(MEDIÇÃO!R1329,'PROJETO PERFURAÇÃO'!$B:$B,0))="Production","P",IF(INDEX('PROJETO PERFURAÇÃO'!$P:$P,MATCH(MEDIÇÃO!R1329,'PROJETO PERFURAÇÃO'!$B:$B,0))="Buffer","B",IF(INDEX('PROJETO PERFURAÇÃO'!$P:$P,MATCH(MEDIÇÃO!R1329,'PROJETO PERFURAÇÃO'!$B:$B,0))="Pre-Splitting","S"))),"")</f>
        <v/>
      </c>
      <c r="R1329" s="14">
        <f>R1328+1</f>
        <v>2967</v>
      </c>
      <c r="S1329" s="4" t="str">
        <f>IFERROR(INDEX('LEV R&amp;D'!$D:$D,MATCH(MEDIÇÃO!R1329,'LEV R&amp;D'!$A:$A,0))-INDEX('PROJETO PERFURAÇÃO'!$AH:$AH,MATCH(MEDIÇÃO!R1329,'PROJETO PERFURAÇÃO'!$B:$B,0)),"")</f>
        <v/>
      </c>
      <c r="T1329" s="8" t="str">
        <f>IFERROR(INDEX('PROJETO PERFURAÇÃO'!$AN:$AN,MATCH(MEDIÇÃO!R1329,'PROJETO PERFURAÇÃO'!$B:$B,0)),"")</f>
        <v/>
      </c>
      <c r="U1329" s="3"/>
      <c r="V1329" s="3"/>
    </row>
    <row r="1330" spans="1:23" ht="30" customHeight="1">
      <c r="B1330" s="1"/>
      <c r="C1330" s="1"/>
      <c r="D1330" s="15"/>
      <c r="E1330" s="2"/>
      <c r="F1330" s="16"/>
      <c r="G1330" s="1"/>
      <c r="H1330" s="1"/>
      <c r="I1330" s="1"/>
      <c r="J1330" s="1"/>
      <c r="K1330" s="15"/>
      <c r="L1330" s="2"/>
      <c r="M1330" s="16"/>
      <c r="N1330" s="1"/>
      <c r="O1330" s="1"/>
      <c r="P1330" s="1"/>
      <c r="Q1330" s="1"/>
      <c r="R1330" s="15"/>
      <c r="S1330" s="2"/>
      <c r="T1330" s="16"/>
      <c r="U1330" s="1"/>
      <c r="V1330" s="1"/>
    </row>
    <row r="1331" spans="1:23" ht="30" customHeight="1">
      <c r="C1331" s="20"/>
      <c r="D1331" s="20"/>
      <c r="E1331" s="20"/>
      <c r="F1331" s="20"/>
      <c r="G1331" s="20"/>
      <c r="H1331" s="20"/>
      <c r="I1331" s="20"/>
      <c r="J1331" s="20"/>
      <c r="K1331" s="20"/>
      <c r="M1331" s="20"/>
      <c r="N1331" s="20"/>
      <c r="O1331" s="20"/>
      <c r="P1331" s="20"/>
      <c r="Q1331" s="20"/>
      <c r="R1331" s="20"/>
      <c r="S1331" s="20"/>
      <c r="T1331" s="20"/>
      <c r="U1331" s="20"/>
    </row>
    <row r="1332" spans="1:23" ht="30" customHeight="1">
      <c r="C1332" s="21" t="s">
        <v>40</v>
      </c>
      <c r="D1332" s="21"/>
      <c r="E1332" s="21"/>
      <c r="F1332" s="21"/>
      <c r="G1332" s="21"/>
      <c r="H1332" s="21"/>
      <c r="I1332" s="21"/>
      <c r="J1332" s="21"/>
      <c r="K1332" s="21"/>
      <c r="L1332" s="9"/>
      <c r="M1332" s="21" t="s">
        <v>40</v>
      </c>
      <c r="N1332" s="21"/>
      <c r="O1332" s="21"/>
      <c r="P1332" s="21"/>
      <c r="Q1332" s="21"/>
      <c r="R1332" s="21"/>
      <c r="S1332" s="21"/>
      <c r="T1332" s="21"/>
      <c r="U1332" s="21"/>
      <c r="V1332" s="9"/>
    </row>
    <row r="1333" spans="1:23" ht="30" customHeight="1">
      <c r="D1333" s="9"/>
      <c r="E1333" s="9"/>
      <c r="F1333" s="9"/>
      <c r="G1333" s="9"/>
      <c r="H1333" s="9"/>
      <c r="I1333" s="9"/>
      <c r="J1333" s="9"/>
      <c r="K1333" s="9"/>
      <c r="L1333" s="9"/>
      <c r="M1333" s="9"/>
      <c r="N1333" s="9"/>
      <c r="Q1333" s="9"/>
      <c r="R1333" s="9"/>
      <c r="S1333" s="9"/>
      <c r="T1333" s="9"/>
      <c r="U1333" s="9"/>
      <c r="V1333" s="9"/>
    </row>
    <row r="1334" spans="1:23" ht="30" customHeight="1">
      <c r="B1334" s="19" t="str">
        <f>'PROJETO PERFURAÇÃO'!$C$2&amp;" - "&amp;'PROJETO PERFURAÇÃO'!$H$2</f>
        <v>LIB037 - PP0370626</v>
      </c>
      <c r="C1334" s="19"/>
      <c r="D1334" s="19"/>
      <c r="E1334" s="19"/>
      <c r="F1334" s="19"/>
      <c r="G1334" s="19"/>
      <c r="H1334" s="19"/>
      <c r="I1334" s="11" t="s">
        <v>34</v>
      </c>
      <c r="J1334" s="10" t="s">
        <v>37</v>
      </c>
    </row>
    <row r="1335" spans="1:23" ht="30" customHeight="1">
      <c r="B1335" s="19"/>
      <c r="C1335" s="19"/>
      <c r="D1335" s="19"/>
      <c r="E1335" s="19"/>
      <c r="F1335" s="19"/>
      <c r="G1335" s="19"/>
      <c r="H1335" s="19"/>
      <c r="I1335" s="12" t="s">
        <v>35</v>
      </c>
      <c r="J1335" s="10" t="s">
        <v>38</v>
      </c>
      <c r="K1335" s="9"/>
      <c r="L1335" s="9"/>
      <c r="M1335" s="9"/>
      <c r="N1335" s="9"/>
      <c r="O1335" s="9"/>
      <c r="P1335" s="9"/>
      <c r="Q1335" s="9"/>
      <c r="R1335" s="9"/>
      <c r="S1335" s="9"/>
      <c r="T1335" s="9"/>
      <c r="U1335" s="9"/>
      <c r="V1335" s="9"/>
    </row>
    <row r="1336" spans="1:23" ht="30" customHeight="1">
      <c r="B1336" s="19"/>
      <c r="C1336" s="19"/>
      <c r="D1336" s="19"/>
      <c r="E1336" s="19"/>
      <c r="F1336" s="19"/>
      <c r="G1336" s="19"/>
      <c r="H1336" s="19"/>
      <c r="I1336" s="13" t="s">
        <v>36</v>
      </c>
      <c r="J1336" s="10" t="s">
        <v>39</v>
      </c>
    </row>
    <row r="1337" spans="1:23" ht="30" customHeight="1">
      <c r="A1337" s="1"/>
      <c r="B1337" s="6" t="s">
        <v>33</v>
      </c>
      <c r="C1337" s="6" t="s">
        <v>13</v>
      </c>
      <c r="D1337" s="7" t="s">
        <v>1</v>
      </c>
      <c r="E1337" s="7" t="s">
        <v>29</v>
      </c>
      <c r="F1337" s="7" t="s">
        <v>30</v>
      </c>
      <c r="G1337" s="7" t="s">
        <v>31</v>
      </c>
      <c r="H1337" s="7" t="s">
        <v>32</v>
      </c>
      <c r="I1337" s="6" t="s">
        <v>33</v>
      </c>
      <c r="J1337" s="6" t="s">
        <v>13</v>
      </c>
      <c r="K1337" s="7" t="s">
        <v>1</v>
      </c>
      <c r="L1337" s="7" t="s">
        <v>29</v>
      </c>
      <c r="M1337" s="7" t="s">
        <v>30</v>
      </c>
      <c r="N1337" s="7" t="s">
        <v>31</v>
      </c>
      <c r="O1337" s="7" t="s">
        <v>32</v>
      </c>
      <c r="P1337" s="6" t="s">
        <v>33</v>
      </c>
      <c r="Q1337" s="6" t="s">
        <v>13</v>
      </c>
      <c r="R1337" s="7" t="s">
        <v>1</v>
      </c>
      <c r="S1337" s="7" t="s">
        <v>29</v>
      </c>
      <c r="T1337" s="7" t="s">
        <v>30</v>
      </c>
      <c r="U1337" s="7" t="s">
        <v>31</v>
      </c>
      <c r="V1337" s="7" t="s">
        <v>32</v>
      </c>
      <c r="W1337" s="1"/>
    </row>
    <row r="1338" spans="1:23" ht="45" customHeight="1">
      <c r="B1338" s="3" t="str">
        <f>IFERROR(ROUND(INDEX('PROJETO PERFURAÇÃO'!$AB:$AB,MATCH(MEDIÇÃO!D1338,'PROJETO PERFURAÇÃO'!$B:$B,0)),1)&amp;"''","")</f>
        <v/>
      </c>
      <c r="C1338" s="3" t="str">
        <f>IFERROR(IF(INDEX('PROJETO PERFURAÇÃO'!$P:$P,MATCH(MEDIÇÃO!D1338,'PROJETO PERFURAÇÃO'!$B:$B,0))="Production","P",IF(INDEX('PROJETO PERFURAÇÃO'!$P:$P,MATCH(MEDIÇÃO!D1338,'PROJETO PERFURAÇÃO'!$B:$B,0))="Buffer","B",IF(INDEX('PROJETO PERFURAÇÃO'!$P:$P,MATCH(MEDIÇÃO!D1338,'PROJETO PERFURAÇÃO'!$B:$B,0))="Pre-Splitting","S"))),"")</f>
        <v/>
      </c>
      <c r="D1338" s="14">
        <f>R1329+1</f>
        <v>2968</v>
      </c>
      <c r="E1338" s="4" t="str">
        <f>IFERROR(INDEX('LEV R&amp;D'!$D:$D,MATCH(MEDIÇÃO!D1338,'LEV R&amp;D'!$A:$A,0))-INDEX('PROJETO PERFURAÇÃO'!$AH:$AH,MATCH(MEDIÇÃO!D1338,'PROJETO PERFURAÇÃO'!$B:$B,0)),"")</f>
        <v/>
      </c>
      <c r="F1338" s="8" t="str">
        <f>IFERROR(INDEX('PROJETO PERFURAÇÃO'!$AN:$AN,MATCH(MEDIÇÃO!D1338,'PROJETO PERFURAÇÃO'!$B:$B,0)),"")</f>
        <v/>
      </c>
      <c r="G1338" s="3"/>
      <c r="H1338" s="3"/>
      <c r="I1338" s="3" t="str">
        <f>IFERROR(ROUND(INDEX('PROJETO PERFURAÇÃO'!$AB:$AB,MATCH(MEDIÇÃO!K1338,'PROJETO PERFURAÇÃO'!$B:$B,0)),1)&amp;"''","")</f>
        <v/>
      </c>
      <c r="J1338" s="3" t="str">
        <f>IFERROR(IF(INDEX('PROJETO PERFURAÇÃO'!$P:$P,MATCH(MEDIÇÃO!K1338,'PROJETO PERFURAÇÃO'!$B:$B,0))="Production","P",IF(INDEX('PROJETO PERFURAÇÃO'!$P:$P,MATCH(MEDIÇÃO!K1338,'PROJETO PERFURAÇÃO'!$B:$B,0))="Buffer","B",IF(INDEX('PROJETO PERFURAÇÃO'!$P:$P,MATCH(MEDIÇÃO!K1338,'PROJETO PERFURAÇÃO'!$B:$B,0))="Pre-Splitting","S"))),"")</f>
        <v/>
      </c>
      <c r="K1338" s="14">
        <f>D1360+1</f>
        <v>2991</v>
      </c>
      <c r="L1338" s="4" t="str">
        <f>IFERROR(INDEX('LEV R&amp;D'!$D:$D,MATCH(MEDIÇÃO!K1338,'LEV R&amp;D'!$A:$A,0))-INDEX('PROJETO PERFURAÇÃO'!$AH:$AH,MATCH(MEDIÇÃO!K1338,'PROJETO PERFURAÇÃO'!$B:$B,0)),"")</f>
        <v/>
      </c>
      <c r="M1338" s="8" t="str">
        <f>IFERROR(INDEX('PROJETO PERFURAÇÃO'!$AN:$AN,MATCH(MEDIÇÃO!K1338,'PROJETO PERFURAÇÃO'!$B:$B,0)),"")</f>
        <v/>
      </c>
      <c r="N1338" s="3"/>
      <c r="O1338" s="3"/>
      <c r="P1338" s="3" t="str">
        <f>IFERROR(ROUND(INDEX('PROJETO PERFURAÇÃO'!$AB:$AB,MATCH(MEDIÇÃO!R1338,'PROJETO PERFURAÇÃO'!$B:$B,0)),1)&amp;"''","")</f>
        <v/>
      </c>
      <c r="Q1338" s="3" t="str">
        <f>IFERROR(IF(INDEX('PROJETO PERFURAÇÃO'!$P:$P,MATCH(MEDIÇÃO!R1338,'PROJETO PERFURAÇÃO'!$B:$B,0))="Production","P",IF(INDEX('PROJETO PERFURAÇÃO'!$P:$P,MATCH(MEDIÇÃO!R1338,'PROJETO PERFURAÇÃO'!$B:$B,0))="Buffer","B",IF(INDEX('PROJETO PERFURAÇÃO'!$P:$P,MATCH(MEDIÇÃO!R1338,'PROJETO PERFURAÇÃO'!$B:$B,0))="Pre-Splitting","S"))),"")</f>
        <v/>
      </c>
      <c r="R1338" s="14">
        <f>K1360+1</f>
        <v>3014</v>
      </c>
      <c r="S1338" s="4" t="str">
        <f>IFERROR(INDEX('LEV R&amp;D'!$D:$D,MATCH(MEDIÇÃO!R1338,'LEV R&amp;D'!$A:$A,0))-INDEX('PROJETO PERFURAÇÃO'!$AH:$AH,MATCH(MEDIÇÃO!R1338,'PROJETO PERFURAÇÃO'!$B:$B,0)),"")</f>
        <v/>
      </c>
      <c r="T1338" s="8" t="str">
        <f>IFERROR(INDEX('PROJETO PERFURAÇÃO'!$AN:$AN,MATCH(MEDIÇÃO!R1338,'PROJETO PERFURAÇÃO'!$B:$B,0)),"")</f>
        <v/>
      </c>
      <c r="U1338" s="3"/>
      <c r="V1338" s="3"/>
    </row>
    <row r="1339" spans="1:23" ht="45" customHeight="1">
      <c r="B1339" s="3" t="str">
        <f>IFERROR(ROUND(INDEX('PROJETO PERFURAÇÃO'!$AB:$AB,MATCH(MEDIÇÃO!D1339,'PROJETO PERFURAÇÃO'!$B:$B,0)),1)&amp;"''","")</f>
        <v/>
      </c>
      <c r="C1339" s="3" t="str">
        <f>IFERROR(IF(INDEX('PROJETO PERFURAÇÃO'!$P:$P,MATCH(MEDIÇÃO!D1339,'PROJETO PERFURAÇÃO'!$B:$B,0))="Production","P",IF(INDEX('PROJETO PERFURAÇÃO'!$P:$P,MATCH(MEDIÇÃO!D1339,'PROJETO PERFURAÇÃO'!$B:$B,0))="Buffer","B",IF(INDEX('PROJETO PERFURAÇÃO'!$P:$P,MATCH(MEDIÇÃO!D1339,'PROJETO PERFURAÇÃO'!$B:$B,0))="Pre-Splitting","S"))),"")</f>
        <v/>
      </c>
      <c r="D1339" s="14">
        <f>D1338+1</f>
        <v>2969</v>
      </c>
      <c r="E1339" s="4" t="str">
        <f>IFERROR(INDEX('LEV R&amp;D'!$D:$D,MATCH(MEDIÇÃO!D1339,'LEV R&amp;D'!$A:$A,0))-INDEX('PROJETO PERFURAÇÃO'!$AH:$AH,MATCH(MEDIÇÃO!D1339,'PROJETO PERFURAÇÃO'!$B:$B,0)),"")</f>
        <v/>
      </c>
      <c r="F1339" s="8" t="str">
        <f>IFERROR(INDEX('PROJETO PERFURAÇÃO'!$AN:$AN,MATCH(MEDIÇÃO!D1339,'PROJETO PERFURAÇÃO'!$B:$B,0)),"")</f>
        <v/>
      </c>
      <c r="G1339" s="3"/>
      <c r="H1339" s="3"/>
      <c r="I1339" s="3" t="str">
        <f>IFERROR(ROUND(INDEX('PROJETO PERFURAÇÃO'!$AB:$AB,MATCH(MEDIÇÃO!K1339,'PROJETO PERFURAÇÃO'!$B:$B,0)),1)&amp;"''","")</f>
        <v/>
      </c>
      <c r="J1339" s="3" t="str">
        <f>IFERROR(IF(INDEX('PROJETO PERFURAÇÃO'!$P:$P,MATCH(MEDIÇÃO!K1339,'PROJETO PERFURAÇÃO'!$B:$B,0))="Production","P",IF(INDEX('PROJETO PERFURAÇÃO'!$P:$P,MATCH(MEDIÇÃO!K1339,'PROJETO PERFURAÇÃO'!$B:$B,0))="Buffer","B",IF(INDEX('PROJETO PERFURAÇÃO'!$P:$P,MATCH(MEDIÇÃO!K1339,'PROJETO PERFURAÇÃO'!$B:$B,0))="Pre-Splitting","S"))),"")</f>
        <v/>
      </c>
      <c r="K1339" s="14">
        <f>K1338+1</f>
        <v>2992</v>
      </c>
      <c r="L1339" s="4" t="str">
        <f>IFERROR(INDEX('LEV R&amp;D'!$D:$D,MATCH(MEDIÇÃO!K1339,'LEV R&amp;D'!$A:$A,0))-INDEX('PROJETO PERFURAÇÃO'!$AH:$AH,MATCH(MEDIÇÃO!K1339,'PROJETO PERFURAÇÃO'!$B:$B,0)),"")</f>
        <v/>
      </c>
      <c r="M1339" s="8" t="str">
        <f>IFERROR(INDEX('PROJETO PERFURAÇÃO'!$AN:$AN,MATCH(MEDIÇÃO!K1339,'PROJETO PERFURAÇÃO'!$B:$B,0)),"")</f>
        <v/>
      </c>
      <c r="N1339" s="3"/>
      <c r="O1339" s="3"/>
      <c r="P1339" s="3" t="str">
        <f>IFERROR(ROUND(INDEX('PROJETO PERFURAÇÃO'!$AB:$AB,MATCH(MEDIÇÃO!R1339,'PROJETO PERFURAÇÃO'!$B:$B,0)),1)&amp;"''","")</f>
        <v/>
      </c>
      <c r="Q1339" s="3" t="str">
        <f>IFERROR(IF(INDEX('PROJETO PERFURAÇÃO'!$P:$P,MATCH(MEDIÇÃO!R1339,'PROJETO PERFURAÇÃO'!$B:$B,0))="Production","P",IF(INDEX('PROJETO PERFURAÇÃO'!$P:$P,MATCH(MEDIÇÃO!R1339,'PROJETO PERFURAÇÃO'!$B:$B,0))="Buffer","B",IF(INDEX('PROJETO PERFURAÇÃO'!$P:$P,MATCH(MEDIÇÃO!R1339,'PROJETO PERFURAÇÃO'!$B:$B,0))="Pre-Splitting","S"))),"")</f>
        <v/>
      </c>
      <c r="R1339" s="14">
        <f>R1338+1</f>
        <v>3015</v>
      </c>
      <c r="S1339" s="4" t="str">
        <f>IFERROR(INDEX('LEV R&amp;D'!$D:$D,MATCH(MEDIÇÃO!R1339,'LEV R&amp;D'!$A:$A,0))-INDEX('PROJETO PERFURAÇÃO'!$AH:$AH,MATCH(MEDIÇÃO!R1339,'PROJETO PERFURAÇÃO'!$B:$B,0)),"")</f>
        <v/>
      </c>
      <c r="T1339" s="8" t="str">
        <f>IFERROR(INDEX('PROJETO PERFURAÇÃO'!$AN:$AN,MATCH(MEDIÇÃO!R1339,'PROJETO PERFURAÇÃO'!$B:$B,0)),"")</f>
        <v/>
      </c>
      <c r="U1339" s="3"/>
      <c r="V1339" s="3"/>
    </row>
    <row r="1340" spans="1:23" ht="45" customHeight="1">
      <c r="B1340" s="3" t="str">
        <f>IFERROR(ROUND(INDEX('PROJETO PERFURAÇÃO'!$AB:$AB,MATCH(MEDIÇÃO!D1340,'PROJETO PERFURAÇÃO'!$B:$B,0)),1)&amp;"''","")</f>
        <v/>
      </c>
      <c r="C1340" s="3" t="str">
        <f>IFERROR(IF(INDEX('PROJETO PERFURAÇÃO'!$P:$P,MATCH(MEDIÇÃO!D1340,'PROJETO PERFURAÇÃO'!$B:$B,0))="Production","P",IF(INDEX('PROJETO PERFURAÇÃO'!$P:$P,MATCH(MEDIÇÃO!D1340,'PROJETO PERFURAÇÃO'!$B:$B,0))="Buffer","B",IF(INDEX('PROJETO PERFURAÇÃO'!$P:$P,MATCH(MEDIÇÃO!D1340,'PROJETO PERFURAÇÃO'!$B:$B,0))="Pre-Splitting","S"))),"")</f>
        <v/>
      </c>
      <c r="D1340" s="14">
        <f t="shared" ref="D1340:D1360" si="129">D1339+1</f>
        <v>2970</v>
      </c>
      <c r="E1340" s="4" t="str">
        <f>IFERROR(INDEX('LEV R&amp;D'!$D:$D,MATCH(MEDIÇÃO!D1340,'LEV R&amp;D'!$A:$A,0))-INDEX('PROJETO PERFURAÇÃO'!$AH:$AH,MATCH(MEDIÇÃO!D1340,'PROJETO PERFURAÇÃO'!$B:$B,0)),"")</f>
        <v/>
      </c>
      <c r="F1340" s="8" t="str">
        <f>IFERROR(INDEX('PROJETO PERFURAÇÃO'!$AN:$AN,MATCH(MEDIÇÃO!D1340,'PROJETO PERFURAÇÃO'!$B:$B,0)),"")</f>
        <v/>
      </c>
      <c r="G1340" s="3"/>
      <c r="H1340" s="3"/>
      <c r="I1340" s="3" t="str">
        <f>IFERROR(ROUND(INDEX('PROJETO PERFURAÇÃO'!$AB:$AB,MATCH(MEDIÇÃO!K1340,'PROJETO PERFURAÇÃO'!$B:$B,0)),1)&amp;"''","")</f>
        <v/>
      </c>
      <c r="J1340" s="3" t="str">
        <f>IFERROR(IF(INDEX('PROJETO PERFURAÇÃO'!$P:$P,MATCH(MEDIÇÃO!K1340,'PROJETO PERFURAÇÃO'!$B:$B,0))="Production","P",IF(INDEX('PROJETO PERFURAÇÃO'!$P:$P,MATCH(MEDIÇÃO!K1340,'PROJETO PERFURAÇÃO'!$B:$B,0))="Buffer","B",IF(INDEX('PROJETO PERFURAÇÃO'!$P:$P,MATCH(MEDIÇÃO!K1340,'PROJETO PERFURAÇÃO'!$B:$B,0))="Pre-Splitting","S"))),"")</f>
        <v/>
      </c>
      <c r="K1340" s="14">
        <f t="shared" ref="K1340:K1359" si="130">K1339+1</f>
        <v>2993</v>
      </c>
      <c r="L1340" s="4" t="str">
        <f>IFERROR(INDEX('LEV R&amp;D'!$D:$D,MATCH(MEDIÇÃO!K1340,'LEV R&amp;D'!$A:$A,0))-INDEX('PROJETO PERFURAÇÃO'!$AH:$AH,MATCH(MEDIÇÃO!K1340,'PROJETO PERFURAÇÃO'!$B:$B,0)),"")</f>
        <v/>
      </c>
      <c r="M1340" s="8" t="str">
        <f>IFERROR(INDEX('PROJETO PERFURAÇÃO'!$AN:$AN,MATCH(MEDIÇÃO!K1340,'PROJETO PERFURAÇÃO'!$B:$B,0)),"")</f>
        <v/>
      </c>
      <c r="N1340" s="3"/>
      <c r="O1340" s="3"/>
      <c r="P1340" s="3" t="str">
        <f>IFERROR(ROUND(INDEX('PROJETO PERFURAÇÃO'!$AB:$AB,MATCH(MEDIÇÃO!R1340,'PROJETO PERFURAÇÃO'!$B:$B,0)),1)&amp;"''","")</f>
        <v/>
      </c>
      <c r="Q1340" s="3" t="str">
        <f>IFERROR(IF(INDEX('PROJETO PERFURAÇÃO'!$P:$P,MATCH(MEDIÇÃO!R1340,'PROJETO PERFURAÇÃO'!$B:$B,0))="Production","P",IF(INDEX('PROJETO PERFURAÇÃO'!$P:$P,MATCH(MEDIÇÃO!R1340,'PROJETO PERFURAÇÃO'!$B:$B,0))="Buffer","B",IF(INDEX('PROJETO PERFURAÇÃO'!$P:$P,MATCH(MEDIÇÃO!R1340,'PROJETO PERFURAÇÃO'!$B:$B,0))="Pre-Splitting","S"))),"")</f>
        <v/>
      </c>
      <c r="R1340" s="14">
        <f t="shared" ref="R1340:R1359" si="131">R1339+1</f>
        <v>3016</v>
      </c>
      <c r="S1340" s="4" t="str">
        <f>IFERROR(INDEX('LEV R&amp;D'!$D:$D,MATCH(MEDIÇÃO!R1340,'LEV R&amp;D'!$A:$A,0))-INDEX('PROJETO PERFURAÇÃO'!$AH:$AH,MATCH(MEDIÇÃO!R1340,'PROJETO PERFURAÇÃO'!$B:$B,0)),"")</f>
        <v/>
      </c>
      <c r="T1340" s="8" t="str">
        <f>IFERROR(INDEX('PROJETO PERFURAÇÃO'!$AN:$AN,MATCH(MEDIÇÃO!R1340,'PROJETO PERFURAÇÃO'!$B:$B,0)),"")</f>
        <v/>
      </c>
      <c r="U1340" s="3"/>
      <c r="V1340" s="3"/>
    </row>
    <row r="1341" spans="1:23" ht="45" customHeight="1">
      <c r="B1341" s="3" t="str">
        <f>IFERROR(ROUND(INDEX('PROJETO PERFURAÇÃO'!$AB:$AB,MATCH(MEDIÇÃO!D1341,'PROJETO PERFURAÇÃO'!$B:$B,0)),1)&amp;"''","")</f>
        <v/>
      </c>
      <c r="C1341" s="3" t="str">
        <f>IFERROR(IF(INDEX('PROJETO PERFURAÇÃO'!$P:$P,MATCH(MEDIÇÃO!D1341,'PROJETO PERFURAÇÃO'!$B:$B,0))="Production","P",IF(INDEX('PROJETO PERFURAÇÃO'!$P:$P,MATCH(MEDIÇÃO!D1341,'PROJETO PERFURAÇÃO'!$B:$B,0))="Buffer","B",IF(INDEX('PROJETO PERFURAÇÃO'!$P:$P,MATCH(MEDIÇÃO!D1341,'PROJETO PERFURAÇÃO'!$B:$B,0))="Pre-Splitting","S"))),"")</f>
        <v/>
      </c>
      <c r="D1341" s="14">
        <f t="shared" si="129"/>
        <v>2971</v>
      </c>
      <c r="E1341" s="4" t="str">
        <f>IFERROR(INDEX('LEV R&amp;D'!$D:$D,MATCH(MEDIÇÃO!D1341,'LEV R&amp;D'!$A:$A,0))-INDEX('PROJETO PERFURAÇÃO'!$AH:$AH,MATCH(MEDIÇÃO!D1341,'PROJETO PERFURAÇÃO'!$B:$B,0)),"")</f>
        <v/>
      </c>
      <c r="F1341" s="8" t="str">
        <f>IFERROR(INDEX('PROJETO PERFURAÇÃO'!$AN:$AN,MATCH(MEDIÇÃO!D1341,'PROJETO PERFURAÇÃO'!$B:$B,0)),"")</f>
        <v/>
      </c>
      <c r="G1341" s="3"/>
      <c r="H1341" s="3"/>
      <c r="I1341" s="3" t="str">
        <f>IFERROR(ROUND(INDEX('PROJETO PERFURAÇÃO'!$AB:$AB,MATCH(MEDIÇÃO!K1341,'PROJETO PERFURAÇÃO'!$B:$B,0)),1)&amp;"''","")</f>
        <v/>
      </c>
      <c r="J1341" s="3" t="str">
        <f>IFERROR(IF(INDEX('PROJETO PERFURAÇÃO'!$P:$P,MATCH(MEDIÇÃO!K1341,'PROJETO PERFURAÇÃO'!$B:$B,0))="Production","P",IF(INDEX('PROJETO PERFURAÇÃO'!$P:$P,MATCH(MEDIÇÃO!K1341,'PROJETO PERFURAÇÃO'!$B:$B,0))="Buffer","B",IF(INDEX('PROJETO PERFURAÇÃO'!$P:$P,MATCH(MEDIÇÃO!K1341,'PROJETO PERFURAÇÃO'!$B:$B,0))="Pre-Splitting","S"))),"")</f>
        <v/>
      </c>
      <c r="K1341" s="14">
        <f t="shared" si="130"/>
        <v>2994</v>
      </c>
      <c r="L1341" s="4" t="str">
        <f>IFERROR(INDEX('LEV R&amp;D'!$D:$D,MATCH(MEDIÇÃO!K1341,'LEV R&amp;D'!$A:$A,0))-INDEX('PROJETO PERFURAÇÃO'!$AH:$AH,MATCH(MEDIÇÃO!K1341,'PROJETO PERFURAÇÃO'!$B:$B,0)),"")</f>
        <v/>
      </c>
      <c r="M1341" s="8" t="str">
        <f>IFERROR(INDEX('PROJETO PERFURAÇÃO'!$AN:$AN,MATCH(MEDIÇÃO!K1341,'PROJETO PERFURAÇÃO'!$B:$B,0)),"")</f>
        <v/>
      </c>
      <c r="N1341" s="3"/>
      <c r="O1341" s="3"/>
      <c r="P1341" s="3" t="str">
        <f>IFERROR(ROUND(INDEX('PROJETO PERFURAÇÃO'!$AB:$AB,MATCH(MEDIÇÃO!R1341,'PROJETO PERFURAÇÃO'!$B:$B,0)),1)&amp;"''","")</f>
        <v/>
      </c>
      <c r="Q1341" s="3" t="str">
        <f>IFERROR(IF(INDEX('PROJETO PERFURAÇÃO'!$P:$P,MATCH(MEDIÇÃO!R1341,'PROJETO PERFURAÇÃO'!$B:$B,0))="Production","P",IF(INDEX('PROJETO PERFURAÇÃO'!$P:$P,MATCH(MEDIÇÃO!R1341,'PROJETO PERFURAÇÃO'!$B:$B,0))="Buffer","B",IF(INDEX('PROJETO PERFURAÇÃO'!$P:$P,MATCH(MEDIÇÃO!R1341,'PROJETO PERFURAÇÃO'!$B:$B,0))="Pre-Splitting","S"))),"")</f>
        <v/>
      </c>
      <c r="R1341" s="14">
        <f t="shared" si="131"/>
        <v>3017</v>
      </c>
      <c r="S1341" s="4" t="str">
        <f>IFERROR(INDEX('LEV R&amp;D'!$D:$D,MATCH(MEDIÇÃO!R1341,'LEV R&amp;D'!$A:$A,0))-INDEX('PROJETO PERFURAÇÃO'!$AH:$AH,MATCH(MEDIÇÃO!R1341,'PROJETO PERFURAÇÃO'!$B:$B,0)),"")</f>
        <v/>
      </c>
      <c r="T1341" s="8" t="str">
        <f>IFERROR(INDEX('PROJETO PERFURAÇÃO'!$AN:$AN,MATCH(MEDIÇÃO!R1341,'PROJETO PERFURAÇÃO'!$B:$B,0)),"")</f>
        <v/>
      </c>
      <c r="U1341" s="3"/>
      <c r="V1341" s="3"/>
    </row>
    <row r="1342" spans="1:23" ht="45" customHeight="1">
      <c r="B1342" s="3" t="str">
        <f>IFERROR(ROUND(INDEX('PROJETO PERFURAÇÃO'!$AB:$AB,MATCH(MEDIÇÃO!D1342,'PROJETO PERFURAÇÃO'!$B:$B,0)),1)&amp;"''","")</f>
        <v/>
      </c>
      <c r="C1342" s="3" t="str">
        <f>IFERROR(IF(INDEX('PROJETO PERFURAÇÃO'!$P:$P,MATCH(MEDIÇÃO!D1342,'PROJETO PERFURAÇÃO'!$B:$B,0))="Production","P",IF(INDEX('PROJETO PERFURAÇÃO'!$P:$P,MATCH(MEDIÇÃO!D1342,'PROJETO PERFURAÇÃO'!$B:$B,0))="Buffer","B",IF(INDEX('PROJETO PERFURAÇÃO'!$P:$P,MATCH(MEDIÇÃO!D1342,'PROJETO PERFURAÇÃO'!$B:$B,0))="Pre-Splitting","S"))),"")</f>
        <v/>
      </c>
      <c r="D1342" s="14">
        <f t="shared" si="129"/>
        <v>2972</v>
      </c>
      <c r="E1342" s="4" t="str">
        <f>IFERROR(INDEX('LEV R&amp;D'!$D:$D,MATCH(MEDIÇÃO!D1342,'LEV R&amp;D'!$A:$A,0))-INDEX('PROJETO PERFURAÇÃO'!$AH:$AH,MATCH(MEDIÇÃO!D1342,'PROJETO PERFURAÇÃO'!$B:$B,0)),"")</f>
        <v/>
      </c>
      <c r="F1342" s="8" t="str">
        <f>IFERROR(INDEX('PROJETO PERFURAÇÃO'!$AN:$AN,MATCH(MEDIÇÃO!D1342,'PROJETO PERFURAÇÃO'!$B:$B,0)),"")</f>
        <v/>
      </c>
      <c r="G1342" s="3"/>
      <c r="H1342" s="3"/>
      <c r="I1342" s="3" t="str">
        <f>IFERROR(ROUND(INDEX('PROJETO PERFURAÇÃO'!$AB:$AB,MATCH(MEDIÇÃO!K1342,'PROJETO PERFURAÇÃO'!$B:$B,0)),1)&amp;"''","")</f>
        <v/>
      </c>
      <c r="J1342" s="3" t="str">
        <f>IFERROR(IF(INDEX('PROJETO PERFURAÇÃO'!$P:$P,MATCH(MEDIÇÃO!K1342,'PROJETO PERFURAÇÃO'!$B:$B,0))="Production","P",IF(INDEX('PROJETO PERFURAÇÃO'!$P:$P,MATCH(MEDIÇÃO!K1342,'PROJETO PERFURAÇÃO'!$B:$B,0))="Buffer","B",IF(INDEX('PROJETO PERFURAÇÃO'!$P:$P,MATCH(MEDIÇÃO!K1342,'PROJETO PERFURAÇÃO'!$B:$B,0))="Pre-Splitting","S"))),"")</f>
        <v/>
      </c>
      <c r="K1342" s="14">
        <f t="shared" si="130"/>
        <v>2995</v>
      </c>
      <c r="L1342" s="4" t="str">
        <f>IFERROR(INDEX('LEV R&amp;D'!$D:$D,MATCH(MEDIÇÃO!K1342,'LEV R&amp;D'!$A:$A,0))-INDEX('PROJETO PERFURAÇÃO'!$AH:$AH,MATCH(MEDIÇÃO!K1342,'PROJETO PERFURAÇÃO'!$B:$B,0)),"")</f>
        <v/>
      </c>
      <c r="M1342" s="8" t="str">
        <f>IFERROR(INDEX('PROJETO PERFURAÇÃO'!$AN:$AN,MATCH(MEDIÇÃO!K1342,'PROJETO PERFURAÇÃO'!$B:$B,0)),"")</f>
        <v/>
      </c>
      <c r="N1342" s="3"/>
      <c r="O1342" s="3"/>
      <c r="P1342" s="3" t="str">
        <f>IFERROR(ROUND(INDEX('PROJETO PERFURAÇÃO'!$AB:$AB,MATCH(MEDIÇÃO!R1342,'PROJETO PERFURAÇÃO'!$B:$B,0)),1)&amp;"''","")</f>
        <v/>
      </c>
      <c r="Q1342" s="3" t="str">
        <f>IFERROR(IF(INDEX('PROJETO PERFURAÇÃO'!$P:$P,MATCH(MEDIÇÃO!R1342,'PROJETO PERFURAÇÃO'!$B:$B,0))="Production","P",IF(INDEX('PROJETO PERFURAÇÃO'!$P:$P,MATCH(MEDIÇÃO!R1342,'PROJETO PERFURAÇÃO'!$B:$B,0))="Buffer","B",IF(INDEX('PROJETO PERFURAÇÃO'!$P:$P,MATCH(MEDIÇÃO!R1342,'PROJETO PERFURAÇÃO'!$B:$B,0))="Pre-Splitting","S"))),"")</f>
        <v/>
      </c>
      <c r="R1342" s="14">
        <f t="shared" si="131"/>
        <v>3018</v>
      </c>
      <c r="S1342" s="4" t="str">
        <f>IFERROR(INDEX('LEV R&amp;D'!$D:$D,MATCH(MEDIÇÃO!R1342,'LEV R&amp;D'!$A:$A,0))-INDEX('PROJETO PERFURAÇÃO'!$AH:$AH,MATCH(MEDIÇÃO!R1342,'PROJETO PERFURAÇÃO'!$B:$B,0)),"")</f>
        <v/>
      </c>
      <c r="T1342" s="8" t="str">
        <f>IFERROR(INDEX('PROJETO PERFURAÇÃO'!$AN:$AN,MATCH(MEDIÇÃO!R1342,'PROJETO PERFURAÇÃO'!$B:$B,0)),"")</f>
        <v/>
      </c>
      <c r="U1342" s="3"/>
      <c r="V1342" s="3"/>
    </row>
    <row r="1343" spans="1:23" ht="45" customHeight="1">
      <c r="B1343" s="3" t="str">
        <f>IFERROR(ROUND(INDEX('PROJETO PERFURAÇÃO'!$AB:$AB,MATCH(MEDIÇÃO!D1343,'PROJETO PERFURAÇÃO'!$B:$B,0)),1)&amp;"''","")</f>
        <v/>
      </c>
      <c r="C1343" s="3" t="str">
        <f>IFERROR(IF(INDEX('PROJETO PERFURAÇÃO'!$P:$P,MATCH(MEDIÇÃO!D1343,'PROJETO PERFURAÇÃO'!$B:$B,0))="Production","P",IF(INDEX('PROJETO PERFURAÇÃO'!$P:$P,MATCH(MEDIÇÃO!D1343,'PROJETO PERFURAÇÃO'!$B:$B,0))="Buffer","B",IF(INDEX('PROJETO PERFURAÇÃO'!$P:$P,MATCH(MEDIÇÃO!D1343,'PROJETO PERFURAÇÃO'!$B:$B,0))="Pre-Splitting","S"))),"")</f>
        <v/>
      </c>
      <c r="D1343" s="14">
        <f t="shared" si="129"/>
        <v>2973</v>
      </c>
      <c r="E1343" s="4" t="str">
        <f>IFERROR(INDEX('LEV R&amp;D'!$D:$D,MATCH(MEDIÇÃO!D1343,'LEV R&amp;D'!$A:$A,0))-INDEX('PROJETO PERFURAÇÃO'!$AH:$AH,MATCH(MEDIÇÃO!D1343,'PROJETO PERFURAÇÃO'!$B:$B,0)),"")</f>
        <v/>
      </c>
      <c r="F1343" s="8" t="str">
        <f>IFERROR(INDEX('PROJETO PERFURAÇÃO'!$AN:$AN,MATCH(MEDIÇÃO!D1343,'PROJETO PERFURAÇÃO'!$B:$B,0)),"")</f>
        <v/>
      </c>
      <c r="G1343" s="3"/>
      <c r="H1343" s="3"/>
      <c r="I1343" s="3" t="str">
        <f>IFERROR(ROUND(INDEX('PROJETO PERFURAÇÃO'!$AB:$AB,MATCH(MEDIÇÃO!K1343,'PROJETO PERFURAÇÃO'!$B:$B,0)),1)&amp;"''","")</f>
        <v/>
      </c>
      <c r="J1343" s="3" t="str">
        <f>IFERROR(IF(INDEX('PROJETO PERFURAÇÃO'!$P:$P,MATCH(MEDIÇÃO!K1343,'PROJETO PERFURAÇÃO'!$B:$B,0))="Production","P",IF(INDEX('PROJETO PERFURAÇÃO'!$P:$P,MATCH(MEDIÇÃO!K1343,'PROJETO PERFURAÇÃO'!$B:$B,0))="Buffer","B",IF(INDEX('PROJETO PERFURAÇÃO'!$P:$P,MATCH(MEDIÇÃO!K1343,'PROJETO PERFURAÇÃO'!$B:$B,0))="Pre-Splitting","S"))),"")</f>
        <v/>
      </c>
      <c r="K1343" s="14">
        <f t="shared" si="130"/>
        <v>2996</v>
      </c>
      <c r="L1343" s="4" t="str">
        <f>IFERROR(INDEX('LEV R&amp;D'!$D:$D,MATCH(MEDIÇÃO!K1343,'LEV R&amp;D'!$A:$A,0))-INDEX('PROJETO PERFURAÇÃO'!$AH:$AH,MATCH(MEDIÇÃO!K1343,'PROJETO PERFURAÇÃO'!$B:$B,0)),"")</f>
        <v/>
      </c>
      <c r="M1343" s="8" t="str">
        <f>IFERROR(INDEX('PROJETO PERFURAÇÃO'!$AN:$AN,MATCH(MEDIÇÃO!K1343,'PROJETO PERFURAÇÃO'!$B:$B,0)),"")</f>
        <v/>
      </c>
      <c r="N1343" s="3"/>
      <c r="O1343" s="3"/>
      <c r="P1343" s="3" t="str">
        <f>IFERROR(ROUND(INDEX('PROJETO PERFURAÇÃO'!$AB:$AB,MATCH(MEDIÇÃO!R1343,'PROJETO PERFURAÇÃO'!$B:$B,0)),1)&amp;"''","")</f>
        <v/>
      </c>
      <c r="Q1343" s="3" t="str">
        <f>IFERROR(IF(INDEX('PROJETO PERFURAÇÃO'!$P:$P,MATCH(MEDIÇÃO!R1343,'PROJETO PERFURAÇÃO'!$B:$B,0))="Production","P",IF(INDEX('PROJETO PERFURAÇÃO'!$P:$P,MATCH(MEDIÇÃO!R1343,'PROJETO PERFURAÇÃO'!$B:$B,0))="Buffer","B",IF(INDEX('PROJETO PERFURAÇÃO'!$P:$P,MATCH(MEDIÇÃO!R1343,'PROJETO PERFURAÇÃO'!$B:$B,0))="Pre-Splitting","S"))),"")</f>
        <v/>
      </c>
      <c r="R1343" s="14">
        <f t="shared" si="131"/>
        <v>3019</v>
      </c>
      <c r="S1343" s="4" t="str">
        <f>IFERROR(INDEX('LEV R&amp;D'!$D:$D,MATCH(MEDIÇÃO!R1343,'LEV R&amp;D'!$A:$A,0))-INDEX('PROJETO PERFURAÇÃO'!$AH:$AH,MATCH(MEDIÇÃO!R1343,'PROJETO PERFURAÇÃO'!$B:$B,0)),"")</f>
        <v/>
      </c>
      <c r="T1343" s="8" t="str">
        <f>IFERROR(INDEX('PROJETO PERFURAÇÃO'!$AN:$AN,MATCH(MEDIÇÃO!R1343,'PROJETO PERFURAÇÃO'!$B:$B,0)),"")</f>
        <v/>
      </c>
      <c r="U1343" s="3"/>
      <c r="V1343" s="3"/>
    </row>
    <row r="1344" spans="1:23" ht="45" customHeight="1">
      <c r="B1344" s="3" t="str">
        <f>IFERROR(ROUND(INDEX('PROJETO PERFURAÇÃO'!$AB:$AB,MATCH(MEDIÇÃO!D1344,'PROJETO PERFURAÇÃO'!$B:$B,0)),1)&amp;"''","")</f>
        <v/>
      </c>
      <c r="C1344" s="3" t="str">
        <f>IFERROR(IF(INDEX('PROJETO PERFURAÇÃO'!$P:$P,MATCH(MEDIÇÃO!D1344,'PROJETO PERFURAÇÃO'!$B:$B,0))="Production","P",IF(INDEX('PROJETO PERFURAÇÃO'!$P:$P,MATCH(MEDIÇÃO!D1344,'PROJETO PERFURAÇÃO'!$B:$B,0))="Buffer","B",IF(INDEX('PROJETO PERFURAÇÃO'!$P:$P,MATCH(MEDIÇÃO!D1344,'PROJETO PERFURAÇÃO'!$B:$B,0))="Pre-Splitting","S"))),"")</f>
        <v/>
      </c>
      <c r="D1344" s="14">
        <f t="shared" si="129"/>
        <v>2974</v>
      </c>
      <c r="E1344" s="4" t="str">
        <f>IFERROR(INDEX('LEV R&amp;D'!$D:$D,MATCH(MEDIÇÃO!D1344,'LEV R&amp;D'!$A:$A,0))-INDEX('PROJETO PERFURAÇÃO'!$AH:$AH,MATCH(MEDIÇÃO!D1344,'PROJETO PERFURAÇÃO'!$B:$B,0)),"")</f>
        <v/>
      </c>
      <c r="F1344" s="8" t="str">
        <f>IFERROR(INDEX('PROJETO PERFURAÇÃO'!$AN:$AN,MATCH(MEDIÇÃO!D1344,'PROJETO PERFURAÇÃO'!$B:$B,0)),"")</f>
        <v/>
      </c>
      <c r="G1344" s="3"/>
      <c r="H1344" s="3"/>
      <c r="I1344" s="3" t="str">
        <f>IFERROR(ROUND(INDEX('PROJETO PERFURAÇÃO'!$AB:$AB,MATCH(MEDIÇÃO!K1344,'PROJETO PERFURAÇÃO'!$B:$B,0)),1)&amp;"''","")</f>
        <v/>
      </c>
      <c r="J1344" s="3" t="str">
        <f>IFERROR(IF(INDEX('PROJETO PERFURAÇÃO'!$P:$P,MATCH(MEDIÇÃO!K1344,'PROJETO PERFURAÇÃO'!$B:$B,0))="Production","P",IF(INDEX('PROJETO PERFURAÇÃO'!$P:$P,MATCH(MEDIÇÃO!K1344,'PROJETO PERFURAÇÃO'!$B:$B,0))="Buffer","B",IF(INDEX('PROJETO PERFURAÇÃO'!$P:$P,MATCH(MEDIÇÃO!K1344,'PROJETO PERFURAÇÃO'!$B:$B,0))="Pre-Splitting","S"))),"")</f>
        <v/>
      </c>
      <c r="K1344" s="14">
        <f t="shared" si="130"/>
        <v>2997</v>
      </c>
      <c r="L1344" s="4" t="str">
        <f>IFERROR(INDEX('LEV R&amp;D'!$D:$D,MATCH(MEDIÇÃO!K1344,'LEV R&amp;D'!$A:$A,0))-INDEX('PROJETO PERFURAÇÃO'!$AH:$AH,MATCH(MEDIÇÃO!K1344,'PROJETO PERFURAÇÃO'!$B:$B,0)),"")</f>
        <v/>
      </c>
      <c r="M1344" s="8" t="str">
        <f>IFERROR(INDEX('PROJETO PERFURAÇÃO'!$AN:$AN,MATCH(MEDIÇÃO!K1344,'PROJETO PERFURAÇÃO'!$B:$B,0)),"")</f>
        <v/>
      </c>
      <c r="N1344" s="3"/>
      <c r="O1344" s="3"/>
      <c r="P1344" s="3" t="str">
        <f>IFERROR(ROUND(INDEX('PROJETO PERFURAÇÃO'!$AB:$AB,MATCH(MEDIÇÃO!R1344,'PROJETO PERFURAÇÃO'!$B:$B,0)),1)&amp;"''","")</f>
        <v/>
      </c>
      <c r="Q1344" s="3" t="str">
        <f>IFERROR(IF(INDEX('PROJETO PERFURAÇÃO'!$P:$P,MATCH(MEDIÇÃO!R1344,'PROJETO PERFURAÇÃO'!$B:$B,0))="Production","P",IF(INDEX('PROJETO PERFURAÇÃO'!$P:$P,MATCH(MEDIÇÃO!R1344,'PROJETO PERFURAÇÃO'!$B:$B,0))="Buffer","B",IF(INDEX('PROJETO PERFURAÇÃO'!$P:$P,MATCH(MEDIÇÃO!R1344,'PROJETO PERFURAÇÃO'!$B:$B,0))="Pre-Splitting","S"))),"")</f>
        <v/>
      </c>
      <c r="R1344" s="14">
        <f t="shared" si="131"/>
        <v>3020</v>
      </c>
      <c r="S1344" s="4" t="str">
        <f>IFERROR(INDEX('LEV R&amp;D'!$D:$D,MATCH(MEDIÇÃO!R1344,'LEV R&amp;D'!$A:$A,0))-INDEX('PROJETO PERFURAÇÃO'!$AH:$AH,MATCH(MEDIÇÃO!R1344,'PROJETO PERFURAÇÃO'!$B:$B,0)),"")</f>
        <v/>
      </c>
      <c r="T1344" s="8" t="str">
        <f>IFERROR(INDEX('PROJETO PERFURAÇÃO'!$AN:$AN,MATCH(MEDIÇÃO!R1344,'PROJETO PERFURAÇÃO'!$B:$B,0)),"")</f>
        <v/>
      </c>
      <c r="U1344" s="3"/>
      <c r="V1344" s="3"/>
    </row>
    <row r="1345" spans="2:22" ht="45" customHeight="1">
      <c r="B1345" s="3" t="str">
        <f>IFERROR(ROUND(INDEX('PROJETO PERFURAÇÃO'!$AB:$AB,MATCH(MEDIÇÃO!D1345,'PROJETO PERFURAÇÃO'!$B:$B,0)),1)&amp;"''","")</f>
        <v/>
      </c>
      <c r="C1345" s="3" t="str">
        <f>IFERROR(IF(INDEX('PROJETO PERFURAÇÃO'!$P:$P,MATCH(MEDIÇÃO!D1345,'PROJETO PERFURAÇÃO'!$B:$B,0))="Production","P",IF(INDEX('PROJETO PERFURAÇÃO'!$P:$P,MATCH(MEDIÇÃO!D1345,'PROJETO PERFURAÇÃO'!$B:$B,0))="Buffer","B",IF(INDEX('PROJETO PERFURAÇÃO'!$P:$P,MATCH(MEDIÇÃO!D1345,'PROJETO PERFURAÇÃO'!$B:$B,0))="Pre-Splitting","S"))),"")</f>
        <v/>
      </c>
      <c r="D1345" s="14">
        <f t="shared" si="129"/>
        <v>2975</v>
      </c>
      <c r="E1345" s="4" t="str">
        <f>IFERROR(INDEX('LEV R&amp;D'!$D:$D,MATCH(MEDIÇÃO!D1345,'LEV R&amp;D'!$A:$A,0))-INDEX('PROJETO PERFURAÇÃO'!$AH:$AH,MATCH(MEDIÇÃO!D1345,'PROJETO PERFURAÇÃO'!$B:$B,0)),"")</f>
        <v/>
      </c>
      <c r="F1345" s="8" t="str">
        <f>IFERROR(INDEX('PROJETO PERFURAÇÃO'!$AN:$AN,MATCH(MEDIÇÃO!D1345,'PROJETO PERFURAÇÃO'!$B:$B,0)),"")</f>
        <v/>
      </c>
      <c r="G1345" s="3"/>
      <c r="H1345" s="3"/>
      <c r="I1345" s="3" t="str">
        <f>IFERROR(ROUND(INDEX('PROJETO PERFURAÇÃO'!$AB:$AB,MATCH(MEDIÇÃO!K1345,'PROJETO PERFURAÇÃO'!$B:$B,0)),1)&amp;"''","")</f>
        <v/>
      </c>
      <c r="J1345" s="3" t="str">
        <f>IFERROR(IF(INDEX('PROJETO PERFURAÇÃO'!$P:$P,MATCH(MEDIÇÃO!K1345,'PROJETO PERFURAÇÃO'!$B:$B,0))="Production","P",IF(INDEX('PROJETO PERFURAÇÃO'!$P:$P,MATCH(MEDIÇÃO!K1345,'PROJETO PERFURAÇÃO'!$B:$B,0))="Buffer","B",IF(INDEX('PROJETO PERFURAÇÃO'!$P:$P,MATCH(MEDIÇÃO!K1345,'PROJETO PERFURAÇÃO'!$B:$B,0))="Pre-Splitting","S"))),"")</f>
        <v/>
      </c>
      <c r="K1345" s="14">
        <f t="shared" si="130"/>
        <v>2998</v>
      </c>
      <c r="L1345" s="4" t="str">
        <f>IFERROR(INDEX('LEV R&amp;D'!$D:$D,MATCH(MEDIÇÃO!K1345,'LEV R&amp;D'!$A:$A,0))-INDEX('PROJETO PERFURAÇÃO'!$AH:$AH,MATCH(MEDIÇÃO!K1345,'PROJETO PERFURAÇÃO'!$B:$B,0)),"")</f>
        <v/>
      </c>
      <c r="M1345" s="8" t="str">
        <f>IFERROR(INDEX('PROJETO PERFURAÇÃO'!$AN:$AN,MATCH(MEDIÇÃO!K1345,'PROJETO PERFURAÇÃO'!$B:$B,0)),"")</f>
        <v/>
      </c>
      <c r="N1345" s="3"/>
      <c r="O1345" s="3"/>
      <c r="P1345" s="3" t="str">
        <f>IFERROR(ROUND(INDEX('PROJETO PERFURAÇÃO'!$AB:$AB,MATCH(MEDIÇÃO!R1345,'PROJETO PERFURAÇÃO'!$B:$B,0)),1)&amp;"''","")</f>
        <v/>
      </c>
      <c r="Q1345" s="3" t="str">
        <f>IFERROR(IF(INDEX('PROJETO PERFURAÇÃO'!$P:$P,MATCH(MEDIÇÃO!R1345,'PROJETO PERFURAÇÃO'!$B:$B,0))="Production","P",IF(INDEX('PROJETO PERFURAÇÃO'!$P:$P,MATCH(MEDIÇÃO!R1345,'PROJETO PERFURAÇÃO'!$B:$B,0))="Buffer","B",IF(INDEX('PROJETO PERFURAÇÃO'!$P:$P,MATCH(MEDIÇÃO!R1345,'PROJETO PERFURAÇÃO'!$B:$B,0))="Pre-Splitting","S"))),"")</f>
        <v/>
      </c>
      <c r="R1345" s="14">
        <f t="shared" si="131"/>
        <v>3021</v>
      </c>
      <c r="S1345" s="4" t="str">
        <f>IFERROR(INDEX('LEV R&amp;D'!$D:$D,MATCH(MEDIÇÃO!R1345,'LEV R&amp;D'!$A:$A,0))-INDEX('PROJETO PERFURAÇÃO'!$AH:$AH,MATCH(MEDIÇÃO!R1345,'PROJETO PERFURAÇÃO'!$B:$B,0)),"")</f>
        <v/>
      </c>
      <c r="T1345" s="8" t="str">
        <f>IFERROR(INDEX('PROJETO PERFURAÇÃO'!$AN:$AN,MATCH(MEDIÇÃO!R1345,'PROJETO PERFURAÇÃO'!$B:$B,0)),"")</f>
        <v/>
      </c>
      <c r="U1345" s="3"/>
      <c r="V1345" s="3"/>
    </row>
    <row r="1346" spans="2:22" ht="45" customHeight="1">
      <c r="B1346" s="3" t="str">
        <f>IFERROR(ROUND(INDEX('PROJETO PERFURAÇÃO'!$AB:$AB,MATCH(MEDIÇÃO!D1346,'PROJETO PERFURAÇÃO'!$B:$B,0)),1)&amp;"''","")</f>
        <v/>
      </c>
      <c r="C1346" s="3" t="str">
        <f>IFERROR(IF(INDEX('PROJETO PERFURAÇÃO'!$P:$P,MATCH(MEDIÇÃO!D1346,'PROJETO PERFURAÇÃO'!$B:$B,0))="Production","P",IF(INDEX('PROJETO PERFURAÇÃO'!$P:$P,MATCH(MEDIÇÃO!D1346,'PROJETO PERFURAÇÃO'!$B:$B,0))="Buffer","B",IF(INDEX('PROJETO PERFURAÇÃO'!$P:$P,MATCH(MEDIÇÃO!D1346,'PROJETO PERFURAÇÃO'!$B:$B,0))="Pre-Splitting","S"))),"")</f>
        <v/>
      </c>
      <c r="D1346" s="14">
        <f t="shared" si="129"/>
        <v>2976</v>
      </c>
      <c r="E1346" s="4" t="str">
        <f>IFERROR(INDEX('LEV R&amp;D'!$D:$D,MATCH(MEDIÇÃO!D1346,'LEV R&amp;D'!$A:$A,0))-INDEX('PROJETO PERFURAÇÃO'!$AH:$AH,MATCH(MEDIÇÃO!D1346,'PROJETO PERFURAÇÃO'!$B:$B,0)),"")</f>
        <v/>
      </c>
      <c r="F1346" s="8" t="str">
        <f>IFERROR(INDEX('PROJETO PERFURAÇÃO'!$AN:$AN,MATCH(MEDIÇÃO!D1346,'PROJETO PERFURAÇÃO'!$B:$B,0)),"")</f>
        <v/>
      </c>
      <c r="G1346" s="3"/>
      <c r="H1346" s="3"/>
      <c r="I1346" s="3" t="str">
        <f>IFERROR(ROUND(INDEX('PROJETO PERFURAÇÃO'!$AB:$AB,MATCH(MEDIÇÃO!K1346,'PROJETO PERFURAÇÃO'!$B:$B,0)),1)&amp;"''","")</f>
        <v/>
      </c>
      <c r="J1346" s="3" t="str">
        <f>IFERROR(IF(INDEX('PROJETO PERFURAÇÃO'!$P:$P,MATCH(MEDIÇÃO!K1346,'PROJETO PERFURAÇÃO'!$B:$B,0))="Production","P",IF(INDEX('PROJETO PERFURAÇÃO'!$P:$P,MATCH(MEDIÇÃO!K1346,'PROJETO PERFURAÇÃO'!$B:$B,0))="Buffer","B",IF(INDEX('PROJETO PERFURAÇÃO'!$P:$P,MATCH(MEDIÇÃO!K1346,'PROJETO PERFURAÇÃO'!$B:$B,0))="Pre-Splitting","S"))),"")</f>
        <v/>
      </c>
      <c r="K1346" s="14">
        <f t="shared" si="130"/>
        <v>2999</v>
      </c>
      <c r="L1346" s="4" t="str">
        <f>IFERROR(INDEX('LEV R&amp;D'!$D:$D,MATCH(MEDIÇÃO!K1346,'LEV R&amp;D'!$A:$A,0))-INDEX('PROJETO PERFURAÇÃO'!$AH:$AH,MATCH(MEDIÇÃO!K1346,'PROJETO PERFURAÇÃO'!$B:$B,0)),"")</f>
        <v/>
      </c>
      <c r="M1346" s="8" t="str">
        <f>IFERROR(INDEX('PROJETO PERFURAÇÃO'!$AN:$AN,MATCH(MEDIÇÃO!K1346,'PROJETO PERFURAÇÃO'!$B:$B,0)),"")</f>
        <v/>
      </c>
      <c r="N1346" s="3"/>
      <c r="O1346" s="3"/>
      <c r="P1346" s="3" t="str">
        <f>IFERROR(ROUND(INDEX('PROJETO PERFURAÇÃO'!$AB:$AB,MATCH(MEDIÇÃO!R1346,'PROJETO PERFURAÇÃO'!$B:$B,0)),1)&amp;"''","")</f>
        <v/>
      </c>
      <c r="Q1346" s="3" t="str">
        <f>IFERROR(IF(INDEX('PROJETO PERFURAÇÃO'!$P:$P,MATCH(MEDIÇÃO!R1346,'PROJETO PERFURAÇÃO'!$B:$B,0))="Production","P",IF(INDEX('PROJETO PERFURAÇÃO'!$P:$P,MATCH(MEDIÇÃO!R1346,'PROJETO PERFURAÇÃO'!$B:$B,0))="Buffer","B",IF(INDEX('PROJETO PERFURAÇÃO'!$P:$P,MATCH(MEDIÇÃO!R1346,'PROJETO PERFURAÇÃO'!$B:$B,0))="Pre-Splitting","S"))),"")</f>
        <v/>
      </c>
      <c r="R1346" s="14">
        <f t="shared" si="131"/>
        <v>3022</v>
      </c>
      <c r="S1346" s="4" t="str">
        <f>IFERROR(INDEX('LEV R&amp;D'!$D:$D,MATCH(MEDIÇÃO!R1346,'LEV R&amp;D'!$A:$A,0))-INDEX('PROJETO PERFURAÇÃO'!$AH:$AH,MATCH(MEDIÇÃO!R1346,'PROJETO PERFURAÇÃO'!$B:$B,0)),"")</f>
        <v/>
      </c>
      <c r="T1346" s="8" t="str">
        <f>IFERROR(INDEX('PROJETO PERFURAÇÃO'!$AN:$AN,MATCH(MEDIÇÃO!R1346,'PROJETO PERFURAÇÃO'!$B:$B,0)),"")</f>
        <v/>
      </c>
      <c r="U1346" s="3"/>
      <c r="V1346" s="3"/>
    </row>
    <row r="1347" spans="2:22" ht="45" customHeight="1">
      <c r="B1347" s="3" t="str">
        <f>IFERROR(ROUND(INDEX('PROJETO PERFURAÇÃO'!$AB:$AB,MATCH(MEDIÇÃO!D1347,'PROJETO PERFURAÇÃO'!$B:$B,0)),1)&amp;"''","")</f>
        <v/>
      </c>
      <c r="C1347" s="3" t="str">
        <f>IFERROR(IF(INDEX('PROJETO PERFURAÇÃO'!$P:$P,MATCH(MEDIÇÃO!D1347,'PROJETO PERFURAÇÃO'!$B:$B,0))="Production","P",IF(INDEX('PROJETO PERFURAÇÃO'!$P:$P,MATCH(MEDIÇÃO!D1347,'PROJETO PERFURAÇÃO'!$B:$B,0))="Buffer","B",IF(INDEX('PROJETO PERFURAÇÃO'!$P:$P,MATCH(MEDIÇÃO!D1347,'PROJETO PERFURAÇÃO'!$B:$B,0))="Pre-Splitting","S"))),"")</f>
        <v/>
      </c>
      <c r="D1347" s="14">
        <f t="shared" si="129"/>
        <v>2977</v>
      </c>
      <c r="E1347" s="4" t="str">
        <f>IFERROR(INDEX('LEV R&amp;D'!$D:$D,MATCH(MEDIÇÃO!D1347,'LEV R&amp;D'!$A:$A,0))-INDEX('PROJETO PERFURAÇÃO'!$AH:$AH,MATCH(MEDIÇÃO!D1347,'PROJETO PERFURAÇÃO'!$B:$B,0)),"")</f>
        <v/>
      </c>
      <c r="F1347" s="8" t="str">
        <f>IFERROR(INDEX('PROJETO PERFURAÇÃO'!$AN:$AN,MATCH(MEDIÇÃO!D1347,'PROJETO PERFURAÇÃO'!$B:$B,0)),"")</f>
        <v/>
      </c>
      <c r="G1347" s="3"/>
      <c r="H1347" s="3"/>
      <c r="I1347" s="3" t="str">
        <f>IFERROR(ROUND(INDEX('PROJETO PERFURAÇÃO'!$AB:$AB,MATCH(MEDIÇÃO!K1347,'PROJETO PERFURAÇÃO'!$B:$B,0)),1)&amp;"''","")</f>
        <v/>
      </c>
      <c r="J1347" s="3" t="str">
        <f>IFERROR(IF(INDEX('PROJETO PERFURAÇÃO'!$P:$P,MATCH(MEDIÇÃO!K1347,'PROJETO PERFURAÇÃO'!$B:$B,0))="Production","P",IF(INDEX('PROJETO PERFURAÇÃO'!$P:$P,MATCH(MEDIÇÃO!K1347,'PROJETO PERFURAÇÃO'!$B:$B,0))="Buffer","B",IF(INDEX('PROJETO PERFURAÇÃO'!$P:$P,MATCH(MEDIÇÃO!K1347,'PROJETO PERFURAÇÃO'!$B:$B,0))="Pre-Splitting","S"))),"")</f>
        <v/>
      </c>
      <c r="K1347" s="14">
        <f t="shared" si="130"/>
        <v>3000</v>
      </c>
      <c r="L1347" s="4" t="str">
        <f>IFERROR(INDEX('LEV R&amp;D'!$D:$D,MATCH(MEDIÇÃO!K1347,'LEV R&amp;D'!$A:$A,0))-INDEX('PROJETO PERFURAÇÃO'!$AH:$AH,MATCH(MEDIÇÃO!K1347,'PROJETO PERFURAÇÃO'!$B:$B,0)),"")</f>
        <v/>
      </c>
      <c r="M1347" s="8" t="str">
        <f>IFERROR(INDEX('PROJETO PERFURAÇÃO'!$AN:$AN,MATCH(MEDIÇÃO!K1347,'PROJETO PERFURAÇÃO'!$B:$B,0)),"")</f>
        <v/>
      </c>
      <c r="N1347" s="3"/>
      <c r="O1347" s="3"/>
      <c r="P1347" s="3" t="str">
        <f>IFERROR(ROUND(INDEX('PROJETO PERFURAÇÃO'!$AB:$AB,MATCH(MEDIÇÃO!R1347,'PROJETO PERFURAÇÃO'!$B:$B,0)),1)&amp;"''","")</f>
        <v/>
      </c>
      <c r="Q1347" s="3" t="str">
        <f>IFERROR(IF(INDEX('PROJETO PERFURAÇÃO'!$P:$P,MATCH(MEDIÇÃO!R1347,'PROJETO PERFURAÇÃO'!$B:$B,0))="Production","P",IF(INDEX('PROJETO PERFURAÇÃO'!$P:$P,MATCH(MEDIÇÃO!R1347,'PROJETO PERFURAÇÃO'!$B:$B,0))="Buffer","B",IF(INDEX('PROJETO PERFURAÇÃO'!$P:$P,MATCH(MEDIÇÃO!R1347,'PROJETO PERFURAÇÃO'!$B:$B,0))="Pre-Splitting","S"))),"")</f>
        <v/>
      </c>
      <c r="R1347" s="14">
        <f t="shared" si="131"/>
        <v>3023</v>
      </c>
      <c r="S1347" s="4" t="str">
        <f>IFERROR(INDEX('LEV R&amp;D'!$D:$D,MATCH(MEDIÇÃO!R1347,'LEV R&amp;D'!$A:$A,0))-INDEX('PROJETO PERFURAÇÃO'!$AH:$AH,MATCH(MEDIÇÃO!R1347,'PROJETO PERFURAÇÃO'!$B:$B,0)),"")</f>
        <v/>
      </c>
      <c r="T1347" s="8" t="str">
        <f>IFERROR(INDEX('PROJETO PERFURAÇÃO'!$AN:$AN,MATCH(MEDIÇÃO!R1347,'PROJETO PERFURAÇÃO'!$B:$B,0)),"")</f>
        <v/>
      </c>
      <c r="U1347" s="3"/>
      <c r="V1347" s="3"/>
    </row>
    <row r="1348" spans="2:22" ht="45" customHeight="1">
      <c r="B1348" s="3" t="str">
        <f>IFERROR(ROUND(INDEX('PROJETO PERFURAÇÃO'!$AB:$AB,MATCH(MEDIÇÃO!D1348,'PROJETO PERFURAÇÃO'!$B:$B,0)),1)&amp;"''","")</f>
        <v/>
      </c>
      <c r="C1348" s="3" t="str">
        <f>IFERROR(IF(INDEX('PROJETO PERFURAÇÃO'!$P:$P,MATCH(MEDIÇÃO!D1348,'PROJETO PERFURAÇÃO'!$B:$B,0))="Production","P",IF(INDEX('PROJETO PERFURAÇÃO'!$P:$P,MATCH(MEDIÇÃO!D1348,'PROJETO PERFURAÇÃO'!$B:$B,0))="Buffer","B",IF(INDEX('PROJETO PERFURAÇÃO'!$P:$P,MATCH(MEDIÇÃO!D1348,'PROJETO PERFURAÇÃO'!$B:$B,0))="Pre-Splitting","S"))),"")</f>
        <v/>
      </c>
      <c r="D1348" s="14">
        <f t="shared" si="129"/>
        <v>2978</v>
      </c>
      <c r="E1348" s="4" t="str">
        <f>IFERROR(INDEX('LEV R&amp;D'!$D:$D,MATCH(MEDIÇÃO!D1348,'LEV R&amp;D'!$A:$A,0))-INDEX('PROJETO PERFURAÇÃO'!$AH:$AH,MATCH(MEDIÇÃO!D1348,'PROJETO PERFURAÇÃO'!$B:$B,0)),"")</f>
        <v/>
      </c>
      <c r="F1348" s="8" t="str">
        <f>IFERROR(INDEX('PROJETO PERFURAÇÃO'!$AN:$AN,MATCH(MEDIÇÃO!D1348,'PROJETO PERFURAÇÃO'!$B:$B,0)),"")</f>
        <v/>
      </c>
      <c r="G1348" s="3"/>
      <c r="H1348" s="3"/>
      <c r="I1348" s="3" t="str">
        <f>IFERROR(ROUND(INDEX('PROJETO PERFURAÇÃO'!$AB:$AB,MATCH(MEDIÇÃO!K1348,'PROJETO PERFURAÇÃO'!$B:$B,0)),1)&amp;"''","")</f>
        <v/>
      </c>
      <c r="J1348" s="3" t="str">
        <f>IFERROR(IF(INDEX('PROJETO PERFURAÇÃO'!$P:$P,MATCH(MEDIÇÃO!K1348,'PROJETO PERFURAÇÃO'!$B:$B,0))="Production","P",IF(INDEX('PROJETO PERFURAÇÃO'!$P:$P,MATCH(MEDIÇÃO!K1348,'PROJETO PERFURAÇÃO'!$B:$B,0))="Buffer","B",IF(INDEX('PROJETO PERFURAÇÃO'!$P:$P,MATCH(MEDIÇÃO!K1348,'PROJETO PERFURAÇÃO'!$B:$B,0))="Pre-Splitting","S"))),"")</f>
        <v/>
      </c>
      <c r="K1348" s="14">
        <f t="shared" si="130"/>
        <v>3001</v>
      </c>
      <c r="L1348" s="4" t="str">
        <f>IFERROR(INDEX('LEV R&amp;D'!$D:$D,MATCH(MEDIÇÃO!K1348,'LEV R&amp;D'!$A:$A,0))-INDEX('PROJETO PERFURAÇÃO'!$AH:$AH,MATCH(MEDIÇÃO!K1348,'PROJETO PERFURAÇÃO'!$B:$B,0)),"")</f>
        <v/>
      </c>
      <c r="M1348" s="8" t="str">
        <f>IFERROR(INDEX('PROJETO PERFURAÇÃO'!$AN:$AN,MATCH(MEDIÇÃO!K1348,'PROJETO PERFURAÇÃO'!$B:$B,0)),"")</f>
        <v/>
      </c>
      <c r="N1348" s="3"/>
      <c r="O1348" s="3"/>
      <c r="P1348" s="3" t="str">
        <f>IFERROR(ROUND(INDEX('PROJETO PERFURAÇÃO'!$AB:$AB,MATCH(MEDIÇÃO!R1348,'PROJETO PERFURAÇÃO'!$B:$B,0)),1)&amp;"''","")</f>
        <v/>
      </c>
      <c r="Q1348" s="3" t="str">
        <f>IFERROR(IF(INDEX('PROJETO PERFURAÇÃO'!$P:$P,MATCH(MEDIÇÃO!R1348,'PROJETO PERFURAÇÃO'!$B:$B,0))="Production","P",IF(INDEX('PROJETO PERFURAÇÃO'!$P:$P,MATCH(MEDIÇÃO!R1348,'PROJETO PERFURAÇÃO'!$B:$B,0))="Buffer","B",IF(INDEX('PROJETO PERFURAÇÃO'!$P:$P,MATCH(MEDIÇÃO!R1348,'PROJETO PERFURAÇÃO'!$B:$B,0))="Pre-Splitting","S"))),"")</f>
        <v/>
      </c>
      <c r="R1348" s="14">
        <f t="shared" si="131"/>
        <v>3024</v>
      </c>
      <c r="S1348" s="4" t="str">
        <f>IFERROR(INDEX('LEV R&amp;D'!$D:$D,MATCH(MEDIÇÃO!R1348,'LEV R&amp;D'!$A:$A,0))-INDEX('PROJETO PERFURAÇÃO'!$AH:$AH,MATCH(MEDIÇÃO!R1348,'PROJETO PERFURAÇÃO'!$B:$B,0)),"")</f>
        <v/>
      </c>
      <c r="T1348" s="8" t="str">
        <f>IFERROR(INDEX('PROJETO PERFURAÇÃO'!$AN:$AN,MATCH(MEDIÇÃO!R1348,'PROJETO PERFURAÇÃO'!$B:$B,0)),"")</f>
        <v/>
      </c>
      <c r="U1348" s="3"/>
      <c r="V1348" s="3"/>
    </row>
    <row r="1349" spans="2:22" ht="45" customHeight="1">
      <c r="B1349" s="3" t="str">
        <f>IFERROR(ROUND(INDEX('PROJETO PERFURAÇÃO'!$AB:$AB,MATCH(MEDIÇÃO!D1349,'PROJETO PERFURAÇÃO'!$B:$B,0)),1)&amp;"''","")</f>
        <v/>
      </c>
      <c r="C1349" s="3" t="str">
        <f>IFERROR(IF(INDEX('PROJETO PERFURAÇÃO'!$P:$P,MATCH(MEDIÇÃO!D1349,'PROJETO PERFURAÇÃO'!$B:$B,0))="Production","P",IF(INDEX('PROJETO PERFURAÇÃO'!$P:$P,MATCH(MEDIÇÃO!D1349,'PROJETO PERFURAÇÃO'!$B:$B,0))="Buffer","B",IF(INDEX('PROJETO PERFURAÇÃO'!$P:$P,MATCH(MEDIÇÃO!D1349,'PROJETO PERFURAÇÃO'!$B:$B,0))="Pre-Splitting","S"))),"")</f>
        <v/>
      </c>
      <c r="D1349" s="14">
        <f t="shared" si="129"/>
        <v>2979</v>
      </c>
      <c r="E1349" s="4" t="str">
        <f>IFERROR(INDEX('LEV R&amp;D'!$D:$D,MATCH(MEDIÇÃO!D1349,'LEV R&amp;D'!$A:$A,0))-INDEX('PROJETO PERFURAÇÃO'!$AH:$AH,MATCH(MEDIÇÃO!D1349,'PROJETO PERFURAÇÃO'!$B:$B,0)),"")</f>
        <v/>
      </c>
      <c r="F1349" s="8" t="str">
        <f>IFERROR(INDEX('PROJETO PERFURAÇÃO'!$AN:$AN,MATCH(MEDIÇÃO!D1349,'PROJETO PERFURAÇÃO'!$B:$B,0)),"")</f>
        <v/>
      </c>
      <c r="G1349" s="3"/>
      <c r="H1349" s="3"/>
      <c r="I1349" s="3" t="str">
        <f>IFERROR(ROUND(INDEX('PROJETO PERFURAÇÃO'!$AB:$AB,MATCH(MEDIÇÃO!K1349,'PROJETO PERFURAÇÃO'!$B:$B,0)),1)&amp;"''","")</f>
        <v/>
      </c>
      <c r="J1349" s="3" t="str">
        <f>IFERROR(IF(INDEX('PROJETO PERFURAÇÃO'!$P:$P,MATCH(MEDIÇÃO!K1349,'PROJETO PERFURAÇÃO'!$B:$B,0))="Production","P",IF(INDEX('PROJETO PERFURAÇÃO'!$P:$P,MATCH(MEDIÇÃO!K1349,'PROJETO PERFURAÇÃO'!$B:$B,0))="Buffer","B",IF(INDEX('PROJETO PERFURAÇÃO'!$P:$P,MATCH(MEDIÇÃO!K1349,'PROJETO PERFURAÇÃO'!$B:$B,0))="Pre-Splitting","S"))),"")</f>
        <v/>
      </c>
      <c r="K1349" s="14">
        <f t="shared" si="130"/>
        <v>3002</v>
      </c>
      <c r="L1349" s="4" t="str">
        <f>IFERROR(INDEX('LEV R&amp;D'!$D:$D,MATCH(MEDIÇÃO!K1349,'LEV R&amp;D'!$A:$A,0))-INDEX('PROJETO PERFURAÇÃO'!$AH:$AH,MATCH(MEDIÇÃO!K1349,'PROJETO PERFURAÇÃO'!$B:$B,0)),"")</f>
        <v/>
      </c>
      <c r="M1349" s="8" t="str">
        <f>IFERROR(INDEX('PROJETO PERFURAÇÃO'!$AN:$AN,MATCH(MEDIÇÃO!K1349,'PROJETO PERFURAÇÃO'!$B:$B,0)),"")</f>
        <v/>
      </c>
      <c r="N1349" s="3"/>
      <c r="O1349" s="3"/>
      <c r="P1349" s="3" t="str">
        <f>IFERROR(ROUND(INDEX('PROJETO PERFURAÇÃO'!$AB:$AB,MATCH(MEDIÇÃO!R1349,'PROJETO PERFURAÇÃO'!$B:$B,0)),1)&amp;"''","")</f>
        <v/>
      </c>
      <c r="Q1349" s="3" t="str">
        <f>IFERROR(IF(INDEX('PROJETO PERFURAÇÃO'!$P:$P,MATCH(MEDIÇÃO!R1349,'PROJETO PERFURAÇÃO'!$B:$B,0))="Production","P",IF(INDEX('PROJETO PERFURAÇÃO'!$P:$P,MATCH(MEDIÇÃO!R1349,'PROJETO PERFURAÇÃO'!$B:$B,0))="Buffer","B",IF(INDEX('PROJETO PERFURAÇÃO'!$P:$P,MATCH(MEDIÇÃO!R1349,'PROJETO PERFURAÇÃO'!$B:$B,0))="Pre-Splitting","S"))),"")</f>
        <v/>
      </c>
      <c r="R1349" s="14">
        <f t="shared" si="131"/>
        <v>3025</v>
      </c>
      <c r="S1349" s="4" t="str">
        <f>IFERROR(INDEX('LEV R&amp;D'!$D:$D,MATCH(MEDIÇÃO!R1349,'LEV R&amp;D'!$A:$A,0))-INDEX('PROJETO PERFURAÇÃO'!$AH:$AH,MATCH(MEDIÇÃO!R1349,'PROJETO PERFURAÇÃO'!$B:$B,0)),"")</f>
        <v/>
      </c>
      <c r="T1349" s="8" t="str">
        <f>IFERROR(INDEX('PROJETO PERFURAÇÃO'!$AN:$AN,MATCH(MEDIÇÃO!R1349,'PROJETO PERFURAÇÃO'!$B:$B,0)),"")</f>
        <v/>
      </c>
      <c r="U1349" s="3"/>
      <c r="V1349" s="3"/>
    </row>
    <row r="1350" spans="2:22" ht="45" customHeight="1">
      <c r="B1350" s="3" t="str">
        <f>IFERROR(ROUND(INDEX('PROJETO PERFURAÇÃO'!$AB:$AB,MATCH(MEDIÇÃO!D1350,'PROJETO PERFURAÇÃO'!$B:$B,0)),1)&amp;"''","")</f>
        <v/>
      </c>
      <c r="C1350" s="3" t="str">
        <f>IFERROR(IF(INDEX('PROJETO PERFURAÇÃO'!$P:$P,MATCH(MEDIÇÃO!D1350,'PROJETO PERFURAÇÃO'!$B:$B,0))="Production","P",IF(INDEX('PROJETO PERFURAÇÃO'!$P:$P,MATCH(MEDIÇÃO!D1350,'PROJETO PERFURAÇÃO'!$B:$B,0))="Buffer","B",IF(INDEX('PROJETO PERFURAÇÃO'!$P:$P,MATCH(MEDIÇÃO!D1350,'PROJETO PERFURAÇÃO'!$B:$B,0))="Pre-Splitting","S"))),"")</f>
        <v/>
      </c>
      <c r="D1350" s="14">
        <f t="shared" si="129"/>
        <v>2980</v>
      </c>
      <c r="E1350" s="4" t="str">
        <f>IFERROR(INDEX('LEV R&amp;D'!$D:$D,MATCH(MEDIÇÃO!D1350,'LEV R&amp;D'!$A:$A,0))-INDEX('PROJETO PERFURAÇÃO'!$AH:$AH,MATCH(MEDIÇÃO!D1350,'PROJETO PERFURAÇÃO'!$B:$B,0)),"")</f>
        <v/>
      </c>
      <c r="F1350" s="8" t="str">
        <f>IFERROR(INDEX('PROJETO PERFURAÇÃO'!$AN:$AN,MATCH(MEDIÇÃO!D1350,'PROJETO PERFURAÇÃO'!$B:$B,0)),"")</f>
        <v/>
      </c>
      <c r="G1350" s="3"/>
      <c r="H1350" s="3"/>
      <c r="I1350" s="3" t="str">
        <f>IFERROR(ROUND(INDEX('PROJETO PERFURAÇÃO'!$AB:$AB,MATCH(MEDIÇÃO!K1350,'PROJETO PERFURAÇÃO'!$B:$B,0)),1)&amp;"''","")</f>
        <v/>
      </c>
      <c r="J1350" s="3" t="str">
        <f>IFERROR(IF(INDEX('PROJETO PERFURAÇÃO'!$P:$P,MATCH(MEDIÇÃO!K1350,'PROJETO PERFURAÇÃO'!$B:$B,0))="Production","P",IF(INDEX('PROJETO PERFURAÇÃO'!$P:$P,MATCH(MEDIÇÃO!K1350,'PROJETO PERFURAÇÃO'!$B:$B,0))="Buffer","B",IF(INDEX('PROJETO PERFURAÇÃO'!$P:$P,MATCH(MEDIÇÃO!K1350,'PROJETO PERFURAÇÃO'!$B:$B,0))="Pre-Splitting","S"))),"")</f>
        <v/>
      </c>
      <c r="K1350" s="14">
        <f t="shared" si="130"/>
        <v>3003</v>
      </c>
      <c r="L1350" s="4" t="str">
        <f>IFERROR(INDEX('LEV R&amp;D'!$D:$D,MATCH(MEDIÇÃO!K1350,'LEV R&amp;D'!$A:$A,0))-INDEX('PROJETO PERFURAÇÃO'!$AH:$AH,MATCH(MEDIÇÃO!K1350,'PROJETO PERFURAÇÃO'!$B:$B,0)),"")</f>
        <v/>
      </c>
      <c r="M1350" s="8" t="str">
        <f>IFERROR(INDEX('PROJETO PERFURAÇÃO'!$AN:$AN,MATCH(MEDIÇÃO!K1350,'PROJETO PERFURAÇÃO'!$B:$B,0)),"")</f>
        <v/>
      </c>
      <c r="N1350" s="3"/>
      <c r="O1350" s="3"/>
      <c r="P1350" s="3" t="str">
        <f>IFERROR(ROUND(INDEX('PROJETO PERFURAÇÃO'!$AB:$AB,MATCH(MEDIÇÃO!R1350,'PROJETO PERFURAÇÃO'!$B:$B,0)),1)&amp;"''","")</f>
        <v/>
      </c>
      <c r="Q1350" s="3" t="str">
        <f>IFERROR(IF(INDEX('PROJETO PERFURAÇÃO'!$P:$P,MATCH(MEDIÇÃO!R1350,'PROJETO PERFURAÇÃO'!$B:$B,0))="Production","P",IF(INDEX('PROJETO PERFURAÇÃO'!$P:$P,MATCH(MEDIÇÃO!R1350,'PROJETO PERFURAÇÃO'!$B:$B,0))="Buffer","B",IF(INDEX('PROJETO PERFURAÇÃO'!$P:$P,MATCH(MEDIÇÃO!R1350,'PROJETO PERFURAÇÃO'!$B:$B,0))="Pre-Splitting","S"))),"")</f>
        <v/>
      </c>
      <c r="R1350" s="14">
        <f t="shared" si="131"/>
        <v>3026</v>
      </c>
      <c r="S1350" s="4" t="str">
        <f>IFERROR(INDEX('LEV R&amp;D'!$D:$D,MATCH(MEDIÇÃO!R1350,'LEV R&amp;D'!$A:$A,0))-INDEX('PROJETO PERFURAÇÃO'!$AH:$AH,MATCH(MEDIÇÃO!R1350,'PROJETO PERFURAÇÃO'!$B:$B,0)),"")</f>
        <v/>
      </c>
      <c r="T1350" s="8" t="str">
        <f>IFERROR(INDEX('PROJETO PERFURAÇÃO'!$AN:$AN,MATCH(MEDIÇÃO!R1350,'PROJETO PERFURAÇÃO'!$B:$B,0)),"")</f>
        <v/>
      </c>
      <c r="U1350" s="3"/>
      <c r="V1350" s="3"/>
    </row>
    <row r="1351" spans="2:22" ht="45" customHeight="1">
      <c r="B1351" s="3" t="str">
        <f>IFERROR(ROUND(INDEX('PROJETO PERFURAÇÃO'!$AB:$AB,MATCH(MEDIÇÃO!D1351,'PROJETO PERFURAÇÃO'!$B:$B,0)),1)&amp;"''","")</f>
        <v/>
      </c>
      <c r="C1351" s="3" t="str">
        <f>IFERROR(IF(INDEX('PROJETO PERFURAÇÃO'!$P:$P,MATCH(MEDIÇÃO!D1351,'PROJETO PERFURAÇÃO'!$B:$B,0))="Production","P",IF(INDEX('PROJETO PERFURAÇÃO'!$P:$P,MATCH(MEDIÇÃO!D1351,'PROJETO PERFURAÇÃO'!$B:$B,0))="Buffer","B",IF(INDEX('PROJETO PERFURAÇÃO'!$P:$P,MATCH(MEDIÇÃO!D1351,'PROJETO PERFURAÇÃO'!$B:$B,0))="Pre-Splitting","S"))),"")</f>
        <v/>
      </c>
      <c r="D1351" s="14">
        <f t="shared" si="129"/>
        <v>2981</v>
      </c>
      <c r="E1351" s="4" t="str">
        <f>IFERROR(INDEX('LEV R&amp;D'!$D:$D,MATCH(MEDIÇÃO!D1351,'LEV R&amp;D'!$A:$A,0))-INDEX('PROJETO PERFURAÇÃO'!$AH:$AH,MATCH(MEDIÇÃO!D1351,'PROJETO PERFURAÇÃO'!$B:$B,0)),"")</f>
        <v/>
      </c>
      <c r="F1351" s="8" t="str">
        <f>IFERROR(INDEX('PROJETO PERFURAÇÃO'!$AN:$AN,MATCH(MEDIÇÃO!D1351,'PROJETO PERFURAÇÃO'!$B:$B,0)),"")</f>
        <v/>
      </c>
      <c r="G1351" s="3"/>
      <c r="H1351" s="3"/>
      <c r="I1351" s="3" t="str">
        <f>IFERROR(ROUND(INDEX('PROJETO PERFURAÇÃO'!$AB:$AB,MATCH(MEDIÇÃO!K1351,'PROJETO PERFURAÇÃO'!$B:$B,0)),1)&amp;"''","")</f>
        <v/>
      </c>
      <c r="J1351" s="3" t="str">
        <f>IFERROR(IF(INDEX('PROJETO PERFURAÇÃO'!$P:$P,MATCH(MEDIÇÃO!K1351,'PROJETO PERFURAÇÃO'!$B:$B,0))="Production","P",IF(INDEX('PROJETO PERFURAÇÃO'!$P:$P,MATCH(MEDIÇÃO!K1351,'PROJETO PERFURAÇÃO'!$B:$B,0))="Buffer","B",IF(INDEX('PROJETO PERFURAÇÃO'!$P:$P,MATCH(MEDIÇÃO!K1351,'PROJETO PERFURAÇÃO'!$B:$B,0))="Pre-Splitting","S"))),"")</f>
        <v/>
      </c>
      <c r="K1351" s="14">
        <f t="shared" si="130"/>
        <v>3004</v>
      </c>
      <c r="L1351" s="4" t="str">
        <f>IFERROR(INDEX('LEV R&amp;D'!$D:$D,MATCH(MEDIÇÃO!K1351,'LEV R&amp;D'!$A:$A,0))-INDEX('PROJETO PERFURAÇÃO'!$AH:$AH,MATCH(MEDIÇÃO!K1351,'PROJETO PERFURAÇÃO'!$B:$B,0)),"")</f>
        <v/>
      </c>
      <c r="M1351" s="8" t="str">
        <f>IFERROR(INDEX('PROJETO PERFURAÇÃO'!$AN:$AN,MATCH(MEDIÇÃO!K1351,'PROJETO PERFURAÇÃO'!$B:$B,0)),"")</f>
        <v/>
      </c>
      <c r="N1351" s="3"/>
      <c r="O1351" s="3"/>
      <c r="P1351" s="3" t="str">
        <f>IFERROR(ROUND(INDEX('PROJETO PERFURAÇÃO'!$AB:$AB,MATCH(MEDIÇÃO!R1351,'PROJETO PERFURAÇÃO'!$B:$B,0)),1)&amp;"''","")</f>
        <v/>
      </c>
      <c r="Q1351" s="3" t="str">
        <f>IFERROR(IF(INDEX('PROJETO PERFURAÇÃO'!$P:$P,MATCH(MEDIÇÃO!R1351,'PROJETO PERFURAÇÃO'!$B:$B,0))="Production","P",IF(INDEX('PROJETO PERFURAÇÃO'!$P:$P,MATCH(MEDIÇÃO!R1351,'PROJETO PERFURAÇÃO'!$B:$B,0))="Buffer","B",IF(INDEX('PROJETO PERFURAÇÃO'!$P:$P,MATCH(MEDIÇÃO!R1351,'PROJETO PERFURAÇÃO'!$B:$B,0))="Pre-Splitting","S"))),"")</f>
        <v/>
      </c>
      <c r="R1351" s="14">
        <f t="shared" si="131"/>
        <v>3027</v>
      </c>
      <c r="S1351" s="4" t="str">
        <f>IFERROR(INDEX('LEV R&amp;D'!$D:$D,MATCH(MEDIÇÃO!R1351,'LEV R&amp;D'!$A:$A,0))-INDEX('PROJETO PERFURAÇÃO'!$AH:$AH,MATCH(MEDIÇÃO!R1351,'PROJETO PERFURAÇÃO'!$B:$B,0)),"")</f>
        <v/>
      </c>
      <c r="T1351" s="8" t="str">
        <f>IFERROR(INDEX('PROJETO PERFURAÇÃO'!$AN:$AN,MATCH(MEDIÇÃO!R1351,'PROJETO PERFURAÇÃO'!$B:$B,0)),"")</f>
        <v/>
      </c>
      <c r="U1351" s="3"/>
      <c r="V1351" s="3"/>
    </row>
    <row r="1352" spans="2:22" ht="45" customHeight="1">
      <c r="B1352" s="3" t="str">
        <f>IFERROR(ROUND(INDEX('PROJETO PERFURAÇÃO'!$AB:$AB,MATCH(MEDIÇÃO!D1352,'PROJETO PERFURAÇÃO'!$B:$B,0)),1)&amp;"''","")</f>
        <v/>
      </c>
      <c r="C1352" s="3" t="str">
        <f>IFERROR(IF(INDEX('PROJETO PERFURAÇÃO'!$P:$P,MATCH(MEDIÇÃO!D1352,'PROJETO PERFURAÇÃO'!$B:$B,0))="Production","P",IF(INDEX('PROJETO PERFURAÇÃO'!$P:$P,MATCH(MEDIÇÃO!D1352,'PROJETO PERFURAÇÃO'!$B:$B,0))="Buffer","B",IF(INDEX('PROJETO PERFURAÇÃO'!$P:$P,MATCH(MEDIÇÃO!D1352,'PROJETO PERFURAÇÃO'!$B:$B,0))="Pre-Splitting","S"))),"")</f>
        <v/>
      </c>
      <c r="D1352" s="14">
        <f t="shared" si="129"/>
        <v>2982</v>
      </c>
      <c r="E1352" s="4" t="str">
        <f>IFERROR(INDEX('LEV R&amp;D'!$D:$D,MATCH(MEDIÇÃO!D1352,'LEV R&amp;D'!$A:$A,0))-INDEX('PROJETO PERFURAÇÃO'!$AH:$AH,MATCH(MEDIÇÃO!D1352,'PROJETO PERFURAÇÃO'!$B:$B,0)),"")</f>
        <v/>
      </c>
      <c r="F1352" s="8" t="str">
        <f>IFERROR(INDEX('PROJETO PERFURAÇÃO'!$AN:$AN,MATCH(MEDIÇÃO!D1352,'PROJETO PERFURAÇÃO'!$B:$B,0)),"")</f>
        <v/>
      </c>
      <c r="G1352" s="3"/>
      <c r="H1352" s="3"/>
      <c r="I1352" s="3" t="str">
        <f>IFERROR(ROUND(INDEX('PROJETO PERFURAÇÃO'!$AB:$AB,MATCH(MEDIÇÃO!K1352,'PROJETO PERFURAÇÃO'!$B:$B,0)),1)&amp;"''","")</f>
        <v/>
      </c>
      <c r="J1352" s="3" t="str">
        <f>IFERROR(IF(INDEX('PROJETO PERFURAÇÃO'!$P:$P,MATCH(MEDIÇÃO!K1352,'PROJETO PERFURAÇÃO'!$B:$B,0))="Production","P",IF(INDEX('PROJETO PERFURAÇÃO'!$P:$P,MATCH(MEDIÇÃO!K1352,'PROJETO PERFURAÇÃO'!$B:$B,0))="Buffer","B",IF(INDEX('PROJETO PERFURAÇÃO'!$P:$P,MATCH(MEDIÇÃO!K1352,'PROJETO PERFURAÇÃO'!$B:$B,0))="Pre-Splitting","S"))),"")</f>
        <v/>
      </c>
      <c r="K1352" s="14">
        <f t="shared" si="130"/>
        <v>3005</v>
      </c>
      <c r="L1352" s="4" t="str">
        <f>IFERROR(INDEX('LEV R&amp;D'!$D:$D,MATCH(MEDIÇÃO!K1352,'LEV R&amp;D'!$A:$A,0))-INDEX('PROJETO PERFURAÇÃO'!$AH:$AH,MATCH(MEDIÇÃO!K1352,'PROJETO PERFURAÇÃO'!$B:$B,0)),"")</f>
        <v/>
      </c>
      <c r="M1352" s="8" t="str">
        <f>IFERROR(INDEX('PROJETO PERFURAÇÃO'!$AN:$AN,MATCH(MEDIÇÃO!K1352,'PROJETO PERFURAÇÃO'!$B:$B,0)),"")</f>
        <v/>
      </c>
      <c r="N1352" s="3"/>
      <c r="O1352" s="3"/>
      <c r="P1352" s="3" t="str">
        <f>IFERROR(ROUND(INDEX('PROJETO PERFURAÇÃO'!$AB:$AB,MATCH(MEDIÇÃO!R1352,'PROJETO PERFURAÇÃO'!$B:$B,0)),1)&amp;"''","")</f>
        <v/>
      </c>
      <c r="Q1352" s="3" t="str">
        <f>IFERROR(IF(INDEX('PROJETO PERFURAÇÃO'!$P:$P,MATCH(MEDIÇÃO!R1352,'PROJETO PERFURAÇÃO'!$B:$B,0))="Production","P",IF(INDEX('PROJETO PERFURAÇÃO'!$P:$P,MATCH(MEDIÇÃO!R1352,'PROJETO PERFURAÇÃO'!$B:$B,0))="Buffer","B",IF(INDEX('PROJETO PERFURAÇÃO'!$P:$P,MATCH(MEDIÇÃO!R1352,'PROJETO PERFURAÇÃO'!$B:$B,0))="Pre-Splitting","S"))),"")</f>
        <v/>
      </c>
      <c r="R1352" s="14">
        <f t="shared" si="131"/>
        <v>3028</v>
      </c>
      <c r="S1352" s="4" t="str">
        <f>IFERROR(INDEX('LEV R&amp;D'!$D:$D,MATCH(MEDIÇÃO!R1352,'LEV R&amp;D'!$A:$A,0))-INDEX('PROJETO PERFURAÇÃO'!$AH:$AH,MATCH(MEDIÇÃO!R1352,'PROJETO PERFURAÇÃO'!$B:$B,0)),"")</f>
        <v/>
      </c>
      <c r="T1352" s="8" t="str">
        <f>IFERROR(INDEX('PROJETO PERFURAÇÃO'!$AN:$AN,MATCH(MEDIÇÃO!R1352,'PROJETO PERFURAÇÃO'!$B:$B,0)),"")</f>
        <v/>
      </c>
      <c r="U1352" s="3"/>
      <c r="V1352" s="3"/>
    </row>
    <row r="1353" spans="2:22" ht="45" customHeight="1">
      <c r="B1353" s="3" t="str">
        <f>IFERROR(ROUND(INDEX('PROJETO PERFURAÇÃO'!$AB:$AB,MATCH(MEDIÇÃO!D1353,'PROJETO PERFURAÇÃO'!$B:$B,0)),1)&amp;"''","")</f>
        <v/>
      </c>
      <c r="C1353" s="3" t="str">
        <f>IFERROR(IF(INDEX('PROJETO PERFURAÇÃO'!$P:$P,MATCH(MEDIÇÃO!D1353,'PROJETO PERFURAÇÃO'!$B:$B,0))="Production","P",IF(INDEX('PROJETO PERFURAÇÃO'!$P:$P,MATCH(MEDIÇÃO!D1353,'PROJETO PERFURAÇÃO'!$B:$B,0))="Buffer","B",IF(INDEX('PROJETO PERFURAÇÃO'!$P:$P,MATCH(MEDIÇÃO!D1353,'PROJETO PERFURAÇÃO'!$B:$B,0))="Pre-Splitting","S"))),"")</f>
        <v/>
      </c>
      <c r="D1353" s="14">
        <f t="shared" si="129"/>
        <v>2983</v>
      </c>
      <c r="E1353" s="4" t="str">
        <f>IFERROR(INDEX('LEV R&amp;D'!$D:$D,MATCH(MEDIÇÃO!D1353,'LEV R&amp;D'!$A:$A,0))-INDEX('PROJETO PERFURAÇÃO'!$AH:$AH,MATCH(MEDIÇÃO!D1353,'PROJETO PERFURAÇÃO'!$B:$B,0)),"")</f>
        <v/>
      </c>
      <c r="F1353" s="8" t="str">
        <f>IFERROR(INDEX('PROJETO PERFURAÇÃO'!$AN:$AN,MATCH(MEDIÇÃO!D1353,'PROJETO PERFURAÇÃO'!$B:$B,0)),"")</f>
        <v/>
      </c>
      <c r="G1353" s="3"/>
      <c r="H1353" s="3"/>
      <c r="I1353" s="3" t="str">
        <f>IFERROR(ROUND(INDEX('PROJETO PERFURAÇÃO'!$AB:$AB,MATCH(MEDIÇÃO!K1353,'PROJETO PERFURAÇÃO'!$B:$B,0)),1)&amp;"''","")</f>
        <v/>
      </c>
      <c r="J1353" s="3" t="str">
        <f>IFERROR(IF(INDEX('PROJETO PERFURAÇÃO'!$P:$P,MATCH(MEDIÇÃO!K1353,'PROJETO PERFURAÇÃO'!$B:$B,0))="Production","P",IF(INDEX('PROJETO PERFURAÇÃO'!$P:$P,MATCH(MEDIÇÃO!K1353,'PROJETO PERFURAÇÃO'!$B:$B,0))="Buffer","B",IF(INDEX('PROJETO PERFURAÇÃO'!$P:$P,MATCH(MEDIÇÃO!K1353,'PROJETO PERFURAÇÃO'!$B:$B,0))="Pre-Splitting","S"))),"")</f>
        <v/>
      </c>
      <c r="K1353" s="14">
        <f t="shared" si="130"/>
        <v>3006</v>
      </c>
      <c r="L1353" s="4" t="str">
        <f>IFERROR(INDEX('LEV R&amp;D'!$D:$D,MATCH(MEDIÇÃO!K1353,'LEV R&amp;D'!$A:$A,0))-INDEX('PROJETO PERFURAÇÃO'!$AH:$AH,MATCH(MEDIÇÃO!K1353,'PROJETO PERFURAÇÃO'!$B:$B,0)),"")</f>
        <v/>
      </c>
      <c r="M1353" s="8" t="str">
        <f>IFERROR(INDEX('PROJETO PERFURAÇÃO'!$AN:$AN,MATCH(MEDIÇÃO!K1353,'PROJETO PERFURAÇÃO'!$B:$B,0)),"")</f>
        <v/>
      </c>
      <c r="N1353" s="3"/>
      <c r="O1353" s="3"/>
      <c r="P1353" s="3" t="str">
        <f>IFERROR(ROUND(INDEX('PROJETO PERFURAÇÃO'!$AB:$AB,MATCH(MEDIÇÃO!R1353,'PROJETO PERFURAÇÃO'!$B:$B,0)),1)&amp;"''","")</f>
        <v/>
      </c>
      <c r="Q1353" s="3" t="str">
        <f>IFERROR(IF(INDEX('PROJETO PERFURAÇÃO'!$P:$P,MATCH(MEDIÇÃO!R1353,'PROJETO PERFURAÇÃO'!$B:$B,0))="Production","P",IF(INDEX('PROJETO PERFURAÇÃO'!$P:$P,MATCH(MEDIÇÃO!R1353,'PROJETO PERFURAÇÃO'!$B:$B,0))="Buffer","B",IF(INDEX('PROJETO PERFURAÇÃO'!$P:$P,MATCH(MEDIÇÃO!R1353,'PROJETO PERFURAÇÃO'!$B:$B,0))="Pre-Splitting","S"))),"")</f>
        <v/>
      </c>
      <c r="R1353" s="14">
        <f t="shared" si="131"/>
        <v>3029</v>
      </c>
      <c r="S1353" s="4" t="str">
        <f>IFERROR(INDEX('LEV R&amp;D'!$D:$D,MATCH(MEDIÇÃO!R1353,'LEV R&amp;D'!$A:$A,0))-INDEX('PROJETO PERFURAÇÃO'!$AH:$AH,MATCH(MEDIÇÃO!R1353,'PROJETO PERFURAÇÃO'!$B:$B,0)),"")</f>
        <v/>
      </c>
      <c r="T1353" s="8" t="str">
        <f>IFERROR(INDEX('PROJETO PERFURAÇÃO'!$AN:$AN,MATCH(MEDIÇÃO!R1353,'PROJETO PERFURAÇÃO'!$B:$B,0)),"")</f>
        <v/>
      </c>
      <c r="U1353" s="3"/>
      <c r="V1353" s="3"/>
    </row>
    <row r="1354" spans="2:22" ht="45" customHeight="1">
      <c r="B1354" s="3" t="str">
        <f>IFERROR(ROUND(INDEX('PROJETO PERFURAÇÃO'!$AB:$AB,MATCH(MEDIÇÃO!D1354,'PROJETO PERFURAÇÃO'!$B:$B,0)),1)&amp;"''","")</f>
        <v/>
      </c>
      <c r="C1354" s="3" t="str">
        <f>IFERROR(IF(INDEX('PROJETO PERFURAÇÃO'!$P:$P,MATCH(MEDIÇÃO!D1354,'PROJETO PERFURAÇÃO'!$B:$B,0))="Production","P",IF(INDEX('PROJETO PERFURAÇÃO'!$P:$P,MATCH(MEDIÇÃO!D1354,'PROJETO PERFURAÇÃO'!$B:$B,0))="Buffer","B",IF(INDEX('PROJETO PERFURAÇÃO'!$P:$P,MATCH(MEDIÇÃO!D1354,'PROJETO PERFURAÇÃO'!$B:$B,0))="Pre-Splitting","S"))),"")</f>
        <v/>
      </c>
      <c r="D1354" s="14">
        <f t="shared" si="129"/>
        <v>2984</v>
      </c>
      <c r="E1354" s="4" t="str">
        <f>IFERROR(INDEX('LEV R&amp;D'!$D:$D,MATCH(MEDIÇÃO!D1354,'LEV R&amp;D'!$A:$A,0))-INDEX('PROJETO PERFURAÇÃO'!$AH:$AH,MATCH(MEDIÇÃO!D1354,'PROJETO PERFURAÇÃO'!$B:$B,0)),"")</f>
        <v/>
      </c>
      <c r="F1354" s="8" t="str">
        <f>IFERROR(INDEX('PROJETO PERFURAÇÃO'!$AN:$AN,MATCH(MEDIÇÃO!D1354,'PROJETO PERFURAÇÃO'!$B:$B,0)),"")</f>
        <v/>
      </c>
      <c r="G1354" s="3"/>
      <c r="H1354" s="3"/>
      <c r="I1354" s="3" t="str">
        <f>IFERROR(ROUND(INDEX('PROJETO PERFURAÇÃO'!$AB:$AB,MATCH(MEDIÇÃO!K1354,'PROJETO PERFURAÇÃO'!$B:$B,0)),1)&amp;"''","")</f>
        <v/>
      </c>
      <c r="J1354" s="3" t="str">
        <f>IFERROR(IF(INDEX('PROJETO PERFURAÇÃO'!$P:$P,MATCH(MEDIÇÃO!K1354,'PROJETO PERFURAÇÃO'!$B:$B,0))="Production","P",IF(INDEX('PROJETO PERFURAÇÃO'!$P:$P,MATCH(MEDIÇÃO!K1354,'PROJETO PERFURAÇÃO'!$B:$B,0))="Buffer","B",IF(INDEX('PROJETO PERFURAÇÃO'!$P:$P,MATCH(MEDIÇÃO!K1354,'PROJETO PERFURAÇÃO'!$B:$B,0))="Pre-Splitting","S"))),"")</f>
        <v/>
      </c>
      <c r="K1354" s="14">
        <f t="shared" si="130"/>
        <v>3007</v>
      </c>
      <c r="L1354" s="4" t="str">
        <f>IFERROR(INDEX('LEV R&amp;D'!$D:$D,MATCH(MEDIÇÃO!K1354,'LEV R&amp;D'!$A:$A,0))-INDEX('PROJETO PERFURAÇÃO'!$AH:$AH,MATCH(MEDIÇÃO!K1354,'PROJETO PERFURAÇÃO'!$B:$B,0)),"")</f>
        <v/>
      </c>
      <c r="M1354" s="8" t="str">
        <f>IFERROR(INDEX('PROJETO PERFURAÇÃO'!$AN:$AN,MATCH(MEDIÇÃO!K1354,'PROJETO PERFURAÇÃO'!$B:$B,0)),"")</f>
        <v/>
      </c>
      <c r="N1354" s="3"/>
      <c r="O1354" s="3"/>
      <c r="P1354" s="3" t="str">
        <f>IFERROR(ROUND(INDEX('PROJETO PERFURAÇÃO'!$AB:$AB,MATCH(MEDIÇÃO!R1354,'PROJETO PERFURAÇÃO'!$B:$B,0)),1)&amp;"''","")</f>
        <v/>
      </c>
      <c r="Q1354" s="3" t="str">
        <f>IFERROR(IF(INDEX('PROJETO PERFURAÇÃO'!$P:$P,MATCH(MEDIÇÃO!R1354,'PROJETO PERFURAÇÃO'!$B:$B,0))="Production","P",IF(INDEX('PROJETO PERFURAÇÃO'!$P:$P,MATCH(MEDIÇÃO!R1354,'PROJETO PERFURAÇÃO'!$B:$B,0))="Buffer","B",IF(INDEX('PROJETO PERFURAÇÃO'!$P:$P,MATCH(MEDIÇÃO!R1354,'PROJETO PERFURAÇÃO'!$B:$B,0))="Pre-Splitting","S"))),"")</f>
        <v/>
      </c>
      <c r="R1354" s="14">
        <f t="shared" si="131"/>
        <v>3030</v>
      </c>
      <c r="S1354" s="4" t="str">
        <f>IFERROR(INDEX('LEV R&amp;D'!$D:$D,MATCH(MEDIÇÃO!R1354,'LEV R&amp;D'!$A:$A,0))-INDEX('PROJETO PERFURAÇÃO'!$AH:$AH,MATCH(MEDIÇÃO!R1354,'PROJETO PERFURAÇÃO'!$B:$B,0)),"")</f>
        <v/>
      </c>
      <c r="T1354" s="8" t="str">
        <f>IFERROR(INDEX('PROJETO PERFURAÇÃO'!$AN:$AN,MATCH(MEDIÇÃO!R1354,'PROJETO PERFURAÇÃO'!$B:$B,0)),"")</f>
        <v/>
      </c>
      <c r="U1354" s="3"/>
      <c r="V1354" s="3"/>
    </row>
    <row r="1355" spans="2:22" ht="45" customHeight="1">
      <c r="B1355" s="3" t="str">
        <f>IFERROR(ROUND(INDEX('PROJETO PERFURAÇÃO'!$AB:$AB,MATCH(MEDIÇÃO!D1355,'PROJETO PERFURAÇÃO'!$B:$B,0)),1)&amp;"''","")</f>
        <v/>
      </c>
      <c r="C1355" s="3" t="str">
        <f>IFERROR(IF(INDEX('PROJETO PERFURAÇÃO'!$P:$P,MATCH(MEDIÇÃO!D1355,'PROJETO PERFURAÇÃO'!$B:$B,0))="Production","P",IF(INDEX('PROJETO PERFURAÇÃO'!$P:$P,MATCH(MEDIÇÃO!D1355,'PROJETO PERFURAÇÃO'!$B:$B,0))="Buffer","B",IF(INDEX('PROJETO PERFURAÇÃO'!$P:$P,MATCH(MEDIÇÃO!D1355,'PROJETO PERFURAÇÃO'!$B:$B,0))="Pre-Splitting","S"))),"")</f>
        <v/>
      </c>
      <c r="D1355" s="14">
        <f t="shared" si="129"/>
        <v>2985</v>
      </c>
      <c r="E1355" s="4" t="str">
        <f>IFERROR(INDEX('LEV R&amp;D'!$D:$D,MATCH(MEDIÇÃO!D1355,'LEV R&amp;D'!$A:$A,0))-INDEX('PROJETO PERFURAÇÃO'!$AH:$AH,MATCH(MEDIÇÃO!D1355,'PROJETO PERFURAÇÃO'!$B:$B,0)),"")</f>
        <v/>
      </c>
      <c r="F1355" s="8" t="str">
        <f>IFERROR(INDEX('PROJETO PERFURAÇÃO'!$AN:$AN,MATCH(MEDIÇÃO!D1355,'PROJETO PERFURAÇÃO'!$B:$B,0)),"")</f>
        <v/>
      </c>
      <c r="G1355" s="3"/>
      <c r="H1355" s="3"/>
      <c r="I1355" s="3" t="str">
        <f>IFERROR(ROUND(INDEX('PROJETO PERFURAÇÃO'!$AB:$AB,MATCH(MEDIÇÃO!K1355,'PROJETO PERFURAÇÃO'!$B:$B,0)),1)&amp;"''","")</f>
        <v/>
      </c>
      <c r="J1355" s="3" t="str">
        <f>IFERROR(IF(INDEX('PROJETO PERFURAÇÃO'!$P:$P,MATCH(MEDIÇÃO!K1355,'PROJETO PERFURAÇÃO'!$B:$B,0))="Production","P",IF(INDEX('PROJETO PERFURAÇÃO'!$P:$P,MATCH(MEDIÇÃO!K1355,'PROJETO PERFURAÇÃO'!$B:$B,0))="Buffer","B",IF(INDEX('PROJETO PERFURAÇÃO'!$P:$P,MATCH(MEDIÇÃO!K1355,'PROJETO PERFURAÇÃO'!$B:$B,0))="Pre-Splitting","S"))),"")</f>
        <v/>
      </c>
      <c r="K1355" s="14">
        <f t="shared" si="130"/>
        <v>3008</v>
      </c>
      <c r="L1355" s="4" t="str">
        <f>IFERROR(INDEX('LEV R&amp;D'!$D:$D,MATCH(MEDIÇÃO!K1355,'LEV R&amp;D'!$A:$A,0))-INDEX('PROJETO PERFURAÇÃO'!$AH:$AH,MATCH(MEDIÇÃO!K1355,'PROJETO PERFURAÇÃO'!$B:$B,0)),"")</f>
        <v/>
      </c>
      <c r="M1355" s="8" t="str">
        <f>IFERROR(INDEX('PROJETO PERFURAÇÃO'!$AN:$AN,MATCH(MEDIÇÃO!K1355,'PROJETO PERFURAÇÃO'!$B:$B,0)),"")</f>
        <v/>
      </c>
      <c r="N1355" s="3"/>
      <c r="O1355" s="3"/>
      <c r="P1355" s="3" t="str">
        <f>IFERROR(ROUND(INDEX('PROJETO PERFURAÇÃO'!$AB:$AB,MATCH(MEDIÇÃO!R1355,'PROJETO PERFURAÇÃO'!$B:$B,0)),1)&amp;"''","")</f>
        <v/>
      </c>
      <c r="Q1355" s="3" t="str">
        <f>IFERROR(IF(INDEX('PROJETO PERFURAÇÃO'!$P:$P,MATCH(MEDIÇÃO!R1355,'PROJETO PERFURAÇÃO'!$B:$B,0))="Production","P",IF(INDEX('PROJETO PERFURAÇÃO'!$P:$P,MATCH(MEDIÇÃO!R1355,'PROJETO PERFURAÇÃO'!$B:$B,0))="Buffer","B",IF(INDEX('PROJETO PERFURAÇÃO'!$P:$P,MATCH(MEDIÇÃO!R1355,'PROJETO PERFURAÇÃO'!$B:$B,0))="Pre-Splitting","S"))),"")</f>
        <v/>
      </c>
      <c r="R1355" s="14">
        <f t="shared" si="131"/>
        <v>3031</v>
      </c>
      <c r="S1355" s="4" t="str">
        <f>IFERROR(INDEX('LEV R&amp;D'!$D:$D,MATCH(MEDIÇÃO!R1355,'LEV R&amp;D'!$A:$A,0))-INDEX('PROJETO PERFURAÇÃO'!$AH:$AH,MATCH(MEDIÇÃO!R1355,'PROJETO PERFURAÇÃO'!$B:$B,0)),"")</f>
        <v/>
      </c>
      <c r="T1355" s="8" t="str">
        <f>IFERROR(INDEX('PROJETO PERFURAÇÃO'!$AN:$AN,MATCH(MEDIÇÃO!R1355,'PROJETO PERFURAÇÃO'!$B:$B,0)),"")</f>
        <v/>
      </c>
      <c r="U1355" s="3"/>
      <c r="V1355" s="3"/>
    </row>
    <row r="1356" spans="2:22" ht="45" customHeight="1">
      <c r="B1356" s="3" t="str">
        <f>IFERROR(ROUND(INDEX('PROJETO PERFURAÇÃO'!$AB:$AB,MATCH(MEDIÇÃO!D1356,'PROJETO PERFURAÇÃO'!$B:$B,0)),1)&amp;"''","")</f>
        <v/>
      </c>
      <c r="C1356" s="3" t="str">
        <f>IFERROR(IF(INDEX('PROJETO PERFURAÇÃO'!$P:$P,MATCH(MEDIÇÃO!D1356,'PROJETO PERFURAÇÃO'!$B:$B,0))="Production","P",IF(INDEX('PROJETO PERFURAÇÃO'!$P:$P,MATCH(MEDIÇÃO!D1356,'PROJETO PERFURAÇÃO'!$B:$B,0))="Buffer","B",IF(INDEX('PROJETO PERFURAÇÃO'!$P:$P,MATCH(MEDIÇÃO!D1356,'PROJETO PERFURAÇÃO'!$B:$B,0))="Pre-Splitting","S"))),"")</f>
        <v/>
      </c>
      <c r="D1356" s="14">
        <f t="shared" si="129"/>
        <v>2986</v>
      </c>
      <c r="E1356" s="4" t="str">
        <f>IFERROR(INDEX('LEV R&amp;D'!$D:$D,MATCH(MEDIÇÃO!D1356,'LEV R&amp;D'!$A:$A,0))-INDEX('PROJETO PERFURAÇÃO'!$AH:$AH,MATCH(MEDIÇÃO!D1356,'PROJETO PERFURAÇÃO'!$B:$B,0)),"")</f>
        <v/>
      </c>
      <c r="F1356" s="8" t="str">
        <f>IFERROR(INDEX('PROJETO PERFURAÇÃO'!$AN:$AN,MATCH(MEDIÇÃO!D1356,'PROJETO PERFURAÇÃO'!$B:$B,0)),"")</f>
        <v/>
      </c>
      <c r="G1356" s="3"/>
      <c r="H1356" s="3"/>
      <c r="I1356" s="3" t="str">
        <f>IFERROR(ROUND(INDEX('PROJETO PERFURAÇÃO'!$AB:$AB,MATCH(MEDIÇÃO!K1356,'PROJETO PERFURAÇÃO'!$B:$B,0)),1)&amp;"''","")</f>
        <v/>
      </c>
      <c r="J1356" s="3" t="str">
        <f>IFERROR(IF(INDEX('PROJETO PERFURAÇÃO'!$P:$P,MATCH(MEDIÇÃO!K1356,'PROJETO PERFURAÇÃO'!$B:$B,0))="Production","P",IF(INDEX('PROJETO PERFURAÇÃO'!$P:$P,MATCH(MEDIÇÃO!K1356,'PROJETO PERFURAÇÃO'!$B:$B,0))="Buffer","B",IF(INDEX('PROJETO PERFURAÇÃO'!$P:$P,MATCH(MEDIÇÃO!K1356,'PROJETO PERFURAÇÃO'!$B:$B,0))="Pre-Splitting","S"))),"")</f>
        <v/>
      </c>
      <c r="K1356" s="14">
        <f t="shared" si="130"/>
        <v>3009</v>
      </c>
      <c r="L1356" s="4" t="str">
        <f>IFERROR(INDEX('LEV R&amp;D'!$D:$D,MATCH(MEDIÇÃO!K1356,'LEV R&amp;D'!$A:$A,0))-INDEX('PROJETO PERFURAÇÃO'!$AH:$AH,MATCH(MEDIÇÃO!K1356,'PROJETO PERFURAÇÃO'!$B:$B,0)),"")</f>
        <v/>
      </c>
      <c r="M1356" s="8" t="str">
        <f>IFERROR(INDEX('PROJETO PERFURAÇÃO'!$AN:$AN,MATCH(MEDIÇÃO!K1356,'PROJETO PERFURAÇÃO'!$B:$B,0)),"")</f>
        <v/>
      </c>
      <c r="N1356" s="3"/>
      <c r="O1356" s="3"/>
      <c r="P1356" s="3" t="str">
        <f>IFERROR(ROUND(INDEX('PROJETO PERFURAÇÃO'!$AB:$AB,MATCH(MEDIÇÃO!R1356,'PROJETO PERFURAÇÃO'!$B:$B,0)),1)&amp;"''","")</f>
        <v/>
      </c>
      <c r="Q1356" s="3" t="str">
        <f>IFERROR(IF(INDEX('PROJETO PERFURAÇÃO'!$P:$P,MATCH(MEDIÇÃO!R1356,'PROJETO PERFURAÇÃO'!$B:$B,0))="Production","P",IF(INDEX('PROJETO PERFURAÇÃO'!$P:$P,MATCH(MEDIÇÃO!R1356,'PROJETO PERFURAÇÃO'!$B:$B,0))="Buffer","B",IF(INDEX('PROJETO PERFURAÇÃO'!$P:$P,MATCH(MEDIÇÃO!R1356,'PROJETO PERFURAÇÃO'!$B:$B,0))="Pre-Splitting","S"))),"")</f>
        <v/>
      </c>
      <c r="R1356" s="14">
        <f t="shared" si="131"/>
        <v>3032</v>
      </c>
      <c r="S1356" s="4" t="str">
        <f>IFERROR(INDEX('LEV R&amp;D'!$D:$D,MATCH(MEDIÇÃO!R1356,'LEV R&amp;D'!$A:$A,0))-INDEX('PROJETO PERFURAÇÃO'!$AH:$AH,MATCH(MEDIÇÃO!R1356,'PROJETO PERFURAÇÃO'!$B:$B,0)),"")</f>
        <v/>
      </c>
      <c r="T1356" s="8" t="str">
        <f>IFERROR(INDEX('PROJETO PERFURAÇÃO'!$AN:$AN,MATCH(MEDIÇÃO!R1356,'PROJETO PERFURAÇÃO'!$B:$B,0)),"")</f>
        <v/>
      </c>
      <c r="U1356" s="3"/>
      <c r="V1356" s="3"/>
    </row>
    <row r="1357" spans="2:22" ht="45" customHeight="1">
      <c r="B1357" s="3" t="str">
        <f>IFERROR(ROUND(INDEX('PROJETO PERFURAÇÃO'!$AB:$AB,MATCH(MEDIÇÃO!D1357,'PROJETO PERFURAÇÃO'!$B:$B,0)),1)&amp;"''","")</f>
        <v/>
      </c>
      <c r="C1357" s="3" t="str">
        <f>IFERROR(IF(INDEX('PROJETO PERFURAÇÃO'!$P:$P,MATCH(MEDIÇÃO!D1357,'PROJETO PERFURAÇÃO'!$B:$B,0))="Production","P",IF(INDEX('PROJETO PERFURAÇÃO'!$P:$P,MATCH(MEDIÇÃO!D1357,'PROJETO PERFURAÇÃO'!$B:$B,0))="Buffer","B",IF(INDEX('PROJETO PERFURAÇÃO'!$P:$P,MATCH(MEDIÇÃO!D1357,'PROJETO PERFURAÇÃO'!$B:$B,0))="Pre-Splitting","S"))),"")</f>
        <v/>
      </c>
      <c r="D1357" s="14">
        <f t="shared" si="129"/>
        <v>2987</v>
      </c>
      <c r="E1357" s="4" t="str">
        <f>IFERROR(INDEX('LEV R&amp;D'!$D:$D,MATCH(MEDIÇÃO!D1357,'LEV R&amp;D'!$A:$A,0))-INDEX('PROJETO PERFURAÇÃO'!$AH:$AH,MATCH(MEDIÇÃO!D1357,'PROJETO PERFURAÇÃO'!$B:$B,0)),"")</f>
        <v/>
      </c>
      <c r="F1357" s="8" t="str">
        <f>IFERROR(INDEX('PROJETO PERFURAÇÃO'!$AN:$AN,MATCH(MEDIÇÃO!D1357,'PROJETO PERFURAÇÃO'!$B:$B,0)),"")</f>
        <v/>
      </c>
      <c r="G1357" s="3"/>
      <c r="H1357" s="3"/>
      <c r="I1357" s="3" t="str">
        <f>IFERROR(ROUND(INDEX('PROJETO PERFURAÇÃO'!$AB:$AB,MATCH(MEDIÇÃO!K1357,'PROJETO PERFURAÇÃO'!$B:$B,0)),1)&amp;"''","")</f>
        <v/>
      </c>
      <c r="J1357" s="3" t="str">
        <f>IFERROR(IF(INDEX('PROJETO PERFURAÇÃO'!$P:$P,MATCH(MEDIÇÃO!K1357,'PROJETO PERFURAÇÃO'!$B:$B,0))="Production","P",IF(INDEX('PROJETO PERFURAÇÃO'!$P:$P,MATCH(MEDIÇÃO!K1357,'PROJETO PERFURAÇÃO'!$B:$B,0))="Buffer","B",IF(INDEX('PROJETO PERFURAÇÃO'!$P:$P,MATCH(MEDIÇÃO!K1357,'PROJETO PERFURAÇÃO'!$B:$B,0))="Pre-Splitting","S"))),"")</f>
        <v/>
      </c>
      <c r="K1357" s="14">
        <f t="shared" si="130"/>
        <v>3010</v>
      </c>
      <c r="L1357" s="4" t="str">
        <f>IFERROR(INDEX('LEV R&amp;D'!$D:$D,MATCH(MEDIÇÃO!K1357,'LEV R&amp;D'!$A:$A,0))-INDEX('PROJETO PERFURAÇÃO'!$AH:$AH,MATCH(MEDIÇÃO!K1357,'PROJETO PERFURAÇÃO'!$B:$B,0)),"")</f>
        <v/>
      </c>
      <c r="M1357" s="8" t="str">
        <f>IFERROR(INDEX('PROJETO PERFURAÇÃO'!$AN:$AN,MATCH(MEDIÇÃO!K1357,'PROJETO PERFURAÇÃO'!$B:$B,0)),"")</f>
        <v/>
      </c>
      <c r="N1357" s="3"/>
      <c r="O1357" s="3"/>
      <c r="P1357" s="3" t="str">
        <f>IFERROR(ROUND(INDEX('PROJETO PERFURAÇÃO'!$AB:$AB,MATCH(MEDIÇÃO!R1357,'PROJETO PERFURAÇÃO'!$B:$B,0)),1)&amp;"''","")</f>
        <v/>
      </c>
      <c r="Q1357" s="3" t="str">
        <f>IFERROR(IF(INDEX('PROJETO PERFURAÇÃO'!$P:$P,MATCH(MEDIÇÃO!R1357,'PROJETO PERFURAÇÃO'!$B:$B,0))="Production","P",IF(INDEX('PROJETO PERFURAÇÃO'!$P:$P,MATCH(MEDIÇÃO!R1357,'PROJETO PERFURAÇÃO'!$B:$B,0))="Buffer","B",IF(INDEX('PROJETO PERFURAÇÃO'!$P:$P,MATCH(MEDIÇÃO!R1357,'PROJETO PERFURAÇÃO'!$B:$B,0))="Pre-Splitting","S"))),"")</f>
        <v/>
      </c>
      <c r="R1357" s="14">
        <f t="shared" si="131"/>
        <v>3033</v>
      </c>
      <c r="S1357" s="4" t="str">
        <f>IFERROR(INDEX('LEV R&amp;D'!$D:$D,MATCH(MEDIÇÃO!R1357,'LEV R&amp;D'!$A:$A,0))-INDEX('PROJETO PERFURAÇÃO'!$AH:$AH,MATCH(MEDIÇÃO!R1357,'PROJETO PERFURAÇÃO'!$B:$B,0)),"")</f>
        <v/>
      </c>
      <c r="T1357" s="8" t="str">
        <f>IFERROR(INDEX('PROJETO PERFURAÇÃO'!$AN:$AN,MATCH(MEDIÇÃO!R1357,'PROJETO PERFURAÇÃO'!$B:$B,0)),"")</f>
        <v/>
      </c>
      <c r="U1357" s="3"/>
      <c r="V1357" s="3"/>
    </row>
    <row r="1358" spans="2:22" ht="45" customHeight="1">
      <c r="B1358" s="3" t="str">
        <f>IFERROR(ROUND(INDEX('PROJETO PERFURAÇÃO'!$AB:$AB,MATCH(MEDIÇÃO!D1358,'PROJETO PERFURAÇÃO'!$B:$B,0)),1)&amp;"''","")</f>
        <v/>
      </c>
      <c r="C1358" s="3" t="str">
        <f>IFERROR(IF(INDEX('PROJETO PERFURAÇÃO'!$P:$P,MATCH(MEDIÇÃO!D1358,'PROJETO PERFURAÇÃO'!$B:$B,0))="Production","P",IF(INDEX('PROJETO PERFURAÇÃO'!$P:$P,MATCH(MEDIÇÃO!D1358,'PROJETO PERFURAÇÃO'!$B:$B,0))="Buffer","B",IF(INDEX('PROJETO PERFURAÇÃO'!$P:$P,MATCH(MEDIÇÃO!D1358,'PROJETO PERFURAÇÃO'!$B:$B,0))="Pre-Splitting","S"))),"")</f>
        <v/>
      </c>
      <c r="D1358" s="14">
        <f t="shared" si="129"/>
        <v>2988</v>
      </c>
      <c r="E1358" s="4" t="str">
        <f>IFERROR(INDEX('LEV R&amp;D'!$D:$D,MATCH(MEDIÇÃO!D1358,'LEV R&amp;D'!$A:$A,0))-INDEX('PROJETO PERFURAÇÃO'!$AH:$AH,MATCH(MEDIÇÃO!D1358,'PROJETO PERFURAÇÃO'!$B:$B,0)),"")</f>
        <v/>
      </c>
      <c r="F1358" s="8" t="str">
        <f>IFERROR(INDEX('PROJETO PERFURAÇÃO'!$AN:$AN,MATCH(MEDIÇÃO!D1358,'PROJETO PERFURAÇÃO'!$B:$B,0)),"")</f>
        <v/>
      </c>
      <c r="G1358" s="3"/>
      <c r="H1358" s="3"/>
      <c r="I1358" s="3" t="str">
        <f>IFERROR(ROUND(INDEX('PROJETO PERFURAÇÃO'!$AB:$AB,MATCH(MEDIÇÃO!K1358,'PROJETO PERFURAÇÃO'!$B:$B,0)),1)&amp;"''","")</f>
        <v/>
      </c>
      <c r="J1358" s="3" t="str">
        <f>IFERROR(IF(INDEX('PROJETO PERFURAÇÃO'!$P:$P,MATCH(MEDIÇÃO!K1358,'PROJETO PERFURAÇÃO'!$B:$B,0))="Production","P",IF(INDEX('PROJETO PERFURAÇÃO'!$P:$P,MATCH(MEDIÇÃO!K1358,'PROJETO PERFURAÇÃO'!$B:$B,0))="Buffer","B",IF(INDEX('PROJETO PERFURAÇÃO'!$P:$P,MATCH(MEDIÇÃO!K1358,'PROJETO PERFURAÇÃO'!$B:$B,0))="Pre-Splitting","S"))),"")</f>
        <v/>
      </c>
      <c r="K1358" s="14">
        <f t="shared" si="130"/>
        <v>3011</v>
      </c>
      <c r="L1358" s="4" t="str">
        <f>IFERROR(INDEX('LEV R&amp;D'!$D:$D,MATCH(MEDIÇÃO!K1358,'LEV R&amp;D'!$A:$A,0))-INDEX('PROJETO PERFURAÇÃO'!$AH:$AH,MATCH(MEDIÇÃO!K1358,'PROJETO PERFURAÇÃO'!$B:$B,0)),"")</f>
        <v/>
      </c>
      <c r="M1358" s="8" t="str">
        <f>IFERROR(INDEX('PROJETO PERFURAÇÃO'!$AN:$AN,MATCH(MEDIÇÃO!K1358,'PROJETO PERFURAÇÃO'!$B:$B,0)),"")</f>
        <v/>
      </c>
      <c r="N1358" s="3"/>
      <c r="O1358" s="3"/>
      <c r="P1358" s="3" t="str">
        <f>IFERROR(ROUND(INDEX('PROJETO PERFURAÇÃO'!$AB:$AB,MATCH(MEDIÇÃO!R1358,'PROJETO PERFURAÇÃO'!$B:$B,0)),1)&amp;"''","")</f>
        <v/>
      </c>
      <c r="Q1358" s="3" t="str">
        <f>IFERROR(IF(INDEX('PROJETO PERFURAÇÃO'!$P:$P,MATCH(MEDIÇÃO!R1358,'PROJETO PERFURAÇÃO'!$B:$B,0))="Production","P",IF(INDEX('PROJETO PERFURAÇÃO'!$P:$P,MATCH(MEDIÇÃO!R1358,'PROJETO PERFURAÇÃO'!$B:$B,0))="Buffer","B",IF(INDEX('PROJETO PERFURAÇÃO'!$P:$P,MATCH(MEDIÇÃO!R1358,'PROJETO PERFURAÇÃO'!$B:$B,0))="Pre-Splitting","S"))),"")</f>
        <v/>
      </c>
      <c r="R1358" s="14">
        <f t="shared" si="131"/>
        <v>3034</v>
      </c>
      <c r="S1358" s="4" t="str">
        <f>IFERROR(INDEX('LEV R&amp;D'!$D:$D,MATCH(MEDIÇÃO!R1358,'LEV R&amp;D'!$A:$A,0))-INDEX('PROJETO PERFURAÇÃO'!$AH:$AH,MATCH(MEDIÇÃO!R1358,'PROJETO PERFURAÇÃO'!$B:$B,0)),"")</f>
        <v/>
      </c>
      <c r="T1358" s="8" t="str">
        <f>IFERROR(INDEX('PROJETO PERFURAÇÃO'!$AN:$AN,MATCH(MEDIÇÃO!R1358,'PROJETO PERFURAÇÃO'!$B:$B,0)),"")</f>
        <v/>
      </c>
      <c r="U1358" s="3"/>
      <c r="V1358" s="3"/>
    </row>
    <row r="1359" spans="2:22" ht="45" customHeight="1">
      <c r="B1359" s="3" t="str">
        <f>IFERROR(ROUND(INDEX('PROJETO PERFURAÇÃO'!$AB:$AB,MATCH(MEDIÇÃO!D1359,'PROJETO PERFURAÇÃO'!$B:$B,0)),1)&amp;"''","")</f>
        <v/>
      </c>
      <c r="C1359" s="3" t="str">
        <f>IFERROR(IF(INDEX('PROJETO PERFURAÇÃO'!$P:$P,MATCH(MEDIÇÃO!D1359,'PROJETO PERFURAÇÃO'!$B:$B,0))="Production","P",IF(INDEX('PROJETO PERFURAÇÃO'!$P:$P,MATCH(MEDIÇÃO!D1359,'PROJETO PERFURAÇÃO'!$B:$B,0))="Buffer","B",IF(INDEX('PROJETO PERFURAÇÃO'!$P:$P,MATCH(MEDIÇÃO!D1359,'PROJETO PERFURAÇÃO'!$B:$B,0))="Pre-Splitting","S"))),"")</f>
        <v/>
      </c>
      <c r="D1359" s="14">
        <f t="shared" si="129"/>
        <v>2989</v>
      </c>
      <c r="E1359" s="4" t="str">
        <f>IFERROR(INDEX('LEV R&amp;D'!$D:$D,MATCH(MEDIÇÃO!D1359,'LEV R&amp;D'!$A:$A,0))-INDEX('PROJETO PERFURAÇÃO'!$AH:$AH,MATCH(MEDIÇÃO!D1359,'PROJETO PERFURAÇÃO'!$B:$B,0)),"")</f>
        <v/>
      </c>
      <c r="F1359" s="8" t="str">
        <f>IFERROR(INDEX('PROJETO PERFURAÇÃO'!$AN:$AN,MATCH(MEDIÇÃO!D1359,'PROJETO PERFURAÇÃO'!$B:$B,0)),"")</f>
        <v/>
      </c>
      <c r="G1359" s="3"/>
      <c r="H1359" s="3"/>
      <c r="I1359" s="3" t="str">
        <f>IFERROR(ROUND(INDEX('PROJETO PERFURAÇÃO'!$AB:$AB,MATCH(MEDIÇÃO!K1359,'PROJETO PERFURAÇÃO'!$B:$B,0)),1)&amp;"''","")</f>
        <v/>
      </c>
      <c r="J1359" s="3" t="str">
        <f>IFERROR(IF(INDEX('PROJETO PERFURAÇÃO'!$P:$P,MATCH(MEDIÇÃO!K1359,'PROJETO PERFURAÇÃO'!$B:$B,0))="Production","P",IF(INDEX('PROJETO PERFURAÇÃO'!$P:$P,MATCH(MEDIÇÃO!K1359,'PROJETO PERFURAÇÃO'!$B:$B,0))="Buffer","B",IF(INDEX('PROJETO PERFURAÇÃO'!$P:$P,MATCH(MEDIÇÃO!K1359,'PROJETO PERFURAÇÃO'!$B:$B,0))="Pre-Splitting","S"))),"")</f>
        <v/>
      </c>
      <c r="K1359" s="14">
        <f t="shared" si="130"/>
        <v>3012</v>
      </c>
      <c r="L1359" s="4" t="str">
        <f>IFERROR(INDEX('LEV R&amp;D'!$D:$D,MATCH(MEDIÇÃO!K1359,'LEV R&amp;D'!$A:$A,0))-INDEX('PROJETO PERFURAÇÃO'!$AH:$AH,MATCH(MEDIÇÃO!K1359,'PROJETO PERFURAÇÃO'!$B:$B,0)),"")</f>
        <v/>
      </c>
      <c r="M1359" s="8" t="str">
        <f>IFERROR(INDEX('PROJETO PERFURAÇÃO'!$AN:$AN,MATCH(MEDIÇÃO!K1359,'PROJETO PERFURAÇÃO'!$B:$B,0)),"")</f>
        <v/>
      </c>
      <c r="N1359" s="3"/>
      <c r="O1359" s="3"/>
      <c r="P1359" s="3" t="str">
        <f>IFERROR(ROUND(INDEX('PROJETO PERFURAÇÃO'!$AB:$AB,MATCH(MEDIÇÃO!R1359,'PROJETO PERFURAÇÃO'!$B:$B,0)),1)&amp;"''","")</f>
        <v/>
      </c>
      <c r="Q1359" s="3" t="str">
        <f>IFERROR(IF(INDEX('PROJETO PERFURAÇÃO'!$P:$P,MATCH(MEDIÇÃO!R1359,'PROJETO PERFURAÇÃO'!$B:$B,0))="Production","P",IF(INDEX('PROJETO PERFURAÇÃO'!$P:$P,MATCH(MEDIÇÃO!R1359,'PROJETO PERFURAÇÃO'!$B:$B,0))="Buffer","B",IF(INDEX('PROJETO PERFURAÇÃO'!$P:$P,MATCH(MEDIÇÃO!R1359,'PROJETO PERFURAÇÃO'!$B:$B,0))="Pre-Splitting","S"))),"")</f>
        <v/>
      </c>
      <c r="R1359" s="14">
        <f t="shared" si="131"/>
        <v>3035</v>
      </c>
      <c r="S1359" s="4" t="str">
        <f>IFERROR(INDEX('LEV R&amp;D'!$D:$D,MATCH(MEDIÇÃO!R1359,'LEV R&amp;D'!$A:$A,0))-INDEX('PROJETO PERFURAÇÃO'!$AH:$AH,MATCH(MEDIÇÃO!R1359,'PROJETO PERFURAÇÃO'!$B:$B,0)),"")</f>
        <v/>
      </c>
      <c r="T1359" s="8" t="str">
        <f>IFERROR(INDEX('PROJETO PERFURAÇÃO'!$AN:$AN,MATCH(MEDIÇÃO!R1359,'PROJETO PERFURAÇÃO'!$B:$B,0)),"")</f>
        <v/>
      </c>
      <c r="U1359" s="3"/>
      <c r="V1359" s="3"/>
    </row>
    <row r="1360" spans="2:22" ht="45" customHeight="1">
      <c r="B1360" s="3" t="str">
        <f>IFERROR(ROUND(INDEX('PROJETO PERFURAÇÃO'!$AB:$AB,MATCH(MEDIÇÃO!D1360,'PROJETO PERFURAÇÃO'!$B:$B,0)),1)&amp;"''","")</f>
        <v/>
      </c>
      <c r="C1360" s="3" t="str">
        <f>IFERROR(IF(INDEX('PROJETO PERFURAÇÃO'!$P:$P,MATCH(MEDIÇÃO!D1360,'PROJETO PERFURAÇÃO'!$B:$B,0))="Production","P",IF(INDEX('PROJETO PERFURAÇÃO'!$P:$P,MATCH(MEDIÇÃO!D1360,'PROJETO PERFURAÇÃO'!$B:$B,0))="Buffer","B",IF(INDEX('PROJETO PERFURAÇÃO'!$P:$P,MATCH(MEDIÇÃO!D1360,'PROJETO PERFURAÇÃO'!$B:$B,0))="Pre-Splitting","S"))),"")</f>
        <v/>
      </c>
      <c r="D1360" s="14">
        <f t="shared" si="129"/>
        <v>2990</v>
      </c>
      <c r="E1360" s="4" t="str">
        <f>IFERROR(INDEX('LEV R&amp;D'!$D:$D,MATCH(MEDIÇÃO!D1360,'LEV R&amp;D'!$A:$A,0))-INDEX('PROJETO PERFURAÇÃO'!$AH:$AH,MATCH(MEDIÇÃO!D1360,'PROJETO PERFURAÇÃO'!$B:$B,0)),"")</f>
        <v/>
      </c>
      <c r="F1360" s="8" t="str">
        <f>IFERROR(INDEX('PROJETO PERFURAÇÃO'!$AN:$AN,MATCH(MEDIÇÃO!D1360,'PROJETO PERFURAÇÃO'!$B:$B,0)),"")</f>
        <v/>
      </c>
      <c r="G1360" s="3"/>
      <c r="H1360" s="3"/>
      <c r="I1360" s="3" t="str">
        <f>IFERROR(ROUND(INDEX('PROJETO PERFURAÇÃO'!$AB:$AB,MATCH(MEDIÇÃO!K1360,'PROJETO PERFURAÇÃO'!$B:$B,0)),1)&amp;"''","")</f>
        <v/>
      </c>
      <c r="J1360" s="3" t="str">
        <f>IFERROR(IF(INDEX('PROJETO PERFURAÇÃO'!$P:$P,MATCH(MEDIÇÃO!K1360,'PROJETO PERFURAÇÃO'!$B:$B,0))="Production","P",IF(INDEX('PROJETO PERFURAÇÃO'!$P:$P,MATCH(MEDIÇÃO!K1360,'PROJETO PERFURAÇÃO'!$B:$B,0))="Buffer","B",IF(INDEX('PROJETO PERFURAÇÃO'!$P:$P,MATCH(MEDIÇÃO!K1360,'PROJETO PERFURAÇÃO'!$B:$B,0))="Pre-Splitting","S"))),"")</f>
        <v/>
      </c>
      <c r="K1360" s="14">
        <f>K1359+1</f>
        <v>3013</v>
      </c>
      <c r="L1360" s="4" t="str">
        <f>IFERROR(INDEX('LEV R&amp;D'!$D:$D,MATCH(MEDIÇÃO!K1360,'LEV R&amp;D'!$A:$A,0))-INDEX('PROJETO PERFURAÇÃO'!$AH:$AH,MATCH(MEDIÇÃO!K1360,'PROJETO PERFURAÇÃO'!$B:$B,0)),"")</f>
        <v/>
      </c>
      <c r="M1360" s="8" t="str">
        <f>IFERROR(INDEX('PROJETO PERFURAÇÃO'!$AN:$AN,MATCH(MEDIÇÃO!K1360,'PROJETO PERFURAÇÃO'!$B:$B,0)),"")</f>
        <v/>
      </c>
      <c r="N1360" s="3"/>
      <c r="O1360" s="3"/>
      <c r="P1360" s="3" t="str">
        <f>IFERROR(ROUND(INDEX('PROJETO PERFURAÇÃO'!$AB:$AB,MATCH(MEDIÇÃO!R1360,'PROJETO PERFURAÇÃO'!$B:$B,0)),1)&amp;"''","")</f>
        <v/>
      </c>
      <c r="Q1360" s="3" t="str">
        <f>IFERROR(IF(INDEX('PROJETO PERFURAÇÃO'!$P:$P,MATCH(MEDIÇÃO!R1360,'PROJETO PERFURAÇÃO'!$B:$B,0))="Production","P",IF(INDEX('PROJETO PERFURAÇÃO'!$P:$P,MATCH(MEDIÇÃO!R1360,'PROJETO PERFURAÇÃO'!$B:$B,0))="Buffer","B",IF(INDEX('PROJETO PERFURAÇÃO'!$P:$P,MATCH(MEDIÇÃO!R1360,'PROJETO PERFURAÇÃO'!$B:$B,0))="Pre-Splitting","S"))),"")</f>
        <v/>
      </c>
      <c r="R1360" s="14">
        <f>R1359+1</f>
        <v>3036</v>
      </c>
      <c r="S1360" s="4" t="str">
        <f>IFERROR(INDEX('LEV R&amp;D'!$D:$D,MATCH(MEDIÇÃO!R1360,'LEV R&amp;D'!$A:$A,0))-INDEX('PROJETO PERFURAÇÃO'!$AH:$AH,MATCH(MEDIÇÃO!R1360,'PROJETO PERFURAÇÃO'!$B:$B,0)),"")</f>
        <v/>
      </c>
      <c r="T1360" s="8" t="str">
        <f>IFERROR(INDEX('PROJETO PERFURAÇÃO'!$AN:$AN,MATCH(MEDIÇÃO!R1360,'PROJETO PERFURAÇÃO'!$B:$B,0)),"")</f>
        <v/>
      </c>
      <c r="U1360" s="3"/>
      <c r="V1360" s="3"/>
    </row>
    <row r="1361" spans="1:23" ht="30" customHeight="1">
      <c r="B1361" s="1"/>
      <c r="C1361" s="1"/>
      <c r="D1361" s="15"/>
      <c r="E1361" s="2"/>
      <c r="F1361" s="16"/>
      <c r="G1361" s="1"/>
      <c r="H1361" s="1"/>
      <c r="I1361" s="1"/>
      <c r="J1361" s="1"/>
      <c r="K1361" s="15"/>
      <c r="L1361" s="2"/>
      <c r="M1361" s="16"/>
      <c r="N1361" s="1"/>
      <c r="O1361" s="1"/>
      <c r="P1361" s="1"/>
      <c r="Q1361" s="1"/>
      <c r="R1361" s="15"/>
      <c r="S1361" s="2"/>
      <c r="T1361" s="16"/>
      <c r="U1361" s="1"/>
      <c r="V1361" s="1"/>
    </row>
    <row r="1362" spans="1:23" ht="30" customHeight="1">
      <c r="C1362" s="20"/>
      <c r="D1362" s="20"/>
      <c r="E1362" s="20"/>
      <c r="F1362" s="20"/>
      <c r="G1362" s="20"/>
      <c r="H1362" s="20"/>
      <c r="I1362" s="20"/>
      <c r="J1362" s="20"/>
      <c r="K1362" s="20"/>
      <c r="M1362" s="20"/>
      <c r="N1362" s="20"/>
      <c r="O1362" s="20"/>
      <c r="P1362" s="20"/>
      <c r="Q1362" s="20"/>
      <c r="R1362" s="20"/>
      <c r="S1362" s="20"/>
      <c r="T1362" s="20"/>
      <c r="U1362" s="20"/>
    </row>
    <row r="1363" spans="1:23" ht="30" customHeight="1">
      <c r="C1363" s="21" t="s">
        <v>40</v>
      </c>
      <c r="D1363" s="21"/>
      <c r="E1363" s="21"/>
      <c r="F1363" s="21"/>
      <c r="G1363" s="21"/>
      <c r="H1363" s="21"/>
      <c r="I1363" s="21"/>
      <c r="J1363" s="21"/>
      <c r="K1363" s="21"/>
      <c r="L1363" s="9"/>
      <c r="M1363" s="21" t="s">
        <v>40</v>
      </c>
      <c r="N1363" s="21"/>
      <c r="O1363" s="21"/>
      <c r="P1363" s="21"/>
      <c r="Q1363" s="21"/>
      <c r="R1363" s="21"/>
      <c r="S1363" s="21"/>
      <c r="T1363" s="21"/>
      <c r="U1363" s="21"/>
      <c r="V1363" s="9"/>
    </row>
    <row r="1364" spans="1:23" ht="30" customHeight="1">
      <c r="D1364" s="9"/>
      <c r="E1364" s="9"/>
      <c r="F1364" s="9"/>
      <c r="G1364" s="9"/>
      <c r="H1364" s="9"/>
      <c r="I1364" s="9"/>
      <c r="J1364" s="9"/>
      <c r="K1364" s="9"/>
      <c r="L1364" s="9"/>
      <c r="M1364" s="9"/>
      <c r="N1364" s="9"/>
      <c r="Q1364" s="9"/>
      <c r="R1364" s="9"/>
      <c r="S1364" s="9"/>
      <c r="T1364" s="9"/>
      <c r="U1364" s="9"/>
      <c r="V1364" s="9"/>
    </row>
    <row r="1365" spans="1:23" ht="30" customHeight="1">
      <c r="B1365" s="19" t="str">
        <f>'PROJETO PERFURAÇÃO'!$C$2&amp;" - "&amp;'PROJETO PERFURAÇÃO'!$H$2</f>
        <v>LIB037 - PP0370626</v>
      </c>
      <c r="C1365" s="19"/>
      <c r="D1365" s="19"/>
      <c r="E1365" s="19"/>
      <c r="F1365" s="19"/>
      <c r="G1365" s="19"/>
      <c r="H1365" s="19"/>
      <c r="I1365" s="11" t="s">
        <v>34</v>
      </c>
      <c r="J1365" s="10" t="s">
        <v>37</v>
      </c>
    </row>
    <row r="1366" spans="1:23" ht="30" customHeight="1">
      <c r="B1366" s="19"/>
      <c r="C1366" s="19"/>
      <c r="D1366" s="19"/>
      <c r="E1366" s="19"/>
      <c r="F1366" s="19"/>
      <c r="G1366" s="19"/>
      <c r="H1366" s="19"/>
      <c r="I1366" s="12" t="s">
        <v>35</v>
      </c>
      <c r="J1366" s="10" t="s">
        <v>38</v>
      </c>
      <c r="K1366" s="9"/>
      <c r="L1366" s="9"/>
      <c r="M1366" s="9"/>
      <c r="N1366" s="9"/>
      <c r="O1366" s="9"/>
      <c r="P1366" s="9"/>
      <c r="Q1366" s="9"/>
      <c r="R1366" s="9"/>
      <c r="S1366" s="9"/>
      <c r="T1366" s="9"/>
      <c r="U1366" s="9"/>
      <c r="V1366" s="9"/>
    </row>
    <row r="1367" spans="1:23" ht="30" customHeight="1">
      <c r="B1367" s="19"/>
      <c r="C1367" s="19"/>
      <c r="D1367" s="19"/>
      <c r="E1367" s="19"/>
      <c r="F1367" s="19"/>
      <c r="G1367" s="19"/>
      <c r="H1367" s="19"/>
      <c r="I1367" s="13" t="s">
        <v>36</v>
      </c>
      <c r="J1367" s="10" t="s">
        <v>39</v>
      </c>
    </row>
    <row r="1368" spans="1:23" ht="30" customHeight="1">
      <c r="A1368" s="1"/>
      <c r="B1368" s="6" t="s">
        <v>33</v>
      </c>
      <c r="C1368" s="6" t="s">
        <v>13</v>
      </c>
      <c r="D1368" s="7" t="s">
        <v>1</v>
      </c>
      <c r="E1368" s="7" t="s">
        <v>29</v>
      </c>
      <c r="F1368" s="7" t="s">
        <v>30</v>
      </c>
      <c r="G1368" s="7" t="s">
        <v>31</v>
      </c>
      <c r="H1368" s="7" t="s">
        <v>32</v>
      </c>
      <c r="I1368" s="6" t="s">
        <v>33</v>
      </c>
      <c r="J1368" s="6" t="s">
        <v>13</v>
      </c>
      <c r="K1368" s="7" t="s">
        <v>1</v>
      </c>
      <c r="L1368" s="7" t="s">
        <v>29</v>
      </c>
      <c r="M1368" s="7" t="s">
        <v>30</v>
      </c>
      <c r="N1368" s="7" t="s">
        <v>31</v>
      </c>
      <c r="O1368" s="7" t="s">
        <v>32</v>
      </c>
      <c r="P1368" s="6" t="s">
        <v>33</v>
      </c>
      <c r="Q1368" s="6" t="s">
        <v>13</v>
      </c>
      <c r="R1368" s="7" t="s">
        <v>1</v>
      </c>
      <c r="S1368" s="7" t="s">
        <v>29</v>
      </c>
      <c r="T1368" s="7" t="s">
        <v>30</v>
      </c>
      <c r="U1368" s="7" t="s">
        <v>31</v>
      </c>
      <c r="V1368" s="7" t="s">
        <v>32</v>
      </c>
      <c r="W1368" s="1"/>
    </row>
    <row r="1369" spans="1:23" ht="45" customHeight="1">
      <c r="B1369" s="3" t="str">
        <f>IFERROR(ROUND(INDEX('PROJETO PERFURAÇÃO'!$AB:$AB,MATCH(MEDIÇÃO!D1369,'PROJETO PERFURAÇÃO'!$B:$B,0)),1)&amp;"''","")</f>
        <v/>
      </c>
      <c r="C1369" s="3" t="str">
        <f>IFERROR(IF(INDEX('PROJETO PERFURAÇÃO'!$P:$P,MATCH(MEDIÇÃO!D1369,'PROJETO PERFURAÇÃO'!$B:$B,0))="Production","P",IF(INDEX('PROJETO PERFURAÇÃO'!$P:$P,MATCH(MEDIÇÃO!D1369,'PROJETO PERFURAÇÃO'!$B:$B,0))="Buffer","B",IF(INDEX('PROJETO PERFURAÇÃO'!$P:$P,MATCH(MEDIÇÃO!D1369,'PROJETO PERFURAÇÃO'!$B:$B,0))="Pre-Splitting","S"))),"")</f>
        <v/>
      </c>
      <c r="D1369" s="14">
        <f>R1360+1</f>
        <v>3037</v>
      </c>
      <c r="E1369" s="4" t="str">
        <f>IFERROR(INDEX('LEV R&amp;D'!$D:$D,MATCH(MEDIÇÃO!D1369,'LEV R&amp;D'!$A:$A,0))-INDEX('PROJETO PERFURAÇÃO'!$AH:$AH,MATCH(MEDIÇÃO!D1369,'PROJETO PERFURAÇÃO'!$B:$B,0)),"")</f>
        <v/>
      </c>
      <c r="F1369" s="8" t="str">
        <f>IFERROR(INDEX('PROJETO PERFURAÇÃO'!$AN:$AN,MATCH(MEDIÇÃO!D1369,'PROJETO PERFURAÇÃO'!$B:$B,0)),"")</f>
        <v/>
      </c>
      <c r="G1369" s="3"/>
      <c r="H1369" s="3"/>
      <c r="I1369" s="3" t="str">
        <f>IFERROR(ROUND(INDEX('PROJETO PERFURAÇÃO'!$AB:$AB,MATCH(MEDIÇÃO!K1369,'PROJETO PERFURAÇÃO'!$B:$B,0)),1)&amp;"''","")</f>
        <v/>
      </c>
      <c r="J1369" s="3" t="str">
        <f>IFERROR(IF(INDEX('PROJETO PERFURAÇÃO'!$P:$P,MATCH(MEDIÇÃO!K1369,'PROJETO PERFURAÇÃO'!$B:$B,0))="Production","P",IF(INDEX('PROJETO PERFURAÇÃO'!$P:$P,MATCH(MEDIÇÃO!K1369,'PROJETO PERFURAÇÃO'!$B:$B,0))="Buffer","B",IF(INDEX('PROJETO PERFURAÇÃO'!$P:$P,MATCH(MEDIÇÃO!K1369,'PROJETO PERFURAÇÃO'!$B:$B,0))="Pre-Splitting","S"))),"")</f>
        <v/>
      </c>
      <c r="K1369" s="14">
        <f>D1391+1</f>
        <v>3060</v>
      </c>
      <c r="L1369" s="4" t="str">
        <f>IFERROR(INDEX('LEV R&amp;D'!$D:$D,MATCH(MEDIÇÃO!K1369,'LEV R&amp;D'!$A:$A,0))-INDEX('PROJETO PERFURAÇÃO'!$AH:$AH,MATCH(MEDIÇÃO!K1369,'PROJETO PERFURAÇÃO'!$B:$B,0)),"")</f>
        <v/>
      </c>
      <c r="M1369" s="8" t="str">
        <f>IFERROR(INDEX('PROJETO PERFURAÇÃO'!$AN:$AN,MATCH(MEDIÇÃO!K1369,'PROJETO PERFURAÇÃO'!$B:$B,0)),"")</f>
        <v/>
      </c>
      <c r="N1369" s="3"/>
      <c r="O1369" s="3"/>
      <c r="P1369" s="3" t="str">
        <f>IFERROR(ROUND(INDEX('PROJETO PERFURAÇÃO'!$AB:$AB,MATCH(MEDIÇÃO!R1369,'PROJETO PERFURAÇÃO'!$B:$B,0)),1)&amp;"''","")</f>
        <v/>
      </c>
      <c r="Q1369" s="3" t="str">
        <f>IFERROR(IF(INDEX('PROJETO PERFURAÇÃO'!$P:$P,MATCH(MEDIÇÃO!R1369,'PROJETO PERFURAÇÃO'!$B:$B,0))="Production","P",IF(INDEX('PROJETO PERFURAÇÃO'!$P:$P,MATCH(MEDIÇÃO!R1369,'PROJETO PERFURAÇÃO'!$B:$B,0))="Buffer","B",IF(INDEX('PROJETO PERFURAÇÃO'!$P:$P,MATCH(MEDIÇÃO!R1369,'PROJETO PERFURAÇÃO'!$B:$B,0))="Pre-Splitting","S"))),"")</f>
        <v/>
      </c>
      <c r="R1369" s="14">
        <f>K1391+1</f>
        <v>3083</v>
      </c>
      <c r="S1369" s="4" t="str">
        <f>IFERROR(INDEX('LEV R&amp;D'!$D:$D,MATCH(MEDIÇÃO!R1369,'LEV R&amp;D'!$A:$A,0))-INDEX('PROJETO PERFURAÇÃO'!$AH:$AH,MATCH(MEDIÇÃO!R1369,'PROJETO PERFURAÇÃO'!$B:$B,0)),"")</f>
        <v/>
      </c>
      <c r="T1369" s="8" t="str">
        <f>IFERROR(INDEX('PROJETO PERFURAÇÃO'!$AN:$AN,MATCH(MEDIÇÃO!R1369,'PROJETO PERFURAÇÃO'!$B:$B,0)),"")</f>
        <v/>
      </c>
      <c r="U1369" s="3"/>
      <c r="V1369" s="3"/>
    </row>
    <row r="1370" spans="1:23" ht="45" customHeight="1">
      <c r="B1370" s="3" t="str">
        <f>IFERROR(ROUND(INDEX('PROJETO PERFURAÇÃO'!$AB:$AB,MATCH(MEDIÇÃO!D1370,'PROJETO PERFURAÇÃO'!$B:$B,0)),1)&amp;"''","")</f>
        <v/>
      </c>
      <c r="C1370" s="3" t="str">
        <f>IFERROR(IF(INDEX('PROJETO PERFURAÇÃO'!$P:$P,MATCH(MEDIÇÃO!D1370,'PROJETO PERFURAÇÃO'!$B:$B,0))="Production","P",IF(INDEX('PROJETO PERFURAÇÃO'!$P:$P,MATCH(MEDIÇÃO!D1370,'PROJETO PERFURAÇÃO'!$B:$B,0))="Buffer","B",IF(INDEX('PROJETO PERFURAÇÃO'!$P:$P,MATCH(MEDIÇÃO!D1370,'PROJETO PERFURAÇÃO'!$B:$B,0))="Pre-Splitting","S"))),"")</f>
        <v/>
      </c>
      <c r="D1370" s="14">
        <f>D1369+1</f>
        <v>3038</v>
      </c>
      <c r="E1370" s="4" t="str">
        <f>IFERROR(INDEX('LEV R&amp;D'!$D:$D,MATCH(MEDIÇÃO!D1370,'LEV R&amp;D'!$A:$A,0))-INDEX('PROJETO PERFURAÇÃO'!$AH:$AH,MATCH(MEDIÇÃO!D1370,'PROJETO PERFURAÇÃO'!$B:$B,0)),"")</f>
        <v/>
      </c>
      <c r="F1370" s="8" t="str">
        <f>IFERROR(INDEX('PROJETO PERFURAÇÃO'!$AN:$AN,MATCH(MEDIÇÃO!D1370,'PROJETO PERFURAÇÃO'!$B:$B,0)),"")</f>
        <v/>
      </c>
      <c r="G1370" s="3"/>
      <c r="H1370" s="3"/>
      <c r="I1370" s="3" t="str">
        <f>IFERROR(ROUND(INDEX('PROJETO PERFURAÇÃO'!$AB:$AB,MATCH(MEDIÇÃO!K1370,'PROJETO PERFURAÇÃO'!$B:$B,0)),1)&amp;"''","")</f>
        <v/>
      </c>
      <c r="J1370" s="3" t="str">
        <f>IFERROR(IF(INDEX('PROJETO PERFURAÇÃO'!$P:$P,MATCH(MEDIÇÃO!K1370,'PROJETO PERFURAÇÃO'!$B:$B,0))="Production","P",IF(INDEX('PROJETO PERFURAÇÃO'!$P:$P,MATCH(MEDIÇÃO!K1370,'PROJETO PERFURAÇÃO'!$B:$B,0))="Buffer","B",IF(INDEX('PROJETO PERFURAÇÃO'!$P:$P,MATCH(MEDIÇÃO!K1370,'PROJETO PERFURAÇÃO'!$B:$B,0))="Pre-Splitting","S"))),"")</f>
        <v/>
      </c>
      <c r="K1370" s="14">
        <f>K1369+1</f>
        <v>3061</v>
      </c>
      <c r="L1370" s="4" t="str">
        <f>IFERROR(INDEX('LEV R&amp;D'!$D:$D,MATCH(MEDIÇÃO!K1370,'LEV R&amp;D'!$A:$A,0))-INDEX('PROJETO PERFURAÇÃO'!$AH:$AH,MATCH(MEDIÇÃO!K1370,'PROJETO PERFURAÇÃO'!$B:$B,0)),"")</f>
        <v/>
      </c>
      <c r="M1370" s="8" t="str">
        <f>IFERROR(INDEX('PROJETO PERFURAÇÃO'!$AN:$AN,MATCH(MEDIÇÃO!K1370,'PROJETO PERFURAÇÃO'!$B:$B,0)),"")</f>
        <v/>
      </c>
      <c r="N1370" s="3"/>
      <c r="O1370" s="3"/>
      <c r="P1370" s="3" t="str">
        <f>IFERROR(ROUND(INDEX('PROJETO PERFURAÇÃO'!$AB:$AB,MATCH(MEDIÇÃO!R1370,'PROJETO PERFURAÇÃO'!$B:$B,0)),1)&amp;"''","")</f>
        <v/>
      </c>
      <c r="Q1370" s="3" t="str">
        <f>IFERROR(IF(INDEX('PROJETO PERFURAÇÃO'!$P:$P,MATCH(MEDIÇÃO!R1370,'PROJETO PERFURAÇÃO'!$B:$B,0))="Production","P",IF(INDEX('PROJETO PERFURAÇÃO'!$P:$P,MATCH(MEDIÇÃO!R1370,'PROJETO PERFURAÇÃO'!$B:$B,0))="Buffer","B",IF(INDEX('PROJETO PERFURAÇÃO'!$P:$P,MATCH(MEDIÇÃO!R1370,'PROJETO PERFURAÇÃO'!$B:$B,0))="Pre-Splitting","S"))),"")</f>
        <v/>
      </c>
      <c r="R1370" s="14">
        <f>R1369+1</f>
        <v>3084</v>
      </c>
      <c r="S1370" s="4" t="str">
        <f>IFERROR(INDEX('LEV R&amp;D'!$D:$D,MATCH(MEDIÇÃO!R1370,'LEV R&amp;D'!$A:$A,0))-INDEX('PROJETO PERFURAÇÃO'!$AH:$AH,MATCH(MEDIÇÃO!R1370,'PROJETO PERFURAÇÃO'!$B:$B,0)),"")</f>
        <v/>
      </c>
      <c r="T1370" s="8" t="str">
        <f>IFERROR(INDEX('PROJETO PERFURAÇÃO'!$AN:$AN,MATCH(MEDIÇÃO!R1370,'PROJETO PERFURAÇÃO'!$B:$B,0)),"")</f>
        <v/>
      </c>
      <c r="U1370" s="3"/>
      <c r="V1370" s="3"/>
    </row>
    <row r="1371" spans="1:23" ht="45" customHeight="1">
      <c r="B1371" s="3" t="str">
        <f>IFERROR(ROUND(INDEX('PROJETO PERFURAÇÃO'!$AB:$AB,MATCH(MEDIÇÃO!D1371,'PROJETO PERFURAÇÃO'!$B:$B,0)),1)&amp;"''","")</f>
        <v/>
      </c>
      <c r="C1371" s="3" t="str">
        <f>IFERROR(IF(INDEX('PROJETO PERFURAÇÃO'!$P:$P,MATCH(MEDIÇÃO!D1371,'PROJETO PERFURAÇÃO'!$B:$B,0))="Production","P",IF(INDEX('PROJETO PERFURAÇÃO'!$P:$P,MATCH(MEDIÇÃO!D1371,'PROJETO PERFURAÇÃO'!$B:$B,0))="Buffer","B",IF(INDEX('PROJETO PERFURAÇÃO'!$P:$P,MATCH(MEDIÇÃO!D1371,'PROJETO PERFURAÇÃO'!$B:$B,0))="Pre-Splitting","S"))),"")</f>
        <v/>
      </c>
      <c r="D1371" s="14">
        <f t="shared" ref="D1371:D1391" si="132">D1370+1</f>
        <v>3039</v>
      </c>
      <c r="E1371" s="4" t="str">
        <f>IFERROR(INDEX('LEV R&amp;D'!$D:$D,MATCH(MEDIÇÃO!D1371,'LEV R&amp;D'!$A:$A,0))-INDEX('PROJETO PERFURAÇÃO'!$AH:$AH,MATCH(MEDIÇÃO!D1371,'PROJETO PERFURAÇÃO'!$B:$B,0)),"")</f>
        <v/>
      </c>
      <c r="F1371" s="8" t="str">
        <f>IFERROR(INDEX('PROJETO PERFURAÇÃO'!$AN:$AN,MATCH(MEDIÇÃO!D1371,'PROJETO PERFURAÇÃO'!$B:$B,0)),"")</f>
        <v/>
      </c>
      <c r="G1371" s="3"/>
      <c r="H1371" s="3"/>
      <c r="I1371" s="3" t="str">
        <f>IFERROR(ROUND(INDEX('PROJETO PERFURAÇÃO'!$AB:$AB,MATCH(MEDIÇÃO!K1371,'PROJETO PERFURAÇÃO'!$B:$B,0)),1)&amp;"''","")</f>
        <v/>
      </c>
      <c r="J1371" s="3" t="str">
        <f>IFERROR(IF(INDEX('PROJETO PERFURAÇÃO'!$P:$P,MATCH(MEDIÇÃO!K1371,'PROJETO PERFURAÇÃO'!$B:$B,0))="Production","P",IF(INDEX('PROJETO PERFURAÇÃO'!$P:$P,MATCH(MEDIÇÃO!K1371,'PROJETO PERFURAÇÃO'!$B:$B,0))="Buffer","B",IF(INDEX('PROJETO PERFURAÇÃO'!$P:$P,MATCH(MEDIÇÃO!K1371,'PROJETO PERFURAÇÃO'!$B:$B,0))="Pre-Splitting","S"))),"")</f>
        <v/>
      </c>
      <c r="K1371" s="14">
        <f t="shared" ref="K1371:K1390" si="133">K1370+1</f>
        <v>3062</v>
      </c>
      <c r="L1371" s="4" t="str">
        <f>IFERROR(INDEX('LEV R&amp;D'!$D:$D,MATCH(MEDIÇÃO!K1371,'LEV R&amp;D'!$A:$A,0))-INDEX('PROJETO PERFURAÇÃO'!$AH:$AH,MATCH(MEDIÇÃO!K1371,'PROJETO PERFURAÇÃO'!$B:$B,0)),"")</f>
        <v/>
      </c>
      <c r="M1371" s="8" t="str">
        <f>IFERROR(INDEX('PROJETO PERFURAÇÃO'!$AN:$AN,MATCH(MEDIÇÃO!K1371,'PROJETO PERFURAÇÃO'!$B:$B,0)),"")</f>
        <v/>
      </c>
      <c r="N1371" s="3"/>
      <c r="O1371" s="3"/>
      <c r="P1371" s="3" t="str">
        <f>IFERROR(ROUND(INDEX('PROJETO PERFURAÇÃO'!$AB:$AB,MATCH(MEDIÇÃO!R1371,'PROJETO PERFURAÇÃO'!$B:$B,0)),1)&amp;"''","")</f>
        <v/>
      </c>
      <c r="Q1371" s="3" t="str">
        <f>IFERROR(IF(INDEX('PROJETO PERFURAÇÃO'!$P:$P,MATCH(MEDIÇÃO!R1371,'PROJETO PERFURAÇÃO'!$B:$B,0))="Production","P",IF(INDEX('PROJETO PERFURAÇÃO'!$P:$P,MATCH(MEDIÇÃO!R1371,'PROJETO PERFURAÇÃO'!$B:$B,0))="Buffer","B",IF(INDEX('PROJETO PERFURAÇÃO'!$P:$P,MATCH(MEDIÇÃO!R1371,'PROJETO PERFURAÇÃO'!$B:$B,0))="Pre-Splitting","S"))),"")</f>
        <v/>
      </c>
      <c r="R1371" s="14">
        <f t="shared" ref="R1371:R1390" si="134">R1370+1</f>
        <v>3085</v>
      </c>
      <c r="S1371" s="4" t="str">
        <f>IFERROR(INDEX('LEV R&amp;D'!$D:$D,MATCH(MEDIÇÃO!R1371,'LEV R&amp;D'!$A:$A,0))-INDEX('PROJETO PERFURAÇÃO'!$AH:$AH,MATCH(MEDIÇÃO!R1371,'PROJETO PERFURAÇÃO'!$B:$B,0)),"")</f>
        <v/>
      </c>
      <c r="T1371" s="8" t="str">
        <f>IFERROR(INDEX('PROJETO PERFURAÇÃO'!$AN:$AN,MATCH(MEDIÇÃO!R1371,'PROJETO PERFURAÇÃO'!$B:$B,0)),"")</f>
        <v/>
      </c>
      <c r="U1371" s="3"/>
      <c r="V1371" s="3"/>
    </row>
    <row r="1372" spans="1:23" ht="45" customHeight="1">
      <c r="B1372" s="3" t="str">
        <f>IFERROR(ROUND(INDEX('PROJETO PERFURAÇÃO'!$AB:$AB,MATCH(MEDIÇÃO!D1372,'PROJETO PERFURAÇÃO'!$B:$B,0)),1)&amp;"''","")</f>
        <v/>
      </c>
      <c r="C1372" s="3" t="str">
        <f>IFERROR(IF(INDEX('PROJETO PERFURAÇÃO'!$P:$P,MATCH(MEDIÇÃO!D1372,'PROJETO PERFURAÇÃO'!$B:$B,0))="Production","P",IF(INDEX('PROJETO PERFURAÇÃO'!$P:$P,MATCH(MEDIÇÃO!D1372,'PROJETO PERFURAÇÃO'!$B:$B,0))="Buffer","B",IF(INDEX('PROJETO PERFURAÇÃO'!$P:$P,MATCH(MEDIÇÃO!D1372,'PROJETO PERFURAÇÃO'!$B:$B,0))="Pre-Splitting","S"))),"")</f>
        <v/>
      </c>
      <c r="D1372" s="14">
        <f t="shared" si="132"/>
        <v>3040</v>
      </c>
      <c r="E1372" s="4" t="str">
        <f>IFERROR(INDEX('LEV R&amp;D'!$D:$D,MATCH(MEDIÇÃO!D1372,'LEV R&amp;D'!$A:$A,0))-INDEX('PROJETO PERFURAÇÃO'!$AH:$AH,MATCH(MEDIÇÃO!D1372,'PROJETO PERFURAÇÃO'!$B:$B,0)),"")</f>
        <v/>
      </c>
      <c r="F1372" s="8" t="str">
        <f>IFERROR(INDEX('PROJETO PERFURAÇÃO'!$AN:$AN,MATCH(MEDIÇÃO!D1372,'PROJETO PERFURAÇÃO'!$B:$B,0)),"")</f>
        <v/>
      </c>
      <c r="G1372" s="3"/>
      <c r="H1372" s="3"/>
      <c r="I1372" s="3" t="str">
        <f>IFERROR(ROUND(INDEX('PROJETO PERFURAÇÃO'!$AB:$AB,MATCH(MEDIÇÃO!K1372,'PROJETO PERFURAÇÃO'!$B:$B,0)),1)&amp;"''","")</f>
        <v/>
      </c>
      <c r="J1372" s="3" t="str">
        <f>IFERROR(IF(INDEX('PROJETO PERFURAÇÃO'!$P:$P,MATCH(MEDIÇÃO!K1372,'PROJETO PERFURAÇÃO'!$B:$B,0))="Production","P",IF(INDEX('PROJETO PERFURAÇÃO'!$P:$P,MATCH(MEDIÇÃO!K1372,'PROJETO PERFURAÇÃO'!$B:$B,0))="Buffer","B",IF(INDEX('PROJETO PERFURAÇÃO'!$P:$P,MATCH(MEDIÇÃO!K1372,'PROJETO PERFURAÇÃO'!$B:$B,0))="Pre-Splitting","S"))),"")</f>
        <v/>
      </c>
      <c r="K1372" s="14">
        <f t="shared" si="133"/>
        <v>3063</v>
      </c>
      <c r="L1372" s="4" t="str">
        <f>IFERROR(INDEX('LEV R&amp;D'!$D:$D,MATCH(MEDIÇÃO!K1372,'LEV R&amp;D'!$A:$A,0))-INDEX('PROJETO PERFURAÇÃO'!$AH:$AH,MATCH(MEDIÇÃO!K1372,'PROJETO PERFURAÇÃO'!$B:$B,0)),"")</f>
        <v/>
      </c>
      <c r="M1372" s="8" t="str">
        <f>IFERROR(INDEX('PROJETO PERFURAÇÃO'!$AN:$AN,MATCH(MEDIÇÃO!K1372,'PROJETO PERFURAÇÃO'!$B:$B,0)),"")</f>
        <v/>
      </c>
      <c r="N1372" s="3"/>
      <c r="O1372" s="3"/>
      <c r="P1372" s="3" t="str">
        <f>IFERROR(ROUND(INDEX('PROJETO PERFURAÇÃO'!$AB:$AB,MATCH(MEDIÇÃO!R1372,'PROJETO PERFURAÇÃO'!$B:$B,0)),1)&amp;"''","")</f>
        <v/>
      </c>
      <c r="Q1372" s="3" t="str">
        <f>IFERROR(IF(INDEX('PROJETO PERFURAÇÃO'!$P:$P,MATCH(MEDIÇÃO!R1372,'PROJETO PERFURAÇÃO'!$B:$B,0))="Production","P",IF(INDEX('PROJETO PERFURAÇÃO'!$P:$P,MATCH(MEDIÇÃO!R1372,'PROJETO PERFURAÇÃO'!$B:$B,0))="Buffer","B",IF(INDEX('PROJETO PERFURAÇÃO'!$P:$P,MATCH(MEDIÇÃO!R1372,'PROJETO PERFURAÇÃO'!$B:$B,0))="Pre-Splitting","S"))),"")</f>
        <v/>
      </c>
      <c r="R1372" s="14">
        <f t="shared" si="134"/>
        <v>3086</v>
      </c>
      <c r="S1372" s="4" t="str">
        <f>IFERROR(INDEX('LEV R&amp;D'!$D:$D,MATCH(MEDIÇÃO!R1372,'LEV R&amp;D'!$A:$A,0))-INDEX('PROJETO PERFURAÇÃO'!$AH:$AH,MATCH(MEDIÇÃO!R1372,'PROJETO PERFURAÇÃO'!$B:$B,0)),"")</f>
        <v/>
      </c>
      <c r="T1372" s="8" t="str">
        <f>IFERROR(INDEX('PROJETO PERFURAÇÃO'!$AN:$AN,MATCH(MEDIÇÃO!R1372,'PROJETO PERFURAÇÃO'!$B:$B,0)),"")</f>
        <v/>
      </c>
      <c r="U1372" s="3"/>
      <c r="V1372" s="3"/>
    </row>
    <row r="1373" spans="1:23" ht="45" customHeight="1">
      <c r="B1373" s="3" t="str">
        <f>IFERROR(ROUND(INDEX('PROJETO PERFURAÇÃO'!$AB:$AB,MATCH(MEDIÇÃO!D1373,'PROJETO PERFURAÇÃO'!$B:$B,0)),1)&amp;"''","")</f>
        <v/>
      </c>
      <c r="C1373" s="3" t="str">
        <f>IFERROR(IF(INDEX('PROJETO PERFURAÇÃO'!$P:$P,MATCH(MEDIÇÃO!D1373,'PROJETO PERFURAÇÃO'!$B:$B,0))="Production","P",IF(INDEX('PROJETO PERFURAÇÃO'!$P:$P,MATCH(MEDIÇÃO!D1373,'PROJETO PERFURAÇÃO'!$B:$B,0))="Buffer","B",IF(INDEX('PROJETO PERFURAÇÃO'!$P:$P,MATCH(MEDIÇÃO!D1373,'PROJETO PERFURAÇÃO'!$B:$B,0))="Pre-Splitting","S"))),"")</f>
        <v/>
      </c>
      <c r="D1373" s="14">
        <f t="shared" si="132"/>
        <v>3041</v>
      </c>
      <c r="E1373" s="4" t="str">
        <f>IFERROR(INDEX('LEV R&amp;D'!$D:$D,MATCH(MEDIÇÃO!D1373,'LEV R&amp;D'!$A:$A,0))-INDEX('PROJETO PERFURAÇÃO'!$AH:$AH,MATCH(MEDIÇÃO!D1373,'PROJETO PERFURAÇÃO'!$B:$B,0)),"")</f>
        <v/>
      </c>
      <c r="F1373" s="8" t="str">
        <f>IFERROR(INDEX('PROJETO PERFURAÇÃO'!$AN:$AN,MATCH(MEDIÇÃO!D1373,'PROJETO PERFURAÇÃO'!$B:$B,0)),"")</f>
        <v/>
      </c>
      <c r="G1373" s="3"/>
      <c r="H1373" s="3"/>
      <c r="I1373" s="3" t="str">
        <f>IFERROR(ROUND(INDEX('PROJETO PERFURAÇÃO'!$AB:$AB,MATCH(MEDIÇÃO!K1373,'PROJETO PERFURAÇÃO'!$B:$B,0)),1)&amp;"''","")</f>
        <v/>
      </c>
      <c r="J1373" s="3" t="str">
        <f>IFERROR(IF(INDEX('PROJETO PERFURAÇÃO'!$P:$P,MATCH(MEDIÇÃO!K1373,'PROJETO PERFURAÇÃO'!$B:$B,0))="Production","P",IF(INDEX('PROJETO PERFURAÇÃO'!$P:$P,MATCH(MEDIÇÃO!K1373,'PROJETO PERFURAÇÃO'!$B:$B,0))="Buffer","B",IF(INDEX('PROJETO PERFURAÇÃO'!$P:$P,MATCH(MEDIÇÃO!K1373,'PROJETO PERFURAÇÃO'!$B:$B,0))="Pre-Splitting","S"))),"")</f>
        <v/>
      </c>
      <c r="K1373" s="14">
        <f t="shared" si="133"/>
        <v>3064</v>
      </c>
      <c r="L1373" s="4" t="str">
        <f>IFERROR(INDEX('LEV R&amp;D'!$D:$D,MATCH(MEDIÇÃO!K1373,'LEV R&amp;D'!$A:$A,0))-INDEX('PROJETO PERFURAÇÃO'!$AH:$AH,MATCH(MEDIÇÃO!K1373,'PROJETO PERFURAÇÃO'!$B:$B,0)),"")</f>
        <v/>
      </c>
      <c r="M1373" s="8" t="str">
        <f>IFERROR(INDEX('PROJETO PERFURAÇÃO'!$AN:$AN,MATCH(MEDIÇÃO!K1373,'PROJETO PERFURAÇÃO'!$B:$B,0)),"")</f>
        <v/>
      </c>
      <c r="N1373" s="3"/>
      <c r="O1373" s="3"/>
      <c r="P1373" s="3" t="str">
        <f>IFERROR(ROUND(INDEX('PROJETO PERFURAÇÃO'!$AB:$AB,MATCH(MEDIÇÃO!R1373,'PROJETO PERFURAÇÃO'!$B:$B,0)),1)&amp;"''","")</f>
        <v/>
      </c>
      <c r="Q1373" s="3" t="str">
        <f>IFERROR(IF(INDEX('PROJETO PERFURAÇÃO'!$P:$P,MATCH(MEDIÇÃO!R1373,'PROJETO PERFURAÇÃO'!$B:$B,0))="Production","P",IF(INDEX('PROJETO PERFURAÇÃO'!$P:$P,MATCH(MEDIÇÃO!R1373,'PROJETO PERFURAÇÃO'!$B:$B,0))="Buffer","B",IF(INDEX('PROJETO PERFURAÇÃO'!$P:$P,MATCH(MEDIÇÃO!R1373,'PROJETO PERFURAÇÃO'!$B:$B,0))="Pre-Splitting","S"))),"")</f>
        <v/>
      </c>
      <c r="R1373" s="14">
        <f t="shared" si="134"/>
        <v>3087</v>
      </c>
      <c r="S1373" s="4" t="str">
        <f>IFERROR(INDEX('LEV R&amp;D'!$D:$D,MATCH(MEDIÇÃO!R1373,'LEV R&amp;D'!$A:$A,0))-INDEX('PROJETO PERFURAÇÃO'!$AH:$AH,MATCH(MEDIÇÃO!R1373,'PROJETO PERFURAÇÃO'!$B:$B,0)),"")</f>
        <v/>
      </c>
      <c r="T1373" s="8" t="str">
        <f>IFERROR(INDEX('PROJETO PERFURAÇÃO'!$AN:$AN,MATCH(MEDIÇÃO!R1373,'PROJETO PERFURAÇÃO'!$B:$B,0)),"")</f>
        <v/>
      </c>
      <c r="U1373" s="3"/>
      <c r="V1373" s="3"/>
    </row>
    <row r="1374" spans="1:23" ht="45" customHeight="1">
      <c r="B1374" s="3" t="str">
        <f>IFERROR(ROUND(INDEX('PROJETO PERFURAÇÃO'!$AB:$AB,MATCH(MEDIÇÃO!D1374,'PROJETO PERFURAÇÃO'!$B:$B,0)),1)&amp;"''","")</f>
        <v/>
      </c>
      <c r="C1374" s="3" t="str">
        <f>IFERROR(IF(INDEX('PROJETO PERFURAÇÃO'!$P:$P,MATCH(MEDIÇÃO!D1374,'PROJETO PERFURAÇÃO'!$B:$B,0))="Production","P",IF(INDEX('PROJETO PERFURAÇÃO'!$P:$P,MATCH(MEDIÇÃO!D1374,'PROJETO PERFURAÇÃO'!$B:$B,0))="Buffer","B",IF(INDEX('PROJETO PERFURAÇÃO'!$P:$P,MATCH(MEDIÇÃO!D1374,'PROJETO PERFURAÇÃO'!$B:$B,0))="Pre-Splitting","S"))),"")</f>
        <v/>
      </c>
      <c r="D1374" s="14">
        <f t="shared" si="132"/>
        <v>3042</v>
      </c>
      <c r="E1374" s="4" t="str">
        <f>IFERROR(INDEX('LEV R&amp;D'!$D:$D,MATCH(MEDIÇÃO!D1374,'LEV R&amp;D'!$A:$A,0))-INDEX('PROJETO PERFURAÇÃO'!$AH:$AH,MATCH(MEDIÇÃO!D1374,'PROJETO PERFURAÇÃO'!$B:$B,0)),"")</f>
        <v/>
      </c>
      <c r="F1374" s="8" t="str">
        <f>IFERROR(INDEX('PROJETO PERFURAÇÃO'!$AN:$AN,MATCH(MEDIÇÃO!D1374,'PROJETO PERFURAÇÃO'!$B:$B,0)),"")</f>
        <v/>
      </c>
      <c r="G1374" s="3"/>
      <c r="H1374" s="3"/>
      <c r="I1374" s="3" t="str">
        <f>IFERROR(ROUND(INDEX('PROJETO PERFURAÇÃO'!$AB:$AB,MATCH(MEDIÇÃO!K1374,'PROJETO PERFURAÇÃO'!$B:$B,0)),1)&amp;"''","")</f>
        <v/>
      </c>
      <c r="J1374" s="3" t="str">
        <f>IFERROR(IF(INDEX('PROJETO PERFURAÇÃO'!$P:$P,MATCH(MEDIÇÃO!K1374,'PROJETO PERFURAÇÃO'!$B:$B,0))="Production","P",IF(INDEX('PROJETO PERFURAÇÃO'!$P:$P,MATCH(MEDIÇÃO!K1374,'PROJETO PERFURAÇÃO'!$B:$B,0))="Buffer","B",IF(INDEX('PROJETO PERFURAÇÃO'!$P:$P,MATCH(MEDIÇÃO!K1374,'PROJETO PERFURAÇÃO'!$B:$B,0))="Pre-Splitting","S"))),"")</f>
        <v/>
      </c>
      <c r="K1374" s="14">
        <f t="shared" si="133"/>
        <v>3065</v>
      </c>
      <c r="L1374" s="4" t="str">
        <f>IFERROR(INDEX('LEV R&amp;D'!$D:$D,MATCH(MEDIÇÃO!K1374,'LEV R&amp;D'!$A:$A,0))-INDEX('PROJETO PERFURAÇÃO'!$AH:$AH,MATCH(MEDIÇÃO!K1374,'PROJETO PERFURAÇÃO'!$B:$B,0)),"")</f>
        <v/>
      </c>
      <c r="M1374" s="8" t="str">
        <f>IFERROR(INDEX('PROJETO PERFURAÇÃO'!$AN:$AN,MATCH(MEDIÇÃO!K1374,'PROJETO PERFURAÇÃO'!$B:$B,0)),"")</f>
        <v/>
      </c>
      <c r="N1374" s="3"/>
      <c r="O1374" s="3"/>
      <c r="P1374" s="3" t="str">
        <f>IFERROR(ROUND(INDEX('PROJETO PERFURAÇÃO'!$AB:$AB,MATCH(MEDIÇÃO!R1374,'PROJETO PERFURAÇÃO'!$B:$B,0)),1)&amp;"''","")</f>
        <v/>
      </c>
      <c r="Q1374" s="3" t="str">
        <f>IFERROR(IF(INDEX('PROJETO PERFURAÇÃO'!$P:$P,MATCH(MEDIÇÃO!R1374,'PROJETO PERFURAÇÃO'!$B:$B,0))="Production","P",IF(INDEX('PROJETO PERFURAÇÃO'!$P:$P,MATCH(MEDIÇÃO!R1374,'PROJETO PERFURAÇÃO'!$B:$B,0))="Buffer","B",IF(INDEX('PROJETO PERFURAÇÃO'!$P:$P,MATCH(MEDIÇÃO!R1374,'PROJETO PERFURAÇÃO'!$B:$B,0))="Pre-Splitting","S"))),"")</f>
        <v/>
      </c>
      <c r="R1374" s="14">
        <f t="shared" si="134"/>
        <v>3088</v>
      </c>
      <c r="S1374" s="4" t="str">
        <f>IFERROR(INDEX('LEV R&amp;D'!$D:$D,MATCH(MEDIÇÃO!R1374,'LEV R&amp;D'!$A:$A,0))-INDEX('PROJETO PERFURAÇÃO'!$AH:$AH,MATCH(MEDIÇÃO!R1374,'PROJETO PERFURAÇÃO'!$B:$B,0)),"")</f>
        <v/>
      </c>
      <c r="T1374" s="8" t="str">
        <f>IFERROR(INDEX('PROJETO PERFURAÇÃO'!$AN:$AN,MATCH(MEDIÇÃO!R1374,'PROJETO PERFURAÇÃO'!$B:$B,0)),"")</f>
        <v/>
      </c>
      <c r="U1374" s="3"/>
      <c r="V1374" s="3"/>
    </row>
    <row r="1375" spans="1:23" ht="45" customHeight="1">
      <c r="B1375" s="3" t="str">
        <f>IFERROR(ROUND(INDEX('PROJETO PERFURAÇÃO'!$AB:$AB,MATCH(MEDIÇÃO!D1375,'PROJETO PERFURAÇÃO'!$B:$B,0)),1)&amp;"''","")</f>
        <v/>
      </c>
      <c r="C1375" s="3" t="str">
        <f>IFERROR(IF(INDEX('PROJETO PERFURAÇÃO'!$P:$P,MATCH(MEDIÇÃO!D1375,'PROJETO PERFURAÇÃO'!$B:$B,0))="Production","P",IF(INDEX('PROJETO PERFURAÇÃO'!$P:$P,MATCH(MEDIÇÃO!D1375,'PROJETO PERFURAÇÃO'!$B:$B,0))="Buffer","B",IF(INDEX('PROJETO PERFURAÇÃO'!$P:$P,MATCH(MEDIÇÃO!D1375,'PROJETO PERFURAÇÃO'!$B:$B,0))="Pre-Splitting","S"))),"")</f>
        <v/>
      </c>
      <c r="D1375" s="14">
        <f t="shared" si="132"/>
        <v>3043</v>
      </c>
      <c r="E1375" s="4" t="str">
        <f>IFERROR(INDEX('LEV R&amp;D'!$D:$D,MATCH(MEDIÇÃO!D1375,'LEV R&amp;D'!$A:$A,0))-INDEX('PROJETO PERFURAÇÃO'!$AH:$AH,MATCH(MEDIÇÃO!D1375,'PROJETO PERFURAÇÃO'!$B:$B,0)),"")</f>
        <v/>
      </c>
      <c r="F1375" s="8" t="str">
        <f>IFERROR(INDEX('PROJETO PERFURAÇÃO'!$AN:$AN,MATCH(MEDIÇÃO!D1375,'PROJETO PERFURAÇÃO'!$B:$B,0)),"")</f>
        <v/>
      </c>
      <c r="G1375" s="3"/>
      <c r="H1375" s="3"/>
      <c r="I1375" s="3" t="str">
        <f>IFERROR(ROUND(INDEX('PROJETO PERFURAÇÃO'!$AB:$AB,MATCH(MEDIÇÃO!K1375,'PROJETO PERFURAÇÃO'!$B:$B,0)),1)&amp;"''","")</f>
        <v/>
      </c>
      <c r="J1375" s="3" t="str">
        <f>IFERROR(IF(INDEX('PROJETO PERFURAÇÃO'!$P:$P,MATCH(MEDIÇÃO!K1375,'PROJETO PERFURAÇÃO'!$B:$B,0))="Production","P",IF(INDEX('PROJETO PERFURAÇÃO'!$P:$P,MATCH(MEDIÇÃO!K1375,'PROJETO PERFURAÇÃO'!$B:$B,0))="Buffer","B",IF(INDEX('PROJETO PERFURAÇÃO'!$P:$P,MATCH(MEDIÇÃO!K1375,'PROJETO PERFURAÇÃO'!$B:$B,0))="Pre-Splitting","S"))),"")</f>
        <v/>
      </c>
      <c r="K1375" s="14">
        <f t="shared" si="133"/>
        <v>3066</v>
      </c>
      <c r="L1375" s="4" t="str">
        <f>IFERROR(INDEX('LEV R&amp;D'!$D:$D,MATCH(MEDIÇÃO!K1375,'LEV R&amp;D'!$A:$A,0))-INDEX('PROJETO PERFURAÇÃO'!$AH:$AH,MATCH(MEDIÇÃO!K1375,'PROJETO PERFURAÇÃO'!$B:$B,0)),"")</f>
        <v/>
      </c>
      <c r="M1375" s="8" t="str">
        <f>IFERROR(INDEX('PROJETO PERFURAÇÃO'!$AN:$AN,MATCH(MEDIÇÃO!K1375,'PROJETO PERFURAÇÃO'!$B:$B,0)),"")</f>
        <v/>
      </c>
      <c r="N1375" s="3"/>
      <c r="O1375" s="3"/>
      <c r="P1375" s="3" t="str">
        <f>IFERROR(ROUND(INDEX('PROJETO PERFURAÇÃO'!$AB:$AB,MATCH(MEDIÇÃO!R1375,'PROJETO PERFURAÇÃO'!$B:$B,0)),1)&amp;"''","")</f>
        <v/>
      </c>
      <c r="Q1375" s="3" t="str">
        <f>IFERROR(IF(INDEX('PROJETO PERFURAÇÃO'!$P:$P,MATCH(MEDIÇÃO!R1375,'PROJETO PERFURAÇÃO'!$B:$B,0))="Production","P",IF(INDEX('PROJETO PERFURAÇÃO'!$P:$P,MATCH(MEDIÇÃO!R1375,'PROJETO PERFURAÇÃO'!$B:$B,0))="Buffer","B",IF(INDEX('PROJETO PERFURAÇÃO'!$P:$P,MATCH(MEDIÇÃO!R1375,'PROJETO PERFURAÇÃO'!$B:$B,0))="Pre-Splitting","S"))),"")</f>
        <v/>
      </c>
      <c r="R1375" s="14">
        <f t="shared" si="134"/>
        <v>3089</v>
      </c>
      <c r="S1375" s="4" t="str">
        <f>IFERROR(INDEX('LEV R&amp;D'!$D:$D,MATCH(MEDIÇÃO!R1375,'LEV R&amp;D'!$A:$A,0))-INDEX('PROJETO PERFURAÇÃO'!$AH:$AH,MATCH(MEDIÇÃO!R1375,'PROJETO PERFURAÇÃO'!$B:$B,0)),"")</f>
        <v/>
      </c>
      <c r="T1375" s="8" t="str">
        <f>IFERROR(INDEX('PROJETO PERFURAÇÃO'!$AN:$AN,MATCH(MEDIÇÃO!R1375,'PROJETO PERFURAÇÃO'!$B:$B,0)),"")</f>
        <v/>
      </c>
      <c r="U1375" s="3"/>
      <c r="V1375" s="3"/>
    </row>
    <row r="1376" spans="1:23" ht="45" customHeight="1">
      <c r="B1376" s="3" t="str">
        <f>IFERROR(ROUND(INDEX('PROJETO PERFURAÇÃO'!$AB:$AB,MATCH(MEDIÇÃO!D1376,'PROJETO PERFURAÇÃO'!$B:$B,0)),1)&amp;"''","")</f>
        <v/>
      </c>
      <c r="C1376" s="3" t="str">
        <f>IFERROR(IF(INDEX('PROJETO PERFURAÇÃO'!$P:$P,MATCH(MEDIÇÃO!D1376,'PROJETO PERFURAÇÃO'!$B:$B,0))="Production","P",IF(INDEX('PROJETO PERFURAÇÃO'!$P:$P,MATCH(MEDIÇÃO!D1376,'PROJETO PERFURAÇÃO'!$B:$B,0))="Buffer","B",IF(INDEX('PROJETO PERFURAÇÃO'!$P:$P,MATCH(MEDIÇÃO!D1376,'PROJETO PERFURAÇÃO'!$B:$B,0))="Pre-Splitting","S"))),"")</f>
        <v/>
      </c>
      <c r="D1376" s="14">
        <f t="shared" si="132"/>
        <v>3044</v>
      </c>
      <c r="E1376" s="4" t="str">
        <f>IFERROR(INDEX('LEV R&amp;D'!$D:$D,MATCH(MEDIÇÃO!D1376,'LEV R&amp;D'!$A:$A,0))-INDEX('PROJETO PERFURAÇÃO'!$AH:$AH,MATCH(MEDIÇÃO!D1376,'PROJETO PERFURAÇÃO'!$B:$B,0)),"")</f>
        <v/>
      </c>
      <c r="F1376" s="8" t="str">
        <f>IFERROR(INDEX('PROJETO PERFURAÇÃO'!$AN:$AN,MATCH(MEDIÇÃO!D1376,'PROJETO PERFURAÇÃO'!$B:$B,0)),"")</f>
        <v/>
      </c>
      <c r="G1376" s="3"/>
      <c r="H1376" s="3"/>
      <c r="I1376" s="3" t="str">
        <f>IFERROR(ROUND(INDEX('PROJETO PERFURAÇÃO'!$AB:$AB,MATCH(MEDIÇÃO!K1376,'PROJETO PERFURAÇÃO'!$B:$B,0)),1)&amp;"''","")</f>
        <v/>
      </c>
      <c r="J1376" s="3" t="str">
        <f>IFERROR(IF(INDEX('PROJETO PERFURAÇÃO'!$P:$P,MATCH(MEDIÇÃO!K1376,'PROJETO PERFURAÇÃO'!$B:$B,0))="Production","P",IF(INDEX('PROJETO PERFURAÇÃO'!$P:$P,MATCH(MEDIÇÃO!K1376,'PROJETO PERFURAÇÃO'!$B:$B,0))="Buffer","B",IF(INDEX('PROJETO PERFURAÇÃO'!$P:$P,MATCH(MEDIÇÃO!K1376,'PROJETO PERFURAÇÃO'!$B:$B,0))="Pre-Splitting","S"))),"")</f>
        <v/>
      </c>
      <c r="K1376" s="14">
        <f t="shared" si="133"/>
        <v>3067</v>
      </c>
      <c r="L1376" s="4" t="str">
        <f>IFERROR(INDEX('LEV R&amp;D'!$D:$D,MATCH(MEDIÇÃO!K1376,'LEV R&amp;D'!$A:$A,0))-INDEX('PROJETO PERFURAÇÃO'!$AH:$AH,MATCH(MEDIÇÃO!K1376,'PROJETO PERFURAÇÃO'!$B:$B,0)),"")</f>
        <v/>
      </c>
      <c r="M1376" s="8" t="str">
        <f>IFERROR(INDEX('PROJETO PERFURAÇÃO'!$AN:$AN,MATCH(MEDIÇÃO!K1376,'PROJETO PERFURAÇÃO'!$B:$B,0)),"")</f>
        <v/>
      </c>
      <c r="N1376" s="3"/>
      <c r="O1376" s="3"/>
      <c r="P1376" s="3" t="str">
        <f>IFERROR(ROUND(INDEX('PROJETO PERFURAÇÃO'!$AB:$AB,MATCH(MEDIÇÃO!R1376,'PROJETO PERFURAÇÃO'!$B:$B,0)),1)&amp;"''","")</f>
        <v/>
      </c>
      <c r="Q1376" s="3" t="str">
        <f>IFERROR(IF(INDEX('PROJETO PERFURAÇÃO'!$P:$P,MATCH(MEDIÇÃO!R1376,'PROJETO PERFURAÇÃO'!$B:$B,0))="Production","P",IF(INDEX('PROJETO PERFURAÇÃO'!$P:$P,MATCH(MEDIÇÃO!R1376,'PROJETO PERFURAÇÃO'!$B:$B,0))="Buffer","B",IF(INDEX('PROJETO PERFURAÇÃO'!$P:$P,MATCH(MEDIÇÃO!R1376,'PROJETO PERFURAÇÃO'!$B:$B,0))="Pre-Splitting","S"))),"")</f>
        <v/>
      </c>
      <c r="R1376" s="14">
        <f t="shared" si="134"/>
        <v>3090</v>
      </c>
      <c r="S1376" s="4" t="str">
        <f>IFERROR(INDEX('LEV R&amp;D'!$D:$D,MATCH(MEDIÇÃO!R1376,'LEV R&amp;D'!$A:$A,0))-INDEX('PROJETO PERFURAÇÃO'!$AH:$AH,MATCH(MEDIÇÃO!R1376,'PROJETO PERFURAÇÃO'!$B:$B,0)),"")</f>
        <v/>
      </c>
      <c r="T1376" s="8" t="str">
        <f>IFERROR(INDEX('PROJETO PERFURAÇÃO'!$AN:$AN,MATCH(MEDIÇÃO!R1376,'PROJETO PERFURAÇÃO'!$B:$B,0)),"")</f>
        <v/>
      </c>
      <c r="U1376" s="3"/>
      <c r="V1376" s="3"/>
    </row>
    <row r="1377" spans="2:22" ht="45" customHeight="1">
      <c r="B1377" s="3" t="str">
        <f>IFERROR(ROUND(INDEX('PROJETO PERFURAÇÃO'!$AB:$AB,MATCH(MEDIÇÃO!D1377,'PROJETO PERFURAÇÃO'!$B:$B,0)),1)&amp;"''","")</f>
        <v/>
      </c>
      <c r="C1377" s="3" t="str">
        <f>IFERROR(IF(INDEX('PROJETO PERFURAÇÃO'!$P:$P,MATCH(MEDIÇÃO!D1377,'PROJETO PERFURAÇÃO'!$B:$B,0))="Production","P",IF(INDEX('PROJETO PERFURAÇÃO'!$P:$P,MATCH(MEDIÇÃO!D1377,'PROJETO PERFURAÇÃO'!$B:$B,0))="Buffer","B",IF(INDEX('PROJETO PERFURAÇÃO'!$P:$P,MATCH(MEDIÇÃO!D1377,'PROJETO PERFURAÇÃO'!$B:$B,0))="Pre-Splitting","S"))),"")</f>
        <v/>
      </c>
      <c r="D1377" s="14">
        <f t="shared" si="132"/>
        <v>3045</v>
      </c>
      <c r="E1377" s="4" t="str">
        <f>IFERROR(INDEX('LEV R&amp;D'!$D:$D,MATCH(MEDIÇÃO!D1377,'LEV R&amp;D'!$A:$A,0))-INDEX('PROJETO PERFURAÇÃO'!$AH:$AH,MATCH(MEDIÇÃO!D1377,'PROJETO PERFURAÇÃO'!$B:$B,0)),"")</f>
        <v/>
      </c>
      <c r="F1377" s="8" t="str">
        <f>IFERROR(INDEX('PROJETO PERFURAÇÃO'!$AN:$AN,MATCH(MEDIÇÃO!D1377,'PROJETO PERFURAÇÃO'!$B:$B,0)),"")</f>
        <v/>
      </c>
      <c r="G1377" s="3"/>
      <c r="H1377" s="3"/>
      <c r="I1377" s="3" t="str">
        <f>IFERROR(ROUND(INDEX('PROJETO PERFURAÇÃO'!$AB:$AB,MATCH(MEDIÇÃO!K1377,'PROJETO PERFURAÇÃO'!$B:$B,0)),1)&amp;"''","")</f>
        <v/>
      </c>
      <c r="J1377" s="3" t="str">
        <f>IFERROR(IF(INDEX('PROJETO PERFURAÇÃO'!$P:$P,MATCH(MEDIÇÃO!K1377,'PROJETO PERFURAÇÃO'!$B:$B,0))="Production","P",IF(INDEX('PROJETO PERFURAÇÃO'!$P:$P,MATCH(MEDIÇÃO!K1377,'PROJETO PERFURAÇÃO'!$B:$B,0))="Buffer","B",IF(INDEX('PROJETO PERFURAÇÃO'!$P:$P,MATCH(MEDIÇÃO!K1377,'PROJETO PERFURAÇÃO'!$B:$B,0))="Pre-Splitting","S"))),"")</f>
        <v/>
      </c>
      <c r="K1377" s="14">
        <f t="shared" si="133"/>
        <v>3068</v>
      </c>
      <c r="L1377" s="4" t="str">
        <f>IFERROR(INDEX('LEV R&amp;D'!$D:$D,MATCH(MEDIÇÃO!K1377,'LEV R&amp;D'!$A:$A,0))-INDEX('PROJETO PERFURAÇÃO'!$AH:$AH,MATCH(MEDIÇÃO!K1377,'PROJETO PERFURAÇÃO'!$B:$B,0)),"")</f>
        <v/>
      </c>
      <c r="M1377" s="8" t="str">
        <f>IFERROR(INDEX('PROJETO PERFURAÇÃO'!$AN:$AN,MATCH(MEDIÇÃO!K1377,'PROJETO PERFURAÇÃO'!$B:$B,0)),"")</f>
        <v/>
      </c>
      <c r="N1377" s="3"/>
      <c r="O1377" s="3"/>
      <c r="P1377" s="3" t="str">
        <f>IFERROR(ROUND(INDEX('PROJETO PERFURAÇÃO'!$AB:$AB,MATCH(MEDIÇÃO!R1377,'PROJETO PERFURAÇÃO'!$B:$B,0)),1)&amp;"''","")</f>
        <v/>
      </c>
      <c r="Q1377" s="3" t="str">
        <f>IFERROR(IF(INDEX('PROJETO PERFURAÇÃO'!$P:$P,MATCH(MEDIÇÃO!R1377,'PROJETO PERFURAÇÃO'!$B:$B,0))="Production","P",IF(INDEX('PROJETO PERFURAÇÃO'!$P:$P,MATCH(MEDIÇÃO!R1377,'PROJETO PERFURAÇÃO'!$B:$B,0))="Buffer","B",IF(INDEX('PROJETO PERFURAÇÃO'!$P:$P,MATCH(MEDIÇÃO!R1377,'PROJETO PERFURAÇÃO'!$B:$B,0))="Pre-Splitting","S"))),"")</f>
        <v/>
      </c>
      <c r="R1377" s="14">
        <f t="shared" si="134"/>
        <v>3091</v>
      </c>
      <c r="S1377" s="4" t="str">
        <f>IFERROR(INDEX('LEV R&amp;D'!$D:$D,MATCH(MEDIÇÃO!R1377,'LEV R&amp;D'!$A:$A,0))-INDEX('PROJETO PERFURAÇÃO'!$AH:$AH,MATCH(MEDIÇÃO!R1377,'PROJETO PERFURAÇÃO'!$B:$B,0)),"")</f>
        <v/>
      </c>
      <c r="T1377" s="8" t="str">
        <f>IFERROR(INDEX('PROJETO PERFURAÇÃO'!$AN:$AN,MATCH(MEDIÇÃO!R1377,'PROJETO PERFURAÇÃO'!$B:$B,0)),"")</f>
        <v/>
      </c>
      <c r="U1377" s="3"/>
      <c r="V1377" s="3"/>
    </row>
    <row r="1378" spans="2:22" ht="45" customHeight="1">
      <c r="B1378" s="3" t="str">
        <f>IFERROR(ROUND(INDEX('PROJETO PERFURAÇÃO'!$AB:$AB,MATCH(MEDIÇÃO!D1378,'PROJETO PERFURAÇÃO'!$B:$B,0)),1)&amp;"''","")</f>
        <v/>
      </c>
      <c r="C1378" s="3" t="str">
        <f>IFERROR(IF(INDEX('PROJETO PERFURAÇÃO'!$P:$P,MATCH(MEDIÇÃO!D1378,'PROJETO PERFURAÇÃO'!$B:$B,0))="Production","P",IF(INDEX('PROJETO PERFURAÇÃO'!$P:$P,MATCH(MEDIÇÃO!D1378,'PROJETO PERFURAÇÃO'!$B:$B,0))="Buffer","B",IF(INDEX('PROJETO PERFURAÇÃO'!$P:$P,MATCH(MEDIÇÃO!D1378,'PROJETO PERFURAÇÃO'!$B:$B,0))="Pre-Splitting","S"))),"")</f>
        <v/>
      </c>
      <c r="D1378" s="14">
        <f t="shared" si="132"/>
        <v>3046</v>
      </c>
      <c r="E1378" s="4" t="str">
        <f>IFERROR(INDEX('LEV R&amp;D'!$D:$D,MATCH(MEDIÇÃO!D1378,'LEV R&amp;D'!$A:$A,0))-INDEX('PROJETO PERFURAÇÃO'!$AH:$AH,MATCH(MEDIÇÃO!D1378,'PROJETO PERFURAÇÃO'!$B:$B,0)),"")</f>
        <v/>
      </c>
      <c r="F1378" s="8" t="str">
        <f>IFERROR(INDEX('PROJETO PERFURAÇÃO'!$AN:$AN,MATCH(MEDIÇÃO!D1378,'PROJETO PERFURAÇÃO'!$B:$B,0)),"")</f>
        <v/>
      </c>
      <c r="G1378" s="3"/>
      <c r="H1378" s="3"/>
      <c r="I1378" s="3" t="str">
        <f>IFERROR(ROUND(INDEX('PROJETO PERFURAÇÃO'!$AB:$AB,MATCH(MEDIÇÃO!K1378,'PROJETO PERFURAÇÃO'!$B:$B,0)),1)&amp;"''","")</f>
        <v/>
      </c>
      <c r="J1378" s="3" t="str">
        <f>IFERROR(IF(INDEX('PROJETO PERFURAÇÃO'!$P:$P,MATCH(MEDIÇÃO!K1378,'PROJETO PERFURAÇÃO'!$B:$B,0))="Production","P",IF(INDEX('PROJETO PERFURAÇÃO'!$P:$P,MATCH(MEDIÇÃO!K1378,'PROJETO PERFURAÇÃO'!$B:$B,0))="Buffer","B",IF(INDEX('PROJETO PERFURAÇÃO'!$P:$P,MATCH(MEDIÇÃO!K1378,'PROJETO PERFURAÇÃO'!$B:$B,0))="Pre-Splitting","S"))),"")</f>
        <v/>
      </c>
      <c r="K1378" s="14">
        <f t="shared" si="133"/>
        <v>3069</v>
      </c>
      <c r="L1378" s="4" t="str">
        <f>IFERROR(INDEX('LEV R&amp;D'!$D:$D,MATCH(MEDIÇÃO!K1378,'LEV R&amp;D'!$A:$A,0))-INDEX('PROJETO PERFURAÇÃO'!$AH:$AH,MATCH(MEDIÇÃO!K1378,'PROJETO PERFURAÇÃO'!$B:$B,0)),"")</f>
        <v/>
      </c>
      <c r="M1378" s="8" t="str">
        <f>IFERROR(INDEX('PROJETO PERFURAÇÃO'!$AN:$AN,MATCH(MEDIÇÃO!K1378,'PROJETO PERFURAÇÃO'!$B:$B,0)),"")</f>
        <v/>
      </c>
      <c r="N1378" s="3"/>
      <c r="O1378" s="3"/>
      <c r="P1378" s="3" t="str">
        <f>IFERROR(ROUND(INDEX('PROJETO PERFURAÇÃO'!$AB:$AB,MATCH(MEDIÇÃO!R1378,'PROJETO PERFURAÇÃO'!$B:$B,0)),1)&amp;"''","")</f>
        <v/>
      </c>
      <c r="Q1378" s="3" t="str">
        <f>IFERROR(IF(INDEX('PROJETO PERFURAÇÃO'!$P:$P,MATCH(MEDIÇÃO!R1378,'PROJETO PERFURAÇÃO'!$B:$B,0))="Production","P",IF(INDEX('PROJETO PERFURAÇÃO'!$P:$P,MATCH(MEDIÇÃO!R1378,'PROJETO PERFURAÇÃO'!$B:$B,0))="Buffer","B",IF(INDEX('PROJETO PERFURAÇÃO'!$P:$P,MATCH(MEDIÇÃO!R1378,'PROJETO PERFURAÇÃO'!$B:$B,0))="Pre-Splitting","S"))),"")</f>
        <v/>
      </c>
      <c r="R1378" s="14">
        <f t="shared" si="134"/>
        <v>3092</v>
      </c>
      <c r="S1378" s="4" t="str">
        <f>IFERROR(INDEX('LEV R&amp;D'!$D:$D,MATCH(MEDIÇÃO!R1378,'LEV R&amp;D'!$A:$A,0))-INDEX('PROJETO PERFURAÇÃO'!$AH:$AH,MATCH(MEDIÇÃO!R1378,'PROJETO PERFURAÇÃO'!$B:$B,0)),"")</f>
        <v/>
      </c>
      <c r="T1378" s="8" t="str">
        <f>IFERROR(INDEX('PROJETO PERFURAÇÃO'!$AN:$AN,MATCH(MEDIÇÃO!R1378,'PROJETO PERFURAÇÃO'!$B:$B,0)),"")</f>
        <v/>
      </c>
      <c r="U1378" s="3"/>
      <c r="V1378" s="3"/>
    </row>
    <row r="1379" spans="2:22" ht="45" customHeight="1">
      <c r="B1379" s="3" t="str">
        <f>IFERROR(ROUND(INDEX('PROJETO PERFURAÇÃO'!$AB:$AB,MATCH(MEDIÇÃO!D1379,'PROJETO PERFURAÇÃO'!$B:$B,0)),1)&amp;"''","")</f>
        <v/>
      </c>
      <c r="C1379" s="3" t="str">
        <f>IFERROR(IF(INDEX('PROJETO PERFURAÇÃO'!$P:$P,MATCH(MEDIÇÃO!D1379,'PROJETO PERFURAÇÃO'!$B:$B,0))="Production","P",IF(INDEX('PROJETO PERFURAÇÃO'!$P:$P,MATCH(MEDIÇÃO!D1379,'PROJETO PERFURAÇÃO'!$B:$B,0))="Buffer","B",IF(INDEX('PROJETO PERFURAÇÃO'!$P:$P,MATCH(MEDIÇÃO!D1379,'PROJETO PERFURAÇÃO'!$B:$B,0))="Pre-Splitting","S"))),"")</f>
        <v/>
      </c>
      <c r="D1379" s="14">
        <f t="shared" si="132"/>
        <v>3047</v>
      </c>
      <c r="E1379" s="4" t="str">
        <f>IFERROR(INDEX('LEV R&amp;D'!$D:$D,MATCH(MEDIÇÃO!D1379,'LEV R&amp;D'!$A:$A,0))-INDEX('PROJETO PERFURAÇÃO'!$AH:$AH,MATCH(MEDIÇÃO!D1379,'PROJETO PERFURAÇÃO'!$B:$B,0)),"")</f>
        <v/>
      </c>
      <c r="F1379" s="8" t="str">
        <f>IFERROR(INDEX('PROJETO PERFURAÇÃO'!$AN:$AN,MATCH(MEDIÇÃO!D1379,'PROJETO PERFURAÇÃO'!$B:$B,0)),"")</f>
        <v/>
      </c>
      <c r="G1379" s="3"/>
      <c r="H1379" s="3"/>
      <c r="I1379" s="3" t="str">
        <f>IFERROR(ROUND(INDEX('PROJETO PERFURAÇÃO'!$AB:$AB,MATCH(MEDIÇÃO!K1379,'PROJETO PERFURAÇÃO'!$B:$B,0)),1)&amp;"''","")</f>
        <v/>
      </c>
      <c r="J1379" s="3" t="str">
        <f>IFERROR(IF(INDEX('PROJETO PERFURAÇÃO'!$P:$P,MATCH(MEDIÇÃO!K1379,'PROJETO PERFURAÇÃO'!$B:$B,0))="Production","P",IF(INDEX('PROJETO PERFURAÇÃO'!$P:$P,MATCH(MEDIÇÃO!K1379,'PROJETO PERFURAÇÃO'!$B:$B,0))="Buffer","B",IF(INDEX('PROJETO PERFURAÇÃO'!$P:$P,MATCH(MEDIÇÃO!K1379,'PROJETO PERFURAÇÃO'!$B:$B,0))="Pre-Splitting","S"))),"")</f>
        <v/>
      </c>
      <c r="K1379" s="14">
        <f t="shared" si="133"/>
        <v>3070</v>
      </c>
      <c r="L1379" s="4" t="str">
        <f>IFERROR(INDEX('LEV R&amp;D'!$D:$D,MATCH(MEDIÇÃO!K1379,'LEV R&amp;D'!$A:$A,0))-INDEX('PROJETO PERFURAÇÃO'!$AH:$AH,MATCH(MEDIÇÃO!K1379,'PROJETO PERFURAÇÃO'!$B:$B,0)),"")</f>
        <v/>
      </c>
      <c r="M1379" s="8" t="str">
        <f>IFERROR(INDEX('PROJETO PERFURAÇÃO'!$AN:$AN,MATCH(MEDIÇÃO!K1379,'PROJETO PERFURAÇÃO'!$B:$B,0)),"")</f>
        <v/>
      </c>
      <c r="N1379" s="3"/>
      <c r="O1379" s="3"/>
      <c r="P1379" s="3" t="str">
        <f>IFERROR(ROUND(INDEX('PROJETO PERFURAÇÃO'!$AB:$AB,MATCH(MEDIÇÃO!R1379,'PROJETO PERFURAÇÃO'!$B:$B,0)),1)&amp;"''","")</f>
        <v/>
      </c>
      <c r="Q1379" s="3" t="str">
        <f>IFERROR(IF(INDEX('PROJETO PERFURAÇÃO'!$P:$P,MATCH(MEDIÇÃO!R1379,'PROJETO PERFURAÇÃO'!$B:$B,0))="Production","P",IF(INDEX('PROJETO PERFURAÇÃO'!$P:$P,MATCH(MEDIÇÃO!R1379,'PROJETO PERFURAÇÃO'!$B:$B,0))="Buffer","B",IF(INDEX('PROJETO PERFURAÇÃO'!$P:$P,MATCH(MEDIÇÃO!R1379,'PROJETO PERFURAÇÃO'!$B:$B,0))="Pre-Splitting","S"))),"")</f>
        <v/>
      </c>
      <c r="R1379" s="14">
        <f t="shared" si="134"/>
        <v>3093</v>
      </c>
      <c r="S1379" s="4" t="str">
        <f>IFERROR(INDEX('LEV R&amp;D'!$D:$D,MATCH(MEDIÇÃO!R1379,'LEV R&amp;D'!$A:$A,0))-INDEX('PROJETO PERFURAÇÃO'!$AH:$AH,MATCH(MEDIÇÃO!R1379,'PROJETO PERFURAÇÃO'!$B:$B,0)),"")</f>
        <v/>
      </c>
      <c r="T1379" s="8" t="str">
        <f>IFERROR(INDEX('PROJETO PERFURAÇÃO'!$AN:$AN,MATCH(MEDIÇÃO!R1379,'PROJETO PERFURAÇÃO'!$B:$B,0)),"")</f>
        <v/>
      </c>
      <c r="U1379" s="3"/>
      <c r="V1379" s="3"/>
    </row>
    <row r="1380" spans="2:22" ht="45" customHeight="1">
      <c r="B1380" s="3" t="str">
        <f>IFERROR(ROUND(INDEX('PROJETO PERFURAÇÃO'!$AB:$AB,MATCH(MEDIÇÃO!D1380,'PROJETO PERFURAÇÃO'!$B:$B,0)),1)&amp;"''","")</f>
        <v/>
      </c>
      <c r="C1380" s="3" t="str">
        <f>IFERROR(IF(INDEX('PROJETO PERFURAÇÃO'!$P:$P,MATCH(MEDIÇÃO!D1380,'PROJETO PERFURAÇÃO'!$B:$B,0))="Production","P",IF(INDEX('PROJETO PERFURAÇÃO'!$P:$P,MATCH(MEDIÇÃO!D1380,'PROJETO PERFURAÇÃO'!$B:$B,0))="Buffer","B",IF(INDEX('PROJETO PERFURAÇÃO'!$P:$P,MATCH(MEDIÇÃO!D1380,'PROJETO PERFURAÇÃO'!$B:$B,0))="Pre-Splitting","S"))),"")</f>
        <v/>
      </c>
      <c r="D1380" s="14">
        <f t="shared" si="132"/>
        <v>3048</v>
      </c>
      <c r="E1380" s="4" t="str">
        <f>IFERROR(INDEX('LEV R&amp;D'!$D:$D,MATCH(MEDIÇÃO!D1380,'LEV R&amp;D'!$A:$A,0))-INDEX('PROJETO PERFURAÇÃO'!$AH:$AH,MATCH(MEDIÇÃO!D1380,'PROJETO PERFURAÇÃO'!$B:$B,0)),"")</f>
        <v/>
      </c>
      <c r="F1380" s="8" t="str">
        <f>IFERROR(INDEX('PROJETO PERFURAÇÃO'!$AN:$AN,MATCH(MEDIÇÃO!D1380,'PROJETO PERFURAÇÃO'!$B:$B,0)),"")</f>
        <v/>
      </c>
      <c r="G1380" s="3"/>
      <c r="H1380" s="3"/>
      <c r="I1380" s="3" t="str">
        <f>IFERROR(ROUND(INDEX('PROJETO PERFURAÇÃO'!$AB:$AB,MATCH(MEDIÇÃO!K1380,'PROJETO PERFURAÇÃO'!$B:$B,0)),1)&amp;"''","")</f>
        <v/>
      </c>
      <c r="J1380" s="3" t="str">
        <f>IFERROR(IF(INDEX('PROJETO PERFURAÇÃO'!$P:$P,MATCH(MEDIÇÃO!K1380,'PROJETO PERFURAÇÃO'!$B:$B,0))="Production","P",IF(INDEX('PROJETO PERFURAÇÃO'!$P:$P,MATCH(MEDIÇÃO!K1380,'PROJETO PERFURAÇÃO'!$B:$B,0))="Buffer","B",IF(INDEX('PROJETO PERFURAÇÃO'!$P:$P,MATCH(MEDIÇÃO!K1380,'PROJETO PERFURAÇÃO'!$B:$B,0))="Pre-Splitting","S"))),"")</f>
        <v/>
      </c>
      <c r="K1380" s="14">
        <f t="shared" si="133"/>
        <v>3071</v>
      </c>
      <c r="L1380" s="4" t="str">
        <f>IFERROR(INDEX('LEV R&amp;D'!$D:$D,MATCH(MEDIÇÃO!K1380,'LEV R&amp;D'!$A:$A,0))-INDEX('PROJETO PERFURAÇÃO'!$AH:$AH,MATCH(MEDIÇÃO!K1380,'PROJETO PERFURAÇÃO'!$B:$B,0)),"")</f>
        <v/>
      </c>
      <c r="M1380" s="8" t="str">
        <f>IFERROR(INDEX('PROJETO PERFURAÇÃO'!$AN:$AN,MATCH(MEDIÇÃO!K1380,'PROJETO PERFURAÇÃO'!$B:$B,0)),"")</f>
        <v/>
      </c>
      <c r="N1380" s="3"/>
      <c r="O1380" s="3"/>
      <c r="P1380" s="3" t="str">
        <f>IFERROR(ROUND(INDEX('PROJETO PERFURAÇÃO'!$AB:$AB,MATCH(MEDIÇÃO!R1380,'PROJETO PERFURAÇÃO'!$B:$B,0)),1)&amp;"''","")</f>
        <v/>
      </c>
      <c r="Q1380" s="3" t="str">
        <f>IFERROR(IF(INDEX('PROJETO PERFURAÇÃO'!$P:$P,MATCH(MEDIÇÃO!R1380,'PROJETO PERFURAÇÃO'!$B:$B,0))="Production","P",IF(INDEX('PROJETO PERFURAÇÃO'!$P:$P,MATCH(MEDIÇÃO!R1380,'PROJETO PERFURAÇÃO'!$B:$B,0))="Buffer","B",IF(INDEX('PROJETO PERFURAÇÃO'!$P:$P,MATCH(MEDIÇÃO!R1380,'PROJETO PERFURAÇÃO'!$B:$B,0))="Pre-Splitting","S"))),"")</f>
        <v/>
      </c>
      <c r="R1380" s="14">
        <f t="shared" si="134"/>
        <v>3094</v>
      </c>
      <c r="S1380" s="4" t="str">
        <f>IFERROR(INDEX('LEV R&amp;D'!$D:$D,MATCH(MEDIÇÃO!R1380,'LEV R&amp;D'!$A:$A,0))-INDEX('PROJETO PERFURAÇÃO'!$AH:$AH,MATCH(MEDIÇÃO!R1380,'PROJETO PERFURAÇÃO'!$B:$B,0)),"")</f>
        <v/>
      </c>
      <c r="T1380" s="8" t="str">
        <f>IFERROR(INDEX('PROJETO PERFURAÇÃO'!$AN:$AN,MATCH(MEDIÇÃO!R1380,'PROJETO PERFURAÇÃO'!$B:$B,0)),"")</f>
        <v/>
      </c>
      <c r="U1380" s="3"/>
      <c r="V1380" s="3"/>
    </row>
    <row r="1381" spans="2:22" ht="45" customHeight="1">
      <c r="B1381" s="3" t="str">
        <f>IFERROR(ROUND(INDEX('PROJETO PERFURAÇÃO'!$AB:$AB,MATCH(MEDIÇÃO!D1381,'PROJETO PERFURAÇÃO'!$B:$B,0)),1)&amp;"''","")</f>
        <v/>
      </c>
      <c r="C1381" s="3" t="str">
        <f>IFERROR(IF(INDEX('PROJETO PERFURAÇÃO'!$P:$P,MATCH(MEDIÇÃO!D1381,'PROJETO PERFURAÇÃO'!$B:$B,0))="Production","P",IF(INDEX('PROJETO PERFURAÇÃO'!$P:$P,MATCH(MEDIÇÃO!D1381,'PROJETO PERFURAÇÃO'!$B:$B,0))="Buffer","B",IF(INDEX('PROJETO PERFURAÇÃO'!$P:$P,MATCH(MEDIÇÃO!D1381,'PROJETO PERFURAÇÃO'!$B:$B,0))="Pre-Splitting","S"))),"")</f>
        <v/>
      </c>
      <c r="D1381" s="14">
        <f t="shared" si="132"/>
        <v>3049</v>
      </c>
      <c r="E1381" s="4" t="str">
        <f>IFERROR(INDEX('LEV R&amp;D'!$D:$D,MATCH(MEDIÇÃO!D1381,'LEV R&amp;D'!$A:$A,0))-INDEX('PROJETO PERFURAÇÃO'!$AH:$AH,MATCH(MEDIÇÃO!D1381,'PROJETO PERFURAÇÃO'!$B:$B,0)),"")</f>
        <v/>
      </c>
      <c r="F1381" s="8" t="str">
        <f>IFERROR(INDEX('PROJETO PERFURAÇÃO'!$AN:$AN,MATCH(MEDIÇÃO!D1381,'PROJETO PERFURAÇÃO'!$B:$B,0)),"")</f>
        <v/>
      </c>
      <c r="G1381" s="3"/>
      <c r="H1381" s="3"/>
      <c r="I1381" s="3" t="str">
        <f>IFERROR(ROUND(INDEX('PROJETO PERFURAÇÃO'!$AB:$AB,MATCH(MEDIÇÃO!K1381,'PROJETO PERFURAÇÃO'!$B:$B,0)),1)&amp;"''","")</f>
        <v/>
      </c>
      <c r="J1381" s="3" t="str">
        <f>IFERROR(IF(INDEX('PROJETO PERFURAÇÃO'!$P:$P,MATCH(MEDIÇÃO!K1381,'PROJETO PERFURAÇÃO'!$B:$B,0))="Production","P",IF(INDEX('PROJETO PERFURAÇÃO'!$P:$P,MATCH(MEDIÇÃO!K1381,'PROJETO PERFURAÇÃO'!$B:$B,0))="Buffer","B",IF(INDEX('PROJETO PERFURAÇÃO'!$P:$P,MATCH(MEDIÇÃO!K1381,'PROJETO PERFURAÇÃO'!$B:$B,0))="Pre-Splitting","S"))),"")</f>
        <v/>
      </c>
      <c r="K1381" s="14">
        <f t="shared" si="133"/>
        <v>3072</v>
      </c>
      <c r="L1381" s="4" t="str">
        <f>IFERROR(INDEX('LEV R&amp;D'!$D:$D,MATCH(MEDIÇÃO!K1381,'LEV R&amp;D'!$A:$A,0))-INDEX('PROJETO PERFURAÇÃO'!$AH:$AH,MATCH(MEDIÇÃO!K1381,'PROJETO PERFURAÇÃO'!$B:$B,0)),"")</f>
        <v/>
      </c>
      <c r="M1381" s="8" t="str">
        <f>IFERROR(INDEX('PROJETO PERFURAÇÃO'!$AN:$AN,MATCH(MEDIÇÃO!K1381,'PROJETO PERFURAÇÃO'!$B:$B,0)),"")</f>
        <v/>
      </c>
      <c r="N1381" s="3"/>
      <c r="O1381" s="3"/>
      <c r="P1381" s="3" t="str">
        <f>IFERROR(ROUND(INDEX('PROJETO PERFURAÇÃO'!$AB:$AB,MATCH(MEDIÇÃO!R1381,'PROJETO PERFURAÇÃO'!$B:$B,0)),1)&amp;"''","")</f>
        <v/>
      </c>
      <c r="Q1381" s="3" t="str">
        <f>IFERROR(IF(INDEX('PROJETO PERFURAÇÃO'!$P:$P,MATCH(MEDIÇÃO!R1381,'PROJETO PERFURAÇÃO'!$B:$B,0))="Production","P",IF(INDEX('PROJETO PERFURAÇÃO'!$P:$P,MATCH(MEDIÇÃO!R1381,'PROJETO PERFURAÇÃO'!$B:$B,0))="Buffer","B",IF(INDEX('PROJETO PERFURAÇÃO'!$P:$P,MATCH(MEDIÇÃO!R1381,'PROJETO PERFURAÇÃO'!$B:$B,0))="Pre-Splitting","S"))),"")</f>
        <v/>
      </c>
      <c r="R1381" s="14">
        <f t="shared" si="134"/>
        <v>3095</v>
      </c>
      <c r="S1381" s="4" t="str">
        <f>IFERROR(INDEX('LEV R&amp;D'!$D:$D,MATCH(MEDIÇÃO!R1381,'LEV R&amp;D'!$A:$A,0))-INDEX('PROJETO PERFURAÇÃO'!$AH:$AH,MATCH(MEDIÇÃO!R1381,'PROJETO PERFURAÇÃO'!$B:$B,0)),"")</f>
        <v/>
      </c>
      <c r="T1381" s="8" t="str">
        <f>IFERROR(INDEX('PROJETO PERFURAÇÃO'!$AN:$AN,MATCH(MEDIÇÃO!R1381,'PROJETO PERFURAÇÃO'!$B:$B,0)),"")</f>
        <v/>
      </c>
      <c r="U1381" s="3"/>
      <c r="V1381" s="3"/>
    </row>
    <row r="1382" spans="2:22" ht="45" customHeight="1">
      <c r="B1382" s="3" t="str">
        <f>IFERROR(ROUND(INDEX('PROJETO PERFURAÇÃO'!$AB:$AB,MATCH(MEDIÇÃO!D1382,'PROJETO PERFURAÇÃO'!$B:$B,0)),1)&amp;"''","")</f>
        <v/>
      </c>
      <c r="C1382" s="3" t="str">
        <f>IFERROR(IF(INDEX('PROJETO PERFURAÇÃO'!$P:$P,MATCH(MEDIÇÃO!D1382,'PROJETO PERFURAÇÃO'!$B:$B,0))="Production","P",IF(INDEX('PROJETO PERFURAÇÃO'!$P:$P,MATCH(MEDIÇÃO!D1382,'PROJETO PERFURAÇÃO'!$B:$B,0))="Buffer","B",IF(INDEX('PROJETO PERFURAÇÃO'!$P:$P,MATCH(MEDIÇÃO!D1382,'PROJETO PERFURAÇÃO'!$B:$B,0))="Pre-Splitting","S"))),"")</f>
        <v/>
      </c>
      <c r="D1382" s="14">
        <f t="shared" si="132"/>
        <v>3050</v>
      </c>
      <c r="E1382" s="4" t="str">
        <f>IFERROR(INDEX('LEV R&amp;D'!$D:$D,MATCH(MEDIÇÃO!D1382,'LEV R&amp;D'!$A:$A,0))-INDEX('PROJETO PERFURAÇÃO'!$AH:$AH,MATCH(MEDIÇÃO!D1382,'PROJETO PERFURAÇÃO'!$B:$B,0)),"")</f>
        <v/>
      </c>
      <c r="F1382" s="8" t="str">
        <f>IFERROR(INDEX('PROJETO PERFURAÇÃO'!$AN:$AN,MATCH(MEDIÇÃO!D1382,'PROJETO PERFURAÇÃO'!$B:$B,0)),"")</f>
        <v/>
      </c>
      <c r="G1382" s="3"/>
      <c r="H1382" s="3"/>
      <c r="I1382" s="3" t="str">
        <f>IFERROR(ROUND(INDEX('PROJETO PERFURAÇÃO'!$AB:$AB,MATCH(MEDIÇÃO!K1382,'PROJETO PERFURAÇÃO'!$B:$B,0)),1)&amp;"''","")</f>
        <v/>
      </c>
      <c r="J1382" s="3" t="str">
        <f>IFERROR(IF(INDEX('PROJETO PERFURAÇÃO'!$P:$P,MATCH(MEDIÇÃO!K1382,'PROJETO PERFURAÇÃO'!$B:$B,0))="Production","P",IF(INDEX('PROJETO PERFURAÇÃO'!$P:$P,MATCH(MEDIÇÃO!K1382,'PROJETO PERFURAÇÃO'!$B:$B,0))="Buffer","B",IF(INDEX('PROJETO PERFURAÇÃO'!$P:$P,MATCH(MEDIÇÃO!K1382,'PROJETO PERFURAÇÃO'!$B:$B,0))="Pre-Splitting","S"))),"")</f>
        <v/>
      </c>
      <c r="K1382" s="14">
        <f t="shared" si="133"/>
        <v>3073</v>
      </c>
      <c r="L1382" s="4" t="str">
        <f>IFERROR(INDEX('LEV R&amp;D'!$D:$D,MATCH(MEDIÇÃO!K1382,'LEV R&amp;D'!$A:$A,0))-INDEX('PROJETO PERFURAÇÃO'!$AH:$AH,MATCH(MEDIÇÃO!K1382,'PROJETO PERFURAÇÃO'!$B:$B,0)),"")</f>
        <v/>
      </c>
      <c r="M1382" s="8" t="str">
        <f>IFERROR(INDEX('PROJETO PERFURAÇÃO'!$AN:$AN,MATCH(MEDIÇÃO!K1382,'PROJETO PERFURAÇÃO'!$B:$B,0)),"")</f>
        <v/>
      </c>
      <c r="N1382" s="3"/>
      <c r="O1382" s="3"/>
      <c r="P1382" s="3" t="str">
        <f>IFERROR(ROUND(INDEX('PROJETO PERFURAÇÃO'!$AB:$AB,MATCH(MEDIÇÃO!R1382,'PROJETO PERFURAÇÃO'!$B:$B,0)),1)&amp;"''","")</f>
        <v/>
      </c>
      <c r="Q1382" s="3" t="str">
        <f>IFERROR(IF(INDEX('PROJETO PERFURAÇÃO'!$P:$P,MATCH(MEDIÇÃO!R1382,'PROJETO PERFURAÇÃO'!$B:$B,0))="Production","P",IF(INDEX('PROJETO PERFURAÇÃO'!$P:$P,MATCH(MEDIÇÃO!R1382,'PROJETO PERFURAÇÃO'!$B:$B,0))="Buffer","B",IF(INDEX('PROJETO PERFURAÇÃO'!$P:$P,MATCH(MEDIÇÃO!R1382,'PROJETO PERFURAÇÃO'!$B:$B,0))="Pre-Splitting","S"))),"")</f>
        <v/>
      </c>
      <c r="R1382" s="14">
        <f t="shared" si="134"/>
        <v>3096</v>
      </c>
      <c r="S1382" s="4" t="str">
        <f>IFERROR(INDEX('LEV R&amp;D'!$D:$D,MATCH(MEDIÇÃO!R1382,'LEV R&amp;D'!$A:$A,0))-INDEX('PROJETO PERFURAÇÃO'!$AH:$AH,MATCH(MEDIÇÃO!R1382,'PROJETO PERFURAÇÃO'!$B:$B,0)),"")</f>
        <v/>
      </c>
      <c r="T1382" s="8" t="str">
        <f>IFERROR(INDEX('PROJETO PERFURAÇÃO'!$AN:$AN,MATCH(MEDIÇÃO!R1382,'PROJETO PERFURAÇÃO'!$B:$B,0)),"")</f>
        <v/>
      </c>
      <c r="U1382" s="3"/>
      <c r="V1382" s="3"/>
    </row>
    <row r="1383" spans="2:22" ht="45" customHeight="1">
      <c r="B1383" s="3" t="str">
        <f>IFERROR(ROUND(INDEX('PROJETO PERFURAÇÃO'!$AB:$AB,MATCH(MEDIÇÃO!D1383,'PROJETO PERFURAÇÃO'!$B:$B,0)),1)&amp;"''","")</f>
        <v/>
      </c>
      <c r="C1383" s="3" t="str">
        <f>IFERROR(IF(INDEX('PROJETO PERFURAÇÃO'!$P:$P,MATCH(MEDIÇÃO!D1383,'PROJETO PERFURAÇÃO'!$B:$B,0))="Production","P",IF(INDEX('PROJETO PERFURAÇÃO'!$P:$P,MATCH(MEDIÇÃO!D1383,'PROJETO PERFURAÇÃO'!$B:$B,0))="Buffer","B",IF(INDEX('PROJETO PERFURAÇÃO'!$P:$P,MATCH(MEDIÇÃO!D1383,'PROJETO PERFURAÇÃO'!$B:$B,0))="Pre-Splitting","S"))),"")</f>
        <v/>
      </c>
      <c r="D1383" s="14">
        <f t="shared" si="132"/>
        <v>3051</v>
      </c>
      <c r="E1383" s="4" t="str">
        <f>IFERROR(INDEX('LEV R&amp;D'!$D:$D,MATCH(MEDIÇÃO!D1383,'LEV R&amp;D'!$A:$A,0))-INDEX('PROJETO PERFURAÇÃO'!$AH:$AH,MATCH(MEDIÇÃO!D1383,'PROJETO PERFURAÇÃO'!$B:$B,0)),"")</f>
        <v/>
      </c>
      <c r="F1383" s="8" t="str">
        <f>IFERROR(INDEX('PROJETO PERFURAÇÃO'!$AN:$AN,MATCH(MEDIÇÃO!D1383,'PROJETO PERFURAÇÃO'!$B:$B,0)),"")</f>
        <v/>
      </c>
      <c r="G1383" s="3"/>
      <c r="H1383" s="3"/>
      <c r="I1383" s="3" t="str">
        <f>IFERROR(ROUND(INDEX('PROJETO PERFURAÇÃO'!$AB:$AB,MATCH(MEDIÇÃO!K1383,'PROJETO PERFURAÇÃO'!$B:$B,0)),1)&amp;"''","")</f>
        <v/>
      </c>
      <c r="J1383" s="3" t="str">
        <f>IFERROR(IF(INDEX('PROJETO PERFURAÇÃO'!$P:$P,MATCH(MEDIÇÃO!K1383,'PROJETO PERFURAÇÃO'!$B:$B,0))="Production","P",IF(INDEX('PROJETO PERFURAÇÃO'!$P:$P,MATCH(MEDIÇÃO!K1383,'PROJETO PERFURAÇÃO'!$B:$B,0))="Buffer","B",IF(INDEX('PROJETO PERFURAÇÃO'!$P:$P,MATCH(MEDIÇÃO!K1383,'PROJETO PERFURAÇÃO'!$B:$B,0))="Pre-Splitting","S"))),"")</f>
        <v/>
      </c>
      <c r="K1383" s="14">
        <f t="shared" si="133"/>
        <v>3074</v>
      </c>
      <c r="L1383" s="4" t="str">
        <f>IFERROR(INDEX('LEV R&amp;D'!$D:$D,MATCH(MEDIÇÃO!K1383,'LEV R&amp;D'!$A:$A,0))-INDEX('PROJETO PERFURAÇÃO'!$AH:$AH,MATCH(MEDIÇÃO!K1383,'PROJETO PERFURAÇÃO'!$B:$B,0)),"")</f>
        <v/>
      </c>
      <c r="M1383" s="8" t="str">
        <f>IFERROR(INDEX('PROJETO PERFURAÇÃO'!$AN:$AN,MATCH(MEDIÇÃO!K1383,'PROJETO PERFURAÇÃO'!$B:$B,0)),"")</f>
        <v/>
      </c>
      <c r="N1383" s="3"/>
      <c r="O1383" s="3"/>
      <c r="P1383" s="3" t="str">
        <f>IFERROR(ROUND(INDEX('PROJETO PERFURAÇÃO'!$AB:$AB,MATCH(MEDIÇÃO!R1383,'PROJETO PERFURAÇÃO'!$B:$B,0)),1)&amp;"''","")</f>
        <v/>
      </c>
      <c r="Q1383" s="3" t="str">
        <f>IFERROR(IF(INDEX('PROJETO PERFURAÇÃO'!$P:$P,MATCH(MEDIÇÃO!R1383,'PROJETO PERFURAÇÃO'!$B:$B,0))="Production","P",IF(INDEX('PROJETO PERFURAÇÃO'!$P:$P,MATCH(MEDIÇÃO!R1383,'PROJETO PERFURAÇÃO'!$B:$B,0))="Buffer","B",IF(INDEX('PROJETO PERFURAÇÃO'!$P:$P,MATCH(MEDIÇÃO!R1383,'PROJETO PERFURAÇÃO'!$B:$B,0))="Pre-Splitting","S"))),"")</f>
        <v/>
      </c>
      <c r="R1383" s="14">
        <f t="shared" si="134"/>
        <v>3097</v>
      </c>
      <c r="S1383" s="4" t="str">
        <f>IFERROR(INDEX('LEV R&amp;D'!$D:$D,MATCH(MEDIÇÃO!R1383,'LEV R&amp;D'!$A:$A,0))-INDEX('PROJETO PERFURAÇÃO'!$AH:$AH,MATCH(MEDIÇÃO!R1383,'PROJETO PERFURAÇÃO'!$B:$B,0)),"")</f>
        <v/>
      </c>
      <c r="T1383" s="8" t="str">
        <f>IFERROR(INDEX('PROJETO PERFURAÇÃO'!$AN:$AN,MATCH(MEDIÇÃO!R1383,'PROJETO PERFURAÇÃO'!$B:$B,0)),"")</f>
        <v/>
      </c>
      <c r="U1383" s="3"/>
      <c r="V1383" s="3"/>
    </row>
    <row r="1384" spans="2:22" ht="45" customHeight="1">
      <c r="B1384" s="3" t="str">
        <f>IFERROR(ROUND(INDEX('PROJETO PERFURAÇÃO'!$AB:$AB,MATCH(MEDIÇÃO!D1384,'PROJETO PERFURAÇÃO'!$B:$B,0)),1)&amp;"''","")</f>
        <v/>
      </c>
      <c r="C1384" s="3" t="str">
        <f>IFERROR(IF(INDEX('PROJETO PERFURAÇÃO'!$P:$P,MATCH(MEDIÇÃO!D1384,'PROJETO PERFURAÇÃO'!$B:$B,0))="Production","P",IF(INDEX('PROJETO PERFURAÇÃO'!$P:$P,MATCH(MEDIÇÃO!D1384,'PROJETO PERFURAÇÃO'!$B:$B,0))="Buffer","B",IF(INDEX('PROJETO PERFURAÇÃO'!$P:$P,MATCH(MEDIÇÃO!D1384,'PROJETO PERFURAÇÃO'!$B:$B,0))="Pre-Splitting","S"))),"")</f>
        <v/>
      </c>
      <c r="D1384" s="14">
        <f t="shared" si="132"/>
        <v>3052</v>
      </c>
      <c r="E1384" s="4" t="str">
        <f>IFERROR(INDEX('LEV R&amp;D'!$D:$D,MATCH(MEDIÇÃO!D1384,'LEV R&amp;D'!$A:$A,0))-INDEX('PROJETO PERFURAÇÃO'!$AH:$AH,MATCH(MEDIÇÃO!D1384,'PROJETO PERFURAÇÃO'!$B:$B,0)),"")</f>
        <v/>
      </c>
      <c r="F1384" s="8" t="str">
        <f>IFERROR(INDEX('PROJETO PERFURAÇÃO'!$AN:$AN,MATCH(MEDIÇÃO!D1384,'PROJETO PERFURAÇÃO'!$B:$B,0)),"")</f>
        <v/>
      </c>
      <c r="G1384" s="3"/>
      <c r="H1384" s="3"/>
      <c r="I1384" s="3" t="str">
        <f>IFERROR(ROUND(INDEX('PROJETO PERFURAÇÃO'!$AB:$AB,MATCH(MEDIÇÃO!K1384,'PROJETO PERFURAÇÃO'!$B:$B,0)),1)&amp;"''","")</f>
        <v/>
      </c>
      <c r="J1384" s="3" t="str">
        <f>IFERROR(IF(INDEX('PROJETO PERFURAÇÃO'!$P:$P,MATCH(MEDIÇÃO!K1384,'PROJETO PERFURAÇÃO'!$B:$B,0))="Production","P",IF(INDEX('PROJETO PERFURAÇÃO'!$P:$P,MATCH(MEDIÇÃO!K1384,'PROJETO PERFURAÇÃO'!$B:$B,0))="Buffer","B",IF(INDEX('PROJETO PERFURAÇÃO'!$P:$P,MATCH(MEDIÇÃO!K1384,'PROJETO PERFURAÇÃO'!$B:$B,0))="Pre-Splitting","S"))),"")</f>
        <v/>
      </c>
      <c r="K1384" s="14">
        <f t="shared" si="133"/>
        <v>3075</v>
      </c>
      <c r="L1384" s="4" t="str">
        <f>IFERROR(INDEX('LEV R&amp;D'!$D:$D,MATCH(MEDIÇÃO!K1384,'LEV R&amp;D'!$A:$A,0))-INDEX('PROJETO PERFURAÇÃO'!$AH:$AH,MATCH(MEDIÇÃO!K1384,'PROJETO PERFURAÇÃO'!$B:$B,0)),"")</f>
        <v/>
      </c>
      <c r="M1384" s="8" t="str">
        <f>IFERROR(INDEX('PROJETO PERFURAÇÃO'!$AN:$AN,MATCH(MEDIÇÃO!K1384,'PROJETO PERFURAÇÃO'!$B:$B,0)),"")</f>
        <v/>
      </c>
      <c r="N1384" s="3"/>
      <c r="O1384" s="3"/>
      <c r="P1384" s="3" t="str">
        <f>IFERROR(ROUND(INDEX('PROJETO PERFURAÇÃO'!$AB:$AB,MATCH(MEDIÇÃO!R1384,'PROJETO PERFURAÇÃO'!$B:$B,0)),1)&amp;"''","")</f>
        <v/>
      </c>
      <c r="Q1384" s="3" t="str">
        <f>IFERROR(IF(INDEX('PROJETO PERFURAÇÃO'!$P:$P,MATCH(MEDIÇÃO!R1384,'PROJETO PERFURAÇÃO'!$B:$B,0))="Production","P",IF(INDEX('PROJETO PERFURAÇÃO'!$P:$P,MATCH(MEDIÇÃO!R1384,'PROJETO PERFURAÇÃO'!$B:$B,0))="Buffer","B",IF(INDEX('PROJETO PERFURAÇÃO'!$P:$P,MATCH(MEDIÇÃO!R1384,'PROJETO PERFURAÇÃO'!$B:$B,0))="Pre-Splitting","S"))),"")</f>
        <v/>
      </c>
      <c r="R1384" s="14">
        <f t="shared" si="134"/>
        <v>3098</v>
      </c>
      <c r="S1384" s="4" t="str">
        <f>IFERROR(INDEX('LEV R&amp;D'!$D:$D,MATCH(MEDIÇÃO!R1384,'LEV R&amp;D'!$A:$A,0))-INDEX('PROJETO PERFURAÇÃO'!$AH:$AH,MATCH(MEDIÇÃO!R1384,'PROJETO PERFURAÇÃO'!$B:$B,0)),"")</f>
        <v/>
      </c>
      <c r="T1384" s="8" t="str">
        <f>IFERROR(INDEX('PROJETO PERFURAÇÃO'!$AN:$AN,MATCH(MEDIÇÃO!R1384,'PROJETO PERFURAÇÃO'!$B:$B,0)),"")</f>
        <v/>
      </c>
      <c r="U1384" s="3"/>
      <c r="V1384" s="3"/>
    </row>
    <row r="1385" spans="2:22" ht="45" customHeight="1">
      <c r="B1385" s="3" t="str">
        <f>IFERROR(ROUND(INDEX('PROJETO PERFURAÇÃO'!$AB:$AB,MATCH(MEDIÇÃO!D1385,'PROJETO PERFURAÇÃO'!$B:$B,0)),1)&amp;"''","")</f>
        <v/>
      </c>
      <c r="C1385" s="3" t="str">
        <f>IFERROR(IF(INDEX('PROJETO PERFURAÇÃO'!$P:$P,MATCH(MEDIÇÃO!D1385,'PROJETO PERFURAÇÃO'!$B:$B,0))="Production","P",IF(INDEX('PROJETO PERFURAÇÃO'!$P:$P,MATCH(MEDIÇÃO!D1385,'PROJETO PERFURAÇÃO'!$B:$B,0))="Buffer","B",IF(INDEX('PROJETO PERFURAÇÃO'!$P:$P,MATCH(MEDIÇÃO!D1385,'PROJETO PERFURAÇÃO'!$B:$B,0))="Pre-Splitting","S"))),"")</f>
        <v/>
      </c>
      <c r="D1385" s="14">
        <f t="shared" si="132"/>
        <v>3053</v>
      </c>
      <c r="E1385" s="4" t="str">
        <f>IFERROR(INDEX('LEV R&amp;D'!$D:$D,MATCH(MEDIÇÃO!D1385,'LEV R&amp;D'!$A:$A,0))-INDEX('PROJETO PERFURAÇÃO'!$AH:$AH,MATCH(MEDIÇÃO!D1385,'PROJETO PERFURAÇÃO'!$B:$B,0)),"")</f>
        <v/>
      </c>
      <c r="F1385" s="8" t="str">
        <f>IFERROR(INDEX('PROJETO PERFURAÇÃO'!$AN:$AN,MATCH(MEDIÇÃO!D1385,'PROJETO PERFURAÇÃO'!$B:$B,0)),"")</f>
        <v/>
      </c>
      <c r="G1385" s="3"/>
      <c r="H1385" s="3"/>
      <c r="I1385" s="3" t="str">
        <f>IFERROR(ROUND(INDEX('PROJETO PERFURAÇÃO'!$AB:$AB,MATCH(MEDIÇÃO!K1385,'PROJETO PERFURAÇÃO'!$B:$B,0)),1)&amp;"''","")</f>
        <v/>
      </c>
      <c r="J1385" s="3" t="str">
        <f>IFERROR(IF(INDEX('PROJETO PERFURAÇÃO'!$P:$P,MATCH(MEDIÇÃO!K1385,'PROJETO PERFURAÇÃO'!$B:$B,0))="Production","P",IF(INDEX('PROJETO PERFURAÇÃO'!$P:$P,MATCH(MEDIÇÃO!K1385,'PROJETO PERFURAÇÃO'!$B:$B,0))="Buffer","B",IF(INDEX('PROJETO PERFURAÇÃO'!$P:$P,MATCH(MEDIÇÃO!K1385,'PROJETO PERFURAÇÃO'!$B:$B,0))="Pre-Splitting","S"))),"")</f>
        <v/>
      </c>
      <c r="K1385" s="14">
        <f t="shared" si="133"/>
        <v>3076</v>
      </c>
      <c r="L1385" s="4" t="str">
        <f>IFERROR(INDEX('LEV R&amp;D'!$D:$D,MATCH(MEDIÇÃO!K1385,'LEV R&amp;D'!$A:$A,0))-INDEX('PROJETO PERFURAÇÃO'!$AH:$AH,MATCH(MEDIÇÃO!K1385,'PROJETO PERFURAÇÃO'!$B:$B,0)),"")</f>
        <v/>
      </c>
      <c r="M1385" s="8" t="str">
        <f>IFERROR(INDEX('PROJETO PERFURAÇÃO'!$AN:$AN,MATCH(MEDIÇÃO!K1385,'PROJETO PERFURAÇÃO'!$B:$B,0)),"")</f>
        <v/>
      </c>
      <c r="N1385" s="3"/>
      <c r="O1385" s="3"/>
      <c r="P1385" s="3" t="str">
        <f>IFERROR(ROUND(INDEX('PROJETO PERFURAÇÃO'!$AB:$AB,MATCH(MEDIÇÃO!R1385,'PROJETO PERFURAÇÃO'!$B:$B,0)),1)&amp;"''","")</f>
        <v/>
      </c>
      <c r="Q1385" s="3" t="str">
        <f>IFERROR(IF(INDEX('PROJETO PERFURAÇÃO'!$P:$P,MATCH(MEDIÇÃO!R1385,'PROJETO PERFURAÇÃO'!$B:$B,0))="Production","P",IF(INDEX('PROJETO PERFURAÇÃO'!$P:$P,MATCH(MEDIÇÃO!R1385,'PROJETO PERFURAÇÃO'!$B:$B,0))="Buffer","B",IF(INDEX('PROJETO PERFURAÇÃO'!$P:$P,MATCH(MEDIÇÃO!R1385,'PROJETO PERFURAÇÃO'!$B:$B,0))="Pre-Splitting","S"))),"")</f>
        <v/>
      </c>
      <c r="R1385" s="14">
        <f t="shared" si="134"/>
        <v>3099</v>
      </c>
      <c r="S1385" s="4" t="str">
        <f>IFERROR(INDEX('LEV R&amp;D'!$D:$D,MATCH(MEDIÇÃO!R1385,'LEV R&amp;D'!$A:$A,0))-INDEX('PROJETO PERFURAÇÃO'!$AH:$AH,MATCH(MEDIÇÃO!R1385,'PROJETO PERFURAÇÃO'!$B:$B,0)),"")</f>
        <v/>
      </c>
      <c r="T1385" s="8" t="str">
        <f>IFERROR(INDEX('PROJETO PERFURAÇÃO'!$AN:$AN,MATCH(MEDIÇÃO!R1385,'PROJETO PERFURAÇÃO'!$B:$B,0)),"")</f>
        <v/>
      </c>
      <c r="U1385" s="3"/>
      <c r="V1385" s="3"/>
    </row>
    <row r="1386" spans="2:22" ht="45" customHeight="1">
      <c r="B1386" s="3" t="str">
        <f>IFERROR(ROUND(INDEX('PROJETO PERFURAÇÃO'!$AB:$AB,MATCH(MEDIÇÃO!D1386,'PROJETO PERFURAÇÃO'!$B:$B,0)),1)&amp;"''","")</f>
        <v/>
      </c>
      <c r="C1386" s="3" t="str">
        <f>IFERROR(IF(INDEX('PROJETO PERFURAÇÃO'!$P:$P,MATCH(MEDIÇÃO!D1386,'PROJETO PERFURAÇÃO'!$B:$B,0))="Production","P",IF(INDEX('PROJETO PERFURAÇÃO'!$P:$P,MATCH(MEDIÇÃO!D1386,'PROJETO PERFURAÇÃO'!$B:$B,0))="Buffer","B",IF(INDEX('PROJETO PERFURAÇÃO'!$P:$P,MATCH(MEDIÇÃO!D1386,'PROJETO PERFURAÇÃO'!$B:$B,0))="Pre-Splitting","S"))),"")</f>
        <v/>
      </c>
      <c r="D1386" s="14">
        <f t="shared" si="132"/>
        <v>3054</v>
      </c>
      <c r="E1386" s="4" t="str">
        <f>IFERROR(INDEX('LEV R&amp;D'!$D:$D,MATCH(MEDIÇÃO!D1386,'LEV R&amp;D'!$A:$A,0))-INDEX('PROJETO PERFURAÇÃO'!$AH:$AH,MATCH(MEDIÇÃO!D1386,'PROJETO PERFURAÇÃO'!$B:$B,0)),"")</f>
        <v/>
      </c>
      <c r="F1386" s="8" t="str">
        <f>IFERROR(INDEX('PROJETO PERFURAÇÃO'!$AN:$AN,MATCH(MEDIÇÃO!D1386,'PROJETO PERFURAÇÃO'!$B:$B,0)),"")</f>
        <v/>
      </c>
      <c r="G1386" s="3"/>
      <c r="H1386" s="3"/>
      <c r="I1386" s="3" t="str">
        <f>IFERROR(ROUND(INDEX('PROJETO PERFURAÇÃO'!$AB:$AB,MATCH(MEDIÇÃO!K1386,'PROJETO PERFURAÇÃO'!$B:$B,0)),1)&amp;"''","")</f>
        <v/>
      </c>
      <c r="J1386" s="3" t="str">
        <f>IFERROR(IF(INDEX('PROJETO PERFURAÇÃO'!$P:$P,MATCH(MEDIÇÃO!K1386,'PROJETO PERFURAÇÃO'!$B:$B,0))="Production","P",IF(INDEX('PROJETO PERFURAÇÃO'!$P:$P,MATCH(MEDIÇÃO!K1386,'PROJETO PERFURAÇÃO'!$B:$B,0))="Buffer","B",IF(INDEX('PROJETO PERFURAÇÃO'!$P:$P,MATCH(MEDIÇÃO!K1386,'PROJETO PERFURAÇÃO'!$B:$B,0))="Pre-Splitting","S"))),"")</f>
        <v/>
      </c>
      <c r="K1386" s="14">
        <f t="shared" si="133"/>
        <v>3077</v>
      </c>
      <c r="L1386" s="4" t="str">
        <f>IFERROR(INDEX('LEV R&amp;D'!$D:$D,MATCH(MEDIÇÃO!K1386,'LEV R&amp;D'!$A:$A,0))-INDEX('PROJETO PERFURAÇÃO'!$AH:$AH,MATCH(MEDIÇÃO!K1386,'PROJETO PERFURAÇÃO'!$B:$B,0)),"")</f>
        <v/>
      </c>
      <c r="M1386" s="8" t="str">
        <f>IFERROR(INDEX('PROJETO PERFURAÇÃO'!$AN:$AN,MATCH(MEDIÇÃO!K1386,'PROJETO PERFURAÇÃO'!$B:$B,0)),"")</f>
        <v/>
      </c>
      <c r="N1386" s="3"/>
      <c r="O1386" s="3"/>
      <c r="P1386" s="3" t="str">
        <f>IFERROR(ROUND(INDEX('PROJETO PERFURAÇÃO'!$AB:$AB,MATCH(MEDIÇÃO!R1386,'PROJETO PERFURAÇÃO'!$B:$B,0)),1)&amp;"''","")</f>
        <v/>
      </c>
      <c r="Q1386" s="3" t="str">
        <f>IFERROR(IF(INDEX('PROJETO PERFURAÇÃO'!$P:$P,MATCH(MEDIÇÃO!R1386,'PROJETO PERFURAÇÃO'!$B:$B,0))="Production","P",IF(INDEX('PROJETO PERFURAÇÃO'!$P:$P,MATCH(MEDIÇÃO!R1386,'PROJETO PERFURAÇÃO'!$B:$B,0))="Buffer","B",IF(INDEX('PROJETO PERFURAÇÃO'!$P:$P,MATCH(MEDIÇÃO!R1386,'PROJETO PERFURAÇÃO'!$B:$B,0))="Pre-Splitting","S"))),"")</f>
        <v/>
      </c>
      <c r="R1386" s="14">
        <f t="shared" si="134"/>
        <v>3100</v>
      </c>
      <c r="S1386" s="4" t="str">
        <f>IFERROR(INDEX('LEV R&amp;D'!$D:$D,MATCH(MEDIÇÃO!R1386,'LEV R&amp;D'!$A:$A,0))-INDEX('PROJETO PERFURAÇÃO'!$AH:$AH,MATCH(MEDIÇÃO!R1386,'PROJETO PERFURAÇÃO'!$B:$B,0)),"")</f>
        <v/>
      </c>
      <c r="T1386" s="8" t="str">
        <f>IFERROR(INDEX('PROJETO PERFURAÇÃO'!$AN:$AN,MATCH(MEDIÇÃO!R1386,'PROJETO PERFURAÇÃO'!$B:$B,0)),"")</f>
        <v/>
      </c>
      <c r="U1386" s="3"/>
      <c r="V1386" s="3"/>
    </row>
    <row r="1387" spans="2:22" ht="45" customHeight="1">
      <c r="B1387" s="3" t="str">
        <f>IFERROR(ROUND(INDEX('PROJETO PERFURAÇÃO'!$AB:$AB,MATCH(MEDIÇÃO!D1387,'PROJETO PERFURAÇÃO'!$B:$B,0)),1)&amp;"''","")</f>
        <v/>
      </c>
      <c r="C1387" s="3" t="str">
        <f>IFERROR(IF(INDEX('PROJETO PERFURAÇÃO'!$P:$P,MATCH(MEDIÇÃO!D1387,'PROJETO PERFURAÇÃO'!$B:$B,0))="Production","P",IF(INDEX('PROJETO PERFURAÇÃO'!$P:$P,MATCH(MEDIÇÃO!D1387,'PROJETO PERFURAÇÃO'!$B:$B,0))="Buffer","B",IF(INDEX('PROJETO PERFURAÇÃO'!$P:$P,MATCH(MEDIÇÃO!D1387,'PROJETO PERFURAÇÃO'!$B:$B,0))="Pre-Splitting","S"))),"")</f>
        <v/>
      </c>
      <c r="D1387" s="14">
        <f t="shared" si="132"/>
        <v>3055</v>
      </c>
      <c r="E1387" s="4" t="str">
        <f>IFERROR(INDEX('LEV R&amp;D'!$D:$D,MATCH(MEDIÇÃO!D1387,'LEV R&amp;D'!$A:$A,0))-INDEX('PROJETO PERFURAÇÃO'!$AH:$AH,MATCH(MEDIÇÃO!D1387,'PROJETO PERFURAÇÃO'!$B:$B,0)),"")</f>
        <v/>
      </c>
      <c r="F1387" s="8" t="str">
        <f>IFERROR(INDEX('PROJETO PERFURAÇÃO'!$AN:$AN,MATCH(MEDIÇÃO!D1387,'PROJETO PERFURAÇÃO'!$B:$B,0)),"")</f>
        <v/>
      </c>
      <c r="G1387" s="3"/>
      <c r="H1387" s="3"/>
      <c r="I1387" s="3" t="str">
        <f>IFERROR(ROUND(INDEX('PROJETO PERFURAÇÃO'!$AB:$AB,MATCH(MEDIÇÃO!K1387,'PROJETO PERFURAÇÃO'!$B:$B,0)),1)&amp;"''","")</f>
        <v/>
      </c>
      <c r="J1387" s="3" t="str">
        <f>IFERROR(IF(INDEX('PROJETO PERFURAÇÃO'!$P:$P,MATCH(MEDIÇÃO!K1387,'PROJETO PERFURAÇÃO'!$B:$B,0))="Production","P",IF(INDEX('PROJETO PERFURAÇÃO'!$P:$P,MATCH(MEDIÇÃO!K1387,'PROJETO PERFURAÇÃO'!$B:$B,0))="Buffer","B",IF(INDEX('PROJETO PERFURAÇÃO'!$P:$P,MATCH(MEDIÇÃO!K1387,'PROJETO PERFURAÇÃO'!$B:$B,0))="Pre-Splitting","S"))),"")</f>
        <v/>
      </c>
      <c r="K1387" s="14">
        <f t="shared" si="133"/>
        <v>3078</v>
      </c>
      <c r="L1387" s="4" t="str">
        <f>IFERROR(INDEX('LEV R&amp;D'!$D:$D,MATCH(MEDIÇÃO!K1387,'LEV R&amp;D'!$A:$A,0))-INDEX('PROJETO PERFURAÇÃO'!$AH:$AH,MATCH(MEDIÇÃO!K1387,'PROJETO PERFURAÇÃO'!$B:$B,0)),"")</f>
        <v/>
      </c>
      <c r="M1387" s="8" t="str">
        <f>IFERROR(INDEX('PROJETO PERFURAÇÃO'!$AN:$AN,MATCH(MEDIÇÃO!K1387,'PROJETO PERFURAÇÃO'!$B:$B,0)),"")</f>
        <v/>
      </c>
      <c r="N1387" s="3"/>
      <c r="O1387" s="3"/>
      <c r="P1387" s="3" t="str">
        <f>IFERROR(ROUND(INDEX('PROJETO PERFURAÇÃO'!$AB:$AB,MATCH(MEDIÇÃO!R1387,'PROJETO PERFURAÇÃO'!$B:$B,0)),1)&amp;"''","")</f>
        <v/>
      </c>
      <c r="Q1387" s="3" t="str">
        <f>IFERROR(IF(INDEX('PROJETO PERFURAÇÃO'!$P:$P,MATCH(MEDIÇÃO!R1387,'PROJETO PERFURAÇÃO'!$B:$B,0))="Production","P",IF(INDEX('PROJETO PERFURAÇÃO'!$P:$P,MATCH(MEDIÇÃO!R1387,'PROJETO PERFURAÇÃO'!$B:$B,0))="Buffer","B",IF(INDEX('PROJETO PERFURAÇÃO'!$P:$P,MATCH(MEDIÇÃO!R1387,'PROJETO PERFURAÇÃO'!$B:$B,0))="Pre-Splitting","S"))),"")</f>
        <v/>
      </c>
      <c r="R1387" s="14">
        <f t="shared" si="134"/>
        <v>3101</v>
      </c>
      <c r="S1387" s="4" t="str">
        <f>IFERROR(INDEX('LEV R&amp;D'!$D:$D,MATCH(MEDIÇÃO!R1387,'LEV R&amp;D'!$A:$A,0))-INDEX('PROJETO PERFURAÇÃO'!$AH:$AH,MATCH(MEDIÇÃO!R1387,'PROJETO PERFURAÇÃO'!$B:$B,0)),"")</f>
        <v/>
      </c>
      <c r="T1387" s="8" t="str">
        <f>IFERROR(INDEX('PROJETO PERFURAÇÃO'!$AN:$AN,MATCH(MEDIÇÃO!R1387,'PROJETO PERFURAÇÃO'!$B:$B,0)),"")</f>
        <v/>
      </c>
      <c r="U1387" s="3"/>
      <c r="V1387" s="3"/>
    </row>
    <row r="1388" spans="2:22" ht="45" customHeight="1">
      <c r="B1388" s="3" t="str">
        <f>IFERROR(ROUND(INDEX('PROJETO PERFURAÇÃO'!$AB:$AB,MATCH(MEDIÇÃO!D1388,'PROJETO PERFURAÇÃO'!$B:$B,0)),1)&amp;"''","")</f>
        <v/>
      </c>
      <c r="C1388" s="3" t="str">
        <f>IFERROR(IF(INDEX('PROJETO PERFURAÇÃO'!$P:$P,MATCH(MEDIÇÃO!D1388,'PROJETO PERFURAÇÃO'!$B:$B,0))="Production","P",IF(INDEX('PROJETO PERFURAÇÃO'!$P:$P,MATCH(MEDIÇÃO!D1388,'PROJETO PERFURAÇÃO'!$B:$B,0))="Buffer","B",IF(INDEX('PROJETO PERFURAÇÃO'!$P:$P,MATCH(MEDIÇÃO!D1388,'PROJETO PERFURAÇÃO'!$B:$B,0))="Pre-Splitting","S"))),"")</f>
        <v/>
      </c>
      <c r="D1388" s="14">
        <f t="shared" si="132"/>
        <v>3056</v>
      </c>
      <c r="E1388" s="4" t="str">
        <f>IFERROR(INDEX('LEV R&amp;D'!$D:$D,MATCH(MEDIÇÃO!D1388,'LEV R&amp;D'!$A:$A,0))-INDEX('PROJETO PERFURAÇÃO'!$AH:$AH,MATCH(MEDIÇÃO!D1388,'PROJETO PERFURAÇÃO'!$B:$B,0)),"")</f>
        <v/>
      </c>
      <c r="F1388" s="8" t="str">
        <f>IFERROR(INDEX('PROJETO PERFURAÇÃO'!$AN:$AN,MATCH(MEDIÇÃO!D1388,'PROJETO PERFURAÇÃO'!$B:$B,0)),"")</f>
        <v/>
      </c>
      <c r="G1388" s="3"/>
      <c r="H1388" s="3"/>
      <c r="I1388" s="3" t="str">
        <f>IFERROR(ROUND(INDEX('PROJETO PERFURAÇÃO'!$AB:$AB,MATCH(MEDIÇÃO!K1388,'PROJETO PERFURAÇÃO'!$B:$B,0)),1)&amp;"''","")</f>
        <v/>
      </c>
      <c r="J1388" s="3" t="str">
        <f>IFERROR(IF(INDEX('PROJETO PERFURAÇÃO'!$P:$P,MATCH(MEDIÇÃO!K1388,'PROJETO PERFURAÇÃO'!$B:$B,0))="Production","P",IF(INDEX('PROJETO PERFURAÇÃO'!$P:$P,MATCH(MEDIÇÃO!K1388,'PROJETO PERFURAÇÃO'!$B:$B,0))="Buffer","B",IF(INDEX('PROJETO PERFURAÇÃO'!$P:$P,MATCH(MEDIÇÃO!K1388,'PROJETO PERFURAÇÃO'!$B:$B,0))="Pre-Splitting","S"))),"")</f>
        <v/>
      </c>
      <c r="K1388" s="14">
        <f t="shared" si="133"/>
        <v>3079</v>
      </c>
      <c r="L1388" s="4" t="str">
        <f>IFERROR(INDEX('LEV R&amp;D'!$D:$D,MATCH(MEDIÇÃO!K1388,'LEV R&amp;D'!$A:$A,0))-INDEX('PROJETO PERFURAÇÃO'!$AH:$AH,MATCH(MEDIÇÃO!K1388,'PROJETO PERFURAÇÃO'!$B:$B,0)),"")</f>
        <v/>
      </c>
      <c r="M1388" s="8" t="str">
        <f>IFERROR(INDEX('PROJETO PERFURAÇÃO'!$AN:$AN,MATCH(MEDIÇÃO!K1388,'PROJETO PERFURAÇÃO'!$B:$B,0)),"")</f>
        <v/>
      </c>
      <c r="N1388" s="3"/>
      <c r="O1388" s="3"/>
      <c r="P1388" s="3" t="str">
        <f>IFERROR(ROUND(INDEX('PROJETO PERFURAÇÃO'!$AB:$AB,MATCH(MEDIÇÃO!R1388,'PROJETO PERFURAÇÃO'!$B:$B,0)),1)&amp;"''","")</f>
        <v/>
      </c>
      <c r="Q1388" s="3" t="str">
        <f>IFERROR(IF(INDEX('PROJETO PERFURAÇÃO'!$P:$P,MATCH(MEDIÇÃO!R1388,'PROJETO PERFURAÇÃO'!$B:$B,0))="Production","P",IF(INDEX('PROJETO PERFURAÇÃO'!$P:$P,MATCH(MEDIÇÃO!R1388,'PROJETO PERFURAÇÃO'!$B:$B,0))="Buffer","B",IF(INDEX('PROJETO PERFURAÇÃO'!$P:$P,MATCH(MEDIÇÃO!R1388,'PROJETO PERFURAÇÃO'!$B:$B,0))="Pre-Splitting","S"))),"")</f>
        <v/>
      </c>
      <c r="R1388" s="14">
        <f t="shared" si="134"/>
        <v>3102</v>
      </c>
      <c r="S1388" s="4" t="str">
        <f>IFERROR(INDEX('LEV R&amp;D'!$D:$D,MATCH(MEDIÇÃO!R1388,'LEV R&amp;D'!$A:$A,0))-INDEX('PROJETO PERFURAÇÃO'!$AH:$AH,MATCH(MEDIÇÃO!R1388,'PROJETO PERFURAÇÃO'!$B:$B,0)),"")</f>
        <v/>
      </c>
      <c r="T1388" s="8" t="str">
        <f>IFERROR(INDEX('PROJETO PERFURAÇÃO'!$AN:$AN,MATCH(MEDIÇÃO!R1388,'PROJETO PERFURAÇÃO'!$B:$B,0)),"")</f>
        <v/>
      </c>
      <c r="U1388" s="3"/>
      <c r="V1388" s="3"/>
    </row>
    <row r="1389" spans="2:22" ht="45" customHeight="1">
      <c r="B1389" s="3" t="str">
        <f>IFERROR(ROUND(INDEX('PROJETO PERFURAÇÃO'!$AB:$AB,MATCH(MEDIÇÃO!D1389,'PROJETO PERFURAÇÃO'!$B:$B,0)),1)&amp;"''","")</f>
        <v/>
      </c>
      <c r="C1389" s="3" t="str">
        <f>IFERROR(IF(INDEX('PROJETO PERFURAÇÃO'!$P:$P,MATCH(MEDIÇÃO!D1389,'PROJETO PERFURAÇÃO'!$B:$B,0))="Production","P",IF(INDEX('PROJETO PERFURAÇÃO'!$P:$P,MATCH(MEDIÇÃO!D1389,'PROJETO PERFURAÇÃO'!$B:$B,0))="Buffer","B",IF(INDEX('PROJETO PERFURAÇÃO'!$P:$P,MATCH(MEDIÇÃO!D1389,'PROJETO PERFURAÇÃO'!$B:$B,0))="Pre-Splitting","S"))),"")</f>
        <v/>
      </c>
      <c r="D1389" s="14">
        <f t="shared" si="132"/>
        <v>3057</v>
      </c>
      <c r="E1389" s="4" t="str">
        <f>IFERROR(INDEX('LEV R&amp;D'!$D:$D,MATCH(MEDIÇÃO!D1389,'LEV R&amp;D'!$A:$A,0))-INDEX('PROJETO PERFURAÇÃO'!$AH:$AH,MATCH(MEDIÇÃO!D1389,'PROJETO PERFURAÇÃO'!$B:$B,0)),"")</f>
        <v/>
      </c>
      <c r="F1389" s="8" t="str">
        <f>IFERROR(INDEX('PROJETO PERFURAÇÃO'!$AN:$AN,MATCH(MEDIÇÃO!D1389,'PROJETO PERFURAÇÃO'!$B:$B,0)),"")</f>
        <v/>
      </c>
      <c r="G1389" s="3"/>
      <c r="H1389" s="3"/>
      <c r="I1389" s="3" t="str">
        <f>IFERROR(ROUND(INDEX('PROJETO PERFURAÇÃO'!$AB:$AB,MATCH(MEDIÇÃO!K1389,'PROJETO PERFURAÇÃO'!$B:$B,0)),1)&amp;"''","")</f>
        <v/>
      </c>
      <c r="J1389" s="3" t="str">
        <f>IFERROR(IF(INDEX('PROJETO PERFURAÇÃO'!$P:$P,MATCH(MEDIÇÃO!K1389,'PROJETO PERFURAÇÃO'!$B:$B,0))="Production","P",IF(INDEX('PROJETO PERFURAÇÃO'!$P:$P,MATCH(MEDIÇÃO!K1389,'PROJETO PERFURAÇÃO'!$B:$B,0))="Buffer","B",IF(INDEX('PROJETO PERFURAÇÃO'!$P:$P,MATCH(MEDIÇÃO!K1389,'PROJETO PERFURAÇÃO'!$B:$B,0))="Pre-Splitting","S"))),"")</f>
        <v/>
      </c>
      <c r="K1389" s="14">
        <f t="shared" si="133"/>
        <v>3080</v>
      </c>
      <c r="L1389" s="4" t="str">
        <f>IFERROR(INDEX('LEV R&amp;D'!$D:$D,MATCH(MEDIÇÃO!K1389,'LEV R&amp;D'!$A:$A,0))-INDEX('PROJETO PERFURAÇÃO'!$AH:$AH,MATCH(MEDIÇÃO!K1389,'PROJETO PERFURAÇÃO'!$B:$B,0)),"")</f>
        <v/>
      </c>
      <c r="M1389" s="8" t="str">
        <f>IFERROR(INDEX('PROJETO PERFURAÇÃO'!$AN:$AN,MATCH(MEDIÇÃO!K1389,'PROJETO PERFURAÇÃO'!$B:$B,0)),"")</f>
        <v/>
      </c>
      <c r="N1389" s="3"/>
      <c r="O1389" s="3"/>
      <c r="P1389" s="3" t="str">
        <f>IFERROR(ROUND(INDEX('PROJETO PERFURAÇÃO'!$AB:$AB,MATCH(MEDIÇÃO!R1389,'PROJETO PERFURAÇÃO'!$B:$B,0)),1)&amp;"''","")</f>
        <v/>
      </c>
      <c r="Q1389" s="3" t="str">
        <f>IFERROR(IF(INDEX('PROJETO PERFURAÇÃO'!$P:$P,MATCH(MEDIÇÃO!R1389,'PROJETO PERFURAÇÃO'!$B:$B,0))="Production","P",IF(INDEX('PROJETO PERFURAÇÃO'!$P:$P,MATCH(MEDIÇÃO!R1389,'PROJETO PERFURAÇÃO'!$B:$B,0))="Buffer","B",IF(INDEX('PROJETO PERFURAÇÃO'!$P:$P,MATCH(MEDIÇÃO!R1389,'PROJETO PERFURAÇÃO'!$B:$B,0))="Pre-Splitting","S"))),"")</f>
        <v/>
      </c>
      <c r="R1389" s="14">
        <f t="shared" si="134"/>
        <v>3103</v>
      </c>
      <c r="S1389" s="4" t="str">
        <f>IFERROR(INDEX('LEV R&amp;D'!$D:$D,MATCH(MEDIÇÃO!R1389,'LEV R&amp;D'!$A:$A,0))-INDEX('PROJETO PERFURAÇÃO'!$AH:$AH,MATCH(MEDIÇÃO!R1389,'PROJETO PERFURAÇÃO'!$B:$B,0)),"")</f>
        <v/>
      </c>
      <c r="T1389" s="8" t="str">
        <f>IFERROR(INDEX('PROJETO PERFURAÇÃO'!$AN:$AN,MATCH(MEDIÇÃO!R1389,'PROJETO PERFURAÇÃO'!$B:$B,0)),"")</f>
        <v/>
      </c>
      <c r="U1389" s="3"/>
      <c r="V1389" s="3"/>
    </row>
    <row r="1390" spans="2:22" ht="45" customHeight="1">
      <c r="B1390" s="3" t="str">
        <f>IFERROR(ROUND(INDEX('PROJETO PERFURAÇÃO'!$AB:$AB,MATCH(MEDIÇÃO!D1390,'PROJETO PERFURAÇÃO'!$B:$B,0)),1)&amp;"''","")</f>
        <v/>
      </c>
      <c r="C1390" s="3" t="str">
        <f>IFERROR(IF(INDEX('PROJETO PERFURAÇÃO'!$P:$P,MATCH(MEDIÇÃO!D1390,'PROJETO PERFURAÇÃO'!$B:$B,0))="Production","P",IF(INDEX('PROJETO PERFURAÇÃO'!$P:$P,MATCH(MEDIÇÃO!D1390,'PROJETO PERFURAÇÃO'!$B:$B,0))="Buffer","B",IF(INDEX('PROJETO PERFURAÇÃO'!$P:$P,MATCH(MEDIÇÃO!D1390,'PROJETO PERFURAÇÃO'!$B:$B,0))="Pre-Splitting","S"))),"")</f>
        <v/>
      </c>
      <c r="D1390" s="14">
        <f t="shared" si="132"/>
        <v>3058</v>
      </c>
      <c r="E1390" s="4" t="str">
        <f>IFERROR(INDEX('LEV R&amp;D'!$D:$D,MATCH(MEDIÇÃO!D1390,'LEV R&amp;D'!$A:$A,0))-INDEX('PROJETO PERFURAÇÃO'!$AH:$AH,MATCH(MEDIÇÃO!D1390,'PROJETO PERFURAÇÃO'!$B:$B,0)),"")</f>
        <v/>
      </c>
      <c r="F1390" s="8" t="str">
        <f>IFERROR(INDEX('PROJETO PERFURAÇÃO'!$AN:$AN,MATCH(MEDIÇÃO!D1390,'PROJETO PERFURAÇÃO'!$B:$B,0)),"")</f>
        <v/>
      </c>
      <c r="G1390" s="3"/>
      <c r="H1390" s="3"/>
      <c r="I1390" s="3" t="str">
        <f>IFERROR(ROUND(INDEX('PROJETO PERFURAÇÃO'!$AB:$AB,MATCH(MEDIÇÃO!K1390,'PROJETO PERFURAÇÃO'!$B:$B,0)),1)&amp;"''","")</f>
        <v/>
      </c>
      <c r="J1390" s="3" t="str">
        <f>IFERROR(IF(INDEX('PROJETO PERFURAÇÃO'!$P:$P,MATCH(MEDIÇÃO!K1390,'PROJETO PERFURAÇÃO'!$B:$B,0))="Production","P",IF(INDEX('PROJETO PERFURAÇÃO'!$P:$P,MATCH(MEDIÇÃO!K1390,'PROJETO PERFURAÇÃO'!$B:$B,0))="Buffer","B",IF(INDEX('PROJETO PERFURAÇÃO'!$P:$P,MATCH(MEDIÇÃO!K1390,'PROJETO PERFURAÇÃO'!$B:$B,0))="Pre-Splitting","S"))),"")</f>
        <v/>
      </c>
      <c r="K1390" s="14">
        <f t="shared" si="133"/>
        <v>3081</v>
      </c>
      <c r="L1390" s="4" t="str">
        <f>IFERROR(INDEX('LEV R&amp;D'!$D:$D,MATCH(MEDIÇÃO!K1390,'LEV R&amp;D'!$A:$A,0))-INDEX('PROJETO PERFURAÇÃO'!$AH:$AH,MATCH(MEDIÇÃO!K1390,'PROJETO PERFURAÇÃO'!$B:$B,0)),"")</f>
        <v/>
      </c>
      <c r="M1390" s="8" t="str">
        <f>IFERROR(INDEX('PROJETO PERFURAÇÃO'!$AN:$AN,MATCH(MEDIÇÃO!K1390,'PROJETO PERFURAÇÃO'!$B:$B,0)),"")</f>
        <v/>
      </c>
      <c r="N1390" s="3"/>
      <c r="O1390" s="3"/>
      <c r="P1390" s="3" t="str">
        <f>IFERROR(ROUND(INDEX('PROJETO PERFURAÇÃO'!$AB:$AB,MATCH(MEDIÇÃO!R1390,'PROJETO PERFURAÇÃO'!$B:$B,0)),1)&amp;"''","")</f>
        <v/>
      </c>
      <c r="Q1390" s="3" t="str">
        <f>IFERROR(IF(INDEX('PROJETO PERFURAÇÃO'!$P:$P,MATCH(MEDIÇÃO!R1390,'PROJETO PERFURAÇÃO'!$B:$B,0))="Production","P",IF(INDEX('PROJETO PERFURAÇÃO'!$P:$P,MATCH(MEDIÇÃO!R1390,'PROJETO PERFURAÇÃO'!$B:$B,0))="Buffer","B",IF(INDEX('PROJETO PERFURAÇÃO'!$P:$P,MATCH(MEDIÇÃO!R1390,'PROJETO PERFURAÇÃO'!$B:$B,0))="Pre-Splitting","S"))),"")</f>
        <v/>
      </c>
      <c r="R1390" s="14">
        <f t="shared" si="134"/>
        <v>3104</v>
      </c>
      <c r="S1390" s="4" t="str">
        <f>IFERROR(INDEX('LEV R&amp;D'!$D:$D,MATCH(MEDIÇÃO!R1390,'LEV R&amp;D'!$A:$A,0))-INDEX('PROJETO PERFURAÇÃO'!$AH:$AH,MATCH(MEDIÇÃO!R1390,'PROJETO PERFURAÇÃO'!$B:$B,0)),"")</f>
        <v/>
      </c>
      <c r="T1390" s="8" t="str">
        <f>IFERROR(INDEX('PROJETO PERFURAÇÃO'!$AN:$AN,MATCH(MEDIÇÃO!R1390,'PROJETO PERFURAÇÃO'!$B:$B,0)),"")</f>
        <v/>
      </c>
      <c r="U1390" s="3"/>
      <c r="V1390" s="3"/>
    </row>
    <row r="1391" spans="2:22" ht="45" customHeight="1">
      <c r="B1391" s="3" t="str">
        <f>IFERROR(ROUND(INDEX('PROJETO PERFURAÇÃO'!$AB:$AB,MATCH(MEDIÇÃO!D1391,'PROJETO PERFURAÇÃO'!$B:$B,0)),1)&amp;"''","")</f>
        <v/>
      </c>
      <c r="C1391" s="3" t="str">
        <f>IFERROR(IF(INDEX('PROJETO PERFURAÇÃO'!$P:$P,MATCH(MEDIÇÃO!D1391,'PROJETO PERFURAÇÃO'!$B:$B,0))="Production","P",IF(INDEX('PROJETO PERFURAÇÃO'!$P:$P,MATCH(MEDIÇÃO!D1391,'PROJETO PERFURAÇÃO'!$B:$B,0))="Buffer","B",IF(INDEX('PROJETO PERFURAÇÃO'!$P:$P,MATCH(MEDIÇÃO!D1391,'PROJETO PERFURAÇÃO'!$B:$B,0))="Pre-Splitting","S"))),"")</f>
        <v/>
      </c>
      <c r="D1391" s="14">
        <f t="shared" si="132"/>
        <v>3059</v>
      </c>
      <c r="E1391" s="4" t="str">
        <f>IFERROR(INDEX('LEV R&amp;D'!$D:$D,MATCH(MEDIÇÃO!D1391,'LEV R&amp;D'!$A:$A,0))-INDEX('PROJETO PERFURAÇÃO'!$AH:$AH,MATCH(MEDIÇÃO!D1391,'PROJETO PERFURAÇÃO'!$B:$B,0)),"")</f>
        <v/>
      </c>
      <c r="F1391" s="8" t="str">
        <f>IFERROR(INDEX('PROJETO PERFURAÇÃO'!$AN:$AN,MATCH(MEDIÇÃO!D1391,'PROJETO PERFURAÇÃO'!$B:$B,0)),"")</f>
        <v/>
      </c>
      <c r="G1391" s="3"/>
      <c r="H1391" s="3"/>
      <c r="I1391" s="3" t="str">
        <f>IFERROR(ROUND(INDEX('PROJETO PERFURAÇÃO'!$AB:$AB,MATCH(MEDIÇÃO!K1391,'PROJETO PERFURAÇÃO'!$B:$B,0)),1)&amp;"''","")</f>
        <v/>
      </c>
      <c r="J1391" s="3" t="str">
        <f>IFERROR(IF(INDEX('PROJETO PERFURAÇÃO'!$P:$P,MATCH(MEDIÇÃO!K1391,'PROJETO PERFURAÇÃO'!$B:$B,0))="Production","P",IF(INDEX('PROJETO PERFURAÇÃO'!$P:$P,MATCH(MEDIÇÃO!K1391,'PROJETO PERFURAÇÃO'!$B:$B,0))="Buffer","B",IF(INDEX('PROJETO PERFURAÇÃO'!$P:$P,MATCH(MEDIÇÃO!K1391,'PROJETO PERFURAÇÃO'!$B:$B,0))="Pre-Splitting","S"))),"")</f>
        <v/>
      </c>
      <c r="K1391" s="14">
        <f>K1390+1</f>
        <v>3082</v>
      </c>
      <c r="L1391" s="4" t="str">
        <f>IFERROR(INDEX('LEV R&amp;D'!$D:$D,MATCH(MEDIÇÃO!K1391,'LEV R&amp;D'!$A:$A,0))-INDEX('PROJETO PERFURAÇÃO'!$AH:$AH,MATCH(MEDIÇÃO!K1391,'PROJETO PERFURAÇÃO'!$B:$B,0)),"")</f>
        <v/>
      </c>
      <c r="M1391" s="8" t="str">
        <f>IFERROR(INDEX('PROJETO PERFURAÇÃO'!$AN:$AN,MATCH(MEDIÇÃO!K1391,'PROJETO PERFURAÇÃO'!$B:$B,0)),"")</f>
        <v/>
      </c>
      <c r="N1391" s="3"/>
      <c r="O1391" s="3"/>
      <c r="P1391" s="3" t="str">
        <f>IFERROR(ROUND(INDEX('PROJETO PERFURAÇÃO'!$AB:$AB,MATCH(MEDIÇÃO!R1391,'PROJETO PERFURAÇÃO'!$B:$B,0)),1)&amp;"''","")</f>
        <v/>
      </c>
      <c r="Q1391" s="3" t="str">
        <f>IFERROR(IF(INDEX('PROJETO PERFURAÇÃO'!$P:$P,MATCH(MEDIÇÃO!R1391,'PROJETO PERFURAÇÃO'!$B:$B,0))="Production","P",IF(INDEX('PROJETO PERFURAÇÃO'!$P:$P,MATCH(MEDIÇÃO!R1391,'PROJETO PERFURAÇÃO'!$B:$B,0))="Buffer","B",IF(INDEX('PROJETO PERFURAÇÃO'!$P:$P,MATCH(MEDIÇÃO!R1391,'PROJETO PERFURAÇÃO'!$B:$B,0))="Pre-Splitting","S"))),"")</f>
        <v/>
      </c>
      <c r="R1391" s="14">
        <f>R1390+1</f>
        <v>3105</v>
      </c>
      <c r="S1391" s="4" t="str">
        <f>IFERROR(INDEX('LEV R&amp;D'!$D:$D,MATCH(MEDIÇÃO!R1391,'LEV R&amp;D'!$A:$A,0))-INDEX('PROJETO PERFURAÇÃO'!$AH:$AH,MATCH(MEDIÇÃO!R1391,'PROJETO PERFURAÇÃO'!$B:$B,0)),"")</f>
        <v/>
      </c>
      <c r="T1391" s="8" t="str">
        <f>IFERROR(INDEX('PROJETO PERFURAÇÃO'!$AN:$AN,MATCH(MEDIÇÃO!R1391,'PROJETO PERFURAÇÃO'!$B:$B,0)),"")</f>
        <v/>
      </c>
      <c r="U1391" s="3"/>
      <c r="V1391" s="3"/>
    </row>
    <row r="1392" spans="2:22" ht="30" customHeight="1">
      <c r="B1392" s="1"/>
      <c r="C1392" s="1"/>
      <c r="D1392" s="15"/>
      <c r="E1392" s="2"/>
      <c r="F1392" s="16"/>
      <c r="G1392" s="1"/>
      <c r="H1392" s="1"/>
      <c r="I1392" s="1"/>
      <c r="J1392" s="1"/>
      <c r="K1392" s="15"/>
      <c r="L1392" s="2"/>
      <c r="M1392" s="16"/>
      <c r="N1392" s="1"/>
      <c r="O1392" s="1"/>
      <c r="P1392" s="1"/>
      <c r="Q1392" s="1"/>
      <c r="R1392" s="15"/>
      <c r="S1392" s="2"/>
      <c r="T1392" s="16"/>
      <c r="U1392" s="1"/>
      <c r="V1392" s="1"/>
    </row>
    <row r="1393" spans="3:22" ht="30" customHeight="1">
      <c r="C1393" s="20"/>
      <c r="D1393" s="20"/>
      <c r="E1393" s="20"/>
      <c r="F1393" s="20"/>
      <c r="G1393" s="20"/>
      <c r="H1393" s="20"/>
      <c r="I1393" s="20"/>
      <c r="J1393" s="20"/>
      <c r="K1393" s="20"/>
      <c r="M1393" s="20"/>
      <c r="N1393" s="20"/>
      <c r="O1393" s="20"/>
      <c r="P1393" s="20"/>
      <c r="Q1393" s="20"/>
      <c r="R1393" s="20"/>
      <c r="S1393" s="20"/>
      <c r="T1393" s="20"/>
      <c r="U1393" s="20"/>
    </row>
    <row r="1394" spans="3:22" ht="30" customHeight="1">
      <c r="C1394" s="21" t="s">
        <v>40</v>
      </c>
      <c r="D1394" s="21"/>
      <c r="E1394" s="21"/>
      <c r="F1394" s="21"/>
      <c r="G1394" s="21"/>
      <c r="H1394" s="21"/>
      <c r="I1394" s="21"/>
      <c r="J1394" s="21"/>
      <c r="K1394" s="21"/>
      <c r="L1394" s="9"/>
      <c r="M1394" s="21" t="s">
        <v>40</v>
      </c>
      <c r="N1394" s="21"/>
      <c r="O1394" s="21"/>
      <c r="P1394" s="21"/>
      <c r="Q1394" s="21"/>
      <c r="R1394" s="21"/>
      <c r="S1394" s="21"/>
      <c r="T1394" s="21"/>
      <c r="U1394" s="21"/>
      <c r="V1394" s="9"/>
    </row>
    <row r="1395" spans="3:22" ht="30" customHeight="1">
      <c r="D1395" s="9"/>
      <c r="E1395" s="9"/>
      <c r="F1395" s="9"/>
      <c r="G1395" s="9"/>
      <c r="H1395" s="9"/>
      <c r="I1395" s="9"/>
      <c r="J1395" s="9"/>
      <c r="K1395" s="9"/>
      <c r="L1395" s="9"/>
      <c r="M1395" s="9"/>
      <c r="N1395" s="9"/>
      <c r="Q1395" s="9"/>
      <c r="R1395" s="9"/>
      <c r="S1395" s="9"/>
      <c r="T1395" s="9"/>
      <c r="U1395" s="9"/>
      <c r="V1395" s="9"/>
    </row>
  </sheetData>
  <mergeCells count="225">
    <mergeCell ref="B497:H499"/>
    <mergeCell ref="C525:K525"/>
    <mergeCell ref="M525:U525"/>
    <mergeCell ref="C526:K526"/>
    <mergeCell ref="M526:U526"/>
    <mergeCell ref="B528:H530"/>
    <mergeCell ref="B435:H437"/>
    <mergeCell ref="C463:K463"/>
    <mergeCell ref="M463:U463"/>
    <mergeCell ref="C464:K464"/>
    <mergeCell ref="M464:U464"/>
    <mergeCell ref="B466:H468"/>
    <mergeCell ref="C494:K494"/>
    <mergeCell ref="M494:U494"/>
    <mergeCell ref="C495:K495"/>
    <mergeCell ref="M495:U495"/>
    <mergeCell ref="B373:H375"/>
    <mergeCell ref="C401:K401"/>
    <mergeCell ref="M401:U401"/>
    <mergeCell ref="C402:K402"/>
    <mergeCell ref="M402:U402"/>
    <mergeCell ref="B404:H406"/>
    <mergeCell ref="C432:K432"/>
    <mergeCell ref="M432:U432"/>
    <mergeCell ref="C433:K433"/>
    <mergeCell ref="M433:U433"/>
    <mergeCell ref="B311:H313"/>
    <mergeCell ref="C339:K339"/>
    <mergeCell ref="M339:U339"/>
    <mergeCell ref="C340:K340"/>
    <mergeCell ref="M340:U340"/>
    <mergeCell ref="B342:H344"/>
    <mergeCell ref="C370:K370"/>
    <mergeCell ref="M370:U370"/>
    <mergeCell ref="C371:K371"/>
    <mergeCell ref="M371:U371"/>
    <mergeCell ref="B187:H189"/>
    <mergeCell ref="C215:K215"/>
    <mergeCell ref="C278:K278"/>
    <mergeCell ref="M278:U278"/>
    <mergeCell ref="B280:H282"/>
    <mergeCell ref="C308:K308"/>
    <mergeCell ref="M308:U308"/>
    <mergeCell ref="C309:K309"/>
    <mergeCell ref="M309:U309"/>
    <mergeCell ref="C247:K247"/>
    <mergeCell ref="M247:U247"/>
    <mergeCell ref="B249:H251"/>
    <mergeCell ref="C277:K277"/>
    <mergeCell ref="M277:U277"/>
    <mergeCell ref="M215:U215"/>
    <mergeCell ref="C216:K216"/>
    <mergeCell ref="M216:U216"/>
    <mergeCell ref="B218:H220"/>
    <mergeCell ref="C246:K246"/>
    <mergeCell ref="M246:U246"/>
    <mergeCell ref="C29:K29"/>
    <mergeCell ref="C30:K30"/>
    <mergeCell ref="M29:U29"/>
    <mergeCell ref="M30:U30"/>
    <mergeCell ref="C60:K60"/>
    <mergeCell ref="M60:U60"/>
    <mergeCell ref="B1:H3"/>
    <mergeCell ref="B32:H34"/>
    <mergeCell ref="B63:H65"/>
    <mergeCell ref="B94:H96"/>
    <mergeCell ref="C122:K122"/>
    <mergeCell ref="M122:U122"/>
    <mergeCell ref="C123:K123"/>
    <mergeCell ref="M123:U123"/>
    <mergeCell ref="C61:K61"/>
    <mergeCell ref="M61:U61"/>
    <mergeCell ref="C91:K91"/>
    <mergeCell ref="M91:U91"/>
    <mergeCell ref="C92:K92"/>
    <mergeCell ref="M92:U92"/>
    <mergeCell ref="B156:H158"/>
    <mergeCell ref="C184:K184"/>
    <mergeCell ref="M184:U184"/>
    <mergeCell ref="C185:K185"/>
    <mergeCell ref="M185:U185"/>
    <mergeCell ref="B125:H127"/>
    <mergeCell ref="C153:K153"/>
    <mergeCell ref="M153:U153"/>
    <mergeCell ref="C154:K154"/>
    <mergeCell ref="M154:U154"/>
    <mergeCell ref="C587:K587"/>
    <mergeCell ref="M587:U587"/>
    <mergeCell ref="C588:K588"/>
    <mergeCell ref="M588:U588"/>
    <mergeCell ref="B590:H592"/>
    <mergeCell ref="C556:K556"/>
    <mergeCell ref="M556:U556"/>
    <mergeCell ref="C557:K557"/>
    <mergeCell ref="M557:U557"/>
    <mergeCell ref="B559:H561"/>
    <mergeCell ref="C649:K649"/>
    <mergeCell ref="M649:U649"/>
    <mergeCell ref="C650:K650"/>
    <mergeCell ref="M650:U650"/>
    <mergeCell ref="B652:H654"/>
    <mergeCell ref="C618:K618"/>
    <mergeCell ref="M618:U618"/>
    <mergeCell ref="C619:K619"/>
    <mergeCell ref="M619:U619"/>
    <mergeCell ref="B621:H623"/>
    <mergeCell ref="C711:K711"/>
    <mergeCell ref="M711:U711"/>
    <mergeCell ref="C712:K712"/>
    <mergeCell ref="M712:U712"/>
    <mergeCell ref="B714:H716"/>
    <mergeCell ref="C680:K680"/>
    <mergeCell ref="M680:U680"/>
    <mergeCell ref="C681:K681"/>
    <mergeCell ref="M681:U681"/>
    <mergeCell ref="B683:H685"/>
    <mergeCell ref="C773:K773"/>
    <mergeCell ref="M773:U773"/>
    <mergeCell ref="C774:K774"/>
    <mergeCell ref="M774:U774"/>
    <mergeCell ref="B776:H778"/>
    <mergeCell ref="C742:K742"/>
    <mergeCell ref="M742:U742"/>
    <mergeCell ref="C743:K743"/>
    <mergeCell ref="M743:U743"/>
    <mergeCell ref="B745:H747"/>
    <mergeCell ref="C835:K835"/>
    <mergeCell ref="M835:U835"/>
    <mergeCell ref="C836:K836"/>
    <mergeCell ref="M836:U836"/>
    <mergeCell ref="C804:K804"/>
    <mergeCell ref="M804:U804"/>
    <mergeCell ref="C805:K805"/>
    <mergeCell ref="M805:U805"/>
    <mergeCell ref="B807:H809"/>
    <mergeCell ref="B838:H840"/>
    <mergeCell ref="C866:K866"/>
    <mergeCell ref="M866:U866"/>
    <mergeCell ref="C867:K867"/>
    <mergeCell ref="M867:U867"/>
    <mergeCell ref="B869:H871"/>
    <mergeCell ref="C897:K897"/>
    <mergeCell ref="M897:U897"/>
    <mergeCell ref="C898:K898"/>
    <mergeCell ref="M898:U898"/>
    <mergeCell ref="B900:H902"/>
    <mergeCell ref="C928:K928"/>
    <mergeCell ref="M928:U928"/>
    <mergeCell ref="C929:K929"/>
    <mergeCell ref="M929:U929"/>
    <mergeCell ref="B931:H933"/>
    <mergeCell ref="C959:K959"/>
    <mergeCell ref="M959:U959"/>
    <mergeCell ref="C960:K960"/>
    <mergeCell ref="M960:U960"/>
    <mergeCell ref="B962:H964"/>
    <mergeCell ref="C990:K990"/>
    <mergeCell ref="M990:U990"/>
    <mergeCell ref="C991:K991"/>
    <mergeCell ref="M991:U991"/>
    <mergeCell ref="B993:H995"/>
    <mergeCell ref="C1021:K1021"/>
    <mergeCell ref="M1021:U1021"/>
    <mergeCell ref="C1022:K1022"/>
    <mergeCell ref="M1022:U1022"/>
    <mergeCell ref="B1024:H1026"/>
    <mergeCell ref="C1052:K1052"/>
    <mergeCell ref="M1052:U1052"/>
    <mergeCell ref="C1053:K1053"/>
    <mergeCell ref="M1053:U1053"/>
    <mergeCell ref="B1055:H1057"/>
    <mergeCell ref="C1083:K1083"/>
    <mergeCell ref="M1083:U1083"/>
    <mergeCell ref="C1084:K1084"/>
    <mergeCell ref="M1084:U1084"/>
    <mergeCell ref="B1086:H1088"/>
    <mergeCell ref="C1114:K1114"/>
    <mergeCell ref="M1114:U1114"/>
    <mergeCell ref="C1115:K1115"/>
    <mergeCell ref="M1115:U1115"/>
    <mergeCell ref="B1117:H1119"/>
    <mergeCell ref="C1145:K1145"/>
    <mergeCell ref="M1145:U1145"/>
    <mergeCell ref="C1146:K1146"/>
    <mergeCell ref="M1146:U1146"/>
    <mergeCell ref="B1148:H1150"/>
    <mergeCell ref="C1176:K1176"/>
    <mergeCell ref="M1176:U1176"/>
    <mergeCell ref="C1177:K1177"/>
    <mergeCell ref="M1177:U1177"/>
    <mergeCell ref="B1179:H1181"/>
    <mergeCell ref="C1207:K1207"/>
    <mergeCell ref="M1207:U1207"/>
    <mergeCell ref="C1208:K1208"/>
    <mergeCell ref="M1208:U1208"/>
    <mergeCell ref="B1210:H1212"/>
    <mergeCell ref="C1238:K1238"/>
    <mergeCell ref="M1238:U1238"/>
    <mergeCell ref="C1239:K1239"/>
    <mergeCell ref="M1239:U1239"/>
    <mergeCell ref="B1241:H1243"/>
    <mergeCell ref="C1269:K1269"/>
    <mergeCell ref="M1269:U1269"/>
    <mergeCell ref="C1270:K1270"/>
    <mergeCell ref="M1270:U1270"/>
    <mergeCell ref="B1272:H1274"/>
    <mergeCell ref="C1300:K1300"/>
    <mergeCell ref="M1300:U1300"/>
    <mergeCell ref="C1301:K1301"/>
    <mergeCell ref="M1301:U1301"/>
    <mergeCell ref="B1303:H1305"/>
    <mergeCell ref="C1331:K1331"/>
    <mergeCell ref="M1331:U1331"/>
    <mergeCell ref="C1332:K1332"/>
    <mergeCell ref="M1332:U1332"/>
    <mergeCell ref="B1334:H1336"/>
    <mergeCell ref="C1362:K1362"/>
    <mergeCell ref="M1362:U1362"/>
    <mergeCell ref="C1363:K1363"/>
    <mergeCell ref="M1363:U1363"/>
    <mergeCell ref="B1365:H1367"/>
    <mergeCell ref="C1393:K1393"/>
    <mergeCell ref="M1393:U1393"/>
    <mergeCell ref="C1394:K1394"/>
    <mergeCell ref="M1394:U1394"/>
  </mergeCells>
  <conditionalFormatting sqref="D5:D27 K5:K27 R5:R27 D36:D58 K36:K58 R36:R58 D67:D89 K67:K89 R67:R89 D98:D120 K98:K120 R98:R120 D129:D151 K129:K151 R129:R151 D160:D182 K160:K182 R160:R182 D191:D213 K191:K213 R191:R213 D222:D244 K222:K244 R222:R244 D253:D275 K253:K275 R253:R275 D284:D306 K284:K306 R284:R306 D315:D337 K315:K337 R315:R337 D346:D368 K346:K368 R346:R368 D377:D399 K377:K399 R377:R399 D408:D429 K408:K429 R408:R429 D439:D460 K439:K460 R439:R460 D470:D491 K470:K491 R470:R491 D501:D522 K501:K522 R501:R522 K532:K553 R532:R553 D532:D554 K563:K584 R563:R584 D563:D585 K594:K615 R594:R615 D594:D616 K625:K646 R625:R646 D625:D647 K656:K677 R656:R677 D656:D678 K687:K708 R687:R708 D687:D709 K718:K739 R718:R739 D718:D740 K749:K770 R749:R770 D749:D771 K780:K801 R780:R801 D780:D802 K811:K832 R811:R832 D811:D833">
    <cfRule type="expression" dxfId="116" priority="351">
      <formula>C5:C27="P"</formula>
    </cfRule>
    <cfRule type="expression" dxfId="115" priority="350">
      <formula>C5:C27="B"</formula>
    </cfRule>
    <cfRule type="expression" dxfId="114" priority="349">
      <formula>C5:C27="S"</formula>
    </cfRule>
  </conditionalFormatting>
  <conditionalFormatting sqref="D28 K28 R28 D59 K59 R59 D90 K90 R90 D121 K121 R121 D152 K152 R152 D183 K183 R183 D245 K245 R245 D276 K276 R276 D307 K307 R307 D338 K338 R338 D369 K369 R369 D400 K400 R400 D430:D431 K430:K431 R430:R431 D461:D462 K461:K462 R461:R462 D492:D493 K492:K493 R492:R493 D523:D524 K523:K524 R523:R524 K554:K555 R554:R555 D555 K585:K586 R585:R586 D586 K616:K617 R616:R617 D617 K647:K648 R647:R648 D648 K678:K679 R678:R679 D679 K709:K710 R709:R710 D710 K740:K741 R740:R741 D741 K771:K772 R771:R772 D772 K802:K803 R802:R803 D803 K833:K834 R833:R834 D834">
    <cfRule type="expression" dxfId="113" priority="344">
      <formula>C28:C52="B"</formula>
    </cfRule>
    <cfRule type="expression" dxfId="112" priority="345">
      <formula>C28:C52="P"</formula>
    </cfRule>
    <cfRule type="expression" dxfId="111" priority="343">
      <formula>C28:C52="S"</formula>
    </cfRule>
  </conditionalFormatting>
  <conditionalFormatting sqref="D214 K214 R214">
    <cfRule type="expression" dxfId="110" priority="353">
      <formula>C214:C237="B"</formula>
    </cfRule>
    <cfRule type="expression" dxfId="109" priority="352">
      <formula>C214:C237="S"</formula>
    </cfRule>
    <cfRule type="expression" dxfId="108" priority="354">
      <formula>C214:C237="P"</formula>
    </cfRule>
  </conditionalFormatting>
  <conditionalFormatting sqref="K842:K863 R842:R863 D842:D864">
    <cfRule type="expression" dxfId="107" priority="108">
      <formula>C842:C864="P"</formula>
    </cfRule>
    <cfRule type="expression" dxfId="106" priority="107">
      <formula>C842:C864="B"</formula>
    </cfRule>
    <cfRule type="expression" dxfId="105" priority="106">
      <formula>C842:C864="S"</formula>
    </cfRule>
  </conditionalFormatting>
  <conditionalFormatting sqref="K864:K865 R864:R865 D865">
    <cfRule type="expression" dxfId="104" priority="103">
      <formula>C864:C888="S"</formula>
    </cfRule>
    <cfRule type="expression" dxfId="103" priority="105">
      <formula>C864:C888="P"</formula>
    </cfRule>
    <cfRule type="expression" dxfId="102" priority="104">
      <formula>C864:C888="B"</formula>
    </cfRule>
  </conditionalFormatting>
  <conditionalFormatting sqref="K873:K894 R873:R894 D873:D895">
    <cfRule type="expression" dxfId="101" priority="102">
      <formula>C873:C895="P"</formula>
    </cfRule>
    <cfRule type="expression" dxfId="100" priority="101">
      <formula>C873:C895="B"</formula>
    </cfRule>
    <cfRule type="expression" dxfId="99" priority="100">
      <formula>C873:C895="S"</formula>
    </cfRule>
  </conditionalFormatting>
  <conditionalFormatting sqref="K895:K896 R895:R896 D896">
    <cfRule type="expression" dxfId="98" priority="99">
      <formula>C895:C919="P"</formula>
    </cfRule>
    <cfRule type="expression" dxfId="97" priority="98">
      <formula>C895:C919="B"</formula>
    </cfRule>
    <cfRule type="expression" dxfId="96" priority="97">
      <formula>C895:C919="S"</formula>
    </cfRule>
  </conditionalFormatting>
  <conditionalFormatting sqref="K904:K925 R904:R925 D904:D926">
    <cfRule type="expression" dxfId="95" priority="96">
      <formula>C904:C926="P"</formula>
    </cfRule>
    <cfRule type="expression" dxfId="94" priority="95">
      <formula>C904:C926="B"</formula>
    </cfRule>
    <cfRule type="expression" dxfId="93" priority="94">
      <formula>C904:C926="S"</formula>
    </cfRule>
  </conditionalFormatting>
  <conditionalFormatting sqref="K926:K927 R926:R927 D927">
    <cfRule type="expression" dxfId="92" priority="93">
      <formula>C926:C950="P"</formula>
    </cfRule>
    <cfRule type="expression" dxfId="91" priority="92">
      <formula>C926:C950="B"</formula>
    </cfRule>
    <cfRule type="expression" dxfId="90" priority="91">
      <formula>C926:C950="S"</formula>
    </cfRule>
  </conditionalFormatting>
  <conditionalFormatting sqref="K935:K956 R935:R956 D935:D957">
    <cfRule type="expression" dxfId="89" priority="89">
      <formula>C935:C957="B"</formula>
    </cfRule>
    <cfRule type="expression" dxfId="88" priority="90">
      <formula>C935:C957="P"</formula>
    </cfRule>
    <cfRule type="expression" dxfId="87" priority="88">
      <formula>C935:C957="S"</formula>
    </cfRule>
  </conditionalFormatting>
  <conditionalFormatting sqref="K957:K958 R957:R958 D958">
    <cfRule type="expression" dxfId="86" priority="87">
      <formula>C957:C981="P"</formula>
    </cfRule>
    <cfRule type="expression" dxfId="85" priority="86">
      <formula>C957:C981="B"</formula>
    </cfRule>
    <cfRule type="expression" dxfId="84" priority="85">
      <formula>C957:C981="S"</formula>
    </cfRule>
  </conditionalFormatting>
  <conditionalFormatting sqref="K966:K987 R966:R987 D966:D988">
    <cfRule type="expression" dxfId="83" priority="84">
      <formula>C966:C988="P"</formula>
    </cfRule>
    <cfRule type="expression" dxfId="82" priority="83">
      <formula>C966:C988="B"</formula>
    </cfRule>
    <cfRule type="expression" dxfId="81" priority="82">
      <formula>C966:C988="S"</formula>
    </cfRule>
  </conditionalFormatting>
  <conditionalFormatting sqref="K988:K989 R988:R989 D989">
    <cfRule type="expression" dxfId="80" priority="81">
      <formula>C988:C1012="P"</formula>
    </cfRule>
    <cfRule type="expression" dxfId="79" priority="80">
      <formula>C988:C1012="B"</formula>
    </cfRule>
    <cfRule type="expression" dxfId="78" priority="79">
      <formula>C988:C1012="S"</formula>
    </cfRule>
  </conditionalFormatting>
  <conditionalFormatting sqref="K997:K1018 R997:R1018 D997:D1019">
    <cfRule type="expression" dxfId="77" priority="78">
      <formula>C997:C1019="P"</formula>
    </cfRule>
    <cfRule type="expression" dxfId="76" priority="77">
      <formula>C997:C1019="B"</formula>
    </cfRule>
    <cfRule type="expression" dxfId="75" priority="76">
      <formula>C997:C1019="S"</formula>
    </cfRule>
  </conditionalFormatting>
  <conditionalFormatting sqref="K1019:K1020 R1019:R1020 D1020">
    <cfRule type="expression" dxfId="74" priority="75">
      <formula>C1019:C1043="P"</formula>
    </cfRule>
    <cfRule type="expression" dxfId="73" priority="74">
      <formula>C1019:C1043="B"</formula>
    </cfRule>
    <cfRule type="expression" dxfId="72" priority="73">
      <formula>C1019:C1043="S"</formula>
    </cfRule>
  </conditionalFormatting>
  <conditionalFormatting sqref="K1028:K1049 R1028:R1049 D1028:D1050">
    <cfRule type="expression" dxfId="71" priority="72">
      <formula>C1028:C1050="P"</formula>
    </cfRule>
    <cfRule type="expression" dxfId="70" priority="71">
      <formula>C1028:C1050="B"</formula>
    </cfRule>
    <cfRule type="expression" dxfId="69" priority="70">
      <formula>C1028:C1050="S"</formula>
    </cfRule>
  </conditionalFormatting>
  <conditionalFormatting sqref="K1050:K1051 R1050:R1051 D1051">
    <cfRule type="expression" dxfId="68" priority="69">
      <formula>C1050:C1074="P"</formula>
    </cfRule>
    <cfRule type="expression" dxfId="67" priority="68">
      <formula>C1050:C1074="B"</formula>
    </cfRule>
    <cfRule type="expression" dxfId="66" priority="67">
      <formula>C1050:C1074="S"</formula>
    </cfRule>
  </conditionalFormatting>
  <conditionalFormatting sqref="K1059:K1080 R1059:R1080 D1059:D1081">
    <cfRule type="expression" dxfId="65" priority="66">
      <formula>C1059:C1081="P"</formula>
    </cfRule>
    <cfRule type="expression" dxfId="64" priority="65">
      <formula>C1059:C1081="B"</formula>
    </cfRule>
    <cfRule type="expression" dxfId="63" priority="64">
      <formula>C1059:C1081="S"</formula>
    </cfRule>
  </conditionalFormatting>
  <conditionalFormatting sqref="K1081:K1082 R1081:R1082 D1082">
    <cfRule type="expression" dxfId="62" priority="63">
      <formula>C1081:C1105="P"</formula>
    </cfRule>
    <cfRule type="expression" dxfId="61" priority="62">
      <formula>C1081:C1105="B"</formula>
    </cfRule>
    <cfRule type="expression" dxfId="60" priority="61">
      <formula>C1081:C1105="S"</formula>
    </cfRule>
  </conditionalFormatting>
  <conditionalFormatting sqref="K1090:K1111 R1090:R1111 D1090:D1112">
    <cfRule type="expression" dxfId="59" priority="58">
      <formula>C1090:C1112="S"</formula>
    </cfRule>
    <cfRule type="expression" dxfId="58" priority="59">
      <formula>C1090:C1112="B"</formula>
    </cfRule>
    <cfRule type="expression" dxfId="57" priority="60">
      <formula>C1090:C1112="P"</formula>
    </cfRule>
  </conditionalFormatting>
  <conditionalFormatting sqref="K1112:K1113 R1112:R1113 D1113">
    <cfRule type="expression" dxfId="56" priority="57">
      <formula>C1112:C1136="P"</formula>
    </cfRule>
    <cfRule type="expression" dxfId="55" priority="56">
      <formula>C1112:C1136="B"</formula>
    </cfRule>
    <cfRule type="expression" dxfId="54" priority="55">
      <formula>C1112:C1136="S"</formula>
    </cfRule>
  </conditionalFormatting>
  <conditionalFormatting sqref="K1121:K1142 R1121:R1142 D1121:D1143">
    <cfRule type="expression" dxfId="53" priority="54">
      <formula>C1121:C1143="P"</formula>
    </cfRule>
    <cfRule type="expression" dxfId="52" priority="53">
      <formula>C1121:C1143="B"</formula>
    </cfRule>
    <cfRule type="expression" dxfId="51" priority="52">
      <formula>C1121:C1143="S"</formula>
    </cfRule>
  </conditionalFormatting>
  <conditionalFormatting sqref="K1143:K1144 R1143:R1144 D1144">
    <cfRule type="expression" dxfId="50" priority="51">
      <formula>C1143:C1167="P"</formula>
    </cfRule>
    <cfRule type="expression" dxfId="49" priority="50">
      <formula>C1143:C1167="B"</formula>
    </cfRule>
    <cfRule type="expression" dxfId="48" priority="49">
      <formula>C1143:C1167="S"</formula>
    </cfRule>
  </conditionalFormatting>
  <conditionalFormatting sqref="K1152:K1173 R1152:R1173 D1152:D1174">
    <cfRule type="expression" dxfId="47" priority="48">
      <formula>C1152:C1174="P"</formula>
    </cfRule>
    <cfRule type="expression" dxfId="46" priority="47">
      <formula>C1152:C1174="B"</formula>
    </cfRule>
    <cfRule type="expression" dxfId="45" priority="46">
      <formula>C1152:C1174="S"</formula>
    </cfRule>
  </conditionalFormatting>
  <conditionalFormatting sqref="K1174:K1175 R1174:R1175 D1175">
    <cfRule type="expression" dxfId="44" priority="45">
      <formula>C1174:C1198="P"</formula>
    </cfRule>
    <cfRule type="expression" dxfId="43" priority="44">
      <formula>C1174:C1198="B"</formula>
    </cfRule>
    <cfRule type="expression" dxfId="42" priority="43">
      <formula>C1174:C1198="S"</formula>
    </cfRule>
  </conditionalFormatting>
  <conditionalFormatting sqref="K1183:K1204 R1183:R1204 D1183:D1205">
    <cfRule type="expression" dxfId="41" priority="42">
      <formula>C1183:C1205="P"</formula>
    </cfRule>
    <cfRule type="expression" dxfId="40" priority="41">
      <formula>C1183:C1205="B"</formula>
    </cfRule>
    <cfRule type="expression" dxfId="39" priority="40">
      <formula>C1183:C1205="S"</formula>
    </cfRule>
  </conditionalFormatting>
  <conditionalFormatting sqref="K1205:K1206 R1205:R1206 D1206">
    <cfRule type="expression" dxfId="38" priority="39">
      <formula>C1205:C1229="P"</formula>
    </cfRule>
    <cfRule type="expression" dxfId="37" priority="38">
      <formula>C1205:C1229="B"</formula>
    </cfRule>
    <cfRule type="expression" dxfId="36" priority="37">
      <formula>C1205:C1229="S"</formula>
    </cfRule>
  </conditionalFormatting>
  <conditionalFormatting sqref="K1214:K1235 R1214:R1235 D1214:D1236">
    <cfRule type="expression" dxfId="35" priority="36">
      <formula>C1214:C1236="P"</formula>
    </cfRule>
    <cfRule type="expression" dxfId="34" priority="35">
      <formula>C1214:C1236="B"</formula>
    </cfRule>
    <cfRule type="expression" dxfId="33" priority="34">
      <formula>C1214:C1236="S"</formula>
    </cfRule>
  </conditionalFormatting>
  <conditionalFormatting sqref="K1236:K1237 R1236:R1237 D1237">
    <cfRule type="expression" dxfId="32" priority="33">
      <formula>C1236:C1260="P"</formula>
    </cfRule>
    <cfRule type="expression" dxfId="31" priority="32">
      <formula>C1236:C1260="B"</formula>
    </cfRule>
    <cfRule type="expression" dxfId="30" priority="31">
      <formula>C1236:C1260="S"</formula>
    </cfRule>
  </conditionalFormatting>
  <conditionalFormatting sqref="K1245:K1266 R1245:R1266 D1245:D1267">
    <cfRule type="expression" dxfId="29" priority="30">
      <formula>C1245:C1267="P"</formula>
    </cfRule>
    <cfRule type="expression" dxfId="28" priority="28">
      <formula>C1245:C1267="S"</formula>
    </cfRule>
    <cfRule type="expression" dxfId="27" priority="29">
      <formula>C1245:C1267="B"</formula>
    </cfRule>
  </conditionalFormatting>
  <conditionalFormatting sqref="K1267:K1268 R1267:R1268 D1268">
    <cfRule type="expression" dxfId="26" priority="27">
      <formula>C1267:C1291="P"</formula>
    </cfRule>
    <cfRule type="expression" dxfId="25" priority="26">
      <formula>C1267:C1291="B"</formula>
    </cfRule>
    <cfRule type="expression" dxfId="24" priority="25">
      <formula>C1267:C1291="S"</formula>
    </cfRule>
  </conditionalFormatting>
  <conditionalFormatting sqref="K1276:K1297 R1276:R1297 D1276:D1298">
    <cfRule type="expression" dxfId="23" priority="24">
      <formula>C1276:C1298="P"</formula>
    </cfRule>
    <cfRule type="expression" dxfId="22" priority="23">
      <formula>C1276:C1298="B"</formula>
    </cfRule>
    <cfRule type="expression" dxfId="21" priority="22">
      <formula>C1276:C1298="S"</formula>
    </cfRule>
  </conditionalFormatting>
  <conditionalFormatting sqref="K1298:K1299 R1298:R1299 D1299">
    <cfRule type="expression" dxfId="20" priority="21">
      <formula>C1298:C1322="P"</formula>
    </cfRule>
    <cfRule type="expression" dxfId="19" priority="20">
      <formula>C1298:C1322="B"</formula>
    </cfRule>
    <cfRule type="expression" dxfId="18" priority="19">
      <formula>C1298:C1322="S"</formula>
    </cfRule>
  </conditionalFormatting>
  <conditionalFormatting sqref="K1307:K1328 R1307:R1328 D1307:D1329">
    <cfRule type="expression" dxfId="17" priority="18">
      <formula>C1307:C1329="P"</formula>
    </cfRule>
    <cfRule type="expression" dxfId="16" priority="17">
      <formula>C1307:C1329="B"</formula>
    </cfRule>
    <cfRule type="expression" dxfId="15" priority="16">
      <formula>C1307:C1329="S"</formula>
    </cfRule>
  </conditionalFormatting>
  <conditionalFormatting sqref="K1329:K1330 R1329:R1330 D1330">
    <cfRule type="expression" dxfId="14" priority="14">
      <formula>C1329:C1353="B"</formula>
    </cfRule>
    <cfRule type="expression" dxfId="13" priority="13">
      <formula>C1329:C1353="S"</formula>
    </cfRule>
    <cfRule type="expression" dxfId="12" priority="15">
      <formula>C1329:C1353="P"</formula>
    </cfRule>
  </conditionalFormatting>
  <conditionalFormatting sqref="K1338:K1359 R1338:R1359 D1338:D1360">
    <cfRule type="expression" dxfId="11" priority="12">
      <formula>C1338:C1360="P"</formula>
    </cfRule>
    <cfRule type="expression" dxfId="10" priority="11">
      <formula>C1338:C1360="B"</formula>
    </cfRule>
    <cfRule type="expression" dxfId="9" priority="10">
      <formula>C1338:C1360="S"</formula>
    </cfRule>
  </conditionalFormatting>
  <conditionalFormatting sqref="K1360:K1361 R1360:R1361 D1361">
    <cfRule type="expression" dxfId="8" priority="9">
      <formula>C1360:C1384="P"</formula>
    </cfRule>
    <cfRule type="expression" dxfId="7" priority="7">
      <formula>C1360:C1384="S"</formula>
    </cfRule>
    <cfRule type="expression" dxfId="6" priority="8">
      <formula>C1360:C1384="B"</formula>
    </cfRule>
  </conditionalFormatting>
  <conditionalFormatting sqref="K1369:K1390 R1369:R1390 D1369:D1391">
    <cfRule type="expression" dxfId="5" priority="6">
      <formula>C1369:C1391="P"</formula>
    </cfRule>
    <cfRule type="expression" dxfId="4" priority="5">
      <formula>C1369:C1391="B"</formula>
    </cfRule>
    <cfRule type="expression" dxfId="3" priority="4">
      <formula>C1369:C1391="S"</formula>
    </cfRule>
  </conditionalFormatting>
  <conditionalFormatting sqref="K1391:K1392 R1391:R1392 D1392">
    <cfRule type="expression" dxfId="2" priority="1">
      <formula>C1391:C1415="S"</formula>
    </cfRule>
    <cfRule type="expression" dxfId="1" priority="3">
      <formula>C1391:C1415="P"</formula>
    </cfRule>
    <cfRule type="expression" dxfId="0" priority="2">
      <formula>C1391:C1415="B"</formula>
    </cfRule>
  </conditionalFormatting>
  <printOptions horizontalCentered="1" verticalCentered="1"/>
  <pageMargins left="0" right="0" top="0" bottom="0" header="0.31496062992125984" footer="0.31496062992125984"/>
  <pageSetup paperSize="9" scale="51" fitToHeight="0" orientation="portrait" r:id="rId1"/>
  <rowBreaks count="44" manualBreakCount="44">
    <brk id="31" max="22" man="1"/>
    <brk id="62" max="22" man="1"/>
    <brk id="93" max="22" man="1"/>
    <brk id="124" max="22" man="1"/>
    <brk id="155" max="22" man="1"/>
    <brk id="186" max="22" man="1"/>
    <brk id="217" max="22" man="1"/>
    <brk id="248" max="22" man="1"/>
    <brk id="279" max="22" man="1"/>
    <brk id="310" max="22" man="1"/>
    <brk id="341" max="22" man="1"/>
    <brk id="372" max="22" man="1"/>
    <brk id="403" max="22" man="1"/>
    <brk id="434" max="22" man="1"/>
    <brk id="465" max="22" man="1"/>
    <brk id="496" max="22" man="1"/>
    <brk id="527" max="22" man="1"/>
    <brk id="558" max="22" man="1"/>
    <brk id="589" max="22" man="1"/>
    <brk id="620" max="22" man="1"/>
    <brk id="651" max="22" man="1"/>
    <brk id="682" max="22" man="1"/>
    <brk id="713" max="22" man="1"/>
    <brk id="744" max="22" man="1"/>
    <brk id="775" max="22" man="1"/>
    <brk id="806" max="22" man="1"/>
    <brk id="837" max="22" man="1"/>
    <brk id="868" max="22" man="1"/>
    <brk id="899" max="22" man="1"/>
    <brk id="930" max="22" man="1"/>
    <brk id="961" max="22" man="1"/>
    <brk id="992" max="22" man="1"/>
    <brk id="1023" max="22" man="1"/>
    <brk id="1054" max="22" man="1"/>
    <brk id="1085" max="22" man="1"/>
    <brk id="1116" max="22" man="1"/>
    <brk id="1147" max="22" man="1"/>
    <brk id="1178" max="22" man="1"/>
    <brk id="1209" max="22" man="1"/>
    <brk id="1240" max="22" man="1"/>
    <brk id="1271" max="22" man="1"/>
    <brk id="1302" max="22" man="1"/>
    <brk id="1333" max="22" man="1"/>
    <brk id="1364" max="2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PROJETO PERFURAÇÃO</vt:lpstr>
      <vt:lpstr>LEV R&amp;D</vt:lpstr>
      <vt:lpstr>MEDIÇÃO</vt:lpstr>
      <vt:lpstr>MEDIÇÃO!Area_de_impressao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Dantas</dc:creator>
  <cp:lastModifiedBy>Elison Matheus Batista Silva</cp:lastModifiedBy>
  <cp:lastPrinted>2026-06-16T13:34:45Z</cp:lastPrinted>
  <dcterms:created xsi:type="dcterms:W3CDTF">2025-12-06T18:10:46Z</dcterms:created>
  <dcterms:modified xsi:type="dcterms:W3CDTF">2026-06-25T11:38:37Z</dcterms:modified>
</cp:coreProperties>
</file>